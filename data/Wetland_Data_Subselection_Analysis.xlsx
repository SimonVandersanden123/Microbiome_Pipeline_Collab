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p12540\Documents\GitHub\Microbiome_Pipeline_Collab\data\"/>
    </mc:Choice>
  </mc:AlternateContent>
  <xr:revisionPtr revIDLastSave="0" documentId="13_ncr:1_{D947549C-1751-49C3-A2B5-E37F7B0E3297}" xr6:coauthVersionLast="47" xr6:coauthVersionMax="47" xr10:uidLastSave="{00000000-0000-0000-0000-000000000000}"/>
  <bookViews>
    <workbookView xWindow="28680" yWindow="-120" windowWidth="29040" windowHeight="17520" xr2:uid="{A6DD00EA-6B77-49B5-8AC2-AC6E6C608B26}"/>
  </bookViews>
  <sheets>
    <sheet name="Wetland_Utrecht_Data_Final_Or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P47" i="1" l="1"/>
  <c r="DP48" i="1"/>
  <c r="DP49" i="1"/>
  <c r="DP50" i="1"/>
  <c r="DP51" i="1"/>
  <c r="DP52" i="1"/>
  <c r="DP53" i="1"/>
  <c r="DP54" i="1"/>
  <c r="DP55" i="1"/>
  <c r="DP56" i="1"/>
  <c r="DP57" i="1"/>
  <c r="DP58" i="1"/>
  <c r="DP59" i="1"/>
  <c r="DP60" i="1"/>
  <c r="DP61" i="1"/>
  <c r="DP62" i="1"/>
  <c r="DP63" i="1"/>
  <c r="DP64" i="1"/>
  <c r="DP65" i="1"/>
  <c r="DP66" i="1"/>
  <c r="DP67" i="1"/>
  <c r="DP68" i="1"/>
  <c r="DP69" i="1"/>
  <c r="DP70" i="1"/>
  <c r="DP71" i="1"/>
  <c r="DP72" i="1"/>
  <c r="DP73" i="1"/>
  <c r="DP74" i="1"/>
  <c r="DP75" i="1"/>
  <c r="DP76" i="1"/>
  <c r="DP77" i="1"/>
  <c r="DP78" i="1"/>
  <c r="DP79" i="1"/>
  <c r="DP80" i="1"/>
  <c r="DP81" i="1"/>
  <c r="DP82" i="1"/>
  <c r="DP83" i="1"/>
  <c r="DP84" i="1"/>
  <c r="DP85" i="1"/>
  <c r="DP86" i="1"/>
  <c r="DP87" i="1"/>
  <c r="DP88" i="1"/>
  <c r="DP89" i="1"/>
  <c r="DP90" i="1"/>
  <c r="DP91" i="1"/>
  <c r="DP92" i="1"/>
  <c r="DP93" i="1"/>
  <c r="DP94" i="1"/>
  <c r="DP95" i="1"/>
  <c r="DP96" i="1"/>
  <c r="DP97" i="1"/>
  <c r="DP98" i="1"/>
  <c r="DP99" i="1"/>
  <c r="DP100" i="1"/>
  <c r="DP101" i="1"/>
  <c r="DP102" i="1"/>
  <c r="DP103" i="1"/>
  <c r="DP104" i="1"/>
  <c r="DP105" i="1"/>
  <c r="DP106" i="1"/>
  <c r="DP107" i="1"/>
  <c r="DP108" i="1"/>
  <c r="DP109" i="1"/>
  <c r="DP110" i="1"/>
  <c r="DP111" i="1"/>
  <c r="DP112" i="1"/>
  <c r="DP113" i="1"/>
  <c r="DP114" i="1"/>
  <c r="DP115" i="1"/>
  <c r="DP116" i="1"/>
  <c r="DP117" i="1"/>
  <c r="DP118" i="1"/>
  <c r="DP119" i="1"/>
  <c r="DP120" i="1"/>
  <c r="DP121" i="1"/>
  <c r="DP122" i="1"/>
  <c r="DP123" i="1"/>
  <c r="DP124" i="1"/>
  <c r="DP125" i="1"/>
  <c r="DP126" i="1"/>
  <c r="DP127" i="1"/>
  <c r="DP128" i="1"/>
  <c r="DP129" i="1"/>
  <c r="DP130" i="1"/>
  <c r="DP131" i="1"/>
  <c r="DP132" i="1"/>
  <c r="DP133" i="1"/>
  <c r="DP134" i="1"/>
  <c r="DP135" i="1"/>
  <c r="DP136" i="1"/>
  <c r="DP137" i="1"/>
  <c r="DP138" i="1"/>
  <c r="DP139" i="1"/>
  <c r="DP140" i="1"/>
  <c r="DP141" i="1"/>
  <c r="DP142" i="1"/>
  <c r="DP143" i="1"/>
  <c r="DP144" i="1"/>
  <c r="DP145" i="1"/>
  <c r="DP146" i="1"/>
  <c r="DP147" i="1"/>
  <c r="DP148" i="1"/>
  <c r="DP149" i="1"/>
  <c r="DP150" i="1"/>
  <c r="DP151" i="1"/>
  <c r="DP152" i="1"/>
  <c r="DP153" i="1"/>
  <c r="DP154" i="1"/>
  <c r="DP155" i="1"/>
  <c r="DP156" i="1"/>
  <c r="DP157" i="1"/>
  <c r="DP158" i="1"/>
  <c r="DP159" i="1"/>
  <c r="DP160" i="1"/>
  <c r="DP161" i="1"/>
  <c r="DP162" i="1"/>
  <c r="DP163" i="1"/>
  <c r="DP164" i="1"/>
  <c r="DP165" i="1"/>
  <c r="DP166" i="1"/>
  <c r="DP167" i="1"/>
  <c r="DP168" i="1"/>
  <c r="DP169" i="1"/>
  <c r="DP170" i="1"/>
  <c r="DP171" i="1"/>
  <c r="DP172" i="1"/>
  <c r="DP173" i="1"/>
  <c r="DP174" i="1"/>
  <c r="DP175" i="1"/>
  <c r="DP176" i="1"/>
  <c r="DP177" i="1"/>
  <c r="DP178" i="1"/>
  <c r="DP179" i="1"/>
  <c r="DP180" i="1"/>
  <c r="DP181" i="1"/>
  <c r="DP182" i="1"/>
  <c r="DP183" i="1"/>
  <c r="DP184" i="1"/>
  <c r="DP185" i="1"/>
  <c r="DP186" i="1"/>
  <c r="DP187" i="1"/>
  <c r="DP188" i="1"/>
  <c r="DP189" i="1"/>
  <c r="DP190" i="1"/>
  <c r="DP191" i="1"/>
  <c r="DP192" i="1"/>
  <c r="DP193" i="1"/>
  <c r="DP194" i="1"/>
  <c r="DP195" i="1"/>
  <c r="DP196" i="1"/>
  <c r="DP197" i="1"/>
  <c r="DP198" i="1"/>
  <c r="DP199" i="1"/>
  <c r="DP200" i="1"/>
  <c r="DP201" i="1"/>
  <c r="DP202" i="1"/>
  <c r="DP203" i="1"/>
  <c r="DP204" i="1"/>
  <c r="DP205" i="1"/>
  <c r="DP206" i="1"/>
  <c r="DP207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10" i="1"/>
  <c r="DO10" i="1"/>
  <c r="DO37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55" i="1"/>
  <c r="DO56" i="1"/>
  <c r="DO57" i="1"/>
  <c r="DO58" i="1"/>
  <c r="DO59" i="1"/>
  <c r="DO60" i="1"/>
  <c r="DO61" i="1"/>
  <c r="DO62" i="1"/>
  <c r="DO63" i="1"/>
  <c r="DO64" i="1"/>
  <c r="DO65" i="1"/>
  <c r="DO66" i="1"/>
  <c r="DO67" i="1"/>
  <c r="DO68" i="1"/>
  <c r="DO69" i="1"/>
  <c r="DO70" i="1"/>
  <c r="DO71" i="1"/>
  <c r="DO72" i="1"/>
  <c r="DO73" i="1"/>
  <c r="DO74" i="1"/>
  <c r="DO75" i="1"/>
  <c r="DO76" i="1"/>
  <c r="DO77" i="1"/>
  <c r="DO78" i="1"/>
  <c r="DO79" i="1"/>
  <c r="DO80" i="1"/>
  <c r="DO81" i="1"/>
  <c r="DO82" i="1"/>
  <c r="DO83" i="1"/>
  <c r="DO84" i="1"/>
  <c r="DO85" i="1"/>
  <c r="DO86" i="1"/>
  <c r="DO87" i="1"/>
  <c r="DO88" i="1"/>
  <c r="DO89" i="1"/>
  <c r="DO90" i="1"/>
  <c r="DO91" i="1"/>
  <c r="DO92" i="1"/>
  <c r="DO93" i="1"/>
  <c r="DO94" i="1"/>
  <c r="DO95" i="1"/>
  <c r="DO96" i="1"/>
  <c r="DO97" i="1"/>
  <c r="DO98" i="1"/>
  <c r="DO99" i="1"/>
  <c r="DO100" i="1"/>
  <c r="DO101" i="1"/>
  <c r="DO102" i="1"/>
  <c r="DO103" i="1"/>
  <c r="DO104" i="1"/>
  <c r="DO105" i="1"/>
  <c r="DO106" i="1"/>
  <c r="DO107" i="1"/>
  <c r="DO108" i="1"/>
  <c r="DO109" i="1"/>
  <c r="DO110" i="1"/>
  <c r="DO111" i="1"/>
  <c r="DO112" i="1"/>
  <c r="DO113" i="1"/>
  <c r="DO114" i="1"/>
  <c r="DO115" i="1"/>
  <c r="DO116" i="1"/>
  <c r="DO117" i="1"/>
  <c r="DO118" i="1"/>
  <c r="DO119" i="1"/>
  <c r="DO120" i="1"/>
  <c r="DO121" i="1"/>
  <c r="DO122" i="1"/>
  <c r="DO123" i="1"/>
  <c r="DO124" i="1"/>
  <c r="DO125" i="1"/>
  <c r="DO126" i="1"/>
  <c r="DO127" i="1"/>
  <c r="DO128" i="1"/>
  <c r="DO129" i="1"/>
  <c r="DO130" i="1"/>
  <c r="DO131" i="1"/>
  <c r="DO132" i="1"/>
  <c r="DO133" i="1"/>
  <c r="DO134" i="1"/>
  <c r="DO135" i="1"/>
  <c r="DO136" i="1"/>
  <c r="DO137" i="1"/>
  <c r="DO138" i="1"/>
  <c r="DO139" i="1"/>
  <c r="DO140" i="1"/>
  <c r="DO141" i="1"/>
  <c r="DO142" i="1"/>
  <c r="DO143" i="1"/>
  <c r="DO144" i="1"/>
  <c r="DO145" i="1"/>
  <c r="DO146" i="1"/>
  <c r="DO147" i="1"/>
  <c r="DO148" i="1"/>
  <c r="DO149" i="1"/>
  <c r="DO150" i="1"/>
  <c r="DO151" i="1"/>
  <c r="DO152" i="1"/>
  <c r="DO153" i="1"/>
  <c r="DO154" i="1"/>
  <c r="DO155" i="1"/>
  <c r="DO156" i="1"/>
  <c r="DO157" i="1"/>
  <c r="DO158" i="1"/>
  <c r="DO159" i="1"/>
  <c r="DO160" i="1"/>
  <c r="DO161" i="1"/>
  <c r="DO162" i="1"/>
  <c r="DO163" i="1"/>
  <c r="DO164" i="1"/>
  <c r="DO165" i="1"/>
  <c r="DO166" i="1"/>
  <c r="DO167" i="1"/>
  <c r="DO168" i="1"/>
  <c r="DO169" i="1"/>
  <c r="DO170" i="1"/>
  <c r="DO171" i="1"/>
  <c r="DO172" i="1"/>
  <c r="DO173" i="1"/>
  <c r="DO174" i="1"/>
  <c r="DO175" i="1"/>
  <c r="DO176" i="1"/>
  <c r="DO177" i="1"/>
  <c r="DO178" i="1"/>
  <c r="DO179" i="1"/>
  <c r="DO180" i="1"/>
  <c r="DO181" i="1"/>
  <c r="DO182" i="1"/>
  <c r="DO183" i="1"/>
  <c r="DO184" i="1"/>
  <c r="DO185" i="1"/>
  <c r="DO186" i="1"/>
  <c r="DO187" i="1"/>
  <c r="DO188" i="1"/>
  <c r="DO189" i="1"/>
  <c r="DO190" i="1"/>
  <c r="DO191" i="1"/>
  <c r="DO192" i="1"/>
  <c r="DO193" i="1"/>
  <c r="DO194" i="1"/>
  <c r="DO195" i="1"/>
  <c r="DO196" i="1"/>
  <c r="DO197" i="1"/>
  <c r="DO198" i="1"/>
  <c r="DO199" i="1"/>
  <c r="DO200" i="1"/>
  <c r="DO201" i="1"/>
  <c r="DO202" i="1"/>
  <c r="DO203" i="1"/>
  <c r="DO204" i="1"/>
  <c r="DO205" i="1"/>
  <c r="DO206" i="1"/>
  <c r="DO207" i="1"/>
  <c r="DO11" i="1"/>
  <c r="DO12" i="1"/>
  <c r="DO13" i="1"/>
  <c r="DO14" i="1"/>
  <c r="DO15" i="1"/>
  <c r="DO16" i="1"/>
  <c r="DO17" i="1"/>
  <c r="DO18" i="1"/>
  <c r="DO19" i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62" i="1"/>
  <c r="DN63" i="1"/>
  <c r="DN64" i="1"/>
  <c r="DN65" i="1"/>
  <c r="DN66" i="1"/>
  <c r="DN67" i="1"/>
  <c r="DN68" i="1"/>
  <c r="DN69" i="1"/>
  <c r="DN70" i="1"/>
  <c r="DN71" i="1"/>
  <c r="DN72" i="1"/>
  <c r="DN73" i="1"/>
  <c r="DN74" i="1"/>
  <c r="DN75" i="1"/>
  <c r="DN76" i="1"/>
  <c r="DN77" i="1"/>
  <c r="DN78" i="1"/>
  <c r="DN79" i="1"/>
  <c r="DN80" i="1"/>
  <c r="DN81" i="1"/>
  <c r="DN82" i="1"/>
  <c r="DN83" i="1"/>
  <c r="DN84" i="1"/>
  <c r="DN85" i="1"/>
  <c r="DN86" i="1"/>
  <c r="DN87" i="1"/>
  <c r="DN88" i="1"/>
  <c r="DN89" i="1"/>
  <c r="DN90" i="1"/>
  <c r="DN91" i="1"/>
  <c r="DN92" i="1"/>
  <c r="DN93" i="1"/>
  <c r="DN94" i="1"/>
  <c r="DN95" i="1"/>
  <c r="DN96" i="1"/>
  <c r="DN97" i="1"/>
  <c r="DN98" i="1"/>
  <c r="DN99" i="1"/>
  <c r="DN100" i="1"/>
  <c r="DN101" i="1"/>
  <c r="DN102" i="1"/>
  <c r="DN103" i="1"/>
  <c r="DN104" i="1"/>
  <c r="DN105" i="1"/>
  <c r="DN106" i="1"/>
  <c r="DN107" i="1"/>
  <c r="DN108" i="1"/>
  <c r="DN109" i="1"/>
  <c r="DN110" i="1"/>
  <c r="DN111" i="1"/>
  <c r="DN112" i="1"/>
  <c r="DN113" i="1"/>
  <c r="DN114" i="1"/>
  <c r="DN115" i="1"/>
  <c r="DN116" i="1"/>
  <c r="DN117" i="1"/>
  <c r="DN118" i="1"/>
  <c r="DN119" i="1"/>
  <c r="DN120" i="1"/>
  <c r="DN121" i="1"/>
  <c r="DN122" i="1"/>
  <c r="DN123" i="1"/>
  <c r="DN124" i="1"/>
  <c r="DN125" i="1"/>
  <c r="DN126" i="1"/>
  <c r="DN127" i="1"/>
  <c r="DN128" i="1"/>
  <c r="DN129" i="1"/>
  <c r="DN130" i="1"/>
  <c r="DN131" i="1"/>
  <c r="DN132" i="1"/>
  <c r="DN133" i="1"/>
  <c r="DN134" i="1"/>
  <c r="DN135" i="1"/>
  <c r="DN136" i="1"/>
  <c r="DN137" i="1"/>
  <c r="DN138" i="1"/>
  <c r="DN139" i="1"/>
  <c r="DN140" i="1"/>
  <c r="DN141" i="1"/>
  <c r="DN142" i="1"/>
  <c r="DN143" i="1"/>
  <c r="DN144" i="1"/>
  <c r="DN145" i="1"/>
  <c r="DN146" i="1"/>
  <c r="DN147" i="1"/>
  <c r="DN148" i="1"/>
  <c r="DN149" i="1"/>
  <c r="DN150" i="1"/>
  <c r="DN151" i="1"/>
  <c r="DN152" i="1"/>
  <c r="DN153" i="1"/>
  <c r="DN154" i="1"/>
  <c r="DN155" i="1"/>
  <c r="DN156" i="1"/>
  <c r="DN157" i="1"/>
  <c r="DN158" i="1"/>
  <c r="DN159" i="1"/>
  <c r="DN160" i="1"/>
  <c r="DN161" i="1"/>
  <c r="DN162" i="1"/>
  <c r="DN163" i="1"/>
  <c r="DN164" i="1"/>
  <c r="DN165" i="1"/>
  <c r="DN166" i="1"/>
  <c r="DN167" i="1"/>
  <c r="DN168" i="1"/>
  <c r="DN169" i="1"/>
  <c r="DN170" i="1"/>
  <c r="DN171" i="1"/>
  <c r="DN172" i="1"/>
  <c r="DN173" i="1"/>
  <c r="DN174" i="1"/>
  <c r="DN175" i="1"/>
  <c r="DN176" i="1"/>
  <c r="DN177" i="1"/>
  <c r="DN178" i="1"/>
  <c r="DN179" i="1"/>
  <c r="DN180" i="1"/>
  <c r="DN181" i="1"/>
  <c r="DN182" i="1"/>
  <c r="DN183" i="1"/>
  <c r="DN184" i="1"/>
  <c r="DN185" i="1"/>
  <c r="DN186" i="1"/>
  <c r="DN187" i="1"/>
  <c r="DN188" i="1"/>
  <c r="DN189" i="1"/>
  <c r="DN190" i="1"/>
  <c r="DN191" i="1"/>
  <c r="DN192" i="1"/>
  <c r="DN193" i="1"/>
  <c r="DN194" i="1"/>
  <c r="DN195" i="1"/>
  <c r="DN196" i="1"/>
  <c r="DN197" i="1"/>
  <c r="DN198" i="1"/>
  <c r="DN199" i="1"/>
  <c r="DN200" i="1"/>
  <c r="DN201" i="1"/>
  <c r="DN202" i="1"/>
  <c r="DN203" i="1"/>
  <c r="DN204" i="1"/>
  <c r="DN205" i="1"/>
  <c r="DN206" i="1"/>
  <c r="DN207" i="1"/>
  <c r="DN10" i="1"/>
  <c r="DM10" i="1"/>
  <c r="DL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01" i="1"/>
  <c r="DK102" i="1"/>
  <c r="DK103" i="1"/>
  <c r="DK104" i="1"/>
  <c r="DK105" i="1"/>
  <c r="DK106" i="1"/>
  <c r="DK107" i="1"/>
  <c r="DK108" i="1"/>
  <c r="DK109" i="1"/>
  <c r="DK110" i="1"/>
  <c r="DK111" i="1"/>
  <c r="DK112" i="1"/>
  <c r="DK113" i="1"/>
  <c r="DK114" i="1"/>
  <c r="DK115" i="1"/>
  <c r="DK116" i="1"/>
  <c r="DK117" i="1"/>
  <c r="DK118" i="1"/>
  <c r="DK119" i="1"/>
  <c r="DK120" i="1"/>
  <c r="DK121" i="1"/>
  <c r="DK122" i="1"/>
  <c r="DK123" i="1"/>
  <c r="DK124" i="1"/>
  <c r="DK125" i="1"/>
  <c r="DK126" i="1"/>
  <c r="DK127" i="1"/>
  <c r="DK128" i="1"/>
  <c r="DK129" i="1"/>
  <c r="DK130" i="1"/>
  <c r="DK131" i="1"/>
  <c r="DK132" i="1"/>
  <c r="DK133" i="1"/>
  <c r="DK134" i="1"/>
  <c r="DK135" i="1"/>
  <c r="DK136" i="1"/>
  <c r="DK137" i="1"/>
  <c r="DK138" i="1"/>
  <c r="DK139" i="1"/>
  <c r="DK140" i="1"/>
  <c r="DK141" i="1"/>
  <c r="DK142" i="1"/>
  <c r="DK143" i="1"/>
  <c r="DK144" i="1"/>
  <c r="DK145" i="1"/>
  <c r="DK146" i="1"/>
  <c r="DK147" i="1"/>
  <c r="DK148" i="1"/>
  <c r="DK149" i="1"/>
  <c r="DK150" i="1"/>
  <c r="DK151" i="1"/>
  <c r="DK152" i="1"/>
  <c r="DK153" i="1"/>
  <c r="DK154" i="1"/>
  <c r="DK155" i="1"/>
  <c r="DK156" i="1"/>
  <c r="DK157" i="1"/>
  <c r="DK158" i="1"/>
  <c r="DK159" i="1"/>
  <c r="DK160" i="1"/>
  <c r="DK161" i="1"/>
  <c r="DK162" i="1"/>
  <c r="DK163" i="1"/>
  <c r="DK164" i="1"/>
  <c r="DK165" i="1"/>
  <c r="DK166" i="1"/>
  <c r="DK167" i="1"/>
  <c r="DK168" i="1"/>
  <c r="DK169" i="1"/>
  <c r="DK170" i="1"/>
  <c r="DK171" i="1"/>
  <c r="DK172" i="1"/>
  <c r="DK173" i="1"/>
  <c r="DK174" i="1"/>
  <c r="DK175" i="1"/>
  <c r="DK176" i="1"/>
  <c r="DK177" i="1"/>
  <c r="DK178" i="1"/>
  <c r="DK179" i="1"/>
  <c r="DK180" i="1"/>
  <c r="DK181" i="1"/>
  <c r="DK182" i="1"/>
  <c r="DK183" i="1"/>
  <c r="DK184" i="1"/>
  <c r="DK185" i="1"/>
  <c r="DK186" i="1"/>
  <c r="DK187" i="1"/>
  <c r="DK188" i="1"/>
  <c r="DK189" i="1"/>
  <c r="DK190" i="1"/>
  <c r="DK191" i="1"/>
  <c r="DK192" i="1"/>
  <c r="DK193" i="1"/>
  <c r="DK194" i="1"/>
  <c r="DK195" i="1"/>
  <c r="DK196" i="1"/>
  <c r="DK197" i="1"/>
  <c r="DK198" i="1"/>
  <c r="DK199" i="1"/>
  <c r="DK200" i="1"/>
  <c r="DK201" i="1"/>
  <c r="DK202" i="1"/>
  <c r="DK203" i="1"/>
  <c r="DK204" i="1"/>
  <c r="DK205" i="1"/>
  <c r="DK206" i="1"/>
  <c r="DK207" i="1"/>
  <c r="DK10" i="1"/>
  <c r="DM29" i="1"/>
  <c r="DM30" i="1"/>
  <c r="DM31" i="1"/>
  <c r="DM32" i="1"/>
  <c r="DM33" i="1"/>
  <c r="DM34" i="1"/>
  <c r="DM35" i="1"/>
  <c r="DM36" i="1"/>
  <c r="DM37" i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DM52" i="1"/>
  <c r="DM53" i="1"/>
  <c r="DM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8" i="1"/>
  <c r="DM69" i="1"/>
  <c r="DM70" i="1"/>
  <c r="DM71" i="1"/>
  <c r="DM72" i="1"/>
  <c r="DM73" i="1"/>
  <c r="DM74" i="1"/>
  <c r="DM75" i="1"/>
  <c r="DM76" i="1"/>
  <c r="DM77" i="1"/>
  <c r="DM78" i="1"/>
  <c r="DM79" i="1"/>
  <c r="DM80" i="1"/>
  <c r="DM81" i="1"/>
  <c r="DM82" i="1"/>
  <c r="DM83" i="1"/>
  <c r="DM84" i="1"/>
  <c r="DM85" i="1"/>
  <c r="DM86" i="1"/>
  <c r="DM87" i="1"/>
  <c r="DM88" i="1"/>
  <c r="DM89" i="1"/>
  <c r="DM90" i="1"/>
  <c r="DM91" i="1"/>
  <c r="DM92" i="1"/>
  <c r="DM93" i="1"/>
  <c r="DM94" i="1"/>
  <c r="DM95" i="1"/>
  <c r="DM96" i="1"/>
  <c r="DM97" i="1"/>
  <c r="DM98" i="1"/>
  <c r="DM99" i="1"/>
  <c r="DM100" i="1"/>
  <c r="DM101" i="1"/>
  <c r="DM102" i="1"/>
  <c r="DM103" i="1"/>
  <c r="DM104" i="1"/>
  <c r="DM105" i="1"/>
  <c r="DM106" i="1"/>
  <c r="DM107" i="1"/>
  <c r="DM108" i="1"/>
  <c r="DM109" i="1"/>
  <c r="DM110" i="1"/>
  <c r="DM111" i="1"/>
  <c r="DM112" i="1"/>
  <c r="DM113" i="1"/>
  <c r="DM114" i="1"/>
  <c r="DM115" i="1"/>
  <c r="DM116" i="1"/>
  <c r="DM117" i="1"/>
  <c r="DM118" i="1"/>
  <c r="DM119" i="1"/>
  <c r="DM120" i="1"/>
  <c r="DM121" i="1"/>
  <c r="DM122" i="1"/>
  <c r="DM123" i="1"/>
  <c r="DM124" i="1"/>
  <c r="DM125" i="1"/>
  <c r="DM126" i="1"/>
  <c r="DM127" i="1"/>
  <c r="DM128" i="1"/>
  <c r="DM129" i="1"/>
  <c r="DM130" i="1"/>
  <c r="DM131" i="1"/>
  <c r="DM132" i="1"/>
  <c r="DM133" i="1"/>
  <c r="DM134" i="1"/>
  <c r="DM135" i="1"/>
  <c r="DM136" i="1"/>
  <c r="DM137" i="1"/>
  <c r="DM138" i="1"/>
  <c r="DM139" i="1"/>
  <c r="DM140" i="1"/>
  <c r="DM141" i="1"/>
  <c r="DM142" i="1"/>
  <c r="DM143" i="1"/>
  <c r="DM144" i="1"/>
  <c r="DM145" i="1"/>
  <c r="DM146" i="1"/>
  <c r="DM147" i="1"/>
  <c r="DM148" i="1"/>
  <c r="DM149" i="1"/>
  <c r="DM150" i="1"/>
  <c r="DM151" i="1"/>
  <c r="DM152" i="1"/>
  <c r="DM153" i="1"/>
  <c r="DM154" i="1"/>
  <c r="DM155" i="1"/>
  <c r="DM156" i="1"/>
  <c r="DM157" i="1"/>
  <c r="DM158" i="1"/>
  <c r="DM159" i="1"/>
  <c r="DM160" i="1"/>
  <c r="DM161" i="1"/>
  <c r="DM162" i="1"/>
  <c r="DM163" i="1"/>
  <c r="DM164" i="1"/>
  <c r="DM165" i="1"/>
  <c r="DM166" i="1"/>
  <c r="DM167" i="1"/>
  <c r="DM168" i="1"/>
  <c r="DM169" i="1"/>
  <c r="DM170" i="1"/>
  <c r="DM171" i="1"/>
  <c r="DM172" i="1"/>
  <c r="DM173" i="1"/>
  <c r="DM174" i="1"/>
  <c r="DM175" i="1"/>
  <c r="DM176" i="1"/>
  <c r="DM177" i="1"/>
  <c r="DM178" i="1"/>
  <c r="DM179" i="1"/>
  <c r="DM180" i="1"/>
  <c r="DM181" i="1"/>
  <c r="DM182" i="1"/>
  <c r="DM183" i="1"/>
  <c r="DM184" i="1"/>
  <c r="DM185" i="1"/>
  <c r="DM186" i="1"/>
  <c r="DM187" i="1"/>
  <c r="DM188" i="1"/>
  <c r="DM189" i="1"/>
  <c r="DM190" i="1"/>
  <c r="DM191" i="1"/>
  <c r="DM192" i="1"/>
  <c r="DM193" i="1"/>
  <c r="DM194" i="1"/>
  <c r="DM195" i="1"/>
  <c r="DM196" i="1"/>
  <c r="DM197" i="1"/>
  <c r="DM198" i="1"/>
  <c r="DM199" i="1"/>
  <c r="DM200" i="1"/>
  <c r="DM201" i="1"/>
  <c r="DM202" i="1"/>
  <c r="DM203" i="1"/>
  <c r="DM204" i="1"/>
  <c r="DM205" i="1"/>
  <c r="DM206" i="1"/>
  <c r="DM207" i="1"/>
  <c r="DM11" i="1"/>
  <c r="DM12" i="1"/>
  <c r="DM13" i="1"/>
  <c r="DM14" i="1"/>
  <c r="DM15" i="1"/>
  <c r="DM16" i="1"/>
  <c r="DM17" i="1"/>
  <c r="DM18" i="1"/>
  <c r="DM19" i="1"/>
  <c r="DM20" i="1"/>
  <c r="DM21" i="1"/>
  <c r="DM22" i="1"/>
  <c r="DM23" i="1"/>
  <c r="DM24" i="1"/>
  <c r="DM25" i="1"/>
  <c r="DM26" i="1"/>
  <c r="DM27" i="1"/>
  <c r="DM28" i="1"/>
  <c r="DL11" i="1"/>
  <c r="DL12" i="1"/>
  <c r="DL13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66" i="1"/>
  <c r="DL67" i="1"/>
  <c r="DL68" i="1"/>
  <c r="DL69" i="1"/>
  <c r="DL70" i="1"/>
  <c r="DL71" i="1"/>
  <c r="DL72" i="1"/>
  <c r="DL73" i="1"/>
  <c r="DL74" i="1"/>
  <c r="DL75" i="1"/>
  <c r="DL76" i="1"/>
  <c r="DL77" i="1"/>
  <c r="DL78" i="1"/>
  <c r="DL79" i="1"/>
  <c r="DL80" i="1"/>
  <c r="DL81" i="1"/>
  <c r="DL82" i="1"/>
  <c r="DL83" i="1"/>
  <c r="DL84" i="1"/>
  <c r="DL85" i="1"/>
  <c r="DL86" i="1"/>
  <c r="DL87" i="1"/>
  <c r="DL88" i="1"/>
  <c r="DL89" i="1"/>
  <c r="DL90" i="1"/>
  <c r="DL91" i="1"/>
  <c r="DL92" i="1"/>
  <c r="DL93" i="1"/>
  <c r="DL94" i="1"/>
  <c r="DL95" i="1"/>
  <c r="DL96" i="1"/>
  <c r="DL97" i="1"/>
  <c r="DL98" i="1"/>
  <c r="DL99" i="1"/>
  <c r="DL100" i="1"/>
  <c r="DL101" i="1"/>
  <c r="DL102" i="1"/>
  <c r="DL103" i="1"/>
  <c r="DL104" i="1"/>
  <c r="DL105" i="1"/>
  <c r="DL106" i="1"/>
  <c r="DL107" i="1"/>
  <c r="DL108" i="1"/>
  <c r="DL109" i="1"/>
  <c r="DL110" i="1"/>
  <c r="DL111" i="1"/>
  <c r="DL112" i="1"/>
  <c r="DL113" i="1"/>
  <c r="DL114" i="1"/>
  <c r="DL115" i="1"/>
  <c r="DL116" i="1"/>
  <c r="DL117" i="1"/>
  <c r="DL118" i="1"/>
  <c r="DL119" i="1"/>
  <c r="DL120" i="1"/>
  <c r="DL121" i="1"/>
  <c r="DL122" i="1"/>
  <c r="DL123" i="1"/>
  <c r="DL124" i="1"/>
  <c r="DL125" i="1"/>
  <c r="DL126" i="1"/>
  <c r="DL127" i="1"/>
  <c r="DL128" i="1"/>
  <c r="DL129" i="1"/>
  <c r="DL130" i="1"/>
  <c r="DL131" i="1"/>
  <c r="DL132" i="1"/>
  <c r="DL133" i="1"/>
  <c r="DL134" i="1"/>
  <c r="DL135" i="1"/>
  <c r="DL136" i="1"/>
  <c r="DL137" i="1"/>
  <c r="DL138" i="1"/>
  <c r="DL139" i="1"/>
  <c r="DL140" i="1"/>
  <c r="DL141" i="1"/>
  <c r="DL142" i="1"/>
  <c r="DL143" i="1"/>
  <c r="DL144" i="1"/>
  <c r="DL145" i="1"/>
  <c r="DL146" i="1"/>
  <c r="DL147" i="1"/>
  <c r="DL148" i="1"/>
  <c r="DL149" i="1"/>
  <c r="DL150" i="1"/>
  <c r="DL151" i="1"/>
  <c r="DL152" i="1"/>
  <c r="DL153" i="1"/>
  <c r="DL154" i="1"/>
  <c r="DL155" i="1"/>
  <c r="DL156" i="1"/>
  <c r="DL157" i="1"/>
  <c r="DL158" i="1"/>
  <c r="DL159" i="1"/>
  <c r="DL160" i="1"/>
  <c r="DL161" i="1"/>
  <c r="DL162" i="1"/>
  <c r="DL163" i="1"/>
  <c r="DL164" i="1"/>
  <c r="DL165" i="1"/>
  <c r="DL166" i="1"/>
  <c r="DL167" i="1"/>
  <c r="DL168" i="1"/>
  <c r="DL169" i="1"/>
  <c r="DL170" i="1"/>
  <c r="DL171" i="1"/>
  <c r="DL172" i="1"/>
  <c r="DL173" i="1"/>
  <c r="DL174" i="1"/>
  <c r="DL175" i="1"/>
  <c r="DL176" i="1"/>
  <c r="DL177" i="1"/>
  <c r="DL178" i="1"/>
  <c r="DL179" i="1"/>
  <c r="DL180" i="1"/>
  <c r="DL181" i="1"/>
  <c r="DL182" i="1"/>
  <c r="DL183" i="1"/>
  <c r="DL184" i="1"/>
  <c r="DL185" i="1"/>
  <c r="DL186" i="1"/>
  <c r="DL187" i="1"/>
  <c r="DL188" i="1"/>
  <c r="DL189" i="1"/>
  <c r="DL190" i="1"/>
  <c r="DL191" i="1"/>
  <c r="DL192" i="1"/>
  <c r="DL193" i="1"/>
  <c r="DL194" i="1"/>
  <c r="DL195" i="1"/>
  <c r="DL196" i="1"/>
  <c r="DL197" i="1"/>
  <c r="DL198" i="1"/>
  <c r="DL199" i="1"/>
  <c r="DL200" i="1"/>
  <c r="DL201" i="1"/>
  <c r="DL202" i="1"/>
  <c r="DL203" i="1"/>
  <c r="DL204" i="1"/>
  <c r="DL205" i="1"/>
  <c r="DL206" i="1"/>
  <c r="DL207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203" i="1"/>
  <c r="DJ204" i="1"/>
  <c r="DJ205" i="1"/>
  <c r="DJ206" i="1"/>
  <c r="DJ207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203" i="1"/>
  <c r="DI204" i="1"/>
  <c r="DI205" i="1"/>
  <c r="DI206" i="1"/>
  <c r="DI207" i="1"/>
  <c r="DI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H58" i="1"/>
  <c r="DH59" i="1"/>
  <c r="DH60" i="1"/>
  <c r="DH61" i="1"/>
  <c r="DH62" i="1"/>
  <c r="DH63" i="1"/>
  <c r="DH64" i="1"/>
  <c r="DH65" i="1"/>
  <c r="DH66" i="1"/>
  <c r="DH67" i="1"/>
  <c r="DH68" i="1"/>
  <c r="DH69" i="1"/>
  <c r="DH70" i="1"/>
  <c r="DH71" i="1"/>
  <c r="DH72" i="1"/>
  <c r="DH73" i="1"/>
  <c r="DH74" i="1"/>
  <c r="DH75" i="1"/>
  <c r="DH76" i="1"/>
  <c r="DH77" i="1"/>
  <c r="DH78" i="1"/>
  <c r="DH79" i="1"/>
  <c r="DH80" i="1"/>
  <c r="DH81" i="1"/>
  <c r="DH82" i="1"/>
  <c r="DH83" i="1"/>
  <c r="DH84" i="1"/>
  <c r="DH85" i="1"/>
  <c r="DH86" i="1"/>
  <c r="DH87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102" i="1"/>
  <c r="DH103" i="1"/>
  <c r="DH104" i="1"/>
  <c r="DH105" i="1"/>
  <c r="DH106" i="1"/>
  <c r="DH107" i="1"/>
  <c r="DH108" i="1"/>
  <c r="DH109" i="1"/>
  <c r="DH110" i="1"/>
  <c r="DH111" i="1"/>
  <c r="DH112" i="1"/>
  <c r="DH113" i="1"/>
  <c r="DH114" i="1"/>
  <c r="DH115" i="1"/>
  <c r="DH116" i="1"/>
  <c r="DH117" i="1"/>
  <c r="DH118" i="1"/>
  <c r="DH119" i="1"/>
  <c r="DH120" i="1"/>
  <c r="DH121" i="1"/>
  <c r="DH122" i="1"/>
  <c r="DH123" i="1"/>
  <c r="DH124" i="1"/>
  <c r="DH125" i="1"/>
  <c r="DH126" i="1"/>
  <c r="DH127" i="1"/>
  <c r="DH128" i="1"/>
  <c r="DH129" i="1"/>
  <c r="DH130" i="1"/>
  <c r="DH131" i="1"/>
  <c r="DH132" i="1"/>
  <c r="DH133" i="1"/>
  <c r="DH134" i="1"/>
  <c r="DH135" i="1"/>
  <c r="DH136" i="1"/>
  <c r="DH137" i="1"/>
  <c r="DH138" i="1"/>
  <c r="DH139" i="1"/>
  <c r="DH140" i="1"/>
  <c r="DH141" i="1"/>
  <c r="DH142" i="1"/>
  <c r="DH143" i="1"/>
  <c r="DH144" i="1"/>
  <c r="DH145" i="1"/>
  <c r="DH146" i="1"/>
  <c r="DH147" i="1"/>
  <c r="DH148" i="1"/>
  <c r="DH149" i="1"/>
  <c r="DH150" i="1"/>
  <c r="DH151" i="1"/>
  <c r="DH152" i="1"/>
  <c r="DH153" i="1"/>
  <c r="DH154" i="1"/>
  <c r="DH155" i="1"/>
  <c r="DH156" i="1"/>
  <c r="DH157" i="1"/>
  <c r="DH158" i="1"/>
  <c r="DH159" i="1"/>
  <c r="DH160" i="1"/>
  <c r="DH161" i="1"/>
  <c r="DH162" i="1"/>
  <c r="DH163" i="1"/>
  <c r="DH164" i="1"/>
  <c r="DH165" i="1"/>
  <c r="DH166" i="1"/>
  <c r="DH167" i="1"/>
  <c r="DH168" i="1"/>
  <c r="DH169" i="1"/>
  <c r="DH170" i="1"/>
  <c r="DH171" i="1"/>
  <c r="DH172" i="1"/>
  <c r="DH173" i="1"/>
  <c r="DH174" i="1"/>
  <c r="DH175" i="1"/>
  <c r="DH176" i="1"/>
  <c r="DH177" i="1"/>
  <c r="DH178" i="1"/>
  <c r="DH179" i="1"/>
  <c r="DH180" i="1"/>
  <c r="DH181" i="1"/>
  <c r="DH182" i="1"/>
  <c r="DH183" i="1"/>
  <c r="DH184" i="1"/>
  <c r="DH185" i="1"/>
  <c r="DH186" i="1"/>
  <c r="DH187" i="1"/>
  <c r="DH188" i="1"/>
  <c r="DH189" i="1"/>
  <c r="DH190" i="1"/>
  <c r="DH191" i="1"/>
  <c r="DH192" i="1"/>
  <c r="DH193" i="1"/>
  <c r="DH194" i="1"/>
  <c r="DH195" i="1"/>
  <c r="DH196" i="1"/>
  <c r="DH197" i="1"/>
  <c r="DH198" i="1"/>
  <c r="DH199" i="1"/>
  <c r="DH200" i="1"/>
  <c r="DH201" i="1"/>
  <c r="DH202" i="1"/>
  <c r="DH203" i="1"/>
  <c r="DH204" i="1"/>
  <c r="DH205" i="1"/>
  <c r="DH206" i="1"/>
  <c r="DH207" i="1"/>
  <c r="DH10" i="1"/>
  <c r="DB129" i="1"/>
  <c r="DB161" i="1"/>
  <c r="DB193" i="1"/>
  <c r="DA24" i="1"/>
  <c r="DG24" i="1" s="1"/>
  <c r="DA56" i="1"/>
  <c r="DG56" i="1" s="1"/>
  <c r="DA88" i="1"/>
  <c r="DG88" i="1" s="1"/>
  <c r="DA120" i="1"/>
  <c r="DG120" i="1" s="1"/>
  <c r="DA152" i="1"/>
  <c r="DG152" i="1" s="1"/>
  <c r="DA184" i="1"/>
  <c r="DG184" i="1" s="1"/>
  <c r="CZ11" i="1"/>
  <c r="DA11" i="1" s="1"/>
  <c r="DG11" i="1" s="1"/>
  <c r="CZ18" i="1"/>
  <c r="DA18" i="1" s="1"/>
  <c r="DG18" i="1" s="1"/>
  <c r="CZ26" i="1"/>
  <c r="DA26" i="1" s="1"/>
  <c r="CZ27" i="1"/>
  <c r="DA27" i="1" s="1"/>
  <c r="DG27" i="1" s="1"/>
  <c r="CZ34" i="1"/>
  <c r="DA34" i="1" s="1"/>
  <c r="CZ35" i="1"/>
  <c r="DA35" i="1" s="1"/>
  <c r="CZ42" i="1"/>
  <c r="DA42" i="1" s="1"/>
  <c r="CZ43" i="1"/>
  <c r="DA43" i="1" s="1"/>
  <c r="DG43" i="1" s="1"/>
  <c r="CZ50" i="1"/>
  <c r="DA50" i="1" s="1"/>
  <c r="DG50" i="1" s="1"/>
  <c r="CZ58" i="1"/>
  <c r="DA58" i="1" s="1"/>
  <c r="CZ59" i="1"/>
  <c r="DA59" i="1" s="1"/>
  <c r="DG59" i="1" s="1"/>
  <c r="CZ66" i="1"/>
  <c r="DA66" i="1" s="1"/>
  <c r="CZ67" i="1"/>
  <c r="DA67" i="1" s="1"/>
  <c r="CZ74" i="1"/>
  <c r="DA74" i="1" s="1"/>
  <c r="CZ75" i="1"/>
  <c r="DA75" i="1" s="1"/>
  <c r="DG75" i="1" s="1"/>
  <c r="CZ82" i="1"/>
  <c r="DA82" i="1" s="1"/>
  <c r="DG82" i="1" s="1"/>
  <c r="CZ90" i="1"/>
  <c r="DA90" i="1" s="1"/>
  <c r="CZ91" i="1"/>
  <c r="DA91" i="1" s="1"/>
  <c r="DG91" i="1" s="1"/>
  <c r="CZ98" i="1"/>
  <c r="DA98" i="1" s="1"/>
  <c r="CZ99" i="1"/>
  <c r="DA99" i="1" s="1"/>
  <c r="CZ106" i="1"/>
  <c r="DA106" i="1" s="1"/>
  <c r="CZ107" i="1"/>
  <c r="DA107" i="1" s="1"/>
  <c r="DG107" i="1" s="1"/>
  <c r="CZ114" i="1"/>
  <c r="DA114" i="1" s="1"/>
  <c r="DG114" i="1" s="1"/>
  <c r="CZ122" i="1"/>
  <c r="DA122" i="1" s="1"/>
  <c r="CZ123" i="1"/>
  <c r="DA123" i="1" s="1"/>
  <c r="DG123" i="1" s="1"/>
  <c r="CZ130" i="1"/>
  <c r="DA130" i="1" s="1"/>
  <c r="CZ131" i="1"/>
  <c r="DA131" i="1" s="1"/>
  <c r="CZ138" i="1"/>
  <c r="DA138" i="1" s="1"/>
  <c r="CZ139" i="1"/>
  <c r="DA139" i="1" s="1"/>
  <c r="DG139" i="1" s="1"/>
  <c r="CZ146" i="1"/>
  <c r="DA146" i="1" s="1"/>
  <c r="DG146" i="1" s="1"/>
  <c r="CZ154" i="1"/>
  <c r="DA154" i="1" s="1"/>
  <c r="CZ155" i="1"/>
  <c r="DA155" i="1" s="1"/>
  <c r="DG155" i="1" s="1"/>
  <c r="CZ162" i="1"/>
  <c r="DA162" i="1" s="1"/>
  <c r="CZ163" i="1"/>
  <c r="DA163" i="1" s="1"/>
  <c r="CZ170" i="1"/>
  <c r="DA170" i="1" s="1"/>
  <c r="CZ171" i="1"/>
  <c r="DA171" i="1" s="1"/>
  <c r="DG171" i="1" s="1"/>
  <c r="CZ178" i="1"/>
  <c r="DA178" i="1" s="1"/>
  <c r="DG178" i="1" s="1"/>
  <c r="CZ186" i="1"/>
  <c r="DA186" i="1" s="1"/>
  <c r="CZ187" i="1"/>
  <c r="DA187" i="1" s="1"/>
  <c r="DG187" i="1" s="1"/>
  <c r="CZ194" i="1"/>
  <c r="DA194" i="1" s="1"/>
  <c r="CZ195" i="1"/>
  <c r="DA195" i="1" s="1"/>
  <c r="CZ202" i="1"/>
  <c r="DA202" i="1" s="1"/>
  <c r="CZ203" i="1"/>
  <c r="DA203" i="1" s="1"/>
  <c r="DG203" i="1" s="1"/>
  <c r="CY11" i="1"/>
  <c r="CY12" i="1"/>
  <c r="CZ12" i="1" s="1"/>
  <c r="DA12" i="1" s="1"/>
  <c r="DG12" i="1" s="1"/>
  <c r="CY13" i="1"/>
  <c r="CZ13" i="1" s="1"/>
  <c r="DA13" i="1" s="1"/>
  <c r="DG13" i="1" s="1"/>
  <c r="CY14" i="1"/>
  <c r="CZ14" i="1" s="1"/>
  <c r="DA14" i="1" s="1"/>
  <c r="CY15" i="1"/>
  <c r="CZ15" i="1" s="1"/>
  <c r="DA15" i="1" s="1"/>
  <c r="CY16" i="1"/>
  <c r="CZ16" i="1" s="1"/>
  <c r="DA16" i="1" s="1"/>
  <c r="DG16" i="1" s="1"/>
  <c r="CY17" i="1"/>
  <c r="CZ17" i="1" s="1"/>
  <c r="DA17" i="1" s="1"/>
  <c r="DG17" i="1" s="1"/>
  <c r="CY18" i="1"/>
  <c r="CY19" i="1"/>
  <c r="CZ19" i="1" s="1"/>
  <c r="DA19" i="1" s="1"/>
  <c r="DG19" i="1" s="1"/>
  <c r="CY20" i="1"/>
  <c r="CZ20" i="1" s="1"/>
  <c r="DA20" i="1" s="1"/>
  <c r="CY21" i="1"/>
  <c r="CZ21" i="1" s="1"/>
  <c r="DA21" i="1" s="1"/>
  <c r="DG21" i="1" s="1"/>
  <c r="CY22" i="1"/>
  <c r="CZ22" i="1" s="1"/>
  <c r="DA22" i="1" s="1"/>
  <c r="CY23" i="1"/>
  <c r="CZ23" i="1" s="1"/>
  <c r="DA23" i="1" s="1"/>
  <c r="CY24" i="1"/>
  <c r="CZ24" i="1" s="1"/>
  <c r="CY25" i="1"/>
  <c r="CZ25" i="1" s="1"/>
  <c r="DA25" i="1" s="1"/>
  <c r="DG25" i="1" s="1"/>
  <c r="CY26" i="1"/>
  <c r="CY27" i="1"/>
  <c r="CY28" i="1"/>
  <c r="CZ28" i="1" s="1"/>
  <c r="DA28" i="1" s="1"/>
  <c r="CY29" i="1"/>
  <c r="CZ29" i="1" s="1"/>
  <c r="DA29" i="1" s="1"/>
  <c r="CY30" i="1"/>
  <c r="CZ30" i="1" s="1"/>
  <c r="DA30" i="1" s="1"/>
  <c r="CY31" i="1"/>
  <c r="CZ31" i="1" s="1"/>
  <c r="DA31" i="1" s="1"/>
  <c r="CY32" i="1"/>
  <c r="CZ32" i="1" s="1"/>
  <c r="DA32" i="1" s="1"/>
  <c r="DG32" i="1" s="1"/>
  <c r="CY33" i="1"/>
  <c r="CZ33" i="1" s="1"/>
  <c r="DA33" i="1" s="1"/>
  <c r="DG33" i="1" s="1"/>
  <c r="CY34" i="1"/>
  <c r="CY35" i="1"/>
  <c r="CY36" i="1"/>
  <c r="CZ36" i="1" s="1"/>
  <c r="DA36" i="1" s="1"/>
  <c r="CY37" i="1"/>
  <c r="CZ37" i="1" s="1"/>
  <c r="DA37" i="1" s="1"/>
  <c r="CY38" i="1"/>
  <c r="CZ38" i="1" s="1"/>
  <c r="DA38" i="1" s="1"/>
  <c r="CY39" i="1"/>
  <c r="CZ39" i="1" s="1"/>
  <c r="DA39" i="1" s="1"/>
  <c r="CY40" i="1"/>
  <c r="CZ40" i="1" s="1"/>
  <c r="DA40" i="1" s="1"/>
  <c r="DG40" i="1" s="1"/>
  <c r="CY41" i="1"/>
  <c r="CZ41" i="1" s="1"/>
  <c r="DA41" i="1" s="1"/>
  <c r="DG41" i="1" s="1"/>
  <c r="CY42" i="1"/>
  <c r="CY43" i="1"/>
  <c r="CY44" i="1"/>
  <c r="CZ44" i="1" s="1"/>
  <c r="DA44" i="1" s="1"/>
  <c r="CY45" i="1"/>
  <c r="CZ45" i="1" s="1"/>
  <c r="DA45" i="1" s="1"/>
  <c r="CY46" i="1"/>
  <c r="CZ46" i="1" s="1"/>
  <c r="DA46" i="1" s="1"/>
  <c r="CY47" i="1"/>
  <c r="CZ47" i="1" s="1"/>
  <c r="DA47" i="1" s="1"/>
  <c r="CY48" i="1"/>
  <c r="CZ48" i="1" s="1"/>
  <c r="DA48" i="1" s="1"/>
  <c r="DG48" i="1" s="1"/>
  <c r="CY49" i="1"/>
  <c r="CZ49" i="1" s="1"/>
  <c r="DA49" i="1" s="1"/>
  <c r="DG49" i="1" s="1"/>
  <c r="CY50" i="1"/>
  <c r="CY51" i="1"/>
  <c r="CZ51" i="1" s="1"/>
  <c r="DA51" i="1" s="1"/>
  <c r="DG51" i="1" s="1"/>
  <c r="CY52" i="1"/>
  <c r="CZ52" i="1" s="1"/>
  <c r="DA52" i="1" s="1"/>
  <c r="CY53" i="1"/>
  <c r="CZ53" i="1" s="1"/>
  <c r="DA53" i="1" s="1"/>
  <c r="CY54" i="1"/>
  <c r="CZ54" i="1" s="1"/>
  <c r="DA54" i="1" s="1"/>
  <c r="CY55" i="1"/>
  <c r="CZ55" i="1" s="1"/>
  <c r="DA55" i="1" s="1"/>
  <c r="CY56" i="1"/>
  <c r="CZ56" i="1" s="1"/>
  <c r="CY57" i="1"/>
  <c r="CZ57" i="1" s="1"/>
  <c r="DA57" i="1" s="1"/>
  <c r="DG57" i="1" s="1"/>
  <c r="CY58" i="1"/>
  <c r="CY59" i="1"/>
  <c r="CY60" i="1"/>
  <c r="CZ60" i="1" s="1"/>
  <c r="DA60" i="1" s="1"/>
  <c r="CY61" i="1"/>
  <c r="CZ61" i="1" s="1"/>
  <c r="DA61" i="1" s="1"/>
  <c r="CY62" i="1"/>
  <c r="CZ62" i="1" s="1"/>
  <c r="DA62" i="1" s="1"/>
  <c r="CY63" i="1"/>
  <c r="CZ63" i="1" s="1"/>
  <c r="DA63" i="1" s="1"/>
  <c r="CY64" i="1"/>
  <c r="CZ64" i="1" s="1"/>
  <c r="DA64" i="1" s="1"/>
  <c r="DG64" i="1" s="1"/>
  <c r="CY65" i="1"/>
  <c r="CZ65" i="1" s="1"/>
  <c r="DA65" i="1" s="1"/>
  <c r="DG65" i="1" s="1"/>
  <c r="CY66" i="1"/>
  <c r="CY67" i="1"/>
  <c r="CY68" i="1"/>
  <c r="CZ68" i="1" s="1"/>
  <c r="DA68" i="1" s="1"/>
  <c r="CY69" i="1"/>
  <c r="CZ69" i="1" s="1"/>
  <c r="DA69" i="1" s="1"/>
  <c r="CY70" i="1"/>
  <c r="CZ70" i="1" s="1"/>
  <c r="DA70" i="1" s="1"/>
  <c r="CY71" i="1"/>
  <c r="CZ71" i="1" s="1"/>
  <c r="DA71" i="1" s="1"/>
  <c r="CY72" i="1"/>
  <c r="CZ72" i="1" s="1"/>
  <c r="DA72" i="1" s="1"/>
  <c r="DG72" i="1" s="1"/>
  <c r="CY73" i="1"/>
  <c r="CZ73" i="1" s="1"/>
  <c r="DA73" i="1" s="1"/>
  <c r="DG73" i="1" s="1"/>
  <c r="CY74" i="1"/>
  <c r="CY75" i="1"/>
  <c r="CY76" i="1"/>
  <c r="CZ76" i="1" s="1"/>
  <c r="DA76" i="1" s="1"/>
  <c r="CY77" i="1"/>
  <c r="CZ77" i="1" s="1"/>
  <c r="DA77" i="1" s="1"/>
  <c r="CY78" i="1"/>
  <c r="CZ78" i="1" s="1"/>
  <c r="DA78" i="1" s="1"/>
  <c r="CY79" i="1"/>
  <c r="CZ79" i="1" s="1"/>
  <c r="DA79" i="1" s="1"/>
  <c r="CY80" i="1"/>
  <c r="CZ80" i="1" s="1"/>
  <c r="DA80" i="1" s="1"/>
  <c r="DG80" i="1" s="1"/>
  <c r="CY81" i="1"/>
  <c r="CZ81" i="1" s="1"/>
  <c r="DA81" i="1" s="1"/>
  <c r="DG81" i="1" s="1"/>
  <c r="CY82" i="1"/>
  <c r="CY83" i="1"/>
  <c r="CZ83" i="1" s="1"/>
  <c r="DA83" i="1" s="1"/>
  <c r="DG83" i="1" s="1"/>
  <c r="CY84" i="1"/>
  <c r="CZ84" i="1" s="1"/>
  <c r="DA84" i="1" s="1"/>
  <c r="CY85" i="1"/>
  <c r="CZ85" i="1" s="1"/>
  <c r="DA85" i="1" s="1"/>
  <c r="CY86" i="1"/>
  <c r="CZ86" i="1" s="1"/>
  <c r="DA86" i="1" s="1"/>
  <c r="CY87" i="1"/>
  <c r="CZ87" i="1" s="1"/>
  <c r="DA87" i="1" s="1"/>
  <c r="CY88" i="1"/>
  <c r="CZ88" i="1" s="1"/>
  <c r="CY89" i="1"/>
  <c r="CZ89" i="1" s="1"/>
  <c r="DA89" i="1" s="1"/>
  <c r="DG89" i="1" s="1"/>
  <c r="CY90" i="1"/>
  <c r="CY91" i="1"/>
  <c r="CY92" i="1"/>
  <c r="CZ92" i="1" s="1"/>
  <c r="DA92" i="1" s="1"/>
  <c r="CY93" i="1"/>
  <c r="CZ93" i="1" s="1"/>
  <c r="DA93" i="1" s="1"/>
  <c r="CY94" i="1"/>
  <c r="CZ94" i="1" s="1"/>
  <c r="DA94" i="1" s="1"/>
  <c r="CY95" i="1"/>
  <c r="CZ95" i="1" s="1"/>
  <c r="DA95" i="1" s="1"/>
  <c r="CY96" i="1"/>
  <c r="CZ96" i="1" s="1"/>
  <c r="DA96" i="1" s="1"/>
  <c r="DG96" i="1" s="1"/>
  <c r="CY97" i="1"/>
  <c r="CZ97" i="1" s="1"/>
  <c r="DA97" i="1" s="1"/>
  <c r="DG97" i="1" s="1"/>
  <c r="CY98" i="1"/>
  <c r="CY99" i="1"/>
  <c r="CY100" i="1"/>
  <c r="CZ100" i="1" s="1"/>
  <c r="DA100" i="1" s="1"/>
  <c r="CY101" i="1"/>
  <c r="CZ101" i="1" s="1"/>
  <c r="DA101" i="1" s="1"/>
  <c r="CY102" i="1"/>
  <c r="CZ102" i="1" s="1"/>
  <c r="DA102" i="1" s="1"/>
  <c r="CY103" i="1"/>
  <c r="CZ103" i="1" s="1"/>
  <c r="DA103" i="1" s="1"/>
  <c r="CY104" i="1"/>
  <c r="CZ104" i="1" s="1"/>
  <c r="DA104" i="1" s="1"/>
  <c r="DG104" i="1" s="1"/>
  <c r="CY105" i="1"/>
  <c r="CZ105" i="1" s="1"/>
  <c r="DA105" i="1" s="1"/>
  <c r="DG105" i="1" s="1"/>
  <c r="CY106" i="1"/>
  <c r="CY107" i="1"/>
  <c r="CY108" i="1"/>
  <c r="CZ108" i="1" s="1"/>
  <c r="DA108" i="1" s="1"/>
  <c r="CY109" i="1"/>
  <c r="CZ109" i="1" s="1"/>
  <c r="DA109" i="1" s="1"/>
  <c r="CY110" i="1"/>
  <c r="CZ110" i="1" s="1"/>
  <c r="DA110" i="1" s="1"/>
  <c r="CY111" i="1"/>
  <c r="CZ111" i="1" s="1"/>
  <c r="DA111" i="1" s="1"/>
  <c r="CY112" i="1"/>
  <c r="CZ112" i="1" s="1"/>
  <c r="DA112" i="1" s="1"/>
  <c r="DG112" i="1" s="1"/>
  <c r="CY113" i="1"/>
  <c r="CZ113" i="1" s="1"/>
  <c r="DA113" i="1" s="1"/>
  <c r="DG113" i="1" s="1"/>
  <c r="CY114" i="1"/>
  <c r="CY115" i="1"/>
  <c r="CZ115" i="1" s="1"/>
  <c r="DA115" i="1" s="1"/>
  <c r="DG115" i="1" s="1"/>
  <c r="CY116" i="1"/>
  <c r="CZ116" i="1" s="1"/>
  <c r="DA116" i="1" s="1"/>
  <c r="CY117" i="1"/>
  <c r="CZ117" i="1" s="1"/>
  <c r="DA117" i="1" s="1"/>
  <c r="CY118" i="1"/>
  <c r="CZ118" i="1" s="1"/>
  <c r="DA118" i="1" s="1"/>
  <c r="CY119" i="1"/>
  <c r="CZ119" i="1" s="1"/>
  <c r="DA119" i="1" s="1"/>
  <c r="CY120" i="1"/>
  <c r="CZ120" i="1" s="1"/>
  <c r="CY121" i="1"/>
  <c r="CZ121" i="1" s="1"/>
  <c r="DA121" i="1" s="1"/>
  <c r="DG121" i="1" s="1"/>
  <c r="CY122" i="1"/>
  <c r="CY123" i="1"/>
  <c r="CY124" i="1"/>
  <c r="CZ124" i="1" s="1"/>
  <c r="DA124" i="1" s="1"/>
  <c r="CY125" i="1"/>
  <c r="CZ125" i="1" s="1"/>
  <c r="DA125" i="1" s="1"/>
  <c r="CY126" i="1"/>
  <c r="CZ126" i="1" s="1"/>
  <c r="DA126" i="1" s="1"/>
  <c r="CY127" i="1"/>
  <c r="CZ127" i="1" s="1"/>
  <c r="DA127" i="1" s="1"/>
  <c r="CY128" i="1"/>
  <c r="CZ128" i="1" s="1"/>
  <c r="DA128" i="1" s="1"/>
  <c r="DG128" i="1" s="1"/>
  <c r="CY129" i="1"/>
  <c r="CZ129" i="1" s="1"/>
  <c r="DA129" i="1" s="1"/>
  <c r="DG129" i="1" s="1"/>
  <c r="CY130" i="1"/>
  <c r="CY131" i="1"/>
  <c r="CY132" i="1"/>
  <c r="CZ132" i="1" s="1"/>
  <c r="DA132" i="1" s="1"/>
  <c r="CY133" i="1"/>
  <c r="CZ133" i="1" s="1"/>
  <c r="DA133" i="1" s="1"/>
  <c r="CY134" i="1"/>
  <c r="CZ134" i="1" s="1"/>
  <c r="DA134" i="1" s="1"/>
  <c r="CY135" i="1"/>
  <c r="CZ135" i="1" s="1"/>
  <c r="DA135" i="1" s="1"/>
  <c r="CY136" i="1"/>
  <c r="CZ136" i="1" s="1"/>
  <c r="DA136" i="1" s="1"/>
  <c r="DG136" i="1" s="1"/>
  <c r="CY137" i="1"/>
  <c r="CZ137" i="1" s="1"/>
  <c r="DA137" i="1" s="1"/>
  <c r="DG137" i="1" s="1"/>
  <c r="CY138" i="1"/>
  <c r="CY139" i="1"/>
  <c r="CY140" i="1"/>
  <c r="CZ140" i="1" s="1"/>
  <c r="DA140" i="1" s="1"/>
  <c r="CY141" i="1"/>
  <c r="CZ141" i="1" s="1"/>
  <c r="DA141" i="1" s="1"/>
  <c r="CY142" i="1"/>
  <c r="CZ142" i="1" s="1"/>
  <c r="DA142" i="1" s="1"/>
  <c r="CY143" i="1"/>
  <c r="CZ143" i="1" s="1"/>
  <c r="DA143" i="1" s="1"/>
  <c r="CY144" i="1"/>
  <c r="CZ144" i="1" s="1"/>
  <c r="DA144" i="1" s="1"/>
  <c r="DG144" i="1" s="1"/>
  <c r="CY145" i="1"/>
  <c r="CZ145" i="1" s="1"/>
  <c r="DA145" i="1" s="1"/>
  <c r="DG145" i="1" s="1"/>
  <c r="CY146" i="1"/>
  <c r="CY147" i="1"/>
  <c r="CZ147" i="1" s="1"/>
  <c r="DA147" i="1" s="1"/>
  <c r="DG147" i="1" s="1"/>
  <c r="CY148" i="1"/>
  <c r="CZ148" i="1" s="1"/>
  <c r="DA148" i="1" s="1"/>
  <c r="CY149" i="1"/>
  <c r="CZ149" i="1" s="1"/>
  <c r="DA149" i="1" s="1"/>
  <c r="CY150" i="1"/>
  <c r="CZ150" i="1" s="1"/>
  <c r="DA150" i="1" s="1"/>
  <c r="CY151" i="1"/>
  <c r="CZ151" i="1" s="1"/>
  <c r="DA151" i="1" s="1"/>
  <c r="CY152" i="1"/>
  <c r="CZ152" i="1" s="1"/>
  <c r="CY153" i="1"/>
  <c r="CZ153" i="1" s="1"/>
  <c r="DA153" i="1" s="1"/>
  <c r="DG153" i="1" s="1"/>
  <c r="CY154" i="1"/>
  <c r="CY155" i="1"/>
  <c r="CY156" i="1"/>
  <c r="CZ156" i="1" s="1"/>
  <c r="DA156" i="1" s="1"/>
  <c r="CY157" i="1"/>
  <c r="CZ157" i="1" s="1"/>
  <c r="DA157" i="1" s="1"/>
  <c r="CY158" i="1"/>
  <c r="CZ158" i="1" s="1"/>
  <c r="DA158" i="1" s="1"/>
  <c r="CY159" i="1"/>
  <c r="CZ159" i="1" s="1"/>
  <c r="DA159" i="1" s="1"/>
  <c r="CY160" i="1"/>
  <c r="CZ160" i="1" s="1"/>
  <c r="DA160" i="1" s="1"/>
  <c r="DG160" i="1" s="1"/>
  <c r="CY161" i="1"/>
  <c r="CZ161" i="1" s="1"/>
  <c r="DA161" i="1" s="1"/>
  <c r="DG161" i="1" s="1"/>
  <c r="CY162" i="1"/>
  <c r="CY163" i="1"/>
  <c r="CY164" i="1"/>
  <c r="CZ164" i="1" s="1"/>
  <c r="DA164" i="1" s="1"/>
  <c r="CY165" i="1"/>
  <c r="CZ165" i="1" s="1"/>
  <c r="DA165" i="1" s="1"/>
  <c r="CY166" i="1"/>
  <c r="CZ166" i="1" s="1"/>
  <c r="DA166" i="1" s="1"/>
  <c r="CY167" i="1"/>
  <c r="CZ167" i="1" s="1"/>
  <c r="DA167" i="1" s="1"/>
  <c r="CY168" i="1"/>
  <c r="CZ168" i="1" s="1"/>
  <c r="DA168" i="1" s="1"/>
  <c r="DG168" i="1" s="1"/>
  <c r="CY169" i="1"/>
  <c r="CZ169" i="1" s="1"/>
  <c r="DA169" i="1" s="1"/>
  <c r="DG169" i="1" s="1"/>
  <c r="CY170" i="1"/>
  <c r="CY171" i="1"/>
  <c r="CY172" i="1"/>
  <c r="CZ172" i="1" s="1"/>
  <c r="DA172" i="1" s="1"/>
  <c r="CY173" i="1"/>
  <c r="CZ173" i="1" s="1"/>
  <c r="DA173" i="1" s="1"/>
  <c r="CY174" i="1"/>
  <c r="CZ174" i="1" s="1"/>
  <c r="DA174" i="1" s="1"/>
  <c r="CY175" i="1"/>
  <c r="CZ175" i="1" s="1"/>
  <c r="DA175" i="1" s="1"/>
  <c r="CY176" i="1"/>
  <c r="CZ176" i="1" s="1"/>
  <c r="DA176" i="1" s="1"/>
  <c r="DG176" i="1" s="1"/>
  <c r="CY177" i="1"/>
  <c r="CZ177" i="1" s="1"/>
  <c r="DA177" i="1" s="1"/>
  <c r="DG177" i="1" s="1"/>
  <c r="CY178" i="1"/>
  <c r="CY179" i="1"/>
  <c r="CZ179" i="1" s="1"/>
  <c r="DA179" i="1" s="1"/>
  <c r="DG179" i="1" s="1"/>
  <c r="CY180" i="1"/>
  <c r="CZ180" i="1" s="1"/>
  <c r="DA180" i="1" s="1"/>
  <c r="CY181" i="1"/>
  <c r="CZ181" i="1" s="1"/>
  <c r="DA181" i="1" s="1"/>
  <c r="CY182" i="1"/>
  <c r="CZ182" i="1" s="1"/>
  <c r="DA182" i="1" s="1"/>
  <c r="CY183" i="1"/>
  <c r="CZ183" i="1" s="1"/>
  <c r="DA183" i="1" s="1"/>
  <c r="CY184" i="1"/>
  <c r="CZ184" i="1" s="1"/>
  <c r="CY185" i="1"/>
  <c r="CZ185" i="1" s="1"/>
  <c r="DA185" i="1" s="1"/>
  <c r="DG185" i="1" s="1"/>
  <c r="CY186" i="1"/>
  <c r="CY187" i="1"/>
  <c r="CY188" i="1"/>
  <c r="CZ188" i="1" s="1"/>
  <c r="DA188" i="1" s="1"/>
  <c r="CY189" i="1"/>
  <c r="CZ189" i="1" s="1"/>
  <c r="DA189" i="1" s="1"/>
  <c r="CY190" i="1"/>
  <c r="CZ190" i="1" s="1"/>
  <c r="DA190" i="1" s="1"/>
  <c r="CY191" i="1"/>
  <c r="CZ191" i="1" s="1"/>
  <c r="DA191" i="1" s="1"/>
  <c r="CY192" i="1"/>
  <c r="CZ192" i="1" s="1"/>
  <c r="DA192" i="1" s="1"/>
  <c r="DG192" i="1" s="1"/>
  <c r="CY193" i="1"/>
  <c r="CZ193" i="1" s="1"/>
  <c r="DA193" i="1" s="1"/>
  <c r="DG193" i="1" s="1"/>
  <c r="CY194" i="1"/>
  <c r="CY195" i="1"/>
  <c r="CY196" i="1"/>
  <c r="CZ196" i="1" s="1"/>
  <c r="DA196" i="1" s="1"/>
  <c r="CY197" i="1"/>
  <c r="CZ197" i="1" s="1"/>
  <c r="DA197" i="1" s="1"/>
  <c r="CY198" i="1"/>
  <c r="CZ198" i="1" s="1"/>
  <c r="DA198" i="1" s="1"/>
  <c r="CY199" i="1"/>
  <c r="CZ199" i="1" s="1"/>
  <c r="DA199" i="1" s="1"/>
  <c r="CY200" i="1"/>
  <c r="CZ200" i="1" s="1"/>
  <c r="DA200" i="1" s="1"/>
  <c r="DG200" i="1" s="1"/>
  <c r="CY201" i="1"/>
  <c r="CZ201" i="1" s="1"/>
  <c r="DA201" i="1" s="1"/>
  <c r="DG201" i="1" s="1"/>
  <c r="CY202" i="1"/>
  <c r="CY203" i="1"/>
  <c r="CY204" i="1"/>
  <c r="CZ204" i="1" s="1"/>
  <c r="DA204" i="1" s="1"/>
  <c r="CY205" i="1"/>
  <c r="CZ205" i="1" s="1"/>
  <c r="DA205" i="1" s="1"/>
  <c r="CY206" i="1"/>
  <c r="CZ206" i="1" s="1"/>
  <c r="DA206" i="1" s="1"/>
  <c r="CY207" i="1"/>
  <c r="CZ207" i="1" s="1"/>
  <c r="DA207" i="1" s="1"/>
  <c r="CY10" i="1"/>
  <c r="CZ10" i="1" s="1"/>
  <c r="DA10" i="1" s="1"/>
  <c r="DG10" i="1" s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176" i="1"/>
  <c r="CT177" i="1"/>
  <c r="CT178" i="1"/>
  <c r="CT179" i="1"/>
  <c r="CT180" i="1"/>
  <c r="CT181" i="1"/>
  <c r="CT182" i="1"/>
  <c r="CT183" i="1"/>
  <c r="CT184" i="1"/>
  <c r="CT185" i="1"/>
  <c r="CT186" i="1"/>
  <c r="CT187" i="1"/>
  <c r="CT188" i="1"/>
  <c r="CT189" i="1"/>
  <c r="CT190" i="1"/>
  <c r="CT191" i="1"/>
  <c r="CT192" i="1"/>
  <c r="CT193" i="1"/>
  <c r="CT194" i="1"/>
  <c r="CT195" i="1"/>
  <c r="CT196" i="1"/>
  <c r="CT197" i="1"/>
  <c r="CT198" i="1"/>
  <c r="CT199" i="1"/>
  <c r="CT200" i="1"/>
  <c r="CT201" i="1"/>
  <c r="CT202" i="1"/>
  <c r="CT203" i="1"/>
  <c r="CT204" i="1"/>
  <c r="CT205" i="1"/>
  <c r="CT206" i="1"/>
  <c r="CT207" i="1"/>
  <c r="CT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176" i="1"/>
  <c r="CW177" i="1"/>
  <c r="CW178" i="1"/>
  <c r="CW179" i="1"/>
  <c r="CW180" i="1"/>
  <c r="CW181" i="1"/>
  <c r="CW182" i="1"/>
  <c r="CW183" i="1"/>
  <c r="CW184" i="1"/>
  <c r="CW185" i="1"/>
  <c r="CW186" i="1"/>
  <c r="CW187" i="1"/>
  <c r="CW188" i="1"/>
  <c r="CW189" i="1"/>
  <c r="CW190" i="1"/>
  <c r="CW191" i="1"/>
  <c r="CW192" i="1"/>
  <c r="CW193" i="1"/>
  <c r="CW194" i="1"/>
  <c r="CW195" i="1"/>
  <c r="CW196" i="1"/>
  <c r="CW197" i="1"/>
  <c r="CW198" i="1"/>
  <c r="CW199" i="1"/>
  <c r="CW200" i="1"/>
  <c r="CW201" i="1"/>
  <c r="CW202" i="1"/>
  <c r="CW203" i="1"/>
  <c r="CW204" i="1"/>
  <c r="CW205" i="1"/>
  <c r="CW206" i="1"/>
  <c r="CW207" i="1"/>
  <c r="CW10" i="1"/>
  <c r="CU16" i="1"/>
  <c r="CV16" i="1" s="1"/>
  <c r="CU24" i="1"/>
  <c r="CV24" i="1" s="1"/>
  <c r="DC24" i="1" s="1"/>
  <c r="DF24" i="1" s="1"/>
  <c r="CU32" i="1"/>
  <c r="CV32" i="1" s="1"/>
  <c r="CU40" i="1"/>
  <c r="CV40" i="1" s="1"/>
  <c r="CU48" i="1"/>
  <c r="CV48" i="1" s="1"/>
  <c r="CU56" i="1"/>
  <c r="CV56" i="1" s="1"/>
  <c r="CU64" i="1"/>
  <c r="CV64" i="1" s="1"/>
  <c r="CU72" i="1"/>
  <c r="CV72" i="1" s="1"/>
  <c r="CU80" i="1"/>
  <c r="CV80" i="1" s="1"/>
  <c r="CU88" i="1"/>
  <c r="CV88" i="1" s="1"/>
  <c r="CU96" i="1"/>
  <c r="CV96" i="1" s="1"/>
  <c r="CU104" i="1"/>
  <c r="CV104" i="1" s="1"/>
  <c r="CU112" i="1"/>
  <c r="CV112" i="1" s="1"/>
  <c r="CU120" i="1"/>
  <c r="CV120" i="1" s="1"/>
  <c r="CU128" i="1"/>
  <c r="CV128" i="1" s="1"/>
  <c r="CU136" i="1"/>
  <c r="CV136" i="1" s="1"/>
  <c r="CU144" i="1"/>
  <c r="CV144" i="1" s="1"/>
  <c r="CU152" i="1"/>
  <c r="CV152" i="1" s="1"/>
  <c r="CU160" i="1"/>
  <c r="CV160" i="1" s="1"/>
  <c r="CU168" i="1"/>
  <c r="CV168" i="1" s="1"/>
  <c r="CU176" i="1"/>
  <c r="CV176" i="1" s="1"/>
  <c r="CU184" i="1"/>
  <c r="CV184" i="1" s="1"/>
  <c r="CU192" i="1"/>
  <c r="CV192" i="1" s="1"/>
  <c r="CU200" i="1"/>
  <c r="CV200" i="1" s="1"/>
  <c r="CU10" i="1"/>
  <c r="CV10" i="1" s="1"/>
  <c r="CR11" i="1"/>
  <c r="CR12" i="1"/>
  <c r="CR13" i="1"/>
  <c r="CR14" i="1"/>
  <c r="CU14" i="1" s="1"/>
  <c r="CV14" i="1" s="1"/>
  <c r="CR15" i="1"/>
  <c r="CU15" i="1" s="1"/>
  <c r="CV15" i="1" s="1"/>
  <c r="CR16" i="1"/>
  <c r="CR17" i="1"/>
  <c r="CR18" i="1"/>
  <c r="CR19" i="1"/>
  <c r="CR20" i="1"/>
  <c r="CR21" i="1"/>
  <c r="CR22" i="1"/>
  <c r="CU22" i="1" s="1"/>
  <c r="CV22" i="1" s="1"/>
  <c r="CR23" i="1"/>
  <c r="CU23" i="1" s="1"/>
  <c r="CV23" i="1" s="1"/>
  <c r="CR24" i="1"/>
  <c r="CR25" i="1"/>
  <c r="CR26" i="1"/>
  <c r="CR27" i="1"/>
  <c r="CR28" i="1"/>
  <c r="CR29" i="1"/>
  <c r="CR30" i="1"/>
  <c r="CU30" i="1" s="1"/>
  <c r="CV30" i="1" s="1"/>
  <c r="CR31" i="1"/>
  <c r="CU31" i="1" s="1"/>
  <c r="CV31" i="1" s="1"/>
  <c r="CR32" i="1"/>
  <c r="CR33" i="1"/>
  <c r="CR34" i="1"/>
  <c r="CR35" i="1"/>
  <c r="CR36" i="1"/>
  <c r="CR37" i="1"/>
  <c r="CR38" i="1"/>
  <c r="CU38" i="1" s="1"/>
  <c r="CV38" i="1" s="1"/>
  <c r="CR39" i="1"/>
  <c r="CU39" i="1" s="1"/>
  <c r="CV39" i="1" s="1"/>
  <c r="CR40" i="1"/>
  <c r="CR41" i="1"/>
  <c r="CR42" i="1"/>
  <c r="CR43" i="1"/>
  <c r="CR44" i="1"/>
  <c r="CR45" i="1"/>
  <c r="CR46" i="1"/>
  <c r="CU46" i="1" s="1"/>
  <c r="CV46" i="1" s="1"/>
  <c r="CR47" i="1"/>
  <c r="CU47" i="1" s="1"/>
  <c r="CV47" i="1" s="1"/>
  <c r="CR48" i="1"/>
  <c r="CR49" i="1"/>
  <c r="CR50" i="1"/>
  <c r="CR51" i="1"/>
  <c r="CR52" i="1"/>
  <c r="CR53" i="1"/>
  <c r="CR54" i="1"/>
  <c r="CU54" i="1" s="1"/>
  <c r="CV54" i="1" s="1"/>
  <c r="CR55" i="1"/>
  <c r="CU55" i="1" s="1"/>
  <c r="CV55" i="1" s="1"/>
  <c r="CR56" i="1"/>
  <c r="CR57" i="1"/>
  <c r="CR58" i="1"/>
  <c r="CR59" i="1"/>
  <c r="CR60" i="1"/>
  <c r="CR61" i="1"/>
  <c r="CR62" i="1"/>
  <c r="CU62" i="1" s="1"/>
  <c r="CV62" i="1" s="1"/>
  <c r="CR63" i="1"/>
  <c r="CU63" i="1" s="1"/>
  <c r="CV63" i="1" s="1"/>
  <c r="CR64" i="1"/>
  <c r="CR65" i="1"/>
  <c r="CR66" i="1"/>
  <c r="CR67" i="1"/>
  <c r="CR68" i="1"/>
  <c r="CR69" i="1"/>
  <c r="CR70" i="1"/>
  <c r="CU70" i="1" s="1"/>
  <c r="CV70" i="1" s="1"/>
  <c r="CR71" i="1"/>
  <c r="CU71" i="1" s="1"/>
  <c r="CV71" i="1" s="1"/>
  <c r="CR72" i="1"/>
  <c r="CR73" i="1"/>
  <c r="CR74" i="1"/>
  <c r="CR75" i="1"/>
  <c r="CR76" i="1"/>
  <c r="CR77" i="1"/>
  <c r="CR78" i="1"/>
  <c r="CU78" i="1" s="1"/>
  <c r="CV78" i="1" s="1"/>
  <c r="CR79" i="1"/>
  <c r="CU79" i="1" s="1"/>
  <c r="CV79" i="1" s="1"/>
  <c r="CR80" i="1"/>
  <c r="CR81" i="1"/>
  <c r="CR82" i="1"/>
  <c r="CR83" i="1"/>
  <c r="CR84" i="1"/>
  <c r="CR85" i="1"/>
  <c r="CR86" i="1"/>
  <c r="CU86" i="1" s="1"/>
  <c r="CV86" i="1" s="1"/>
  <c r="CR87" i="1"/>
  <c r="CU87" i="1" s="1"/>
  <c r="CV87" i="1" s="1"/>
  <c r="CR88" i="1"/>
  <c r="CR89" i="1"/>
  <c r="CR90" i="1"/>
  <c r="CR91" i="1"/>
  <c r="CR92" i="1"/>
  <c r="CR93" i="1"/>
  <c r="CR94" i="1"/>
  <c r="CU94" i="1" s="1"/>
  <c r="CV94" i="1" s="1"/>
  <c r="CR95" i="1"/>
  <c r="CU95" i="1" s="1"/>
  <c r="CV95" i="1" s="1"/>
  <c r="CR96" i="1"/>
  <c r="CR97" i="1"/>
  <c r="CR98" i="1"/>
  <c r="CR99" i="1"/>
  <c r="CR100" i="1"/>
  <c r="CR101" i="1"/>
  <c r="CR102" i="1"/>
  <c r="CU102" i="1" s="1"/>
  <c r="CV102" i="1" s="1"/>
  <c r="CR103" i="1"/>
  <c r="CU103" i="1" s="1"/>
  <c r="CV103" i="1" s="1"/>
  <c r="CR104" i="1"/>
  <c r="CR105" i="1"/>
  <c r="CR106" i="1"/>
  <c r="CR107" i="1"/>
  <c r="CR108" i="1"/>
  <c r="CR109" i="1"/>
  <c r="CR110" i="1"/>
  <c r="CU110" i="1" s="1"/>
  <c r="CV110" i="1" s="1"/>
  <c r="CR111" i="1"/>
  <c r="CU111" i="1" s="1"/>
  <c r="CV111" i="1" s="1"/>
  <c r="CR112" i="1"/>
  <c r="CR113" i="1"/>
  <c r="CR114" i="1"/>
  <c r="CR115" i="1"/>
  <c r="CR116" i="1"/>
  <c r="CR117" i="1"/>
  <c r="CR118" i="1"/>
  <c r="CU118" i="1" s="1"/>
  <c r="CV118" i="1" s="1"/>
  <c r="CR119" i="1"/>
  <c r="CU119" i="1" s="1"/>
  <c r="CV119" i="1" s="1"/>
  <c r="CR120" i="1"/>
  <c r="CR121" i="1"/>
  <c r="CR122" i="1"/>
  <c r="CR123" i="1"/>
  <c r="CR124" i="1"/>
  <c r="CR125" i="1"/>
  <c r="CR126" i="1"/>
  <c r="CU126" i="1" s="1"/>
  <c r="CV126" i="1" s="1"/>
  <c r="CR127" i="1"/>
  <c r="CU127" i="1" s="1"/>
  <c r="CV127" i="1" s="1"/>
  <c r="CR128" i="1"/>
  <c r="CR129" i="1"/>
  <c r="CR130" i="1"/>
  <c r="CR131" i="1"/>
  <c r="CR132" i="1"/>
  <c r="CR133" i="1"/>
  <c r="CR134" i="1"/>
  <c r="CU134" i="1" s="1"/>
  <c r="CV134" i="1" s="1"/>
  <c r="CR135" i="1"/>
  <c r="CU135" i="1" s="1"/>
  <c r="CV135" i="1" s="1"/>
  <c r="CR136" i="1"/>
  <c r="CR137" i="1"/>
  <c r="CR138" i="1"/>
  <c r="CR139" i="1"/>
  <c r="CR140" i="1"/>
  <c r="CR141" i="1"/>
  <c r="CR142" i="1"/>
  <c r="CU142" i="1" s="1"/>
  <c r="CV142" i="1" s="1"/>
  <c r="CR143" i="1"/>
  <c r="CU143" i="1" s="1"/>
  <c r="CV143" i="1" s="1"/>
  <c r="CR144" i="1"/>
  <c r="CR145" i="1"/>
  <c r="CR146" i="1"/>
  <c r="CR147" i="1"/>
  <c r="CR148" i="1"/>
  <c r="CR149" i="1"/>
  <c r="CR150" i="1"/>
  <c r="CU150" i="1" s="1"/>
  <c r="CV150" i="1" s="1"/>
  <c r="CR151" i="1"/>
  <c r="CU151" i="1" s="1"/>
  <c r="CV151" i="1" s="1"/>
  <c r="CR152" i="1"/>
  <c r="CR153" i="1"/>
  <c r="CR154" i="1"/>
  <c r="CR155" i="1"/>
  <c r="CR156" i="1"/>
  <c r="CR157" i="1"/>
  <c r="CR158" i="1"/>
  <c r="CU158" i="1" s="1"/>
  <c r="CV158" i="1" s="1"/>
  <c r="CR159" i="1"/>
  <c r="CU159" i="1" s="1"/>
  <c r="CV159" i="1" s="1"/>
  <c r="CR160" i="1"/>
  <c r="CR161" i="1"/>
  <c r="CR162" i="1"/>
  <c r="CR163" i="1"/>
  <c r="CR164" i="1"/>
  <c r="CR165" i="1"/>
  <c r="CR166" i="1"/>
  <c r="CU166" i="1" s="1"/>
  <c r="CV166" i="1" s="1"/>
  <c r="CR167" i="1"/>
  <c r="CU167" i="1" s="1"/>
  <c r="CV167" i="1" s="1"/>
  <c r="CR168" i="1"/>
  <c r="CR169" i="1"/>
  <c r="CR170" i="1"/>
  <c r="CR171" i="1"/>
  <c r="CR172" i="1"/>
  <c r="CR173" i="1"/>
  <c r="CR174" i="1"/>
  <c r="CU174" i="1" s="1"/>
  <c r="CV174" i="1" s="1"/>
  <c r="CR175" i="1"/>
  <c r="CU175" i="1" s="1"/>
  <c r="CV175" i="1" s="1"/>
  <c r="CR176" i="1"/>
  <c r="CR177" i="1"/>
  <c r="CR178" i="1"/>
  <c r="CR179" i="1"/>
  <c r="CR180" i="1"/>
  <c r="CR181" i="1"/>
  <c r="CR182" i="1"/>
  <c r="CU182" i="1" s="1"/>
  <c r="CV182" i="1" s="1"/>
  <c r="CR183" i="1"/>
  <c r="CU183" i="1" s="1"/>
  <c r="CV183" i="1" s="1"/>
  <c r="CR184" i="1"/>
  <c r="CR185" i="1"/>
  <c r="CR186" i="1"/>
  <c r="CR187" i="1"/>
  <c r="CR188" i="1"/>
  <c r="CR189" i="1"/>
  <c r="CR190" i="1"/>
  <c r="CU190" i="1" s="1"/>
  <c r="CV190" i="1" s="1"/>
  <c r="CR191" i="1"/>
  <c r="CU191" i="1" s="1"/>
  <c r="CV191" i="1" s="1"/>
  <c r="CR192" i="1"/>
  <c r="CR193" i="1"/>
  <c r="CR194" i="1"/>
  <c r="CR195" i="1"/>
  <c r="CR196" i="1"/>
  <c r="CR197" i="1"/>
  <c r="CR198" i="1"/>
  <c r="CU198" i="1" s="1"/>
  <c r="CV198" i="1" s="1"/>
  <c r="CR199" i="1"/>
  <c r="CU199" i="1" s="1"/>
  <c r="CV199" i="1" s="1"/>
  <c r="CR200" i="1"/>
  <c r="CR201" i="1"/>
  <c r="CR202" i="1"/>
  <c r="CR203" i="1"/>
  <c r="CR204" i="1"/>
  <c r="CR205" i="1"/>
  <c r="CR206" i="1"/>
  <c r="CU206" i="1" s="1"/>
  <c r="CV206" i="1" s="1"/>
  <c r="CR207" i="1"/>
  <c r="CU207" i="1" s="1"/>
  <c r="CV207" i="1" s="1"/>
  <c r="CR10" i="1"/>
  <c r="CE11" i="1"/>
  <c r="CF11" i="1" s="1"/>
  <c r="CE12" i="1"/>
  <c r="CF12" i="1" s="1"/>
  <c r="CE13" i="1"/>
  <c r="CF13" i="1" s="1"/>
  <c r="CE14" i="1"/>
  <c r="CF14" i="1" s="1"/>
  <c r="CE15" i="1"/>
  <c r="CF15" i="1" s="1"/>
  <c r="CE16" i="1"/>
  <c r="CF16" i="1" s="1"/>
  <c r="CE17" i="1"/>
  <c r="CE18" i="1"/>
  <c r="CF18" i="1" s="1"/>
  <c r="CE19" i="1"/>
  <c r="CF19" i="1" s="1"/>
  <c r="CE20" i="1"/>
  <c r="CF20" i="1" s="1"/>
  <c r="CE21" i="1"/>
  <c r="CF21" i="1" s="1"/>
  <c r="CE22" i="1"/>
  <c r="CF22" i="1" s="1"/>
  <c r="CE23" i="1"/>
  <c r="CF23" i="1" s="1"/>
  <c r="CE24" i="1"/>
  <c r="CF24" i="1" s="1"/>
  <c r="CE25" i="1"/>
  <c r="CF25" i="1" s="1"/>
  <c r="CE26" i="1"/>
  <c r="CF26" i="1" s="1"/>
  <c r="CE27" i="1"/>
  <c r="CF27" i="1" s="1"/>
  <c r="CE28" i="1"/>
  <c r="CF28" i="1" s="1"/>
  <c r="CE29" i="1"/>
  <c r="CF29" i="1" s="1"/>
  <c r="CE30" i="1"/>
  <c r="CF30" i="1" s="1"/>
  <c r="CE31" i="1"/>
  <c r="CF31" i="1" s="1"/>
  <c r="CE32" i="1"/>
  <c r="CF32" i="1" s="1"/>
  <c r="CE33" i="1"/>
  <c r="CF33" i="1" s="1"/>
  <c r="CE34" i="1"/>
  <c r="CF34" i="1" s="1"/>
  <c r="CE35" i="1"/>
  <c r="CF35" i="1" s="1"/>
  <c r="CE36" i="1"/>
  <c r="CF36" i="1" s="1"/>
  <c r="CE37" i="1"/>
  <c r="CF37" i="1" s="1"/>
  <c r="CE38" i="1"/>
  <c r="CF38" i="1" s="1"/>
  <c r="CE39" i="1"/>
  <c r="CF39" i="1" s="1"/>
  <c r="CE40" i="1"/>
  <c r="CF40" i="1" s="1"/>
  <c r="CE41" i="1"/>
  <c r="CF41" i="1" s="1"/>
  <c r="CE42" i="1"/>
  <c r="CF42" i="1" s="1"/>
  <c r="CE43" i="1"/>
  <c r="CF43" i="1" s="1"/>
  <c r="CE44" i="1"/>
  <c r="CF44" i="1" s="1"/>
  <c r="CE45" i="1"/>
  <c r="CF45" i="1" s="1"/>
  <c r="CE46" i="1"/>
  <c r="CF46" i="1" s="1"/>
  <c r="CE47" i="1"/>
  <c r="CF47" i="1" s="1"/>
  <c r="CE48" i="1"/>
  <c r="CF48" i="1" s="1"/>
  <c r="CE49" i="1"/>
  <c r="CF49" i="1" s="1"/>
  <c r="CE50" i="1"/>
  <c r="CF50" i="1" s="1"/>
  <c r="CE51" i="1"/>
  <c r="CF51" i="1" s="1"/>
  <c r="CE52" i="1"/>
  <c r="CF52" i="1" s="1"/>
  <c r="CE53" i="1"/>
  <c r="CF53" i="1" s="1"/>
  <c r="CE54" i="1"/>
  <c r="CF54" i="1" s="1"/>
  <c r="CE55" i="1"/>
  <c r="CF55" i="1" s="1"/>
  <c r="CE56" i="1"/>
  <c r="CF56" i="1" s="1"/>
  <c r="CE57" i="1"/>
  <c r="CF57" i="1" s="1"/>
  <c r="CE58" i="1"/>
  <c r="CF58" i="1" s="1"/>
  <c r="CE59" i="1"/>
  <c r="CF59" i="1" s="1"/>
  <c r="CE60" i="1"/>
  <c r="CF60" i="1" s="1"/>
  <c r="CE61" i="1"/>
  <c r="CF61" i="1" s="1"/>
  <c r="CE62" i="1"/>
  <c r="CF62" i="1" s="1"/>
  <c r="DC62" i="1" s="1"/>
  <c r="DF62" i="1" s="1"/>
  <c r="CE63" i="1"/>
  <c r="CF63" i="1" s="1"/>
  <c r="CE64" i="1"/>
  <c r="CF64" i="1" s="1"/>
  <c r="CE65" i="1"/>
  <c r="CF65" i="1" s="1"/>
  <c r="CE66" i="1"/>
  <c r="CF66" i="1" s="1"/>
  <c r="CE67" i="1"/>
  <c r="CF67" i="1" s="1"/>
  <c r="CE68" i="1"/>
  <c r="CF68" i="1" s="1"/>
  <c r="CE69" i="1"/>
  <c r="CF69" i="1" s="1"/>
  <c r="CE70" i="1"/>
  <c r="CF70" i="1" s="1"/>
  <c r="CE71" i="1"/>
  <c r="CF71" i="1" s="1"/>
  <c r="CE72" i="1"/>
  <c r="CF72" i="1" s="1"/>
  <c r="CE73" i="1"/>
  <c r="CF73" i="1" s="1"/>
  <c r="CE74" i="1"/>
  <c r="CF74" i="1" s="1"/>
  <c r="CE75" i="1"/>
  <c r="CF75" i="1" s="1"/>
  <c r="CE76" i="1"/>
  <c r="CF76" i="1" s="1"/>
  <c r="CE77" i="1"/>
  <c r="CF77" i="1" s="1"/>
  <c r="CE78" i="1"/>
  <c r="CF78" i="1" s="1"/>
  <c r="CE79" i="1"/>
  <c r="CF79" i="1" s="1"/>
  <c r="CE80" i="1"/>
  <c r="CF80" i="1" s="1"/>
  <c r="CE81" i="1"/>
  <c r="CF81" i="1" s="1"/>
  <c r="CE82" i="1"/>
  <c r="CF82" i="1" s="1"/>
  <c r="CE83" i="1"/>
  <c r="CF83" i="1" s="1"/>
  <c r="CE84" i="1"/>
  <c r="CF84" i="1" s="1"/>
  <c r="CE85" i="1"/>
  <c r="CF85" i="1" s="1"/>
  <c r="CE86" i="1"/>
  <c r="CF86" i="1" s="1"/>
  <c r="CE87" i="1"/>
  <c r="CF87" i="1" s="1"/>
  <c r="CE88" i="1"/>
  <c r="CF88" i="1" s="1"/>
  <c r="CE89" i="1"/>
  <c r="CF89" i="1" s="1"/>
  <c r="CE90" i="1"/>
  <c r="CF90" i="1" s="1"/>
  <c r="CE91" i="1"/>
  <c r="CF91" i="1" s="1"/>
  <c r="CE92" i="1"/>
  <c r="CF92" i="1" s="1"/>
  <c r="CE93" i="1"/>
  <c r="CF93" i="1" s="1"/>
  <c r="CE94" i="1"/>
  <c r="CF94" i="1" s="1"/>
  <c r="DC94" i="1" s="1"/>
  <c r="DF94" i="1" s="1"/>
  <c r="CE95" i="1"/>
  <c r="CF95" i="1" s="1"/>
  <c r="CE96" i="1"/>
  <c r="CF96" i="1" s="1"/>
  <c r="CE97" i="1"/>
  <c r="CF97" i="1" s="1"/>
  <c r="CE98" i="1"/>
  <c r="CF98" i="1" s="1"/>
  <c r="CE99" i="1"/>
  <c r="CF99" i="1" s="1"/>
  <c r="CE100" i="1"/>
  <c r="CF100" i="1" s="1"/>
  <c r="CE101" i="1"/>
  <c r="CF101" i="1" s="1"/>
  <c r="CE102" i="1"/>
  <c r="CF102" i="1" s="1"/>
  <c r="CE103" i="1"/>
  <c r="CF103" i="1" s="1"/>
  <c r="CE104" i="1"/>
  <c r="CF104" i="1" s="1"/>
  <c r="CE105" i="1"/>
  <c r="CF105" i="1" s="1"/>
  <c r="CE106" i="1"/>
  <c r="CF106" i="1" s="1"/>
  <c r="CE107" i="1"/>
  <c r="CF107" i="1" s="1"/>
  <c r="CE108" i="1"/>
  <c r="CE109" i="1"/>
  <c r="CF109" i="1" s="1"/>
  <c r="CE110" i="1"/>
  <c r="CF110" i="1" s="1"/>
  <c r="CE111" i="1"/>
  <c r="CF111" i="1" s="1"/>
  <c r="CE112" i="1"/>
  <c r="CF112" i="1" s="1"/>
  <c r="CE113" i="1"/>
  <c r="CF113" i="1" s="1"/>
  <c r="CE114" i="1"/>
  <c r="CF114" i="1" s="1"/>
  <c r="CE115" i="1"/>
  <c r="CF115" i="1" s="1"/>
  <c r="CE116" i="1"/>
  <c r="CF116" i="1" s="1"/>
  <c r="CE117" i="1"/>
  <c r="CF117" i="1" s="1"/>
  <c r="CE118" i="1"/>
  <c r="CF118" i="1" s="1"/>
  <c r="CE119" i="1"/>
  <c r="CF119" i="1" s="1"/>
  <c r="CE120" i="1"/>
  <c r="CF120" i="1" s="1"/>
  <c r="CE121" i="1"/>
  <c r="CF121" i="1" s="1"/>
  <c r="CE122" i="1"/>
  <c r="CF122" i="1" s="1"/>
  <c r="CE123" i="1"/>
  <c r="CF123" i="1" s="1"/>
  <c r="CE124" i="1"/>
  <c r="CF124" i="1" s="1"/>
  <c r="CE125" i="1"/>
  <c r="CF125" i="1" s="1"/>
  <c r="CE126" i="1"/>
  <c r="CF126" i="1" s="1"/>
  <c r="CE127" i="1"/>
  <c r="CF127" i="1" s="1"/>
  <c r="CE128" i="1"/>
  <c r="CF128" i="1" s="1"/>
  <c r="CE129" i="1"/>
  <c r="CF129" i="1" s="1"/>
  <c r="CE130" i="1"/>
  <c r="CF130" i="1" s="1"/>
  <c r="CE131" i="1"/>
  <c r="CF131" i="1" s="1"/>
  <c r="CE132" i="1"/>
  <c r="CF132" i="1" s="1"/>
  <c r="CE133" i="1"/>
  <c r="CF133" i="1" s="1"/>
  <c r="CE134" i="1"/>
  <c r="CF134" i="1" s="1"/>
  <c r="CE135" i="1"/>
  <c r="CF135" i="1" s="1"/>
  <c r="CE136" i="1"/>
  <c r="CF136" i="1" s="1"/>
  <c r="CE137" i="1"/>
  <c r="CF137" i="1" s="1"/>
  <c r="CE138" i="1"/>
  <c r="CF138" i="1" s="1"/>
  <c r="CE139" i="1"/>
  <c r="CF139" i="1" s="1"/>
  <c r="CE140" i="1"/>
  <c r="CF140" i="1" s="1"/>
  <c r="CE141" i="1"/>
  <c r="CF141" i="1" s="1"/>
  <c r="CE142" i="1"/>
  <c r="CF142" i="1" s="1"/>
  <c r="CE143" i="1"/>
  <c r="CF143" i="1" s="1"/>
  <c r="CE144" i="1"/>
  <c r="CF144" i="1" s="1"/>
  <c r="CE145" i="1"/>
  <c r="CF145" i="1" s="1"/>
  <c r="CE146" i="1"/>
  <c r="CF146" i="1" s="1"/>
  <c r="CE147" i="1"/>
  <c r="CF147" i="1" s="1"/>
  <c r="CE148" i="1"/>
  <c r="CF148" i="1" s="1"/>
  <c r="CE149" i="1"/>
  <c r="CF149" i="1" s="1"/>
  <c r="CE150" i="1"/>
  <c r="CF150" i="1" s="1"/>
  <c r="CE151" i="1"/>
  <c r="CF151" i="1" s="1"/>
  <c r="CE152" i="1"/>
  <c r="CF152" i="1" s="1"/>
  <c r="CE153" i="1"/>
  <c r="CF153" i="1" s="1"/>
  <c r="CE154" i="1"/>
  <c r="CF154" i="1" s="1"/>
  <c r="CE155" i="1"/>
  <c r="CF155" i="1" s="1"/>
  <c r="CE156" i="1"/>
  <c r="CF156" i="1" s="1"/>
  <c r="CE157" i="1"/>
  <c r="CF157" i="1" s="1"/>
  <c r="CE158" i="1"/>
  <c r="CF158" i="1" s="1"/>
  <c r="CE159" i="1"/>
  <c r="CF159" i="1" s="1"/>
  <c r="CE160" i="1"/>
  <c r="CF160" i="1" s="1"/>
  <c r="CE161" i="1"/>
  <c r="CF161" i="1" s="1"/>
  <c r="CE162" i="1"/>
  <c r="CF162" i="1" s="1"/>
  <c r="CE163" i="1"/>
  <c r="CF163" i="1" s="1"/>
  <c r="CE164" i="1"/>
  <c r="CF164" i="1" s="1"/>
  <c r="CE165" i="1"/>
  <c r="CF165" i="1" s="1"/>
  <c r="CE166" i="1"/>
  <c r="CF166" i="1" s="1"/>
  <c r="CE167" i="1"/>
  <c r="CF167" i="1" s="1"/>
  <c r="CE168" i="1"/>
  <c r="CF168" i="1" s="1"/>
  <c r="CE169" i="1"/>
  <c r="CF169" i="1" s="1"/>
  <c r="CE170" i="1"/>
  <c r="CF170" i="1" s="1"/>
  <c r="CE171" i="1"/>
  <c r="CF171" i="1" s="1"/>
  <c r="CE172" i="1"/>
  <c r="CF172" i="1" s="1"/>
  <c r="CE173" i="1"/>
  <c r="CF173" i="1" s="1"/>
  <c r="CE174" i="1"/>
  <c r="CF174" i="1" s="1"/>
  <c r="CE175" i="1"/>
  <c r="CF175" i="1" s="1"/>
  <c r="CE176" i="1"/>
  <c r="CF176" i="1" s="1"/>
  <c r="CE177" i="1"/>
  <c r="CF177" i="1" s="1"/>
  <c r="CE178" i="1"/>
  <c r="CF178" i="1" s="1"/>
  <c r="CE179" i="1"/>
  <c r="CF179" i="1" s="1"/>
  <c r="CE180" i="1"/>
  <c r="CF180" i="1" s="1"/>
  <c r="CE181" i="1"/>
  <c r="CF181" i="1" s="1"/>
  <c r="CE182" i="1"/>
  <c r="CF182" i="1" s="1"/>
  <c r="CE183" i="1"/>
  <c r="CF183" i="1" s="1"/>
  <c r="CE184" i="1"/>
  <c r="CF184" i="1" s="1"/>
  <c r="CE185" i="1"/>
  <c r="CF185" i="1" s="1"/>
  <c r="CE186" i="1"/>
  <c r="CF186" i="1" s="1"/>
  <c r="CE187" i="1"/>
  <c r="CF187" i="1" s="1"/>
  <c r="CE188" i="1"/>
  <c r="CF188" i="1" s="1"/>
  <c r="CE189" i="1"/>
  <c r="CF189" i="1" s="1"/>
  <c r="CE190" i="1"/>
  <c r="CF190" i="1" s="1"/>
  <c r="CE191" i="1"/>
  <c r="CF191" i="1" s="1"/>
  <c r="CE192" i="1"/>
  <c r="CF192" i="1" s="1"/>
  <c r="CE193" i="1"/>
  <c r="CF193" i="1" s="1"/>
  <c r="CE194" i="1"/>
  <c r="CF194" i="1" s="1"/>
  <c r="CE195" i="1"/>
  <c r="CF195" i="1" s="1"/>
  <c r="CE196" i="1"/>
  <c r="CE197" i="1"/>
  <c r="CF197" i="1" s="1"/>
  <c r="CE198" i="1"/>
  <c r="CF198" i="1" s="1"/>
  <c r="CE199" i="1"/>
  <c r="CF199" i="1" s="1"/>
  <c r="CE200" i="1"/>
  <c r="CF200" i="1" s="1"/>
  <c r="CE201" i="1"/>
  <c r="CF201" i="1" s="1"/>
  <c r="CE202" i="1"/>
  <c r="CF202" i="1" s="1"/>
  <c r="CE203" i="1"/>
  <c r="CF203" i="1" s="1"/>
  <c r="CE204" i="1"/>
  <c r="CF204" i="1" s="1"/>
  <c r="CE205" i="1"/>
  <c r="CF205" i="1" s="1"/>
  <c r="CE206" i="1"/>
  <c r="CF206" i="1" s="1"/>
  <c r="CE207" i="1"/>
  <c r="CF207" i="1" s="1"/>
  <c r="CE10" i="1"/>
  <c r="CF10" i="1" s="1"/>
  <c r="CF17" i="1"/>
  <c r="CF108" i="1"/>
  <c r="CF196" i="1"/>
  <c r="CB10" i="1"/>
  <c r="CC10" i="1" s="1"/>
  <c r="CH207" i="1"/>
  <c r="CI207" i="1" s="1"/>
  <c r="DB207" i="1" s="1"/>
  <c r="CH206" i="1"/>
  <c r="CI206" i="1" s="1"/>
  <c r="DB206" i="1" s="1"/>
  <c r="CH205" i="1"/>
  <c r="CI205" i="1" s="1"/>
  <c r="DB205" i="1" s="1"/>
  <c r="CH204" i="1"/>
  <c r="CI204" i="1" s="1"/>
  <c r="DB204" i="1" s="1"/>
  <c r="CH203" i="1"/>
  <c r="CI203" i="1" s="1"/>
  <c r="DB203" i="1" s="1"/>
  <c r="CH202" i="1"/>
  <c r="CI202" i="1" s="1"/>
  <c r="DB202" i="1" s="1"/>
  <c r="CH201" i="1"/>
  <c r="CI201" i="1" s="1"/>
  <c r="DB201" i="1" s="1"/>
  <c r="CH200" i="1"/>
  <c r="CI200" i="1" s="1"/>
  <c r="DB200" i="1" s="1"/>
  <c r="CH199" i="1"/>
  <c r="CI199" i="1" s="1"/>
  <c r="DB199" i="1" s="1"/>
  <c r="CH198" i="1"/>
  <c r="CI198" i="1" s="1"/>
  <c r="DB198" i="1" s="1"/>
  <c r="CH197" i="1"/>
  <c r="CI197" i="1" s="1"/>
  <c r="DB197" i="1" s="1"/>
  <c r="CH196" i="1"/>
  <c r="CI196" i="1" s="1"/>
  <c r="DB196" i="1" s="1"/>
  <c r="CH195" i="1"/>
  <c r="CI195" i="1" s="1"/>
  <c r="DB195" i="1" s="1"/>
  <c r="CH194" i="1"/>
  <c r="CI194" i="1" s="1"/>
  <c r="DB194" i="1" s="1"/>
  <c r="CH193" i="1"/>
  <c r="CI193" i="1" s="1"/>
  <c r="CH192" i="1"/>
  <c r="CI192" i="1" s="1"/>
  <c r="DB192" i="1" s="1"/>
  <c r="CH191" i="1"/>
  <c r="CI191" i="1" s="1"/>
  <c r="DB191" i="1" s="1"/>
  <c r="CH190" i="1"/>
  <c r="CI190" i="1" s="1"/>
  <c r="DB190" i="1" s="1"/>
  <c r="CH189" i="1"/>
  <c r="CI189" i="1" s="1"/>
  <c r="DB189" i="1" s="1"/>
  <c r="CH188" i="1"/>
  <c r="CI188" i="1" s="1"/>
  <c r="DB188" i="1" s="1"/>
  <c r="CH187" i="1"/>
  <c r="CI187" i="1" s="1"/>
  <c r="DB187" i="1" s="1"/>
  <c r="CH186" i="1"/>
  <c r="CI186" i="1" s="1"/>
  <c r="DB186" i="1" s="1"/>
  <c r="CH185" i="1"/>
  <c r="CI185" i="1" s="1"/>
  <c r="DB185" i="1" s="1"/>
  <c r="CH184" i="1"/>
  <c r="CI184" i="1" s="1"/>
  <c r="DB184" i="1" s="1"/>
  <c r="CH183" i="1"/>
  <c r="CI183" i="1" s="1"/>
  <c r="DB183" i="1" s="1"/>
  <c r="CH182" i="1"/>
  <c r="CI182" i="1" s="1"/>
  <c r="DB182" i="1" s="1"/>
  <c r="CH181" i="1"/>
  <c r="CI181" i="1" s="1"/>
  <c r="DB181" i="1" s="1"/>
  <c r="CH180" i="1"/>
  <c r="CI180" i="1" s="1"/>
  <c r="DB180" i="1" s="1"/>
  <c r="CH179" i="1"/>
  <c r="CI179" i="1" s="1"/>
  <c r="DB179" i="1" s="1"/>
  <c r="CH178" i="1"/>
  <c r="CI178" i="1" s="1"/>
  <c r="DB178" i="1" s="1"/>
  <c r="CH177" i="1"/>
  <c r="CI177" i="1" s="1"/>
  <c r="DB177" i="1" s="1"/>
  <c r="CH176" i="1"/>
  <c r="CI176" i="1" s="1"/>
  <c r="DB176" i="1" s="1"/>
  <c r="CH175" i="1"/>
  <c r="CI175" i="1" s="1"/>
  <c r="DB175" i="1" s="1"/>
  <c r="CH174" i="1"/>
  <c r="CI174" i="1" s="1"/>
  <c r="DB174" i="1" s="1"/>
  <c r="CH173" i="1"/>
  <c r="CI173" i="1" s="1"/>
  <c r="DB173" i="1" s="1"/>
  <c r="CH172" i="1"/>
  <c r="CI172" i="1" s="1"/>
  <c r="DB172" i="1" s="1"/>
  <c r="CH171" i="1"/>
  <c r="CI171" i="1" s="1"/>
  <c r="DB171" i="1" s="1"/>
  <c r="CH170" i="1"/>
  <c r="CI170" i="1" s="1"/>
  <c r="DB170" i="1" s="1"/>
  <c r="CH169" i="1"/>
  <c r="CI169" i="1" s="1"/>
  <c r="DB169" i="1" s="1"/>
  <c r="CH168" i="1"/>
  <c r="CI168" i="1" s="1"/>
  <c r="DB168" i="1" s="1"/>
  <c r="CH167" i="1"/>
  <c r="CI167" i="1" s="1"/>
  <c r="DB167" i="1" s="1"/>
  <c r="CH166" i="1"/>
  <c r="CI166" i="1" s="1"/>
  <c r="DB166" i="1" s="1"/>
  <c r="CH165" i="1"/>
  <c r="CI165" i="1" s="1"/>
  <c r="DB165" i="1" s="1"/>
  <c r="CH164" i="1"/>
  <c r="CI164" i="1" s="1"/>
  <c r="DB164" i="1" s="1"/>
  <c r="CH163" i="1"/>
  <c r="CI163" i="1" s="1"/>
  <c r="DB163" i="1" s="1"/>
  <c r="CH162" i="1"/>
  <c r="CI162" i="1" s="1"/>
  <c r="DB162" i="1" s="1"/>
  <c r="CH161" i="1"/>
  <c r="CI161" i="1" s="1"/>
  <c r="CH160" i="1"/>
  <c r="CI160" i="1" s="1"/>
  <c r="DB160" i="1" s="1"/>
  <c r="CH159" i="1"/>
  <c r="CI159" i="1" s="1"/>
  <c r="DB159" i="1" s="1"/>
  <c r="CH158" i="1"/>
  <c r="CI158" i="1" s="1"/>
  <c r="DB158" i="1" s="1"/>
  <c r="CH157" i="1"/>
  <c r="CI157" i="1" s="1"/>
  <c r="DB157" i="1" s="1"/>
  <c r="CH156" i="1"/>
  <c r="CI156" i="1" s="1"/>
  <c r="DB156" i="1" s="1"/>
  <c r="CH155" i="1"/>
  <c r="CI155" i="1" s="1"/>
  <c r="DB155" i="1" s="1"/>
  <c r="CH154" i="1"/>
  <c r="CI154" i="1" s="1"/>
  <c r="DB154" i="1" s="1"/>
  <c r="CH153" i="1"/>
  <c r="CI153" i="1" s="1"/>
  <c r="DB153" i="1" s="1"/>
  <c r="CH152" i="1"/>
  <c r="CI152" i="1" s="1"/>
  <c r="DB152" i="1" s="1"/>
  <c r="CH151" i="1"/>
  <c r="CI151" i="1" s="1"/>
  <c r="DB151" i="1" s="1"/>
  <c r="CH150" i="1"/>
  <c r="CI150" i="1" s="1"/>
  <c r="DB150" i="1" s="1"/>
  <c r="CH149" i="1"/>
  <c r="CI149" i="1" s="1"/>
  <c r="DB149" i="1" s="1"/>
  <c r="CH148" i="1"/>
  <c r="CI148" i="1" s="1"/>
  <c r="DB148" i="1" s="1"/>
  <c r="CH147" i="1"/>
  <c r="CI147" i="1" s="1"/>
  <c r="DB147" i="1" s="1"/>
  <c r="CH146" i="1"/>
  <c r="CI146" i="1" s="1"/>
  <c r="DB146" i="1" s="1"/>
  <c r="CH145" i="1"/>
  <c r="CI145" i="1" s="1"/>
  <c r="DB145" i="1" s="1"/>
  <c r="CH144" i="1"/>
  <c r="CI144" i="1" s="1"/>
  <c r="DB144" i="1" s="1"/>
  <c r="CH143" i="1"/>
  <c r="CI143" i="1" s="1"/>
  <c r="DB143" i="1" s="1"/>
  <c r="CH142" i="1"/>
  <c r="CI142" i="1" s="1"/>
  <c r="DB142" i="1" s="1"/>
  <c r="CH141" i="1"/>
  <c r="CI141" i="1" s="1"/>
  <c r="DB141" i="1" s="1"/>
  <c r="CH140" i="1"/>
  <c r="CI140" i="1" s="1"/>
  <c r="DB140" i="1" s="1"/>
  <c r="CH139" i="1"/>
  <c r="CI139" i="1" s="1"/>
  <c r="DB139" i="1" s="1"/>
  <c r="CH138" i="1"/>
  <c r="CI138" i="1" s="1"/>
  <c r="DB138" i="1" s="1"/>
  <c r="CH137" i="1"/>
  <c r="CI137" i="1" s="1"/>
  <c r="DB137" i="1" s="1"/>
  <c r="CH136" i="1"/>
  <c r="CI136" i="1" s="1"/>
  <c r="DB136" i="1" s="1"/>
  <c r="CH135" i="1"/>
  <c r="CI135" i="1" s="1"/>
  <c r="DB135" i="1" s="1"/>
  <c r="CH134" i="1"/>
  <c r="CI134" i="1" s="1"/>
  <c r="DB134" i="1" s="1"/>
  <c r="CH133" i="1"/>
  <c r="CI133" i="1" s="1"/>
  <c r="DB133" i="1" s="1"/>
  <c r="CH132" i="1"/>
  <c r="CI132" i="1" s="1"/>
  <c r="DB132" i="1" s="1"/>
  <c r="CH131" i="1"/>
  <c r="CI131" i="1" s="1"/>
  <c r="DB131" i="1" s="1"/>
  <c r="CH130" i="1"/>
  <c r="CI130" i="1" s="1"/>
  <c r="DB130" i="1" s="1"/>
  <c r="CH129" i="1"/>
  <c r="CI129" i="1" s="1"/>
  <c r="CH128" i="1"/>
  <c r="CI128" i="1" s="1"/>
  <c r="DB128" i="1" s="1"/>
  <c r="CH127" i="1"/>
  <c r="CI127" i="1" s="1"/>
  <c r="DB127" i="1" s="1"/>
  <c r="CH126" i="1"/>
  <c r="CI126" i="1" s="1"/>
  <c r="DB126" i="1" s="1"/>
  <c r="CH125" i="1"/>
  <c r="CI125" i="1" s="1"/>
  <c r="DB125" i="1" s="1"/>
  <c r="CH124" i="1"/>
  <c r="CI124" i="1" s="1"/>
  <c r="DB124" i="1" s="1"/>
  <c r="CH123" i="1"/>
  <c r="CI123" i="1" s="1"/>
  <c r="DB123" i="1" s="1"/>
  <c r="CH122" i="1"/>
  <c r="CI122" i="1" s="1"/>
  <c r="DB122" i="1" s="1"/>
  <c r="CH121" i="1"/>
  <c r="CI121" i="1" s="1"/>
  <c r="DB121" i="1" s="1"/>
  <c r="CH120" i="1"/>
  <c r="CI120" i="1" s="1"/>
  <c r="DB120" i="1" s="1"/>
  <c r="CH119" i="1"/>
  <c r="CI119" i="1" s="1"/>
  <c r="DB119" i="1" s="1"/>
  <c r="CH118" i="1"/>
  <c r="CI118" i="1" s="1"/>
  <c r="DB118" i="1" s="1"/>
  <c r="CH117" i="1"/>
  <c r="CI117" i="1" s="1"/>
  <c r="DB117" i="1" s="1"/>
  <c r="CH116" i="1"/>
  <c r="CI116" i="1" s="1"/>
  <c r="DB116" i="1" s="1"/>
  <c r="CH115" i="1"/>
  <c r="CI115" i="1" s="1"/>
  <c r="DB115" i="1" s="1"/>
  <c r="CH114" i="1"/>
  <c r="CI114" i="1" s="1"/>
  <c r="DB114" i="1" s="1"/>
  <c r="CH113" i="1"/>
  <c r="CI113" i="1" s="1"/>
  <c r="DB113" i="1" s="1"/>
  <c r="CH112" i="1"/>
  <c r="CI112" i="1" s="1"/>
  <c r="DB112" i="1" s="1"/>
  <c r="CH111" i="1"/>
  <c r="CI111" i="1" s="1"/>
  <c r="DB111" i="1" s="1"/>
  <c r="CH110" i="1"/>
  <c r="CI110" i="1" s="1"/>
  <c r="DB110" i="1" s="1"/>
  <c r="CH109" i="1"/>
  <c r="CI109" i="1" s="1"/>
  <c r="DB109" i="1" s="1"/>
  <c r="CH108" i="1"/>
  <c r="CI108" i="1" s="1"/>
  <c r="DB108" i="1" s="1"/>
  <c r="CH107" i="1"/>
  <c r="CI107" i="1" s="1"/>
  <c r="DB107" i="1" s="1"/>
  <c r="CH106" i="1"/>
  <c r="CI106" i="1" s="1"/>
  <c r="DB106" i="1" s="1"/>
  <c r="CH105" i="1"/>
  <c r="CI105" i="1" s="1"/>
  <c r="DB105" i="1" s="1"/>
  <c r="CH104" i="1"/>
  <c r="CI104" i="1" s="1"/>
  <c r="DB104" i="1" s="1"/>
  <c r="CH103" i="1"/>
  <c r="CI103" i="1" s="1"/>
  <c r="DB103" i="1" s="1"/>
  <c r="CH102" i="1"/>
  <c r="CI102" i="1" s="1"/>
  <c r="DB102" i="1" s="1"/>
  <c r="CH101" i="1"/>
  <c r="CI101" i="1" s="1"/>
  <c r="DB101" i="1" s="1"/>
  <c r="CH100" i="1"/>
  <c r="CI100" i="1" s="1"/>
  <c r="DB100" i="1" s="1"/>
  <c r="CH99" i="1"/>
  <c r="CI99" i="1" s="1"/>
  <c r="DB99" i="1" s="1"/>
  <c r="CH98" i="1"/>
  <c r="CI98" i="1" s="1"/>
  <c r="DB98" i="1" s="1"/>
  <c r="CH97" i="1"/>
  <c r="CI97" i="1" s="1"/>
  <c r="DB97" i="1" s="1"/>
  <c r="CH96" i="1"/>
  <c r="CI96" i="1" s="1"/>
  <c r="DB96" i="1" s="1"/>
  <c r="CH95" i="1"/>
  <c r="CI95" i="1" s="1"/>
  <c r="DB95" i="1" s="1"/>
  <c r="CH94" i="1"/>
  <c r="CI94" i="1" s="1"/>
  <c r="DB94" i="1" s="1"/>
  <c r="CH93" i="1"/>
  <c r="CI93" i="1" s="1"/>
  <c r="DB93" i="1" s="1"/>
  <c r="CH92" i="1"/>
  <c r="CI92" i="1" s="1"/>
  <c r="DB92" i="1" s="1"/>
  <c r="CH91" i="1"/>
  <c r="CI91" i="1" s="1"/>
  <c r="DB91" i="1" s="1"/>
  <c r="CH90" i="1"/>
  <c r="CI90" i="1" s="1"/>
  <c r="DB90" i="1" s="1"/>
  <c r="CH89" i="1"/>
  <c r="CI89" i="1" s="1"/>
  <c r="DB89" i="1" s="1"/>
  <c r="CH88" i="1"/>
  <c r="CI88" i="1" s="1"/>
  <c r="DB88" i="1" s="1"/>
  <c r="CH87" i="1"/>
  <c r="CI87" i="1" s="1"/>
  <c r="DB87" i="1" s="1"/>
  <c r="CH86" i="1"/>
  <c r="CI86" i="1" s="1"/>
  <c r="DB86" i="1" s="1"/>
  <c r="CH85" i="1"/>
  <c r="CI85" i="1" s="1"/>
  <c r="DB85" i="1" s="1"/>
  <c r="CH84" i="1"/>
  <c r="CI84" i="1" s="1"/>
  <c r="DB84" i="1" s="1"/>
  <c r="CH83" i="1"/>
  <c r="CI83" i="1" s="1"/>
  <c r="DB83" i="1" s="1"/>
  <c r="CH82" i="1"/>
  <c r="CI82" i="1" s="1"/>
  <c r="DB82" i="1" s="1"/>
  <c r="CH81" i="1"/>
  <c r="CI81" i="1" s="1"/>
  <c r="DB81" i="1" s="1"/>
  <c r="CH80" i="1"/>
  <c r="CI80" i="1" s="1"/>
  <c r="DB80" i="1" s="1"/>
  <c r="CH79" i="1"/>
  <c r="CI79" i="1" s="1"/>
  <c r="DB79" i="1" s="1"/>
  <c r="CH78" i="1"/>
  <c r="CI78" i="1" s="1"/>
  <c r="DB78" i="1" s="1"/>
  <c r="CH77" i="1"/>
  <c r="CI77" i="1" s="1"/>
  <c r="DB77" i="1" s="1"/>
  <c r="CH76" i="1"/>
  <c r="CI76" i="1" s="1"/>
  <c r="DB76" i="1" s="1"/>
  <c r="CH75" i="1"/>
  <c r="CI75" i="1" s="1"/>
  <c r="DB75" i="1" s="1"/>
  <c r="CH74" i="1"/>
  <c r="CI74" i="1" s="1"/>
  <c r="DB74" i="1" s="1"/>
  <c r="CH73" i="1"/>
  <c r="CI73" i="1" s="1"/>
  <c r="DB73" i="1" s="1"/>
  <c r="CH72" i="1"/>
  <c r="CI72" i="1" s="1"/>
  <c r="DB72" i="1" s="1"/>
  <c r="CH71" i="1"/>
  <c r="CI71" i="1" s="1"/>
  <c r="DB71" i="1" s="1"/>
  <c r="CH70" i="1"/>
  <c r="CI70" i="1" s="1"/>
  <c r="DB70" i="1" s="1"/>
  <c r="CH69" i="1"/>
  <c r="CI69" i="1" s="1"/>
  <c r="DB69" i="1" s="1"/>
  <c r="CH68" i="1"/>
  <c r="CI68" i="1" s="1"/>
  <c r="DB68" i="1" s="1"/>
  <c r="CH67" i="1"/>
  <c r="CI67" i="1" s="1"/>
  <c r="DB67" i="1" s="1"/>
  <c r="CH66" i="1"/>
  <c r="CI66" i="1" s="1"/>
  <c r="DB66" i="1" s="1"/>
  <c r="CH65" i="1"/>
  <c r="CI65" i="1" s="1"/>
  <c r="DB65" i="1" s="1"/>
  <c r="CH64" i="1"/>
  <c r="CI64" i="1" s="1"/>
  <c r="DB64" i="1" s="1"/>
  <c r="CH63" i="1"/>
  <c r="CI63" i="1" s="1"/>
  <c r="DB63" i="1" s="1"/>
  <c r="CH62" i="1"/>
  <c r="CI62" i="1" s="1"/>
  <c r="DB62" i="1" s="1"/>
  <c r="CH61" i="1"/>
  <c r="CI61" i="1" s="1"/>
  <c r="DB61" i="1" s="1"/>
  <c r="CH60" i="1"/>
  <c r="CI60" i="1" s="1"/>
  <c r="DB60" i="1" s="1"/>
  <c r="CH59" i="1"/>
  <c r="CI59" i="1" s="1"/>
  <c r="DB59" i="1" s="1"/>
  <c r="CH58" i="1"/>
  <c r="CI58" i="1" s="1"/>
  <c r="DB58" i="1" s="1"/>
  <c r="CH57" i="1"/>
  <c r="CI57" i="1" s="1"/>
  <c r="DB57" i="1" s="1"/>
  <c r="CH56" i="1"/>
  <c r="CI56" i="1" s="1"/>
  <c r="DB56" i="1" s="1"/>
  <c r="CH55" i="1"/>
  <c r="CI55" i="1" s="1"/>
  <c r="DB55" i="1" s="1"/>
  <c r="CH54" i="1"/>
  <c r="CI54" i="1" s="1"/>
  <c r="DB54" i="1" s="1"/>
  <c r="CH53" i="1"/>
  <c r="CI53" i="1" s="1"/>
  <c r="DB53" i="1" s="1"/>
  <c r="CH52" i="1"/>
  <c r="CI52" i="1" s="1"/>
  <c r="DB52" i="1" s="1"/>
  <c r="CH51" i="1"/>
  <c r="CI51" i="1" s="1"/>
  <c r="DB51" i="1" s="1"/>
  <c r="CH50" i="1"/>
  <c r="CI50" i="1" s="1"/>
  <c r="DB50" i="1" s="1"/>
  <c r="CH49" i="1"/>
  <c r="CI49" i="1" s="1"/>
  <c r="DB49" i="1" s="1"/>
  <c r="CH48" i="1"/>
  <c r="CI48" i="1" s="1"/>
  <c r="DB48" i="1" s="1"/>
  <c r="CH47" i="1"/>
  <c r="CI47" i="1" s="1"/>
  <c r="DB47" i="1" s="1"/>
  <c r="CH46" i="1"/>
  <c r="CI46" i="1" s="1"/>
  <c r="DB46" i="1" s="1"/>
  <c r="CH45" i="1"/>
  <c r="CI45" i="1" s="1"/>
  <c r="DB45" i="1" s="1"/>
  <c r="CH44" i="1"/>
  <c r="CI44" i="1" s="1"/>
  <c r="DB44" i="1" s="1"/>
  <c r="CH43" i="1"/>
  <c r="CI43" i="1" s="1"/>
  <c r="DB43" i="1" s="1"/>
  <c r="CH42" i="1"/>
  <c r="CI42" i="1" s="1"/>
  <c r="DB42" i="1" s="1"/>
  <c r="CH41" i="1"/>
  <c r="CI41" i="1" s="1"/>
  <c r="DB41" i="1" s="1"/>
  <c r="CH40" i="1"/>
  <c r="CI40" i="1" s="1"/>
  <c r="DB40" i="1" s="1"/>
  <c r="CH39" i="1"/>
  <c r="CI39" i="1" s="1"/>
  <c r="DB39" i="1" s="1"/>
  <c r="CH38" i="1"/>
  <c r="CI38" i="1" s="1"/>
  <c r="DB38" i="1" s="1"/>
  <c r="CH37" i="1"/>
  <c r="CI37" i="1" s="1"/>
  <c r="DB37" i="1" s="1"/>
  <c r="CH36" i="1"/>
  <c r="CI36" i="1" s="1"/>
  <c r="DB36" i="1" s="1"/>
  <c r="CH35" i="1"/>
  <c r="CI35" i="1" s="1"/>
  <c r="DB35" i="1" s="1"/>
  <c r="CH34" i="1"/>
  <c r="CI34" i="1" s="1"/>
  <c r="DB34" i="1" s="1"/>
  <c r="CH33" i="1"/>
  <c r="CI33" i="1" s="1"/>
  <c r="DB33" i="1" s="1"/>
  <c r="CH32" i="1"/>
  <c r="CI32" i="1" s="1"/>
  <c r="DB32" i="1" s="1"/>
  <c r="CH31" i="1"/>
  <c r="CI31" i="1" s="1"/>
  <c r="DB31" i="1" s="1"/>
  <c r="CH30" i="1"/>
  <c r="CI30" i="1" s="1"/>
  <c r="DB30" i="1" s="1"/>
  <c r="CH29" i="1"/>
  <c r="CI29" i="1" s="1"/>
  <c r="DB29" i="1" s="1"/>
  <c r="CH28" i="1"/>
  <c r="CI28" i="1" s="1"/>
  <c r="DB28" i="1" s="1"/>
  <c r="CH27" i="1"/>
  <c r="CI27" i="1" s="1"/>
  <c r="DB27" i="1" s="1"/>
  <c r="CH26" i="1"/>
  <c r="CI26" i="1" s="1"/>
  <c r="DB26" i="1" s="1"/>
  <c r="CH25" i="1"/>
  <c r="CI25" i="1" s="1"/>
  <c r="DB25" i="1" s="1"/>
  <c r="CH24" i="1"/>
  <c r="CI24" i="1" s="1"/>
  <c r="DB24" i="1" s="1"/>
  <c r="CH23" i="1"/>
  <c r="CI23" i="1" s="1"/>
  <c r="DB23" i="1" s="1"/>
  <c r="CH22" i="1"/>
  <c r="CI22" i="1" s="1"/>
  <c r="DB22" i="1" s="1"/>
  <c r="CH21" i="1"/>
  <c r="CI21" i="1" s="1"/>
  <c r="DB21" i="1" s="1"/>
  <c r="CH20" i="1"/>
  <c r="CI20" i="1" s="1"/>
  <c r="DB20" i="1" s="1"/>
  <c r="CH19" i="1"/>
  <c r="CI19" i="1" s="1"/>
  <c r="DB19" i="1" s="1"/>
  <c r="CH18" i="1"/>
  <c r="CI18" i="1" s="1"/>
  <c r="DB18" i="1" s="1"/>
  <c r="CH17" i="1"/>
  <c r="CI17" i="1" s="1"/>
  <c r="DB17" i="1" s="1"/>
  <c r="CH16" i="1"/>
  <c r="CI16" i="1" s="1"/>
  <c r="DB16" i="1" s="1"/>
  <c r="CH15" i="1"/>
  <c r="CI15" i="1" s="1"/>
  <c r="DB15" i="1" s="1"/>
  <c r="CH14" i="1"/>
  <c r="CI14" i="1" s="1"/>
  <c r="DB14" i="1" s="1"/>
  <c r="CH13" i="1"/>
  <c r="CI13" i="1" s="1"/>
  <c r="DB13" i="1" s="1"/>
  <c r="CH12" i="1"/>
  <c r="CI12" i="1" s="1"/>
  <c r="DB12" i="1" s="1"/>
  <c r="CH11" i="1"/>
  <c r="CI11" i="1" s="1"/>
  <c r="DB11" i="1" s="1"/>
  <c r="CH10" i="1"/>
  <c r="CI10" i="1" s="1"/>
  <c r="DB10" i="1" s="1"/>
  <c r="CB11" i="1"/>
  <c r="CC11" i="1" s="1"/>
  <c r="CB12" i="1"/>
  <c r="CC12" i="1" s="1"/>
  <c r="CB13" i="1"/>
  <c r="CC13" i="1" s="1"/>
  <c r="CB14" i="1"/>
  <c r="CC14" i="1" s="1"/>
  <c r="CB15" i="1"/>
  <c r="CC15" i="1" s="1"/>
  <c r="CB16" i="1"/>
  <c r="CC16" i="1" s="1"/>
  <c r="CB17" i="1"/>
  <c r="CC17" i="1" s="1"/>
  <c r="CB18" i="1"/>
  <c r="CC18" i="1" s="1"/>
  <c r="CB19" i="1"/>
  <c r="CC19" i="1" s="1"/>
  <c r="CB20" i="1"/>
  <c r="CC20" i="1" s="1"/>
  <c r="CB21" i="1"/>
  <c r="CC21" i="1" s="1"/>
  <c r="CB22" i="1"/>
  <c r="CC22" i="1" s="1"/>
  <c r="CB23" i="1"/>
  <c r="CC23" i="1" s="1"/>
  <c r="CB24" i="1"/>
  <c r="CC24" i="1" s="1"/>
  <c r="CB25" i="1"/>
  <c r="CC25" i="1" s="1"/>
  <c r="CB26" i="1"/>
  <c r="CC26" i="1" s="1"/>
  <c r="CB27" i="1"/>
  <c r="CC27" i="1" s="1"/>
  <c r="CB28" i="1"/>
  <c r="CC28" i="1" s="1"/>
  <c r="CB29" i="1"/>
  <c r="CC29" i="1" s="1"/>
  <c r="CB30" i="1"/>
  <c r="CC30" i="1" s="1"/>
  <c r="CB31" i="1"/>
  <c r="CC31" i="1" s="1"/>
  <c r="CB32" i="1"/>
  <c r="CC32" i="1" s="1"/>
  <c r="CB33" i="1"/>
  <c r="CC33" i="1" s="1"/>
  <c r="CB34" i="1"/>
  <c r="CC34" i="1" s="1"/>
  <c r="CB35" i="1"/>
  <c r="CC35" i="1" s="1"/>
  <c r="CB36" i="1"/>
  <c r="CC36" i="1" s="1"/>
  <c r="CB37" i="1"/>
  <c r="CC37" i="1" s="1"/>
  <c r="CB38" i="1"/>
  <c r="CC38" i="1" s="1"/>
  <c r="CB39" i="1"/>
  <c r="CC39" i="1" s="1"/>
  <c r="CB40" i="1"/>
  <c r="CC40" i="1" s="1"/>
  <c r="CB41" i="1"/>
  <c r="CC41" i="1" s="1"/>
  <c r="CB42" i="1"/>
  <c r="CC42" i="1" s="1"/>
  <c r="CB43" i="1"/>
  <c r="CC43" i="1" s="1"/>
  <c r="CB44" i="1"/>
  <c r="CC44" i="1" s="1"/>
  <c r="CB45" i="1"/>
  <c r="CC45" i="1" s="1"/>
  <c r="CB46" i="1"/>
  <c r="CC46" i="1" s="1"/>
  <c r="CB47" i="1"/>
  <c r="CC47" i="1" s="1"/>
  <c r="CB48" i="1"/>
  <c r="CC48" i="1" s="1"/>
  <c r="CB49" i="1"/>
  <c r="CC49" i="1" s="1"/>
  <c r="CB50" i="1"/>
  <c r="CC50" i="1" s="1"/>
  <c r="CB51" i="1"/>
  <c r="CC51" i="1" s="1"/>
  <c r="CB52" i="1"/>
  <c r="CC52" i="1" s="1"/>
  <c r="CB53" i="1"/>
  <c r="CC53" i="1" s="1"/>
  <c r="CB54" i="1"/>
  <c r="CC54" i="1" s="1"/>
  <c r="CB55" i="1"/>
  <c r="CC55" i="1" s="1"/>
  <c r="CB56" i="1"/>
  <c r="CC56" i="1" s="1"/>
  <c r="CB57" i="1"/>
  <c r="CC57" i="1" s="1"/>
  <c r="CB58" i="1"/>
  <c r="CC58" i="1" s="1"/>
  <c r="CB59" i="1"/>
  <c r="CC59" i="1" s="1"/>
  <c r="CB60" i="1"/>
  <c r="CC60" i="1" s="1"/>
  <c r="CB61" i="1"/>
  <c r="CC61" i="1" s="1"/>
  <c r="CB62" i="1"/>
  <c r="CC62" i="1" s="1"/>
  <c r="CB63" i="1"/>
  <c r="CC63" i="1" s="1"/>
  <c r="CB64" i="1"/>
  <c r="CC64" i="1" s="1"/>
  <c r="CB65" i="1"/>
  <c r="CC65" i="1" s="1"/>
  <c r="CB66" i="1"/>
  <c r="CC66" i="1" s="1"/>
  <c r="CB67" i="1"/>
  <c r="CC67" i="1" s="1"/>
  <c r="CB68" i="1"/>
  <c r="CC68" i="1" s="1"/>
  <c r="CB69" i="1"/>
  <c r="CC69" i="1" s="1"/>
  <c r="CB70" i="1"/>
  <c r="CC70" i="1" s="1"/>
  <c r="CB71" i="1"/>
  <c r="CC71" i="1" s="1"/>
  <c r="CB72" i="1"/>
  <c r="CC72" i="1" s="1"/>
  <c r="CB73" i="1"/>
  <c r="CC73" i="1" s="1"/>
  <c r="CB74" i="1"/>
  <c r="CC74" i="1" s="1"/>
  <c r="CB75" i="1"/>
  <c r="CC75" i="1" s="1"/>
  <c r="CB76" i="1"/>
  <c r="CC76" i="1" s="1"/>
  <c r="CB77" i="1"/>
  <c r="CC77" i="1" s="1"/>
  <c r="CB78" i="1"/>
  <c r="CC78" i="1" s="1"/>
  <c r="CB79" i="1"/>
  <c r="CC79" i="1" s="1"/>
  <c r="CB80" i="1"/>
  <c r="CC80" i="1" s="1"/>
  <c r="CB81" i="1"/>
  <c r="CC81" i="1" s="1"/>
  <c r="CB82" i="1"/>
  <c r="CC82" i="1" s="1"/>
  <c r="CB83" i="1"/>
  <c r="CC83" i="1" s="1"/>
  <c r="CB84" i="1"/>
  <c r="CC84" i="1" s="1"/>
  <c r="CB85" i="1"/>
  <c r="CC85" i="1" s="1"/>
  <c r="CB86" i="1"/>
  <c r="CC86" i="1" s="1"/>
  <c r="CB87" i="1"/>
  <c r="CC87" i="1" s="1"/>
  <c r="CB88" i="1"/>
  <c r="CC88" i="1" s="1"/>
  <c r="CB89" i="1"/>
  <c r="CC89" i="1" s="1"/>
  <c r="CB90" i="1"/>
  <c r="CC90" i="1" s="1"/>
  <c r="CB91" i="1"/>
  <c r="CC91" i="1" s="1"/>
  <c r="CB92" i="1"/>
  <c r="CC92" i="1" s="1"/>
  <c r="CB93" i="1"/>
  <c r="CC93" i="1" s="1"/>
  <c r="CB94" i="1"/>
  <c r="CC94" i="1" s="1"/>
  <c r="CB95" i="1"/>
  <c r="CC95" i="1" s="1"/>
  <c r="CB96" i="1"/>
  <c r="CC96" i="1" s="1"/>
  <c r="CB97" i="1"/>
  <c r="CC97" i="1" s="1"/>
  <c r="CB98" i="1"/>
  <c r="CC98" i="1" s="1"/>
  <c r="CB99" i="1"/>
  <c r="CC99" i="1" s="1"/>
  <c r="CB100" i="1"/>
  <c r="CC100" i="1" s="1"/>
  <c r="CB101" i="1"/>
  <c r="CC101" i="1" s="1"/>
  <c r="CB102" i="1"/>
  <c r="CC102" i="1" s="1"/>
  <c r="CB103" i="1"/>
  <c r="CC103" i="1" s="1"/>
  <c r="CB104" i="1"/>
  <c r="CC104" i="1" s="1"/>
  <c r="CB105" i="1"/>
  <c r="CC105" i="1" s="1"/>
  <c r="CB106" i="1"/>
  <c r="CC106" i="1" s="1"/>
  <c r="CB107" i="1"/>
  <c r="CC107" i="1" s="1"/>
  <c r="CB108" i="1"/>
  <c r="CC108" i="1" s="1"/>
  <c r="CB109" i="1"/>
  <c r="CC109" i="1" s="1"/>
  <c r="CB110" i="1"/>
  <c r="CC110" i="1" s="1"/>
  <c r="CB111" i="1"/>
  <c r="CC111" i="1" s="1"/>
  <c r="CB112" i="1"/>
  <c r="CC112" i="1" s="1"/>
  <c r="CB113" i="1"/>
  <c r="CC113" i="1" s="1"/>
  <c r="CB114" i="1"/>
  <c r="CC114" i="1" s="1"/>
  <c r="CB115" i="1"/>
  <c r="CC115" i="1" s="1"/>
  <c r="CB116" i="1"/>
  <c r="CC116" i="1" s="1"/>
  <c r="CB117" i="1"/>
  <c r="CC117" i="1" s="1"/>
  <c r="CB118" i="1"/>
  <c r="CC118" i="1" s="1"/>
  <c r="CB119" i="1"/>
  <c r="CC119" i="1" s="1"/>
  <c r="CB120" i="1"/>
  <c r="CC120" i="1" s="1"/>
  <c r="CB121" i="1"/>
  <c r="CC121" i="1" s="1"/>
  <c r="CB122" i="1"/>
  <c r="CC122" i="1" s="1"/>
  <c r="CB123" i="1"/>
  <c r="CC123" i="1" s="1"/>
  <c r="CB124" i="1"/>
  <c r="CC124" i="1" s="1"/>
  <c r="CB125" i="1"/>
  <c r="CC125" i="1" s="1"/>
  <c r="CB126" i="1"/>
  <c r="CC126" i="1" s="1"/>
  <c r="CB127" i="1"/>
  <c r="CC127" i="1" s="1"/>
  <c r="CB128" i="1"/>
  <c r="CC128" i="1" s="1"/>
  <c r="CB129" i="1"/>
  <c r="CC129" i="1" s="1"/>
  <c r="CB130" i="1"/>
  <c r="CC130" i="1" s="1"/>
  <c r="CB131" i="1"/>
  <c r="CC131" i="1" s="1"/>
  <c r="CB132" i="1"/>
  <c r="CC132" i="1" s="1"/>
  <c r="CB133" i="1"/>
  <c r="CC133" i="1" s="1"/>
  <c r="CB134" i="1"/>
  <c r="CC134" i="1" s="1"/>
  <c r="CB135" i="1"/>
  <c r="CC135" i="1" s="1"/>
  <c r="CB136" i="1"/>
  <c r="CC136" i="1" s="1"/>
  <c r="CB137" i="1"/>
  <c r="CC137" i="1" s="1"/>
  <c r="CB138" i="1"/>
  <c r="CC138" i="1" s="1"/>
  <c r="CB139" i="1"/>
  <c r="CC139" i="1" s="1"/>
  <c r="CB140" i="1"/>
  <c r="CC140" i="1" s="1"/>
  <c r="CB141" i="1"/>
  <c r="CC141" i="1" s="1"/>
  <c r="CB142" i="1"/>
  <c r="CC142" i="1" s="1"/>
  <c r="CB143" i="1"/>
  <c r="CC143" i="1" s="1"/>
  <c r="CB144" i="1"/>
  <c r="CC144" i="1" s="1"/>
  <c r="CB145" i="1"/>
  <c r="CC145" i="1" s="1"/>
  <c r="CB146" i="1"/>
  <c r="CC146" i="1" s="1"/>
  <c r="CB147" i="1"/>
  <c r="CC147" i="1" s="1"/>
  <c r="CB148" i="1"/>
  <c r="CC148" i="1" s="1"/>
  <c r="CB149" i="1"/>
  <c r="CC149" i="1" s="1"/>
  <c r="CB150" i="1"/>
  <c r="CC150" i="1" s="1"/>
  <c r="CB151" i="1"/>
  <c r="CC151" i="1" s="1"/>
  <c r="CB152" i="1"/>
  <c r="CC152" i="1" s="1"/>
  <c r="CB153" i="1"/>
  <c r="CC153" i="1" s="1"/>
  <c r="CB154" i="1"/>
  <c r="CC154" i="1" s="1"/>
  <c r="CB155" i="1"/>
  <c r="CC155" i="1" s="1"/>
  <c r="CB156" i="1"/>
  <c r="CC156" i="1" s="1"/>
  <c r="CB157" i="1"/>
  <c r="CC157" i="1" s="1"/>
  <c r="CB158" i="1"/>
  <c r="CC158" i="1" s="1"/>
  <c r="CB159" i="1"/>
  <c r="CC159" i="1" s="1"/>
  <c r="CB160" i="1"/>
  <c r="CC160" i="1" s="1"/>
  <c r="CB161" i="1"/>
  <c r="CC161" i="1" s="1"/>
  <c r="CB162" i="1"/>
  <c r="CC162" i="1" s="1"/>
  <c r="CB163" i="1"/>
  <c r="CC163" i="1" s="1"/>
  <c r="CB164" i="1"/>
  <c r="CC164" i="1" s="1"/>
  <c r="CB165" i="1"/>
  <c r="CC165" i="1" s="1"/>
  <c r="CB166" i="1"/>
  <c r="CC166" i="1" s="1"/>
  <c r="CB167" i="1"/>
  <c r="CC167" i="1" s="1"/>
  <c r="CB168" i="1"/>
  <c r="CC168" i="1" s="1"/>
  <c r="CB169" i="1"/>
  <c r="CC169" i="1" s="1"/>
  <c r="CB170" i="1"/>
  <c r="CC170" i="1" s="1"/>
  <c r="CB171" i="1"/>
  <c r="CC171" i="1" s="1"/>
  <c r="CB172" i="1"/>
  <c r="CC172" i="1" s="1"/>
  <c r="CB173" i="1"/>
  <c r="CC173" i="1" s="1"/>
  <c r="CB174" i="1"/>
  <c r="CC174" i="1" s="1"/>
  <c r="CB175" i="1"/>
  <c r="CC175" i="1" s="1"/>
  <c r="CB176" i="1"/>
  <c r="CC176" i="1" s="1"/>
  <c r="CB177" i="1"/>
  <c r="CC177" i="1" s="1"/>
  <c r="CB178" i="1"/>
  <c r="CC178" i="1" s="1"/>
  <c r="CB179" i="1"/>
  <c r="CC179" i="1" s="1"/>
  <c r="CB180" i="1"/>
  <c r="CC180" i="1" s="1"/>
  <c r="CB181" i="1"/>
  <c r="CC181" i="1" s="1"/>
  <c r="CB182" i="1"/>
  <c r="CC182" i="1" s="1"/>
  <c r="CB183" i="1"/>
  <c r="CC183" i="1" s="1"/>
  <c r="CB184" i="1"/>
  <c r="CC184" i="1" s="1"/>
  <c r="CB185" i="1"/>
  <c r="CC185" i="1" s="1"/>
  <c r="CB186" i="1"/>
  <c r="CC186" i="1" s="1"/>
  <c r="CB187" i="1"/>
  <c r="CC187" i="1" s="1"/>
  <c r="CB188" i="1"/>
  <c r="CC188" i="1" s="1"/>
  <c r="CB189" i="1"/>
  <c r="CC189" i="1" s="1"/>
  <c r="CB190" i="1"/>
  <c r="CC190" i="1" s="1"/>
  <c r="CB191" i="1"/>
  <c r="CC191" i="1" s="1"/>
  <c r="CB192" i="1"/>
  <c r="CC192" i="1" s="1"/>
  <c r="CB193" i="1"/>
  <c r="CC193" i="1" s="1"/>
  <c r="CB194" i="1"/>
  <c r="CC194" i="1" s="1"/>
  <c r="CB195" i="1"/>
  <c r="CC195" i="1" s="1"/>
  <c r="CB196" i="1"/>
  <c r="CC196" i="1" s="1"/>
  <c r="CB197" i="1"/>
  <c r="CC197" i="1" s="1"/>
  <c r="CB198" i="1"/>
  <c r="CC198" i="1" s="1"/>
  <c r="CB199" i="1"/>
  <c r="CC199" i="1" s="1"/>
  <c r="CB200" i="1"/>
  <c r="CC200" i="1" s="1"/>
  <c r="CB201" i="1"/>
  <c r="CC201" i="1" s="1"/>
  <c r="CB202" i="1"/>
  <c r="CC202" i="1" s="1"/>
  <c r="CB203" i="1"/>
  <c r="CC203" i="1" s="1"/>
  <c r="CB204" i="1"/>
  <c r="CC204" i="1" s="1"/>
  <c r="CB205" i="1"/>
  <c r="CC205" i="1" s="1"/>
  <c r="CB206" i="1"/>
  <c r="CC206" i="1" s="1"/>
  <c r="CB207" i="1"/>
  <c r="CC207" i="1" s="1"/>
  <c r="BJ207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10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10" i="1"/>
  <c r="AR10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F11" i="1"/>
  <c r="AF10" i="1"/>
  <c r="AL207" i="1"/>
  <c r="AJ207" i="1"/>
  <c r="AH207" i="1"/>
  <c r="AF207" i="1"/>
  <c r="AL206" i="1"/>
  <c r="AJ206" i="1"/>
  <c r="AH206" i="1"/>
  <c r="AF206" i="1"/>
  <c r="AL205" i="1"/>
  <c r="AJ205" i="1"/>
  <c r="AH205" i="1"/>
  <c r="AF205" i="1"/>
  <c r="AL204" i="1"/>
  <c r="AJ204" i="1"/>
  <c r="AH204" i="1"/>
  <c r="AF204" i="1"/>
  <c r="AL203" i="1"/>
  <c r="AJ203" i="1"/>
  <c r="AH203" i="1"/>
  <c r="AF203" i="1"/>
  <c r="AL202" i="1"/>
  <c r="AJ202" i="1"/>
  <c r="AH202" i="1"/>
  <c r="AF202" i="1"/>
  <c r="AL201" i="1"/>
  <c r="AJ201" i="1"/>
  <c r="AH201" i="1"/>
  <c r="AF201" i="1"/>
  <c r="AL200" i="1"/>
  <c r="AJ200" i="1"/>
  <c r="AH200" i="1"/>
  <c r="AF200" i="1"/>
  <c r="AL199" i="1"/>
  <c r="AJ199" i="1"/>
  <c r="AH199" i="1"/>
  <c r="AF199" i="1"/>
  <c r="AL198" i="1"/>
  <c r="AJ198" i="1"/>
  <c r="AH198" i="1"/>
  <c r="AF198" i="1"/>
  <c r="AL197" i="1"/>
  <c r="AJ197" i="1"/>
  <c r="AH197" i="1"/>
  <c r="AF197" i="1"/>
  <c r="AL196" i="1"/>
  <c r="AJ196" i="1"/>
  <c r="AH196" i="1"/>
  <c r="AF196" i="1"/>
  <c r="AL195" i="1"/>
  <c r="AJ195" i="1"/>
  <c r="AH195" i="1"/>
  <c r="AF195" i="1"/>
  <c r="AL194" i="1"/>
  <c r="AJ194" i="1"/>
  <c r="AH194" i="1"/>
  <c r="AF194" i="1"/>
  <c r="AL193" i="1"/>
  <c r="AJ193" i="1"/>
  <c r="AH193" i="1"/>
  <c r="AF193" i="1"/>
  <c r="AL192" i="1"/>
  <c r="AJ192" i="1"/>
  <c r="AH192" i="1"/>
  <c r="AF192" i="1"/>
  <c r="AL191" i="1"/>
  <c r="AJ191" i="1"/>
  <c r="AH191" i="1"/>
  <c r="AF191" i="1"/>
  <c r="AL190" i="1"/>
  <c r="AJ190" i="1"/>
  <c r="AH190" i="1"/>
  <c r="AF190" i="1"/>
  <c r="AL189" i="1"/>
  <c r="AJ189" i="1"/>
  <c r="AH189" i="1"/>
  <c r="AF189" i="1"/>
  <c r="AL188" i="1"/>
  <c r="AJ188" i="1"/>
  <c r="AH188" i="1"/>
  <c r="AF188" i="1"/>
  <c r="AL187" i="1"/>
  <c r="AJ187" i="1"/>
  <c r="AH187" i="1"/>
  <c r="AF187" i="1"/>
  <c r="AL186" i="1"/>
  <c r="AJ186" i="1"/>
  <c r="AH186" i="1"/>
  <c r="AF186" i="1"/>
  <c r="AL185" i="1"/>
  <c r="AJ185" i="1"/>
  <c r="AH185" i="1"/>
  <c r="AF185" i="1"/>
  <c r="AL184" i="1"/>
  <c r="AJ184" i="1"/>
  <c r="AH184" i="1"/>
  <c r="AF184" i="1"/>
  <c r="AL183" i="1"/>
  <c r="AJ183" i="1"/>
  <c r="AH183" i="1"/>
  <c r="AF183" i="1"/>
  <c r="AL182" i="1"/>
  <c r="AJ182" i="1"/>
  <c r="AH182" i="1"/>
  <c r="AF182" i="1"/>
  <c r="AL181" i="1"/>
  <c r="AJ181" i="1"/>
  <c r="AH181" i="1"/>
  <c r="AF181" i="1"/>
  <c r="AL180" i="1"/>
  <c r="AJ180" i="1"/>
  <c r="AH180" i="1"/>
  <c r="AF180" i="1"/>
  <c r="AL179" i="1"/>
  <c r="AJ179" i="1"/>
  <c r="AH179" i="1"/>
  <c r="AF179" i="1"/>
  <c r="AL178" i="1"/>
  <c r="AJ178" i="1"/>
  <c r="AH178" i="1"/>
  <c r="AF178" i="1"/>
  <c r="AL177" i="1"/>
  <c r="AJ177" i="1"/>
  <c r="AH177" i="1"/>
  <c r="AF177" i="1"/>
  <c r="AL176" i="1"/>
  <c r="AJ176" i="1"/>
  <c r="AH176" i="1"/>
  <c r="AF176" i="1"/>
  <c r="AL175" i="1"/>
  <c r="AJ175" i="1"/>
  <c r="AH175" i="1"/>
  <c r="AF175" i="1"/>
  <c r="AL174" i="1"/>
  <c r="AJ174" i="1"/>
  <c r="AH174" i="1"/>
  <c r="AF174" i="1"/>
  <c r="AL173" i="1"/>
  <c r="AJ173" i="1"/>
  <c r="AH173" i="1"/>
  <c r="AF173" i="1"/>
  <c r="AL172" i="1"/>
  <c r="AJ172" i="1"/>
  <c r="AH172" i="1"/>
  <c r="AF172" i="1"/>
  <c r="AL171" i="1"/>
  <c r="AJ171" i="1"/>
  <c r="AH171" i="1"/>
  <c r="AF171" i="1"/>
  <c r="AL170" i="1"/>
  <c r="AJ170" i="1"/>
  <c r="AH170" i="1"/>
  <c r="AF170" i="1"/>
  <c r="AL169" i="1"/>
  <c r="AJ169" i="1"/>
  <c r="AH169" i="1"/>
  <c r="AF169" i="1"/>
  <c r="AL168" i="1"/>
  <c r="AJ168" i="1"/>
  <c r="AH168" i="1"/>
  <c r="AF168" i="1"/>
  <c r="AL167" i="1"/>
  <c r="AJ167" i="1"/>
  <c r="AH167" i="1"/>
  <c r="AF167" i="1"/>
  <c r="AL166" i="1"/>
  <c r="AJ166" i="1"/>
  <c r="AH166" i="1"/>
  <c r="AF166" i="1"/>
  <c r="AL165" i="1"/>
  <c r="AJ165" i="1"/>
  <c r="AH165" i="1"/>
  <c r="AF165" i="1"/>
  <c r="AL164" i="1"/>
  <c r="AJ164" i="1"/>
  <c r="AH164" i="1"/>
  <c r="AF164" i="1"/>
  <c r="AL163" i="1"/>
  <c r="AJ163" i="1"/>
  <c r="AH163" i="1"/>
  <c r="AF163" i="1"/>
  <c r="AL162" i="1"/>
  <c r="AJ162" i="1"/>
  <c r="AH162" i="1"/>
  <c r="AF162" i="1"/>
  <c r="AL161" i="1"/>
  <c r="AJ161" i="1"/>
  <c r="AH161" i="1"/>
  <c r="AF161" i="1"/>
  <c r="AL160" i="1"/>
  <c r="AJ160" i="1"/>
  <c r="AH160" i="1"/>
  <c r="AF160" i="1"/>
  <c r="AL159" i="1"/>
  <c r="AJ159" i="1"/>
  <c r="AH159" i="1"/>
  <c r="AF159" i="1"/>
  <c r="AL158" i="1"/>
  <c r="AJ158" i="1"/>
  <c r="AH158" i="1"/>
  <c r="AF158" i="1"/>
  <c r="AL157" i="1"/>
  <c r="AJ157" i="1"/>
  <c r="AH157" i="1"/>
  <c r="AF157" i="1"/>
  <c r="AL156" i="1"/>
  <c r="AJ156" i="1"/>
  <c r="AH156" i="1"/>
  <c r="AF156" i="1"/>
  <c r="AL155" i="1"/>
  <c r="AJ155" i="1"/>
  <c r="AH155" i="1"/>
  <c r="AF155" i="1"/>
  <c r="AL154" i="1"/>
  <c r="AJ154" i="1"/>
  <c r="AH154" i="1"/>
  <c r="AF154" i="1"/>
  <c r="AL153" i="1"/>
  <c r="AJ153" i="1"/>
  <c r="AH153" i="1"/>
  <c r="AF153" i="1"/>
  <c r="AL152" i="1"/>
  <c r="AJ152" i="1"/>
  <c r="AH152" i="1"/>
  <c r="AF152" i="1"/>
  <c r="AL151" i="1"/>
  <c r="AJ151" i="1"/>
  <c r="AH151" i="1"/>
  <c r="AF151" i="1"/>
  <c r="AL150" i="1"/>
  <c r="AJ150" i="1"/>
  <c r="AH150" i="1"/>
  <c r="AF150" i="1"/>
  <c r="AL149" i="1"/>
  <c r="AJ149" i="1"/>
  <c r="AH149" i="1"/>
  <c r="AF149" i="1"/>
  <c r="AL148" i="1"/>
  <c r="AJ148" i="1"/>
  <c r="AH148" i="1"/>
  <c r="AF148" i="1"/>
  <c r="AL147" i="1"/>
  <c r="AJ147" i="1"/>
  <c r="AH147" i="1"/>
  <c r="AF147" i="1"/>
  <c r="AL146" i="1"/>
  <c r="AJ146" i="1"/>
  <c r="AH146" i="1"/>
  <c r="AF146" i="1"/>
  <c r="AL145" i="1"/>
  <c r="AJ145" i="1"/>
  <c r="AH145" i="1"/>
  <c r="AF145" i="1"/>
  <c r="AL144" i="1"/>
  <c r="AJ144" i="1"/>
  <c r="AH144" i="1"/>
  <c r="AF144" i="1"/>
  <c r="AL143" i="1"/>
  <c r="AJ143" i="1"/>
  <c r="AH143" i="1"/>
  <c r="AF143" i="1"/>
  <c r="AL142" i="1"/>
  <c r="AJ142" i="1"/>
  <c r="AH142" i="1"/>
  <c r="AF142" i="1"/>
  <c r="AL141" i="1"/>
  <c r="AJ141" i="1"/>
  <c r="AH141" i="1"/>
  <c r="AF141" i="1"/>
  <c r="AL140" i="1"/>
  <c r="AJ140" i="1"/>
  <c r="AH140" i="1"/>
  <c r="AF140" i="1"/>
  <c r="AL139" i="1"/>
  <c r="AJ139" i="1"/>
  <c r="AH139" i="1"/>
  <c r="AF139" i="1"/>
  <c r="AL138" i="1"/>
  <c r="AJ138" i="1"/>
  <c r="AH138" i="1"/>
  <c r="AF138" i="1"/>
  <c r="AL137" i="1"/>
  <c r="AJ137" i="1"/>
  <c r="AH137" i="1"/>
  <c r="AF137" i="1"/>
  <c r="AL136" i="1"/>
  <c r="AJ136" i="1"/>
  <c r="AH136" i="1"/>
  <c r="AF136" i="1"/>
  <c r="AL135" i="1"/>
  <c r="AJ135" i="1"/>
  <c r="AH135" i="1"/>
  <c r="AF135" i="1"/>
  <c r="AL134" i="1"/>
  <c r="AJ134" i="1"/>
  <c r="AH134" i="1"/>
  <c r="AF134" i="1"/>
  <c r="AL133" i="1"/>
  <c r="AJ133" i="1"/>
  <c r="AH133" i="1"/>
  <c r="AF133" i="1"/>
  <c r="AL132" i="1"/>
  <c r="AJ132" i="1"/>
  <c r="AH132" i="1"/>
  <c r="AF132" i="1"/>
  <c r="AL131" i="1"/>
  <c r="AJ131" i="1"/>
  <c r="AH131" i="1"/>
  <c r="AF131" i="1"/>
  <c r="AL130" i="1"/>
  <c r="AJ130" i="1"/>
  <c r="AH130" i="1"/>
  <c r="AF130" i="1"/>
  <c r="AL129" i="1"/>
  <c r="AJ129" i="1"/>
  <c r="AH129" i="1"/>
  <c r="AF129" i="1"/>
  <c r="AL128" i="1"/>
  <c r="AJ128" i="1"/>
  <c r="AH128" i="1"/>
  <c r="AF128" i="1"/>
  <c r="AL127" i="1"/>
  <c r="AJ127" i="1"/>
  <c r="AH127" i="1"/>
  <c r="AF127" i="1"/>
  <c r="AL126" i="1"/>
  <c r="AJ126" i="1"/>
  <c r="AH126" i="1"/>
  <c r="AF126" i="1"/>
  <c r="AL125" i="1"/>
  <c r="AJ125" i="1"/>
  <c r="AH125" i="1"/>
  <c r="AF125" i="1"/>
  <c r="AL124" i="1"/>
  <c r="AJ124" i="1"/>
  <c r="AH124" i="1"/>
  <c r="AF124" i="1"/>
  <c r="AL123" i="1"/>
  <c r="AJ123" i="1"/>
  <c r="AH123" i="1"/>
  <c r="AF123" i="1"/>
  <c r="AL122" i="1"/>
  <c r="AJ122" i="1"/>
  <c r="AH122" i="1"/>
  <c r="AF122" i="1"/>
  <c r="AL121" i="1"/>
  <c r="AJ121" i="1"/>
  <c r="AH121" i="1"/>
  <c r="AF121" i="1"/>
  <c r="AL120" i="1"/>
  <c r="AJ120" i="1"/>
  <c r="AH120" i="1"/>
  <c r="AF120" i="1"/>
  <c r="AL119" i="1"/>
  <c r="AJ119" i="1"/>
  <c r="AH119" i="1"/>
  <c r="AF119" i="1"/>
  <c r="AL118" i="1"/>
  <c r="AJ118" i="1"/>
  <c r="AH118" i="1"/>
  <c r="AF118" i="1"/>
  <c r="AL117" i="1"/>
  <c r="AJ117" i="1"/>
  <c r="AH117" i="1"/>
  <c r="AF117" i="1"/>
  <c r="AL116" i="1"/>
  <c r="AJ116" i="1"/>
  <c r="AH116" i="1"/>
  <c r="AF116" i="1"/>
  <c r="AL115" i="1"/>
  <c r="AJ115" i="1"/>
  <c r="AH115" i="1"/>
  <c r="AF115" i="1"/>
  <c r="AL114" i="1"/>
  <c r="AJ114" i="1"/>
  <c r="AH114" i="1"/>
  <c r="AF114" i="1"/>
  <c r="AL113" i="1"/>
  <c r="AJ113" i="1"/>
  <c r="AH113" i="1"/>
  <c r="AF113" i="1"/>
  <c r="AL112" i="1"/>
  <c r="AJ112" i="1"/>
  <c r="AH112" i="1"/>
  <c r="AF112" i="1"/>
  <c r="AL111" i="1"/>
  <c r="AJ111" i="1"/>
  <c r="AH111" i="1"/>
  <c r="AF111" i="1"/>
  <c r="AL110" i="1"/>
  <c r="AJ110" i="1"/>
  <c r="AH110" i="1"/>
  <c r="AF110" i="1"/>
  <c r="AL109" i="1"/>
  <c r="AJ109" i="1"/>
  <c r="AH109" i="1"/>
  <c r="AF109" i="1"/>
  <c r="AL108" i="1"/>
  <c r="AJ108" i="1"/>
  <c r="AH108" i="1"/>
  <c r="AF108" i="1"/>
  <c r="AL107" i="1"/>
  <c r="AJ107" i="1"/>
  <c r="AH107" i="1"/>
  <c r="AF107" i="1"/>
  <c r="AL106" i="1"/>
  <c r="AJ106" i="1"/>
  <c r="AH106" i="1"/>
  <c r="AF106" i="1"/>
  <c r="AL105" i="1"/>
  <c r="AJ105" i="1"/>
  <c r="AH105" i="1"/>
  <c r="AF105" i="1"/>
  <c r="AL104" i="1"/>
  <c r="AJ104" i="1"/>
  <c r="AH104" i="1"/>
  <c r="AF104" i="1"/>
  <c r="AL103" i="1"/>
  <c r="AJ103" i="1"/>
  <c r="AH103" i="1"/>
  <c r="AF103" i="1"/>
  <c r="AL102" i="1"/>
  <c r="AJ102" i="1"/>
  <c r="AH102" i="1"/>
  <c r="AF102" i="1"/>
  <c r="AL101" i="1"/>
  <c r="AJ101" i="1"/>
  <c r="AH101" i="1"/>
  <c r="AF101" i="1"/>
  <c r="AL100" i="1"/>
  <c r="AJ100" i="1"/>
  <c r="AH100" i="1"/>
  <c r="AF100" i="1"/>
  <c r="AL99" i="1"/>
  <c r="AJ99" i="1"/>
  <c r="AH99" i="1"/>
  <c r="AF99" i="1"/>
  <c r="AL98" i="1"/>
  <c r="AJ98" i="1"/>
  <c r="AH98" i="1"/>
  <c r="AF98" i="1"/>
  <c r="AL97" i="1"/>
  <c r="AJ97" i="1"/>
  <c r="AH97" i="1"/>
  <c r="AF97" i="1"/>
  <c r="AL96" i="1"/>
  <c r="AJ96" i="1"/>
  <c r="AH96" i="1"/>
  <c r="AF96" i="1"/>
  <c r="AL95" i="1"/>
  <c r="AJ95" i="1"/>
  <c r="AH95" i="1"/>
  <c r="AF95" i="1"/>
  <c r="AL94" i="1"/>
  <c r="AJ94" i="1"/>
  <c r="AH94" i="1"/>
  <c r="AF94" i="1"/>
  <c r="AL93" i="1"/>
  <c r="AJ93" i="1"/>
  <c r="AH93" i="1"/>
  <c r="AF93" i="1"/>
  <c r="AL92" i="1"/>
  <c r="AJ92" i="1"/>
  <c r="AH92" i="1"/>
  <c r="AF92" i="1"/>
  <c r="AL91" i="1"/>
  <c r="AJ91" i="1"/>
  <c r="AH91" i="1"/>
  <c r="AF91" i="1"/>
  <c r="AL90" i="1"/>
  <c r="AJ90" i="1"/>
  <c r="AH90" i="1"/>
  <c r="AF90" i="1"/>
  <c r="AL89" i="1"/>
  <c r="AJ89" i="1"/>
  <c r="AH89" i="1"/>
  <c r="AF89" i="1"/>
  <c r="AL88" i="1"/>
  <c r="AJ88" i="1"/>
  <c r="AH88" i="1"/>
  <c r="AF88" i="1"/>
  <c r="AL87" i="1"/>
  <c r="AJ87" i="1"/>
  <c r="AH87" i="1"/>
  <c r="AF87" i="1"/>
  <c r="AL86" i="1"/>
  <c r="AJ86" i="1"/>
  <c r="AH86" i="1"/>
  <c r="AF86" i="1"/>
  <c r="AL85" i="1"/>
  <c r="AJ85" i="1"/>
  <c r="AH85" i="1"/>
  <c r="AF85" i="1"/>
  <c r="AL84" i="1"/>
  <c r="AJ84" i="1"/>
  <c r="AH84" i="1"/>
  <c r="AF84" i="1"/>
  <c r="AL83" i="1"/>
  <c r="AJ83" i="1"/>
  <c r="AH83" i="1"/>
  <c r="AF83" i="1"/>
  <c r="AL82" i="1"/>
  <c r="AJ82" i="1"/>
  <c r="AH82" i="1"/>
  <c r="AF82" i="1"/>
  <c r="AL81" i="1"/>
  <c r="AJ81" i="1"/>
  <c r="AH81" i="1"/>
  <c r="AF81" i="1"/>
  <c r="AL80" i="1"/>
  <c r="AJ80" i="1"/>
  <c r="AH80" i="1"/>
  <c r="AF80" i="1"/>
  <c r="AL79" i="1"/>
  <c r="AJ79" i="1"/>
  <c r="AH79" i="1"/>
  <c r="AF79" i="1"/>
  <c r="AL78" i="1"/>
  <c r="AJ78" i="1"/>
  <c r="AH78" i="1"/>
  <c r="AF78" i="1"/>
  <c r="AL77" i="1"/>
  <c r="AJ77" i="1"/>
  <c r="AH77" i="1"/>
  <c r="AF77" i="1"/>
  <c r="AL76" i="1"/>
  <c r="AJ76" i="1"/>
  <c r="AH76" i="1"/>
  <c r="AF76" i="1"/>
  <c r="AL75" i="1"/>
  <c r="AJ75" i="1"/>
  <c r="AH75" i="1"/>
  <c r="AF75" i="1"/>
  <c r="AL74" i="1"/>
  <c r="AJ74" i="1"/>
  <c r="AH74" i="1"/>
  <c r="AF74" i="1"/>
  <c r="AL73" i="1"/>
  <c r="AJ73" i="1"/>
  <c r="AH73" i="1"/>
  <c r="AF73" i="1"/>
  <c r="AL72" i="1"/>
  <c r="AJ72" i="1"/>
  <c r="AH72" i="1"/>
  <c r="AF72" i="1"/>
  <c r="AL71" i="1"/>
  <c r="AJ71" i="1"/>
  <c r="AH71" i="1"/>
  <c r="AF71" i="1"/>
  <c r="AL70" i="1"/>
  <c r="AJ70" i="1"/>
  <c r="AH70" i="1"/>
  <c r="AF70" i="1"/>
  <c r="AL69" i="1"/>
  <c r="AJ69" i="1"/>
  <c r="AH69" i="1"/>
  <c r="AF69" i="1"/>
  <c r="AL68" i="1"/>
  <c r="AJ68" i="1"/>
  <c r="AH68" i="1"/>
  <c r="AF68" i="1"/>
  <c r="AL67" i="1"/>
  <c r="AJ67" i="1"/>
  <c r="AH67" i="1"/>
  <c r="AF67" i="1"/>
  <c r="AL66" i="1"/>
  <c r="AJ66" i="1"/>
  <c r="AH66" i="1"/>
  <c r="AF66" i="1"/>
  <c r="AL65" i="1"/>
  <c r="AJ65" i="1"/>
  <c r="AH65" i="1"/>
  <c r="AF65" i="1"/>
  <c r="AL64" i="1"/>
  <c r="AJ64" i="1"/>
  <c r="AH64" i="1"/>
  <c r="AF64" i="1"/>
  <c r="AL63" i="1"/>
  <c r="AJ63" i="1"/>
  <c r="AH63" i="1"/>
  <c r="AF63" i="1"/>
  <c r="AL62" i="1"/>
  <c r="AJ62" i="1"/>
  <c r="AH62" i="1"/>
  <c r="AF62" i="1"/>
  <c r="AL61" i="1"/>
  <c r="AJ61" i="1"/>
  <c r="AH61" i="1"/>
  <c r="AF61" i="1"/>
  <c r="AL60" i="1"/>
  <c r="AJ60" i="1"/>
  <c r="AH60" i="1"/>
  <c r="AF60" i="1"/>
  <c r="AL59" i="1"/>
  <c r="AJ59" i="1"/>
  <c r="AH59" i="1"/>
  <c r="AF59" i="1"/>
  <c r="AL58" i="1"/>
  <c r="AJ58" i="1"/>
  <c r="AH58" i="1"/>
  <c r="AF58" i="1"/>
  <c r="AL57" i="1"/>
  <c r="AJ57" i="1"/>
  <c r="AH57" i="1"/>
  <c r="AF57" i="1"/>
  <c r="AL56" i="1"/>
  <c r="AJ56" i="1"/>
  <c r="AH56" i="1"/>
  <c r="AF56" i="1"/>
  <c r="AL55" i="1"/>
  <c r="AJ55" i="1"/>
  <c r="AH55" i="1"/>
  <c r="AF55" i="1"/>
  <c r="AL54" i="1"/>
  <c r="AJ54" i="1"/>
  <c r="AH54" i="1"/>
  <c r="AF54" i="1"/>
  <c r="AL53" i="1"/>
  <c r="AJ53" i="1"/>
  <c r="AH53" i="1"/>
  <c r="AF53" i="1"/>
  <c r="AL52" i="1"/>
  <c r="AJ52" i="1"/>
  <c r="AH52" i="1"/>
  <c r="AF52" i="1"/>
  <c r="AL51" i="1"/>
  <c r="AJ51" i="1"/>
  <c r="AH51" i="1"/>
  <c r="AF51" i="1"/>
  <c r="AL50" i="1"/>
  <c r="AJ50" i="1"/>
  <c r="AH50" i="1"/>
  <c r="AF50" i="1"/>
  <c r="AL49" i="1"/>
  <c r="AJ49" i="1"/>
  <c r="AH49" i="1"/>
  <c r="AF49" i="1"/>
  <c r="AL48" i="1"/>
  <c r="AJ48" i="1"/>
  <c r="AH48" i="1"/>
  <c r="AF48" i="1"/>
  <c r="AL47" i="1"/>
  <c r="AJ47" i="1"/>
  <c r="AH47" i="1"/>
  <c r="AF47" i="1"/>
  <c r="AL46" i="1"/>
  <c r="AJ46" i="1"/>
  <c r="AH46" i="1"/>
  <c r="AF46" i="1"/>
  <c r="AL45" i="1"/>
  <c r="AJ45" i="1"/>
  <c r="AH45" i="1"/>
  <c r="AF45" i="1"/>
  <c r="AL44" i="1"/>
  <c r="AJ44" i="1"/>
  <c r="AH44" i="1"/>
  <c r="AF44" i="1"/>
  <c r="AL43" i="1"/>
  <c r="AJ43" i="1"/>
  <c r="AH43" i="1"/>
  <c r="AF43" i="1"/>
  <c r="AL42" i="1"/>
  <c r="AJ42" i="1"/>
  <c r="AH42" i="1"/>
  <c r="AF42" i="1"/>
  <c r="AL41" i="1"/>
  <c r="AJ41" i="1"/>
  <c r="AH41" i="1"/>
  <c r="AF41" i="1"/>
  <c r="AL40" i="1"/>
  <c r="AJ40" i="1"/>
  <c r="AH40" i="1"/>
  <c r="AF40" i="1"/>
  <c r="AL39" i="1"/>
  <c r="AJ39" i="1"/>
  <c r="AH39" i="1"/>
  <c r="AF39" i="1"/>
  <c r="AL38" i="1"/>
  <c r="AJ38" i="1"/>
  <c r="AH38" i="1"/>
  <c r="AF38" i="1"/>
  <c r="AL37" i="1"/>
  <c r="AJ37" i="1"/>
  <c r="AH37" i="1"/>
  <c r="AF37" i="1"/>
  <c r="AL36" i="1"/>
  <c r="AJ36" i="1"/>
  <c r="AH36" i="1"/>
  <c r="AF36" i="1"/>
  <c r="AL35" i="1"/>
  <c r="AJ35" i="1"/>
  <c r="AH35" i="1"/>
  <c r="AF35" i="1"/>
  <c r="AL34" i="1"/>
  <c r="AJ34" i="1"/>
  <c r="AH34" i="1"/>
  <c r="AF34" i="1"/>
  <c r="AL33" i="1"/>
  <c r="AJ33" i="1"/>
  <c r="AH33" i="1"/>
  <c r="AF33" i="1"/>
  <c r="AL32" i="1"/>
  <c r="AJ32" i="1"/>
  <c r="AH32" i="1"/>
  <c r="AF32" i="1"/>
  <c r="AL31" i="1"/>
  <c r="AJ31" i="1"/>
  <c r="AH31" i="1"/>
  <c r="AF31" i="1"/>
  <c r="AL30" i="1"/>
  <c r="AJ30" i="1"/>
  <c r="AH30" i="1"/>
  <c r="AF30" i="1"/>
  <c r="AL29" i="1"/>
  <c r="AJ29" i="1"/>
  <c r="AH29" i="1"/>
  <c r="AF29" i="1"/>
  <c r="AL28" i="1"/>
  <c r="AJ28" i="1"/>
  <c r="AH28" i="1"/>
  <c r="AF28" i="1"/>
  <c r="AL27" i="1"/>
  <c r="AJ27" i="1"/>
  <c r="AH27" i="1"/>
  <c r="AF27" i="1"/>
  <c r="AL26" i="1"/>
  <c r="AJ26" i="1"/>
  <c r="AH26" i="1"/>
  <c r="AF26" i="1"/>
  <c r="AL25" i="1"/>
  <c r="AJ25" i="1"/>
  <c r="AH25" i="1"/>
  <c r="AF25" i="1"/>
  <c r="AL24" i="1"/>
  <c r="AJ24" i="1"/>
  <c r="AH24" i="1"/>
  <c r="AF24" i="1"/>
  <c r="AL23" i="1"/>
  <c r="AJ23" i="1"/>
  <c r="AH23" i="1"/>
  <c r="AF23" i="1"/>
  <c r="AL22" i="1"/>
  <c r="AJ22" i="1"/>
  <c r="AH22" i="1"/>
  <c r="AF22" i="1"/>
  <c r="AL21" i="1"/>
  <c r="AJ21" i="1"/>
  <c r="AH21" i="1"/>
  <c r="AF21" i="1"/>
  <c r="AL20" i="1"/>
  <c r="AJ20" i="1"/>
  <c r="AH20" i="1"/>
  <c r="AF20" i="1"/>
  <c r="AL19" i="1"/>
  <c r="AJ19" i="1"/>
  <c r="AH19" i="1"/>
  <c r="AF19" i="1"/>
  <c r="AL18" i="1"/>
  <c r="AJ18" i="1"/>
  <c r="AH18" i="1"/>
  <c r="AF18" i="1"/>
  <c r="AL17" i="1"/>
  <c r="AJ17" i="1"/>
  <c r="AH17" i="1"/>
  <c r="AF17" i="1"/>
  <c r="AL16" i="1"/>
  <c r="AJ16" i="1"/>
  <c r="AH16" i="1"/>
  <c r="AF16" i="1"/>
  <c r="AL15" i="1"/>
  <c r="AJ15" i="1"/>
  <c r="AH15" i="1"/>
  <c r="AF15" i="1"/>
  <c r="AL14" i="1"/>
  <c r="AJ14" i="1"/>
  <c r="AH14" i="1"/>
  <c r="AF14" i="1"/>
  <c r="AL13" i="1"/>
  <c r="AJ13" i="1"/>
  <c r="AH13" i="1"/>
  <c r="AF13" i="1"/>
  <c r="AL12" i="1"/>
  <c r="AJ12" i="1"/>
  <c r="AH12" i="1"/>
  <c r="AF12" i="1"/>
  <c r="AL11" i="1"/>
  <c r="AJ11" i="1"/>
  <c r="AH11" i="1"/>
  <c r="AN10" i="1"/>
  <c r="AL10" i="1"/>
  <c r="AJ10" i="1"/>
  <c r="AH10" i="1"/>
  <c r="AD10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" i="1"/>
  <c r="DD166" i="1" l="1"/>
  <c r="DD126" i="1"/>
  <c r="DC207" i="1"/>
  <c r="DF207" i="1" s="1"/>
  <c r="DC199" i="1"/>
  <c r="DF199" i="1" s="1"/>
  <c r="DC191" i="1"/>
  <c r="DF191" i="1" s="1"/>
  <c r="DE183" i="1"/>
  <c r="DC183" i="1"/>
  <c r="DF183" i="1" s="1"/>
  <c r="DG202" i="1"/>
  <c r="DG170" i="1"/>
  <c r="DG138" i="1"/>
  <c r="DG106" i="1"/>
  <c r="DG74" i="1"/>
  <c r="DG42" i="1"/>
  <c r="DD206" i="1"/>
  <c r="DD110" i="1"/>
  <c r="DD54" i="1"/>
  <c r="DC206" i="1"/>
  <c r="DF206" i="1" s="1"/>
  <c r="DE198" i="1"/>
  <c r="DC198" i="1"/>
  <c r="DF198" i="1" s="1"/>
  <c r="DE190" i="1"/>
  <c r="DE182" i="1"/>
  <c r="DC182" i="1"/>
  <c r="DF182" i="1" s="1"/>
  <c r="DE174" i="1"/>
  <c r="DC174" i="1"/>
  <c r="DF174" i="1" s="1"/>
  <c r="DC166" i="1"/>
  <c r="DF166" i="1" s="1"/>
  <c r="DC150" i="1"/>
  <c r="DF150" i="1" s="1"/>
  <c r="DC118" i="1"/>
  <c r="DF118" i="1" s="1"/>
  <c r="DC86" i="1"/>
  <c r="DF86" i="1" s="1"/>
  <c r="DC54" i="1"/>
  <c r="DF54" i="1" s="1"/>
  <c r="DG207" i="1"/>
  <c r="DG199" i="1"/>
  <c r="DG191" i="1"/>
  <c r="DG183" i="1"/>
  <c r="DG175" i="1"/>
  <c r="DG167" i="1"/>
  <c r="DG159" i="1"/>
  <c r="DG151" i="1"/>
  <c r="DG143" i="1"/>
  <c r="DG135" i="1"/>
  <c r="DG127" i="1"/>
  <c r="DG119" i="1"/>
  <c r="DG111" i="1"/>
  <c r="DG103" i="1"/>
  <c r="DG95" i="1"/>
  <c r="DG87" i="1"/>
  <c r="DG79" i="1"/>
  <c r="DG71" i="1"/>
  <c r="DG63" i="1"/>
  <c r="DG55" i="1"/>
  <c r="DG47" i="1"/>
  <c r="DG39" i="1"/>
  <c r="DG31" i="1"/>
  <c r="DG23" i="1"/>
  <c r="DG15" i="1"/>
  <c r="DG195" i="1"/>
  <c r="DG163" i="1"/>
  <c r="DG131" i="1"/>
  <c r="DG99" i="1"/>
  <c r="DG67" i="1"/>
  <c r="DG35" i="1"/>
  <c r="DD174" i="1"/>
  <c r="DD118" i="1"/>
  <c r="CU205" i="1"/>
  <c r="CV205" i="1" s="1"/>
  <c r="CU197" i="1"/>
  <c r="CV197" i="1" s="1"/>
  <c r="CU189" i="1"/>
  <c r="CV189" i="1" s="1"/>
  <c r="DE64" i="1"/>
  <c r="DG206" i="1"/>
  <c r="DG198" i="1"/>
  <c r="DG190" i="1"/>
  <c r="DG182" i="1"/>
  <c r="DG174" i="1"/>
  <c r="DG166" i="1"/>
  <c r="DG158" i="1"/>
  <c r="DG150" i="1"/>
  <c r="DG142" i="1"/>
  <c r="DG134" i="1"/>
  <c r="DG126" i="1"/>
  <c r="DG118" i="1"/>
  <c r="DG110" i="1"/>
  <c r="DG102" i="1"/>
  <c r="DG94" i="1"/>
  <c r="DG86" i="1"/>
  <c r="DG78" i="1"/>
  <c r="DG70" i="1"/>
  <c r="DG62" i="1"/>
  <c r="DG54" i="1"/>
  <c r="DG46" i="1"/>
  <c r="DG38" i="1"/>
  <c r="DG30" i="1"/>
  <c r="DG22" i="1"/>
  <c r="DG14" i="1"/>
  <c r="DG194" i="1"/>
  <c r="DG162" i="1"/>
  <c r="DG130" i="1"/>
  <c r="DG98" i="1"/>
  <c r="DG66" i="1"/>
  <c r="DG34" i="1"/>
  <c r="DD142" i="1"/>
  <c r="DD94" i="1"/>
  <c r="DG205" i="1"/>
  <c r="DG197" i="1"/>
  <c r="DG189" i="1"/>
  <c r="DG181" i="1"/>
  <c r="DG173" i="1"/>
  <c r="DG165" i="1"/>
  <c r="DG157" i="1"/>
  <c r="DG149" i="1"/>
  <c r="DG141" i="1"/>
  <c r="DG133" i="1"/>
  <c r="DG125" i="1"/>
  <c r="DG117" i="1"/>
  <c r="DG109" i="1"/>
  <c r="DG101" i="1"/>
  <c r="DG93" i="1"/>
  <c r="DG85" i="1"/>
  <c r="DG77" i="1"/>
  <c r="DG69" i="1"/>
  <c r="DG61" i="1"/>
  <c r="DG53" i="1"/>
  <c r="DG45" i="1"/>
  <c r="DG37" i="1"/>
  <c r="DG29" i="1"/>
  <c r="DC190" i="1"/>
  <c r="DF190" i="1" s="1"/>
  <c r="DD182" i="1"/>
  <c r="DD134" i="1"/>
  <c r="DD86" i="1"/>
  <c r="DD22" i="1"/>
  <c r="DC126" i="1"/>
  <c r="DF126" i="1" s="1"/>
  <c r="DD192" i="1"/>
  <c r="DD144" i="1"/>
  <c r="DD120" i="1"/>
  <c r="DD80" i="1"/>
  <c r="DD72" i="1"/>
  <c r="DD64" i="1"/>
  <c r="DD56" i="1"/>
  <c r="DD32" i="1"/>
  <c r="DD24" i="1"/>
  <c r="DE176" i="1"/>
  <c r="DC176" i="1"/>
  <c r="DF176" i="1" s="1"/>
  <c r="DC112" i="1"/>
  <c r="DF112" i="1" s="1"/>
  <c r="DC48" i="1"/>
  <c r="DF48" i="1" s="1"/>
  <c r="DG204" i="1"/>
  <c r="DG196" i="1"/>
  <c r="DG188" i="1"/>
  <c r="DG180" i="1"/>
  <c r="DG172" i="1"/>
  <c r="DG164" i="1"/>
  <c r="DG156" i="1"/>
  <c r="DG148" i="1"/>
  <c r="DG140" i="1"/>
  <c r="DG132" i="1"/>
  <c r="DG124" i="1"/>
  <c r="DG116" i="1"/>
  <c r="DG108" i="1"/>
  <c r="DG100" i="1"/>
  <c r="DG92" i="1"/>
  <c r="DG84" i="1"/>
  <c r="DG76" i="1"/>
  <c r="DG68" i="1"/>
  <c r="DG60" i="1"/>
  <c r="DG52" i="1"/>
  <c r="DG44" i="1"/>
  <c r="DG36" i="1"/>
  <c r="DG28" i="1"/>
  <c r="DG20" i="1"/>
  <c r="DG186" i="1"/>
  <c r="DG154" i="1"/>
  <c r="DG122" i="1"/>
  <c r="DG90" i="1"/>
  <c r="DG58" i="1"/>
  <c r="DG26" i="1"/>
  <c r="DD62" i="1"/>
  <c r="DD14" i="1"/>
  <c r="DD199" i="1"/>
  <c r="DD191" i="1"/>
  <c r="DD183" i="1"/>
  <c r="DD167" i="1"/>
  <c r="DD159" i="1"/>
  <c r="DD135" i="1"/>
  <c r="DD103" i="1"/>
  <c r="DD95" i="1"/>
  <c r="DD71" i="1"/>
  <c r="DD39" i="1"/>
  <c r="DD31" i="1"/>
  <c r="DC168" i="1"/>
  <c r="DF168" i="1" s="1"/>
  <c r="DC104" i="1"/>
  <c r="DF104" i="1" s="1"/>
  <c r="DC40" i="1"/>
  <c r="DF40" i="1" s="1"/>
  <c r="DE40" i="1"/>
  <c r="DC158" i="1"/>
  <c r="DF158" i="1" s="1"/>
  <c r="DC30" i="1"/>
  <c r="DF30" i="1" s="1"/>
  <c r="DC160" i="1"/>
  <c r="DF160" i="1" s="1"/>
  <c r="DE160" i="1"/>
  <c r="DC96" i="1"/>
  <c r="DF96" i="1" s="1"/>
  <c r="DE96" i="1"/>
  <c r="DE32" i="1"/>
  <c r="DC32" i="1"/>
  <c r="DF32" i="1" s="1"/>
  <c r="DC152" i="1"/>
  <c r="DF152" i="1" s="1"/>
  <c r="DC88" i="1"/>
  <c r="DF88" i="1" s="1"/>
  <c r="DE24" i="1"/>
  <c r="DC175" i="1"/>
  <c r="DF175" i="1" s="1"/>
  <c r="DE167" i="1"/>
  <c r="DC167" i="1"/>
  <c r="DF167" i="1" s="1"/>
  <c r="DE159" i="1"/>
  <c r="DC159" i="1"/>
  <c r="DF159" i="1" s="1"/>
  <c r="DC151" i="1"/>
  <c r="DF151" i="1" s="1"/>
  <c r="DC143" i="1"/>
  <c r="DF143" i="1" s="1"/>
  <c r="DE135" i="1"/>
  <c r="DC135" i="1"/>
  <c r="DF135" i="1" s="1"/>
  <c r="DE127" i="1"/>
  <c r="DC127" i="1"/>
  <c r="DF127" i="1" s="1"/>
  <c r="DC119" i="1"/>
  <c r="DF119" i="1" s="1"/>
  <c r="DC111" i="1"/>
  <c r="DF111" i="1" s="1"/>
  <c r="DE103" i="1"/>
  <c r="DC103" i="1"/>
  <c r="DF103" i="1" s="1"/>
  <c r="DC95" i="1"/>
  <c r="DF95" i="1" s="1"/>
  <c r="DC87" i="1"/>
  <c r="DF87" i="1" s="1"/>
  <c r="DC79" i="1"/>
  <c r="DF79" i="1" s="1"/>
  <c r="DE71" i="1"/>
  <c r="DC71" i="1"/>
  <c r="DF71" i="1" s="1"/>
  <c r="DC63" i="1"/>
  <c r="DF63" i="1" s="1"/>
  <c r="DC55" i="1"/>
  <c r="DF55" i="1" s="1"/>
  <c r="DC47" i="1"/>
  <c r="DF47" i="1" s="1"/>
  <c r="DE39" i="1"/>
  <c r="DC39" i="1"/>
  <c r="DF39" i="1" s="1"/>
  <c r="DC31" i="1"/>
  <c r="DF31" i="1" s="1"/>
  <c r="DC23" i="1"/>
  <c r="DF23" i="1" s="1"/>
  <c r="DC15" i="1"/>
  <c r="DF15" i="1" s="1"/>
  <c r="DC10" i="1"/>
  <c r="DF10" i="1" s="1"/>
  <c r="DC144" i="1"/>
  <c r="DF144" i="1" s="1"/>
  <c r="DE144" i="1"/>
  <c r="DC80" i="1"/>
  <c r="DF80" i="1" s="1"/>
  <c r="DE80" i="1"/>
  <c r="DC16" i="1"/>
  <c r="DF16" i="1" s="1"/>
  <c r="DE152" i="1"/>
  <c r="DE126" i="1"/>
  <c r="DE118" i="1"/>
  <c r="DE110" i="1"/>
  <c r="DE94" i="1"/>
  <c r="DE86" i="1"/>
  <c r="DE62" i="1"/>
  <c r="DE54" i="1"/>
  <c r="DE38" i="1"/>
  <c r="DE30" i="1"/>
  <c r="DE22" i="1"/>
  <c r="DC22" i="1"/>
  <c r="DF22" i="1" s="1"/>
  <c r="DC14" i="1"/>
  <c r="DF14" i="1" s="1"/>
  <c r="DC200" i="1"/>
  <c r="DF200" i="1" s="1"/>
  <c r="DC136" i="1"/>
  <c r="DF136" i="1" s="1"/>
  <c r="DE72" i="1"/>
  <c r="DC72" i="1"/>
  <c r="DF72" i="1" s="1"/>
  <c r="DC142" i="1"/>
  <c r="DF142" i="1" s="1"/>
  <c r="DC110" i="1"/>
  <c r="DF110" i="1" s="1"/>
  <c r="DC78" i="1"/>
  <c r="DF78" i="1" s="1"/>
  <c r="DC46" i="1"/>
  <c r="DF46" i="1" s="1"/>
  <c r="CU181" i="1"/>
  <c r="CV181" i="1" s="1"/>
  <c r="CU173" i="1"/>
  <c r="CV173" i="1" s="1"/>
  <c r="CU165" i="1"/>
  <c r="CV165" i="1" s="1"/>
  <c r="CU157" i="1"/>
  <c r="CV157" i="1" s="1"/>
  <c r="CU149" i="1"/>
  <c r="CV149" i="1" s="1"/>
  <c r="CU141" i="1"/>
  <c r="CV141" i="1" s="1"/>
  <c r="CU133" i="1"/>
  <c r="CV133" i="1" s="1"/>
  <c r="CU125" i="1"/>
  <c r="CV125" i="1" s="1"/>
  <c r="CU117" i="1"/>
  <c r="CV117" i="1" s="1"/>
  <c r="CU109" i="1"/>
  <c r="CV109" i="1" s="1"/>
  <c r="CU101" i="1"/>
  <c r="CV101" i="1" s="1"/>
  <c r="CU93" i="1"/>
  <c r="CV93" i="1" s="1"/>
  <c r="CU85" i="1"/>
  <c r="CV85" i="1" s="1"/>
  <c r="CU77" i="1"/>
  <c r="CV77" i="1" s="1"/>
  <c r="CU69" i="1"/>
  <c r="CV69" i="1" s="1"/>
  <c r="CU61" i="1"/>
  <c r="CV61" i="1" s="1"/>
  <c r="CU53" i="1"/>
  <c r="CV53" i="1" s="1"/>
  <c r="CU45" i="1"/>
  <c r="CV45" i="1" s="1"/>
  <c r="CU37" i="1"/>
  <c r="CV37" i="1" s="1"/>
  <c r="CU29" i="1"/>
  <c r="CV29" i="1" s="1"/>
  <c r="CU21" i="1"/>
  <c r="CV21" i="1" s="1"/>
  <c r="CU13" i="1"/>
  <c r="CV13" i="1" s="1"/>
  <c r="DC192" i="1"/>
  <c r="DC128" i="1"/>
  <c r="DF128" i="1" s="1"/>
  <c r="DC64" i="1"/>
  <c r="DF64" i="1" s="1"/>
  <c r="DD16" i="1"/>
  <c r="DC184" i="1"/>
  <c r="DF184" i="1" s="1"/>
  <c r="DC120" i="1"/>
  <c r="DF120" i="1" s="1"/>
  <c r="DE120" i="1"/>
  <c r="DC56" i="1"/>
  <c r="DF56" i="1" s="1"/>
  <c r="DE56" i="1"/>
  <c r="DC134" i="1"/>
  <c r="DF134" i="1" s="1"/>
  <c r="DC102" i="1"/>
  <c r="DF102" i="1" s="1"/>
  <c r="DC70" i="1"/>
  <c r="DF70" i="1" s="1"/>
  <c r="DC38" i="1"/>
  <c r="DF38" i="1" s="1"/>
  <c r="CU204" i="1"/>
  <c r="CV204" i="1" s="1"/>
  <c r="CU196" i="1"/>
  <c r="CV196" i="1" s="1"/>
  <c r="CU188" i="1"/>
  <c r="CV188" i="1" s="1"/>
  <c r="CU180" i="1"/>
  <c r="CV180" i="1" s="1"/>
  <c r="CU172" i="1"/>
  <c r="CV172" i="1" s="1"/>
  <c r="CU164" i="1"/>
  <c r="CV164" i="1" s="1"/>
  <c r="CU156" i="1"/>
  <c r="CV156" i="1" s="1"/>
  <c r="CU148" i="1"/>
  <c r="CV148" i="1" s="1"/>
  <c r="CU140" i="1"/>
  <c r="CV140" i="1" s="1"/>
  <c r="CU132" i="1"/>
  <c r="CV132" i="1" s="1"/>
  <c r="CU124" i="1"/>
  <c r="CV124" i="1" s="1"/>
  <c r="CU116" i="1"/>
  <c r="CV116" i="1" s="1"/>
  <c r="CU108" i="1"/>
  <c r="CV108" i="1" s="1"/>
  <c r="CU100" i="1"/>
  <c r="CV100" i="1" s="1"/>
  <c r="CU92" i="1"/>
  <c r="CV92" i="1" s="1"/>
  <c r="CU84" i="1"/>
  <c r="CV84" i="1" s="1"/>
  <c r="CU76" i="1"/>
  <c r="CV76" i="1" s="1"/>
  <c r="CU68" i="1"/>
  <c r="CV68" i="1" s="1"/>
  <c r="CU60" i="1"/>
  <c r="CV60" i="1" s="1"/>
  <c r="CU52" i="1"/>
  <c r="CV52" i="1" s="1"/>
  <c r="CU44" i="1"/>
  <c r="CV44" i="1" s="1"/>
  <c r="CU36" i="1"/>
  <c r="CV36" i="1" s="1"/>
  <c r="CU28" i="1"/>
  <c r="CV28" i="1" s="1"/>
  <c r="CU20" i="1"/>
  <c r="CV20" i="1" s="1"/>
  <c r="CU12" i="1"/>
  <c r="CV12" i="1" s="1"/>
  <c r="CU203" i="1"/>
  <c r="CV203" i="1" s="1"/>
  <c r="CU195" i="1"/>
  <c r="CV195" i="1" s="1"/>
  <c r="CU187" i="1"/>
  <c r="CV187" i="1" s="1"/>
  <c r="CU179" i="1"/>
  <c r="CV179" i="1" s="1"/>
  <c r="CU171" i="1"/>
  <c r="CV171" i="1" s="1"/>
  <c r="CU163" i="1"/>
  <c r="CV163" i="1" s="1"/>
  <c r="CU155" i="1"/>
  <c r="CV155" i="1" s="1"/>
  <c r="CU147" i="1"/>
  <c r="CV147" i="1" s="1"/>
  <c r="CU139" i="1"/>
  <c r="CV139" i="1" s="1"/>
  <c r="CU131" i="1"/>
  <c r="CV131" i="1" s="1"/>
  <c r="CU123" i="1"/>
  <c r="CV123" i="1" s="1"/>
  <c r="CU115" i="1"/>
  <c r="CV115" i="1" s="1"/>
  <c r="CU107" i="1"/>
  <c r="CV107" i="1" s="1"/>
  <c r="CU99" i="1"/>
  <c r="CV99" i="1" s="1"/>
  <c r="CU91" i="1"/>
  <c r="CV91" i="1" s="1"/>
  <c r="CU83" i="1"/>
  <c r="CV83" i="1" s="1"/>
  <c r="CU75" i="1"/>
  <c r="CV75" i="1" s="1"/>
  <c r="CU67" i="1"/>
  <c r="CV67" i="1" s="1"/>
  <c r="CU59" i="1"/>
  <c r="CV59" i="1" s="1"/>
  <c r="CU51" i="1"/>
  <c r="CV51" i="1" s="1"/>
  <c r="CU43" i="1"/>
  <c r="CV43" i="1" s="1"/>
  <c r="CU35" i="1"/>
  <c r="CV35" i="1" s="1"/>
  <c r="CU27" i="1"/>
  <c r="CV27" i="1" s="1"/>
  <c r="CU19" i="1"/>
  <c r="CV19" i="1" s="1"/>
  <c r="CU11" i="1"/>
  <c r="CV11" i="1" s="1"/>
  <c r="CU202" i="1"/>
  <c r="CV202" i="1" s="1"/>
  <c r="CU194" i="1"/>
  <c r="CV194" i="1" s="1"/>
  <c r="CU186" i="1"/>
  <c r="CV186" i="1" s="1"/>
  <c r="CU178" i="1"/>
  <c r="CV178" i="1" s="1"/>
  <c r="CU170" i="1"/>
  <c r="CV170" i="1" s="1"/>
  <c r="CU162" i="1"/>
  <c r="CV162" i="1" s="1"/>
  <c r="CU154" i="1"/>
  <c r="CV154" i="1" s="1"/>
  <c r="CU146" i="1"/>
  <c r="CV146" i="1" s="1"/>
  <c r="CU138" i="1"/>
  <c r="CV138" i="1" s="1"/>
  <c r="CU130" i="1"/>
  <c r="CV130" i="1" s="1"/>
  <c r="CU122" i="1"/>
  <c r="CV122" i="1" s="1"/>
  <c r="CU114" i="1"/>
  <c r="CV114" i="1" s="1"/>
  <c r="CU106" i="1"/>
  <c r="CV106" i="1" s="1"/>
  <c r="CU98" i="1"/>
  <c r="CV98" i="1" s="1"/>
  <c r="CU90" i="1"/>
  <c r="CV90" i="1" s="1"/>
  <c r="CU82" i="1"/>
  <c r="CV82" i="1" s="1"/>
  <c r="CU74" i="1"/>
  <c r="CV74" i="1" s="1"/>
  <c r="CU66" i="1"/>
  <c r="CV66" i="1" s="1"/>
  <c r="CU58" i="1"/>
  <c r="CV58" i="1" s="1"/>
  <c r="CU50" i="1"/>
  <c r="CV50" i="1" s="1"/>
  <c r="CU42" i="1"/>
  <c r="CV42" i="1" s="1"/>
  <c r="CU34" i="1"/>
  <c r="CV34" i="1" s="1"/>
  <c r="CU26" i="1"/>
  <c r="CV26" i="1" s="1"/>
  <c r="CU18" i="1"/>
  <c r="CV18" i="1" s="1"/>
  <c r="CU201" i="1"/>
  <c r="CV201" i="1" s="1"/>
  <c r="CU193" i="1"/>
  <c r="CV193" i="1" s="1"/>
  <c r="CU185" i="1"/>
  <c r="CV185" i="1" s="1"/>
  <c r="CU177" i="1"/>
  <c r="CV177" i="1" s="1"/>
  <c r="CU169" i="1"/>
  <c r="CV169" i="1" s="1"/>
  <c r="CU161" i="1"/>
  <c r="CV161" i="1" s="1"/>
  <c r="CU153" i="1"/>
  <c r="CV153" i="1" s="1"/>
  <c r="CU145" i="1"/>
  <c r="CV145" i="1" s="1"/>
  <c r="CU137" i="1"/>
  <c r="CV137" i="1" s="1"/>
  <c r="CU129" i="1"/>
  <c r="CV129" i="1" s="1"/>
  <c r="CU121" i="1"/>
  <c r="CV121" i="1" s="1"/>
  <c r="CU113" i="1"/>
  <c r="CV113" i="1" s="1"/>
  <c r="CU105" i="1"/>
  <c r="CV105" i="1" s="1"/>
  <c r="CU97" i="1"/>
  <c r="CV97" i="1" s="1"/>
  <c r="CU89" i="1"/>
  <c r="CV89" i="1" s="1"/>
  <c r="CU81" i="1"/>
  <c r="CV81" i="1" s="1"/>
  <c r="CU73" i="1"/>
  <c r="CV73" i="1" s="1"/>
  <c r="CU65" i="1"/>
  <c r="CV65" i="1" s="1"/>
  <c r="CU57" i="1"/>
  <c r="CV57" i="1" s="1"/>
  <c r="CU49" i="1"/>
  <c r="CV49" i="1" s="1"/>
  <c r="CU41" i="1"/>
  <c r="CV41" i="1" s="1"/>
  <c r="CU33" i="1"/>
  <c r="CV33" i="1" s="1"/>
  <c r="CU25" i="1"/>
  <c r="CV25" i="1" s="1"/>
  <c r="CU17" i="1"/>
  <c r="CV17" i="1" s="1"/>
  <c r="BK34" i="1"/>
  <c r="BK26" i="1"/>
  <c r="BK18" i="1"/>
  <c r="BL10" i="1"/>
  <c r="BL200" i="1"/>
  <c r="BL192" i="1"/>
  <c r="BL184" i="1"/>
  <c r="BL176" i="1"/>
  <c r="BL168" i="1"/>
  <c r="BL160" i="1"/>
  <c r="BL152" i="1"/>
  <c r="BL144" i="1"/>
  <c r="BL136" i="1"/>
  <c r="BL128" i="1"/>
  <c r="BL120" i="1"/>
  <c r="BL112" i="1"/>
  <c r="BL104" i="1"/>
  <c r="BL96" i="1"/>
  <c r="BL88" i="1"/>
  <c r="BL80" i="1"/>
  <c r="BL72" i="1"/>
  <c r="BL64" i="1"/>
  <c r="BL56" i="1"/>
  <c r="BL48" i="1"/>
  <c r="BL40" i="1"/>
  <c r="BL32" i="1"/>
  <c r="BL24" i="1"/>
  <c r="BL16" i="1"/>
  <c r="BL206" i="1"/>
  <c r="BL198" i="1"/>
  <c r="BL190" i="1"/>
  <c r="BL182" i="1"/>
  <c r="BL174" i="1"/>
  <c r="BL166" i="1"/>
  <c r="BL158" i="1"/>
  <c r="BL150" i="1"/>
  <c r="BL142" i="1"/>
  <c r="BL134" i="1"/>
  <c r="BL126" i="1"/>
  <c r="BL118" i="1"/>
  <c r="BL110" i="1"/>
  <c r="BL102" i="1"/>
  <c r="BL94" i="1"/>
  <c r="BL86" i="1"/>
  <c r="BL78" i="1"/>
  <c r="BL70" i="1"/>
  <c r="BL54" i="1"/>
  <c r="BL46" i="1"/>
  <c r="BL38" i="1"/>
  <c r="BL30" i="1"/>
  <c r="BL22" i="1"/>
  <c r="BL14" i="1"/>
  <c r="BK186" i="1"/>
  <c r="BK178" i="1"/>
  <c r="BK154" i="1"/>
  <c r="BK146" i="1"/>
  <c r="BK122" i="1"/>
  <c r="BK10" i="1"/>
  <c r="BL62" i="1"/>
  <c r="BK202" i="1"/>
  <c r="BK194" i="1"/>
  <c r="BK170" i="1"/>
  <c r="BK162" i="1"/>
  <c r="BK138" i="1"/>
  <c r="BK130" i="1"/>
  <c r="BK35" i="1"/>
  <c r="BK27" i="1"/>
  <c r="BK19" i="1"/>
  <c r="BK11" i="1"/>
  <c r="BK200" i="1"/>
  <c r="BK192" i="1"/>
  <c r="BK184" i="1"/>
  <c r="BK176" i="1"/>
  <c r="BK168" i="1"/>
  <c r="BK160" i="1"/>
  <c r="BK152" i="1"/>
  <c r="BK144" i="1"/>
  <c r="BK136" i="1"/>
  <c r="BK128" i="1"/>
  <c r="BK120" i="1"/>
  <c r="BK112" i="1"/>
  <c r="BK104" i="1"/>
  <c r="BK96" i="1"/>
  <c r="BK88" i="1"/>
  <c r="BK80" i="1"/>
  <c r="BK72" i="1"/>
  <c r="BK64" i="1"/>
  <c r="BK56" i="1"/>
  <c r="BK48" i="1"/>
  <c r="BK40" i="1"/>
  <c r="BL201" i="1"/>
  <c r="BL193" i="1"/>
  <c r="BL185" i="1"/>
  <c r="BL177" i="1"/>
  <c r="BL169" i="1"/>
  <c r="BL161" i="1"/>
  <c r="BL153" i="1"/>
  <c r="BL145" i="1"/>
  <c r="BL137" i="1"/>
  <c r="BL129" i="1"/>
  <c r="BL121" i="1"/>
  <c r="BL113" i="1"/>
  <c r="BL105" i="1"/>
  <c r="BL97" i="1"/>
  <c r="BL89" i="1"/>
  <c r="BL81" i="1"/>
  <c r="BL73" i="1"/>
  <c r="BL65" i="1"/>
  <c r="BL57" i="1"/>
  <c r="BL49" i="1"/>
  <c r="BL41" i="1"/>
  <c r="BL33" i="1"/>
  <c r="BL25" i="1"/>
  <c r="BL17" i="1"/>
  <c r="BK39" i="1"/>
  <c r="BK31" i="1"/>
  <c r="BL205" i="1"/>
  <c r="BL197" i="1"/>
  <c r="BL189" i="1"/>
  <c r="BL181" i="1"/>
  <c r="BL173" i="1"/>
  <c r="BL165" i="1"/>
  <c r="BL157" i="1"/>
  <c r="BL149" i="1"/>
  <c r="BL141" i="1"/>
  <c r="BL133" i="1"/>
  <c r="BL125" i="1"/>
  <c r="BL117" i="1"/>
  <c r="BL109" i="1"/>
  <c r="BL101" i="1"/>
  <c r="BL93" i="1"/>
  <c r="BL85" i="1"/>
  <c r="BL77" i="1"/>
  <c r="BL69" i="1"/>
  <c r="BL61" i="1"/>
  <c r="BL53" i="1"/>
  <c r="BL45" i="1"/>
  <c r="BL37" i="1"/>
  <c r="BL29" i="1"/>
  <c r="BL21" i="1"/>
  <c r="BL13" i="1"/>
  <c r="BK191" i="1"/>
  <c r="BK159" i="1"/>
  <c r="BK127" i="1"/>
  <c r="BK95" i="1"/>
  <c r="BK47" i="1"/>
  <c r="BK21" i="1"/>
  <c r="BK33" i="1"/>
  <c r="BK25" i="1"/>
  <c r="BK17" i="1"/>
  <c r="BK206" i="1"/>
  <c r="BK198" i="1"/>
  <c r="BK190" i="1"/>
  <c r="BK182" i="1"/>
  <c r="BK174" i="1"/>
  <c r="BK166" i="1"/>
  <c r="BK158" i="1"/>
  <c r="BK150" i="1"/>
  <c r="BK142" i="1"/>
  <c r="BK134" i="1"/>
  <c r="BK126" i="1"/>
  <c r="BK118" i="1"/>
  <c r="BK110" i="1"/>
  <c r="BK102" i="1"/>
  <c r="BK94" i="1"/>
  <c r="BK86" i="1"/>
  <c r="BK78" i="1"/>
  <c r="BK70" i="1"/>
  <c r="BK62" i="1"/>
  <c r="BK54" i="1"/>
  <c r="BK46" i="1"/>
  <c r="BL207" i="1"/>
  <c r="BL199" i="1"/>
  <c r="BL191" i="1"/>
  <c r="BL183" i="1"/>
  <c r="BL175" i="1"/>
  <c r="BL167" i="1"/>
  <c r="BL159" i="1"/>
  <c r="BL151" i="1"/>
  <c r="BL143" i="1"/>
  <c r="BL135" i="1"/>
  <c r="BL127" i="1"/>
  <c r="BL119" i="1"/>
  <c r="BL111" i="1"/>
  <c r="BL103" i="1"/>
  <c r="BL95" i="1"/>
  <c r="BL87" i="1"/>
  <c r="BL79" i="1"/>
  <c r="BL71" i="1"/>
  <c r="BL63" i="1"/>
  <c r="BL55" i="1"/>
  <c r="BL47" i="1"/>
  <c r="BL39" i="1"/>
  <c r="BL31" i="1"/>
  <c r="BL23" i="1"/>
  <c r="BL15" i="1"/>
  <c r="BK199" i="1"/>
  <c r="BK167" i="1"/>
  <c r="BK135" i="1"/>
  <c r="BK103" i="1"/>
  <c r="BK71" i="1"/>
  <c r="BK141" i="1"/>
  <c r="BK207" i="1"/>
  <c r="BK175" i="1"/>
  <c r="BK143" i="1"/>
  <c r="BK111" i="1"/>
  <c r="BK79" i="1"/>
  <c r="BK55" i="1"/>
  <c r="BK24" i="1"/>
  <c r="BK205" i="1"/>
  <c r="BK181" i="1"/>
  <c r="BK165" i="1"/>
  <c r="BK149" i="1"/>
  <c r="BK125" i="1"/>
  <c r="BK109" i="1"/>
  <c r="BK93" i="1"/>
  <c r="BK77" i="1"/>
  <c r="BK69" i="1"/>
  <c r="BK53" i="1"/>
  <c r="BK13" i="1"/>
  <c r="BK23" i="1"/>
  <c r="BK15" i="1"/>
  <c r="BK204" i="1"/>
  <c r="BK196" i="1"/>
  <c r="BK188" i="1"/>
  <c r="BK180" i="1"/>
  <c r="BK172" i="1"/>
  <c r="BK164" i="1"/>
  <c r="BK156" i="1"/>
  <c r="BK148" i="1"/>
  <c r="BK140" i="1"/>
  <c r="BK132" i="1"/>
  <c r="BK124" i="1"/>
  <c r="BK116" i="1"/>
  <c r="BK108" i="1"/>
  <c r="BK100" i="1"/>
  <c r="BK92" i="1"/>
  <c r="BK84" i="1"/>
  <c r="BK76" i="1"/>
  <c r="BK68" i="1"/>
  <c r="BK60" i="1"/>
  <c r="BK52" i="1"/>
  <c r="BK44" i="1"/>
  <c r="BK183" i="1"/>
  <c r="BK151" i="1"/>
  <c r="BK119" i="1"/>
  <c r="BK87" i="1"/>
  <c r="BK63" i="1"/>
  <c r="BK16" i="1"/>
  <c r="BK197" i="1"/>
  <c r="BK189" i="1"/>
  <c r="BK173" i="1"/>
  <c r="BK157" i="1"/>
  <c r="BK133" i="1"/>
  <c r="BK117" i="1"/>
  <c r="BK101" i="1"/>
  <c r="BK85" i="1"/>
  <c r="BK61" i="1"/>
  <c r="BK45" i="1"/>
  <c r="BK38" i="1"/>
  <c r="BK30" i="1"/>
  <c r="BK22" i="1"/>
  <c r="BK14" i="1"/>
  <c r="BK203" i="1"/>
  <c r="BK195" i="1"/>
  <c r="BK187" i="1"/>
  <c r="BK179" i="1"/>
  <c r="BK171" i="1"/>
  <c r="BK163" i="1"/>
  <c r="BK155" i="1"/>
  <c r="BK147" i="1"/>
  <c r="BK139" i="1"/>
  <c r="BK131" i="1"/>
  <c r="BK123" i="1"/>
  <c r="BK115" i="1"/>
  <c r="BK107" i="1"/>
  <c r="BK99" i="1"/>
  <c r="BK91" i="1"/>
  <c r="BK83" i="1"/>
  <c r="BK75" i="1"/>
  <c r="BK67" i="1"/>
  <c r="BK59" i="1"/>
  <c r="BK51" i="1"/>
  <c r="BK43" i="1"/>
  <c r="BL204" i="1"/>
  <c r="BL196" i="1"/>
  <c r="BL188" i="1"/>
  <c r="BL180" i="1"/>
  <c r="BL172" i="1"/>
  <c r="BL164" i="1"/>
  <c r="BL156" i="1"/>
  <c r="BL148" i="1"/>
  <c r="BL140" i="1"/>
  <c r="BL132" i="1"/>
  <c r="BL124" i="1"/>
  <c r="BL116" i="1"/>
  <c r="BL108" i="1"/>
  <c r="BL100" i="1"/>
  <c r="BL92" i="1"/>
  <c r="BL84" i="1"/>
  <c r="BL76" i="1"/>
  <c r="BL68" i="1"/>
  <c r="BL60" i="1"/>
  <c r="BL52" i="1"/>
  <c r="BL44" i="1"/>
  <c r="BL36" i="1"/>
  <c r="BL28" i="1"/>
  <c r="BL20" i="1"/>
  <c r="BL12" i="1"/>
  <c r="BK32" i="1"/>
  <c r="BK37" i="1"/>
  <c r="BK106" i="1"/>
  <c r="BK90" i="1"/>
  <c r="BK66" i="1"/>
  <c r="BK58" i="1"/>
  <c r="BK42" i="1"/>
  <c r="BL203" i="1"/>
  <c r="BL195" i="1"/>
  <c r="BL187" i="1"/>
  <c r="BL179" i="1"/>
  <c r="BL171" i="1"/>
  <c r="BL163" i="1"/>
  <c r="BL155" i="1"/>
  <c r="BL147" i="1"/>
  <c r="BL139" i="1"/>
  <c r="BL131" i="1"/>
  <c r="BL123" i="1"/>
  <c r="BL115" i="1"/>
  <c r="BL107" i="1"/>
  <c r="BL99" i="1"/>
  <c r="BL91" i="1"/>
  <c r="BL83" i="1"/>
  <c r="BL75" i="1"/>
  <c r="BL59" i="1"/>
  <c r="BL51" i="1"/>
  <c r="BL43" i="1"/>
  <c r="BL35" i="1"/>
  <c r="BL27" i="1"/>
  <c r="BL19" i="1"/>
  <c r="BL11" i="1"/>
  <c r="BK29" i="1"/>
  <c r="BK114" i="1"/>
  <c r="BK98" i="1"/>
  <c r="BK82" i="1"/>
  <c r="BK74" i="1"/>
  <c r="BK50" i="1"/>
  <c r="BL67" i="1"/>
  <c r="BK36" i="1"/>
  <c r="BK28" i="1"/>
  <c r="BK20" i="1"/>
  <c r="BK12" i="1"/>
  <c r="BK201" i="1"/>
  <c r="BK193" i="1"/>
  <c r="BK185" i="1"/>
  <c r="BK177" i="1"/>
  <c r="BK169" i="1"/>
  <c r="BK161" i="1"/>
  <c r="BK153" i="1"/>
  <c r="BK145" i="1"/>
  <c r="BK137" i="1"/>
  <c r="BK129" i="1"/>
  <c r="BK121" i="1"/>
  <c r="BK113" i="1"/>
  <c r="BK105" i="1"/>
  <c r="BK97" i="1"/>
  <c r="BK89" i="1"/>
  <c r="BK81" i="1"/>
  <c r="BK73" i="1"/>
  <c r="BK65" i="1"/>
  <c r="BK57" i="1"/>
  <c r="BK49" i="1"/>
  <c r="BK41" i="1"/>
  <c r="BL202" i="1"/>
  <c r="BL194" i="1"/>
  <c r="BL186" i="1"/>
  <c r="BL178" i="1"/>
  <c r="BL170" i="1"/>
  <c r="BL162" i="1"/>
  <c r="BL154" i="1"/>
  <c r="BL146" i="1"/>
  <c r="BL138" i="1"/>
  <c r="BL130" i="1"/>
  <c r="BL122" i="1"/>
  <c r="BL114" i="1"/>
  <c r="BL106" i="1"/>
  <c r="BL98" i="1"/>
  <c r="BL90" i="1"/>
  <c r="BL82" i="1"/>
  <c r="BL74" i="1"/>
  <c r="BL66" i="1"/>
  <c r="BL58" i="1"/>
  <c r="BL50" i="1"/>
  <c r="BL42" i="1"/>
  <c r="BL34" i="1"/>
  <c r="BL26" i="1"/>
  <c r="BL18" i="1"/>
  <c r="AP166" i="1"/>
  <c r="AP70" i="1"/>
  <c r="AP190" i="1"/>
  <c r="AP142" i="1"/>
  <c r="AP118" i="1"/>
  <c r="AP102" i="1"/>
  <c r="AP94" i="1"/>
  <c r="AP86" i="1"/>
  <c r="AP38" i="1"/>
  <c r="AP204" i="1"/>
  <c r="AP196" i="1"/>
  <c r="AP188" i="1"/>
  <c r="AP180" i="1"/>
  <c r="AP172" i="1"/>
  <c r="AP164" i="1"/>
  <c r="AP156" i="1"/>
  <c r="AP148" i="1"/>
  <c r="AP140" i="1"/>
  <c r="AP132" i="1"/>
  <c r="AP124" i="1"/>
  <c r="AP116" i="1"/>
  <c r="AP108" i="1"/>
  <c r="AP100" i="1"/>
  <c r="AP92" i="1"/>
  <c r="AP84" i="1"/>
  <c r="AP76" i="1"/>
  <c r="AP68" i="1"/>
  <c r="AP60" i="1"/>
  <c r="AP52" i="1"/>
  <c r="AP44" i="1"/>
  <c r="AP36" i="1"/>
  <c r="AP182" i="1"/>
  <c r="AP126" i="1"/>
  <c r="AP46" i="1"/>
  <c r="AP206" i="1"/>
  <c r="AP174" i="1"/>
  <c r="AP134" i="1"/>
  <c r="AP78" i="1"/>
  <c r="AP158" i="1"/>
  <c r="AP54" i="1"/>
  <c r="AP198" i="1"/>
  <c r="AP150" i="1"/>
  <c r="AP110" i="1"/>
  <c r="AP62" i="1"/>
  <c r="AP177" i="1"/>
  <c r="AP11" i="1"/>
  <c r="AP71" i="1"/>
  <c r="AP135" i="1"/>
  <c r="AP30" i="1"/>
  <c r="AP22" i="1"/>
  <c r="AP14" i="1"/>
  <c r="AP56" i="1"/>
  <c r="AP120" i="1"/>
  <c r="AP191" i="1"/>
  <c r="AP28" i="1"/>
  <c r="AP20" i="1"/>
  <c r="AP12" i="1"/>
  <c r="AP193" i="1"/>
  <c r="AP185" i="1"/>
  <c r="AP37" i="1"/>
  <c r="AP101" i="1"/>
  <c r="AP165" i="1"/>
  <c r="AP39" i="1"/>
  <c r="AP103" i="1"/>
  <c r="AP167" i="1"/>
  <c r="AP200" i="1"/>
  <c r="AP10" i="1"/>
  <c r="AP88" i="1"/>
  <c r="AP152" i="1"/>
  <c r="AP24" i="1"/>
  <c r="AP26" i="1"/>
  <c r="AP133" i="1"/>
  <c r="AP189" i="1"/>
  <c r="AP99" i="1"/>
  <c r="AP41" i="1"/>
  <c r="AP73" i="1"/>
  <c r="AP13" i="1"/>
  <c r="AP45" i="1"/>
  <c r="AP77" i="1"/>
  <c r="AP109" i="1"/>
  <c r="AP139" i="1"/>
  <c r="AP141" i="1"/>
  <c r="AP171" i="1"/>
  <c r="AP173" i="1"/>
  <c r="AP184" i="1"/>
  <c r="AP163" i="1"/>
  <c r="AP154" i="1"/>
  <c r="AP15" i="1"/>
  <c r="AP17" i="1"/>
  <c r="AP19" i="1"/>
  <c r="AP32" i="1"/>
  <c r="AP34" i="1"/>
  <c r="AP47" i="1"/>
  <c r="AP49" i="1"/>
  <c r="AP51" i="1"/>
  <c r="AP64" i="1"/>
  <c r="AP66" i="1"/>
  <c r="AP79" i="1"/>
  <c r="AP81" i="1"/>
  <c r="AP83" i="1"/>
  <c r="AP96" i="1"/>
  <c r="AP98" i="1"/>
  <c r="AP111" i="1"/>
  <c r="AP113" i="1"/>
  <c r="AP128" i="1"/>
  <c r="AP130" i="1"/>
  <c r="AP143" i="1"/>
  <c r="AP145" i="1"/>
  <c r="AP160" i="1"/>
  <c r="AP162" i="1"/>
  <c r="AP175" i="1"/>
  <c r="AP186" i="1"/>
  <c r="AP195" i="1"/>
  <c r="AP197" i="1"/>
  <c r="AP131" i="1"/>
  <c r="AP178" i="1"/>
  <c r="AP202" i="1"/>
  <c r="AP58" i="1"/>
  <c r="AP105" i="1"/>
  <c r="AP169" i="1"/>
  <c r="AP21" i="1"/>
  <c r="AP53" i="1"/>
  <c r="AP85" i="1"/>
  <c r="AP115" i="1"/>
  <c r="AP117" i="1"/>
  <c r="AP147" i="1"/>
  <c r="AP149" i="1"/>
  <c r="AP199" i="1"/>
  <c r="AP201" i="1"/>
  <c r="AP187" i="1"/>
  <c r="AP43" i="1"/>
  <c r="AP69" i="1"/>
  <c r="AP75" i="1"/>
  <c r="AP90" i="1"/>
  <c r="AP107" i="1"/>
  <c r="AP122" i="1"/>
  <c r="AP137" i="1"/>
  <c r="AP23" i="1"/>
  <c r="AP25" i="1"/>
  <c r="AP27" i="1"/>
  <c r="AP40" i="1"/>
  <c r="AP42" i="1"/>
  <c r="AP55" i="1"/>
  <c r="AP57" i="1"/>
  <c r="AP59" i="1"/>
  <c r="AP72" i="1"/>
  <c r="AP74" i="1"/>
  <c r="AP87" i="1"/>
  <c r="AP89" i="1"/>
  <c r="AP91" i="1"/>
  <c r="AP104" i="1"/>
  <c r="AP106" i="1"/>
  <c r="AP119" i="1"/>
  <c r="AP121" i="1"/>
  <c r="AP136" i="1"/>
  <c r="AP138" i="1"/>
  <c r="AP151" i="1"/>
  <c r="AP153" i="1"/>
  <c r="AP168" i="1"/>
  <c r="AP170" i="1"/>
  <c r="AP179" i="1"/>
  <c r="AP181" i="1"/>
  <c r="AP192" i="1"/>
  <c r="AP203" i="1"/>
  <c r="AP205" i="1"/>
  <c r="AP29" i="1"/>
  <c r="AP61" i="1"/>
  <c r="AP93" i="1"/>
  <c r="AP123" i="1"/>
  <c r="AP125" i="1"/>
  <c r="AP155" i="1"/>
  <c r="AP157" i="1"/>
  <c r="AP183" i="1"/>
  <c r="AP194" i="1"/>
  <c r="AP207" i="1"/>
  <c r="AP16" i="1"/>
  <c r="AP18" i="1"/>
  <c r="AP31" i="1"/>
  <c r="AP33" i="1"/>
  <c r="AP35" i="1"/>
  <c r="AP48" i="1"/>
  <c r="AP50" i="1"/>
  <c r="AP63" i="1"/>
  <c r="AP65" i="1"/>
  <c r="AP67" i="1"/>
  <c r="AP80" i="1"/>
  <c r="AP82" i="1"/>
  <c r="AP95" i="1"/>
  <c r="AP97" i="1"/>
  <c r="AP112" i="1"/>
  <c r="AP114" i="1"/>
  <c r="AP127" i="1"/>
  <c r="AP129" i="1"/>
  <c r="AP144" i="1"/>
  <c r="AP146" i="1"/>
  <c r="AP159" i="1"/>
  <c r="AP161" i="1"/>
  <c r="AP176" i="1"/>
  <c r="DC49" i="1" l="1"/>
  <c r="DC113" i="1"/>
  <c r="DC177" i="1"/>
  <c r="DC50" i="1"/>
  <c r="DE114" i="1"/>
  <c r="DC114" i="1"/>
  <c r="DC178" i="1"/>
  <c r="DC43" i="1"/>
  <c r="DC107" i="1"/>
  <c r="DE171" i="1"/>
  <c r="DC171" i="1"/>
  <c r="DC36" i="1"/>
  <c r="DC100" i="1"/>
  <c r="DC164" i="1"/>
  <c r="DE37" i="1"/>
  <c r="DC37" i="1"/>
  <c r="DC101" i="1"/>
  <c r="DC165" i="1"/>
  <c r="DD184" i="1"/>
  <c r="DC57" i="1"/>
  <c r="DC121" i="1"/>
  <c r="DE121" i="1"/>
  <c r="DC185" i="1"/>
  <c r="DE185" i="1" s="1"/>
  <c r="DC58" i="1"/>
  <c r="DE58" i="1"/>
  <c r="DC122" i="1"/>
  <c r="DC186" i="1"/>
  <c r="DE186" i="1"/>
  <c r="DC51" i="1"/>
  <c r="DC115" i="1"/>
  <c r="DE179" i="1"/>
  <c r="DC179" i="1"/>
  <c r="DC44" i="1"/>
  <c r="DC108" i="1"/>
  <c r="DC172" i="1"/>
  <c r="DE45" i="1"/>
  <c r="DC45" i="1"/>
  <c r="DC109" i="1"/>
  <c r="DC173" i="1"/>
  <c r="DE112" i="1"/>
  <c r="DD128" i="1"/>
  <c r="DE150" i="1"/>
  <c r="DE207" i="1"/>
  <c r="DC65" i="1"/>
  <c r="DE65" i="1" s="1"/>
  <c r="DC129" i="1"/>
  <c r="DE129" i="1" s="1"/>
  <c r="DC193" i="1"/>
  <c r="DE193" i="1"/>
  <c r="DE66" i="1"/>
  <c r="DC66" i="1"/>
  <c r="DC130" i="1"/>
  <c r="DC194" i="1"/>
  <c r="DC59" i="1"/>
  <c r="DE123" i="1"/>
  <c r="DC123" i="1"/>
  <c r="DE187" i="1"/>
  <c r="DC187" i="1"/>
  <c r="DC52" i="1"/>
  <c r="DC116" i="1"/>
  <c r="DE180" i="1"/>
  <c r="DC180" i="1"/>
  <c r="DE53" i="1"/>
  <c r="DC53" i="1"/>
  <c r="DC117" i="1"/>
  <c r="DC181" i="1"/>
  <c r="DE136" i="1"/>
  <c r="DE102" i="1"/>
  <c r="DE16" i="1"/>
  <c r="DE15" i="1"/>
  <c r="DE47" i="1"/>
  <c r="DE79" i="1"/>
  <c r="DE111" i="1"/>
  <c r="DE143" i="1"/>
  <c r="DE175" i="1"/>
  <c r="DE104" i="1"/>
  <c r="DD47" i="1"/>
  <c r="DD111" i="1"/>
  <c r="DD175" i="1"/>
  <c r="DD136" i="1"/>
  <c r="DD200" i="1"/>
  <c r="DE189" i="1"/>
  <c r="DC189" i="1"/>
  <c r="DD38" i="1"/>
  <c r="DE158" i="1"/>
  <c r="DD158" i="1"/>
  <c r="DC73" i="1"/>
  <c r="DC137" i="1"/>
  <c r="DE201" i="1"/>
  <c r="DC201" i="1"/>
  <c r="DE74" i="1"/>
  <c r="DC74" i="1"/>
  <c r="DC138" i="1"/>
  <c r="DC202" i="1"/>
  <c r="DE67" i="1"/>
  <c r="DC67" i="1"/>
  <c r="DE131" i="1"/>
  <c r="DC131" i="1"/>
  <c r="DC195" i="1"/>
  <c r="DC60" i="1"/>
  <c r="DE124" i="1"/>
  <c r="DC124" i="1"/>
  <c r="DE188" i="1"/>
  <c r="DC188" i="1"/>
  <c r="DC61" i="1"/>
  <c r="DC125" i="1"/>
  <c r="DE46" i="1"/>
  <c r="DD55" i="1"/>
  <c r="DD119" i="1"/>
  <c r="DD10" i="1"/>
  <c r="DC197" i="1"/>
  <c r="DD70" i="1"/>
  <c r="DC17" i="1"/>
  <c r="DC81" i="1"/>
  <c r="DE81" i="1"/>
  <c r="DC145" i="1"/>
  <c r="DE145" i="1"/>
  <c r="DC18" i="1"/>
  <c r="DE18" i="1" s="1"/>
  <c r="DC82" i="1"/>
  <c r="DE82" i="1" s="1"/>
  <c r="DC146" i="1"/>
  <c r="DE146" i="1"/>
  <c r="DC11" i="1"/>
  <c r="DE11" i="1"/>
  <c r="DE75" i="1"/>
  <c r="DC75" i="1"/>
  <c r="DC139" i="1"/>
  <c r="DC203" i="1"/>
  <c r="DC68" i="1"/>
  <c r="DE132" i="1"/>
  <c r="DC132" i="1"/>
  <c r="DC196" i="1"/>
  <c r="DF192" i="1"/>
  <c r="DE192" i="1"/>
  <c r="DC69" i="1"/>
  <c r="DE133" i="1"/>
  <c r="DC133" i="1"/>
  <c r="DE200" i="1"/>
  <c r="DE23" i="1"/>
  <c r="DE55" i="1"/>
  <c r="DE87" i="1"/>
  <c r="DE119" i="1"/>
  <c r="DE151" i="1"/>
  <c r="DE168" i="1"/>
  <c r="DD63" i="1"/>
  <c r="DD127" i="1"/>
  <c r="DD88" i="1"/>
  <c r="DD152" i="1"/>
  <c r="DE205" i="1"/>
  <c r="DC205" i="1"/>
  <c r="DE88" i="1"/>
  <c r="DE166" i="1"/>
  <c r="DC25" i="1"/>
  <c r="DE89" i="1"/>
  <c r="DC89" i="1"/>
  <c r="DE153" i="1"/>
  <c r="DC153" i="1"/>
  <c r="DC26" i="1"/>
  <c r="DC90" i="1"/>
  <c r="DE154" i="1"/>
  <c r="DC154" i="1"/>
  <c r="DC19" i="1"/>
  <c r="DE19" i="1" s="1"/>
  <c r="DC83" i="1"/>
  <c r="DC147" i="1"/>
  <c r="DE12" i="1"/>
  <c r="DC12" i="1"/>
  <c r="DE76" i="1"/>
  <c r="DC76" i="1"/>
  <c r="DC140" i="1"/>
  <c r="DC204" i="1"/>
  <c r="DE13" i="1"/>
  <c r="DC13" i="1"/>
  <c r="DE77" i="1"/>
  <c r="DC77" i="1"/>
  <c r="DC141" i="1"/>
  <c r="DD102" i="1"/>
  <c r="DD96" i="1"/>
  <c r="DD160" i="1"/>
  <c r="DE206" i="1"/>
  <c r="DE191" i="1"/>
  <c r="DC33" i="1"/>
  <c r="DE33" i="1"/>
  <c r="DC97" i="1"/>
  <c r="DE97" i="1" s="1"/>
  <c r="DC161" i="1"/>
  <c r="DE161" i="1" s="1"/>
  <c r="DC34" i="1"/>
  <c r="DE34" i="1"/>
  <c r="DC98" i="1"/>
  <c r="DE98" i="1"/>
  <c r="DC162" i="1"/>
  <c r="DE162" i="1" s="1"/>
  <c r="DC27" i="1"/>
  <c r="DC91" i="1"/>
  <c r="DC155" i="1"/>
  <c r="DE20" i="1"/>
  <c r="DC20" i="1"/>
  <c r="DC84" i="1"/>
  <c r="DC148" i="1"/>
  <c r="DE128" i="1"/>
  <c r="DC21" i="1"/>
  <c r="DC85" i="1"/>
  <c r="DE149" i="1"/>
  <c r="DC149" i="1"/>
  <c r="DE14" i="1"/>
  <c r="DE70" i="1"/>
  <c r="DE134" i="1"/>
  <c r="DE31" i="1"/>
  <c r="DE63" i="1"/>
  <c r="DE95" i="1"/>
  <c r="DD15" i="1"/>
  <c r="DD79" i="1"/>
  <c r="DD143" i="1"/>
  <c r="DD207" i="1"/>
  <c r="DD150" i="1"/>
  <c r="DD40" i="1"/>
  <c r="DD104" i="1"/>
  <c r="DD168" i="1"/>
  <c r="DD46" i="1"/>
  <c r="DC41" i="1"/>
  <c r="DE41" i="1"/>
  <c r="DC105" i="1"/>
  <c r="DE105" i="1"/>
  <c r="DC169" i="1"/>
  <c r="DE169" i="1" s="1"/>
  <c r="DC42" i="1"/>
  <c r="DE42" i="1" s="1"/>
  <c r="DC106" i="1"/>
  <c r="DE106" i="1"/>
  <c r="DC170" i="1"/>
  <c r="DE170" i="1"/>
  <c r="DE35" i="1"/>
  <c r="DC35" i="1"/>
  <c r="DC99" i="1"/>
  <c r="DC163" i="1"/>
  <c r="DC28" i="1"/>
  <c r="DE92" i="1"/>
  <c r="DC92" i="1"/>
  <c r="DC156" i="1"/>
  <c r="DE184" i="1"/>
  <c r="DE29" i="1"/>
  <c r="DC29" i="1"/>
  <c r="DC93" i="1"/>
  <c r="DC157" i="1"/>
  <c r="DE78" i="1"/>
  <c r="DE142" i="1"/>
  <c r="DE10" i="1"/>
  <c r="DD23" i="1"/>
  <c r="DD87" i="1"/>
  <c r="DD151" i="1"/>
  <c r="DD190" i="1"/>
  <c r="DE48" i="1"/>
  <c r="DD48" i="1"/>
  <c r="DD112" i="1"/>
  <c r="DD176" i="1"/>
  <c r="DD30" i="1"/>
  <c r="DE199" i="1"/>
  <c r="DD78" i="1"/>
  <c r="DD198" i="1"/>
  <c r="DF156" i="1" l="1"/>
  <c r="DD156" i="1"/>
  <c r="DF99" i="1"/>
  <c r="DD99" i="1"/>
  <c r="DF84" i="1"/>
  <c r="DD84" i="1"/>
  <c r="DF27" i="1"/>
  <c r="DD27" i="1"/>
  <c r="DF196" i="1"/>
  <c r="DD196" i="1"/>
  <c r="DF139" i="1"/>
  <c r="DD139" i="1"/>
  <c r="DF17" i="1"/>
  <c r="DD17" i="1"/>
  <c r="DF189" i="1"/>
  <c r="DD189" i="1"/>
  <c r="DF122" i="1"/>
  <c r="DD122" i="1"/>
  <c r="DF57" i="1"/>
  <c r="DD57" i="1"/>
  <c r="DF164" i="1"/>
  <c r="DD164" i="1"/>
  <c r="DF107" i="1"/>
  <c r="DD107" i="1"/>
  <c r="DF50" i="1"/>
  <c r="DD50" i="1"/>
  <c r="DF157" i="1"/>
  <c r="DD157" i="1"/>
  <c r="DE156" i="1"/>
  <c r="DE99" i="1"/>
  <c r="DF42" i="1"/>
  <c r="DD42" i="1"/>
  <c r="DF85" i="1"/>
  <c r="DD85" i="1"/>
  <c r="DE84" i="1"/>
  <c r="DE27" i="1"/>
  <c r="DF161" i="1"/>
  <c r="DD161" i="1"/>
  <c r="DF204" i="1"/>
  <c r="DD204" i="1"/>
  <c r="DF147" i="1"/>
  <c r="DD147" i="1"/>
  <c r="DF90" i="1"/>
  <c r="DD90" i="1"/>
  <c r="DF25" i="1"/>
  <c r="DD25" i="1"/>
  <c r="DE196" i="1"/>
  <c r="DE139" i="1"/>
  <c r="DF82" i="1"/>
  <c r="DD82" i="1"/>
  <c r="DE17" i="1"/>
  <c r="DF125" i="1"/>
  <c r="DD125" i="1"/>
  <c r="DF60" i="1"/>
  <c r="DD60" i="1"/>
  <c r="DF202" i="1"/>
  <c r="DD202" i="1"/>
  <c r="DF137" i="1"/>
  <c r="DD137" i="1"/>
  <c r="DF181" i="1"/>
  <c r="DD181" i="1"/>
  <c r="DF116" i="1"/>
  <c r="DD116" i="1"/>
  <c r="DF59" i="1"/>
  <c r="DD59" i="1"/>
  <c r="DF172" i="1"/>
  <c r="DD172" i="1"/>
  <c r="DF115" i="1"/>
  <c r="DD115" i="1"/>
  <c r="DE164" i="1"/>
  <c r="DE107" i="1"/>
  <c r="DE50" i="1"/>
  <c r="DE157" i="1"/>
  <c r="DF92" i="1"/>
  <c r="DD92" i="1"/>
  <c r="DF35" i="1"/>
  <c r="DD35" i="1"/>
  <c r="DE85" i="1"/>
  <c r="DF20" i="1"/>
  <c r="DD20" i="1"/>
  <c r="DE204" i="1"/>
  <c r="DE147" i="1"/>
  <c r="DE90" i="1"/>
  <c r="DE25" i="1"/>
  <c r="DF133" i="1"/>
  <c r="DD133" i="1"/>
  <c r="DF132" i="1"/>
  <c r="DD132" i="1"/>
  <c r="DF75" i="1"/>
  <c r="DD75" i="1"/>
  <c r="DE125" i="1"/>
  <c r="DE60" i="1"/>
  <c r="DE202" i="1"/>
  <c r="DE137" i="1"/>
  <c r="DE181" i="1"/>
  <c r="DE116" i="1"/>
  <c r="DE59" i="1"/>
  <c r="DF193" i="1"/>
  <c r="DD193" i="1"/>
  <c r="DE172" i="1"/>
  <c r="DE115" i="1"/>
  <c r="DF58" i="1"/>
  <c r="DD58" i="1"/>
  <c r="DF165" i="1"/>
  <c r="DD165" i="1"/>
  <c r="DF100" i="1"/>
  <c r="DD100" i="1"/>
  <c r="DF43" i="1"/>
  <c r="DD43" i="1"/>
  <c r="DF177" i="1"/>
  <c r="DD177" i="1"/>
  <c r="DF93" i="1"/>
  <c r="DD93" i="1"/>
  <c r="DF169" i="1"/>
  <c r="DD169" i="1"/>
  <c r="DF21" i="1"/>
  <c r="DD21" i="1"/>
  <c r="DF162" i="1"/>
  <c r="DD162" i="1"/>
  <c r="DF97" i="1"/>
  <c r="DD97" i="1"/>
  <c r="DF141" i="1"/>
  <c r="DD141" i="1"/>
  <c r="DF140" i="1"/>
  <c r="DD140" i="1"/>
  <c r="DF83" i="1"/>
  <c r="DD83" i="1"/>
  <c r="DF26" i="1"/>
  <c r="DD26" i="1"/>
  <c r="DF18" i="1"/>
  <c r="DD18" i="1"/>
  <c r="DF197" i="1"/>
  <c r="DD197" i="1"/>
  <c r="DF61" i="1"/>
  <c r="DD61" i="1"/>
  <c r="DF195" i="1"/>
  <c r="DD195" i="1"/>
  <c r="DF138" i="1"/>
  <c r="DD138" i="1"/>
  <c r="DF73" i="1"/>
  <c r="DD73" i="1"/>
  <c r="DF117" i="1"/>
  <c r="DD117" i="1"/>
  <c r="DF52" i="1"/>
  <c r="DD52" i="1"/>
  <c r="DF194" i="1"/>
  <c r="DD194" i="1"/>
  <c r="DF173" i="1"/>
  <c r="DD173" i="1"/>
  <c r="DF108" i="1"/>
  <c r="DD108" i="1"/>
  <c r="DF51" i="1"/>
  <c r="DD51" i="1"/>
  <c r="DE165" i="1"/>
  <c r="DE100" i="1"/>
  <c r="DE43" i="1"/>
  <c r="DE177" i="1"/>
  <c r="DE93" i="1"/>
  <c r="DF28" i="1"/>
  <c r="DD28" i="1"/>
  <c r="DE21" i="1"/>
  <c r="DF155" i="1"/>
  <c r="DD155" i="1"/>
  <c r="DE141" i="1"/>
  <c r="DE140" i="1"/>
  <c r="DE83" i="1"/>
  <c r="DE26" i="1"/>
  <c r="DF69" i="1"/>
  <c r="DD69" i="1"/>
  <c r="DF68" i="1"/>
  <c r="DD68" i="1"/>
  <c r="DE197" i="1"/>
  <c r="DE61" i="1"/>
  <c r="DE195" i="1"/>
  <c r="DE138" i="1"/>
  <c r="DE73" i="1"/>
  <c r="DE117" i="1"/>
  <c r="DE52" i="1"/>
  <c r="DE194" i="1"/>
  <c r="DF129" i="1"/>
  <c r="DD129" i="1"/>
  <c r="DE173" i="1"/>
  <c r="DE108" i="1"/>
  <c r="DE51" i="1"/>
  <c r="DF185" i="1"/>
  <c r="DD185" i="1"/>
  <c r="DF101" i="1"/>
  <c r="DD101" i="1"/>
  <c r="DF36" i="1"/>
  <c r="DD36" i="1"/>
  <c r="DF178" i="1"/>
  <c r="DD178" i="1"/>
  <c r="DF113" i="1"/>
  <c r="DD113" i="1"/>
  <c r="DF29" i="1"/>
  <c r="DD29" i="1"/>
  <c r="DE28" i="1"/>
  <c r="DF170" i="1"/>
  <c r="DD170" i="1"/>
  <c r="DF105" i="1"/>
  <c r="DD105" i="1"/>
  <c r="DE155" i="1"/>
  <c r="DF98" i="1"/>
  <c r="DD98" i="1"/>
  <c r="DF33" i="1"/>
  <c r="DD33" i="1"/>
  <c r="DF77" i="1"/>
  <c r="DD77" i="1"/>
  <c r="DF76" i="1"/>
  <c r="DD76" i="1"/>
  <c r="DF153" i="1"/>
  <c r="DD153" i="1"/>
  <c r="DF205" i="1"/>
  <c r="DD205" i="1"/>
  <c r="DE69" i="1"/>
  <c r="DE68" i="1"/>
  <c r="DF11" i="1"/>
  <c r="DD11" i="1"/>
  <c r="DF145" i="1"/>
  <c r="DD145" i="1"/>
  <c r="DF188" i="1"/>
  <c r="DD188" i="1"/>
  <c r="DF131" i="1"/>
  <c r="DD131" i="1"/>
  <c r="DF74" i="1"/>
  <c r="DD74" i="1"/>
  <c r="DF53" i="1"/>
  <c r="DD53" i="1"/>
  <c r="DF187" i="1"/>
  <c r="DD187" i="1"/>
  <c r="DF130" i="1"/>
  <c r="DD130" i="1"/>
  <c r="DF109" i="1"/>
  <c r="DD109" i="1"/>
  <c r="DF44" i="1"/>
  <c r="DD44" i="1"/>
  <c r="DE101" i="1"/>
  <c r="DE36" i="1"/>
  <c r="DE178" i="1"/>
  <c r="DE113" i="1"/>
  <c r="DF163" i="1"/>
  <c r="DD163" i="1"/>
  <c r="DF148" i="1"/>
  <c r="DD148" i="1"/>
  <c r="DF91" i="1"/>
  <c r="DD91" i="1"/>
  <c r="DF19" i="1"/>
  <c r="DD19" i="1"/>
  <c r="DF203" i="1"/>
  <c r="DD203" i="1"/>
  <c r="DE130" i="1"/>
  <c r="DF65" i="1"/>
  <c r="DD65" i="1"/>
  <c r="DE109" i="1"/>
  <c r="DE44" i="1"/>
  <c r="DF186" i="1"/>
  <c r="DD186" i="1"/>
  <c r="DF121" i="1"/>
  <c r="DD121" i="1"/>
  <c r="DF37" i="1"/>
  <c r="DD37" i="1"/>
  <c r="DF171" i="1"/>
  <c r="DD171" i="1"/>
  <c r="DF114" i="1"/>
  <c r="DD114" i="1"/>
  <c r="DF49" i="1"/>
  <c r="DD49" i="1"/>
  <c r="DE163" i="1"/>
  <c r="DF106" i="1"/>
  <c r="DD106" i="1"/>
  <c r="DF41" i="1"/>
  <c r="DD41" i="1"/>
  <c r="DF149" i="1"/>
  <c r="DD149" i="1"/>
  <c r="DE148" i="1"/>
  <c r="DE91" i="1"/>
  <c r="DF34" i="1"/>
  <c r="DD34" i="1"/>
  <c r="DF13" i="1"/>
  <c r="DD13" i="1"/>
  <c r="DF12" i="1"/>
  <c r="DD12" i="1"/>
  <c r="DF154" i="1"/>
  <c r="DD154" i="1"/>
  <c r="DF89" i="1"/>
  <c r="DD89" i="1"/>
  <c r="DE203" i="1"/>
  <c r="DF146" i="1"/>
  <c r="DD146" i="1"/>
  <c r="DF81" i="1"/>
  <c r="DD81" i="1"/>
  <c r="DF124" i="1"/>
  <c r="DD124" i="1"/>
  <c r="DF67" i="1"/>
  <c r="DD67" i="1"/>
  <c r="DF201" i="1"/>
  <c r="DD201" i="1"/>
  <c r="DF180" i="1"/>
  <c r="DD180" i="1"/>
  <c r="DF123" i="1"/>
  <c r="DD123" i="1"/>
  <c r="DF66" i="1"/>
  <c r="DD66" i="1"/>
  <c r="DF45" i="1"/>
  <c r="DD45" i="1"/>
  <c r="DF179" i="1"/>
  <c r="DD179" i="1"/>
  <c r="DE122" i="1"/>
  <c r="DE57" i="1"/>
  <c r="DE49" i="1"/>
</calcChain>
</file>

<file path=xl/sharedStrings.xml><?xml version="1.0" encoding="utf-8"?>
<sst xmlns="http://schemas.openxmlformats.org/spreadsheetml/2006/main" count="4938" uniqueCount="1232">
  <si>
    <t>sample_nr</t>
  </si>
  <si>
    <t>obs_well</t>
  </si>
  <si>
    <t>date</t>
  </si>
  <si>
    <t>DOC</t>
  </si>
  <si>
    <t>TOC</t>
  </si>
  <si>
    <t>cyanide_total</t>
  </si>
  <si>
    <t>phosphorus_total</t>
  </si>
  <si>
    <t>fraction_C10-C12</t>
  </si>
  <si>
    <t>fraction_C12-C22</t>
  </si>
  <si>
    <t>fraction_C30-C40</t>
  </si>
  <si>
    <t>total_C10-C40</t>
  </si>
  <si>
    <t>oxygen</t>
  </si>
  <si>
    <t>temperature</t>
  </si>
  <si>
    <t>redoxpot</t>
  </si>
  <si>
    <t>pH</t>
  </si>
  <si>
    <t>EGV3</t>
  </si>
  <si>
    <t>Frontpump_flowrate</t>
  </si>
  <si>
    <t>14135850-001</t>
  </si>
  <si>
    <t>CW1_OUT</t>
  </si>
  <si>
    <t>2.5</t>
  </si>
  <si>
    <t>14135850-002</t>
  </si>
  <si>
    <t>CW1_MF09</t>
  </si>
  <si>
    <t>14135850-003</t>
  </si>
  <si>
    <t>CW1_MF10</t>
  </si>
  <si>
    <t>14137094-001</t>
  </si>
  <si>
    <t>CW1_MF06</t>
  </si>
  <si>
    <t>14137094-002</t>
  </si>
  <si>
    <t>INFLOW</t>
  </si>
  <si>
    <t>14137094-003</t>
  </si>
  <si>
    <t>CW1_MF01</t>
  </si>
  <si>
    <t>14137094-004</t>
  </si>
  <si>
    <t>CW1_MF02</t>
  </si>
  <si>
    <t>14137094-005</t>
  </si>
  <si>
    <t>CW1_MF05</t>
  </si>
  <si>
    <t>14137094-006</t>
  </si>
  <si>
    <t>CW2_MF05</t>
  </si>
  <si>
    <t>14137094-007</t>
  </si>
  <si>
    <t>CW2_MF06</t>
  </si>
  <si>
    <t>14137094-008</t>
  </si>
  <si>
    <t>CW2_OUT</t>
  </si>
  <si>
    <t>14137094-009</t>
  </si>
  <si>
    <t>CW2_MF01</t>
  </si>
  <si>
    <t>14137094-010</t>
  </si>
  <si>
    <t>CW2_MF02</t>
  </si>
  <si>
    <t>14137094-011</t>
  </si>
  <si>
    <t>CW2_MF09</t>
  </si>
  <si>
    <t>14137094-012</t>
  </si>
  <si>
    <t>CW2_MF10</t>
  </si>
  <si>
    <t>14137171-001</t>
  </si>
  <si>
    <t>CW3_OUT</t>
  </si>
  <si>
    <t>14137171-002</t>
  </si>
  <si>
    <t>CW3_MF01</t>
  </si>
  <si>
    <t>14137171-003</t>
  </si>
  <si>
    <t>CW3_MF02</t>
  </si>
  <si>
    <t>14137171-004</t>
  </si>
  <si>
    <t>CW3_MF05</t>
  </si>
  <si>
    <t>14137171-005</t>
  </si>
  <si>
    <t>CW3_MF06</t>
  </si>
  <si>
    <t>14137171-006</t>
  </si>
  <si>
    <t>CW3_MF09</t>
  </si>
  <si>
    <t>14137171-007</t>
  </si>
  <si>
    <t>CW3_MF10</t>
  </si>
  <si>
    <t>SampleID</t>
  </si>
  <si>
    <t>CW_9</t>
  </si>
  <si>
    <t>CW_10</t>
  </si>
  <si>
    <t>CW_11</t>
  </si>
  <si>
    <t>CW_12</t>
  </si>
  <si>
    <t>CW_13</t>
  </si>
  <si>
    <t>CW_14</t>
  </si>
  <si>
    <t>CW_15</t>
  </si>
  <si>
    <t>CW_16</t>
  </si>
  <si>
    <t>CW_17</t>
  </si>
  <si>
    <t>CW_18</t>
  </si>
  <si>
    <t>CW_19</t>
  </si>
  <si>
    <t>CW_20</t>
  </si>
  <si>
    <t>CW_21</t>
  </si>
  <si>
    <t>CW_22</t>
  </si>
  <si>
    <t>CW_23</t>
  </si>
  <si>
    <t>CW_24</t>
  </si>
  <si>
    <t>CW_25</t>
  </si>
  <si>
    <t>CW_26</t>
  </si>
  <si>
    <t>CW_27</t>
  </si>
  <si>
    <t>CW_28</t>
  </si>
  <si>
    <t>CW_29</t>
  </si>
  <si>
    <t>CW_30</t>
  </si>
  <si>
    <t>CW_31</t>
  </si>
  <si>
    <t>CW_32</t>
  </si>
  <si>
    <t>CW_33</t>
  </si>
  <si>
    <t>CW_34</t>
  </si>
  <si>
    <t>CW_35</t>
  </si>
  <si>
    <t>CW_36</t>
  </si>
  <si>
    <t>CW_37</t>
  </si>
  <si>
    <t>CW_38</t>
  </si>
  <si>
    <t>CW_39</t>
  </si>
  <si>
    <t>CW_40</t>
  </si>
  <si>
    <t>CW_41</t>
  </si>
  <si>
    <t>CW_42</t>
  </si>
  <si>
    <t>CW_43</t>
  </si>
  <si>
    <t>CW_44</t>
  </si>
  <si>
    <t>CW_45</t>
  </si>
  <si>
    <t>CW_46</t>
  </si>
  <si>
    <t>CW_47</t>
  </si>
  <si>
    <t>CW_48</t>
  </si>
  <si>
    <t>CW_49</t>
  </si>
  <si>
    <t>CW_50</t>
  </si>
  <si>
    <t>CW_51</t>
  </si>
  <si>
    <t>CW_52</t>
  </si>
  <si>
    <t>CW_53</t>
  </si>
  <si>
    <t>CW_54</t>
  </si>
  <si>
    <t>CW_55</t>
  </si>
  <si>
    <t>CW_56</t>
  </si>
  <si>
    <t>CW_57</t>
  </si>
  <si>
    <t>CW_58</t>
  </si>
  <si>
    <t>CW_59</t>
  </si>
  <si>
    <t>CW_60</t>
  </si>
  <si>
    <t>CW_61</t>
  </si>
  <si>
    <t>CW_62</t>
  </si>
  <si>
    <t>CW_63</t>
  </si>
  <si>
    <t>CW_64</t>
  </si>
  <si>
    <t>CW_65</t>
  </si>
  <si>
    <t>CW_66</t>
  </si>
  <si>
    <t>CW_67</t>
  </si>
  <si>
    <t>CW_68</t>
  </si>
  <si>
    <t>CW_69</t>
  </si>
  <si>
    <t>CW_70</t>
  </si>
  <si>
    <t>CW_71</t>
  </si>
  <si>
    <t>CW_72</t>
  </si>
  <si>
    <t>CW_73</t>
  </si>
  <si>
    <t>CW_74</t>
  </si>
  <si>
    <t>CW_75</t>
  </si>
  <si>
    <t>CW_76</t>
  </si>
  <si>
    <t>CW_77</t>
  </si>
  <si>
    <t>CW_78</t>
  </si>
  <si>
    <t>CW_79</t>
  </si>
  <si>
    <t>CW_80</t>
  </si>
  <si>
    <t>CW_81</t>
  </si>
  <si>
    <t>CW_82</t>
  </si>
  <si>
    <t>CW_83</t>
  </si>
  <si>
    <t>CW_84</t>
  </si>
  <si>
    <t>CW_85</t>
  </si>
  <si>
    <t>CW_86</t>
  </si>
  <si>
    <t>CW_87</t>
  </si>
  <si>
    <t>CW_88</t>
  </si>
  <si>
    <t>CW_89</t>
  </si>
  <si>
    <t>CW_90</t>
  </si>
  <si>
    <t>CW_91</t>
  </si>
  <si>
    <t>CW_92</t>
  </si>
  <si>
    <t>CW_93</t>
  </si>
  <si>
    <t>CW_94</t>
  </si>
  <si>
    <t>CW_95</t>
  </si>
  <si>
    <t>CW_96</t>
  </si>
  <si>
    <t>CW_97</t>
  </si>
  <si>
    <t>CW_98</t>
  </si>
  <si>
    <t>CW_99</t>
  </si>
  <si>
    <t>CW_100</t>
  </si>
  <si>
    <t>CW_101</t>
  </si>
  <si>
    <t>CW_102</t>
  </si>
  <si>
    <t>CW_103</t>
  </si>
  <si>
    <t>CW_104</t>
  </si>
  <si>
    <t>CW_105</t>
  </si>
  <si>
    <t>CW_106</t>
  </si>
  <si>
    <t>CW_107</t>
  </si>
  <si>
    <t>CW_108</t>
  </si>
  <si>
    <t>CW_109</t>
  </si>
  <si>
    <t>CW_110</t>
  </si>
  <si>
    <t>CW_111</t>
  </si>
  <si>
    <t>CW_112</t>
  </si>
  <si>
    <t>CW_113</t>
  </si>
  <si>
    <t>CW_114</t>
  </si>
  <si>
    <t>CW_115</t>
  </si>
  <si>
    <t>CW_116</t>
  </si>
  <si>
    <t>CW_117</t>
  </si>
  <si>
    <t>CW_118</t>
  </si>
  <si>
    <t>CW_119</t>
  </si>
  <si>
    <t>CW_120</t>
  </si>
  <si>
    <t>CW_121</t>
  </si>
  <si>
    <t>CW_122</t>
  </si>
  <si>
    <t>CW_123</t>
  </si>
  <si>
    <t>CW_124</t>
  </si>
  <si>
    <t>CW_125</t>
  </si>
  <si>
    <t>CW_126</t>
  </si>
  <si>
    <t>CW_127</t>
  </si>
  <si>
    <t>CW_128</t>
  </si>
  <si>
    <t>CW_129</t>
  </si>
  <si>
    <t>CW_130</t>
  </si>
  <si>
    <t>CW_131</t>
  </si>
  <si>
    <t>CW_132</t>
  </si>
  <si>
    <t>CW_133</t>
  </si>
  <si>
    <t>CW_134</t>
  </si>
  <si>
    <t>CW_135</t>
  </si>
  <si>
    <t>CW_136</t>
  </si>
  <si>
    <t>CW_137</t>
  </si>
  <si>
    <t>CW_138</t>
  </si>
  <si>
    <t>CW_139</t>
  </si>
  <si>
    <t>CW_140</t>
  </si>
  <si>
    <t>CW_141</t>
  </si>
  <si>
    <t>CW_142</t>
  </si>
  <si>
    <t>CW_143</t>
  </si>
  <si>
    <t>CW_144</t>
  </si>
  <si>
    <t>CW_145</t>
  </si>
  <si>
    <t>CW_146</t>
  </si>
  <si>
    <t>CW_147</t>
  </si>
  <si>
    <t>CW_148</t>
  </si>
  <si>
    <t>CW_149</t>
  </si>
  <si>
    <t>CW_150</t>
  </si>
  <si>
    <t>CW_151</t>
  </si>
  <si>
    <t>CW_152</t>
  </si>
  <si>
    <t>CW_153</t>
  </si>
  <si>
    <t>CW_154</t>
  </si>
  <si>
    <t>CW_155</t>
  </si>
  <si>
    <t>CW_156</t>
  </si>
  <si>
    <t>CW_157</t>
  </si>
  <si>
    <t>CW_158</t>
  </si>
  <si>
    <t>CW_160</t>
  </si>
  <si>
    <t>CW_161</t>
  </si>
  <si>
    <t>CW_162</t>
  </si>
  <si>
    <t>CW_163</t>
  </si>
  <si>
    <t>CW_164</t>
  </si>
  <si>
    <t>CW_165</t>
  </si>
  <si>
    <t>CW_166</t>
  </si>
  <si>
    <t>CW_167</t>
  </si>
  <si>
    <t>CW_168</t>
  </si>
  <si>
    <t>CW_169</t>
  </si>
  <si>
    <t>CW_170</t>
  </si>
  <si>
    <t>CW_171</t>
  </si>
  <si>
    <t>CW_172</t>
  </si>
  <si>
    <t>CW_173</t>
  </si>
  <si>
    <t>CW_174</t>
  </si>
  <si>
    <t>CW_175</t>
  </si>
  <si>
    <t>CW_176</t>
  </si>
  <si>
    <t>CW_177</t>
  </si>
  <si>
    <t>CW_178</t>
  </si>
  <si>
    <t>CW_179</t>
  </si>
  <si>
    <t>CW_180</t>
  </si>
  <si>
    <t>CW_181</t>
  </si>
  <si>
    <t>CW_182</t>
  </si>
  <si>
    <t>CW_183</t>
  </si>
  <si>
    <t>CW_184</t>
  </si>
  <si>
    <t>CW_185</t>
  </si>
  <si>
    <t>CW_186</t>
  </si>
  <si>
    <t>CW_187</t>
  </si>
  <si>
    <t>CW_188</t>
  </si>
  <si>
    <t>CW_189</t>
  </si>
  <si>
    <t>CW_190</t>
  </si>
  <si>
    <t>CW_191</t>
  </si>
  <si>
    <t>CW_192</t>
  </si>
  <si>
    <t>CW_193</t>
  </si>
  <si>
    <t>CW_194</t>
  </si>
  <si>
    <t>CW_195</t>
  </si>
  <si>
    <t>CW_196</t>
  </si>
  <si>
    <t>CW_197</t>
  </si>
  <si>
    <t>CW_198</t>
  </si>
  <si>
    <t>CW_199</t>
  </si>
  <si>
    <t>CW_200</t>
  </si>
  <si>
    <t>CW_201</t>
  </si>
  <si>
    <t>CW_202</t>
  </si>
  <si>
    <t>CW_203</t>
  </si>
  <si>
    <t>CW_204</t>
  </si>
  <si>
    <t>CW_205</t>
  </si>
  <si>
    <t>CW_206</t>
  </si>
  <si>
    <t>14171533-001</t>
  </si>
  <si>
    <t>14171533-002</t>
  </si>
  <si>
    <t>14171533-003</t>
  </si>
  <si>
    <t>14171533-004</t>
  </si>
  <si>
    <t>14171535-001</t>
  </si>
  <si>
    <t>14171535-002</t>
  </si>
  <si>
    <t>14171535-003</t>
  </si>
  <si>
    <t>14171535-004</t>
  </si>
  <si>
    <t>14172407-001</t>
  </si>
  <si>
    <t>14172407-002</t>
  </si>
  <si>
    <t>14172407-003</t>
  </si>
  <si>
    <t>14172407-004</t>
  </si>
  <si>
    <t>14172407-005</t>
  </si>
  <si>
    <t>14172407-006</t>
  </si>
  <si>
    <t>14172407-007</t>
  </si>
  <si>
    <t>14172407-008</t>
  </si>
  <si>
    <t>14172407-009</t>
  </si>
  <si>
    <t>14173590-001</t>
  </si>
  <si>
    <t>14173590-002</t>
  </si>
  <si>
    <t>14173590-003</t>
  </si>
  <si>
    <t>14173590-004</t>
  </si>
  <si>
    <t>14173590-005</t>
  </si>
  <si>
    <t>14212205-001</t>
  </si>
  <si>
    <t>14212205-002</t>
  </si>
  <si>
    <t>14212205-003</t>
  </si>
  <si>
    <t>14212205-004</t>
  </si>
  <si>
    <t>14212205-005</t>
  </si>
  <si>
    <t>14212205-006</t>
  </si>
  <si>
    <t>14212206-001</t>
  </si>
  <si>
    <t>14212206-002</t>
  </si>
  <si>
    <t>14213114-001</t>
  </si>
  <si>
    <t>14213114-002</t>
  </si>
  <si>
    <t>14213114-003</t>
  </si>
  <si>
    <t>14213114-004</t>
  </si>
  <si>
    <t>14213114-005</t>
  </si>
  <si>
    <t>14213114-006</t>
  </si>
  <si>
    <t>14213115-001</t>
  </si>
  <si>
    <t>14213115-002</t>
  </si>
  <si>
    <t>14214080-001</t>
  </si>
  <si>
    <t>14214080-002</t>
  </si>
  <si>
    <t>14214080-003</t>
  </si>
  <si>
    <t>14214080-004</t>
  </si>
  <si>
    <t>14214080-005</t>
  </si>
  <si>
    <t>14214080-006</t>
  </si>
  <si>
    <t>14243903-001</t>
  </si>
  <si>
    <t>14243903-002</t>
  </si>
  <si>
    <t>14243904-001</t>
  </si>
  <si>
    <t>14243904-002</t>
  </si>
  <si>
    <t>14243904-003</t>
  </si>
  <si>
    <t>14243904-004</t>
  </si>
  <si>
    <t>14243904-005</t>
  </si>
  <si>
    <t>14244713-001</t>
  </si>
  <si>
    <t>14244713-002</t>
  </si>
  <si>
    <t>14244713-003</t>
  </si>
  <si>
    <t>14244713-004</t>
  </si>
  <si>
    <t>14244713-005</t>
  </si>
  <si>
    <t>14244713-006</t>
  </si>
  <si>
    <t>14244713-007</t>
  </si>
  <si>
    <t>14244714-001</t>
  </si>
  <si>
    <t>14245611-001</t>
  </si>
  <si>
    <t>14245611-002</t>
  </si>
  <si>
    <t>14245611-003</t>
  </si>
  <si>
    <t>14245611-004</t>
  </si>
  <si>
    <t>14245611-005</t>
  </si>
  <si>
    <t>14245611-006</t>
  </si>
  <si>
    <t>14245613-001</t>
  </si>
  <si>
    <t>14280168-001</t>
  </si>
  <si>
    <t>14280168-002</t>
  </si>
  <si>
    <t>14280168-003</t>
  </si>
  <si>
    <t>14280168-004</t>
  </si>
  <si>
    <t>14280168-005</t>
  </si>
  <si>
    <t>14280168-006</t>
  </si>
  <si>
    <t>14280168-007</t>
  </si>
  <si>
    <t>14280168-008</t>
  </si>
  <si>
    <t>14280780-001</t>
  </si>
  <si>
    <t>14280780-002</t>
  </si>
  <si>
    <t>14280780-003</t>
  </si>
  <si>
    <t>14280780-004</t>
  </si>
  <si>
    <t>14280780-005</t>
  </si>
  <si>
    <t>14280780-006</t>
  </si>
  <si>
    <t>14280780-007</t>
  </si>
  <si>
    <t>14281821-001</t>
  </si>
  <si>
    <t>14281821-002</t>
  </si>
  <si>
    <t>14281821-003</t>
  </si>
  <si>
    <t>14281821-004</t>
  </si>
  <si>
    <t>14281821-005</t>
  </si>
  <si>
    <t>14281821-006</t>
  </si>
  <si>
    <t>14281821-007</t>
  </si>
  <si>
    <t>14316878-001</t>
  </si>
  <si>
    <t>14316880-001</t>
  </si>
  <si>
    <t>14316880-002</t>
  </si>
  <si>
    <t>14316880-003</t>
  </si>
  <si>
    <t>14316880-004</t>
  </si>
  <si>
    <t>14316880-005</t>
  </si>
  <si>
    <t>14316880-006</t>
  </si>
  <si>
    <t>14317805-001</t>
  </si>
  <si>
    <t>14317805-002</t>
  </si>
  <si>
    <t>14317805-003</t>
  </si>
  <si>
    <t>14317805-004</t>
  </si>
  <si>
    <t>14317805-005</t>
  </si>
  <si>
    <t>14317805-006</t>
  </si>
  <si>
    <t>14317805-007</t>
  </si>
  <si>
    <t>14317805-008</t>
  </si>
  <si>
    <t>14318701-001</t>
  </si>
  <si>
    <t>14318701-002</t>
  </si>
  <si>
    <t>14318701-003</t>
  </si>
  <si>
    <t>14318701-004</t>
  </si>
  <si>
    <t>14318701-005</t>
  </si>
  <si>
    <t>14318701-006</t>
  </si>
  <si>
    <t>14318701-007</t>
  </si>
  <si>
    <t>14349443-001</t>
  </si>
  <si>
    <t>14349444-001</t>
  </si>
  <si>
    <t>14349444-002</t>
  </si>
  <si>
    <t>14349444-003</t>
  </si>
  <si>
    <t>14349444-004</t>
  </si>
  <si>
    <t>14349444-005</t>
  </si>
  <si>
    <t>14349444-006</t>
  </si>
  <si>
    <t>14349444-007</t>
  </si>
  <si>
    <t>14350115-001</t>
  </si>
  <si>
    <t>14350115-002</t>
  </si>
  <si>
    <t>14350115-003</t>
  </si>
  <si>
    <t>14350115-004</t>
  </si>
  <si>
    <t>14350115-005</t>
  </si>
  <si>
    <t>14350115-006</t>
  </si>
  <si>
    <t>14350115-007</t>
  </si>
  <si>
    <t>14350115-008</t>
  </si>
  <si>
    <t>14350727-001</t>
  </si>
  <si>
    <t>14350727-002</t>
  </si>
  <si>
    <t>14350727-003</t>
  </si>
  <si>
    <t>14350727-004</t>
  </si>
  <si>
    <t>14350727-005</t>
  </si>
  <si>
    <t>14392159-001</t>
  </si>
  <si>
    <t>14392180-001</t>
  </si>
  <si>
    <t>14392180-002</t>
  </si>
  <si>
    <t>14392180-003</t>
  </si>
  <si>
    <t>14392180-004</t>
  </si>
  <si>
    <t>14392180-005</t>
  </si>
  <si>
    <t>14392180-006</t>
  </si>
  <si>
    <t>14392839-001</t>
  </si>
  <si>
    <t>14392839-002</t>
  </si>
  <si>
    <t>14392839-003</t>
  </si>
  <si>
    <t>14392839-004</t>
  </si>
  <si>
    <t>14392839-005</t>
  </si>
  <si>
    <t>14392839-006</t>
  </si>
  <si>
    <t>14392839-007</t>
  </si>
  <si>
    <t>14392839-008</t>
  </si>
  <si>
    <t>14393656-001</t>
  </si>
  <si>
    <t>14393656-002</t>
  </si>
  <si>
    <t>14393656-003</t>
  </si>
  <si>
    <t>14393656-004</t>
  </si>
  <si>
    <t>14393656-005</t>
  </si>
  <si>
    <t>14393656-006</t>
  </si>
  <si>
    <t>14393656-007</t>
  </si>
  <si>
    <t>14424768-001</t>
  </si>
  <si>
    <t>14424776-001</t>
  </si>
  <si>
    <t>14424776-002</t>
  </si>
  <si>
    <t>14424776-003</t>
  </si>
  <si>
    <t>14424776-004</t>
  </si>
  <si>
    <t>14424776-005</t>
  </si>
  <si>
    <t>14424776-006</t>
  </si>
  <si>
    <t>14424776-007</t>
  </si>
  <si>
    <t>14424776-008</t>
  </si>
  <si>
    <t>14424776-009</t>
  </si>
  <si>
    <t>14424776-010</t>
  </si>
  <si>
    <t>14425465-001</t>
  </si>
  <si>
    <t>14425465-002</t>
  </si>
  <si>
    <t>14425465-003</t>
  </si>
  <si>
    <t>14425465-004</t>
  </si>
  <si>
    <t>14425465-005</t>
  </si>
  <si>
    <t>14425465-006</t>
  </si>
  <si>
    <t>14425465-007</t>
  </si>
  <si>
    <t>14425465-008</t>
  </si>
  <si>
    <t>14426548-001</t>
  </si>
  <si>
    <t>14426548-002</t>
  </si>
  <si>
    <t>14426548-003</t>
  </si>
  <si>
    <t>CW_1</t>
  </si>
  <si>
    <t>CW_2</t>
  </si>
  <si>
    <t>CW_3</t>
  </si>
  <si>
    <t>CW_4</t>
  </si>
  <si>
    <t>CW_5</t>
  </si>
  <si>
    <t>CW_6</t>
  </si>
  <si>
    <t>CW_7</t>
  </si>
  <si>
    <t>CW_8</t>
  </si>
  <si>
    <t>NA</t>
  </si>
  <si>
    <t>CW1MF01_P0_May_2024</t>
  </si>
  <si>
    <t>CW1MF02_P0_May_2024</t>
  </si>
  <si>
    <t>CW1MF03_P0_May_2024</t>
  </si>
  <si>
    <t>CW1MF04_P0_May_2024</t>
  </si>
  <si>
    <t>CW1MF09_P0_May_2024</t>
  </si>
  <si>
    <t>CW1MF10_P0_May_2024</t>
  </si>
  <si>
    <t>CW1MF11_P0_May_2024</t>
  </si>
  <si>
    <t>CW1MF12_P0_May_2024</t>
  </si>
  <si>
    <t>CWinf_0_August_2024</t>
  </si>
  <si>
    <t>CW1eff_0_August_2024</t>
  </si>
  <si>
    <t>CW2eff_0_August_2024</t>
  </si>
  <si>
    <t>CW3eff_0_August_2024</t>
  </si>
  <si>
    <t>CW1MF01_0_August_2024</t>
  </si>
  <si>
    <t>CW1MF02_0_August_2024</t>
  </si>
  <si>
    <t>CW1MF05_0_August_2024</t>
  </si>
  <si>
    <t>CW1MF06_0_August_2024</t>
  </si>
  <si>
    <t>CW1MF09_0_August_2024</t>
  </si>
  <si>
    <t>CW1MF10_0_August_2024</t>
  </si>
  <si>
    <t>CW2MF01_0_August_2024</t>
  </si>
  <si>
    <t>CW2MF02_0_August_2024</t>
  </si>
  <si>
    <t>CW2MF05_0_August_2024</t>
  </si>
  <si>
    <t>CW2MF06_0_August_2024</t>
  </si>
  <si>
    <t>CW2MF09_0_August_2024</t>
  </si>
  <si>
    <t>CW2MF10_0_August_2024</t>
  </si>
  <si>
    <t>CW3MF01_0_August_2024</t>
  </si>
  <si>
    <t>CW3MF02_0_August_2024</t>
  </si>
  <si>
    <t>CW3MF05_0_August_2024</t>
  </si>
  <si>
    <t>CW3MF06_0_August_2024</t>
  </si>
  <si>
    <t>CW3MF09_0_August_2024</t>
  </si>
  <si>
    <t>CW3MF10_0_August_2024</t>
  </si>
  <si>
    <t>CWinf_1_October_2024</t>
  </si>
  <si>
    <t>CW1eff_1_October_2024</t>
  </si>
  <si>
    <t>CW2eff_1_October_2024</t>
  </si>
  <si>
    <t>CW3eff_1_October_2024</t>
  </si>
  <si>
    <t>CW1MF01_1_October_2024</t>
  </si>
  <si>
    <t>CW1MF02_1_October_2024</t>
  </si>
  <si>
    <t>CW1MF05_1_October_2024</t>
  </si>
  <si>
    <t>CW1MF06_1_October_2024</t>
  </si>
  <si>
    <t>CW1MF09_1_October_2024</t>
  </si>
  <si>
    <t>CW1MF10_1_October_2024</t>
  </si>
  <si>
    <t>CW2MF01_1_October_2024</t>
  </si>
  <si>
    <t>CW2MF02_1_October_2024</t>
  </si>
  <si>
    <t>CW2MF05_1_October_2024</t>
  </si>
  <si>
    <t>CW2MF06_1_October_2024</t>
  </si>
  <si>
    <t>CW2MF09_1_October_2024</t>
  </si>
  <si>
    <t>CW2MF10_1_October_2024</t>
  </si>
  <si>
    <t>CW3MF01_1_October_2024</t>
  </si>
  <si>
    <t>CW3MF02_1_October_2024</t>
  </si>
  <si>
    <t>CW3MF05_1_October_2024</t>
  </si>
  <si>
    <t>CW3MF06_1_October_2024</t>
  </si>
  <si>
    <t>CW3MF09_1_October_2024</t>
  </si>
  <si>
    <t>CW3MF10_1_October_2024</t>
  </si>
  <si>
    <t>CWinf_2_December_2024</t>
  </si>
  <si>
    <t>CW1eff_2_December_2024</t>
  </si>
  <si>
    <t>CW2eff_2_December_2024</t>
  </si>
  <si>
    <t>CW3eff_2_December_2024</t>
  </si>
  <si>
    <t>CW1MF01_2_December_2024</t>
  </si>
  <si>
    <t>CW1MF02_2_December_2024</t>
  </si>
  <si>
    <t>CW1MF05_2_December_2024</t>
  </si>
  <si>
    <t>CW1MF06_2_December_2024</t>
  </si>
  <si>
    <t>CW1MF09_2_December_2024</t>
  </si>
  <si>
    <t>CW1MF10_2_December_2024</t>
  </si>
  <si>
    <t>CW2MF01_2_December_2024</t>
  </si>
  <si>
    <t>CW2MF02_2_December_2024</t>
  </si>
  <si>
    <t>CW2MF05_2_December_2024</t>
  </si>
  <si>
    <t>CW2MF06_2_December_2024</t>
  </si>
  <si>
    <t>CW2MF09_2_December_2024</t>
  </si>
  <si>
    <t>CW2MF10_2_December_2024</t>
  </si>
  <si>
    <t>CW3MF01_2_December_2024</t>
  </si>
  <si>
    <t>CW3MF02_2_December_2024</t>
  </si>
  <si>
    <t>CW3MF05_2_December_2024</t>
  </si>
  <si>
    <t>CW3MF06_2_December_2024</t>
  </si>
  <si>
    <t>CW3MF09_2_December_2024</t>
  </si>
  <si>
    <t>CW3MF10_2_December_2024</t>
  </si>
  <si>
    <t>CWinf_3_February_2025</t>
  </si>
  <si>
    <t>CW1eff_3_February_2025</t>
  </si>
  <si>
    <t>CW2eff_3_February_2025</t>
  </si>
  <si>
    <t>CW3eff_3_February_2025</t>
  </si>
  <si>
    <t>CW1MF01_3_February_2025</t>
  </si>
  <si>
    <t>CW1MF02_3_February_2025</t>
  </si>
  <si>
    <t>CW1MF05_3_February_2025</t>
  </si>
  <si>
    <t>CW1MF06_3_February_2025</t>
  </si>
  <si>
    <t>CW1MF09_3_February_2025</t>
  </si>
  <si>
    <t>CW1MF10_3_February_2025</t>
  </si>
  <si>
    <t>CW2MF01_3_February_2025</t>
  </si>
  <si>
    <t>CW2MF02_3_February_2025</t>
  </si>
  <si>
    <t>CW2MF05_3_February_2025</t>
  </si>
  <si>
    <t>CW2MF06_3_February_2025</t>
  </si>
  <si>
    <t>CW2MF09_3_February_2025</t>
  </si>
  <si>
    <t>CW2MF10_3_February_2025</t>
  </si>
  <si>
    <t>CW3MF01_3_February_2025</t>
  </si>
  <si>
    <t>CW3MF02_3_February_2025</t>
  </si>
  <si>
    <t>CW3MF05_3_February_2025</t>
  </si>
  <si>
    <t>CW3MF06_3_February_2025</t>
  </si>
  <si>
    <t>CW3MF09_3_February_2025</t>
  </si>
  <si>
    <t>CW3MF10_3_February_2025</t>
  </si>
  <si>
    <t>CWinf_4_April_2025</t>
  </si>
  <si>
    <t>CW1eff_4_April_2025</t>
  </si>
  <si>
    <t>CW2eff_4_April_2025</t>
  </si>
  <si>
    <t>CW3eff_4_April_2025</t>
  </si>
  <si>
    <t>CW1MF01_4_April_2025</t>
  </si>
  <si>
    <t>CW1MF02_4_April_2025</t>
  </si>
  <si>
    <t>CW1MF05_4_April_2025</t>
  </si>
  <si>
    <t>CW1MF06_4_April_2025</t>
  </si>
  <si>
    <t>CW1MF09_4_April_2025</t>
  </si>
  <si>
    <t>CW1MF10_4_April_2025</t>
  </si>
  <si>
    <t>CW2MF01_4_April_2025</t>
  </si>
  <si>
    <t>CW2MF02_4_April_2025</t>
  </si>
  <si>
    <t>CW2MF05_4_April_2025</t>
  </si>
  <si>
    <t>CW2MF06_4_April_2025</t>
  </si>
  <si>
    <t>CW2MF09_4_April_2025</t>
  </si>
  <si>
    <t>CW2MF10_4_April_2025</t>
  </si>
  <si>
    <t>CW3MF01_4_April_2025</t>
  </si>
  <si>
    <t>CW3MF02_4_April_2025</t>
  </si>
  <si>
    <t>CW3MF05_4_April_2025</t>
  </si>
  <si>
    <t>CW3MF06_4_April_2025</t>
  </si>
  <si>
    <t>CW3MF09_4_April_2025</t>
  </si>
  <si>
    <t>CW3MF10_4_April_2025</t>
  </si>
  <si>
    <t>CWinf_5_June_2025</t>
  </si>
  <si>
    <t>CW1eff_5_June_2025</t>
  </si>
  <si>
    <t>CW2eff_5_June_2025</t>
  </si>
  <si>
    <t>CW3eff_5_June_2025</t>
  </si>
  <si>
    <t>CW1MF01_5_June_2025</t>
  </si>
  <si>
    <t>CW1MF02_5_June_2025</t>
  </si>
  <si>
    <t>CW1MF05_5_June_2025</t>
  </si>
  <si>
    <t>CW1MF06_5_June_2025</t>
  </si>
  <si>
    <t>CW1MF09_5_June_2025</t>
  </si>
  <si>
    <t>CW1MF10_5_June_2025</t>
  </si>
  <si>
    <t>CW2MF01_5_June_2025</t>
  </si>
  <si>
    <t>CW2MF02_5_June_2025</t>
  </si>
  <si>
    <t>CW2MF05_5_June_2025</t>
  </si>
  <si>
    <t>CW2MF06_5_June_2025</t>
  </si>
  <si>
    <t>CW2MF09_5_June_2025</t>
  </si>
  <si>
    <t>CW2MF10_5_June_2025</t>
  </si>
  <si>
    <t>CW3MF01_5_June_2025</t>
  </si>
  <si>
    <t>CW3MF02_5_June_2025</t>
  </si>
  <si>
    <t>CW3MF05_5_June_2025</t>
  </si>
  <si>
    <t>CW3MF06_5_June_2025</t>
  </si>
  <si>
    <t>CW3MF09_5_June_2025</t>
  </si>
  <si>
    <t>CW3MF10_5_June_2025</t>
  </si>
  <si>
    <t>CWinf_6_August_2025</t>
  </si>
  <si>
    <t>CW1eff_6_August_2025</t>
  </si>
  <si>
    <t>CW2eff_6_August_2025</t>
  </si>
  <si>
    <t>CW3eff_6_August_2025</t>
  </si>
  <si>
    <t>CW1MF01_6_August_2025</t>
  </si>
  <si>
    <t>CW1MF02_6_August_2025</t>
  </si>
  <si>
    <t>CW1MF05_6_August_2025</t>
  </si>
  <si>
    <t>CW1MF06_6_August_2025</t>
  </si>
  <si>
    <t>CW1MF09_6_August_2025</t>
  </si>
  <si>
    <t>CW1MF10_6_August_2025</t>
  </si>
  <si>
    <t>CW2MF01_6_August_2025</t>
  </si>
  <si>
    <t>CW2MF02_6_August_2025</t>
  </si>
  <si>
    <t>CW2MF05_6_August_2025</t>
  </si>
  <si>
    <t>CW2MF06_6_August_2025</t>
  </si>
  <si>
    <t>CW2MF09_6_August_2025</t>
  </si>
  <si>
    <t>CW2MF10_6_August_2025</t>
  </si>
  <si>
    <t>CW3MF01_6_August_2025</t>
  </si>
  <si>
    <t>CW3MF02_6_August_2025</t>
  </si>
  <si>
    <t>CW3MF05_6_August_2025</t>
  </si>
  <si>
    <t>CW3MF06_6_August_2025</t>
  </si>
  <si>
    <t>CW3MF09_6_August_2025</t>
  </si>
  <si>
    <t>CW3MF10_6_August_2025</t>
  </si>
  <si>
    <t>CWinf_7_October_2025</t>
  </si>
  <si>
    <t>CW1eff_7_October_2025</t>
  </si>
  <si>
    <t>CW2eff_7_October_2025</t>
  </si>
  <si>
    <t>CW3eff_7_October_2025</t>
  </si>
  <si>
    <t>CW1MF01_7_October_2025</t>
  </si>
  <si>
    <t>CW1MF02_7_October_2025</t>
  </si>
  <si>
    <t>CW1MF05_7_October_2025</t>
  </si>
  <si>
    <t>CW1MF06_7_October_2025</t>
  </si>
  <si>
    <t>CW1MF09_7_October_2025</t>
  </si>
  <si>
    <t>CW1MF10_7_October_2025</t>
  </si>
  <si>
    <t>CW2MF01_7_October_2025</t>
  </si>
  <si>
    <t>CW2MF02_7_October_2025</t>
  </si>
  <si>
    <t>CW2MF05_7_October_2025</t>
  </si>
  <si>
    <t>CW2MF06_7_October_2025</t>
  </si>
  <si>
    <t>CW2MF09_7_October_2025</t>
  </si>
  <si>
    <t>CW2MF10_7_October_2025</t>
  </si>
  <si>
    <t>CW3MF01_7_October_2025</t>
  </si>
  <si>
    <t>CW3MF02_7_October_2025</t>
  </si>
  <si>
    <t>CW3MF05_7_October_2025</t>
  </si>
  <si>
    <t>CW3MF06_7_October_2025</t>
  </si>
  <si>
    <t>CW3MF09_7_October_2025</t>
  </si>
  <si>
    <t>CW3MF10_7_October_2025</t>
  </si>
  <si>
    <t>CWinf_8_December_2025</t>
  </si>
  <si>
    <t>CW1eff_8_December_2025</t>
  </si>
  <si>
    <t>CW2eff_8_December_2025</t>
  </si>
  <si>
    <t>CW3eff_8_December_2025</t>
  </si>
  <si>
    <t>CW1MF01_8_December_2025</t>
  </si>
  <si>
    <t>CW1MF02_8_December_2025</t>
  </si>
  <si>
    <t>CW1MF05_8_December_2025</t>
  </si>
  <si>
    <t>CW1MF06_8_December_2025</t>
  </si>
  <si>
    <t>CW1MF09_8_December_2025</t>
  </si>
  <si>
    <t>CW1MF10_8_December_2025</t>
  </si>
  <si>
    <t>CW2MF01_8_December_2025</t>
  </si>
  <si>
    <t>CW2MF02_8_December_2025</t>
  </si>
  <si>
    <t>CW2MF05_8_December_2025</t>
  </si>
  <si>
    <t>CW2MF06_8_December_2025</t>
  </si>
  <si>
    <t>CW2MF09_8_December_2025</t>
  </si>
  <si>
    <t>CW2MF10_8_December_2025</t>
  </si>
  <si>
    <t>CW3MF01_8_December_2025</t>
  </si>
  <si>
    <t>CW3MF02_8_December_2025</t>
  </si>
  <si>
    <t>CW3MF05_8_December_2025</t>
  </si>
  <si>
    <t>CW3MF06_8_December_2025</t>
  </si>
  <si>
    <t>CW3MF09_8_December_2025</t>
  </si>
  <si>
    <t>CW3MF10_8_December_2025</t>
  </si>
  <si>
    <t>CW_159</t>
  </si>
  <si>
    <t>DNA_concentration</t>
  </si>
  <si>
    <t>S7472</t>
  </si>
  <si>
    <t>Section_1</t>
  </si>
  <si>
    <t>CW1S1-1</t>
  </si>
  <si>
    <t>0.15-0.30</t>
  </si>
  <si>
    <t>515F806R</t>
  </si>
  <si>
    <t>CW1MF01_P0</t>
  </si>
  <si>
    <t>P0</t>
  </si>
  <si>
    <t>2024-05-27</t>
  </si>
  <si>
    <t>Spring</t>
  </si>
  <si>
    <t>S7473</t>
  </si>
  <si>
    <t>CW1S1-3-4</t>
  </si>
  <si>
    <t>0.60-0.80</t>
  </si>
  <si>
    <t>CW1MF02_P0</t>
  </si>
  <si>
    <t>S7474</t>
  </si>
  <si>
    <t>Section_2</t>
  </si>
  <si>
    <t>CW1S2-1</t>
  </si>
  <si>
    <t>CW1MF03_P0</t>
  </si>
  <si>
    <t>S7475</t>
  </si>
  <si>
    <t>CW1S2-3-4</t>
  </si>
  <si>
    <t>CW1MF04_P0</t>
  </si>
  <si>
    <t>S7476</t>
  </si>
  <si>
    <t>Section_3</t>
  </si>
  <si>
    <t>CW1S3-1</t>
  </si>
  <si>
    <t>CW1MF09_P0</t>
  </si>
  <si>
    <t>S7477</t>
  </si>
  <si>
    <t>CW1S3-3-4</t>
  </si>
  <si>
    <t>CW1MF10_P0</t>
  </si>
  <si>
    <t>S7478</t>
  </si>
  <si>
    <t>Section_4</t>
  </si>
  <si>
    <t>CW1S4-1</t>
  </si>
  <si>
    <t>CW1MF11_P0</t>
  </si>
  <si>
    <t>S7479</t>
  </si>
  <si>
    <t>CW1S4-3-4</t>
  </si>
  <si>
    <t>CW1MF12_P0</t>
  </si>
  <si>
    <t>S7660</t>
  </si>
  <si>
    <t>Section_0</t>
  </si>
  <si>
    <t>CW_0</t>
  </si>
  <si>
    <t>CWinf_0</t>
  </si>
  <si>
    <t>T0</t>
  </si>
  <si>
    <t>2024-08-12</t>
  </si>
  <si>
    <t>Summer</t>
  </si>
  <si>
    <t>S7661</t>
  </si>
  <si>
    <t>Section_5</t>
  </si>
  <si>
    <t>CW1eff_0</t>
  </si>
  <si>
    <t>S7662</t>
  </si>
  <si>
    <t>CW2eff_0</t>
  </si>
  <si>
    <t>S7663</t>
  </si>
  <si>
    <t>CW3eff_0</t>
  </si>
  <si>
    <t>S7664</t>
  </si>
  <si>
    <t>CW1MF01_0</t>
  </si>
  <si>
    <t>S7665</t>
  </si>
  <si>
    <t>CW1MF02_0</t>
  </si>
  <si>
    <t>S7666</t>
  </si>
  <si>
    <t>CW1MF05_0</t>
  </si>
  <si>
    <t>S7667</t>
  </si>
  <si>
    <t>CW1MF06_0</t>
  </si>
  <si>
    <t>S7668</t>
  </si>
  <si>
    <t>CW1MF09_0</t>
  </si>
  <si>
    <t>S7669</t>
  </si>
  <si>
    <t>CW1MF10_0</t>
  </si>
  <si>
    <t>S7670</t>
  </si>
  <si>
    <t>CW2S1-1</t>
  </si>
  <si>
    <t>CW2MF01_0</t>
  </si>
  <si>
    <t>S7671</t>
  </si>
  <si>
    <t>CW2S1-3-4</t>
  </si>
  <si>
    <t>CW2MF02_0</t>
  </si>
  <si>
    <t>S7672</t>
  </si>
  <si>
    <t>CW2S2-1</t>
  </si>
  <si>
    <t>CW2MF05_0</t>
  </si>
  <si>
    <t>S7673</t>
  </si>
  <si>
    <t>CW2S2-3-4</t>
  </si>
  <si>
    <t>CW2MF06_0</t>
  </si>
  <si>
    <t>S7674</t>
  </si>
  <si>
    <t>CW2S3-1</t>
  </si>
  <si>
    <t>CW2MF09_0</t>
  </si>
  <si>
    <t>S7675</t>
  </si>
  <si>
    <t>CW2S3-3-4</t>
  </si>
  <si>
    <t>CW2MF10_0</t>
  </si>
  <si>
    <t>S7676</t>
  </si>
  <si>
    <t>CW3S1-1</t>
  </si>
  <si>
    <t>CW3MF01_0</t>
  </si>
  <si>
    <t>S7677</t>
  </si>
  <si>
    <t>CW3S1-3-4</t>
  </si>
  <si>
    <t>CW3MF02_0</t>
  </si>
  <si>
    <t>S7678</t>
  </si>
  <si>
    <t>CW3S2-1</t>
  </si>
  <si>
    <t>CW3MF05_0</t>
  </si>
  <si>
    <t>S7679</t>
  </si>
  <si>
    <t>CW3S2-3-4</t>
  </si>
  <si>
    <t>CW3MF06_0</t>
  </si>
  <si>
    <t>S7680</t>
  </si>
  <si>
    <t>CW3S3-1</t>
  </si>
  <si>
    <t>CW3MF09_0</t>
  </si>
  <si>
    <t>S7681</t>
  </si>
  <si>
    <t>CW3S3-3-4</t>
  </si>
  <si>
    <t>CW3MF10_0</t>
  </si>
  <si>
    <t>S7816</t>
  </si>
  <si>
    <t>CWinf_1</t>
  </si>
  <si>
    <t>T1</t>
  </si>
  <si>
    <t>2024-10-15</t>
  </si>
  <si>
    <t>Autumn</t>
  </si>
  <si>
    <t>S7817</t>
  </si>
  <si>
    <t>CW1eff_1</t>
  </si>
  <si>
    <t>S7818</t>
  </si>
  <si>
    <t>CW2eff_1</t>
  </si>
  <si>
    <t>S7819</t>
  </si>
  <si>
    <t>CW3eff_1</t>
  </si>
  <si>
    <t>S7820</t>
  </si>
  <si>
    <t>CW1MF01_1</t>
  </si>
  <si>
    <t>S7821</t>
  </si>
  <si>
    <t>CW1MF02_1</t>
  </si>
  <si>
    <t>S7822</t>
  </si>
  <si>
    <t>CW1MF05_1</t>
  </si>
  <si>
    <t>S7823</t>
  </si>
  <si>
    <t>CW1MF06_1</t>
  </si>
  <si>
    <t>S7824</t>
  </si>
  <si>
    <t>CW1MF09_1</t>
  </si>
  <si>
    <t>S7825</t>
  </si>
  <si>
    <t>CW1MF10_1</t>
  </si>
  <si>
    <t>S7826</t>
  </si>
  <si>
    <t>CW2MF01_1</t>
  </si>
  <si>
    <t>S7827</t>
  </si>
  <si>
    <t>CW2MF02_1</t>
  </si>
  <si>
    <t>S7828</t>
  </si>
  <si>
    <t>CW2MF05_1</t>
  </si>
  <si>
    <t>S7829</t>
  </si>
  <si>
    <t>CW2MF06_1</t>
  </si>
  <si>
    <t>S7830</t>
  </si>
  <si>
    <t>CW2MF09_1</t>
  </si>
  <si>
    <t>S7831</t>
  </si>
  <si>
    <t>CW2MF10_1</t>
  </si>
  <si>
    <t>S7832</t>
  </si>
  <si>
    <t>CW3MF01_1</t>
  </si>
  <si>
    <t>S7833</t>
  </si>
  <si>
    <t>CW3MF02_1</t>
  </si>
  <si>
    <t>S7834</t>
  </si>
  <si>
    <t>CW3MF05_1</t>
  </si>
  <si>
    <t>S7835</t>
  </si>
  <si>
    <t>CW3MF06_1</t>
  </si>
  <si>
    <t>S7836</t>
  </si>
  <si>
    <t>CW3MF09_1</t>
  </si>
  <si>
    <t>S7837</t>
  </si>
  <si>
    <t>CW3MF10_1</t>
  </si>
  <si>
    <t>S8056</t>
  </si>
  <si>
    <t>CWinf_2</t>
  </si>
  <si>
    <t>T2</t>
  </si>
  <si>
    <t>2024-12-17</t>
  </si>
  <si>
    <t>Winter</t>
  </si>
  <si>
    <t>S8057</t>
  </si>
  <si>
    <t>CW1eff_2</t>
  </si>
  <si>
    <t>S8058</t>
  </si>
  <si>
    <t>CW2eff_2</t>
  </si>
  <si>
    <t>S8059</t>
  </si>
  <si>
    <t>CW3eff_2</t>
  </si>
  <si>
    <t>S8060</t>
  </si>
  <si>
    <t>CW1MF01_2</t>
  </si>
  <si>
    <t>S8061</t>
  </si>
  <si>
    <t>CW1MF02_2</t>
  </si>
  <si>
    <t>S8062</t>
  </si>
  <si>
    <t>CW1MF05_2</t>
  </si>
  <si>
    <t>S8063</t>
  </si>
  <si>
    <t>CW1MF06_2</t>
  </si>
  <si>
    <t>S8064</t>
  </si>
  <si>
    <t>CW1MF09_2</t>
  </si>
  <si>
    <t>S8065</t>
  </si>
  <si>
    <t>CW1MF10_2</t>
  </si>
  <si>
    <t>S8066</t>
  </si>
  <si>
    <t>CW2MF01_2</t>
  </si>
  <si>
    <t>S8067</t>
  </si>
  <si>
    <t>CW2MF02_2</t>
  </si>
  <si>
    <t>S8068</t>
  </si>
  <si>
    <t>CW2MF05_2</t>
  </si>
  <si>
    <t>S8069</t>
  </si>
  <si>
    <t>CW2MF06_2</t>
  </si>
  <si>
    <t>S8070</t>
  </si>
  <si>
    <t>CW2MF09_2</t>
  </si>
  <si>
    <t>S8071</t>
  </si>
  <si>
    <t>CW2MF10_2</t>
  </si>
  <si>
    <t>S8072</t>
  </si>
  <si>
    <t>CW3MF01_2</t>
  </si>
  <si>
    <t>S8073</t>
  </si>
  <si>
    <t>CW3MF02_2</t>
  </si>
  <si>
    <t>S8074</t>
  </si>
  <si>
    <t>CW3MF05_2</t>
  </si>
  <si>
    <t>S8075</t>
  </si>
  <si>
    <t>CW3MF06_2</t>
  </si>
  <si>
    <t>S8076</t>
  </si>
  <si>
    <t>CW3MF09_2</t>
  </si>
  <si>
    <t>S8077</t>
  </si>
  <si>
    <t>CW3MF10_2</t>
  </si>
  <si>
    <t>S8395</t>
  </si>
  <si>
    <t>CWinf_3</t>
  </si>
  <si>
    <t>T3</t>
  </si>
  <si>
    <t>2025-02-17</t>
  </si>
  <si>
    <t>S8396</t>
  </si>
  <si>
    <t>CW1eff_3</t>
  </si>
  <si>
    <t>S8397</t>
  </si>
  <si>
    <t>CW2eff_3</t>
  </si>
  <si>
    <t>S8398</t>
  </si>
  <si>
    <t>CW3eff_3</t>
  </si>
  <si>
    <t>S8399</t>
  </si>
  <si>
    <t>CW1MF01_3</t>
  </si>
  <si>
    <t>S8400</t>
  </si>
  <si>
    <t>CW1MF02_3</t>
  </si>
  <si>
    <t>S8401</t>
  </si>
  <si>
    <t>CW1MF05_3</t>
  </si>
  <si>
    <t>S8402</t>
  </si>
  <si>
    <t>CW1MF06_3</t>
  </si>
  <si>
    <t>S8403</t>
  </si>
  <si>
    <t>CW1MF09_3</t>
  </si>
  <si>
    <t>S8404</t>
  </si>
  <si>
    <t>CW1MF10_3</t>
  </si>
  <si>
    <t>S8405</t>
  </si>
  <si>
    <t>CW2MF01_3</t>
  </si>
  <si>
    <t>S8406</t>
  </si>
  <si>
    <t>CW2MF02_3</t>
  </si>
  <si>
    <t>S8407</t>
  </si>
  <si>
    <t>CW2MF05_3</t>
  </si>
  <si>
    <t>S8408</t>
  </si>
  <si>
    <t>CW2MF06_3</t>
  </si>
  <si>
    <t>S8409</t>
  </si>
  <si>
    <t>CW2MF09_3</t>
  </si>
  <si>
    <t>S8410</t>
  </si>
  <si>
    <t>CW2MF10_3</t>
  </si>
  <si>
    <t>S8411</t>
  </si>
  <si>
    <t>CW3MF01_3</t>
  </si>
  <si>
    <t>S8412</t>
  </si>
  <si>
    <t>CW3MF02_3</t>
  </si>
  <si>
    <t>S8413</t>
  </si>
  <si>
    <t>CW3MF05_3</t>
  </si>
  <si>
    <t>S8414</t>
  </si>
  <si>
    <t>CW3MF06_3</t>
  </si>
  <si>
    <t>S8415</t>
  </si>
  <si>
    <t>CW3MF09_3</t>
  </si>
  <si>
    <t>S8416</t>
  </si>
  <si>
    <t>CW3MF10_3</t>
  </si>
  <si>
    <t>S8697</t>
  </si>
  <si>
    <t>CWinf_4</t>
  </si>
  <si>
    <t>T4</t>
  </si>
  <si>
    <t>2025-04-15</t>
  </si>
  <si>
    <t>S8698</t>
  </si>
  <si>
    <t>CW1eff_4</t>
  </si>
  <si>
    <t>S8699</t>
  </si>
  <si>
    <t>CW2eff_4</t>
  </si>
  <si>
    <t>S8700</t>
  </si>
  <si>
    <t>CW3eff_4</t>
  </si>
  <si>
    <t>S8701</t>
  </si>
  <si>
    <t>CW1MF01_4</t>
  </si>
  <si>
    <t>S8702</t>
  </si>
  <si>
    <t>CW1MF02_4</t>
  </si>
  <si>
    <t>S8703</t>
  </si>
  <si>
    <t>CW1MF05_4</t>
  </si>
  <si>
    <t>S8704</t>
  </si>
  <si>
    <t>CW1MF06_4</t>
  </si>
  <si>
    <t>S8705</t>
  </si>
  <si>
    <t>CW1MF09_4</t>
  </si>
  <si>
    <t>S8706</t>
  </si>
  <si>
    <t>CW1MF10_4</t>
  </si>
  <si>
    <t>S8707</t>
  </si>
  <si>
    <t>CW2MF01_4</t>
  </si>
  <si>
    <t>S8708</t>
  </si>
  <si>
    <t>CW2MF02_4</t>
  </si>
  <si>
    <t>S8709</t>
  </si>
  <si>
    <t>CW2MF05_4</t>
  </si>
  <si>
    <t>S8710</t>
  </si>
  <si>
    <t>CW2MF06_4</t>
  </si>
  <si>
    <t>S8711</t>
  </si>
  <si>
    <t>CW2MF09_4</t>
  </si>
  <si>
    <t>S8712</t>
  </si>
  <si>
    <t>CW2MF10_4</t>
  </si>
  <si>
    <t>S8713</t>
  </si>
  <si>
    <t>CW3MF01_4</t>
  </si>
  <si>
    <t>S8714</t>
  </si>
  <si>
    <t>CW3MF02_4</t>
  </si>
  <si>
    <t>S8715</t>
  </si>
  <si>
    <t>CW3MF05_4</t>
  </si>
  <si>
    <t>S8716</t>
  </si>
  <si>
    <t>CW3MF06_4</t>
  </si>
  <si>
    <t>S8717</t>
  </si>
  <si>
    <t>CW3MF09_4</t>
  </si>
  <si>
    <t>S8718</t>
  </si>
  <si>
    <t>CW3MF10_4</t>
  </si>
  <si>
    <t>S9050</t>
  </si>
  <si>
    <t>CWinf_5</t>
  </si>
  <si>
    <t>T5</t>
  </si>
  <si>
    <t>2025-06-16</t>
  </si>
  <si>
    <t>S9051</t>
  </si>
  <si>
    <t>CW1eff_5</t>
  </si>
  <si>
    <t>S9052</t>
  </si>
  <si>
    <t>CW2eff_5</t>
  </si>
  <si>
    <t>S9053</t>
  </si>
  <si>
    <t>CW3eff_5</t>
  </si>
  <si>
    <t>S9054</t>
  </si>
  <si>
    <t>CW1MF01_5</t>
  </si>
  <si>
    <t>S9055</t>
  </si>
  <si>
    <t>CW1MF02_5</t>
  </si>
  <si>
    <t>S9056</t>
  </si>
  <si>
    <t>CW1MF05_5</t>
  </si>
  <si>
    <t>S9057</t>
  </si>
  <si>
    <t>CW1MF06_5</t>
  </si>
  <si>
    <t>S9058</t>
  </si>
  <si>
    <t>CW1MF09_5</t>
  </si>
  <si>
    <t>S9059</t>
  </si>
  <si>
    <t>CW1MF10_5</t>
  </si>
  <si>
    <t>S9060</t>
  </si>
  <si>
    <t>CW2MF01_5</t>
  </si>
  <si>
    <t>S9061</t>
  </si>
  <si>
    <t>CW2MF02_5</t>
  </si>
  <si>
    <t>S9062</t>
  </si>
  <si>
    <t>CW2MF05_5</t>
  </si>
  <si>
    <t>S9063</t>
  </si>
  <si>
    <t>CW2MF06_5</t>
  </si>
  <si>
    <t>S9064</t>
  </si>
  <si>
    <t>CW2MF09_5</t>
  </si>
  <si>
    <t>S9065</t>
  </si>
  <si>
    <t>CW2MF10_5</t>
  </si>
  <si>
    <t>S9066</t>
  </si>
  <si>
    <t>CW3MF01_5</t>
  </si>
  <si>
    <t>S9067</t>
  </si>
  <si>
    <t>CW3MF02_5</t>
  </si>
  <si>
    <t>S9068</t>
  </si>
  <si>
    <t>CW3MF05_5</t>
  </si>
  <si>
    <t>S9069</t>
  </si>
  <si>
    <t>CW3MF06_5</t>
  </si>
  <si>
    <t>S9070</t>
  </si>
  <si>
    <t>CW3MF09_5</t>
  </si>
  <si>
    <t>S9071</t>
  </si>
  <si>
    <t>CW3MF10_5</t>
  </si>
  <si>
    <t>S9270</t>
  </si>
  <si>
    <t>CWinf_6</t>
  </si>
  <si>
    <t>T6</t>
  </si>
  <si>
    <t>2025-08-13</t>
  </si>
  <si>
    <t>S9271</t>
  </si>
  <si>
    <t>CW1eff_6</t>
  </si>
  <si>
    <t>S9272</t>
  </si>
  <si>
    <t>CW2eff_6</t>
  </si>
  <si>
    <t>S9273</t>
  </si>
  <si>
    <t>CW3eff_6</t>
  </si>
  <si>
    <t>S9274</t>
  </si>
  <si>
    <t>CW1MF01_6</t>
  </si>
  <si>
    <t>S9275</t>
  </si>
  <si>
    <t>CW1MF02_6</t>
  </si>
  <si>
    <t>S9276</t>
  </si>
  <si>
    <t>CW1MF05_6</t>
  </si>
  <si>
    <t>S9277</t>
  </si>
  <si>
    <t>CW1MF06_6</t>
  </si>
  <si>
    <t>S9278</t>
  </si>
  <si>
    <t>CW1MF09_6</t>
  </si>
  <si>
    <t>S9279</t>
  </si>
  <si>
    <t>CW1MF10_6</t>
  </si>
  <si>
    <t>S9280</t>
  </si>
  <si>
    <t>CW2MF01_6</t>
  </si>
  <si>
    <t>S9281</t>
  </si>
  <si>
    <t>CW2MF02_6</t>
  </si>
  <si>
    <t>S9282</t>
  </si>
  <si>
    <t>CW2MF05_6</t>
  </si>
  <si>
    <t>S9283</t>
  </si>
  <si>
    <t>CW2MF06_6</t>
  </si>
  <si>
    <t>S9284</t>
  </si>
  <si>
    <t>CW2MF09_6</t>
  </si>
  <si>
    <t>S9285</t>
  </si>
  <si>
    <t>CW2MF10_6</t>
  </si>
  <si>
    <t>S9286</t>
  </si>
  <si>
    <t>CW3MF01_6</t>
  </si>
  <si>
    <t>S9287</t>
  </si>
  <si>
    <t>CW3MF02_6</t>
  </si>
  <si>
    <t>S9288</t>
  </si>
  <si>
    <t>CW3MF05_6</t>
  </si>
  <si>
    <t>S9289</t>
  </si>
  <si>
    <t>CW3MF06_6</t>
  </si>
  <si>
    <t>S9290</t>
  </si>
  <si>
    <t>CW3MF09_6</t>
  </si>
  <si>
    <t>S9291</t>
  </si>
  <si>
    <t>CW3MF10_6</t>
  </si>
  <si>
    <t>S9456</t>
  </si>
  <si>
    <t>CWinf_7</t>
  </si>
  <si>
    <t>T7</t>
  </si>
  <si>
    <t>2025-10-27</t>
  </si>
  <si>
    <t>S9457</t>
  </si>
  <si>
    <t>CW1eff_7</t>
  </si>
  <si>
    <t>S9458</t>
  </si>
  <si>
    <t>CW2eff_7</t>
  </si>
  <si>
    <t>S9459</t>
  </si>
  <si>
    <t>CW3eff_7</t>
  </si>
  <si>
    <t>S9460</t>
  </si>
  <si>
    <t>CW1MF01_7</t>
  </si>
  <si>
    <t>S9461</t>
  </si>
  <si>
    <t>CW1MF02_7</t>
  </si>
  <si>
    <t>S9462</t>
  </si>
  <si>
    <t>CW1MF05_7</t>
  </si>
  <si>
    <t>S9463</t>
  </si>
  <si>
    <t>CW1MF06_7</t>
  </si>
  <si>
    <t>S9464</t>
  </si>
  <si>
    <t>CW1MF09_7</t>
  </si>
  <si>
    <t>S9465</t>
  </si>
  <si>
    <t>CW1MF10_7</t>
  </si>
  <si>
    <t>S9466</t>
  </si>
  <si>
    <t>CW2MF01_7</t>
  </si>
  <si>
    <t>S9467</t>
  </si>
  <si>
    <t>CW2MF02_7</t>
  </si>
  <si>
    <t>S9468</t>
  </si>
  <si>
    <t>CW2MF05_7</t>
  </si>
  <si>
    <t>S9469</t>
  </si>
  <si>
    <t>CW2MF06_7</t>
  </si>
  <si>
    <t>S9470</t>
  </si>
  <si>
    <t>CW2MF09_7</t>
  </si>
  <si>
    <t>S9471</t>
  </si>
  <si>
    <t>CW2MF10_7</t>
  </si>
  <si>
    <t>S9472</t>
  </si>
  <si>
    <t>CW3MF01_7</t>
  </si>
  <si>
    <t>S9473</t>
  </si>
  <si>
    <t>CW3MF02_7</t>
  </si>
  <si>
    <t>S9474</t>
  </si>
  <si>
    <t>CW3MF05_7</t>
  </si>
  <si>
    <t>S9475</t>
  </si>
  <si>
    <t>CW3MF06_7</t>
  </si>
  <si>
    <t>S9476</t>
  </si>
  <si>
    <t>CW3MF09_7</t>
  </si>
  <si>
    <t>S9477</t>
  </si>
  <si>
    <t>CW3MF10_7</t>
  </si>
  <si>
    <t>S9822</t>
  </si>
  <si>
    <t>CWinf_8</t>
  </si>
  <si>
    <t>T8</t>
  </si>
  <si>
    <t>2025-12-16</t>
  </si>
  <si>
    <t>S9823</t>
  </si>
  <si>
    <t>CW1eff_8</t>
  </si>
  <si>
    <t>S9824</t>
  </si>
  <si>
    <t>CW2eff_8</t>
  </si>
  <si>
    <t>S9825</t>
  </si>
  <si>
    <t>CW3eff_8</t>
  </si>
  <si>
    <t>S9826</t>
  </si>
  <si>
    <t>CW1MF01_8</t>
  </si>
  <si>
    <t>S9827</t>
  </si>
  <si>
    <t>CW1MF02_8</t>
  </si>
  <si>
    <t>S9828</t>
  </si>
  <si>
    <t>CW1MF05_8</t>
  </si>
  <si>
    <t>S9829</t>
  </si>
  <si>
    <t>CW1MF06_8</t>
  </si>
  <si>
    <t>S9830</t>
  </si>
  <si>
    <t>CW1MF09_8</t>
  </si>
  <si>
    <t>S9831</t>
  </si>
  <si>
    <t>CW1MF10_8</t>
  </si>
  <si>
    <t>S9832</t>
  </si>
  <si>
    <t>CW2MF01_8</t>
  </si>
  <si>
    <t>S9833</t>
  </si>
  <si>
    <t>CW2MF02_8</t>
  </si>
  <si>
    <t>S9834</t>
  </si>
  <si>
    <t>CW2MF05_8</t>
  </si>
  <si>
    <t>S9835</t>
  </si>
  <si>
    <t>CW2MF06_8</t>
  </si>
  <si>
    <t>S9836</t>
  </si>
  <si>
    <t>CW2MF09_8</t>
  </si>
  <si>
    <t>S9837</t>
  </si>
  <si>
    <t>CW2MF10_8</t>
  </si>
  <si>
    <t>S9838</t>
  </si>
  <si>
    <t>CW3MF01_8</t>
  </si>
  <si>
    <t>S9839</t>
  </si>
  <si>
    <t>CW3MF02_8</t>
  </si>
  <si>
    <t>S9840</t>
  </si>
  <si>
    <t>CW3MF05_8</t>
  </si>
  <si>
    <t>S9841</t>
  </si>
  <si>
    <t>CW3MF06_8</t>
  </si>
  <si>
    <t>S9842</t>
  </si>
  <si>
    <t>CW3MF09_8</t>
  </si>
  <si>
    <t>S9843</t>
  </si>
  <si>
    <t>CW3MF10_8</t>
  </si>
  <si>
    <t>INF</t>
  </si>
  <si>
    <t>EFF</t>
  </si>
  <si>
    <t>Wetland</t>
  </si>
  <si>
    <t>Sample_ID</t>
  </si>
  <si>
    <t>MF_number</t>
  </si>
  <si>
    <t>MF01</t>
  </si>
  <si>
    <t>MF02</t>
  </si>
  <si>
    <t>MF03</t>
  </si>
  <si>
    <t>MF04</t>
  </si>
  <si>
    <t>MF09</t>
  </si>
  <si>
    <t>MF10</t>
  </si>
  <si>
    <t>MF11</t>
  </si>
  <si>
    <t>MF12</t>
  </si>
  <si>
    <t>MF05</t>
  </si>
  <si>
    <t>MF06</t>
  </si>
  <si>
    <t>sulfate_mg_l</t>
  </si>
  <si>
    <t>chloride_mg_l</t>
  </si>
  <si>
    <t>iron2_mg_l</t>
  </si>
  <si>
    <t>manganese2_mg_l</t>
  </si>
  <si>
    <t>14373702-001</t>
  </si>
  <si>
    <t>CW3MF05</t>
  </si>
  <si>
    <t>sulfate_electron_acceptor_capacity_mmol_e</t>
  </si>
  <si>
    <t>iron2_measured_mmoles_l</t>
  </si>
  <si>
    <t>iron2_measured_electron_acceptor_capacity_mmol_e</t>
  </si>
  <si>
    <t>manganese2_electron_acceptor_capacity_mmol_e_l</t>
  </si>
  <si>
    <t>sulfate_consumption_relative_to_influent</t>
  </si>
  <si>
    <t>sulfate_consumption_percentage_relative_to_influent</t>
  </si>
  <si>
    <t>sulfate_consumption_1D_flow_mmols_e_l</t>
  </si>
  <si>
    <t>sulfate_consumption_relative_to_influent_mmols_e_l</t>
  </si>
  <si>
    <t>sulfate_consumption_percentage_1D_flow_relative_to_previous_sample</t>
  </si>
  <si>
    <t>sulfate_consumption_1D_flow_mg_l</t>
  </si>
  <si>
    <t>sulfate_consumption_1D_flow_mmols_e_l_no_negatives</t>
  </si>
  <si>
    <t>benzene_ug_l</t>
  </si>
  <si>
    <t>toluene_ug_l</t>
  </si>
  <si>
    <t>ethylbenzene_ug_l</t>
  </si>
  <si>
    <t>o_xylene_ug_l</t>
  </si>
  <si>
    <t>pm_xylene_ug_l</t>
  </si>
  <si>
    <t>xylene_ug_l</t>
  </si>
  <si>
    <t>concentration_BTEX_ug_l</t>
  </si>
  <si>
    <t>naphthalene_VOC_ug_l</t>
  </si>
  <si>
    <t>benzene_mmol_e_l</t>
  </si>
  <si>
    <t>toluene_mmol_e_l</t>
  </si>
  <si>
    <t>ethylbenzene_mmol_e_l</t>
  </si>
  <si>
    <t>o_xylene_mmol_e_l</t>
  </si>
  <si>
    <t>pm_xylene_mmol_e_l</t>
  </si>
  <si>
    <t>xylene_mmol_e_l</t>
  </si>
  <si>
    <t>concentration_BTEX_mmol_e_l</t>
  </si>
  <si>
    <t>naphthalene_VOC_mmol_e_l</t>
  </si>
  <si>
    <t>naphthalene_PAH_ug_l</t>
  </si>
  <si>
    <t>acenaphthylene_ug_l</t>
  </si>
  <si>
    <t>acenaphthene_ug_l</t>
  </si>
  <si>
    <t>fluorene_ug_l</t>
  </si>
  <si>
    <t>phenanthrene_ug_l</t>
  </si>
  <si>
    <t>anthracene_ug_l</t>
  </si>
  <si>
    <t>fluoranthene_ug_l</t>
  </si>
  <si>
    <t>pyrene_ug_l</t>
  </si>
  <si>
    <t>naphthalene_PAH_mmol_e_l</t>
  </si>
  <si>
    <t>acenaphthylene_mmol_e_l</t>
  </si>
  <si>
    <t>acenaphthene_mmol_e_l</t>
  </si>
  <si>
    <t>fluorene_mmol_e_l</t>
  </si>
  <si>
    <t>phenanthrene_mmol_e_l</t>
  </si>
  <si>
    <t>anthracene_mmol_e_l</t>
  </si>
  <si>
    <t>fluoranthene_mmol_e_l</t>
  </si>
  <si>
    <t>pyrene_mmol_e_l</t>
  </si>
  <si>
    <t>Sum_water_soluble_PAHs_ug_l</t>
  </si>
  <si>
    <t>Sum_water_soluble_PAHs_mmol_e_l</t>
  </si>
  <si>
    <t>Sum_water_soluble_PAHs_no_napthalene_mmol_e_l</t>
  </si>
  <si>
    <t>Sum_water_soluble_PAHs_no_napthalene_ug_l</t>
  </si>
  <si>
    <t>sampling_date</t>
  </si>
  <si>
    <t>CW_number_MF_number</t>
  </si>
  <si>
    <t>CW_number_CW_section</t>
  </si>
  <si>
    <t>linked_redox_sensor</t>
  </si>
  <si>
    <t>CW_section</t>
  </si>
  <si>
    <t>CW_number</t>
  </si>
  <si>
    <t>wetland_sample</t>
  </si>
  <si>
    <t>elution_volume_ul</t>
  </si>
  <si>
    <t>filtration_volume_ml</t>
  </si>
  <si>
    <t>primerpairname</t>
  </si>
  <si>
    <t>orvion_sample_names</t>
  </si>
  <si>
    <t>order_treatment</t>
  </si>
  <si>
    <t>sample_names</t>
  </si>
  <si>
    <t>short_name</t>
  </si>
  <si>
    <t>season_meterological</t>
  </si>
  <si>
    <t>sample_depth_information</t>
  </si>
  <si>
    <t>timepoint</t>
  </si>
  <si>
    <t>timepoint_sample_depth_information</t>
  </si>
  <si>
    <t>manganese2__measured_mmoles_l</t>
  </si>
  <si>
    <t>sulfate_measured_mmoles_l</t>
  </si>
  <si>
    <t>sulfate_consumption_relative_to_influent_mmols_e_l_no_negatives</t>
  </si>
  <si>
    <t>iron2_PRECIPITATED_due_to_sulfate_reduction_mg_l_Sulfate_relative_To_Influent</t>
  </si>
  <si>
    <t>iron2_TOTAL_mg_l_Sulfate_relative_To_Influent</t>
  </si>
  <si>
    <t>iron2_TOTAL_mmoles_l__Sulfate_relative_To_Influent</t>
  </si>
  <si>
    <t>iron2_TOTAL_mmoles_e_l__Sulfate_relative_To_Influent</t>
  </si>
  <si>
    <t>iron2_PRECIPITATED_due_to_sulfate_reduction_mg_l_Sulfate_relative_To_1D_flow</t>
  </si>
  <si>
    <t>iron2_PRECIPITATED_due_to_sulfate_mg_l_Sulfate_relative_To_Influent_NO_NEGATIVES</t>
  </si>
  <si>
    <t>iron2_PRECIPITATED_due_to_sulfate_mg_l_Sulfate_relative_To_1D_flow_NO_NEGATIVES</t>
  </si>
  <si>
    <t>iron2_TOTAL_mg_l_sulfate_relative_to_1D_flow</t>
  </si>
  <si>
    <t>iron2_TOTAL_mmoles_l_sulfate_relative_to_1D_flow</t>
  </si>
  <si>
    <t>iron2_TOTAL_mmoles_e_l__sulfate_relative_to_1D_flow</t>
  </si>
  <si>
    <t>Soluble_electron_acceptor_capacity_present_(sulfate)</t>
  </si>
  <si>
    <t>electron_acceptor_capacity_mmol_e_consumed_rel_to_influent</t>
  </si>
  <si>
    <t>electron_acceptor_capacity_mmol_e_consumed_rel_to_1D_flow</t>
  </si>
  <si>
    <t>electron_acceptor_capacity_mmol_e_consumed_rel_to_influent_contribution_manganese2</t>
  </si>
  <si>
    <t>electron_acceptor_capacity_mmol_e_consumed_rel_to_influent_contribution_iron2</t>
  </si>
  <si>
    <t>electron_acceptor_capacity_mmol_e_consumed_rel_to_influent_contribution_sulfate</t>
  </si>
  <si>
    <t>electron_acceptor_capacity_mmol_e_consumed_rel_to_1D_flow_contribution_iron2</t>
  </si>
  <si>
    <t>electron_acceptor_capacity_mmol_e_consumed_rel_to_1D_flow_contribution_sulfate</t>
  </si>
  <si>
    <t>electron_acceptor_capacity_mmol_e_consumed_rel_to_1D_flow_contribution_manganese2</t>
  </si>
  <si>
    <t>electron_donor_acceptor_balance_BTEXN_acceptors_consumed_relative_to_influent</t>
  </si>
  <si>
    <t>electron_donor_acceptor_balance_BTEXN_acceptors_consumed_relative_to_1D_flow</t>
  </si>
  <si>
    <t>electron_donor_acceptor_balance_BTEXN_PAH_acceptors_consumed_relative_to_influent</t>
  </si>
  <si>
    <t>electron_donor_acceptor_balance_BTEXN_PAH_acceptors_consumed_relative_to_1D_flow</t>
  </si>
  <si>
    <t>electron_balance_1D_flow</t>
  </si>
  <si>
    <t>electron_capacity_balance_influent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</si>
</sst>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4" fontId="1" fillId="0" borderId="0" xfId="0" applyNumberFormat="1" applyFont="1"/>
    <xf numFmtId="0" fontId="2" fillId="0" borderId="0" xfId="0" applyFont="1"/>
    <xf numFmtId="14" fontId="1" fillId="0" borderId="0" xfId="0" quotePrefix="1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4" fontId="1" fillId="7" borderId="0" xfId="0" applyNumberFormat="1" applyFont="1" applyFill="1"/>
    <xf numFmtId="0" fontId="2" fillId="7" borderId="0" xfId="0" applyFont="1" applyFill="1"/>
    <xf numFmtId="14" fontId="1" fillId="7" borderId="0" xfId="0" quotePrefix="1" applyNumberFormat="1" applyFont="1" applyFill="1"/>
    <xf numFmtId="0" fontId="5" fillId="0" borderId="0" xfId="0" applyFont="1" applyAlignment="1">
      <alignment horizontal="left" wrapText="1"/>
    </xf>
    <xf numFmtId="0" fontId="6" fillId="0" borderId="0" xfId="0" applyFont="1"/>
    <xf numFmtId="0" fontId="0" fillId="7" borderId="0" xfId="0" applyFill="1"/>
    <xf numFmtId="14" fontId="0" fillId="7" borderId="0" xfId="0" applyNumberFormat="1" applyFill="1"/>
    <xf numFmtId="0" fontId="0" fillId="7" borderId="0" xfId="0" applyFill="1" applyAlignment="1">
      <alignment horizontal="right" vertical="top"/>
    </xf>
    <xf numFmtId="2" fontId="0" fillId="2" borderId="0" xfId="0" applyNumberFormat="1" applyFill="1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4" borderId="0" xfId="0" applyFill="1"/>
    <xf numFmtId="0" fontId="1" fillId="10" borderId="0" xfId="0" applyFont="1" applyFill="1"/>
    <xf numFmtId="0" fontId="2" fillId="10" borderId="0" xfId="0" applyFont="1" applyFill="1"/>
    <xf numFmtId="14" fontId="1" fillId="10" borderId="0" xfId="0" quotePrefix="1" applyNumberFormat="1" applyFont="1" applyFill="1"/>
    <xf numFmtId="0" fontId="0" fillId="10" borderId="0" xfId="0" applyFill="1"/>
    <xf numFmtId="14" fontId="0" fillId="10" borderId="0" xfId="0" applyNumberFormat="1" applyFill="1"/>
    <xf numFmtId="2" fontId="3" fillId="10" borderId="0" xfId="0" applyNumberFormat="1" applyFont="1" applyFill="1"/>
    <xf numFmtId="2" fontId="3" fillId="10" borderId="0" xfId="0" applyNumberFormat="1" applyFont="1" applyFill="1" applyAlignment="1">
      <alignment horizontal="right"/>
    </xf>
    <xf numFmtId="0" fontId="4" fillId="10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left" wrapText="1"/>
    </xf>
    <xf numFmtId="164" fontId="0" fillId="2" borderId="0" xfId="0" applyNumberFormat="1" applyFill="1"/>
    <xf numFmtId="0" fontId="0" fillId="11" borderId="0" xfId="0" applyFill="1"/>
    <xf numFmtId="14" fontId="1" fillId="10" borderId="0" xfId="0" applyNumberFormat="1" applyFont="1" applyFill="1"/>
    <xf numFmtId="0" fontId="1" fillId="8" borderId="0" xfId="0" applyFont="1" applyFill="1"/>
    <xf numFmtId="14" fontId="1" fillId="8" borderId="0" xfId="0" applyNumberFormat="1" applyFont="1" applyFill="1"/>
    <xf numFmtId="0" fontId="2" fillId="8" borderId="0" xfId="0" applyFont="1" applyFill="1"/>
    <xf numFmtId="14" fontId="1" fillId="8" borderId="0" xfId="0" quotePrefix="1" applyNumberFormat="1" applyFont="1" applyFill="1"/>
    <xf numFmtId="14" fontId="0" fillId="8" borderId="0" xfId="0" applyNumberFormat="1" applyFill="1"/>
    <xf numFmtId="0" fontId="0" fillId="5" borderId="0" xfId="0" applyFill="1"/>
    <xf numFmtId="0" fontId="0" fillId="12" borderId="0" xfId="0" applyFill="1"/>
    <xf numFmtId="0" fontId="0" fillId="13" borderId="0" xfId="0" applyFill="1"/>
    <xf numFmtId="2" fontId="0" fillId="12" borderId="0" xfId="0" applyNumberFormat="1" applyFill="1"/>
    <xf numFmtId="0" fontId="1" fillId="6" borderId="1" xfId="0" applyFont="1" applyFill="1" applyBorder="1"/>
    <xf numFmtId="0" fontId="1" fillId="13" borderId="0" xfId="0" applyFont="1" applyFill="1"/>
    <xf numFmtId="0" fontId="0" fillId="6" borderId="0" xfId="0" applyFill="1"/>
    <xf numFmtId="0" fontId="0" fillId="14" borderId="0" xfId="0" applyFill="1"/>
    <xf numFmtId="0" fontId="0" fillId="15" borderId="0" xfId="0" applyFill="1"/>
    <xf numFmtId="2" fontId="0" fillId="15" borderId="0" xfId="0" applyNumberFormat="1" applyFill="1"/>
    <xf numFmtId="0" fontId="0" fillId="16" borderId="0" xfId="0" applyFill="1"/>
    <xf numFmtId="2" fontId="0" fillId="16" borderId="0" xfId="0" applyNumberFormat="1" applyFill="1"/>
    <xf numFmtId="0" fontId="0" fillId="17" borderId="0" xfId="0" applyFill="1"/>
    <xf numFmtId="164" fontId="0" fillId="18" borderId="0" xfId="0" applyNumberFormat="1" applyFill="1"/>
    <xf numFmtId="0" fontId="0" fillId="18" borderId="0" xfId="0" applyFill="1"/>
    <xf numFmtId="2" fontId="0" fillId="14" borderId="0" xfId="0" applyNumberFormat="1" applyFill="1"/>
    <xf numFmtId="164" fontId="0" fillId="14" borderId="0" xfId="0" applyNumberFormat="1" applyFill="1"/>
    <xf numFmtId="0" fontId="0" fillId="19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7154-D316-4A5F-8438-90CE3CDA3492}">
  <dimension ref="A1:DP208"/>
  <sheetViews>
    <sheetView tabSelected="1" topLeftCell="DI1" zoomScale="70" zoomScaleNormal="70" workbookViewId="0">
      <selection activeCell="DJ4" sqref="DJ4"/>
    </sheetView>
  </sheetViews>
  <sheetFormatPr defaultRowHeight="15" x14ac:dyDescent="0.25"/>
  <cols>
    <col min="1" max="2" width="25.42578125" customWidth="1"/>
    <col min="3" max="3" width="13.28515625" bestFit="1" customWidth="1"/>
    <col min="4" max="4" width="29.7109375" bestFit="1" customWidth="1"/>
    <col min="5" max="5" width="27.140625" customWidth="1"/>
    <col min="6" max="6" width="16.5703125" bestFit="1" customWidth="1"/>
    <col min="7" max="7" width="23.5703125" bestFit="1" customWidth="1"/>
    <col min="8" max="8" width="15.5703125" bestFit="1" customWidth="1"/>
    <col min="9" max="9" width="21.7109375" bestFit="1" customWidth="1"/>
    <col min="10" max="10" width="19.140625" bestFit="1" customWidth="1"/>
    <col min="11" max="11" width="19.85546875" bestFit="1" customWidth="1"/>
    <col min="12" max="12" width="14" bestFit="1" customWidth="1"/>
    <col min="13" max="13" width="17.140625" bestFit="1" customWidth="1"/>
    <col min="14" max="14" width="13.140625" bestFit="1" customWidth="1"/>
    <col min="15" max="15" width="12.5703125" customWidth="1"/>
    <col min="16" max="16" width="12.28515625" bestFit="1" customWidth="1"/>
    <col min="17" max="17" width="20.85546875" bestFit="1" customWidth="1"/>
    <col min="18" max="18" width="19.85546875" customWidth="1"/>
    <col min="19" max="19" width="20.85546875" customWidth="1"/>
    <col min="20" max="20" width="15.7109375" customWidth="1"/>
    <col min="21" max="21" width="11.28515625" bestFit="1" customWidth="1"/>
    <col min="22" max="22" width="22.140625" bestFit="1" customWidth="1"/>
    <col min="23" max="23" width="26.5703125" bestFit="1" customWidth="1"/>
    <col min="24" max="24" width="10.42578125" bestFit="1" customWidth="1"/>
    <col min="25" max="25" width="37.5703125" customWidth="1"/>
    <col min="26" max="26" width="11" bestFit="1" customWidth="1"/>
    <col min="27" max="28" width="5.140625" bestFit="1" customWidth="1"/>
    <col min="29" max="29" width="12.7109375" bestFit="1" customWidth="1"/>
    <col min="30" max="30" width="21.7109375" customWidth="1"/>
    <col min="31" max="31" width="12.28515625" customWidth="1"/>
    <col min="32" max="32" width="13" customWidth="1"/>
    <col min="33" max="33" width="15" customWidth="1"/>
    <col min="34" max="34" width="12.42578125" customWidth="1"/>
    <col min="35" max="35" width="8.42578125" bestFit="1" customWidth="1"/>
    <col min="36" max="36" width="13.140625" bestFit="1" customWidth="1"/>
    <col min="37" max="37" width="10.140625" bestFit="1" customWidth="1"/>
    <col min="38" max="38" width="10.140625" customWidth="1"/>
    <col min="39" max="39" width="6.42578125" bestFit="1" customWidth="1"/>
    <col min="40" max="40" width="11.140625" customWidth="1"/>
    <col min="41" max="41" width="23.28515625" style="49" bestFit="1" customWidth="1"/>
    <col min="42" max="42" width="28.28515625" style="49" bestFit="1" customWidth="1"/>
    <col min="43" max="43" width="16.85546875" bestFit="1" customWidth="1"/>
    <col min="44" max="44" width="26.5703125" bestFit="1" customWidth="1"/>
    <col min="45" max="45" width="21.42578125" style="48" bestFit="1" customWidth="1"/>
    <col min="46" max="46" width="26.42578125" style="27" bestFit="1" customWidth="1"/>
    <col min="47" max="47" width="15.140625" style="48" bestFit="1" customWidth="1"/>
    <col min="48" max="48" width="24.7109375" style="27" bestFit="1" customWidth="1"/>
    <col min="49" max="49" width="9.140625" style="48"/>
    <col min="50" max="50" width="23.28515625" style="27" bestFit="1" customWidth="1"/>
    <col min="51" max="51" width="9.140625" style="48"/>
    <col min="52" max="52" width="9.140625" style="27"/>
    <col min="53" max="53" width="9.140625" style="48"/>
    <col min="54" max="54" width="9.140625" style="27"/>
    <col min="55" max="55" width="9.7109375" style="48" customWidth="1"/>
    <col min="56" max="56" width="9.140625" style="27"/>
    <col min="57" max="57" width="9.140625" style="48"/>
    <col min="58" max="58" width="9.140625" style="27"/>
    <col min="59" max="59" width="9.140625" style="48"/>
    <col min="60" max="60" width="16.28515625" style="27" bestFit="1" customWidth="1"/>
    <col min="61" max="61" width="28.42578125" style="52" bestFit="1" customWidth="1"/>
    <col min="62" max="62" width="39.5703125" style="52" customWidth="1"/>
    <col min="63" max="63" width="31.5703125" style="27" bestFit="1" customWidth="1"/>
    <col min="64" max="64" width="54" style="27" bestFit="1" customWidth="1"/>
    <col min="65" max="67" width="16.5703125" bestFit="1" customWidth="1"/>
    <col min="68" max="68" width="13.7109375" bestFit="1" customWidth="1"/>
    <col min="70" max="70" width="12.7109375" bestFit="1" customWidth="1"/>
    <col min="71" max="71" width="16.7109375" bestFit="1" customWidth="1"/>
    <col min="72" max="72" width="13" customWidth="1"/>
    <col min="73" max="73" width="11.7109375" bestFit="1" customWidth="1"/>
    <col min="75" max="75" width="5" bestFit="1" customWidth="1"/>
    <col min="76" max="76" width="11" customWidth="1"/>
    <col min="79" max="79" width="13.85546875" style="24" customWidth="1"/>
    <col min="80" max="80" width="27.28515625" style="25" bestFit="1" customWidth="1"/>
    <col min="81" max="81" width="32.5703125" style="25" customWidth="1"/>
    <col min="82" max="82" width="19.7109375" style="26" bestFit="1" customWidth="1"/>
    <col min="83" max="83" width="36.7109375" style="26" bestFit="1" customWidth="1"/>
    <col min="84" max="84" width="44.140625" style="26" customWidth="1"/>
    <col min="85" max="85" width="22.85546875" style="27" customWidth="1"/>
    <col min="86" max="86" width="28.85546875" style="27" bestFit="1" customWidth="1"/>
    <col min="87" max="87" width="40.7109375" style="27" bestFit="1" customWidth="1"/>
    <col min="88" max="88" width="21.5703125" style="58" customWidth="1"/>
    <col min="89" max="89" width="48.85546875" style="58" bestFit="1" customWidth="1"/>
    <col min="90" max="90" width="35.85546875" style="58" customWidth="1"/>
    <col min="91" max="91" width="57.28515625" style="58" customWidth="1"/>
    <col min="92" max="92" width="30" style="28" customWidth="1"/>
    <col min="93" max="93" width="65.42578125" style="28" bestFit="1" customWidth="1"/>
    <col min="94" max="94" width="35.42578125" style="28" customWidth="1"/>
    <col min="95" max="95" width="46.42578125" style="28" customWidth="1"/>
    <col min="96" max="96" width="44.140625" style="25" customWidth="1"/>
    <col min="97" max="97" width="70.7109375" style="25" customWidth="1"/>
    <col min="98" max="98" width="42.7109375" style="24" bestFit="1" customWidth="1"/>
    <col min="99" max="99" width="36" style="38" customWidth="1"/>
    <col min="100" max="100" width="70.7109375" style="38" bestFit="1" customWidth="1"/>
    <col min="101" max="101" width="91.42578125" style="60" bestFit="1" customWidth="1"/>
    <col min="102" max="102" width="66" style="60" customWidth="1"/>
    <col min="103" max="103" width="31.85546875" style="59" customWidth="1"/>
    <col min="104" max="104" width="47.85546875" style="59" bestFit="1" customWidth="1"/>
    <col min="105" max="105" width="57.140625" style="59" customWidth="1"/>
    <col min="106" max="106" width="63" style="28" bestFit="1" customWidth="1"/>
    <col min="107" max="107" width="68.5703125" bestFit="1" customWidth="1"/>
    <col min="108" max="108" width="55.85546875" customWidth="1"/>
    <col min="109" max="109" width="56.28515625" customWidth="1"/>
    <col min="110" max="110" width="58.7109375" customWidth="1"/>
    <col min="111" max="111" width="39.5703125" customWidth="1"/>
    <col min="112" max="112" width="59.5703125" customWidth="1"/>
    <col min="113" max="113" width="53.140625" customWidth="1"/>
    <col min="114" max="114" width="58.42578125" customWidth="1"/>
    <col min="115" max="115" width="44.28515625" customWidth="1"/>
    <col min="116" max="116" width="16.140625" customWidth="1"/>
    <col min="117" max="117" width="51.5703125" customWidth="1"/>
    <col min="118" max="118" width="29.42578125" customWidth="1"/>
    <col min="119" max="119" width="26.85546875" customWidth="1"/>
    <col min="120" max="120" width="27.140625" bestFit="1" customWidth="1"/>
    <col min="121" max="121" width="31.5703125" customWidth="1"/>
    <col min="125" max="125" width="28.42578125" bestFit="1" customWidth="1"/>
    <col min="126" max="126" width="39.5703125" customWidth="1"/>
    <col min="127" max="128" width="31.5703125" bestFit="1" customWidth="1"/>
    <col min="129" max="129" width="15.7109375" bestFit="1" customWidth="1"/>
    <col min="130" max="133" width="16.5703125" bestFit="1" customWidth="1"/>
    <col min="134" max="134" width="13.7109375" bestFit="1" customWidth="1"/>
    <col min="135" max="135" width="20.85546875" customWidth="1"/>
    <col min="136" max="136" width="28.42578125" customWidth="1"/>
    <col min="140" max="140" width="10.7109375" customWidth="1"/>
    <col min="141" max="141" width="70.42578125" bestFit="1" customWidth="1"/>
    <col min="142" max="142" width="89" bestFit="1" customWidth="1"/>
    <col min="143" max="143" width="13.85546875" customWidth="1"/>
    <col min="144" max="144" width="25.140625" bestFit="1" customWidth="1"/>
    <col min="145" max="145" width="49.28515625" bestFit="1" customWidth="1"/>
    <col min="146" max="146" width="41.140625" bestFit="1" customWidth="1"/>
    <col min="147" max="147" width="46.7109375" bestFit="1" customWidth="1"/>
    <col min="148" max="148" width="70.7109375" bestFit="1" customWidth="1"/>
    <col min="149" max="149" width="70.42578125" bestFit="1" customWidth="1"/>
    <col min="150" max="150" width="89" bestFit="1" customWidth="1"/>
    <col min="151" max="153" width="70.7109375" customWidth="1"/>
    <col min="154" max="154" width="17.5703125" bestFit="1" customWidth="1"/>
    <col min="155" max="155" width="22.140625" bestFit="1" customWidth="1"/>
    <col min="156" max="156" width="47.7109375" bestFit="1" customWidth="1"/>
    <col min="157" max="157" width="47.5703125" bestFit="1" customWidth="1"/>
    <col min="158" max="158" width="50.7109375" bestFit="1" customWidth="1"/>
    <col min="159" max="159" width="45" bestFit="1" customWidth="1"/>
    <col min="160" max="160" width="48" bestFit="1" customWidth="1"/>
    <col min="161" max="161" width="12.7109375" bestFit="1" customWidth="1"/>
    <col min="162" max="162" width="16.7109375" bestFit="1" customWidth="1"/>
    <col min="163" max="163" width="37.5703125" bestFit="1" customWidth="1"/>
    <col min="164" max="164" width="14.140625" bestFit="1" customWidth="1"/>
    <col min="165" max="165" width="16.28515625" bestFit="1" customWidth="1"/>
    <col min="166" max="166" width="21.7109375" customWidth="1"/>
    <col min="167" max="167" width="38" bestFit="1" customWidth="1"/>
    <col min="168" max="168" width="48.85546875" bestFit="1" customWidth="1"/>
    <col min="169" max="169" width="48.5703125" bestFit="1" customWidth="1"/>
    <col min="170" max="170" width="31.5703125" bestFit="1" customWidth="1"/>
    <col min="171" max="171" width="65.42578125" bestFit="1" customWidth="1"/>
    <col min="172" max="172" width="42" bestFit="1" customWidth="1"/>
    <col min="173" max="173" width="56.42578125" bestFit="1" customWidth="1"/>
    <col min="174" max="174" width="12" bestFit="1" customWidth="1"/>
    <col min="175" max="175" width="16.5703125" bestFit="1" customWidth="1"/>
    <col min="176" max="176" width="40.7109375" bestFit="1" customWidth="1"/>
    <col min="177" max="177" width="74.140625" bestFit="1" customWidth="1"/>
    <col min="178" max="178" width="77.42578125" bestFit="1" customWidth="1"/>
    <col min="179" max="179" width="72.7109375" bestFit="1" customWidth="1"/>
    <col min="180" max="180" width="66.7109375" bestFit="1" customWidth="1"/>
    <col min="181" max="181" width="69.28515625" bestFit="1" customWidth="1"/>
    <col min="182" max="182" width="78" bestFit="1" customWidth="1"/>
    <col min="183" max="183" width="73.28515625" bestFit="1" customWidth="1"/>
    <col min="184" max="184" width="67.42578125" bestFit="1" customWidth="1"/>
    <col min="185" max="185" width="69.85546875" bestFit="1" customWidth="1"/>
    <col min="186" max="186" width="13" customWidth="1"/>
    <col min="187" max="187" width="11.7109375" bestFit="1" customWidth="1"/>
    <col min="189" max="189" width="5" bestFit="1" customWidth="1"/>
    <col min="190" max="190" width="11" customWidth="1"/>
    <col min="193" max="193" width="85.85546875" bestFit="1" customWidth="1"/>
    <col min="194" max="194" width="82.28515625" bestFit="1" customWidth="1"/>
    <col min="195" max="196" width="71.85546875" bestFit="1" customWidth="1"/>
  </cols>
  <sheetData>
    <row r="1" spans="1:120" ht="15.75" x14ac:dyDescent="0.25">
      <c r="A1" s="6" t="s">
        <v>62</v>
      </c>
      <c r="B1" s="6" t="s">
        <v>1121</v>
      </c>
      <c r="C1" s="6" t="s">
        <v>1199</v>
      </c>
      <c r="D1" s="6" t="s">
        <v>1198</v>
      </c>
      <c r="E1" s="6" t="s">
        <v>1198</v>
      </c>
      <c r="F1" s="6" t="s">
        <v>1197</v>
      </c>
      <c r="G1" s="7" t="s">
        <v>1196</v>
      </c>
      <c r="H1" s="7" t="s">
        <v>1195</v>
      </c>
      <c r="I1" s="50" t="s">
        <v>1194</v>
      </c>
      <c r="J1" s="50" t="s">
        <v>1193</v>
      </c>
      <c r="K1" s="50" t="s">
        <v>651</v>
      </c>
      <c r="L1" s="52" t="s">
        <v>0</v>
      </c>
      <c r="M1" s="51" t="s">
        <v>1192</v>
      </c>
      <c r="N1" s="51" t="s">
        <v>1191</v>
      </c>
      <c r="O1" s="51" t="s">
        <v>1190</v>
      </c>
      <c r="P1" s="51" t="s">
        <v>1122</v>
      </c>
      <c r="Q1" s="51" t="s">
        <v>1189</v>
      </c>
      <c r="R1" s="51" t="s">
        <v>1188</v>
      </c>
      <c r="S1" s="51" t="s">
        <v>1187</v>
      </c>
      <c r="T1" s="51" t="s">
        <v>1186</v>
      </c>
      <c r="U1" s="48" t="s">
        <v>2</v>
      </c>
      <c r="V1" s="51" t="s">
        <v>1200</v>
      </c>
      <c r="W1" s="2" t="s">
        <v>1201</v>
      </c>
      <c r="X1" s="2" t="s">
        <v>1202</v>
      </c>
      <c r="Y1" s="2" t="s">
        <v>1203</v>
      </c>
      <c r="Z1" t="s">
        <v>1</v>
      </c>
      <c r="AA1" s="54" t="s">
        <v>3</v>
      </c>
      <c r="AB1" s="54" t="s">
        <v>4</v>
      </c>
      <c r="AC1" s="54" t="s">
        <v>1150</v>
      </c>
      <c r="AD1" s="54" t="s">
        <v>1158</v>
      </c>
      <c r="AE1" s="54" t="s">
        <v>1151</v>
      </c>
      <c r="AF1" s="54" t="s">
        <v>1159</v>
      </c>
      <c r="AG1" s="54" t="s">
        <v>1152</v>
      </c>
      <c r="AH1" s="54" t="s">
        <v>1160</v>
      </c>
      <c r="AI1" s="54" t="s">
        <v>1153</v>
      </c>
      <c r="AJ1" s="54" t="s">
        <v>1161</v>
      </c>
      <c r="AK1" s="54" t="s">
        <v>1154</v>
      </c>
      <c r="AL1" s="54" t="s">
        <v>1162</v>
      </c>
      <c r="AM1" s="54" t="s">
        <v>1155</v>
      </c>
      <c r="AN1" s="54" t="s">
        <v>1163</v>
      </c>
      <c r="AO1" s="55" t="s">
        <v>1156</v>
      </c>
      <c r="AP1" s="55" t="s">
        <v>1164</v>
      </c>
      <c r="AQ1" s="54" t="s">
        <v>1157</v>
      </c>
      <c r="AR1" s="54" t="s">
        <v>1165</v>
      </c>
      <c r="AS1" s="54" t="s">
        <v>1166</v>
      </c>
      <c r="AT1" s="54" t="s">
        <v>1174</v>
      </c>
      <c r="AU1" s="54" t="s">
        <v>1167</v>
      </c>
      <c r="AV1" s="54" t="s">
        <v>1175</v>
      </c>
      <c r="AW1" s="54" t="s">
        <v>1168</v>
      </c>
      <c r="AX1" s="54" t="s">
        <v>1176</v>
      </c>
      <c r="AY1" s="54" t="s">
        <v>1169</v>
      </c>
      <c r="AZ1" s="54" t="s">
        <v>1177</v>
      </c>
      <c r="BA1" s="54" t="s">
        <v>1170</v>
      </c>
      <c r="BB1" s="54" t="s">
        <v>1178</v>
      </c>
      <c r="BC1" s="54" t="s">
        <v>1171</v>
      </c>
      <c r="BD1" s="54" t="s">
        <v>1179</v>
      </c>
      <c r="BE1" s="54" t="s">
        <v>1172</v>
      </c>
      <c r="BF1" s="54" t="s">
        <v>1180</v>
      </c>
      <c r="BG1" s="54" t="s">
        <v>1173</v>
      </c>
      <c r="BH1" s="54" t="s">
        <v>1181</v>
      </c>
      <c r="BI1" s="54" t="s">
        <v>1182</v>
      </c>
      <c r="BJ1" s="54" t="s">
        <v>1185</v>
      </c>
      <c r="BK1" s="54" t="s">
        <v>1183</v>
      </c>
      <c r="BL1" s="54" t="s">
        <v>1184</v>
      </c>
      <c r="BM1" s="54" t="s">
        <v>7</v>
      </c>
      <c r="BN1" s="54" t="s">
        <v>8</v>
      </c>
      <c r="BO1" s="54" t="s">
        <v>9</v>
      </c>
      <c r="BP1" s="54" t="s">
        <v>10</v>
      </c>
      <c r="BQ1" s="46" t="s">
        <v>1134</v>
      </c>
      <c r="BR1" s="46" t="s">
        <v>5</v>
      </c>
      <c r="BS1" s="46" t="s">
        <v>6</v>
      </c>
      <c r="BT1" t="s">
        <v>11</v>
      </c>
      <c r="BU1" t="s">
        <v>12</v>
      </c>
      <c r="BV1" t="s">
        <v>13</v>
      </c>
      <c r="BW1" t="s">
        <v>14</v>
      </c>
      <c r="BX1" t="s">
        <v>15</v>
      </c>
      <c r="BY1" t="s">
        <v>16</v>
      </c>
      <c r="CA1" s="57" t="s">
        <v>1135</v>
      </c>
      <c r="CB1" s="56" t="s">
        <v>1140</v>
      </c>
      <c r="CC1" s="39" t="s">
        <v>1141</v>
      </c>
      <c r="CD1" s="56" t="s">
        <v>1136</v>
      </c>
      <c r="CE1" s="56" t="s">
        <v>1204</v>
      </c>
      <c r="CF1" s="39" t="s">
        <v>1142</v>
      </c>
      <c r="CG1" s="56" t="s">
        <v>1133</v>
      </c>
      <c r="CH1" s="56" t="s">
        <v>1205</v>
      </c>
      <c r="CI1" s="56" t="s">
        <v>1139</v>
      </c>
      <c r="CJ1" s="39" t="s">
        <v>1143</v>
      </c>
      <c r="CK1" s="39" t="s">
        <v>1144</v>
      </c>
      <c r="CL1" s="39" t="s">
        <v>1146</v>
      </c>
      <c r="CM1" s="39" t="s">
        <v>1206</v>
      </c>
      <c r="CN1" s="39" t="s">
        <v>1148</v>
      </c>
      <c r="CO1" s="39" t="s">
        <v>1147</v>
      </c>
      <c r="CP1" s="39" t="s">
        <v>1145</v>
      </c>
      <c r="CQ1" s="39" t="s">
        <v>1149</v>
      </c>
      <c r="CR1" s="53" t="s">
        <v>1207</v>
      </c>
      <c r="CS1" s="53" t="s">
        <v>1212</v>
      </c>
      <c r="CT1" s="61" t="s">
        <v>1208</v>
      </c>
      <c r="CU1" s="62" t="s">
        <v>1209</v>
      </c>
      <c r="CV1" s="62" t="s">
        <v>1210</v>
      </c>
      <c r="CW1" s="62" t="s">
        <v>1211</v>
      </c>
      <c r="CX1" s="53" t="s">
        <v>1213</v>
      </c>
      <c r="CY1" s="62" t="s">
        <v>1214</v>
      </c>
      <c r="CZ1" s="61" t="s">
        <v>1215</v>
      </c>
      <c r="DA1" s="62" t="s">
        <v>1216</v>
      </c>
      <c r="DB1" s="63" t="s">
        <v>1217</v>
      </c>
      <c r="DC1" s="63" t="s">
        <v>1218</v>
      </c>
      <c r="DD1" s="27" t="s">
        <v>1220</v>
      </c>
      <c r="DE1" s="27" t="s">
        <v>1221</v>
      </c>
      <c r="DF1" s="27" t="s">
        <v>1222</v>
      </c>
      <c r="DG1" s="63" t="s">
        <v>1219</v>
      </c>
      <c r="DH1" s="27" t="s">
        <v>1225</v>
      </c>
      <c r="DI1" s="27" t="s">
        <v>1223</v>
      </c>
      <c r="DJ1" s="27" t="s">
        <v>1224</v>
      </c>
      <c r="DK1" s="58" t="s">
        <v>1226</v>
      </c>
      <c r="DL1" s="58" t="s">
        <v>1227</v>
      </c>
      <c r="DM1" s="58" t="s">
        <v>1228</v>
      </c>
      <c r="DN1" s="58" t="s">
        <v>1229</v>
      </c>
      <c r="DO1" s="58" t="s">
        <v>1231</v>
      </c>
      <c r="DP1" s="58" t="s">
        <v>1230</v>
      </c>
    </row>
    <row r="2" spans="1:120" ht="15.75" x14ac:dyDescent="0.25">
      <c r="A2" s="2" t="s">
        <v>435</v>
      </c>
      <c r="B2" s="2" t="s">
        <v>435</v>
      </c>
      <c r="C2" s="2" t="s">
        <v>657</v>
      </c>
      <c r="D2" s="2" t="s">
        <v>444</v>
      </c>
      <c r="E2" s="2" t="s">
        <v>444</v>
      </c>
      <c r="F2" s="2">
        <v>1</v>
      </c>
      <c r="G2" s="2" t="s">
        <v>652</v>
      </c>
      <c r="H2" s="10" t="s">
        <v>656</v>
      </c>
      <c r="I2" s="2">
        <v>150</v>
      </c>
      <c r="J2" s="2">
        <v>65</v>
      </c>
      <c r="K2" s="2">
        <v>19.100000000000001</v>
      </c>
      <c r="L2" t="s">
        <v>443</v>
      </c>
      <c r="M2" s="2" t="s">
        <v>1120</v>
      </c>
      <c r="N2" s="2" t="s">
        <v>435</v>
      </c>
      <c r="O2" s="2" t="s">
        <v>653</v>
      </c>
      <c r="P2" s="2" t="s">
        <v>1123</v>
      </c>
      <c r="Q2" s="9" t="s">
        <v>654</v>
      </c>
      <c r="R2" s="2" t="str">
        <f>$N2&amp;"_"&amp;$O2</f>
        <v>CW_1_Section_1</v>
      </c>
      <c r="S2" s="2" t="str">
        <f>$N2&amp;"_"&amp;$P2</f>
        <v>CW_1_MF01</v>
      </c>
      <c r="T2" s="11" t="s">
        <v>659</v>
      </c>
      <c r="V2" s="2" t="s">
        <v>660</v>
      </c>
      <c r="W2" s="2" t="s">
        <v>655</v>
      </c>
      <c r="X2" s="2" t="s">
        <v>658</v>
      </c>
      <c r="Y2" s="2" t="str">
        <f>$X2&amp;"_"&amp;$W2</f>
        <v>P0_0.15-0.30</v>
      </c>
      <c r="Z2" t="s">
        <v>443</v>
      </c>
      <c r="AA2" t="s">
        <v>443</v>
      </c>
      <c r="AB2" t="s">
        <v>443</v>
      </c>
      <c r="AC2" t="s">
        <v>443</v>
      </c>
      <c r="AD2" t="s">
        <v>443</v>
      </c>
      <c r="AE2" t="s">
        <v>443</v>
      </c>
      <c r="AF2" t="s">
        <v>443</v>
      </c>
      <c r="AG2" t="s">
        <v>443</v>
      </c>
      <c r="AH2" t="s">
        <v>443</v>
      </c>
      <c r="AI2" t="s">
        <v>443</v>
      </c>
      <c r="AJ2" t="s">
        <v>443</v>
      </c>
      <c r="AK2" t="s">
        <v>443</v>
      </c>
      <c r="AL2" t="s">
        <v>443</v>
      </c>
      <c r="AM2" t="s">
        <v>443</v>
      </c>
      <c r="AN2" t="s">
        <v>443</v>
      </c>
      <c r="AO2" s="47" t="s">
        <v>443</v>
      </c>
      <c r="AP2" s="47" t="s">
        <v>443</v>
      </c>
      <c r="AQ2" t="s">
        <v>443</v>
      </c>
      <c r="AR2" t="s">
        <v>443</v>
      </c>
      <c r="AS2" s="48" t="s">
        <v>443</v>
      </c>
      <c r="AT2" t="s">
        <v>443</v>
      </c>
      <c r="AU2" s="48" t="s">
        <v>443</v>
      </c>
      <c r="AV2" t="s">
        <v>443</v>
      </c>
      <c r="AW2" s="48" t="s">
        <v>443</v>
      </c>
      <c r="AX2" t="s">
        <v>443</v>
      </c>
      <c r="AY2" s="48" t="s">
        <v>443</v>
      </c>
      <c r="AZ2" t="s">
        <v>443</v>
      </c>
      <c r="BA2" s="48" t="s">
        <v>443</v>
      </c>
      <c r="BB2" t="s">
        <v>443</v>
      </c>
      <c r="BC2" s="48" t="s">
        <v>443</v>
      </c>
      <c r="BD2" t="s">
        <v>443</v>
      </c>
      <c r="BE2" s="48" t="s">
        <v>443</v>
      </c>
      <c r="BF2" t="s">
        <v>443</v>
      </c>
      <c r="BG2" s="48" t="s">
        <v>443</v>
      </c>
      <c r="BH2" t="s">
        <v>443</v>
      </c>
      <c r="BI2" s="52" t="s">
        <v>443</v>
      </c>
      <c r="BJ2" s="52" t="s">
        <v>443</v>
      </c>
      <c r="BK2" s="27" t="s">
        <v>443</v>
      </c>
      <c r="BL2" s="27" t="s">
        <v>443</v>
      </c>
      <c r="BM2" t="s">
        <v>443</v>
      </c>
      <c r="BN2" t="s">
        <v>443</v>
      </c>
      <c r="BO2" t="s">
        <v>443</v>
      </c>
      <c r="BP2" t="s">
        <v>443</v>
      </c>
      <c r="BQ2" t="s">
        <v>443</v>
      </c>
      <c r="BR2" t="s">
        <v>443</v>
      </c>
      <c r="BS2" t="s">
        <v>443</v>
      </c>
      <c r="BT2" t="s">
        <v>443</v>
      </c>
      <c r="BU2" t="s">
        <v>443</v>
      </c>
      <c r="BV2" t="s">
        <v>443</v>
      </c>
      <c r="BW2" t="s">
        <v>443</v>
      </c>
      <c r="BX2" t="s">
        <v>443</v>
      </c>
      <c r="BY2" t="s">
        <v>443</v>
      </c>
      <c r="BZ2" t="s">
        <v>443</v>
      </c>
      <c r="CA2" s="24" t="s">
        <v>443</v>
      </c>
      <c r="CB2" s="24" t="s">
        <v>443</v>
      </c>
      <c r="CC2" s="24" t="s">
        <v>443</v>
      </c>
      <c r="CD2" s="26" t="s">
        <v>443</v>
      </c>
      <c r="CE2" s="26" t="s">
        <v>443</v>
      </c>
      <c r="CF2" s="26" t="s">
        <v>443</v>
      </c>
      <c r="CG2" t="s">
        <v>443</v>
      </c>
      <c r="CH2" t="s">
        <v>443</v>
      </c>
      <c r="CI2" t="s">
        <v>443</v>
      </c>
      <c r="CJ2" s="58" t="s">
        <v>443</v>
      </c>
      <c r="CK2" s="58" t="s">
        <v>443</v>
      </c>
      <c r="CL2" s="58" t="s">
        <v>443</v>
      </c>
      <c r="CM2" s="58" t="s">
        <v>443</v>
      </c>
      <c r="CN2" s="28" t="s">
        <v>443</v>
      </c>
      <c r="CO2" s="28" t="s">
        <v>443</v>
      </c>
      <c r="CP2" s="28" t="s">
        <v>443</v>
      </c>
      <c r="CQ2" s="28" t="s">
        <v>443</v>
      </c>
      <c r="CR2" t="s">
        <v>443</v>
      </c>
      <c r="CS2" t="s">
        <v>443</v>
      </c>
      <c r="CT2" s="24" t="s">
        <v>443</v>
      </c>
      <c r="CU2" s="38" t="s">
        <v>443</v>
      </c>
      <c r="CV2" s="38" t="s">
        <v>443</v>
      </c>
      <c r="CW2" s="60" t="s">
        <v>443</v>
      </c>
      <c r="CX2" s="60" t="s">
        <v>443</v>
      </c>
      <c r="CY2" s="60" t="s">
        <v>443</v>
      </c>
      <c r="CZ2" s="60" t="s">
        <v>443</v>
      </c>
      <c r="DA2" s="59" t="s">
        <v>443</v>
      </c>
      <c r="DB2" t="s">
        <v>443</v>
      </c>
      <c r="DC2" t="s">
        <v>443</v>
      </c>
      <c r="DD2" t="s">
        <v>443</v>
      </c>
      <c r="DE2" t="s">
        <v>443</v>
      </c>
      <c r="DF2" t="s">
        <v>443</v>
      </c>
      <c r="DG2" t="s">
        <v>443</v>
      </c>
      <c r="DH2" t="s">
        <v>443</v>
      </c>
      <c r="DI2" t="s">
        <v>443</v>
      </c>
      <c r="DJ2" t="s">
        <v>443</v>
      </c>
      <c r="DK2" t="s">
        <v>443</v>
      </c>
      <c r="DL2" t="s">
        <v>443</v>
      </c>
      <c r="DM2" t="s">
        <v>443</v>
      </c>
      <c r="DN2" t="s">
        <v>443</v>
      </c>
      <c r="DO2" t="s">
        <v>443</v>
      </c>
      <c r="DP2" t="s">
        <v>443</v>
      </c>
    </row>
    <row r="3" spans="1:120" ht="15.75" x14ac:dyDescent="0.25">
      <c r="A3" s="2" t="s">
        <v>436</v>
      </c>
      <c r="B3" s="2" t="s">
        <v>436</v>
      </c>
      <c r="C3" s="2" t="s">
        <v>664</v>
      </c>
      <c r="D3" s="2" t="s">
        <v>445</v>
      </c>
      <c r="E3" s="2" t="s">
        <v>445</v>
      </c>
      <c r="F3" s="2">
        <v>2</v>
      </c>
      <c r="G3" s="2" t="s">
        <v>661</v>
      </c>
      <c r="H3" s="10" t="s">
        <v>656</v>
      </c>
      <c r="I3" s="2">
        <v>150</v>
      </c>
      <c r="J3" s="2">
        <v>65</v>
      </c>
      <c r="K3" s="2">
        <v>13.3</v>
      </c>
      <c r="L3" t="s">
        <v>443</v>
      </c>
      <c r="M3" s="2" t="s">
        <v>1120</v>
      </c>
      <c r="N3" s="2" t="s">
        <v>435</v>
      </c>
      <c r="O3" s="2" t="s">
        <v>653</v>
      </c>
      <c r="P3" s="2" t="s">
        <v>1124</v>
      </c>
      <c r="Q3" s="9" t="s">
        <v>662</v>
      </c>
      <c r="R3" s="2" t="str">
        <f t="shared" ref="R3:R66" si="0">$N3&amp;"_"&amp;$O3</f>
        <v>CW_1_Section_1</v>
      </c>
      <c r="S3" s="2" t="str">
        <f t="shared" ref="S3:S66" si="1">$N3&amp;"_"&amp;$P3</f>
        <v>CW_1_MF02</v>
      </c>
      <c r="T3" s="11" t="s">
        <v>659</v>
      </c>
      <c r="V3" s="2" t="s">
        <v>660</v>
      </c>
      <c r="W3" s="2" t="s">
        <v>663</v>
      </c>
      <c r="X3" s="2" t="s">
        <v>658</v>
      </c>
      <c r="Y3" s="2" t="str">
        <f t="shared" ref="Y3:Y66" si="2">$X3&amp;"_"&amp;$W3</f>
        <v>P0_0.60-0.80</v>
      </c>
      <c r="Z3" t="s">
        <v>443</v>
      </c>
      <c r="AA3" t="s">
        <v>443</v>
      </c>
      <c r="AB3" t="s">
        <v>443</v>
      </c>
      <c r="AC3" t="s">
        <v>443</v>
      </c>
      <c r="AD3" t="s">
        <v>443</v>
      </c>
      <c r="AE3" t="s">
        <v>443</v>
      </c>
      <c r="AF3" t="s">
        <v>443</v>
      </c>
      <c r="AG3" t="s">
        <v>443</v>
      </c>
      <c r="AH3" t="s">
        <v>443</v>
      </c>
      <c r="AI3" t="s">
        <v>443</v>
      </c>
      <c r="AJ3" t="s">
        <v>443</v>
      </c>
      <c r="AK3" t="s">
        <v>443</v>
      </c>
      <c r="AL3" t="s">
        <v>443</v>
      </c>
      <c r="AM3" t="s">
        <v>443</v>
      </c>
      <c r="AN3" t="s">
        <v>443</v>
      </c>
      <c r="AO3" s="47" t="s">
        <v>443</v>
      </c>
      <c r="AP3" s="47" t="s">
        <v>443</v>
      </c>
      <c r="AQ3" t="s">
        <v>443</v>
      </c>
      <c r="AR3" t="s">
        <v>443</v>
      </c>
      <c r="AS3" s="48" t="s">
        <v>443</v>
      </c>
      <c r="AT3" t="s">
        <v>443</v>
      </c>
      <c r="AU3" s="48" t="s">
        <v>443</v>
      </c>
      <c r="AV3" t="s">
        <v>443</v>
      </c>
      <c r="AW3" s="48" t="s">
        <v>443</v>
      </c>
      <c r="AX3" t="s">
        <v>443</v>
      </c>
      <c r="AY3" s="48" t="s">
        <v>443</v>
      </c>
      <c r="AZ3" t="s">
        <v>443</v>
      </c>
      <c r="BA3" s="48" t="s">
        <v>443</v>
      </c>
      <c r="BB3" t="s">
        <v>443</v>
      </c>
      <c r="BC3" s="48" t="s">
        <v>443</v>
      </c>
      <c r="BD3" t="s">
        <v>443</v>
      </c>
      <c r="BE3" s="48" t="s">
        <v>443</v>
      </c>
      <c r="BF3" t="s">
        <v>443</v>
      </c>
      <c r="BG3" s="48" t="s">
        <v>443</v>
      </c>
      <c r="BH3" t="s">
        <v>443</v>
      </c>
      <c r="BI3" s="52" t="s">
        <v>443</v>
      </c>
      <c r="BJ3" s="52" t="s">
        <v>443</v>
      </c>
      <c r="BK3" s="27" t="s">
        <v>443</v>
      </c>
      <c r="BL3" s="27" t="s">
        <v>443</v>
      </c>
      <c r="BM3" t="s">
        <v>443</v>
      </c>
      <c r="BN3" t="s">
        <v>443</v>
      </c>
      <c r="BO3" t="s">
        <v>443</v>
      </c>
      <c r="BP3" t="s">
        <v>443</v>
      </c>
      <c r="BQ3" t="s">
        <v>443</v>
      </c>
      <c r="BR3" t="s">
        <v>443</v>
      </c>
      <c r="BS3" t="s">
        <v>443</v>
      </c>
      <c r="BT3" t="s">
        <v>443</v>
      </c>
      <c r="BU3" t="s">
        <v>443</v>
      </c>
      <c r="BV3" t="s">
        <v>443</v>
      </c>
      <c r="BW3" t="s">
        <v>443</v>
      </c>
      <c r="BX3" t="s">
        <v>443</v>
      </c>
      <c r="BY3" t="s">
        <v>443</v>
      </c>
      <c r="BZ3" t="s">
        <v>443</v>
      </c>
      <c r="CA3" s="24" t="s">
        <v>443</v>
      </c>
      <c r="CB3" s="24" t="s">
        <v>443</v>
      </c>
      <c r="CC3" s="24" t="s">
        <v>443</v>
      </c>
      <c r="CD3" s="26" t="s">
        <v>443</v>
      </c>
      <c r="CE3" s="26" t="s">
        <v>443</v>
      </c>
      <c r="CF3" s="26" t="s">
        <v>443</v>
      </c>
      <c r="CG3" t="s">
        <v>443</v>
      </c>
      <c r="CH3" t="s">
        <v>443</v>
      </c>
      <c r="CI3" t="s">
        <v>443</v>
      </c>
      <c r="CJ3" s="58" t="s">
        <v>443</v>
      </c>
      <c r="CK3" s="58" t="s">
        <v>443</v>
      </c>
      <c r="CL3" s="58" t="s">
        <v>443</v>
      </c>
      <c r="CM3" s="58" t="s">
        <v>443</v>
      </c>
      <c r="CN3" s="28" t="s">
        <v>443</v>
      </c>
      <c r="CO3" s="28" t="s">
        <v>443</v>
      </c>
      <c r="CP3" s="28" t="s">
        <v>443</v>
      </c>
      <c r="CQ3" s="28" t="s">
        <v>443</v>
      </c>
      <c r="CR3" t="s">
        <v>443</v>
      </c>
      <c r="CS3" t="s">
        <v>443</v>
      </c>
      <c r="CT3" s="24" t="s">
        <v>443</v>
      </c>
      <c r="CU3" s="38" t="s">
        <v>443</v>
      </c>
      <c r="CV3" s="38" t="s">
        <v>443</v>
      </c>
      <c r="CW3" s="60" t="s">
        <v>443</v>
      </c>
      <c r="CX3" s="60" t="s">
        <v>443</v>
      </c>
      <c r="CY3" s="60" t="s">
        <v>443</v>
      </c>
      <c r="CZ3" s="60" t="s">
        <v>443</v>
      </c>
      <c r="DA3" s="59" t="s">
        <v>443</v>
      </c>
      <c r="DB3" t="s">
        <v>443</v>
      </c>
      <c r="DC3" t="s">
        <v>443</v>
      </c>
      <c r="DD3" t="s">
        <v>443</v>
      </c>
      <c r="DE3" t="s">
        <v>443</v>
      </c>
      <c r="DF3" t="s">
        <v>443</v>
      </c>
      <c r="DG3" t="s">
        <v>443</v>
      </c>
      <c r="DH3" t="s">
        <v>443</v>
      </c>
      <c r="DI3" t="s">
        <v>443</v>
      </c>
      <c r="DJ3" t="s">
        <v>443</v>
      </c>
      <c r="DK3" t="s">
        <v>443</v>
      </c>
      <c r="DL3" t="s">
        <v>443</v>
      </c>
      <c r="DM3" t="s">
        <v>443</v>
      </c>
      <c r="DN3" t="s">
        <v>443</v>
      </c>
      <c r="DO3" t="s">
        <v>443</v>
      </c>
      <c r="DP3" t="s">
        <v>443</v>
      </c>
    </row>
    <row r="4" spans="1:120" ht="15.75" x14ac:dyDescent="0.25">
      <c r="A4" s="2" t="s">
        <v>437</v>
      </c>
      <c r="B4" s="2" t="s">
        <v>437</v>
      </c>
      <c r="C4" s="2" t="s">
        <v>668</v>
      </c>
      <c r="D4" s="2" t="s">
        <v>446</v>
      </c>
      <c r="E4" s="2" t="s">
        <v>446</v>
      </c>
      <c r="F4" s="2">
        <v>3</v>
      </c>
      <c r="G4" s="2" t="s">
        <v>665</v>
      </c>
      <c r="H4" s="10" t="s">
        <v>656</v>
      </c>
      <c r="I4" s="2">
        <v>150</v>
      </c>
      <c r="J4" s="2">
        <v>65</v>
      </c>
      <c r="K4" s="2">
        <v>14.95</v>
      </c>
      <c r="L4" t="s">
        <v>443</v>
      </c>
      <c r="M4" s="2" t="s">
        <v>1120</v>
      </c>
      <c r="N4" s="2" t="s">
        <v>435</v>
      </c>
      <c r="O4" s="2" t="s">
        <v>666</v>
      </c>
      <c r="P4" s="2" t="s">
        <v>1125</v>
      </c>
      <c r="Q4" s="9" t="s">
        <v>667</v>
      </c>
      <c r="R4" s="2" t="str">
        <f t="shared" si="0"/>
        <v>CW_1_Section_2</v>
      </c>
      <c r="S4" s="2" t="str">
        <f t="shared" si="1"/>
        <v>CW_1_MF03</v>
      </c>
      <c r="T4" s="11" t="s">
        <v>659</v>
      </c>
      <c r="V4" s="2" t="s">
        <v>660</v>
      </c>
      <c r="W4" s="2" t="s">
        <v>655</v>
      </c>
      <c r="X4" s="2" t="s">
        <v>658</v>
      </c>
      <c r="Y4" s="2" t="str">
        <f t="shared" si="2"/>
        <v>P0_0.15-0.30</v>
      </c>
      <c r="Z4" t="s">
        <v>443</v>
      </c>
      <c r="AA4" t="s">
        <v>443</v>
      </c>
      <c r="AB4" t="s">
        <v>443</v>
      </c>
      <c r="AC4" t="s">
        <v>443</v>
      </c>
      <c r="AD4" t="s">
        <v>443</v>
      </c>
      <c r="AE4" t="s">
        <v>443</v>
      </c>
      <c r="AF4" t="s">
        <v>443</v>
      </c>
      <c r="AG4" t="s">
        <v>443</v>
      </c>
      <c r="AH4" t="s">
        <v>443</v>
      </c>
      <c r="AI4" t="s">
        <v>443</v>
      </c>
      <c r="AJ4" t="s">
        <v>443</v>
      </c>
      <c r="AK4" t="s">
        <v>443</v>
      </c>
      <c r="AL4" t="s">
        <v>443</v>
      </c>
      <c r="AM4" t="s">
        <v>443</v>
      </c>
      <c r="AN4" t="s">
        <v>443</v>
      </c>
      <c r="AO4" s="47" t="s">
        <v>443</v>
      </c>
      <c r="AP4" s="47" t="s">
        <v>443</v>
      </c>
      <c r="AQ4" t="s">
        <v>443</v>
      </c>
      <c r="AR4" t="s">
        <v>443</v>
      </c>
      <c r="AS4" s="48" t="s">
        <v>443</v>
      </c>
      <c r="AT4" t="s">
        <v>443</v>
      </c>
      <c r="AU4" s="48" t="s">
        <v>443</v>
      </c>
      <c r="AV4" t="s">
        <v>443</v>
      </c>
      <c r="AW4" s="48" t="s">
        <v>443</v>
      </c>
      <c r="AX4" t="s">
        <v>443</v>
      </c>
      <c r="AY4" s="48" t="s">
        <v>443</v>
      </c>
      <c r="AZ4" t="s">
        <v>443</v>
      </c>
      <c r="BA4" s="48" t="s">
        <v>443</v>
      </c>
      <c r="BB4" t="s">
        <v>443</v>
      </c>
      <c r="BC4" s="48" t="s">
        <v>443</v>
      </c>
      <c r="BD4" t="s">
        <v>443</v>
      </c>
      <c r="BE4" s="48" t="s">
        <v>443</v>
      </c>
      <c r="BF4" t="s">
        <v>443</v>
      </c>
      <c r="BG4" s="48" t="s">
        <v>443</v>
      </c>
      <c r="BH4" t="s">
        <v>443</v>
      </c>
      <c r="BI4" s="52" t="s">
        <v>443</v>
      </c>
      <c r="BJ4" s="52" t="s">
        <v>443</v>
      </c>
      <c r="BK4" s="27" t="s">
        <v>443</v>
      </c>
      <c r="BL4" s="27" t="s">
        <v>443</v>
      </c>
      <c r="BM4" t="s">
        <v>443</v>
      </c>
      <c r="BN4" t="s">
        <v>443</v>
      </c>
      <c r="BO4" t="s">
        <v>443</v>
      </c>
      <c r="BP4" t="s">
        <v>443</v>
      </c>
      <c r="BQ4" t="s">
        <v>443</v>
      </c>
      <c r="BR4" t="s">
        <v>443</v>
      </c>
      <c r="BS4" t="s">
        <v>443</v>
      </c>
      <c r="BT4" t="s">
        <v>443</v>
      </c>
      <c r="BU4" t="s">
        <v>443</v>
      </c>
      <c r="BV4" t="s">
        <v>443</v>
      </c>
      <c r="BW4" t="s">
        <v>443</v>
      </c>
      <c r="BX4" t="s">
        <v>443</v>
      </c>
      <c r="BY4" t="s">
        <v>443</v>
      </c>
      <c r="BZ4" t="s">
        <v>443</v>
      </c>
      <c r="CA4" s="24" t="s">
        <v>443</v>
      </c>
      <c r="CB4" s="24" t="s">
        <v>443</v>
      </c>
      <c r="CC4" s="24" t="s">
        <v>443</v>
      </c>
      <c r="CD4" s="26" t="s">
        <v>443</v>
      </c>
      <c r="CE4" s="26" t="s">
        <v>443</v>
      </c>
      <c r="CF4" s="26" t="s">
        <v>443</v>
      </c>
      <c r="CG4" t="s">
        <v>443</v>
      </c>
      <c r="CH4" t="s">
        <v>443</v>
      </c>
      <c r="CI4" t="s">
        <v>443</v>
      </c>
      <c r="CJ4" s="58" t="s">
        <v>443</v>
      </c>
      <c r="CK4" s="58" t="s">
        <v>443</v>
      </c>
      <c r="CL4" s="58" t="s">
        <v>443</v>
      </c>
      <c r="CM4" s="58" t="s">
        <v>443</v>
      </c>
      <c r="CN4" s="28" t="s">
        <v>443</v>
      </c>
      <c r="CO4" s="28" t="s">
        <v>443</v>
      </c>
      <c r="CP4" s="28" t="s">
        <v>443</v>
      </c>
      <c r="CQ4" s="28" t="s">
        <v>443</v>
      </c>
      <c r="CR4" t="s">
        <v>443</v>
      </c>
      <c r="CS4" t="s">
        <v>443</v>
      </c>
      <c r="CT4" s="24" t="s">
        <v>443</v>
      </c>
      <c r="CU4" s="38" t="s">
        <v>443</v>
      </c>
      <c r="CV4" s="38" t="s">
        <v>443</v>
      </c>
      <c r="CW4" s="60" t="s">
        <v>443</v>
      </c>
      <c r="CX4" s="60" t="s">
        <v>443</v>
      </c>
      <c r="CY4" s="60" t="s">
        <v>443</v>
      </c>
      <c r="CZ4" s="60" t="s">
        <v>443</v>
      </c>
      <c r="DA4" s="59" t="s">
        <v>443</v>
      </c>
      <c r="DB4" t="s">
        <v>443</v>
      </c>
      <c r="DC4" t="s">
        <v>443</v>
      </c>
      <c r="DD4" t="s">
        <v>443</v>
      </c>
      <c r="DE4" t="s">
        <v>443</v>
      </c>
      <c r="DF4" t="s">
        <v>443</v>
      </c>
      <c r="DG4" t="s">
        <v>443</v>
      </c>
      <c r="DH4" t="s">
        <v>443</v>
      </c>
      <c r="DI4" t="s">
        <v>443</v>
      </c>
      <c r="DJ4" t="s">
        <v>443</v>
      </c>
      <c r="DK4" t="s">
        <v>443</v>
      </c>
      <c r="DL4" t="s">
        <v>443</v>
      </c>
      <c r="DM4" t="s">
        <v>443</v>
      </c>
      <c r="DN4" t="s">
        <v>443</v>
      </c>
      <c r="DO4" t="s">
        <v>443</v>
      </c>
      <c r="DP4" t="s">
        <v>443</v>
      </c>
    </row>
    <row r="5" spans="1:120" ht="15.75" x14ac:dyDescent="0.25">
      <c r="A5" s="2" t="s">
        <v>438</v>
      </c>
      <c r="B5" s="2" t="s">
        <v>438</v>
      </c>
      <c r="C5" s="2" t="s">
        <v>671</v>
      </c>
      <c r="D5" s="2" t="s">
        <v>447</v>
      </c>
      <c r="E5" s="2" t="s">
        <v>447</v>
      </c>
      <c r="F5" s="2">
        <v>4</v>
      </c>
      <c r="G5" s="2" t="s">
        <v>669</v>
      </c>
      <c r="H5" s="10" t="s">
        <v>656</v>
      </c>
      <c r="I5" s="2">
        <v>150</v>
      </c>
      <c r="J5" s="2">
        <v>65</v>
      </c>
      <c r="K5" s="2">
        <v>13.65</v>
      </c>
      <c r="L5" t="s">
        <v>443</v>
      </c>
      <c r="M5" s="2" t="s">
        <v>1120</v>
      </c>
      <c r="N5" s="2" t="s">
        <v>435</v>
      </c>
      <c r="O5" s="2" t="s">
        <v>666</v>
      </c>
      <c r="P5" s="2" t="s">
        <v>1126</v>
      </c>
      <c r="Q5" s="9" t="s">
        <v>670</v>
      </c>
      <c r="R5" s="2" t="str">
        <f t="shared" si="0"/>
        <v>CW_1_Section_2</v>
      </c>
      <c r="S5" s="2" t="str">
        <f t="shared" si="1"/>
        <v>CW_1_MF04</v>
      </c>
      <c r="T5" s="11" t="s">
        <v>659</v>
      </c>
      <c r="V5" s="2" t="s">
        <v>660</v>
      </c>
      <c r="W5" s="2" t="s">
        <v>663</v>
      </c>
      <c r="X5" s="2" t="s">
        <v>658</v>
      </c>
      <c r="Y5" s="2" t="str">
        <f t="shared" si="2"/>
        <v>P0_0.60-0.80</v>
      </c>
      <c r="Z5" t="s">
        <v>443</v>
      </c>
      <c r="AA5" t="s">
        <v>443</v>
      </c>
      <c r="AB5" t="s">
        <v>443</v>
      </c>
      <c r="AC5" t="s">
        <v>443</v>
      </c>
      <c r="AD5" t="s">
        <v>443</v>
      </c>
      <c r="AE5" t="s">
        <v>443</v>
      </c>
      <c r="AF5" t="s">
        <v>443</v>
      </c>
      <c r="AG5" t="s">
        <v>443</v>
      </c>
      <c r="AH5" t="s">
        <v>443</v>
      </c>
      <c r="AI5" t="s">
        <v>443</v>
      </c>
      <c r="AJ5" t="s">
        <v>443</v>
      </c>
      <c r="AK5" t="s">
        <v>443</v>
      </c>
      <c r="AL5" t="s">
        <v>443</v>
      </c>
      <c r="AM5" t="s">
        <v>443</v>
      </c>
      <c r="AN5" t="s">
        <v>443</v>
      </c>
      <c r="AO5" s="47" t="s">
        <v>443</v>
      </c>
      <c r="AP5" s="47" t="s">
        <v>443</v>
      </c>
      <c r="AQ5" t="s">
        <v>443</v>
      </c>
      <c r="AR5" t="s">
        <v>443</v>
      </c>
      <c r="AS5" s="48" t="s">
        <v>443</v>
      </c>
      <c r="AT5" t="s">
        <v>443</v>
      </c>
      <c r="AU5" s="48" t="s">
        <v>443</v>
      </c>
      <c r="AV5" t="s">
        <v>443</v>
      </c>
      <c r="AW5" s="48" t="s">
        <v>443</v>
      </c>
      <c r="AX5" t="s">
        <v>443</v>
      </c>
      <c r="AY5" s="48" t="s">
        <v>443</v>
      </c>
      <c r="AZ5" t="s">
        <v>443</v>
      </c>
      <c r="BA5" s="48" t="s">
        <v>443</v>
      </c>
      <c r="BB5" t="s">
        <v>443</v>
      </c>
      <c r="BC5" s="48" t="s">
        <v>443</v>
      </c>
      <c r="BD5" t="s">
        <v>443</v>
      </c>
      <c r="BE5" s="48" t="s">
        <v>443</v>
      </c>
      <c r="BF5" t="s">
        <v>443</v>
      </c>
      <c r="BG5" s="48" t="s">
        <v>443</v>
      </c>
      <c r="BH5" t="s">
        <v>443</v>
      </c>
      <c r="BI5" s="52" t="s">
        <v>443</v>
      </c>
      <c r="BJ5" s="52" t="s">
        <v>443</v>
      </c>
      <c r="BK5" s="27" t="s">
        <v>443</v>
      </c>
      <c r="BL5" s="27" t="s">
        <v>443</v>
      </c>
      <c r="BM5" t="s">
        <v>443</v>
      </c>
      <c r="BN5" t="s">
        <v>443</v>
      </c>
      <c r="BO5" t="s">
        <v>443</v>
      </c>
      <c r="BP5" t="s">
        <v>443</v>
      </c>
      <c r="BQ5" t="s">
        <v>443</v>
      </c>
      <c r="BR5" t="s">
        <v>443</v>
      </c>
      <c r="BS5" t="s">
        <v>443</v>
      </c>
      <c r="BT5" t="s">
        <v>443</v>
      </c>
      <c r="BU5" t="s">
        <v>443</v>
      </c>
      <c r="BV5" t="s">
        <v>443</v>
      </c>
      <c r="BW5" t="s">
        <v>443</v>
      </c>
      <c r="BX5" t="s">
        <v>443</v>
      </c>
      <c r="BY5" t="s">
        <v>443</v>
      </c>
      <c r="BZ5" t="s">
        <v>443</v>
      </c>
      <c r="CA5" s="24" t="s">
        <v>443</v>
      </c>
      <c r="CB5" s="24" t="s">
        <v>443</v>
      </c>
      <c r="CC5" s="24" t="s">
        <v>443</v>
      </c>
      <c r="CD5" s="26" t="s">
        <v>443</v>
      </c>
      <c r="CE5" s="26" t="s">
        <v>443</v>
      </c>
      <c r="CF5" s="26" t="s">
        <v>443</v>
      </c>
      <c r="CG5" t="s">
        <v>443</v>
      </c>
      <c r="CH5" t="s">
        <v>443</v>
      </c>
      <c r="CI5" t="s">
        <v>443</v>
      </c>
      <c r="CJ5" s="58" t="s">
        <v>443</v>
      </c>
      <c r="CK5" s="58" t="s">
        <v>443</v>
      </c>
      <c r="CL5" s="58" t="s">
        <v>443</v>
      </c>
      <c r="CM5" s="58" t="s">
        <v>443</v>
      </c>
      <c r="CN5" s="28" t="s">
        <v>443</v>
      </c>
      <c r="CO5" s="28" t="s">
        <v>443</v>
      </c>
      <c r="CP5" s="28" t="s">
        <v>443</v>
      </c>
      <c r="CQ5" s="28" t="s">
        <v>443</v>
      </c>
      <c r="CR5" t="s">
        <v>443</v>
      </c>
      <c r="CS5" t="s">
        <v>443</v>
      </c>
      <c r="CT5" s="24" t="s">
        <v>443</v>
      </c>
      <c r="CU5" s="38" t="s">
        <v>443</v>
      </c>
      <c r="CV5" s="38" t="s">
        <v>443</v>
      </c>
      <c r="CW5" s="60" t="s">
        <v>443</v>
      </c>
      <c r="CX5" s="60" t="s">
        <v>443</v>
      </c>
      <c r="CY5" s="60" t="s">
        <v>443</v>
      </c>
      <c r="CZ5" s="60" t="s">
        <v>443</v>
      </c>
      <c r="DA5" s="59" t="s">
        <v>443</v>
      </c>
      <c r="DB5" t="s">
        <v>443</v>
      </c>
      <c r="DC5" t="s">
        <v>443</v>
      </c>
      <c r="DD5" t="s">
        <v>443</v>
      </c>
      <c r="DE5" t="s">
        <v>443</v>
      </c>
      <c r="DF5" t="s">
        <v>443</v>
      </c>
      <c r="DG5" t="s">
        <v>443</v>
      </c>
      <c r="DH5" t="s">
        <v>443</v>
      </c>
      <c r="DI5" t="s">
        <v>443</v>
      </c>
      <c r="DJ5" t="s">
        <v>443</v>
      </c>
      <c r="DK5" t="s">
        <v>443</v>
      </c>
      <c r="DL5" t="s">
        <v>443</v>
      </c>
      <c r="DM5" t="s">
        <v>443</v>
      </c>
      <c r="DN5" t="s">
        <v>443</v>
      </c>
      <c r="DO5" t="s">
        <v>443</v>
      </c>
      <c r="DP5" t="s">
        <v>443</v>
      </c>
    </row>
    <row r="6" spans="1:120" ht="15.75" x14ac:dyDescent="0.25">
      <c r="A6" s="2" t="s">
        <v>439</v>
      </c>
      <c r="B6" s="2" t="s">
        <v>439</v>
      </c>
      <c r="C6" s="2" t="s">
        <v>675</v>
      </c>
      <c r="D6" s="2" t="s">
        <v>448</v>
      </c>
      <c r="E6" s="2" t="s">
        <v>448</v>
      </c>
      <c r="F6" s="2">
        <v>5</v>
      </c>
      <c r="G6" s="2" t="s">
        <v>672</v>
      </c>
      <c r="H6" s="10" t="s">
        <v>656</v>
      </c>
      <c r="I6" s="2">
        <v>150</v>
      </c>
      <c r="J6" s="2">
        <v>65</v>
      </c>
      <c r="K6" s="2">
        <v>11.85</v>
      </c>
      <c r="L6" t="s">
        <v>443</v>
      </c>
      <c r="M6" s="2" t="s">
        <v>1120</v>
      </c>
      <c r="N6" s="2" t="s">
        <v>435</v>
      </c>
      <c r="O6" s="2" t="s">
        <v>673</v>
      </c>
      <c r="P6" s="2" t="s">
        <v>1127</v>
      </c>
      <c r="Q6" s="9" t="s">
        <v>674</v>
      </c>
      <c r="R6" s="2" t="str">
        <f t="shared" si="0"/>
        <v>CW_1_Section_3</v>
      </c>
      <c r="S6" s="2" t="str">
        <f t="shared" si="1"/>
        <v>CW_1_MF09</v>
      </c>
      <c r="T6" s="11" t="s">
        <v>659</v>
      </c>
      <c r="V6" s="2" t="s">
        <v>660</v>
      </c>
      <c r="W6" s="2" t="s">
        <v>655</v>
      </c>
      <c r="X6" s="2" t="s">
        <v>658</v>
      </c>
      <c r="Y6" s="2" t="str">
        <f t="shared" si="2"/>
        <v>P0_0.15-0.30</v>
      </c>
      <c r="Z6" t="s">
        <v>443</v>
      </c>
      <c r="AA6" t="s">
        <v>443</v>
      </c>
      <c r="AB6" t="s">
        <v>443</v>
      </c>
      <c r="AC6" t="s">
        <v>443</v>
      </c>
      <c r="AD6" t="s">
        <v>443</v>
      </c>
      <c r="AE6" t="s">
        <v>443</v>
      </c>
      <c r="AF6" t="s">
        <v>443</v>
      </c>
      <c r="AG6" t="s">
        <v>443</v>
      </c>
      <c r="AH6" t="s">
        <v>443</v>
      </c>
      <c r="AI6" t="s">
        <v>443</v>
      </c>
      <c r="AJ6" t="s">
        <v>443</v>
      </c>
      <c r="AK6" t="s">
        <v>443</v>
      </c>
      <c r="AL6" t="s">
        <v>443</v>
      </c>
      <c r="AM6" t="s">
        <v>443</v>
      </c>
      <c r="AN6" t="s">
        <v>443</v>
      </c>
      <c r="AO6" s="47" t="s">
        <v>443</v>
      </c>
      <c r="AP6" s="47" t="s">
        <v>443</v>
      </c>
      <c r="AQ6" t="s">
        <v>443</v>
      </c>
      <c r="AR6" t="s">
        <v>443</v>
      </c>
      <c r="AS6" s="48" t="s">
        <v>443</v>
      </c>
      <c r="AT6" t="s">
        <v>443</v>
      </c>
      <c r="AU6" s="48" t="s">
        <v>443</v>
      </c>
      <c r="AV6" t="s">
        <v>443</v>
      </c>
      <c r="AW6" s="48" t="s">
        <v>443</v>
      </c>
      <c r="AX6" t="s">
        <v>443</v>
      </c>
      <c r="AY6" s="48" t="s">
        <v>443</v>
      </c>
      <c r="AZ6" t="s">
        <v>443</v>
      </c>
      <c r="BA6" s="48" t="s">
        <v>443</v>
      </c>
      <c r="BB6" t="s">
        <v>443</v>
      </c>
      <c r="BC6" s="48" t="s">
        <v>443</v>
      </c>
      <c r="BD6" t="s">
        <v>443</v>
      </c>
      <c r="BE6" s="48" t="s">
        <v>443</v>
      </c>
      <c r="BF6" t="s">
        <v>443</v>
      </c>
      <c r="BG6" s="48" t="s">
        <v>443</v>
      </c>
      <c r="BH6" t="s">
        <v>443</v>
      </c>
      <c r="BI6" s="52" t="s">
        <v>443</v>
      </c>
      <c r="BJ6" s="52" t="s">
        <v>443</v>
      </c>
      <c r="BK6" s="27" t="s">
        <v>443</v>
      </c>
      <c r="BL6" s="27" t="s">
        <v>443</v>
      </c>
      <c r="BM6" t="s">
        <v>443</v>
      </c>
      <c r="BN6" t="s">
        <v>443</v>
      </c>
      <c r="BO6" t="s">
        <v>443</v>
      </c>
      <c r="BP6" t="s">
        <v>443</v>
      </c>
      <c r="BQ6" t="s">
        <v>443</v>
      </c>
      <c r="BR6" t="s">
        <v>443</v>
      </c>
      <c r="BS6" t="s">
        <v>443</v>
      </c>
      <c r="BT6" t="s">
        <v>443</v>
      </c>
      <c r="BU6" t="s">
        <v>443</v>
      </c>
      <c r="BV6" t="s">
        <v>443</v>
      </c>
      <c r="BW6" t="s">
        <v>443</v>
      </c>
      <c r="BX6" t="s">
        <v>443</v>
      </c>
      <c r="BY6" t="s">
        <v>443</v>
      </c>
      <c r="BZ6" t="s">
        <v>443</v>
      </c>
      <c r="CA6" s="24" t="s">
        <v>443</v>
      </c>
      <c r="CB6" s="24" t="s">
        <v>443</v>
      </c>
      <c r="CC6" s="24" t="s">
        <v>443</v>
      </c>
      <c r="CD6" s="26" t="s">
        <v>443</v>
      </c>
      <c r="CE6" s="26" t="s">
        <v>443</v>
      </c>
      <c r="CF6" s="26" t="s">
        <v>443</v>
      </c>
      <c r="CG6" t="s">
        <v>443</v>
      </c>
      <c r="CH6" t="s">
        <v>443</v>
      </c>
      <c r="CI6" t="s">
        <v>443</v>
      </c>
      <c r="CJ6" s="58" t="s">
        <v>443</v>
      </c>
      <c r="CK6" s="58" t="s">
        <v>443</v>
      </c>
      <c r="CL6" s="58" t="s">
        <v>443</v>
      </c>
      <c r="CM6" s="58" t="s">
        <v>443</v>
      </c>
      <c r="CN6" s="28" t="s">
        <v>443</v>
      </c>
      <c r="CO6" s="28" t="s">
        <v>443</v>
      </c>
      <c r="CP6" s="28" t="s">
        <v>443</v>
      </c>
      <c r="CQ6" s="28" t="s">
        <v>443</v>
      </c>
      <c r="CR6" t="s">
        <v>443</v>
      </c>
      <c r="CS6" t="s">
        <v>443</v>
      </c>
      <c r="CT6" s="24" t="s">
        <v>443</v>
      </c>
      <c r="CU6" s="38" t="s">
        <v>443</v>
      </c>
      <c r="CV6" s="38" t="s">
        <v>443</v>
      </c>
      <c r="CW6" s="60" t="s">
        <v>443</v>
      </c>
      <c r="CX6" s="60" t="s">
        <v>443</v>
      </c>
      <c r="CY6" s="60" t="s">
        <v>443</v>
      </c>
      <c r="CZ6" s="60" t="s">
        <v>443</v>
      </c>
      <c r="DA6" s="59" t="s">
        <v>443</v>
      </c>
      <c r="DB6" t="s">
        <v>443</v>
      </c>
      <c r="DC6" t="s">
        <v>443</v>
      </c>
      <c r="DD6" t="s">
        <v>443</v>
      </c>
      <c r="DE6" t="s">
        <v>443</v>
      </c>
      <c r="DF6" t="s">
        <v>443</v>
      </c>
      <c r="DG6" t="s">
        <v>443</v>
      </c>
      <c r="DH6" t="s">
        <v>443</v>
      </c>
      <c r="DI6" t="s">
        <v>443</v>
      </c>
      <c r="DJ6" t="s">
        <v>443</v>
      </c>
      <c r="DK6" t="s">
        <v>443</v>
      </c>
      <c r="DL6" t="s">
        <v>443</v>
      </c>
      <c r="DM6" t="s">
        <v>443</v>
      </c>
      <c r="DN6" t="s">
        <v>443</v>
      </c>
      <c r="DO6" t="s">
        <v>443</v>
      </c>
      <c r="DP6" t="s">
        <v>443</v>
      </c>
    </row>
    <row r="7" spans="1:120" ht="15.75" x14ac:dyDescent="0.25">
      <c r="A7" s="2" t="s">
        <v>440</v>
      </c>
      <c r="B7" s="2" t="s">
        <v>440</v>
      </c>
      <c r="C7" s="2" t="s">
        <v>678</v>
      </c>
      <c r="D7" s="2" t="s">
        <v>449</v>
      </c>
      <c r="E7" s="2" t="s">
        <v>449</v>
      </c>
      <c r="F7" s="2">
        <v>6</v>
      </c>
      <c r="G7" s="2" t="s">
        <v>676</v>
      </c>
      <c r="H7" s="10" t="s">
        <v>656</v>
      </c>
      <c r="I7" s="2">
        <v>150</v>
      </c>
      <c r="J7" s="2">
        <v>65</v>
      </c>
      <c r="K7" s="2">
        <v>12</v>
      </c>
      <c r="L7" t="s">
        <v>443</v>
      </c>
      <c r="M7" s="2" t="s">
        <v>1120</v>
      </c>
      <c r="N7" s="2" t="s">
        <v>435</v>
      </c>
      <c r="O7" s="2" t="s">
        <v>673</v>
      </c>
      <c r="P7" s="2" t="s">
        <v>1128</v>
      </c>
      <c r="Q7" s="9" t="s">
        <v>677</v>
      </c>
      <c r="R7" s="2" t="str">
        <f t="shared" si="0"/>
        <v>CW_1_Section_3</v>
      </c>
      <c r="S7" s="2" t="str">
        <f t="shared" si="1"/>
        <v>CW_1_MF10</v>
      </c>
      <c r="T7" s="11" t="s">
        <v>659</v>
      </c>
      <c r="V7" s="2" t="s">
        <v>660</v>
      </c>
      <c r="W7" s="2" t="s">
        <v>663</v>
      </c>
      <c r="X7" s="2" t="s">
        <v>658</v>
      </c>
      <c r="Y7" s="2" t="str">
        <f t="shared" si="2"/>
        <v>P0_0.60-0.80</v>
      </c>
      <c r="Z7" t="s">
        <v>443</v>
      </c>
      <c r="AA7" t="s">
        <v>443</v>
      </c>
      <c r="AB7" t="s">
        <v>443</v>
      </c>
      <c r="AC7" t="s">
        <v>443</v>
      </c>
      <c r="AD7" t="s">
        <v>443</v>
      </c>
      <c r="AE7" t="s">
        <v>443</v>
      </c>
      <c r="AF7" t="s">
        <v>443</v>
      </c>
      <c r="AG7" t="s">
        <v>443</v>
      </c>
      <c r="AH7" t="s">
        <v>443</v>
      </c>
      <c r="AI7" t="s">
        <v>443</v>
      </c>
      <c r="AJ7" t="s">
        <v>443</v>
      </c>
      <c r="AK7" t="s">
        <v>443</v>
      </c>
      <c r="AL7" t="s">
        <v>443</v>
      </c>
      <c r="AM7" t="s">
        <v>443</v>
      </c>
      <c r="AN7" t="s">
        <v>443</v>
      </c>
      <c r="AO7" s="47" t="s">
        <v>443</v>
      </c>
      <c r="AP7" s="47" t="s">
        <v>443</v>
      </c>
      <c r="AQ7" t="s">
        <v>443</v>
      </c>
      <c r="AR7" t="s">
        <v>443</v>
      </c>
      <c r="AS7" s="48" t="s">
        <v>443</v>
      </c>
      <c r="AT7" t="s">
        <v>443</v>
      </c>
      <c r="AU7" s="48" t="s">
        <v>443</v>
      </c>
      <c r="AV7" t="s">
        <v>443</v>
      </c>
      <c r="AW7" s="48" t="s">
        <v>443</v>
      </c>
      <c r="AX7" t="s">
        <v>443</v>
      </c>
      <c r="AY7" s="48" t="s">
        <v>443</v>
      </c>
      <c r="AZ7" t="s">
        <v>443</v>
      </c>
      <c r="BA7" s="48" t="s">
        <v>443</v>
      </c>
      <c r="BB7" t="s">
        <v>443</v>
      </c>
      <c r="BC7" s="48" t="s">
        <v>443</v>
      </c>
      <c r="BD7" t="s">
        <v>443</v>
      </c>
      <c r="BE7" s="48" t="s">
        <v>443</v>
      </c>
      <c r="BF7" t="s">
        <v>443</v>
      </c>
      <c r="BG7" s="48" t="s">
        <v>443</v>
      </c>
      <c r="BH7" t="s">
        <v>443</v>
      </c>
      <c r="BI7" s="52" t="s">
        <v>443</v>
      </c>
      <c r="BJ7" s="52" t="s">
        <v>443</v>
      </c>
      <c r="BK7" s="27" t="s">
        <v>443</v>
      </c>
      <c r="BL7" s="27" t="s">
        <v>443</v>
      </c>
      <c r="BM7" t="s">
        <v>443</v>
      </c>
      <c r="BN7" t="s">
        <v>443</v>
      </c>
      <c r="BO7" t="s">
        <v>443</v>
      </c>
      <c r="BP7" t="s">
        <v>443</v>
      </c>
      <c r="BQ7" t="s">
        <v>443</v>
      </c>
      <c r="BR7" t="s">
        <v>443</v>
      </c>
      <c r="BS7" t="s">
        <v>443</v>
      </c>
      <c r="BT7" t="s">
        <v>443</v>
      </c>
      <c r="BU7" t="s">
        <v>443</v>
      </c>
      <c r="BV7" t="s">
        <v>443</v>
      </c>
      <c r="BW7" t="s">
        <v>443</v>
      </c>
      <c r="BX7" t="s">
        <v>443</v>
      </c>
      <c r="BY7" t="s">
        <v>443</v>
      </c>
      <c r="BZ7" t="s">
        <v>443</v>
      </c>
      <c r="CA7" s="24" t="s">
        <v>443</v>
      </c>
      <c r="CB7" s="24" t="s">
        <v>443</v>
      </c>
      <c r="CC7" s="24" t="s">
        <v>443</v>
      </c>
      <c r="CD7" s="26" t="s">
        <v>443</v>
      </c>
      <c r="CE7" s="26" t="s">
        <v>443</v>
      </c>
      <c r="CF7" s="26" t="s">
        <v>443</v>
      </c>
      <c r="CG7" t="s">
        <v>443</v>
      </c>
      <c r="CH7" t="s">
        <v>443</v>
      </c>
      <c r="CI7" t="s">
        <v>443</v>
      </c>
      <c r="CJ7" s="58" t="s">
        <v>443</v>
      </c>
      <c r="CK7" s="58" t="s">
        <v>443</v>
      </c>
      <c r="CL7" s="58" t="s">
        <v>443</v>
      </c>
      <c r="CM7" s="58" t="s">
        <v>443</v>
      </c>
      <c r="CN7" s="28" t="s">
        <v>443</v>
      </c>
      <c r="CO7" s="28" t="s">
        <v>443</v>
      </c>
      <c r="CP7" s="28" t="s">
        <v>443</v>
      </c>
      <c r="CQ7" s="28" t="s">
        <v>443</v>
      </c>
      <c r="CR7" t="s">
        <v>443</v>
      </c>
      <c r="CS7" t="s">
        <v>443</v>
      </c>
      <c r="CT7" s="24" t="s">
        <v>443</v>
      </c>
      <c r="CU7" s="38" t="s">
        <v>443</v>
      </c>
      <c r="CV7" s="38" t="s">
        <v>443</v>
      </c>
      <c r="CW7" s="60" t="s">
        <v>443</v>
      </c>
      <c r="CX7" s="60" t="s">
        <v>443</v>
      </c>
      <c r="CY7" s="60" t="s">
        <v>443</v>
      </c>
      <c r="CZ7" s="60" t="s">
        <v>443</v>
      </c>
      <c r="DA7" s="59" t="s">
        <v>443</v>
      </c>
      <c r="DB7" t="s">
        <v>443</v>
      </c>
      <c r="DC7" t="s">
        <v>443</v>
      </c>
      <c r="DD7" t="s">
        <v>443</v>
      </c>
      <c r="DE7" t="s">
        <v>443</v>
      </c>
      <c r="DF7" t="s">
        <v>443</v>
      </c>
      <c r="DG7" t="s">
        <v>443</v>
      </c>
      <c r="DH7" t="s">
        <v>443</v>
      </c>
      <c r="DI7" t="s">
        <v>443</v>
      </c>
      <c r="DJ7" t="s">
        <v>443</v>
      </c>
      <c r="DK7" t="s">
        <v>443</v>
      </c>
      <c r="DL7" t="s">
        <v>443</v>
      </c>
      <c r="DM7" t="s">
        <v>443</v>
      </c>
      <c r="DN7" t="s">
        <v>443</v>
      </c>
      <c r="DO7" t="s">
        <v>443</v>
      </c>
      <c r="DP7" t="s">
        <v>443</v>
      </c>
    </row>
    <row r="8" spans="1:120" ht="15.75" x14ac:dyDescent="0.25">
      <c r="A8" s="2" t="s">
        <v>441</v>
      </c>
      <c r="B8" s="2" t="s">
        <v>441</v>
      </c>
      <c r="C8" s="2" t="s">
        <v>682</v>
      </c>
      <c r="D8" s="2" t="s">
        <v>450</v>
      </c>
      <c r="E8" s="2" t="s">
        <v>450</v>
      </c>
      <c r="F8" s="2">
        <v>7</v>
      </c>
      <c r="G8" s="2" t="s">
        <v>679</v>
      </c>
      <c r="H8" s="10" t="s">
        <v>656</v>
      </c>
      <c r="I8" s="2">
        <v>150</v>
      </c>
      <c r="J8" s="2">
        <v>65</v>
      </c>
      <c r="K8" s="2">
        <v>11.05</v>
      </c>
      <c r="L8" t="s">
        <v>443</v>
      </c>
      <c r="M8" s="2" t="s">
        <v>1120</v>
      </c>
      <c r="N8" s="2" t="s">
        <v>435</v>
      </c>
      <c r="O8" s="2" t="s">
        <v>680</v>
      </c>
      <c r="P8" s="2" t="s">
        <v>1129</v>
      </c>
      <c r="Q8" s="9" t="s">
        <v>681</v>
      </c>
      <c r="R8" s="2" t="str">
        <f t="shared" si="0"/>
        <v>CW_1_Section_4</v>
      </c>
      <c r="S8" s="2" t="str">
        <f t="shared" si="1"/>
        <v>CW_1_MF11</v>
      </c>
      <c r="T8" s="11" t="s">
        <v>659</v>
      </c>
      <c r="V8" s="2" t="s">
        <v>660</v>
      </c>
      <c r="W8" s="2" t="s">
        <v>655</v>
      </c>
      <c r="X8" s="2" t="s">
        <v>658</v>
      </c>
      <c r="Y8" s="2" t="str">
        <f t="shared" si="2"/>
        <v>P0_0.15-0.30</v>
      </c>
      <c r="Z8" t="s">
        <v>443</v>
      </c>
      <c r="AA8" t="s">
        <v>443</v>
      </c>
      <c r="AB8" t="s">
        <v>443</v>
      </c>
      <c r="AC8" t="s">
        <v>443</v>
      </c>
      <c r="AD8" t="s">
        <v>443</v>
      </c>
      <c r="AE8" t="s">
        <v>443</v>
      </c>
      <c r="AF8" t="s">
        <v>443</v>
      </c>
      <c r="AG8" t="s">
        <v>443</v>
      </c>
      <c r="AH8" t="s">
        <v>443</v>
      </c>
      <c r="AI8" t="s">
        <v>443</v>
      </c>
      <c r="AJ8" t="s">
        <v>443</v>
      </c>
      <c r="AK8" t="s">
        <v>443</v>
      </c>
      <c r="AL8" t="s">
        <v>443</v>
      </c>
      <c r="AM8" t="s">
        <v>443</v>
      </c>
      <c r="AN8" t="s">
        <v>443</v>
      </c>
      <c r="AO8" s="47" t="s">
        <v>443</v>
      </c>
      <c r="AP8" s="47" t="s">
        <v>443</v>
      </c>
      <c r="AQ8" t="s">
        <v>443</v>
      </c>
      <c r="AR8" t="s">
        <v>443</v>
      </c>
      <c r="AS8" s="48" t="s">
        <v>443</v>
      </c>
      <c r="AT8" t="s">
        <v>443</v>
      </c>
      <c r="AU8" s="48" t="s">
        <v>443</v>
      </c>
      <c r="AV8" t="s">
        <v>443</v>
      </c>
      <c r="AW8" s="48" t="s">
        <v>443</v>
      </c>
      <c r="AX8" t="s">
        <v>443</v>
      </c>
      <c r="AY8" s="48" t="s">
        <v>443</v>
      </c>
      <c r="AZ8" t="s">
        <v>443</v>
      </c>
      <c r="BA8" s="48" t="s">
        <v>443</v>
      </c>
      <c r="BB8" t="s">
        <v>443</v>
      </c>
      <c r="BC8" s="48" t="s">
        <v>443</v>
      </c>
      <c r="BD8" t="s">
        <v>443</v>
      </c>
      <c r="BE8" s="48" t="s">
        <v>443</v>
      </c>
      <c r="BF8" t="s">
        <v>443</v>
      </c>
      <c r="BG8" s="48" t="s">
        <v>443</v>
      </c>
      <c r="BH8" t="s">
        <v>443</v>
      </c>
      <c r="BI8" s="52" t="s">
        <v>443</v>
      </c>
      <c r="BJ8" s="52" t="s">
        <v>443</v>
      </c>
      <c r="BK8" s="27" t="s">
        <v>443</v>
      </c>
      <c r="BL8" s="27" t="s">
        <v>443</v>
      </c>
      <c r="BM8" t="s">
        <v>443</v>
      </c>
      <c r="BN8" t="s">
        <v>443</v>
      </c>
      <c r="BO8" t="s">
        <v>443</v>
      </c>
      <c r="BP8" t="s">
        <v>443</v>
      </c>
      <c r="BQ8" t="s">
        <v>443</v>
      </c>
      <c r="BR8" t="s">
        <v>443</v>
      </c>
      <c r="BS8" t="s">
        <v>443</v>
      </c>
      <c r="BT8" t="s">
        <v>443</v>
      </c>
      <c r="BU8" t="s">
        <v>443</v>
      </c>
      <c r="BV8" t="s">
        <v>443</v>
      </c>
      <c r="BW8" t="s">
        <v>443</v>
      </c>
      <c r="BX8" t="s">
        <v>443</v>
      </c>
      <c r="BY8" t="s">
        <v>443</v>
      </c>
      <c r="BZ8" t="s">
        <v>443</v>
      </c>
      <c r="CA8" s="24" t="s">
        <v>443</v>
      </c>
      <c r="CB8" s="24" t="s">
        <v>443</v>
      </c>
      <c r="CC8" s="24" t="s">
        <v>443</v>
      </c>
      <c r="CD8" s="26" t="s">
        <v>443</v>
      </c>
      <c r="CE8" s="26" t="s">
        <v>443</v>
      </c>
      <c r="CF8" s="26" t="s">
        <v>443</v>
      </c>
      <c r="CG8" t="s">
        <v>443</v>
      </c>
      <c r="CH8" t="s">
        <v>443</v>
      </c>
      <c r="CI8" t="s">
        <v>443</v>
      </c>
      <c r="CJ8" s="58" t="s">
        <v>443</v>
      </c>
      <c r="CK8" s="58" t="s">
        <v>443</v>
      </c>
      <c r="CL8" s="58" t="s">
        <v>443</v>
      </c>
      <c r="CM8" s="58" t="s">
        <v>443</v>
      </c>
      <c r="CN8" s="28" t="s">
        <v>443</v>
      </c>
      <c r="CO8" s="28" t="s">
        <v>443</v>
      </c>
      <c r="CP8" s="28" t="s">
        <v>443</v>
      </c>
      <c r="CQ8" s="28" t="s">
        <v>443</v>
      </c>
      <c r="CR8" t="s">
        <v>443</v>
      </c>
      <c r="CS8" t="s">
        <v>443</v>
      </c>
      <c r="CT8" s="24" t="s">
        <v>443</v>
      </c>
      <c r="CU8" s="38" t="s">
        <v>443</v>
      </c>
      <c r="CV8" s="38" t="s">
        <v>443</v>
      </c>
      <c r="CW8" s="60" t="s">
        <v>443</v>
      </c>
      <c r="CX8" s="60" t="s">
        <v>443</v>
      </c>
      <c r="CY8" s="60" t="s">
        <v>443</v>
      </c>
      <c r="CZ8" s="60" t="s">
        <v>443</v>
      </c>
      <c r="DA8" s="59" t="s">
        <v>443</v>
      </c>
      <c r="DB8" t="s">
        <v>443</v>
      </c>
      <c r="DC8" t="s">
        <v>443</v>
      </c>
      <c r="DD8" t="s">
        <v>443</v>
      </c>
      <c r="DE8" t="s">
        <v>443</v>
      </c>
      <c r="DF8" t="s">
        <v>443</v>
      </c>
      <c r="DG8" t="s">
        <v>443</v>
      </c>
      <c r="DH8" t="s">
        <v>443</v>
      </c>
      <c r="DI8" t="s">
        <v>443</v>
      </c>
      <c r="DJ8" t="s">
        <v>443</v>
      </c>
      <c r="DK8" t="s">
        <v>443</v>
      </c>
      <c r="DL8" t="s">
        <v>443</v>
      </c>
      <c r="DM8" t="s">
        <v>443</v>
      </c>
      <c r="DN8" t="s">
        <v>443</v>
      </c>
      <c r="DO8" t="s">
        <v>443</v>
      </c>
      <c r="DP8" t="s">
        <v>443</v>
      </c>
    </row>
    <row r="9" spans="1:120" ht="15.75" x14ac:dyDescent="0.25">
      <c r="A9" s="2" t="s">
        <v>442</v>
      </c>
      <c r="B9" s="2" t="s">
        <v>442</v>
      </c>
      <c r="C9" s="2" t="s">
        <v>685</v>
      </c>
      <c r="D9" s="2" t="s">
        <v>451</v>
      </c>
      <c r="E9" s="2" t="s">
        <v>451</v>
      </c>
      <c r="F9" s="2">
        <v>8</v>
      </c>
      <c r="G9" s="2" t="s">
        <v>683</v>
      </c>
      <c r="H9" s="10" t="s">
        <v>656</v>
      </c>
      <c r="I9" s="2">
        <v>150</v>
      </c>
      <c r="J9" s="2">
        <v>65</v>
      </c>
      <c r="K9" s="2">
        <v>10.65</v>
      </c>
      <c r="L9" t="s">
        <v>443</v>
      </c>
      <c r="M9" s="2" t="s">
        <v>1120</v>
      </c>
      <c r="N9" s="2" t="s">
        <v>435</v>
      </c>
      <c r="O9" s="2" t="s">
        <v>680</v>
      </c>
      <c r="P9" s="2" t="s">
        <v>1130</v>
      </c>
      <c r="Q9" s="9" t="s">
        <v>684</v>
      </c>
      <c r="R9" s="2" t="str">
        <f t="shared" si="0"/>
        <v>CW_1_Section_4</v>
      </c>
      <c r="S9" s="2" t="str">
        <f t="shared" si="1"/>
        <v>CW_1_MF12</v>
      </c>
      <c r="T9" s="11" t="s">
        <v>659</v>
      </c>
      <c r="V9" s="2" t="s">
        <v>660</v>
      </c>
      <c r="W9" s="2" t="s">
        <v>663</v>
      </c>
      <c r="X9" s="2" t="s">
        <v>658</v>
      </c>
      <c r="Y9" s="2" t="str">
        <f t="shared" si="2"/>
        <v>P0_0.60-0.80</v>
      </c>
      <c r="Z9" t="s">
        <v>443</v>
      </c>
      <c r="AA9" t="s">
        <v>443</v>
      </c>
      <c r="AB9" t="s">
        <v>443</v>
      </c>
      <c r="AC9" t="s">
        <v>443</v>
      </c>
      <c r="AD9" t="s">
        <v>443</v>
      </c>
      <c r="AE9" t="s">
        <v>443</v>
      </c>
      <c r="AF9" t="s">
        <v>443</v>
      </c>
      <c r="AG9" t="s">
        <v>443</v>
      </c>
      <c r="AH9" t="s">
        <v>443</v>
      </c>
      <c r="AI9" t="s">
        <v>443</v>
      </c>
      <c r="AJ9" t="s">
        <v>443</v>
      </c>
      <c r="AK9" t="s">
        <v>443</v>
      </c>
      <c r="AL9" t="s">
        <v>443</v>
      </c>
      <c r="AM9" t="s">
        <v>443</v>
      </c>
      <c r="AN9" t="s">
        <v>443</v>
      </c>
      <c r="AO9" s="47" t="s">
        <v>443</v>
      </c>
      <c r="AP9" s="47" t="s">
        <v>443</v>
      </c>
      <c r="AQ9" t="s">
        <v>443</v>
      </c>
      <c r="AR9" t="s">
        <v>443</v>
      </c>
      <c r="AS9" s="48" t="s">
        <v>443</v>
      </c>
      <c r="AT9" t="s">
        <v>443</v>
      </c>
      <c r="AU9" s="48" t="s">
        <v>443</v>
      </c>
      <c r="AV9" t="s">
        <v>443</v>
      </c>
      <c r="AW9" s="48" t="s">
        <v>443</v>
      </c>
      <c r="AX9" t="s">
        <v>443</v>
      </c>
      <c r="AY9" s="48" t="s">
        <v>443</v>
      </c>
      <c r="AZ9" t="s">
        <v>443</v>
      </c>
      <c r="BA9" s="48" t="s">
        <v>443</v>
      </c>
      <c r="BB9" t="s">
        <v>443</v>
      </c>
      <c r="BC9" s="48" t="s">
        <v>443</v>
      </c>
      <c r="BD9" t="s">
        <v>443</v>
      </c>
      <c r="BE9" s="48" t="s">
        <v>443</v>
      </c>
      <c r="BF9" t="s">
        <v>443</v>
      </c>
      <c r="BG9" s="48" t="s">
        <v>443</v>
      </c>
      <c r="BH9" t="s">
        <v>443</v>
      </c>
      <c r="BI9" s="52" t="s">
        <v>443</v>
      </c>
      <c r="BJ9" s="52" t="s">
        <v>443</v>
      </c>
      <c r="BK9" s="27" t="s">
        <v>443</v>
      </c>
      <c r="BL9" s="27" t="s">
        <v>443</v>
      </c>
      <c r="BM9" t="s">
        <v>443</v>
      </c>
      <c r="BN9" t="s">
        <v>443</v>
      </c>
      <c r="BO9" t="s">
        <v>443</v>
      </c>
      <c r="BP9" t="s">
        <v>443</v>
      </c>
      <c r="BQ9" t="s">
        <v>443</v>
      </c>
      <c r="BR9" t="s">
        <v>443</v>
      </c>
      <c r="BS9" t="s">
        <v>443</v>
      </c>
      <c r="BT9" t="s">
        <v>443</v>
      </c>
      <c r="BU9" t="s">
        <v>443</v>
      </c>
      <c r="BV9" t="s">
        <v>443</v>
      </c>
      <c r="BW9" t="s">
        <v>443</v>
      </c>
      <c r="BX9" t="s">
        <v>443</v>
      </c>
      <c r="BY9" t="s">
        <v>443</v>
      </c>
      <c r="BZ9" t="s">
        <v>443</v>
      </c>
      <c r="CA9" s="24" t="s">
        <v>443</v>
      </c>
      <c r="CB9" s="24" t="s">
        <v>443</v>
      </c>
      <c r="CC9" s="24" t="s">
        <v>443</v>
      </c>
      <c r="CD9" s="26" t="s">
        <v>443</v>
      </c>
      <c r="CE9" s="26" t="s">
        <v>443</v>
      </c>
      <c r="CF9" s="26" t="s">
        <v>443</v>
      </c>
      <c r="CG9" t="s">
        <v>443</v>
      </c>
      <c r="CH9" t="s">
        <v>443</v>
      </c>
      <c r="CI9" t="s">
        <v>443</v>
      </c>
      <c r="CJ9" s="58" t="s">
        <v>443</v>
      </c>
      <c r="CK9" s="58" t="s">
        <v>443</v>
      </c>
      <c r="CL9" s="58" t="s">
        <v>443</v>
      </c>
      <c r="CM9" s="58" t="s">
        <v>443</v>
      </c>
      <c r="CN9" s="28" t="s">
        <v>443</v>
      </c>
      <c r="CO9" s="28" t="s">
        <v>443</v>
      </c>
      <c r="CP9" s="28" t="s">
        <v>443</v>
      </c>
      <c r="CQ9" s="28" t="s">
        <v>443</v>
      </c>
      <c r="CR9" t="s">
        <v>443</v>
      </c>
      <c r="CS9" t="s">
        <v>443</v>
      </c>
      <c r="CT9" s="24" t="s">
        <v>443</v>
      </c>
      <c r="CU9" s="38" t="s">
        <v>443</v>
      </c>
      <c r="CV9" s="38" t="s">
        <v>443</v>
      </c>
      <c r="CW9" s="60" t="s">
        <v>443</v>
      </c>
      <c r="CX9" s="60" t="s">
        <v>443</v>
      </c>
      <c r="CY9" s="60" t="s">
        <v>443</v>
      </c>
      <c r="CZ9" s="60" t="s">
        <v>443</v>
      </c>
      <c r="DA9" s="59" t="s">
        <v>443</v>
      </c>
      <c r="DB9" t="s">
        <v>443</v>
      </c>
      <c r="DC9" t="s">
        <v>443</v>
      </c>
      <c r="DD9" t="s">
        <v>443</v>
      </c>
      <c r="DE9" t="s">
        <v>443</v>
      </c>
      <c r="DF9" t="s">
        <v>443</v>
      </c>
      <c r="DG9" t="s">
        <v>443</v>
      </c>
      <c r="DH9" t="s">
        <v>443</v>
      </c>
      <c r="DI9" t="s">
        <v>443</v>
      </c>
      <c r="DJ9" t="s">
        <v>443</v>
      </c>
      <c r="DK9" t="s">
        <v>443</v>
      </c>
      <c r="DL9" t="s">
        <v>443</v>
      </c>
      <c r="DM9" t="s">
        <v>443</v>
      </c>
      <c r="DN9" t="s">
        <v>443</v>
      </c>
      <c r="DO9" t="s">
        <v>443</v>
      </c>
      <c r="DP9" t="s">
        <v>443</v>
      </c>
    </row>
    <row r="10" spans="1:120" ht="15.75" x14ac:dyDescent="0.25">
      <c r="A10" s="29" t="s">
        <v>63</v>
      </c>
      <c r="B10" s="29" t="s">
        <v>63</v>
      </c>
      <c r="C10" s="29" t="s">
        <v>689</v>
      </c>
      <c r="D10" s="29" t="s">
        <v>452</v>
      </c>
      <c r="E10" s="29" t="s">
        <v>452</v>
      </c>
      <c r="F10" s="29">
        <v>9</v>
      </c>
      <c r="G10" s="29" t="s">
        <v>686</v>
      </c>
      <c r="H10" s="30" t="s">
        <v>656</v>
      </c>
      <c r="I10" s="29">
        <v>150</v>
      </c>
      <c r="J10" s="29">
        <v>65</v>
      </c>
      <c r="K10" s="29">
        <v>5.95</v>
      </c>
      <c r="L10" s="32" t="s">
        <v>26</v>
      </c>
      <c r="M10" s="29" t="s">
        <v>1118</v>
      </c>
      <c r="N10" s="29" t="s">
        <v>688</v>
      </c>
      <c r="O10" s="29" t="s">
        <v>687</v>
      </c>
      <c r="P10" s="29" t="s">
        <v>1118</v>
      </c>
      <c r="Q10" s="29" t="s">
        <v>443</v>
      </c>
      <c r="R10" s="2" t="str">
        <f t="shared" si="0"/>
        <v>CW_0_Section_0</v>
      </c>
      <c r="S10" s="2" t="str">
        <f t="shared" si="1"/>
        <v>CW_0_INF</v>
      </c>
      <c r="T10" s="31" t="s">
        <v>691</v>
      </c>
      <c r="U10" s="33">
        <v>45518</v>
      </c>
      <c r="V10" s="29" t="s">
        <v>692</v>
      </c>
      <c r="W10" s="29" t="s">
        <v>1118</v>
      </c>
      <c r="X10" s="29" t="s">
        <v>690</v>
      </c>
      <c r="Y10" s="2" t="str">
        <f t="shared" si="2"/>
        <v>T0_INF</v>
      </c>
      <c r="Z10" s="32" t="s">
        <v>27</v>
      </c>
      <c r="AA10" s="32">
        <v>14</v>
      </c>
      <c r="AB10" s="32">
        <v>15</v>
      </c>
      <c r="AC10" s="32">
        <v>690</v>
      </c>
      <c r="AD10" s="32">
        <f>($AC10/78110)*30</f>
        <v>0.26501088208936113</v>
      </c>
      <c r="AE10" s="32">
        <v>190</v>
      </c>
      <c r="AF10" s="32">
        <f>($AE10/92140)*36</f>
        <v>7.4234859995658792E-2</v>
      </c>
      <c r="AG10" s="32">
        <v>910</v>
      </c>
      <c r="AH10" s="32">
        <f>($AG10/106170)*42</f>
        <v>0.35998869737213901</v>
      </c>
      <c r="AI10" s="32">
        <v>330</v>
      </c>
      <c r="AJ10" s="32">
        <f>($AI10/106170)*42</f>
        <v>0.13054535179429219</v>
      </c>
      <c r="AK10" s="32">
        <v>590</v>
      </c>
      <c r="AL10" s="32">
        <f>($AK10/106170)*42</f>
        <v>0.23339926532918903</v>
      </c>
      <c r="AM10" s="32">
        <v>920</v>
      </c>
      <c r="AN10" s="32">
        <f>($AM10/106170)*42</f>
        <v>0.3639446171234812</v>
      </c>
      <c r="AO10" s="49">
        <v>2710</v>
      </c>
      <c r="AP10" s="49">
        <f>$AD10+$AF10+$AH10+$AN10</f>
        <v>1.06317905658064</v>
      </c>
      <c r="AQ10" s="32">
        <v>5600</v>
      </c>
      <c r="AR10" s="32">
        <f>($AQ10/128170)*48</f>
        <v>2.0972146368104863</v>
      </c>
      <c r="AS10" s="48">
        <v>4900</v>
      </c>
      <c r="AT10" s="27">
        <f>($AS10/128170)*48</f>
        <v>1.8350628072091753</v>
      </c>
      <c r="AU10" s="48">
        <v>1900</v>
      </c>
      <c r="AV10" s="27">
        <f>($AU10/152190)*56</f>
        <v>0.69912609238451928</v>
      </c>
      <c r="AW10" s="48">
        <v>2400</v>
      </c>
      <c r="AX10" s="27">
        <f>($AW10/154210)*58</f>
        <v>0.90266519680954549</v>
      </c>
      <c r="AY10" s="48">
        <v>2600</v>
      </c>
      <c r="AZ10" s="27">
        <f>($AY10/166220)*62</f>
        <v>0.96979906148477935</v>
      </c>
      <c r="BA10" s="48">
        <v>5100</v>
      </c>
      <c r="BB10" s="27">
        <f>($BA10/178230)*66</f>
        <v>1.8885709476519106</v>
      </c>
      <c r="BC10" s="48">
        <v>2300</v>
      </c>
      <c r="BD10" s="27">
        <f>($BC10/178230)*66</f>
        <v>0.8517084665881165</v>
      </c>
      <c r="BE10" s="48">
        <v>2200</v>
      </c>
      <c r="BF10" s="27">
        <f>($BE10/202250)*74</f>
        <v>0.80494437577255873</v>
      </c>
      <c r="BG10" s="48">
        <v>2800</v>
      </c>
      <c r="BH10" s="27">
        <f>($BG10/202250)*74</f>
        <v>1.0244746600741657</v>
      </c>
      <c r="BI10" s="52">
        <f>$AS10+$AU10+$AW10+$AY10+$BA10+$BC10+$BE10+$BG10</f>
        <v>24200</v>
      </c>
      <c r="BJ10" s="52">
        <f>$AU10+$AW10+$AY10+$BA10+$BC10+$BE10+$BG10</f>
        <v>19300</v>
      </c>
      <c r="BK10" s="27">
        <f>$AT10+$AV10+$AX10+$AZ10+$BB10+$BD10+$BF10+$BH10</f>
        <v>8.9763516079747703</v>
      </c>
      <c r="BL10" s="27">
        <f>$AV10+$AX10+$AZ10+$BB10+$BD10+$BF10+$BH10</f>
        <v>7.1412888007655955</v>
      </c>
      <c r="BM10" s="32">
        <v>8600</v>
      </c>
      <c r="BN10" s="32">
        <v>4600</v>
      </c>
      <c r="BO10" s="32" t="s">
        <v>19</v>
      </c>
      <c r="BP10" s="32">
        <v>13000</v>
      </c>
      <c r="BQ10" s="32">
        <v>65</v>
      </c>
      <c r="BR10" s="32">
        <v>26</v>
      </c>
      <c r="BS10" s="32">
        <v>0.78</v>
      </c>
      <c r="BT10" s="32" t="s">
        <v>443</v>
      </c>
      <c r="BU10" s="32" t="s">
        <v>443</v>
      </c>
      <c r="BV10" s="32" t="s">
        <v>443</v>
      </c>
      <c r="BW10" s="32" t="s">
        <v>443</v>
      </c>
      <c r="BX10" s="32" t="s">
        <v>443</v>
      </c>
      <c r="BY10" s="32">
        <v>0.2</v>
      </c>
      <c r="BZ10" s="32" t="s">
        <v>443</v>
      </c>
      <c r="CA10" s="32">
        <v>0.3</v>
      </c>
      <c r="CB10" s="32">
        <f>$CA10/55.85</f>
        <v>5.3715308863025958E-3</v>
      </c>
      <c r="CC10" s="32">
        <f>$CB10*1</f>
        <v>5.3715308863025958E-3</v>
      </c>
      <c r="CD10" s="32">
        <v>0.9</v>
      </c>
      <c r="CE10" s="32">
        <f>$CD10/54.93</f>
        <v>1.6384489350081924E-2</v>
      </c>
      <c r="CF10" s="32">
        <f>$CE10*2</f>
        <v>3.2768978700163848E-2</v>
      </c>
      <c r="CG10" s="32">
        <v>73</v>
      </c>
      <c r="CH10" s="32">
        <f>CG10/96.06</f>
        <v>0.75994170310222775</v>
      </c>
      <c r="CI10" s="32">
        <f>CH10*8</f>
        <v>6.079533624817822</v>
      </c>
      <c r="CJ10" s="58">
        <v>0</v>
      </c>
      <c r="CK10" s="58">
        <v>0</v>
      </c>
      <c r="CL10" s="58">
        <v>0</v>
      </c>
      <c r="CM10" s="58">
        <v>0</v>
      </c>
      <c r="CN10" s="28">
        <v>0</v>
      </c>
      <c r="CO10" s="28">
        <v>0</v>
      </c>
      <c r="CP10" s="28">
        <v>0</v>
      </c>
      <c r="CQ10" s="28">
        <v>0</v>
      </c>
      <c r="CR10" s="32">
        <f>$CJ10*(55.84/96.06)</f>
        <v>0</v>
      </c>
      <c r="CS10" s="32"/>
      <c r="CT10" s="32">
        <f>$CA10+$CS10</f>
        <v>0.3</v>
      </c>
      <c r="CU10" s="32">
        <f>$CT10/55.85</f>
        <v>5.3715308863025958E-3</v>
      </c>
      <c r="CV10" s="32">
        <f>$CU10*1</f>
        <v>5.3715308863025958E-3</v>
      </c>
      <c r="CW10" s="60">
        <f>$CN10*(55.84/96.06)</f>
        <v>0</v>
      </c>
      <c r="CX10" s="60">
        <v>0</v>
      </c>
      <c r="CY10" s="60">
        <f>$CA10+$CX10</f>
        <v>0.3</v>
      </c>
      <c r="CZ10" s="60">
        <f>$CY10/55.85</f>
        <v>5.3715308863025958E-3</v>
      </c>
      <c r="DA10" s="60">
        <f>$CZ10*1</f>
        <v>5.3715308863025958E-3</v>
      </c>
      <c r="DB10" s="32">
        <f>$CI10</f>
        <v>6.079533624817822</v>
      </c>
      <c r="DC10">
        <f>$CV10+$CF10+$CM10</f>
        <v>3.8140509586466441E-2</v>
      </c>
      <c r="DD10">
        <f>$CF10/$DC10</f>
        <v>0.85916467964002774</v>
      </c>
      <c r="DE10">
        <f>$CV10/$DC10</f>
        <v>0.14083532035997229</v>
      </c>
      <c r="DF10">
        <f>$CM10/$DC10</f>
        <v>0</v>
      </c>
      <c r="DG10">
        <f>$DA10+$CF10+$CQ10</f>
        <v>3.8140509586466441E-2</v>
      </c>
      <c r="DH10">
        <f>$CF10/$DG10</f>
        <v>0.85916467964002774</v>
      </c>
      <c r="DI10">
        <f>$DA10/$DG10</f>
        <v>0.14083532035997229</v>
      </c>
      <c r="DJ10">
        <f>$CQ10/$DG10</f>
        <v>0</v>
      </c>
      <c r="DK10" s="64">
        <f>($AP10+$AR10)-$DC10</f>
        <v>3.1222531838046597</v>
      </c>
      <c r="DL10" s="64">
        <f>($AP10+$AR10)-$DG10</f>
        <v>3.1222531838046597</v>
      </c>
      <c r="DM10" s="64">
        <f>($AP10+$AR10+$BL10)-$DC10</f>
        <v>10.263541984570256</v>
      </c>
      <c r="DN10" s="64">
        <f>($AP10+$AR10+$BL10)-$DG10</f>
        <v>10.263541984570256</v>
      </c>
      <c r="DO10" t="str">
        <f>IF($DM10&lt;0, "Sufficient Capacity", "Insufficient Capacity")</f>
        <v>Insufficient Capacity</v>
      </c>
      <c r="DP10" t="str">
        <f>IF($DN10&lt;0, "Sufficient Capacity", "Insufficient Capacity")</f>
        <v>Insufficient Capacity</v>
      </c>
    </row>
    <row r="11" spans="1:120" ht="15.75" x14ac:dyDescent="0.25">
      <c r="A11" s="2" t="s">
        <v>64</v>
      </c>
      <c r="B11" s="2" t="s">
        <v>64</v>
      </c>
      <c r="C11" s="2" t="s">
        <v>695</v>
      </c>
      <c r="D11" s="2" t="s">
        <v>453</v>
      </c>
      <c r="E11" s="2" t="s">
        <v>453</v>
      </c>
      <c r="F11" s="2">
        <v>10</v>
      </c>
      <c r="G11" s="2" t="s">
        <v>693</v>
      </c>
      <c r="H11" s="10" t="s">
        <v>656</v>
      </c>
      <c r="I11" s="2">
        <v>150</v>
      </c>
      <c r="J11" s="2">
        <v>65</v>
      </c>
      <c r="K11" s="2">
        <v>5.5</v>
      </c>
      <c r="L11" t="s">
        <v>17</v>
      </c>
      <c r="M11" s="2" t="s">
        <v>1119</v>
      </c>
      <c r="N11" s="2" t="s">
        <v>435</v>
      </c>
      <c r="O11" s="2" t="s">
        <v>694</v>
      </c>
      <c r="P11" s="2" t="s">
        <v>1119</v>
      </c>
      <c r="Q11" s="2" t="s">
        <v>443</v>
      </c>
      <c r="R11" s="2" t="str">
        <f t="shared" si="0"/>
        <v>CW_1_Section_5</v>
      </c>
      <c r="S11" s="2" t="str">
        <f t="shared" si="1"/>
        <v>CW_1_EFF</v>
      </c>
      <c r="T11" s="11" t="s">
        <v>691</v>
      </c>
      <c r="U11" s="1">
        <v>45516</v>
      </c>
      <c r="V11" s="2" t="s">
        <v>692</v>
      </c>
      <c r="W11" s="2" t="s">
        <v>1119</v>
      </c>
      <c r="X11" s="2" t="s">
        <v>690</v>
      </c>
      <c r="Y11" s="2" t="str">
        <f t="shared" si="2"/>
        <v>T0_EFF</v>
      </c>
      <c r="Z11" t="s">
        <v>18</v>
      </c>
      <c r="AA11">
        <v>17</v>
      </c>
      <c r="AB11">
        <v>17</v>
      </c>
      <c r="AC11">
        <v>150</v>
      </c>
      <c r="AD11" s="32">
        <f t="shared" ref="AD11:AD74" si="3">($AC11/78110)*30</f>
        <v>5.7611061323774165E-2</v>
      </c>
      <c r="AE11">
        <v>21</v>
      </c>
      <c r="AF11" s="32">
        <f>($AE11/92140)*36</f>
        <v>8.2049055784675501E-3</v>
      </c>
      <c r="AG11">
        <v>110</v>
      </c>
      <c r="AH11" s="32">
        <f t="shared" ref="AH11:AH74" si="4">($AG11/106170)*42</f>
        <v>4.3515117264764057E-2</v>
      </c>
      <c r="AI11">
        <v>43</v>
      </c>
      <c r="AJ11" s="32">
        <f t="shared" ref="AJ11:AJ74" si="5">($AI11/106170)*42</f>
        <v>1.7010454930771402E-2</v>
      </c>
      <c r="AK11">
        <v>35</v>
      </c>
      <c r="AL11" s="32">
        <f t="shared" ref="AL11:AL74" si="6">($AK11/106170)*42</f>
        <v>1.3845719129697655E-2</v>
      </c>
      <c r="AM11">
        <v>78</v>
      </c>
      <c r="AO11" s="49">
        <v>359</v>
      </c>
      <c r="AP11" s="49">
        <f t="shared" ref="AP11:AP74" si="7">$AD11+$AF11+$AH11+$AN11</f>
        <v>0.10933108416700577</v>
      </c>
      <c r="AQ11">
        <v>410</v>
      </c>
      <c r="AR11" s="32">
        <f t="shared" ref="AR11:AR74" si="8">($AQ11/128170)*48</f>
        <v>0.15354607162362488</v>
      </c>
      <c r="AS11" s="48">
        <v>160</v>
      </c>
      <c r="AT11" s="27">
        <f t="shared" ref="AT11:AT74" si="9">($AS11/128170)*48</f>
        <v>5.9920418194585309E-2</v>
      </c>
      <c r="AU11" s="48">
        <v>1.6</v>
      </c>
      <c r="AV11" s="27">
        <f t="shared" ref="AV11:AV74" si="10">($AU11/152190)*56</f>
        <v>5.8873776200801635E-4</v>
      </c>
      <c r="AW11" s="48">
        <v>6.1</v>
      </c>
      <c r="AX11" s="27">
        <f t="shared" ref="AX11:AX74" si="11">($AW11/154210)*58</f>
        <v>2.294274041890928E-3</v>
      </c>
      <c r="AY11" s="48">
        <v>1.3</v>
      </c>
      <c r="AZ11" s="27">
        <f t="shared" ref="AZ11:AZ74" si="12">($AY11/166220)*62</f>
        <v>4.8489953074238966E-4</v>
      </c>
      <c r="BA11" s="48">
        <v>0.73</v>
      </c>
      <c r="BB11" s="27">
        <f t="shared" ref="BB11:BB74" si="13">($BA11/178230)*66</f>
        <v>2.7032486113448914E-4</v>
      </c>
      <c r="BC11" s="48">
        <v>0.08</v>
      </c>
      <c r="BD11" s="27">
        <f t="shared" ref="BD11:BD74" si="14">($BC11/178230)*66</f>
        <v>2.9624642316108399E-5</v>
      </c>
      <c r="BE11" s="48">
        <v>0.04</v>
      </c>
      <c r="BF11" s="27">
        <f t="shared" ref="BF11:BF74" si="15">($BE11/202250)*74</f>
        <v>1.4635352286773795E-5</v>
      </c>
      <c r="BG11" s="48">
        <v>0.03</v>
      </c>
      <c r="BH11" s="27">
        <f t="shared" ref="BH11:BH74" si="16">($BG11/202250)*74</f>
        <v>1.0976514215080345E-5</v>
      </c>
      <c r="BI11" s="52">
        <f t="shared" ref="BI11:BI74" si="17">$AS11+$AU11+$AW11+$AY11+$BA11+$BC11+$BE11+$BG11</f>
        <v>169.88</v>
      </c>
      <c r="BJ11" s="52">
        <f t="shared" ref="BJ11:BJ74" si="18">$AU11+$AW11+$AY11+$BA11+$BC11+$BE11+$BG11</f>
        <v>9.879999999999999</v>
      </c>
      <c r="BK11" s="27">
        <f t="shared" ref="BK11:BK74" si="19">$AT11+$AV11+$AX11+$AZ11+$BB11+$BD11+$BF11+$BH11</f>
        <v>6.3613890899179099E-2</v>
      </c>
      <c r="BL11" s="27">
        <f t="shared" ref="BL11:BL74" si="20">$AV11+$AX11+$AZ11+$BB11+$BD11+$BF11+$BH11</f>
        <v>3.6934727045937858E-3</v>
      </c>
      <c r="BM11">
        <v>430</v>
      </c>
      <c r="BN11">
        <v>50</v>
      </c>
      <c r="BO11" t="s">
        <v>19</v>
      </c>
      <c r="BP11">
        <v>480</v>
      </c>
      <c r="BQ11">
        <v>44</v>
      </c>
      <c r="BR11">
        <v>12</v>
      </c>
      <c r="BS11">
        <v>0.93</v>
      </c>
      <c r="BT11">
        <v>4.0199999999999996</v>
      </c>
      <c r="BU11">
        <v>23</v>
      </c>
      <c r="BV11">
        <v>-83</v>
      </c>
      <c r="BW11">
        <v>7</v>
      </c>
      <c r="BX11">
        <v>785</v>
      </c>
      <c r="BY11">
        <v>0.1</v>
      </c>
      <c r="BZ11" t="s">
        <v>443</v>
      </c>
      <c r="CA11" s="32">
        <v>5.3</v>
      </c>
      <c r="CB11" s="32">
        <f t="shared" ref="CB11:CB74" si="21">$CA11/55.85</f>
        <v>9.4897045658012533E-2</v>
      </c>
      <c r="CC11" s="32">
        <f t="shared" ref="CC11:CC74" si="22">$CB11*1</f>
        <v>9.4897045658012533E-2</v>
      </c>
      <c r="CD11" s="32">
        <v>3.8</v>
      </c>
      <c r="CE11" s="32">
        <f t="shared" ref="CE11:CE74" si="23">$CD11/54.93</f>
        <v>6.9178955033679226E-2</v>
      </c>
      <c r="CF11" s="32">
        <f t="shared" ref="CF11:CF74" si="24">$CE11*2</f>
        <v>0.13835791006735845</v>
      </c>
      <c r="CG11" s="27">
        <v>36</v>
      </c>
      <c r="CH11" s="27">
        <f t="shared" ref="CH11:CH74" si="25">CG11/96.06</f>
        <v>0.37476577139287942</v>
      </c>
      <c r="CI11" s="27">
        <f t="shared" ref="CI11:CI74" si="26">CH11*8</f>
        <v>2.9981261711430354</v>
      </c>
      <c r="CJ11" s="58">
        <v>37</v>
      </c>
      <c r="CK11" s="58">
        <v>50.684931506849317</v>
      </c>
      <c r="CL11" s="58">
        <v>3.0814074536747866</v>
      </c>
      <c r="CM11" s="58">
        <v>3.0814074536747866</v>
      </c>
      <c r="CN11" s="28">
        <v>3</v>
      </c>
      <c r="CO11" s="28">
        <v>7.6923076923076925</v>
      </c>
      <c r="CP11" s="28">
        <v>0.24984384759525297</v>
      </c>
      <c r="CQ11" s="28">
        <v>0.24984384759525297</v>
      </c>
      <c r="CR11" s="32">
        <f t="shared" ref="CR11:CR74" si="27">$CJ11*(55.84/96.06)</f>
        <v>21.508224026650009</v>
      </c>
      <c r="CS11" s="32">
        <v>21.508224026650009</v>
      </c>
      <c r="CT11" s="32">
        <f t="shared" ref="CT11:CT74" si="28">$CA11+$CS11</f>
        <v>26.808224026650009</v>
      </c>
      <c r="CU11" s="32">
        <f t="shared" ref="CU11:CU74" si="29">$CT11/55.85</f>
        <v>0.4800040112202329</v>
      </c>
      <c r="CV11" s="32">
        <f t="shared" ref="CV11:CV74" si="30">$CU11*1</f>
        <v>0.4800040112202329</v>
      </c>
      <c r="CW11" s="60">
        <f t="shared" ref="CW11:CW74" si="31">$CN11*(55.84/96.06)</f>
        <v>1.7439100562148657</v>
      </c>
      <c r="CX11" s="60">
        <v>1.7439100562148657</v>
      </c>
      <c r="CY11" s="60">
        <f t="shared" ref="CY11:CY74" si="32">$CA11+$CX11</f>
        <v>7.043910056214866</v>
      </c>
      <c r="CZ11" s="60">
        <f t="shared" ref="CZ11:CZ74" si="33">$CY11/55.85</f>
        <v>0.12612193475765202</v>
      </c>
      <c r="DA11" s="60">
        <f t="shared" ref="DA11:DA74" si="34">$CZ11*1</f>
        <v>0.12612193475765202</v>
      </c>
      <c r="DB11" s="32">
        <f t="shared" ref="DB11:DB74" si="35">$CI11</f>
        <v>2.9981261711430354</v>
      </c>
      <c r="DC11">
        <f t="shared" ref="DC11:DC74" si="36">$CV11+$CF11+$CM11</f>
        <v>3.6997693749623779</v>
      </c>
      <c r="DD11">
        <f t="shared" ref="DD11:DD74" si="37">$CF11/$DC11</f>
        <v>3.7396360703906138E-2</v>
      </c>
      <c r="DE11">
        <f t="shared" ref="DE11:DE74" si="38">$CV11/$DC11</f>
        <v>0.12973890061055871</v>
      </c>
      <c r="DF11">
        <f t="shared" ref="DF11:DF74" si="39">$CM11/$DC11</f>
        <v>0.83286473868553512</v>
      </c>
      <c r="DG11">
        <f t="shared" ref="DG11:DG74" si="40">$DA11+$CF11+$CQ11</f>
        <v>0.51432369242026343</v>
      </c>
      <c r="DH11">
        <f t="shared" ref="DH11:DH74" si="41">$CF11/$DG11</f>
        <v>0.26900940420668712</v>
      </c>
      <c r="DI11">
        <f t="shared" ref="DI11:DI74" si="42">$DA11/$DG11</f>
        <v>0.24521898682939816</v>
      </c>
      <c r="DJ11">
        <f t="shared" ref="DJ11:DJ74" si="43">$CQ11/$DG11</f>
        <v>0.48577160896391475</v>
      </c>
      <c r="DK11" s="64">
        <f t="shared" ref="DK11:DK74" si="44">($AP11+$AR11)-$DC11</f>
        <v>-3.4368922191717473</v>
      </c>
      <c r="DL11" s="64">
        <f t="shared" ref="DL11:DL74" si="45">($AP11+$AR11)-$DG11</f>
        <v>-0.25144653662963279</v>
      </c>
      <c r="DM11" s="64">
        <f t="shared" ref="DM11:DM74" si="46">($AP11+$AR11+$BL11)-$DC11</f>
        <v>-3.4331987464671534</v>
      </c>
      <c r="DN11" s="64">
        <f t="shared" ref="DN11:DN74" si="47">($AP11+$AR11+$BL11)-$DG11</f>
        <v>-0.24775306392503899</v>
      </c>
      <c r="DO11" t="str">
        <f t="shared" ref="DO11:DO74" si="48">IF(DM11&lt;0, "Sufficient Capacity", "Insufficient Capacity")</f>
        <v>Sufficient Capacity</v>
      </c>
      <c r="DP11" t="str">
        <f t="shared" ref="DP11:DP74" si="49">IF($DN11&lt;0, "Sufficient Capacity", "Insufficient Capacity")</f>
        <v>Sufficient Capacity</v>
      </c>
    </row>
    <row r="12" spans="1:120" ht="15.75" x14ac:dyDescent="0.25">
      <c r="A12" s="2" t="s">
        <v>65</v>
      </c>
      <c r="B12" s="2" t="s">
        <v>65</v>
      </c>
      <c r="C12" s="2" t="s">
        <v>697</v>
      </c>
      <c r="D12" s="2" t="s">
        <v>454</v>
      </c>
      <c r="E12" s="2" t="s">
        <v>454</v>
      </c>
      <c r="F12" s="2">
        <v>11</v>
      </c>
      <c r="G12" s="2" t="s">
        <v>696</v>
      </c>
      <c r="H12" s="10" t="s">
        <v>656</v>
      </c>
      <c r="I12" s="2">
        <v>150</v>
      </c>
      <c r="J12" s="2">
        <v>65</v>
      </c>
      <c r="K12" s="2">
        <v>16.05</v>
      </c>
      <c r="L12" t="s">
        <v>38</v>
      </c>
      <c r="M12" s="2" t="s">
        <v>1119</v>
      </c>
      <c r="N12" s="2" t="s">
        <v>436</v>
      </c>
      <c r="O12" s="2" t="s">
        <v>694</v>
      </c>
      <c r="P12" s="2" t="s">
        <v>1119</v>
      </c>
      <c r="Q12" s="2" t="s">
        <v>443</v>
      </c>
      <c r="R12" s="2" t="str">
        <f t="shared" si="0"/>
        <v>CW_2_Section_5</v>
      </c>
      <c r="S12" s="2" t="str">
        <f t="shared" si="1"/>
        <v>CW_2_EFF</v>
      </c>
      <c r="T12" s="11" t="s">
        <v>691</v>
      </c>
      <c r="U12" s="1">
        <v>45518</v>
      </c>
      <c r="V12" s="2" t="s">
        <v>692</v>
      </c>
      <c r="W12" s="2" t="s">
        <v>1119</v>
      </c>
      <c r="X12" s="2" t="s">
        <v>690</v>
      </c>
      <c r="Y12" s="2" t="str">
        <f t="shared" si="2"/>
        <v>T0_EFF</v>
      </c>
      <c r="Z12" t="s">
        <v>39</v>
      </c>
      <c r="AA12">
        <v>13</v>
      </c>
      <c r="AB12">
        <v>13</v>
      </c>
      <c r="AC12">
        <v>680</v>
      </c>
      <c r="AD12" s="32">
        <f t="shared" si="3"/>
        <v>0.26117014466777622</v>
      </c>
      <c r="AE12">
        <v>63</v>
      </c>
      <c r="AF12" s="32">
        <f>($AE12/92140)*36</f>
        <v>2.4614716735402647E-2</v>
      </c>
      <c r="AG12">
        <v>370</v>
      </c>
      <c r="AH12" s="32">
        <f t="shared" si="4"/>
        <v>0.14636903079966093</v>
      </c>
      <c r="AI12">
        <v>150</v>
      </c>
      <c r="AJ12" s="32">
        <f t="shared" si="5"/>
        <v>5.9338796270132804E-2</v>
      </c>
      <c r="AK12">
        <v>200</v>
      </c>
      <c r="AL12" s="32">
        <f t="shared" si="6"/>
        <v>7.9118395026843744E-2</v>
      </c>
      <c r="AM12">
        <v>350</v>
      </c>
      <c r="AO12" s="49">
        <v>1463</v>
      </c>
      <c r="AP12" s="49">
        <f t="shared" si="7"/>
        <v>0.43215389220283984</v>
      </c>
      <c r="AQ12">
        <v>1400</v>
      </c>
      <c r="AR12" s="32">
        <f t="shared" si="8"/>
        <v>0.52430365920262156</v>
      </c>
      <c r="AS12" s="48">
        <v>510</v>
      </c>
      <c r="AT12" s="27">
        <f t="shared" si="9"/>
        <v>0.19099633299524069</v>
      </c>
      <c r="AU12" s="48">
        <v>4</v>
      </c>
      <c r="AV12" s="27">
        <f t="shared" si="10"/>
        <v>1.4718444050200407E-3</v>
      </c>
      <c r="AW12" s="48">
        <v>4</v>
      </c>
      <c r="AX12" s="27">
        <f t="shared" si="11"/>
        <v>1.5044419946825757E-3</v>
      </c>
      <c r="AY12" s="48">
        <v>1.6</v>
      </c>
      <c r="AZ12" s="27">
        <f t="shared" si="12"/>
        <v>5.9679942245217184E-4</v>
      </c>
      <c r="BA12" s="48">
        <v>0.13</v>
      </c>
      <c r="BB12" s="27">
        <f t="shared" si="13"/>
        <v>4.8140043763676151E-5</v>
      </c>
      <c r="BC12" s="48">
        <v>0.02</v>
      </c>
      <c r="BD12" s="27">
        <f t="shared" si="14"/>
        <v>7.4061605790270997E-6</v>
      </c>
      <c r="BE12" s="48">
        <v>0.04</v>
      </c>
      <c r="BF12" s="27">
        <f t="shared" si="15"/>
        <v>1.4635352286773795E-5</v>
      </c>
      <c r="BG12" s="48">
        <v>2E-3</v>
      </c>
      <c r="BH12" s="27">
        <f t="shared" si="16"/>
        <v>7.3176761433868969E-7</v>
      </c>
      <c r="BI12" s="52">
        <f t="shared" si="17"/>
        <v>519.79199999999992</v>
      </c>
      <c r="BJ12" s="52">
        <f t="shared" si="18"/>
        <v>9.7919999999999998</v>
      </c>
      <c r="BK12" s="27">
        <f t="shared" si="19"/>
        <v>0.19464033214163931</v>
      </c>
      <c r="BL12" s="27">
        <f t="shared" si="20"/>
        <v>3.6439991463986039E-3</v>
      </c>
      <c r="BM12">
        <v>2000</v>
      </c>
      <c r="BN12">
        <v>220</v>
      </c>
      <c r="BO12" t="s">
        <v>19</v>
      </c>
      <c r="BP12">
        <v>2200</v>
      </c>
      <c r="BQ12">
        <v>62</v>
      </c>
      <c r="BR12">
        <v>22</v>
      </c>
      <c r="BS12">
        <v>0.84</v>
      </c>
      <c r="BT12">
        <v>0.75</v>
      </c>
      <c r="BU12">
        <v>24</v>
      </c>
      <c r="BV12">
        <v>-146</v>
      </c>
      <c r="BW12">
        <v>6.88</v>
      </c>
      <c r="BX12">
        <v>704</v>
      </c>
      <c r="BY12">
        <v>0.3</v>
      </c>
      <c r="BZ12" t="s">
        <v>443</v>
      </c>
      <c r="CA12" s="32">
        <v>6.3</v>
      </c>
      <c r="CB12" s="32">
        <f t="shared" si="21"/>
        <v>0.11280214861235452</v>
      </c>
      <c r="CC12" s="32">
        <f t="shared" si="22"/>
        <v>0.11280214861235452</v>
      </c>
      <c r="CD12" s="32">
        <v>3.7</v>
      </c>
      <c r="CE12" s="32">
        <f t="shared" si="23"/>
        <v>6.7358456217003468E-2</v>
      </c>
      <c r="CF12" s="32">
        <f t="shared" si="24"/>
        <v>0.13471691243400694</v>
      </c>
      <c r="CG12" s="27">
        <v>37</v>
      </c>
      <c r="CH12" s="27">
        <f t="shared" si="25"/>
        <v>0.38517593170934833</v>
      </c>
      <c r="CI12" s="27">
        <f t="shared" si="26"/>
        <v>3.0814074536747866</v>
      </c>
      <c r="CJ12" s="58">
        <v>36</v>
      </c>
      <c r="CK12" s="58">
        <v>49.315068493150683</v>
      </c>
      <c r="CL12" s="58">
        <v>2.9981261711430354</v>
      </c>
      <c r="CM12" s="58">
        <v>2.9981261711430354</v>
      </c>
      <c r="CN12" s="28">
        <v>8</v>
      </c>
      <c r="CO12" s="28">
        <v>17.777777777777779</v>
      </c>
      <c r="CP12" s="28">
        <v>0.66625026025400791</v>
      </c>
      <c r="CQ12" s="28">
        <v>0.66625026025400791</v>
      </c>
      <c r="CR12" s="32">
        <f t="shared" si="27"/>
        <v>20.926920674578387</v>
      </c>
      <c r="CS12" s="32">
        <v>20.926920674578387</v>
      </c>
      <c r="CT12" s="32">
        <f t="shared" si="28"/>
        <v>27.226920674578388</v>
      </c>
      <c r="CU12" s="32">
        <f t="shared" si="29"/>
        <v>0.4875008178080284</v>
      </c>
      <c r="CV12" s="32">
        <f t="shared" si="30"/>
        <v>0.4875008178080284</v>
      </c>
      <c r="CW12" s="60">
        <f t="shared" si="31"/>
        <v>4.650426816572975</v>
      </c>
      <c r="CX12" s="60">
        <v>4.650426816572975</v>
      </c>
      <c r="CY12" s="60">
        <f t="shared" si="32"/>
        <v>10.950426816572975</v>
      </c>
      <c r="CZ12" s="60">
        <f t="shared" si="33"/>
        <v>0.19606851954472648</v>
      </c>
      <c r="DA12" s="60">
        <f t="shared" si="34"/>
        <v>0.19606851954472648</v>
      </c>
      <c r="DB12" s="32">
        <f t="shared" si="35"/>
        <v>3.0814074536747866</v>
      </c>
      <c r="DC12">
        <f t="shared" si="36"/>
        <v>3.6203439013850707</v>
      </c>
      <c r="DD12">
        <f t="shared" si="37"/>
        <v>3.7211081627484884E-2</v>
      </c>
      <c r="DE12">
        <f t="shared" si="38"/>
        <v>0.13465594183511692</v>
      </c>
      <c r="DF12">
        <f t="shared" si="39"/>
        <v>0.82813297653739815</v>
      </c>
      <c r="DG12">
        <f t="shared" si="40"/>
        <v>0.99703569223274136</v>
      </c>
      <c r="DH12">
        <f t="shared" si="41"/>
        <v>0.13511744211716697</v>
      </c>
      <c r="DI12">
        <f t="shared" si="42"/>
        <v>0.1966514549801669</v>
      </c>
      <c r="DJ12">
        <f t="shared" si="43"/>
        <v>0.66823110290266607</v>
      </c>
      <c r="DK12" s="64">
        <f t="shared" si="44"/>
        <v>-2.6638863499796095</v>
      </c>
      <c r="DL12" s="64">
        <f t="shared" si="45"/>
        <v>-4.0578140827279952E-2</v>
      </c>
      <c r="DM12" s="64">
        <f t="shared" si="46"/>
        <v>-2.6602423508332107</v>
      </c>
      <c r="DN12" s="64">
        <f t="shared" si="47"/>
        <v>-3.6934141680881383E-2</v>
      </c>
      <c r="DO12" t="str">
        <f t="shared" si="48"/>
        <v>Sufficient Capacity</v>
      </c>
      <c r="DP12" t="str">
        <f t="shared" si="49"/>
        <v>Sufficient Capacity</v>
      </c>
    </row>
    <row r="13" spans="1:120" ht="15.75" x14ac:dyDescent="0.25">
      <c r="A13" s="2" t="s">
        <v>66</v>
      </c>
      <c r="B13" s="2" t="s">
        <v>66</v>
      </c>
      <c r="C13" s="2" t="s">
        <v>699</v>
      </c>
      <c r="D13" s="2" t="s">
        <v>455</v>
      </c>
      <c r="E13" s="2" t="s">
        <v>455</v>
      </c>
      <c r="F13" s="2">
        <v>12</v>
      </c>
      <c r="G13" s="2" t="s">
        <v>698</v>
      </c>
      <c r="H13" s="10" t="s">
        <v>656</v>
      </c>
      <c r="I13" s="2">
        <v>150</v>
      </c>
      <c r="J13" s="2">
        <v>65</v>
      </c>
      <c r="K13" s="2">
        <v>4.2</v>
      </c>
      <c r="L13" t="s">
        <v>48</v>
      </c>
      <c r="M13" s="2" t="s">
        <v>1119</v>
      </c>
      <c r="N13" s="2" t="s">
        <v>437</v>
      </c>
      <c r="O13" s="2" t="s">
        <v>694</v>
      </c>
      <c r="P13" s="2" t="s">
        <v>1119</v>
      </c>
      <c r="Q13" s="2" t="s">
        <v>443</v>
      </c>
      <c r="R13" s="2" t="str">
        <f t="shared" si="0"/>
        <v>CW_3_Section_5</v>
      </c>
      <c r="S13" s="2" t="str">
        <f t="shared" si="1"/>
        <v>CW_3_EFF</v>
      </c>
      <c r="T13" s="11" t="s">
        <v>691</v>
      </c>
      <c r="U13" s="1">
        <v>45518</v>
      </c>
      <c r="V13" s="2" t="s">
        <v>692</v>
      </c>
      <c r="W13" s="2" t="s">
        <v>1119</v>
      </c>
      <c r="X13" s="2" t="s">
        <v>690</v>
      </c>
      <c r="Y13" s="2" t="str">
        <f t="shared" si="2"/>
        <v>T0_EFF</v>
      </c>
      <c r="Z13" t="s">
        <v>49</v>
      </c>
      <c r="AA13">
        <v>24</v>
      </c>
      <c r="AB13">
        <v>26</v>
      </c>
      <c r="AC13">
        <v>510</v>
      </c>
      <c r="AD13" s="32">
        <f t="shared" si="3"/>
        <v>0.19587760850083216</v>
      </c>
      <c r="AE13">
        <v>13</v>
      </c>
      <c r="AF13" s="32">
        <f>($AE13/92140)*36</f>
        <v>5.0792272628608645E-3</v>
      </c>
      <c r="AG13">
        <v>260</v>
      </c>
      <c r="AH13" s="32">
        <f t="shared" si="4"/>
        <v>0.10285391353489687</v>
      </c>
      <c r="AI13">
        <v>90</v>
      </c>
      <c r="AJ13" s="32">
        <f t="shared" si="5"/>
        <v>3.560327776207968E-2</v>
      </c>
      <c r="AK13">
        <v>76</v>
      </c>
      <c r="AL13" s="32">
        <f t="shared" si="6"/>
        <v>3.0064990110200623E-2</v>
      </c>
      <c r="AM13">
        <v>166</v>
      </c>
      <c r="AO13" s="49">
        <v>949</v>
      </c>
      <c r="AP13" s="49">
        <f t="shared" si="7"/>
        <v>0.30381074929858987</v>
      </c>
      <c r="AQ13">
        <v>1100</v>
      </c>
      <c r="AR13" s="32">
        <f t="shared" si="8"/>
        <v>0.41195287508777401</v>
      </c>
      <c r="AS13" s="48">
        <v>360</v>
      </c>
      <c r="AT13" s="27">
        <f t="shared" si="9"/>
        <v>0.13482094093781696</v>
      </c>
      <c r="AU13" s="48">
        <v>2</v>
      </c>
      <c r="AV13" s="27">
        <f t="shared" si="10"/>
        <v>7.3592220251002033E-4</v>
      </c>
      <c r="AW13" s="48">
        <v>2</v>
      </c>
      <c r="AX13" s="27">
        <f t="shared" si="11"/>
        <v>7.5222099734128785E-4</v>
      </c>
      <c r="AY13" s="48">
        <v>2.5</v>
      </c>
      <c r="AZ13" s="27">
        <f t="shared" si="12"/>
        <v>9.3249909758151843E-4</v>
      </c>
      <c r="BA13" s="48">
        <v>0.37</v>
      </c>
      <c r="BB13" s="27">
        <f t="shared" si="13"/>
        <v>1.3701397071200135E-4</v>
      </c>
      <c r="BC13" s="48">
        <v>0.03</v>
      </c>
      <c r="BD13" s="27">
        <f t="shared" si="14"/>
        <v>1.110924086854065E-5</v>
      </c>
      <c r="BE13" s="48">
        <v>0.02</v>
      </c>
      <c r="BF13" s="27">
        <f t="shared" si="15"/>
        <v>7.3176761433868973E-6</v>
      </c>
      <c r="BG13" s="48">
        <v>2E-3</v>
      </c>
      <c r="BH13" s="27">
        <f t="shared" si="16"/>
        <v>7.3176761433868969E-7</v>
      </c>
      <c r="BI13" s="52">
        <f t="shared" si="17"/>
        <v>366.92199999999997</v>
      </c>
      <c r="BJ13" s="52">
        <f t="shared" si="18"/>
        <v>6.9219999999999997</v>
      </c>
      <c r="BK13" s="27">
        <f t="shared" si="19"/>
        <v>0.13739775589058806</v>
      </c>
      <c r="BL13" s="27">
        <f t="shared" si="20"/>
        <v>2.5768149527710944E-3</v>
      </c>
      <c r="BM13">
        <v>1600</v>
      </c>
      <c r="BN13">
        <v>240</v>
      </c>
      <c r="BO13" t="s">
        <v>19</v>
      </c>
      <c r="BP13">
        <v>1800</v>
      </c>
      <c r="BQ13">
        <v>61</v>
      </c>
      <c r="BR13">
        <v>23</v>
      </c>
      <c r="BS13">
        <v>0.98</v>
      </c>
      <c r="BT13">
        <v>0.48</v>
      </c>
      <c r="BU13">
        <v>23.8</v>
      </c>
      <c r="BV13">
        <v>-141</v>
      </c>
      <c r="BW13">
        <v>7.01</v>
      </c>
      <c r="BX13">
        <v>919</v>
      </c>
      <c r="BY13">
        <v>0.3</v>
      </c>
      <c r="BZ13" t="s">
        <v>443</v>
      </c>
      <c r="CA13" s="32">
        <v>7.6</v>
      </c>
      <c r="CB13" s="32">
        <f t="shared" si="21"/>
        <v>0.13607878245299909</v>
      </c>
      <c r="CC13" s="32">
        <f t="shared" si="22"/>
        <v>0.13607878245299909</v>
      </c>
      <c r="CD13" s="32">
        <v>4.2</v>
      </c>
      <c r="CE13" s="32">
        <f t="shared" si="23"/>
        <v>7.6460950300382302E-2</v>
      </c>
      <c r="CF13" s="32">
        <f t="shared" si="24"/>
        <v>0.1529219006007646</v>
      </c>
      <c r="CG13" s="27">
        <v>42</v>
      </c>
      <c r="CH13" s="27">
        <f t="shared" si="25"/>
        <v>0.4372267332916927</v>
      </c>
      <c r="CI13" s="27">
        <f t="shared" si="26"/>
        <v>3.4978138663335416</v>
      </c>
      <c r="CJ13" s="58">
        <v>31</v>
      </c>
      <c r="CK13" s="58">
        <v>42.465753424657535</v>
      </c>
      <c r="CL13" s="58">
        <v>2.5817197584842808</v>
      </c>
      <c r="CM13" s="58">
        <v>2.5817197584842808</v>
      </c>
      <c r="CN13" s="28">
        <v>5</v>
      </c>
      <c r="CO13" s="28">
        <v>10.638297872340425</v>
      </c>
      <c r="CP13" s="28">
        <v>0.41640641265875494</v>
      </c>
      <c r="CQ13" s="28">
        <v>0.41640641265875494</v>
      </c>
      <c r="CR13" s="32">
        <f t="shared" si="27"/>
        <v>18.020403914220278</v>
      </c>
      <c r="CS13" s="32">
        <v>18.020403914220278</v>
      </c>
      <c r="CT13" s="32">
        <f t="shared" si="28"/>
        <v>25.620403914220276</v>
      </c>
      <c r="CU13" s="32">
        <f t="shared" si="29"/>
        <v>0.45873596981594045</v>
      </c>
      <c r="CV13" s="32">
        <f t="shared" si="30"/>
        <v>0.45873596981594045</v>
      </c>
      <c r="CW13" s="60">
        <f t="shared" si="31"/>
        <v>2.9065167603581092</v>
      </c>
      <c r="CX13" s="60">
        <v>2.9065167603581092</v>
      </c>
      <c r="CY13" s="60">
        <f t="shared" si="32"/>
        <v>10.506516760358108</v>
      </c>
      <c r="CZ13" s="60">
        <f t="shared" si="33"/>
        <v>0.18812026428573156</v>
      </c>
      <c r="DA13" s="60">
        <f t="shared" si="34"/>
        <v>0.18812026428573156</v>
      </c>
      <c r="DB13" s="32">
        <f t="shared" si="35"/>
        <v>3.4978138663335416</v>
      </c>
      <c r="DC13">
        <f t="shared" si="36"/>
        <v>3.1933776289009859</v>
      </c>
      <c r="DD13">
        <f t="shared" si="37"/>
        <v>4.7887196057483906E-2</v>
      </c>
      <c r="DE13">
        <f t="shared" si="38"/>
        <v>0.14365227765869215</v>
      </c>
      <c r="DF13">
        <f t="shared" si="39"/>
        <v>0.80846052628382392</v>
      </c>
      <c r="DG13">
        <f t="shared" si="40"/>
        <v>0.75744857754525108</v>
      </c>
      <c r="DH13">
        <f t="shared" si="41"/>
        <v>0.20189080174439805</v>
      </c>
      <c r="DI13">
        <f t="shared" si="42"/>
        <v>0.24836044302227631</v>
      </c>
      <c r="DJ13">
        <f t="shared" si="43"/>
        <v>0.54974875523332567</v>
      </c>
      <c r="DK13" s="64">
        <f t="shared" si="44"/>
        <v>-2.477614004514622</v>
      </c>
      <c r="DL13" s="64">
        <f t="shared" si="45"/>
        <v>-4.1684953158887206E-2</v>
      </c>
      <c r="DM13" s="64">
        <f t="shared" si="46"/>
        <v>-2.475037189561851</v>
      </c>
      <c r="DN13" s="64">
        <f t="shared" si="47"/>
        <v>-3.9108138206116139E-2</v>
      </c>
      <c r="DO13" t="str">
        <f t="shared" si="48"/>
        <v>Sufficient Capacity</v>
      </c>
      <c r="DP13" t="str">
        <f t="shared" si="49"/>
        <v>Sufficient Capacity</v>
      </c>
    </row>
    <row r="14" spans="1:120" ht="15.75" x14ac:dyDescent="0.25">
      <c r="A14" s="2" t="s">
        <v>67</v>
      </c>
      <c r="B14" s="2" t="s">
        <v>67</v>
      </c>
      <c r="C14" s="2" t="s">
        <v>701</v>
      </c>
      <c r="D14" s="2" t="s">
        <v>456</v>
      </c>
      <c r="E14" s="2" t="s">
        <v>456</v>
      </c>
      <c r="F14" s="2">
        <v>13</v>
      </c>
      <c r="G14" s="2" t="s">
        <v>700</v>
      </c>
      <c r="H14" s="10" t="s">
        <v>656</v>
      </c>
      <c r="I14" s="2">
        <v>150</v>
      </c>
      <c r="J14" s="2">
        <v>65</v>
      </c>
      <c r="K14" s="2">
        <v>24</v>
      </c>
      <c r="L14" t="s">
        <v>28</v>
      </c>
      <c r="M14" s="2" t="s">
        <v>1120</v>
      </c>
      <c r="N14" s="2" t="s">
        <v>435</v>
      </c>
      <c r="O14" s="2" t="s">
        <v>653</v>
      </c>
      <c r="P14" s="2" t="s">
        <v>1123</v>
      </c>
      <c r="Q14" s="9" t="s">
        <v>654</v>
      </c>
      <c r="R14" s="2" t="str">
        <f t="shared" si="0"/>
        <v>CW_1_Section_1</v>
      </c>
      <c r="S14" s="2" t="str">
        <f t="shared" si="1"/>
        <v>CW_1_MF01</v>
      </c>
      <c r="T14" s="11" t="s">
        <v>691</v>
      </c>
      <c r="U14" s="1">
        <v>45518</v>
      </c>
      <c r="V14" s="2" t="s">
        <v>692</v>
      </c>
      <c r="W14" s="2" t="s">
        <v>655</v>
      </c>
      <c r="X14" s="2" t="s">
        <v>690</v>
      </c>
      <c r="Y14" s="2" t="str">
        <f t="shared" si="2"/>
        <v>T0_0.15-0.30</v>
      </c>
      <c r="Z14" t="s">
        <v>29</v>
      </c>
      <c r="AA14">
        <v>17</v>
      </c>
      <c r="AB14">
        <v>18</v>
      </c>
      <c r="AC14">
        <v>320</v>
      </c>
      <c r="AD14" s="32">
        <f t="shared" si="3"/>
        <v>0.12290359749071822</v>
      </c>
      <c r="AE14">
        <v>19</v>
      </c>
      <c r="AF14" s="32">
        <f>($AE14/92140)*36</f>
        <v>7.4234859995658785E-3</v>
      </c>
      <c r="AG14">
        <v>18</v>
      </c>
      <c r="AH14" s="32">
        <f t="shared" si="4"/>
        <v>7.1206555524159368E-3</v>
      </c>
      <c r="AI14">
        <v>11</v>
      </c>
      <c r="AJ14" s="32">
        <f t="shared" si="5"/>
        <v>4.3515117264764057E-3</v>
      </c>
      <c r="AK14">
        <v>4.3</v>
      </c>
      <c r="AL14" s="32">
        <f t="shared" si="6"/>
        <v>1.7010454930771405E-3</v>
      </c>
      <c r="AM14">
        <v>15.3</v>
      </c>
      <c r="AO14" s="49">
        <v>372.3</v>
      </c>
      <c r="AP14" s="49">
        <f t="shared" si="7"/>
        <v>0.13744773904270005</v>
      </c>
      <c r="AQ14">
        <v>4</v>
      </c>
      <c r="AR14" s="32">
        <f t="shared" si="8"/>
        <v>1.4980104548646326E-3</v>
      </c>
      <c r="AS14" s="48">
        <v>3</v>
      </c>
      <c r="AT14" s="27">
        <f t="shared" si="9"/>
        <v>1.1235078411484746E-3</v>
      </c>
      <c r="AU14" s="48">
        <v>0.01</v>
      </c>
      <c r="AV14" s="27">
        <f t="shared" si="10"/>
        <v>3.6796110125501018E-6</v>
      </c>
      <c r="AW14" s="48">
        <v>0.1</v>
      </c>
      <c r="AX14" s="27">
        <f t="shared" si="11"/>
        <v>3.7611049867064392E-5</v>
      </c>
      <c r="AY14" s="48">
        <v>5.0000000000000001E-3</v>
      </c>
      <c r="AZ14" s="27">
        <f t="shared" si="12"/>
        <v>1.8649981951630372E-6</v>
      </c>
      <c r="BA14" s="48">
        <v>0.04</v>
      </c>
      <c r="BB14" s="27">
        <f t="shared" si="13"/>
        <v>1.4812321158054199E-5</v>
      </c>
      <c r="BC14" s="48">
        <v>1E-3</v>
      </c>
      <c r="BD14" s="27">
        <f t="shared" si="14"/>
        <v>3.7030802895135499E-7</v>
      </c>
      <c r="BE14" s="48">
        <v>0.01</v>
      </c>
      <c r="BF14" s="27">
        <f t="shared" si="15"/>
        <v>3.6588380716934487E-6</v>
      </c>
      <c r="BG14" s="48">
        <v>2E-3</v>
      </c>
      <c r="BH14" s="27">
        <f t="shared" si="16"/>
        <v>7.3176761433868969E-7</v>
      </c>
      <c r="BI14" s="52">
        <f t="shared" si="17"/>
        <v>3.1679999999999993</v>
      </c>
      <c r="BJ14" s="52">
        <f t="shared" si="18"/>
        <v>0.16800000000000001</v>
      </c>
      <c r="BK14" s="27">
        <f t="shared" si="19"/>
        <v>1.1862367350962901E-3</v>
      </c>
      <c r="BL14" s="27">
        <f t="shared" si="20"/>
        <v>6.2728893947815227E-5</v>
      </c>
      <c r="BM14">
        <v>2.5</v>
      </c>
      <c r="BN14">
        <v>2.5</v>
      </c>
      <c r="BO14" t="s">
        <v>19</v>
      </c>
      <c r="BP14">
        <v>5</v>
      </c>
      <c r="BQ14">
        <v>61</v>
      </c>
      <c r="BR14">
        <v>18</v>
      </c>
      <c r="BS14">
        <v>2.7</v>
      </c>
      <c r="BT14">
        <v>0.46</v>
      </c>
      <c r="BU14">
        <v>24.5</v>
      </c>
      <c r="BV14">
        <v>-166</v>
      </c>
      <c r="BW14">
        <v>6.8</v>
      </c>
      <c r="BX14">
        <v>1060</v>
      </c>
      <c r="BY14">
        <v>0.1</v>
      </c>
      <c r="BZ14" t="s">
        <v>443</v>
      </c>
      <c r="CA14" s="32">
        <v>18</v>
      </c>
      <c r="CB14" s="32">
        <f t="shared" si="21"/>
        <v>0.32229185317815578</v>
      </c>
      <c r="CC14" s="32">
        <f t="shared" si="22"/>
        <v>0.32229185317815578</v>
      </c>
      <c r="CD14" s="32">
        <v>4.3</v>
      </c>
      <c r="CE14" s="32">
        <f t="shared" si="23"/>
        <v>7.8281449117058075E-2</v>
      </c>
      <c r="CF14" s="32">
        <f t="shared" si="24"/>
        <v>0.15656289823411615</v>
      </c>
      <c r="CG14" s="27">
        <v>0.5</v>
      </c>
      <c r="CH14" s="27">
        <f t="shared" si="25"/>
        <v>5.2050801582344368E-3</v>
      </c>
      <c r="CI14" s="27">
        <f t="shared" si="26"/>
        <v>4.1640641265875494E-2</v>
      </c>
      <c r="CJ14" s="58">
        <v>72.5</v>
      </c>
      <c r="CK14" s="58">
        <v>99.315068493150676</v>
      </c>
      <c r="CL14" s="58">
        <v>6.0378929835519468</v>
      </c>
      <c r="CM14" s="58">
        <v>6.0378929835519468</v>
      </c>
      <c r="CN14" s="28">
        <v>72.5</v>
      </c>
      <c r="CO14" s="28">
        <v>99.315068493150676</v>
      </c>
      <c r="CP14" s="28">
        <v>6.0378929835519468</v>
      </c>
      <c r="CQ14" s="28">
        <v>6.0378929835519468</v>
      </c>
      <c r="CR14" s="32">
        <f t="shared" si="27"/>
        <v>42.144493025192588</v>
      </c>
      <c r="CS14" s="32">
        <v>42.144493025192588</v>
      </c>
      <c r="CT14" s="32">
        <f t="shared" si="28"/>
        <v>60.144493025192588</v>
      </c>
      <c r="CU14" s="32">
        <f t="shared" si="29"/>
        <v>1.0768933397527769</v>
      </c>
      <c r="CV14" s="32">
        <f t="shared" si="30"/>
        <v>1.0768933397527769</v>
      </c>
      <c r="CW14" s="60">
        <f t="shared" si="31"/>
        <v>42.144493025192588</v>
      </c>
      <c r="CX14" s="60">
        <v>42.144493025192588</v>
      </c>
      <c r="CY14" s="60">
        <f t="shared" si="32"/>
        <v>60.144493025192588</v>
      </c>
      <c r="CZ14" s="60">
        <f t="shared" si="33"/>
        <v>1.0768933397527769</v>
      </c>
      <c r="DA14" s="60">
        <f t="shared" si="34"/>
        <v>1.0768933397527769</v>
      </c>
      <c r="DB14" s="32">
        <f t="shared" si="35"/>
        <v>4.1640641265875494E-2</v>
      </c>
      <c r="DC14">
        <f t="shared" si="36"/>
        <v>7.2713492215388396</v>
      </c>
      <c r="DD14">
        <f t="shared" si="37"/>
        <v>2.1531478335595971E-2</v>
      </c>
      <c r="DE14">
        <f t="shared" si="38"/>
        <v>0.14810089667579923</v>
      </c>
      <c r="DF14">
        <f t="shared" si="39"/>
        <v>0.83036762498860484</v>
      </c>
      <c r="DG14">
        <f t="shared" si="40"/>
        <v>7.2713492215388396</v>
      </c>
      <c r="DH14">
        <f t="shared" si="41"/>
        <v>2.1531478335595971E-2</v>
      </c>
      <c r="DI14">
        <f t="shared" si="42"/>
        <v>0.14810089667579923</v>
      </c>
      <c r="DJ14">
        <f t="shared" si="43"/>
        <v>0.83036762498860484</v>
      </c>
      <c r="DK14" s="64">
        <f t="shared" si="44"/>
        <v>-7.1324034720412746</v>
      </c>
      <c r="DL14" s="64">
        <f t="shared" si="45"/>
        <v>-7.1324034720412746</v>
      </c>
      <c r="DM14" s="64">
        <f t="shared" si="46"/>
        <v>-7.1323407431473269</v>
      </c>
      <c r="DN14" s="64">
        <f t="shared" si="47"/>
        <v>-7.1323407431473269</v>
      </c>
      <c r="DO14" t="str">
        <f t="shared" si="48"/>
        <v>Sufficient Capacity</v>
      </c>
      <c r="DP14" t="str">
        <f t="shared" si="49"/>
        <v>Sufficient Capacity</v>
      </c>
    </row>
    <row r="15" spans="1:120" ht="15.75" x14ac:dyDescent="0.25">
      <c r="A15" s="2" t="s">
        <v>68</v>
      </c>
      <c r="B15" s="2" t="s">
        <v>68</v>
      </c>
      <c r="C15" s="2" t="s">
        <v>703</v>
      </c>
      <c r="D15" s="2" t="s">
        <v>457</v>
      </c>
      <c r="E15" s="2" t="s">
        <v>457</v>
      </c>
      <c r="F15" s="2">
        <v>14</v>
      </c>
      <c r="G15" s="2" t="s">
        <v>702</v>
      </c>
      <c r="H15" s="10" t="s">
        <v>656</v>
      </c>
      <c r="I15" s="2">
        <v>150</v>
      </c>
      <c r="J15" s="2">
        <v>65</v>
      </c>
      <c r="K15" s="2">
        <v>4.0999999999999996</v>
      </c>
      <c r="L15" t="s">
        <v>30</v>
      </c>
      <c r="M15" s="2" t="s">
        <v>1120</v>
      </c>
      <c r="N15" s="2" t="s">
        <v>435</v>
      </c>
      <c r="O15" s="2" t="s">
        <v>653</v>
      </c>
      <c r="P15" s="2" t="s">
        <v>1124</v>
      </c>
      <c r="Q15" s="9" t="s">
        <v>662</v>
      </c>
      <c r="R15" s="2" t="str">
        <f t="shared" si="0"/>
        <v>CW_1_Section_1</v>
      </c>
      <c r="S15" s="2" t="str">
        <f t="shared" si="1"/>
        <v>CW_1_MF02</v>
      </c>
      <c r="T15" s="11" t="s">
        <v>691</v>
      </c>
      <c r="U15" s="1">
        <v>45518</v>
      </c>
      <c r="V15" s="2" t="s">
        <v>692</v>
      </c>
      <c r="W15" s="2" t="s">
        <v>663</v>
      </c>
      <c r="X15" s="2" t="s">
        <v>690</v>
      </c>
      <c r="Y15" s="2" t="str">
        <f t="shared" si="2"/>
        <v>T0_0.60-0.80</v>
      </c>
      <c r="Z15" t="s">
        <v>31</v>
      </c>
      <c r="AA15">
        <v>12</v>
      </c>
      <c r="AB15">
        <v>12</v>
      </c>
      <c r="AC15">
        <v>510</v>
      </c>
      <c r="AD15" s="32">
        <f t="shared" si="3"/>
        <v>0.19587760850083216</v>
      </c>
      <c r="AE15">
        <v>120</v>
      </c>
      <c r="AF15" s="32">
        <f>($AE15/92140)*36</f>
        <v>4.6885174734100282E-2</v>
      </c>
      <c r="AG15">
        <v>600</v>
      </c>
      <c r="AH15" s="32">
        <f t="shared" si="4"/>
        <v>0.23735518508053122</v>
      </c>
      <c r="AI15">
        <v>230</v>
      </c>
      <c r="AJ15" s="32">
        <f t="shared" si="5"/>
        <v>9.0986154280870299E-2</v>
      </c>
      <c r="AK15">
        <v>310</v>
      </c>
      <c r="AL15" s="32">
        <f t="shared" si="6"/>
        <v>0.12263351229160781</v>
      </c>
      <c r="AM15">
        <v>540</v>
      </c>
      <c r="AO15" s="49">
        <v>1770</v>
      </c>
      <c r="AP15" s="49">
        <f t="shared" si="7"/>
        <v>0.48011796831546366</v>
      </c>
      <c r="AQ15">
        <v>3600</v>
      </c>
      <c r="AR15" s="32">
        <f t="shared" si="8"/>
        <v>1.3482094093781698</v>
      </c>
      <c r="AS15" s="48">
        <v>1700</v>
      </c>
      <c r="AT15" s="27">
        <f t="shared" si="9"/>
        <v>0.63665444331746901</v>
      </c>
      <c r="AU15" s="48">
        <v>83</v>
      </c>
      <c r="AV15" s="27">
        <f t="shared" si="10"/>
        <v>3.0540771404165848E-2</v>
      </c>
      <c r="AW15" s="48">
        <v>75</v>
      </c>
      <c r="AX15" s="27">
        <f t="shared" si="11"/>
        <v>2.8208287400298297E-2</v>
      </c>
      <c r="AY15" s="48">
        <v>32</v>
      </c>
      <c r="AZ15" s="27">
        <f t="shared" si="12"/>
        <v>1.1935988449043436E-2</v>
      </c>
      <c r="BA15" s="48">
        <v>21</v>
      </c>
      <c r="BB15" s="27">
        <f t="shared" si="13"/>
        <v>7.7764686079784548E-3</v>
      </c>
      <c r="BC15" s="48">
        <v>4.3</v>
      </c>
      <c r="BD15" s="27">
        <f t="shared" si="14"/>
        <v>1.5923245244908264E-3</v>
      </c>
      <c r="BE15" s="48">
        <v>0.7</v>
      </c>
      <c r="BF15" s="27">
        <f t="shared" si="15"/>
        <v>2.5611866501854138E-4</v>
      </c>
      <c r="BG15" s="48">
        <v>0.55000000000000004</v>
      </c>
      <c r="BH15" s="27">
        <f t="shared" si="16"/>
        <v>2.0123609394313968E-4</v>
      </c>
      <c r="BI15" s="52">
        <f t="shared" si="17"/>
        <v>1916.55</v>
      </c>
      <c r="BJ15" s="52">
        <f t="shared" si="18"/>
        <v>216.55</v>
      </c>
      <c r="BK15" s="27">
        <f t="shared" si="19"/>
        <v>0.71716563846240766</v>
      </c>
      <c r="BL15" s="27">
        <f t="shared" si="20"/>
        <v>8.0511195144938541E-2</v>
      </c>
      <c r="BM15">
        <v>5900</v>
      </c>
      <c r="BN15">
        <v>1900</v>
      </c>
      <c r="BO15" t="s">
        <v>19</v>
      </c>
      <c r="BP15">
        <v>7800</v>
      </c>
      <c r="BQ15">
        <v>65</v>
      </c>
      <c r="BR15">
        <v>23</v>
      </c>
      <c r="BS15">
        <v>0.83</v>
      </c>
      <c r="BT15">
        <v>0.26</v>
      </c>
      <c r="BU15">
        <v>23.1</v>
      </c>
      <c r="BV15">
        <v>-192</v>
      </c>
      <c r="BW15">
        <v>7.1</v>
      </c>
      <c r="BX15">
        <v>1118</v>
      </c>
      <c r="BY15">
        <v>0.2</v>
      </c>
      <c r="BZ15" t="s">
        <v>443</v>
      </c>
      <c r="CA15" s="32">
        <v>1.5</v>
      </c>
      <c r="CB15" s="32">
        <f t="shared" si="21"/>
        <v>2.685765443151298E-2</v>
      </c>
      <c r="CC15" s="32">
        <f t="shared" si="22"/>
        <v>2.685765443151298E-2</v>
      </c>
      <c r="CD15" s="32">
        <v>1.4</v>
      </c>
      <c r="CE15" s="32">
        <f t="shared" si="23"/>
        <v>2.5486983433460765E-2</v>
      </c>
      <c r="CF15" s="32">
        <f t="shared" si="24"/>
        <v>5.097396686692153E-2</v>
      </c>
      <c r="CG15" s="27">
        <v>59</v>
      </c>
      <c r="CH15" s="27">
        <f t="shared" si="25"/>
        <v>0.61419945867166348</v>
      </c>
      <c r="CI15" s="27">
        <f t="shared" si="26"/>
        <v>4.9135956693733078</v>
      </c>
      <c r="CJ15" s="58">
        <v>14</v>
      </c>
      <c r="CK15" s="58">
        <v>19.17808219178082</v>
      </c>
      <c r="CL15" s="58">
        <v>1.1659379554445137</v>
      </c>
      <c r="CM15" s="58">
        <v>1.1659379554445137</v>
      </c>
      <c r="CN15" s="28">
        <v>14</v>
      </c>
      <c r="CO15" s="28">
        <v>19.17808219178082</v>
      </c>
      <c r="CP15" s="28">
        <v>1.1659379554445137</v>
      </c>
      <c r="CQ15" s="28">
        <v>1.1659379554445137</v>
      </c>
      <c r="CR15" s="32">
        <f t="shared" si="27"/>
        <v>8.1382469290027064</v>
      </c>
      <c r="CS15" s="32">
        <v>8.1382469290027064</v>
      </c>
      <c r="CT15" s="32">
        <f t="shared" si="28"/>
        <v>9.6382469290027064</v>
      </c>
      <c r="CU15" s="32">
        <f t="shared" si="29"/>
        <v>0.17257380356316393</v>
      </c>
      <c r="CV15" s="32">
        <f t="shared" si="30"/>
        <v>0.17257380356316393</v>
      </c>
      <c r="CW15" s="60">
        <f t="shared" si="31"/>
        <v>8.1382469290027064</v>
      </c>
      <c r="CX15" s="60">
        <v>8.1382469290027064</v>
      </c>
      <c r="CY15" s="60">
        <f t="shared" si="32"/>
        <v>9.6382469290027064</v>
      </c>
      <c r="CZ15" s="60">
        <f t="shared" si="33"/>
        <v>0.17257380356316393</v>
      </c>
      <c r="DA15" s="60">
        <f t="shared" si="34"/>
        <v>0.17257380356316393</v>
      </c>
      <c r="DB15" s="32">
        <f t="shared" si="35"/>
        <v>4.9135956693733078</v>
      </c>
      <c r="DC15">
        <f t="shared" si="36"/>
        <v>1.3894857258745992</v>
      </c>
      <c r="DD15">
        <f t="shared" si="37"/>
        <v>3.668549155827882E-2</v>
      </c>
      <c r="DE15">
        <f t="shared" si="38"/>
        <v>0.12419976711494385</v>
      </c>
      <c r="DF15">
        <f t="shared" si="39"/>
        <v>0.83911474132677732</v>
      </c>
      <c r="DG15">
        <f t="shared" si="40"/>
        <v>1.3894857258745992</v>
      </c>
      <c r="DH15">
        <f t="shared" si="41"/>
        <v>3.668549155827882E-2</v>
      </c>
      <c r="DI15">
        <f t="shared" si="42"/>
        <v>0.12419976711494385</v>
      </c>
      <c r="DJ15">
        <f t="shared" si="43"/>
        <v>0.83911474132677732</v>
      </c>
      <c r="DK15" s="64">
        <f t="shared" si="44"/>
        <v>0.43884165181903434</v>
      </c>
      <c r="DL15" s="64">
        <f t="shared" si="45"/>
        <v>0.43884165181903434</v>
      </c>
      <c r="DM15" s="64">
        <f t="shared" si="46"/>
        <v>0.51935284696397277</v>
      </c>
      <c r="DN15" s="64">
        <f t="shared" si="47"/>
        <v>0.51935284696397277</v>
      </c>
      <c r="DO15" t="str">
        <f t="shared" si="48"/>
        <v>Insufficient Capacity</v>
      </c>
      <c r="DP15" t="str">
        <f t="shared" si="49"/>
        <v>Insufficient Capacity</v>
      </c>
    </row>
    <row r="16" spans="1:120" ht="15.75" x14ac:dyDescent="0.25">
      <c r="A16" s="2" t="s">
        <v>69</v>
      </c>
      <c r="B16" s="2" t="s">
        <v>69</v>
      </c>
      <c r="C16" s="2" t="s">
        <v>705</v>
      </c>
      <c r="D16" s="2" t="s">
        <v>458</v>
      </c>
      <c r="E16" s="2" t="s">
        <v>458</v>
      </c>
      <c r="F16" s="2">
        <v>15</v>
      </c>
      <c r="G16" s="2" t="s">
        <v>704</v>
      </c>
      <c r="H16" s="10" t="s">
        <v>656</v>
      </c>
      <c r="I16" s="2">
        <v>150</v>
      </c>
      <c r="J16" s="2">
        <v>65</v>
      </c>
      <c r="K16" s="2">
        <v>8.35</v>
      </c>
      <c r="L16" t="s">
        <v>32</v>
      </c>
      <c r="M16" s="2" t="s">
        <v>1120</v>
      </c>
      <c r="N16" s="2" t="s">
        <v>435</v>
      </c>
      <c r="O16" s="2" t="s">
        <v>666</v>
      </c>
      <c r="P16" s="2" t="s">
        <v>1131</v>
      </c>
      <c r="Q16" s="9" t="s">
        <v>667</v>
      </c>
      <c r="R16" s="2" t="str">
        <f t="shared" si="0"/>
        <v>CW_1_Section_2</v>
      </c>
      <c r="S16" s="2" t="str">
        <f t="shared" si="1"/>
        <v>CW_1_MF05</v>
      </c>
      <c r="T16" s="11" t="s">
        <v>691</v>
      </c>
      <c r="U16" s="1">
        <v>45518</v>
      </c>
      <c r="V16" s="2" t="s">
        <v>692</v>
      </c>
      <c r="W16" s="2" t="s">
        <v>655</v>
      </c>
      <c r="X16" s="2" t="s">
        <v>690</v>
      </c>
      <c r="Y16" s="2" t="str">
        <f t="shared" si="2"/>
        <v>T0_0.15-0.30</v>
      </c>
      <c r="Z16" t="s">
        <v>33</v>
      </c>
      <c r="AA16">
        <v>32</v>
      </c>
      <c r="AB16">
        <v>32</v>
      </c>
      <c r="AC16">
        <v>2.6</v>
      </c>
      <c r="AD16" s="32">
        <f t="shared" si="3"/>
        <v>9.9859172961208544E-4</v>
      </c>
      <c r="AE16">
        <v>0.6</v>
      </c>
      <c r="AF16" s="32">
        <f>($AE16/92140)*36</f>
        <v>2.3442587367050142E-4</v>
      </c>
      <c r="AG16">
        <v>1.6</v>
      </c>
      <c r="AH16" s="32">
        <f t="shared" si="4"/>
        <v>6.3294716021474991E-4</v>
      </c>
      <c r="AI16">
        <v>0.75</v>
      </c>
      <c r="AJ16" s="32">
        <f t="shared" si="5"/>
        <v>2.9669398135066403E-4</v>
      </c>
      <c r="AK16">
        <v>0.73</v>
      </c>
      <c r="AL16" s="32">
        <f t="shared" si="6"/>
        <v>2.8878214184797967E-4</v>
      </c>
      <c r="AM16">
        <v>1.48</v>
      </c>
      <c r="AO16" s="49">
        <v>6.28</v>
      </c>
      <c r="AP16" s="49">
        <f t="shared" si="7"/>
        <v>1.8659647634973369E-3</v>
      </c>
      <c r="AQ16">
        <v>18</v>
      </c>
      <c r="AR16" s="32">
        <f t="shared" si="8"/>
        <v>6.7410470468908471E-3</v>
      </c>
      <c r="AS16" s="48">
        <v>9.1</v>
      </c>
      <c r="AT16" s="27">
        <f t="shared" si="9"/>
        <v>3.4079737848170394E-3</v>
      </c>
      <c r="AU16" s="48">
        <v>0.31</v>
      </c>
      <c r="AV16" s="27">
        <f t="shared" si="10"/>
        <v>1.1406794138905315E-4</v>
      </c>
      <c r="AW16" s="48">
        <v>0.17</v>
      </c>
      <c r="AX16" s="27">
        <f t="shared" si="11"/>
        <v>6.3938784774009473E-5</v>
      </c>
      <c r="AY16" s="48">
        <v>5.0000000000000001E-3</v>
      </c>
      <c r="AZ16" s="27">
        <f t="shared" si="12"/>
        <v>1.8649981951630372E-6</v>
      </c>
      <c r="BA16" s="48">
        <v>0.04</v>
      </c>
      <c r="BB16" s="27">
        <f t="shared" si="13"/>
        <v>1.4812321158054199E-5</v>
      </c>
      <c r="BC16" s="48">
        <v>1E-3</v>
      </c>
      <c r="BD16" s="27">
        <f t="shared" si="14"/>
        <v>3.7030802895135499E-7</v>
      </c>
      <c r="BE16" s="48">
        <v>1E-3</v>
      </c>
      <c r="BF16" s="27">
        <f t="shared" si="15"/>
        <v>3.6588380716934485E-7</v>
      </c>
      <c r="BG16" s="48">
        <v>2E-3</v>
      </c>
      <c r="BH16" s="27">
        <f t="shared" si="16"/>
        <v>7.3176761433868969E-7</v>
      </c>
      <c r="BI16" s="52">
        <f t="shared" si="17"/>
        <v>9.6289999999999996</v>
      </c>
      <c r="BJ16" s="52">
        <f t="shared" si="18"/>
        <v>0.52900000000000003</v>
      </c>
      <c r="BK16" s="27">
        <f t="shared" si="19"/>
        <v>3.6041257897837789E-3</v>
      </c>
      <c r="BL16" s="27">
        <f t="shared" si="20"/>
        <v>1.9615200496673929E-4</v>
      </c>
      <c r="BM16">
        <v>30</v>
      </c>
      <c r="BN16">
        <v>2.5</v>
      </c>
      <c r="BO16" t="s">
        <v>19</v>
      </c>
      <c r="BP16">
        <v>5</v>
      </c>
      <c r="BQ16">
        <v>13</v>
      </c>
      <c r="BR16">
        <v>3.7</v>
      </c>
      <c r="BS16">
        <v>2</v>
      </c>
      <c r="BT16">
        <v>0.36</v>
      </c>
      <c r="BU16">
        <v>24.8</v>
      </c>
      <c r="BV16">
        <v>-133</v>
      </c>
      <c r="BW16">
        <v>7.02</v>
      </c>
      <c r="BX16">
        <v>755</v>
      </c>
      <c r="BY16">
        <v>0.1</v>
      </c>
      <c r="BZ16" t="s">
        <v>443</v>
      </c>
      <c r="CA16" s="32">
        <v>4.5999999999999996</v>
      </c>
      <c r="CB16" s="32">
        <f t="shared" si="21"/>
        <v>8.2363473589973132E-2</v>
      </c>
      <c r="CC16" s="32">
        <f t="shared" si="22"/>
        <v>8.2363473589973132E-2</v>
      </c>
      <c r="CD16" s="32">
        <v>5.0999999999999996</v>
      </c>
      <c r="CE16" s="32">
        <f t="shared" si="23"/>
        <v>9.2845439650464226E-2</v>
      </c>
      <c r="CF16" s="32">
        <f t="shared" si="24"/>
        <v>0.18569087930092845</v>
      </c>
      <c r="CG16" s="27">
        <v>0.5</v>
      </c>
      <c r="CH16" s="27">
        <f t="shared" si="25"/>
        <v>5.2050801582344368E-3</v>
      </c>
      <c r="CI16" s="27">
        <f t="shared" si="26"/>
        <v>4.1640641265875494E-2</v>
      </c>
      <c r="CJ16" s="58">
        <v>72.5</v>
      </c>
      <c r="CK16" s="58">
        <v>99.315068493150676</v>
      </c>
      <c r="CL16" s="58">
        <v>6.0378929835519468</v>
      </c>
      <c r="CM16" s="58">
        <v>6.0378929835519468</v>
      </c>
      <c r="CN16" s="28">
        <v>0</v>
      </c>
      <c r="CO16" s="28">
        <v>0</v>
      </c>
      <c r="CP16" s="28">
        <v>0</v>
      </c>
      <c r="CQ16" s="28">
        <v>0</v>
      </c>
      <c r="CR16" s="32">
        <f t="shared" si="27"/>
        <v>42.144493025192588</v>
      </c>
      <c r="CS16" s="32">
        <v>42.144493025192588</v>
      </c>
      <c r="CT16" s="32">
        <f t="shared" si="28"/>
        <v>46.74449302519259</v>
      </c>
      <c r="CU16" s="32">
        <f t="shared" si="29"/>
        <v>0.83696496016459421</v>
      </c>
      <c r="CV16" s="32">
        <f t="shared" si="30"/>
        <v>0.83696496016459421</v>
      </c>
      <c r="CW16" s="60">
        <f t="shared" si="31"/>
        <v>0</v>
      </c>
      <c r="CX16" s="60">
        <v>0</v>
      </c>
      <c r="CY16" s="60">
        <f t="shared" si="32"/>
        <v>4.5999999999999996</v>
      </c>
      <c r="CZ16" s="60">
        <f t="shared" si="33"/>
        <v>8.2363473589973132E-2</v>
      </c>
      <c r="DA16" s="60">
        <f t="shared" si="34"/>
        <v>8.2363473589973132E-2</v>
      </c>
      <c r="DB16" s="32">
        <f t="shared" si="35"/>
        <v>4.1640641265875494E-2</v>
      </c>
      <c r="DC16">
        <f t="shared" si="36"/>
        <v>7.06054882301747</v>
      </c>
      <c r="DD16">
        <f t="shared" si="37"/>
        <v>2.6299779798359874E-2</v>
      </c>
      <c r="DE16">
        <f t="shared" si="38"/>
        <v>0.11854106262052588</v>
      </c>
      <c r="DF16">
        <f t="shared" si="39"/>
        <v>0.85515915758111416</v>
      </c>
      <c r="DG16">
        <f t="shared" si="40"/>
        <v>0.26805435289090157</v>
      </c>
      <c r="DH16">
        <f t="shared" si="41"/>
        <v>0.69273592201841561</v>
      </c>
      <c r="DI16">
        <f t="shared" si="42"/>
        <v>0.30726407798158445</v>
      </c>
      <c r="DJ16">
        <f t="shared" si="43"/>
        <v>0</v>
      </c>
      <c r="DK16" s="64">
        <f t="shared" si="44"/>
        <v>-7.0519418112070822</v>
      </c>
      <c r="DL16" s="64">
        <f t="shared" si="45"/>
        <v>-0.25944734108051337</v>
      </c>
      <c r="DM16" s="64">
        <f t="shared" si="46"/>
        <v>-7.0517456592021155</v>
      </c>
      <c r="DN16" s="64">
        <f t="shared" si="47"/>
        <v>-0.25925118907554667</v>
      </c>
      <c r="DO16" t="str">
        <f t="shared" si="48"/>
        <v>Sufficient Capacity</v>
      </c>
      <c r="DP16" t="str">
        <f t="shared" si="49"/>
        <v>Sufficient Capacity</v>
      </c>
    </row>
    <row r="17" spans="1:120" ht="15.75" x14ac:dyDescent="0.25">
      <c r="A17" s="2" t="s">
        <v>70</v>
      </c>
      <c r="B17" s="2" t="s">
        <v>70</v>
      </c>
      <c r="C17" s="2" t="s">
        <v>707</v>
      </c>
      <c r="D17" s="2" t="s">
        <v>459</v>
      </c>
      <c r="E17" s="2" t="s">
        <v>459</v>
      </c>
      <c r="F17" s="2">
        <v>16</v>
      </c>
      <c r="G17" s="2" t="s">
        <v>706</v>
      </c>
      <c r="H17" s="10" t="s">
        <v>656</v>
      </c>
      <c r="I17" s="2">
        <v>150</v>
      </c>
      <c r="J17" s="2">
        <v>65</v>
      </c>
      <c r="K17" s="2">
        <v>20.350000000000001</v>
      </c>
      <c r="L17" t="s">
        <v>24</v>
      </c>
      <c r="M17" s="2" t="s">
        <v>1120</v>
      </c>
      <c r="N17" s="2" t="s">
        <v>435</v>
      </c>
      <c r="O17" s="2" t="s">
        <v>666</v>
      </c>
      <c r="P17" s="2" t="s">
        <v>1132</v>
      </c>
      <c r="Q17" s="9" t="s">
        <v>670</v>
      </c>
      <c r="R17" s="2" t="str">
        <f t="shared" si="0"/>
        <v>CW_1_Section_2</v>
      </c>
      <c r="S17" s="2" t="str">
        <f t="shared" si="1"/>
        <v>CW_1_MF06</v>
      </c>
      <c r="T17" s="11" t="s">
        <v>691</v>
      </c>
      <c r="U17" s="1">
        <v>45518</v>
      </c>
      <c r="V17" s="2" t="s">
        <v>692</v>
      </c>
      <c r="W17" s="2" t="s">
        <v>663</v>
      </c>
      <c r="X17" s="2" t="s">
        <v>690</v>
      </c>
      <c r="Y17" s="2" t="str">
        <f t="shared" si="2"/>
        <v>T0_0.60-0.80</v>
      </c>
      <c r="Z17" t="s">
        <v>25</v>
      </c>
      <c r="AA17">
        <v>23</v>
      </c>
      <c r="AB17">
        <v>18</v>
      </c>
      <c r="AC17">
        <v>310</v>
      </c>
      <c r="AD17" s="32">
        <f t="shared" si="3"/>
        <v>0.11906286006913326</v>
      </c>
      <c r="AE17">
        <v>18</v>
      </c>
      <c r="AF17" s="32">
        <f>($AE17/92140)*36</f>
        <v>7.0327762101150427E-3</v>
      </c>
      <c r="AG17">
        <v>28</v>
      </c>
      <c r="AH17" s="32">
        <f t="shared" si="4"/>
        <v>1.1076575303758125E-2</v>
      </c>
      <c r="AI17">
        <v>14</v>
      </c>
      <c r="AJ17" s="32">
        <f t="shared" si="5"/>
        <v>5.5382876518790623E-3</v>
      </c>
      <c r="AK17">
        <v>6.3</v>
      </c>
      <c r="AL17" s="32">
        <f t="shared" si="6"/>
        <v>2.4922294433455776E-3</v>
      </c>
      <c r="AM17">
        <v>20.3</v>
      </c>
      <c r="AO17" s="49">
        <v>376.3</v>
      </c>
      <c r="AP17" s="49">
        <f t="shared" si="7"/>
        <v>0.13717221158300644</v>
      </c>
      <c r="AQ17">
        <v>5.6</v>
      </c>
      <c r="AR17" s="32">
        <f t="shared" si="8"/>
        <v>2.0972146368104859E-3</v>
      </c>
      <c r="AS17" s="48">
        <v>2.2000000000000002</v>
      </c>
      <c r="AT17" s="27">
        <f t="shared" si="9"/>
        <v>8.2390575017554819E-4</v>
      </c>
      <c r="AU17" s="48">
        <v>0.01</v>
      </c>
      <c r="AV17" s="27">
        <f t="shared" si="10"/>
        <v>3.6796110125501018E-6</v>
      </c>
      <c r="AW17" s="48">
        <v>0.01</v>
      </c>
      <c r="AX17" s="27">
        <f t="shared" si="11"/>
        <v>3.7611049867064394E-6</v>
      </c>
      <c r="AY17" s="48">
        <v>5.0000000000000001E-3</v>
      </c>
      <c r="AZ17" s="27">
        <f t="shared" si="12"/>
        <v>1.8649981951630372E-6</v>
      </c>
      <c r="BA17" s="48">
        <v>1E-3</v>
      </c>
      <c r="BB17" s="27">
        <f t="shared" si="13"/>
        <v>3.7030802895135499E-7</v>
      </c>
      <c r="BC17" s="48">
        <v>1E-3</v>
      </c>
      <c r="BD17" s="27">
        <f t="shared" si="14"/>
        <v>3.7030802895135499E-7</v>
      </c>
      <c r="BE17" s="48">
        <v>1E-3</v>
      </c>
      <c r="BF17" s="27">
        <f t="shared" si="15"/>
        <v>3.6588380716934485E-7</v>
      </c>
      <c r="BG17" s="48">
        <v>2E-3</v>
      </c>
      <c r="BH17" s="27">
        <f t="shared" si="16"/>
        <v>7.3176761433868969E-7</v>
      </c>
      <c r="BI17" s="52">
        <f t="shared" si="17"/>
        <v>2.2299999999999991</v>
      </c>
      <c r="BJ17" s="52">
        <f t="shared" si="18"/>
        <v>3.0000000000000006E-2</v>
      </c>
      <c r="BK17" s="27">
        <f t="shared" si="19"/>
        <v>8.3504973184937844E-4</v>
      </c>
      <c r="BL17" s="27">
        <f t="shared" si="20"/>
        <v>1.1143981673830322E-5</v>
      </c>
      <c r="BM17">
        <v>2.5</v>
      </c>
      <c r="BN17">
        <v>2.5</v>
      </c>
      <c r="BO17" t="s">
        <v>19</v>
      </c>
      <c r="BP17">
        <v>5</v>
      </c>
      <c r="BQ17">
        <v>63</v>
      </c>
      <c r="BR17">
        <v>20</v>
      </c>
      <c r="BS17">
        <v>1.7</v>
      </c>
      <c r="BT17">
        <v>0.37</v>
      </c>
      <c r="BU17">
        <v>23.8</v>
      </c>
      <c r="BV17">
        <v>-134</v>
      </c>
      <c r="BW17">
        <v>7.05</v>
      </c>
      <c r="BX17">
        <v>799</v>
      </c>
      <c r="BY17">
        <v>0.3</v>
      </c>
      <c r="BZ17" t="s">
        <v>443</v>
      </c>
      <c r="CA17" s="32">
        <v>17</v>
      </c>
      <c r="CB17" s="32">
        <f t="shared" si="21"/>
        <v>0.30438675022381378</v>
      </c>
      <c r="CC17" s="32">
        <f t="shared" si="22"/>
        <v>0.30438675022381378</v>
      </c>
      <c r="CD17" s="32">
        <v>3.9</v>
      </c>
      <c r="CE17" s="32">
        <f t="shared" si="23"/>
        <v>7.0999453850354999E-2</v>
      </c>
      <c r="CF17" s="32">
        <f t="shared" si="24"/>
        <v>0.14199890770071</v>
      </c>
      <c r="CG17" s="27">
        <v>0.5</v>
      </c>
      <c r="CH17" s="27">
        <f t="shared" si="25"/>
        <v>5.2050801582344368E-3</v>
      </c>
      <c r="CI17" s="27">
        <f t="shared" si="26"/>
        <v>4.1640641265875494E-2</v>
      </c>
      <c r="CJ17" s="58">
        <v>72.5</v>
      </c>
      <c r="CK17" s="58">
        <v>99.315068493150676</v>
      </c>
      <c r="CL17" s="58">
        <v>6.0378929835519468</v>
      </c>
      <c r="CM17" s="58">
        <v>6.0378929835519468</v>
      </c>
      <c r="CN17" s="28">
        <v>58.5</v>
      </c>
      <c r="CO17" s="28">
        <v>99.152542372881356</v>
      </c>
      <c r="CP17" s="28">
        <v>4.8719550281074326</v>
      </c>
      <c r="CQ17" s="28">
        <v>4.8719550281074326</v>
      </c>
      <c r="CR17" s="32">
        <f t="shared" si="27"/>
        <v>42.144493025192588</v>
      </c>
      <c r="CS17" s="32">
        <v>42.144493025192588</v>
      </c>
      <c r="CT17" s="32">
        <f t="shared" si="28"/>
        <v>59.144493025192588</v>
      </c>
      <c r="CU17" s="32">
        <f t="shared" si="29"/>
        <v>1.0589882367984349</v>
      </c>
      <c r="CV17" s="32">
        <f t="shared" si="30"/>
        <v>1.0589882367984349</v>
      </c>
      <c r="CW17" s="60">
        <f t="shared" si="31"/>
        <v>34.006246096189876</v>
      </c>
      <c r="CX17" s="60">
        <v>34.006246096189876</v>
      </c>
      <c r="CY17" s="60">
        <f t="shared" si="32"/>
        <v>51.006246096189876</v>
      </c>
      <c r="CZ17" s="60">
        <f t="shared" si="33"/>
        <v>0.91327208766678381</v>
      </c>
      <c r="DA17" s="60">
        <f t="shared" si="34"/>
        <v>0.91327208766678381</v>
      </c>
      <c r="DB17" s="32">
        <f t="shared" si="35"/>
        <v>4.1640641265875494E-2</v>
      </c>
      <c r="DC17">
        <f t="shared" si="36"/>
        <v>7.2388801280510915</v>
      </c>
      <c r="DD17">
        <f t="shared" si="37"/>
        <v>1.9616142992954916E-2</v>
      </c>
      <c r="DE17">
        <f t="shared" si="38"/>
        <v>0.14629172165661267</v>
      </c>
      <c r="DF17">
        <f t="shared" si="39"/>
        <v>0.83409213535043247</v>
      </c>
      <c r="DG17">
        <f t="shared" si="40"/>
        <v>5.9272260234749261</v>
      </c>
      <c r="DH17">
        <f t="shared" si="41"/>
        <v>2.3957059700156498E-2</v>
      </c>
      <c r="DI17">
        <f t="shared" si="42"/>
        <v>0.15408086076855293</v>
      </c>
      <c r="DJ17">
        <f t="shared" si="43"/>
        <v>0.82196207953129063</v>
      </c>
      <c r="DK17" s="64">
        <f t="shared" si="44"/>
        <v>-7.0996107018312742</v>
      </c>
      <c r="DL17" s="64">
        <f t="shared" si="45"/>
        <v>-5.7879565972551088</v>
      </c>
      <c r="DM17" s="64">
        <f t="shared" si="46"/>
        <v>-7.0995995578496007</v>
      </c>
      <c r="DN17" s="64">
        <f t="shared" si="47"/>
        <v>-5.7879454532734353</v>
      </c>
      <c r="DO17" t="str">
        <f t="shared" si="48"/>
        <v>Sufficient Capacity</v>
      </c>
      <c r="DP17" t="str">
        <f t="shared" si="49"/>
        <v>Sufficient Capacity</v>
      </c>
    </row>
    <row r="18" spans="1:120" ht="15.75" x14ac:dyDescent="0.25">
      <c r="A18" s="29" t="s">
        <v>71</v>
      </c>
      <c r="B18" s="29" t="s">
        <v>71</v>
      </c>
      <c r="C18" s="29" t="s">
        <v>709</v>
      </c>
      <c r="D18" s="29" t="s">
        <v>460</v>
      </c>
      <c r="E18" s="29" t="s">
        <v>460</v>
      </c>
      <c r="F18" s="29">
        <v>17</v>
      </c>
      <c r="G18" s="29" t="s">
        <v>708</v>
      </c>
      <c r="H18" s="30" t="s">
        <v>656</v>
      </c>
      <c r="I18" s="29">
        <v>150</v>
      </c>
      <c r="J18" s="29">
        <v>65</v>
      </c>
      <c r="K18" s="29">
        <v>17.649999999999999</v>
      </c>
      <c r="L18" s="32" t="s">
        <v>20</v>
      </c>
      <c r="M18" s="29" t="s">
        <v>1120</v>
      </c>
      <c r="N18" s="29" t="s">
        <v>435</v>
      </c>
      <c r="O18" s="29" t="s">
        <v>673</v>
      </c>
      <c r="P18" s="29" t="s">
        <v>1127</v>
      </c>
      <c r="Q18" s="40" t="s">
        <v>674</v>
      </c>
      <c r="R18" s="2" t="str">
        <f t="shared" si="0"/>
        <v>CW_1_Section_3</v>
      </c>
      <c r="S18" s="2" t="str">
        <f t="shared" si="1"/>
        <v>CW_1_MF09</v>
      </c>
      <c r="T18" s="31" t="s">
        <v>691</v>
      </c>
      <c r="U18" s="33">
        <v>45516</v>
      </c>
      <c r="V18" s="29" t="s">
        <v>692</v>
      </c>
      <c r="W18" s="29" t="s">
        <v>655</v>
      </c>
      <c r="X18" s="29" t="s">
        <v>690</v>
      </c>
      <c r="Y18" s="2" t="str">
        <f t="shared" si="2"/>
        <v>T0_0.15-0.30</v>
      </c>
      <c r="Z18" s="32" t="s">
        <v>21</v>
      </c>
      <c r="AA18" s="32">
        <v>28</v>
      </c>
      <c r="AB18" s="32">
        <v>20</v>
      </c>
      <c r="AC18" s="32">
        <v>110</v>
      </c>
      <c r="AD18" s="32">
        <f t="shared" si="3"/>
        <v>4.2248111637434388E-2</v>
      </c>
      <c r="AE18" s="32">
        <v>2.1</v>
      </c>
      <c r="AF18" s="32">
        <f>($AE18/92140)*36</f>
        <v>8.2049055784675501E-4</v>
      </c>
      <c r="AG18" s="32">
        <v>44</v>
      </c>
      <c r="AH18" s="32">
        <f t="shared" si="4"/>
        <v>1.7406046905905623E-2</v>
      </c>
      <c r="AI18" s="32">
        <v>31</v>
      </c>
      <c r="AJ18" s="32">
        <f t="shared" si="5"/>
        <v>1.2263351229160779E-2</v>
      </c>
      <c r="AK18" s="32">
        <v>14</v>
      </c>
      <c r="AL18" s="32">
        <f t="shared" si="6"/>
        <v>5.5382876518790623E-3</v>
      </c>
      <c r="AM18" s="32">
        <v>45</v>
      </c>
      <c r="AN18" s="32"/>
      <c r="AO18" s="49">
        <v>201.1</v>
      </c>
      <c r="AP18" s="49">
        <f t="shared" si="7"/>
        <v>6.0474649101186766E-2</v>
      </c>
      <c r="AQ18" s="32">
        <v>2.5</v>
      </c>
      <c r="AR18" s="32">
        <f t="shared" si="8"/>
        <v>9.3625653429039546E-4</v>
      </c>
      <c r="AS18" s="48">
        <v>2E-3</v>
      </c>
      <c r="AT18" s="27">
        <f t="shared" si="9"/>
        <v>7.4900522743231646E-7</v>
      </c>
      <c r="AU18" s="48">
        <v>0.01</v>
      </c>
      <c r="AV18" s="27">
        <f t="shared" si="10"/>
        <v>3.6796110125501018E-6</v>
      </c>
      <c r="AW18" s="48">
        <v>0.01</v>
      </c>
      <c r="AX18" s="27">
        <f t="shared" si="11"/>
        <v>3.7611049867064394E-6</v>
      </c>
      <c r="AY18" s="48">
        <v>5.0000000000000001E-3</v>
      </c>
      <c r="AZ18" s="27">
        <f t="shared" si="12"/>
        <v>1.8649981951630372E-6</v>
      </c>
      <c r="BA18" s="48">
        <v>0.02</v>
      </c>
      <c r="BB18" s="27">
        <f t="shared" si="13"/>
        <v>7.4061605790270997E-6</v>
      </c>
      <c r="BC18" s="48">
        <v>1E-3</v>
      </c>
      <c r="BD18" s="27">
        <f t="shared" si="14"/>
        <v>3.7030802895135499E-7</v>
      </c>
      <c r="BE18" s="48">
        <v>0.01</v>
      </c>
      <c r="BF18" s="27">
        <f t="shared" si="15"/>
        <v>3.6588380716934487E-6</v>
      </c>
      <c r="BG18" s="48">
        <v>2E-3</v>
      </c>
      <c r="BH18" s="27">
        <f t="shared" si="16"/>
        <v>7.3176761433868969E-7</v>
      </c>
      <c r="BI18" s="52">
        <f t="shared" si="17"/>
        <v>6.0000000000000005E-2</v>
      </c>
      <c r="BJ18" s="52">
        <f t="shared" si="18"/>
        <v>5.8000000000000003E-2</v>
      </c>
      <c r="BK18" s="27">
        <f t="shared" si="19"/>
        <v>2.2221793715862488E-5</v>
      </c>
      <c r="BL18" s="27">
        <f t="shared" si="20"/>
        <v>2.1472788488430171E-5</v>
      </c>
      <c r="BM18" s="32">
        <v>2.5</v>
      </c>
      <c r="BN18" s="32">
        <v>2.5</v>
      </c>
      <c r="BO18" s="32" t="s">
        <v>19</v>
      </c>
      <c r="BP18" s="32">
        <v>5</v>
      </c>
      <c r="BQ18" s="32">
        <v>47</v>
      </c>
      <c r="BR18" s="32">
        <v>17</v>
      </c>
      <c r="BS18" s="32">
        <v>2.4</v>
      </c>
      <c r="BT18" s="32">
        <v>1.08</v>
      </c>
      <c r="BU18" s="32">
        <v>22.9</v>
      </c>
      <c r="BV18" s="32">
        <v>-138</v>
      </c>
      <c r="BW18" s="32">
        <v>7.19</v>
      </c>
      <c r="BX18" s="32">
        <v>1210</v>
      </c>
      <c r="BY18" s="32">
        <v>0.1</v>
      </c>
      <c r="BZ18" s="32" t="s">
        <v>443</v>
      </c>
      <c r="CA18" s="32">
        <v>16</v>
      </c>
      <c r="CB18" s="32">
        <f t="shared" si="21"/>
        <v>0.28648164726947178</v>
      </c>
      <c r="CC18" s="32">
        <f t="shared" si="22"/>
        <v>0.28648164726947178</v>
      </c>
      <c r="CD18" s="32">
        <v>3.7</v>
      </c>
      <c r="CE18" s="32">
        <f t="shared" si="23"/>
        <v>6.7358456217003468E-2</v>
      </c>
      <c r="CF18" s="32">
        <f t="shared" si="24"/>
        <v>0.13471691243400694</v>
      </c>
      <c r="CG18" s="32">
        <v>0.5</v>
      </c>
      <c r="CH18" s="32">
        <f t="shared" si="25"/>
        <v>5.2050801582344368E-3</v>
      </c>
      <c r="CI18" s="32">
        <f t="shared" si="26"/>
        <v>4.1640641265875494E-2</v>
      </c>
      <c r="CJ18" s="58">
        <v>72.5</v>
      </c>
      <c r="CK18" s="58">
        <v>99.315068493150676</v>
      </c>
      <c r="CL18" s="58">
        <v>6.0378929835519468</v>
      </c>
      <c r="CM18" s="58">
        <v>6.0378929835519468</v>
      </c>
      <c r="CN18" s="28">
        <v>0</v>
      </c>
      <c r="CO18" s="28">
        <v>0</v>
      </c>
      <c r="CP18" s="28">
        <v>0</v>
      </c>
      <c r="CQ18" s="28">
        <v>0</v>
      </c>
      <c r="CR18" s="32">
        <f t="shared" si="27"/>
        <v>42.144493025192588</v>
      </c>
      <c r="CS18" s="32">
        <v>42.144493025192588</v>
      </c>
      <c r="CT18" s="32">
        <f t="shared" si="28"/>
        <v>58.144493025192588</v>
      </c>
      <c r="CU18" s="32">
        <f t="shared" si="29"/>
        <v>1.0410831338440929</v>
      </c>
      <c r="CV18" s="32">
        <f t="shared" si="30"/>
        <v>1.0410831338440929</v>
      </c>
      <c r="CW18" s="60">
        <f t="shared" si="31"/>
        <v>0</v>
      </c>
      <c r="CX18" s="60">
        <v>0</v>
      </c>
      <c r="CY18" s="60">
        <f t="shared" si="32"/>
        <v>16</v>
      </c>
      <c r="CZ18" s="60">
        <f t="shared" si="33"/>
        <v>0.28648164726947178</v>
      </c>
      <c r="DA18" s="60">
        <f t="shared" si="34"/>
        <v>0.28648164726947178</v>
      </c>
      <c r="DB18" s="32">
        <f t="shared" si="35"/>
        <v>4.1640641265875494E-2</v>
      </c>
      <c r="DC18">
        <f t="shared" si="36"/>
        <v>7.213693029830047</v>
      </c>
      <c r="DD18">
        <f t="shared" si="37"/>
        <v>1.8675165671303985E-2</v>
      </c>
      <c r="DE18">
        <f t="shared" si="38"/>
        <v>0.14432040974560578</v>
      </c>
      <c r="DF18">
        <f t="shared" si="39"/>
        <v>0.83700442458309021</v>
      </c>
      <c r="DG18">
        <f t="shared" si="40"/>
        <v>0.42119855970347875</v>
      </c>
      <c r="DH18">
        <f t="shared" si="41"/>
        <v>0.31984181647925586</v>
      </c>
      <c r="DI18">
        <f t="shared" si="42"/>
        <v>0.68015818352074409</v>
      </c>
      <c r="DJ18">
        <f t="shared" si="43"/>
        <v>0</v>
      </c>
      <c r="DK18" s="64">
        <f t="shared" si="44"/>
        <v>-7.1522821241945698</v>
      </c>
      <c r="DL18" s="64">
        <f t="shared" si="45"/>
        <v>-0.35978765406800162</v>
      </c>
      <c r="DM18" s="64">
        <f t="shared" si="46"/>
        <v>-7.1522606514060811</v>
      </c>
      <c r="DN18" s="64">
        <f t="shared" si="47"/>
        <v>-0.35976618127951315</v>
      </c>
      <c r="DO18" t="str">
        <f t="shared" si="48"/>
        <v>Sufficient Capacity</v>
      </c>
      <c r="DP18" t="str">
        <f t="shared" si="49"/>
        <v>Sufficient Capacity</v>
      </c>
    </row>
    <row r="19" spans="1:120" ht="15.75" x14ac:dyDescent="0.25">
      <c r="A19" s="41" t="s">
        <v>72</v>
      </c>
      <c r="B19" s="41" t="s">
        <v>72</v>
      </c>
      <c r="C19" s="41" t="s">
        <v>711</v>
      </c>
      <c r="D19" s="41" t="s">
        <v>461</v>
      </c>
      <c r="E19" s="41" t="s">
        <v>461</v>
      </c>
      <c r="F19" s="41">
        <v>18</v>
      </c>
      <c r="G19" s="41" t="s">
        <v>710</v>
      </c>
      <c r="H19" s="43" t="s">
        <v>656</v>
      </c>
      <c r="I19" s="41">
        <v>150</v>
      </c>
      <c r="J19" s="41">
        <v>65</v>
      </c>
      <c r="K19" s="41">
        <v>8</v>
      </c>
      <c r="L19" s="26" t="s">
        <v>22</v>
      </c>
      <c r="M19" s="41" t="s">
        <v>1120</v>
      </c>
      <c r="N19" s="41" t="s">
        <v>435</v>
      </c>
      <c r="O19" s="41" t="s">
        <v>673</v>
      </c>
      <c r="P19" s="41" t="s">
        <v>1128</v>
      </c>
      <c r="Q19" s="42" t="s">
        <v>677</v>
      </c>
      <c r="R19" s="2" t="str">
        <f t="shared" si="0"/>
        <v>CW_1_Section_3</v>
      </c>
      <c r="S19" s="2" t="str">
        <f t="shared" si="1"/>
        <v>CW_1_MF10</v>
      </c>
      <c r="T19" s="44" t="s">
        <v>691</v>
      </c>
      <c r="U19" s="45">
        <v>45516</v>
      </c>
      <c r="V19" s="41" t="s">
        <v>692</v>
      </c>
      <c r="W19" s="41" t="s">
        <v>663</v>
      </c>
      <c r="X19" s="41" t="s">
        <v>690</v>
      </c>
      <c r="Y19" s="2" t="str">
        <f t="shared" si="2"/>
        <v>T0_0.60-0.80</v>
      </c>
      <c r="Z19" s="26" t="s">
        <v>23</v>
      </c>
      <c r="AA19" s="26">
        <v>12</v>
      </c>
      <c r="AB19" s="26">
        <v>12</v>
      </c>
      <c r="AC19" s="26">
        <v>650</v>
      </c>
      <c r="AD19" s="32">
        <f t="shared" si="3"/>
        <v>0.24964793240302136</v>
      </c>
      <c r="AE19" s="26">
        <v>88</v>
      </c>
      <c r="AF19" s="32">
        <f>($AE19/92140)*36</f>
        <v>3.4382461471673537E-2</v>
      </c>
      <c r="AG19" s="26">
        <v>380</v>
      </c>
      <c r="AH19" s="32">
        <f t="shared" si="4"/>
        <v>0.15032495055100309</v>
      </c>
      <c r="AI19" s="26">
        <v>150</v>
      </c>
      <c r="AJ19" s="32">
        <f t="shared" si="5"/>
        <v>5.9338796270132804E-2</v>
      </c>
      <c r="AK19" s="26">
        <v>130</v>
      </c>
      <c r="AL19" s="32">
        <f t="shared" si="6"/>
        <v>5.1426956767448434E-2</v>
      </c>
      <c r="AM19" s="26">
        <v>280</v>
      </c>
      <c r="AN19" s="26"/>
      <c r="AO19" s="49">
        <v>1398</v>
      </c>
      <c r="AP19" s="49">
        <f t="shared" si="7"/>
        <v>0.43435534442569795</v>
      </c>
      <c r="AQ19" s="26">
        <v>2000</v>
      </c>
      <c r="AR19" s="32">
        <f t="shared" si="8"/>
        <v>0.74900522743231646</v>
      </c>
      <c r="AS19" s="48">
        <v>730</v>
      </c>
      <c r="AT19" s="27">
        <f t="shared" si="9"/>
        <v>0.27338690801279553</v>
      </c>
      <c r="AU19" s="48">
        <v>4</v>
      </c>
      <c r="AV19" s="27">
        <f t="shared" si="10"/>
        <v>1.4718444050200407E-3</v>
      </c>
      <c r="AW19" s="48">
        <v>4</v>
      </c>
      <c r="AX19" s="27">
        <f t="shared" si="11"/>
        <v>1.5044419946825757E-3</v>
      </c>
      <c r="AY19" s="48">
        <v>4.3</v>
      </c>
      <c r="AZ19" s="27">
        <f t="shared" si="12"/>
        <v>1.6038984478402116E-3</v>
      </c>
      <c r="BA19" s="48">
        <v>0.3</v>
      </c>
      <c r="BB19" s="27">
        <f t="shared" si="13"/>
        <v>1.1109240868540649E-4</v>
      </c>
      <c r="BC19" s="48">
        <v>0.03</v>
      </c>
      <c r="BD19" s="27">
        <f t="shared" si="14"/>
        <v>1.110924086854065E-5</v>
      </c>
      <c r="BE19" s="48">
        <v>0.04</v>
      </c>
      <c r="BF19" s="27">
        <f t="shared" si="15"/>
        <v>1.4635352286773795E-5</v>
      </c>
      <c r="BG19" s="48">
        <v>0.03</v>
      </c>
      <c r="BH19" s="27">
        <f t="shared" si="16"/>
        <v>1.0976514215080345E-5</v>
      </c>
      <c r="BI19" s="52">
        <f t="shared" si="17"/>
        <v>742.69999999999982</v>
      </c>
      <c r="BJ19" s="52">
        <f t="shared" si="18"/>
        <v>12.7</v>
      </c>
      <c r="BK19" s="27">
        <f t="shared" si="19"/>
        <v>0.27811490637639413</v>
      </c>
      <c r="BL19" s="27">
        <f t="shared" si="20"/>
        <v>4.7279983635986301E-3</v>
      </c>
      <c r="BM19" s="26">
        <v>3100</v>
      </c>
      <c r="BN19" s="26">
        <v>410</v>
      </c>
      <c r="BO19" s="26" t="s">
        <v>19</v>
      </c>
      <c r="BP19" s="26">
        <v>3500</v>
      </c>
      <c r="BQ19" s="26">
        <v>67</v>
      </c>
      <c r="BR19" s="26">
        <v>26</v>
      </c>
      <c r="BS19" s="26">
        <v>0.94</v>
      </c>
      <c r="BT19" s="26">
        <v>0.4</v>
      </c>
      <c r="BU19" s="26">
        <v>22.8</v>
      </c>
      <c r="BV19" s="26">
        <v>-132.5</v>
      </c>
      <c r="BW19" s="26">
        <v>7.01</v>
      </c>
      <c r="BX19" s="26">
        <v>985</v>
      </c>
      <c r="BY19" s="26">
        <v>0.2</v>
      </c>
      <c r="BZ19" s="26" t="s">
        <v>443</v>
      </c>
      <c r="CA19" s="26">
        <v>4.8</v>
      </c>
      <c r="CB19" s="32">
        <f t="shared" si="21"/>
        <v>8.5944494180841532E-2</v>
      </c>
      <c r="CC19" s="32">
        <f t="shared" si="22"/>
        <v>8.5944494180841532E-2</v>
      </c>
      <c r="CD19" s="26">
        <v>3.2</v>
      </c>
      <c r="CE19" s="32">
        <f t="shared" si="23"/>
        <v>5.825596213362462E-2</v>
      </c>
      <c r="CF19" s="32">
        <f t="shared" si="24"/>
        <v>0.11651192426724924</v>
      </c>
      <c r="CG19" s="26">
        <v>39</v>
      </c>
      <c r="CH19" s="26">
        <f t="shared" si="25"/>
        <v>0.40599625234228603</v>
      </c>
      <c r="CI19" s="26">
        <f t="shared" si="26"/>
        <v>3.2479700187382883</v>
      </c>
      <c r="CJ19" s="58">
        <v>34</v>
      </c>
      <c r="CK19" s="58">
        <v>46.575342465753423</v>
      </c>
      <c r="CL19" s="58">
        <v>2.8315636060795337</v>
      </c>
      <c r="CM19" s="58">
        <v>2.8315636060795337</v>
      </c>
      <c r="CN19" s="28">
        <v>-38.5</v>
      </c>
      <c r="CO19" s="28">
        <v>-7700</v>
      </c>
      <c r="CP19" s="28">
        <v>-3.2063293774724131</v>
      </c>
      <c r="CR19" s="32">
        <f t="shared" si="27"/>
        <v>19.764313970435143</v>
      </c>
      <c r="CS19" s="26">
        <v>19.764313970435143</v>
      </c>
      <c r="CT19" s="32">
        <f t="shared" si="28"/>
        <v>24.564313970435144</v>
      </c>
      <c r="CU19" s="32">
        <f t="shared" si="29"/>
        <v>0.43982657064342245</v>
      </c>
      <c r="CV19" s="32">
        <f t="shared" si="30"/>
        <v>0.43982657064342245</v>
      </c>
      <c r="CW19" s="60">
        <f t="shared" si="31"/>
        <v>-22.380179054757441</v>
      </c>
      <c r="CY19" s="60">
        <f t="shared" si="32"/>
        <v>4.8</v>
      </c>
      <c r="CZ19" s="60">
        <f t="shared" si="33"/>
        <v>8.5944494180841532E-2</v>
      </c>
      <c r="DA19" s="60">
        <f t="shared" si="34"/>
        <v>8.5944494180841532E-2</v>
      </c>
      <c r="DB19" s="32">
        <f t="shared" si="35"/>
        <v>3.2479700187382883</v>
      </c>
      <c r="DC19">
        <f t="shared" si="36"/>
        <v>3.3879021009902055</v>
      </c>
      <c r="DD19">
        <f t="shared" si="37"/>
        <v>3.4390581780151051E-2</v>
      </c>
      <c r="DE19">
        <f t="shared" si="38"/>
        <v>0.12982269189976633</v>
      </c>
      <c r="DF19">
        <f t="shared" si="39"/>
        <v>0.83578672632008255</v>
      </c>
      <c r="DG19">
        <f t="shared" si="40"/>
        <v>0.20245641844809076</v>
      </c>
      <c r="DH19">
        <f t="shared" si="41"/>
        <v>0.57549138308560255</v>
      </c>
      <c r="DI19">
        <f t="shared" si="42"/>
        <v>0.42450861691439756</v>
      </c>
      <c r="DJ19">
        <f t="shared" si="43"/>
        <v>0</v>
      </c>
      <c r="DK19" s="64">
        <f t="shared" si="44"/>
        <v>-2.2045415291321913</v>
      </c>
      <c r="DL19" s="64">
        <f t="shared" si="45"/>
        <v>0.98090415340992365</v>
      </c>
      <c r="DM19" s="64">
        <f t="shared" si="46"/>
        <v>-2.1998135307685924</v>
      </c>
      <c r="DN19" s="64">
        <f t="shared" si="47"/>
        <v>0.98563215177352226</v>
      </c>
      <c r="DO19" t="str">
        <f t="shared" si="48"/>
        <v>Sufficient Capacity</v>
      </c>
      <c r="DP19" t="str">
        <f t="shared" si="49"/>
        <v>Insufficient Capacity</v>
      </c>
    </row>
    <row r="20" spans="1:120" ht="15.75" x14ac:dyDescent="0.25">
      <c r="A20" s="2" t="s">
        <v>73</v>
      </c>
      <c r="B20" s="2" t="s">
        <v>73</v>
      </c>
      <c r="C20" s="2" t="s">
        <v>714</v>
      </c>
      <c r="D20" s="2" t="s">
        <v>462</v>
      </c>
      <c r="E20" s="2" t="s">
        <v>462</v>
      </c>
      <c r="F20" s="2">
        <v>19</v>
      </c>
      <c r="G20" s="2" t="s">
        <v>712</v>
      </c>
      <c r="H20" s="10" t="s">
        <v>656</v>
      </c>
      <c r="I20" s="2">
        <v>150</v>
      </c>
      <c r="J20" s="2">
        <v>65</v>
      </c>
      <c r="K20" s="2">
        <v>14.45</v>
      </c>
      <c r="L20" t="s">
        <v>40</v>
      </c>
      <c r="M20" s="2" t="s">
        <v>1120</v>
      </c>
      <c r="N20" s="2" t="s">
        <v>436</v>
      </c>
      <c r="O20" s="2" t="s">
        <v>653</v>
      </c>
      <c r="P20" s="2" t="s">
        <v>1123</v>
      </c>
      <c r="Q20" s="9" t="s">
        <v>713</v>
      </c>
      <c r="R20" s="2" t="str">
        <f t="shared" si="0"/>
        <v>CW_2_Section_1</v>
      </c>
      <c r="S20" s="2" t="str">
        <f t="shared" si="1"/>
        <v>CW_2_MF01</v>
      </c>
      <c r="T20" s="11" t="s">
        <v>691</v>
      </c>
      <c r="U20" s="1">
        <v>45518</v>
      </c>
      <c r="V20" s="2" t="s">
        <v>692</v>
      </c>
      <c r="W20" s="2" t="s">
        <v>655</v>
      </c>
      <c r="X20" s="2" t="s">
        <v>690</v>
      </c>
      <c r="Y20" s="2" t="str">
        <f t="shared" si="2"/>
        <v>T0_0.15-0.30</v>
      </c>
      <c r="Z20" t="s">
        <v>41</v>
      </c>
      <c r="AA20">
        <v>16</v>
      </c>
      <c r="AB20">
        <v>16</v>
      </c>
      <c r="AC20">
        <v>440</v>
      </c>
      <c r="AD20" s="32">
        <f t="shared" si="3"/>
        <v>0.16899244654973755</v>
      </c>
      <c r="AE20">
        <v>30</v>
      </c>
      <c r="AF20" s="32">
        <f>($AE20/92140)*36</f>
        <v>1.1721293683525071E-2</v>
      </c>
      <c r="AG20">
        <v>33</v>
      </c>
      <c r="AH20" s="32">
        <f t="shared" si="4"/>
        <v>1.3054535179429217E-2</v>
      </c>
      <c r="AI20">
        <v>20</v>
      </c>
      <c r="AJ20" s="32">
        <f t="shared" si="5"/>
        <v>7.9118395026843737E-3</v>
      </c>
      <c r="AK20">
        <v>14</v>
      </c>
      <c r="AL20" s="32">
        <f t="shared" si="6"/>
        <v>5.5382876518790623E-3</v>
      </c>
      <c r="AM20">
        <v>34</v>
      </c>
      <c r="AO20" s="49">
        <v>537</v>
      </c>
      <c r="AP20" s="49">
        <f t="shared" si="7"/>
        <v>0.19376827541269184</v>
      </c>
      <c r="AQ20">
        <v>2.1</v>
      </c>
      <c r="AR20" s="32">
        <f t="shared" si="8"/>
        <v>7.8645548880393237E-4</v>
      </c>
      <c r="AS20" s="48">
        <v>1.2</v>
      </c>
      <c r="AT20" s="27">
        <f t="shared" si="9"/>
        <v>4.4940313645938982E-4</v>
      </c>
      <c r="AU20" s="48">
        <v>0.01</v>
      </c>
      <c r="AV20" s="27">
        <f t="shared" si="10"/>
        <v>3.6796110125501018E-6</v>
      </c>
      <c r="AW20" s="48">
        <v>0.01</v>
      </c>
      <c r="AX20" s="27">
        <f t="shared" si="11"/>
        <v>3.7611049867064394E-6</v>
      </c>
      <c r="AY20" s="48">
        <v>5.0000000000000001E-3</v>
      </c>
      <c r="AZ20" s="27">
        <f t="shared" si="12"/>
        <v>1.8649981951630372E-6</v>
      </c>
      <c r="BA20" s="48">
        <v>0.02</v>
      </c>
      <c r="BB20" s="27">
        <f t="shared" si="13"/>
        <v>7.4061605790270997E-6</v>
      </c>
      <c r="BC20" s="48">
        <v>1E-3</v>
      </c>
      <c r="BD20" s="27">
        <f t="shared" si="14"/>
        <v>3.7030802895135499E-7</v>
      </c>
      <c r="BE20" s="48">
        <v>0.01</v>
      </c>
      <c r="BF20" s="27">
        <f t="shared" si="15"/>
        <v>3.6588380716934487E-6</v>
      </c>
      <c r="BG20" s="48">
        <v>2E-3</v>
      </c>
      <c r="BH20" s="27">
        <f t="shared" si="16"/>
        <v>7.3176761433868969E-7</v>
      </c>
      <c r="BI20" s="52">
        <f t="shared" si="17"/>
        <v>1.2579999999999998</v>
      </c>
      <c r="BJ20" s="52">
        <f t="shared" si="18"/>
        <v>5.8000000000000003E-2</v>
      </c>
      <c r="BK20" s="27">
        <f t="shared" si="19"/>
        <v>4.7087592494781994E-4</v>
      </c>
      <c r="BL20" s="27">
        <f t="shared" si="20"/>
        <v>2.1472788488430171E-5</v>
      </c>
      <c r="BM20">
        <v>2.5</v>
      </c>
      <c r="BN20">
        <v>2.5</v>
      </c>
      <c r="BO20" t="s">
        <v>19</v>
      </c>
      <c r="BP20">
        <v>5</v>
      </c>
      <c r="BQ20">
        <v>62</v>
      </c>
      <c r="BR20">
        <v>22</v>
      </c>
      <c r="BS20">
        <v>2.4</v>
      </c>
      <c r="BT20">
        <v>0.88</v>
      </c>
      <c r="BU20">
        <v>23.9</v>
      </c>
      <c r="BV20">
        <v>-118</v>
      </c>
      <c r="BW20">
        <v>6.9</v>
      </c>
      <c r="BX20">
        <v>880</v>
      </c>
      <c r="BY20">
        <v>0.2</v>
      </c>
      <c r="BZ20" t="s">
        <v>443</v>
      </c>
      <c r="CA20" s="32">
        <v>15</v>
      </c>
      <c r="CB20" s="32">
        <f t="shared" si="21"/>
        <v>0.26857654431512978</v>
      </c>
      <c r="CC20" s="32">
        <f t="shared" si="22"/>
        <v>0.26857654431512978</v>
      </c>
      <c r="CD20" s="32">
        <v>5.3</v>
      </c>
      <c r="CE20" s="32">
        <f t="shared" si="23"/>
        <v>9.6486437283815757E-2</v>
      </c>
      <c r="CF20" s="32">
        <f t="shared" si="24"/>
        <v>0.19297287456763151</v>
      </c>
      <c r="CG20" s="27">
        <v>6.4</v>
      </c>
      <c r="CH20" s="27">
        <f t="shared" si="25"/>
        <v>6.6625026025400796E-2</v>
      </c>
      <c r="CI20" s="27">
        <f t="shared" si="26"/>
        <v>0.53300020820320637</v>
      </c>
      <c r="CJ20" s="58">
        <v>66.599999999999994</v>
      </c>
      <c r="CK20" s="58">
        <v>91.232876712328761</v>
      </c>
      <c r="CL20" s="58">
        <v>5.546533416614615</v>
      </c>
      <c r="CM20" s="58">
        <v>5.546533416614615</v>
      </c>
      <c r="CN20" s="28">
        <v>66.599999999999994</v>
      </c>
      <c r="CO20" s="28">
        <v>91.232876712328761</v>
      </c>
      <c r="CP20" s="28">
        <v>5.546533416614615</v>
      </c>
      <c r="CQ20" s="28">
        <v>5.546533416614615</v>
      </c>
      <c r="CR20" s="32">
        <f t="shared" si="27"/>
        <v>38.714803247970011</v>
      </c>
      <c r="CS20" s="32">
        <v>38.714803247970011</v>
      </c>
      <c r="CT20" s="32">
        <f t="shared" si="28"/>
        <v>53.714803247970011</v>
      </c>
      <c r="CU20" s="32">
        <f t="shared" si="29"/>
        <v>0.96176908232712643</v>
      </c>
      <c r="CV20" s="32">
        <f t="shared" si="30"/>
        <v>0.96176908232712643</v>
      </c>
      <c r="CW20" s="60">
        <f t="shared" si="31"/>
        <v>38.714803247970011</v>
      </c>
      <c r="CX20" s="60">
        <v>38.714803247970011</v>
      </c>
      <c r="CY20" s="60">
        <f t="shared" si="32"/>
        <v>53.714803247970011</v>
      </c>
      <c r="CZ20" s="60">
        <f t="shared" si="33"/>
        <v>0.96176908232712643</v>
      </c>
      <c r="DA20" s="60">
        <f t="shared" si="34"/>
        <v>0.96176908232712643</v>
      </c>
      <c r="DB20" s="32">
        <f t="shared" si="35"/>
        <v>0.53300020820320637</v>
      </c>
      <c r="DC20">
        <f t="shared" si="36"/>
        <v>6.7012753735093726</v>
      </c>
      <c r="DD20">
        <f t="shared" si="37"/>
        <v>2.8796440052361864E-2</v>
      </c>
      <c r="DE20">
        <f t="shared" si="38"/>
        <v>0.14352030452726497</v>
      </c>
      <c r="DF20">
        <f t="shared" si="39"/>
        <v>0.82768325542037324</v>
      </c>
      <c r="DG20">
        <f t="shared" si="40"/>
        <v>6.7012753735093726</v>
      </c>
      <c r="DH20">
        <f t="shared" si="41"/>
        <v>2.8796440052361864E-2</v>
      </c>
      <c r="DI20">
        <f t="shared" si="42"/>
        <v>0.14352030452726497</v>
      </c>
      <c r="DJ20">
        <f t="shared" si="43"/>
        <v>0.82768325542037324</v>
      </c>
      <c r="DK20" s="64">
        <f t="shared" si="44"/>
        <v>-6.5067206426078767</v>
      </c>
      <c r="DL20" s="64">
        <f t="shared" si="45"/>
        <v>-6.5067206426078767</v>
      </c>
      <c r="DM20" s="64">
        <f t="shared" si="46"/>
        <v>-6.5066991698193881</v>
      </c>
      <c r="DN20" s="64">
        <f t="shared" si="47"/>
        <v>-6.5066991698193881</v>
      </c>
      <c r="DO20" t="str">
        <f t="shared" si="48"/>
        <v>Sufficient Capacity</v>
      </c>
      <c r="DP20" t="str">
        <f t="shared" si="49"/>
        <v>Sufficient Capacity</v>
      </c>
    </row>
    <row r="21" spans="1:120" ht="15.75" x14ac:dyDescent="0.25">
      <c r="A21" s="2" t="s">
        <v>74</v>
      </c>
      <c r="B21" s="2" t="s">
        <v>74</v>
      </c>
      <c r="C21" s="2" t="s">
        <v>717</v>
      </c>
      <c r="D21" s="2" t="s">
        <v>463</v>
      </c>
      <c r="E21" s="2" t="s">
        <v>463</v>
      </c>
      <c r="F21" s="2">
        <v>20</v>
      </c>
      <c r="G21" s="2" t="s">
        <v>715</v>
      </c>
      <c r="H21" s="10" t="s">
        <v>656</v>
      </c>
      <c r="I21" s="2">
        <v>150</v>
      </c>
      <c r="J21" s="2">
        <v>65</v>
      </c>
      <c r="K21" s="2">
        <v>4</v>
      </c>
      <c r="L21" t="s">
        <v>42</v>
      </c>
      <c r="M21" s="2" t="s">
        <v>1120</v>
      </c>
      <c r="N21" s="2" t="s">
        <v>436</v>
      </c>
      <c r="O21" s="2" t="s">
        <v>653</v>
      </c>
      <c r="P21" s="2" t="s">
        <v>1124</v>
      </c>
      <c r="Q21" s="9" t="s">
        <v>716</v>
      </c>
      <c r="R21" s="2" t="str">
        <f t="shared" si="0"/>
        <v>CW_2_Section_1</v>
      </c>
      <c r="S21" s="2" t="str">
        <f t="shared" si="1"/>
        <v>CW_2_MF02</v>
      </c>
      <c r="T21" s="11" t="s">
        <v>691</v>
      </c>
      <c r="U21" s="1">
        <v>45518</v>
      </c>
      <c r="V21" s="2" t="s">
        <v>692</v>
      </c>
      <c r="W21" s="2" t="s">
        <v>663</v>
      </c>
      <c r="X21" s="2" t="s">
        <v>690</v>
      </c>
      <c r="Y21" s="2" t="str">
        <f t="shared" si="2"/>
        <v>T0_0.60-0.80</v>
      </c>
      <c r="Z21" t="s">
        <v>43</v>
      </c>
      <c r="AA21">
        <v>12</v>
      </c>
      <c r="AB21">
        <v>12</v>
      </c>
      <c r="AC21">
        <v>740</v>
      </c>
      <c r="AD21" s="32">
        <f t="shared" si="3"/>
        <v>0.28421456919728588</v>
      </c>
      <c r="AE21">
        <v>140</v>
      </c>
      <c r="AF21" s="32">
        <f>($AE21/92140)*36</f>
        <v>5.4699370523116998E-2</v>
      </c>
      <c r="AG21">
        <v>640</v>
      </c>
      <c r="AH21" s="32">
        <f t="shared" si="4"/>
        <v>0.25317886408589996</v>
      </c>
      <c r="AI21">
        <v>230</v>
      </c>
      <c r="AJ21" s="32">
        <f t="shared" si="5"/>
        <v>9.0986154280870299E-2</v>
      </c>
      <c r="AK21">
        <v>380</v>
      </c>
      <c r="AL21" s="32">
        <f t="shared" si="6"/>
        <v>0.15032495055100309</v>
      </c>
      <c r="AM21">
        <v>610</v>
      </c>
      <c r="AO21" s="49">
        <v>2130</v>
      </c>
      <c r="AP21" s="49">
        <f t="shared" si="7"/>
        <v>0.59209280380630291</v>
      </c>
      <c r="AQ21">
        <v>3800</v>
      </c>
      <c r="AR21" s="32">
        <f t="shared" si="8"/>
        <v>1.4231099321214014</v>
      </c>
      <c r="AS21" s="48">
        <v>1400</v>
      </c>
      <c r="AT21" s="27">
        <f t="shared" si="9"/>
        <v>0.52430365920262156</v>
      </c>
      <c r="AU21" s="48">
        <v>67</v>
      </c>
      <c r="AV21" s="27">
        <f t="shared" si="10"/>
        <v>2.4653393784085681E-2</v>
      </c>
      <c r="AW21" s="48">
        <v>60</v>
      </c>
      <c r="AX21" s="27">
        <f t="shared" si="11"/>
        <v>2.2566629920238637E-2</v>
      </c>
      <c r="AY21" s="48">
        <v>26</v>
      </c>
      <c r="AZ21" s="27">
        <f t="shared" si="12"/>
        <v>9.6979906148477926E-3</v>
      </c>
      <c r="BA21" s="48">
        <v>16</v>
      </c>
      <c r="BB21" s="27">
        <f t="shared" si="13"/>
        <v>5.9249284632216801E-3</v>
      </c>
      <c r="BC21" s="48">
        <v>3.5</v>
      </c>
      <c r="BD21" s="27">
        <f t="shared" si="14"/>
        <v>1.2960781013297423E-3</v>
      </c>
      <c r="BE21" s="48">
        <v>0.54</v>
      </c>
      <c r="BF21" s="27">
        <f t="shared" si="15"/>
        <v>1.9757725587144623E-4</v>
      </c>
      <c r="BG21" s="48">
        <v>0.44</v>
      </c>
      <c r="BH21" s="27">
        <f t="shared" si="16"/>
        <v>1.6098887515451175E-4</v>
      </c>
      <c r="BI21" s="52">
        <f t="shared" si="17"/>
        <v>1573.48</v>
      </c>
      <c r="BJ21" s="52">
        <f t="shared" si="18"/>
        <v>173.48</v>
      </c>
      <c r="BK21" s="27">
        <f t="shared" si="19"/>
        <v>0.58880124621737095</v>
      </c>
      <c r="BL21" s="27">
        <f t="shared" si="20"/>
        <v>6.4497587014749488E-2</v>
      </c>
      <c r="BM21">
        <v>5700</v>
      </c>
      <c r="BN21">
        <v>1900</v>
      </c>
      <c r="BO21" t="s">
        <v>19</v>
      </c>
      <c r="BP21">
        <v>7600</v>
      </c>
      <c r="BQ21">
        <v>65</v>
      </c>
      <c r="BR21">
        <v>22</v>
      </c>
      <c r="BS21">
        <v>0.88</v>
      </c>
      <c r="BT21">
        <v>0.16</v>
      </c>
      <c r="BU21">
        <v>24.1</v>
      </c>
      <c r="BV21">
        <v>-164</v>
      </c>
      <c r="BW21">
        <v>7.09</v>
      </c>
      <c r="BX21">
        <v>814</v>
      </c>
      <c r="BY21">
        <v>0.2</v>
      </c>
      <c r="BZ21" t="s">
        <v>443</v>
      </c>
      <c r="CA21" s="32">
        <v>1.2</v>
      </c>
      <c r="CB21" s="32">
        <f t="shared" si="21"/>
        <v>2.1486123545210383E-2</v>
      </c>
      <c r="CC21" s="32">
        <f t="shared" si="22"/>
        <v>2.1486123545210383E-2</v>
      </c>
      <c r="CD21" s="32">
        <v>1.2</v>
      </c>
      <c r="CE21" s="32">
        <f t="shared" si="23"/>
        <v>2.1845985800109231E-2</v>
      </c>
      <c r="CF21" s="32">
        <f t="shared" si="24"/>
        <v>4.3691971600218461E-2</v>
      </c>
      <c r="CG21" s="27">
        <v>58</v>
      </c>
      <c r="CH21" s="27">
        <f t="shared" si="25"/>
        <v>0.60378929835519468</v>
      </c>
      <c r="CI21" s="27">
        <f t="shared" si="26"/>
        <v>4.8303143868415575</v>
      </c>
      <c r="CJ21" s="58">
        <v>15</v>
      </c>
      <c r="CK21" s="58">
        <v>20.547945205479451</v>
      </c>
      <c r="CL21" s="58">
        <v>1.2492192379762648</v>
      </c>
      <c r="CM21" s="58">
        <v>1.2492192379762648</v>
      </c>
      <c r="CN21" s="28">
        <v>15</v>
      </c>
      <c r="CO21" s="28">
        <v>20.547945205479451</v>
      </c>
      <c r="CP21" s="28">
        <v>1.2492192379762648</v>
      </c>
      <c r="CQ21" s="28">
        <v>1.2492192379762648</v>
      </c>
      <c r="CR21" s="32">
        <f t="shared" si="27"/>
        <v>8.7195502810743282</v>
      </c>
      <c r="CS21" s="32">
        <v>8.7195502810743282</v>
      </c>
      <c r="CT21" s="32">
        <f t="shared" si="28"/>
        <v>9.9195502810743275</v>
      </c>
      <c r="CU21" s="32">
        <f t="shared" si="29"/>
        <v>0.17761056904340783</v>
      </c>
      <c r="CV21" s="32">
        <f t="shared" si="30"/>
        <v>0.17761056904340783</v>
      </c>
      <c r="CW21" s="60">
        <f t="shared" si="31"/>
        <v>8.7195502810743282</v>
      </c>
      <c r="CX21" s="60">
        <v>8.7195502810743282</v>
      </c>
      <c r="CY21" s="60">
        <f t="shared" si="32"/>
        <v>9.9195502810743275</v>
      </c>
      <c r="CZ21" s="60">
        <f t="shared" si="33"/>
        <v>0.17761056904340783</v>
      </c>
      <c r="DA21" s="60">
        <f t="shared" si="34"/>
        <v>0.17761056904340783</v>
      </c>
      <c r="DB21" s="32">
        <f t="shared" si="35"/>
        <v>4.8303143868415575</v>
      </c>
      <c r="DC21">
        <f t="shared" si="36"/>
        <v>1.470521778619891</v>
      </c>
      <c r="DD21">
        <f t="shared" si="37"/>
        <v>2.9711883384157766E-2</v>
      </c>
      <c r="DE21">
        <f t="shared" si="38"/>
        <v>0.12078064509190628</v>
      </c>
      <c r="DF21">
        <f t="shared" si="39"/>
        <v>0.84950747152393602</v>
      </c>
      <c r="DG21">
        <f t="shared" si="40"/>
        <v>1.470521778619891</v>
      </c>
      <c r="DH21">
        <f t="shared" si="41"/>
        <v>2.9711883384157766E-2</v>
      </c>
      <c r="DI21">
        <f t="shared" si="42"/>
        <v>0.12078064509190628</v>
      </c>
      <c r="DJ21">
        <f t="shared" si="43"/>
        <v>0.84950747152393602</v>
      </c>
      <c r="DK21" s="64">
        <f t="shared" si="44"/>
        <v>0.54468095730781307</v>
      </c>
      <c r="DL21" s="64">
        <f t="shared" si="45"/>
        <v>0.54468095730781307</v>
      </c>
      <c r="DM21" s="64">
        <f t="shared" si="46"/>
        <v>0.60917854432256258</v>
      </c>
      <c r="DN21" s="64">
        <f t="shared" si="47"/>
        <v>0.60917854432256258</v>
      </c>
      <c r="DO21" t="str">
        <f t="shared" si="48"/>
        <v>Insufficient Capacity</v>
      </c>
      <c r="DP21" t="str">
        <f t="shared" si="49"/>
        <v>Insufficient Capacity</v>
      </c>
    </row>
    <row r="22" spans="1:120" ht="15.75" x14ac:dyDescent="0.25">
      <c r="A22" s="2" t="s">
        <v>75</v>
      </c>
      <c r="B22" s="2" t="s">
        <v>75</v>
      </c>
      <c r="C22" s="2" t="s">
        <v>720</v>
      </c>
      <c r="D22" s="2" t="s">
        <v>464</v>
      </c>
      <c r="E22" s="2" t="s">
        <v>464</v>
      </c>
      <c r="F22" s="2">
        <v>21</v>
      </c>
      <c r="G22" s="2" t="s">
        <v>718</v>
      </c>
      <c r="H22" s="10" t="s">
        <v>656</v>
      </c>
      <c r="I22" s="2">
        <v>150</v>
      </c>
      <c r="J22" s="2">
        <v>65</v>
      </c>
      <c r="K22" s="2">
        <v>17.55</v>
      </c>
      <c r="L22" t="s">
        <v>34</v>
      </c>
      <c r="M22" s="2" t="s">
        <v>1120</v>
      </c>
      <c r="N22" s="2" t="s">
        <v>436</v>
      </c>
      <c r="O22" s="2" t="s">
        <v>666</v>
      </c>
      <c r="P22" s="2" t="s">
        <v>1131</v>
      </c>
      <c r="Q22" s="9" t="s">
        <v>719</v>
      </c>
      <c r="R22" s="2" t="str">
        <f t="shared" si="0"/>
        <v>CW_2_Section_2</v>
      </c>
      <c r="S22" s="2" t="str">
        <f t="shared" si="1"/>
        <v>CW_2_MF05</v>
      </c>
      <c r="T22" s="11" t="s">
        <v>691</v>
      </c>
      <c r="U22" s="1">
        <v>45518</v>
      </c>
      <c r="V22" s="2" t="s">
        <v>692</v>
      </c>
      <c r="W22" s="2" t="s">
        <v>655</v>
      </c>
      <c r="X22" s="2" t="s">
        <v>690</v>
      </c>
      <c r="Y22" s="2" t="str">
        <f t="shared" si="2"/>
        <v>T0_0.15-0.30</v>
      </c>
      <c r="Z22" t="s">
        <v>35</v>
      </c>
      <c r="AA22">
        <v>13</v>
      </c>
      <c r="AB22">
        <v>13</v>
      </c>
      <c r="AC22">
        <v>880</v>
      </c>
      <c r="AD22" s="32">
        <f t="shared" si="3"/>
        <v>0.3379848930994751</v>
      </c>
      <c r="AE22">
        <v>140</v>
      </c>
      <c r="AF22" s="32">
        <f>($AE22/92140)*36</f>
        <v>5.4699370523116998E-2</v>
      </c>
      <c r="AG22">
        <v>620</v>
      </c>
      <c r="AH22" s="32">
        <f t="shared" si="4"/>
        <v>0.24526702458321561</v>
      </c>
      <c r="AI22">
        <v>230</v>
      </c>
      <c r="AJ22" s="32">
        <f t="shared" si="5"/>
        <v>9.0986154280870299E-2</v>
      </c>
      <c r="AK22">
        <v>260</v>
      </c>
      <c r="AL22" s="32">
        <f t="shared" si="6"/>
        <v>0.10285391353489687</v>
      </c>
      <c r="AM22">
        <v>490</v>
      </c>
      <c r="AO22" s="49">
        <v>2130</v>
      </c>
      <c r="AP22" s="49">
        <f t="shared" si="7"/>
        <v>0.63795128820580771</v>
      </c>
      <c r="AQ22">
        <v>3000</v>
      </c>
      <c r="AR22" s="32">
        <f t="shared" si="8"/>
        <v>1.1235078411484747</v>
      </c>
      <c r="AS22" s="48">
        <v>1100</v>
      </c>
      <c r="AT22" s="27">
        <f t="shared" si="9"/>
        <v>0.41195287508777401</v>
      </c>
      <c r="AU22" s="48">
        <v>4</v>
      </c>
      <c r="AV22" s="27">
        <f t="shared" si="10"/>
        <v>1.4718444050200407E-3</v>
      </c>
      <c r="AW22" s="48">
        <v>4</v>
      </c>
      <c r="AX22" s="27">
        <f t="shared" si="11"/>
        <v>1.5044419946825757E-3</v>
      </c>
      <c r="AY22" s="48">
        <v>2</v>
      </c>
      <c r="AZ22" s="27">
        <f t="shared" si="12"/>
        <v>7.4599927806521475E-4</v>
      </c>
      <c r="BA22" s="48">
        <v>1.4</v>
      </c>
      <c r="BB22" s="27">
        <f t="shared" si="13"/>
        <v>5.1843124053189689E-4</v>
      </c>
      <c r="BC22" s="48">
        <v>0.14000000000000001</v>
      </c>
      <c r="BD22" s="27">
        <f t="shared" si="14"/>
        <v>5.1843124053189702E-5</v>
      </c>
      <c r="BE22" s="48">
        <v>0.03</v>
      </c>
      <c r="BF22" s="27">
        <f t="shared" si="15"/>
        <v>1.0976514215080345E-5</v>
      </c>
      <c r="BG22" s="48">
        <v>2E-3</v>
      </c>
      <c r="BH22" s="27">
        <f t="shared" si="16"/>
        <v>7.3176761433868969E-7</v>
      </c>
      <c r="BI22" s="52">
        <f t="shared" si="17"/>
        <v>1111.5720000000001</v>
      </c>
      <c r="BJ22" s="52">
        <f t="shared" si="18"/>
        <v>11.572000000000001</v>
      </c>
      <c r="BK22" s="27">
        <f t="shared" si="19"/>
        <v>0.41625714341195635</v>
      </c>
      <c r="BL22" s="27">
        <f t="shared" si="20"/>
        <v>4.3042683241823372E-3</v>
      </c>
      <c r="BM22">
        <v>4200</v>
      </c>
      <c r="BN22">
        <v>720</v>
      </c>
      <c r="BO22" t="s">
        <v>19</v>
      </c>
      <c r="BP22">
        <v>4900</v>
      </c>
      <c r="BQ22">
        <v>65</v>
      </c>
      <c r="BR22">
        <v>24</v>
      </c>
      <c r="BS22">
        <v>1.2</v>
      </c>
      <c r="BT22">
        <v>0.5</v>
      </c>
      <c r="BU22">
        <v>23.4</v>
      </c>
      <c r="BV22">
        <v>-183.2</v>
      </c>
      <c r="BW22">
        <v>7.12</v>
      </c>
      <c r="BX22">
        <v>869</v>
      </c>
      <c r="BY22">
        <v>0.2</v>
      </c>
      <c r="BZ22" t="s">
        <v>443</v>
      </c>
      <c r="CA22" s="32">
        <v>5.9</v>
      </c>
      <c r="CB22" s="32">
        <f t="shared" si="21"/>
        <v>0.10564010743061773</v>
      </c>
      <c r="CC22" s="32">
        <f t="shared" si="22"/>
        <v>0.10564010743061773</v>
      </c>
      <c r="CD22" s="32">
        <v>3.1</v>
      </c>
      <c r="CE22" s="32">
        <f t="shared" si="23"/>
        <v>5.6435463316948847E-2</v>
      </c>
      <c r="CF22" s="32">
        <f t="shared" si="24"/>
        <v>0.11287092663389769</v>
      </c>
      <c r="CG22" s="27">
        <v>33</v>
      </c>
      <c r="CH22" s="27">
        <f t="shared" si="25"/>
        <v>0.34353529044347281</v>
      </c>
      <c r="CI22" s="27">
        <f t="shared" si="26"/>
        <v>2.7482823235477825</v>
      </c>
      <c r="CJ22" s="58">
        <v>40</v>
      </c>
      <c r="CK22" s="58">
        <v>54.794520547945204</v>
      </c>
      <c r="CL22" s="58">
        <v>3.3312513012700395</v>
      </c>
      <c r="CM22" s="58">
        <v>3.3312513012700395</v>
      </c>
      <c r="CN22" s="28">
        <v>-26.6</v>
      </c>
      <c r="CO22" s="28">
        <v>-415.625</v>
      </c>
      <c r="CP22" s="28">
        <v>-2.2152821153445763</v>
      </c>
      <c r="CR22" s="32">
        <f t="shared" si="27"/>
        <v>23.252134082864874</v>
      </c>
      <c r="CS22" s="32">
        <v>23.252134082864874</v>
      </c>
      <c r="CT22" s="32">
        <f t="shared" si="28"/>
        <v>29.152134082864876</v>
      </c>
      <c r="CU22" s="32">
        <f t="shared" si="29"/>
        <v>0.52197196209247765</v>
      </c>
      <c r="CV22" s="32">
        <f t="shared" si="30"/>
        <v>0.52197196209247765</v>
      </c>
      <c r="CW22" s="60">
        <f t="shared" si="31"/>
        <v>-15.462669165105142</v>
      </c>
      <c r="CY22" s="60">
        <f t="shared" si="32"/>
        <v>5.9</v>
      </c>
      <c r="CZ22" s="60">
        <f t="shared" si="33"/>
        <v>0.10564010743061773</v>
      </c>
      <c r="DA22" s="60">
        <f t="shared" si="34"/>
        <v>0.10564010743061773</v>
      </c>
      <c r="DB22" s="32">
        <f t="shared" si="35"/>
        <v>2.7482823235477825</v>
      </c>
      <c r="DC22">
        <f t="shared" si="36"/>
        <v>3.9660941899964151</v>
      </c>
      <c r="DD22">
        <f t="shared" si="37"/>
        <v>2.8458962704060169E-2</v>
      </c>
      <c r="DE22">
        <f t="shared" si="38"/>
        <v>0.13160856426683842</v>
      </c>
      <c r="DF22">
        <f t="shared" si="39"/>
        <v>0.83993247302910135</v>
      </c>
      <c r="DG22">
        <f t="shared" si="40"/>
        <v>0.21851103406451544</v>
      </c>
      <c r="DH22">
        <f t="shared" si="41"/>
        <v>0.5165456614908176</v>
      </c>
      <c r="DI22">
        <f t="shared" si="42"/>
        <v>0.4834543385091824</v>
      </c>
      <c r="DJ22">
        <f t="shared" si="43"/>
        <v>0</v>
      </c>
      <c r="DK22" s="64">
        <f t="shared" si="44"/>
        <v>-2.2046350606421328</v>
      </c>
      <c r="DL22" s="64">
        <f t="shared" si="45"/>
        <v>1.5429480952897667</v>
      </c>
      <c r="DM22" s="64">
        <f t="shared" si="46"/>
        <v>-2.2003307923179505</v>
      </c>
      <c r="DN22" s="64">
        <f t="shared" si="47"/>
        <v>1.547252363613949</v>
      </c>
      <c r="DO22" t="str">
        <f t="shared" si="48"/>
        <v>Sufficient Capacity</v>
      </c>
      <c r="DP22" t="str">
        <f t="shared" si="49"/>
        <v>Insufficient Capacity</v>
      </c>
    </row>
    <row r="23" spans="1:120" ht="15.75" x14ac:dyDescent="0.25">
      <c r="A23" s="2" t="s">
        <v>76</v>
      </c>
      <c r="B23" s="2" t="s">
        <v>76</v>
      </c>
      <c r="C23" s="2" t="s">
        <v>723</v>
      </c>
      <c r="D23" s="2" t="s">
        <v>465</v>
      </c>
      <c r="E23" s="2" t="s">
        <v>465</v>
      </c>
      <c r="F23" s="2">
        <v>22</v>
      </c>
      <c r="G23" s="2" t="s">
        <v>721</v>
      </c>
      <c r="H23" s="10" t="s">
        <v>656</v>
      </c>
      <c r="I23" s="2">
        <v>150</v>
      </c>
      <c r="J23" s="2">
        <v>65</v>
      </c>
      <c r="K23" s="2">
        <v>6.8</v>
      </c>
      <c r="L23" t="s">
        <v>36</v>
      </c>
      <c r="M23" s="2" t="s">
        <v>1120</v>
      </c>
      <c r="N23" s="2" t="s">
        <v>436</v>
      </c>
      <c r="O23" s="2" t="s">
        <v>666</v>
      </c>
      <c r="P23" s="2" t="s">
        <v>1132</v>
      </c>
      <c r="Q23" s="9" t="s">
        <v>722</v>
      </c>
      <c r="R23" s="2" t="str">
        <f t="shared" si="0"/>
        <v>CW_2_Section_2</v>
      </c>
      <c r="S23" s="2" t="str">
        <f t="shared" si="1"/>
        <v>CW_2_MF06</v>
      </c>
      <c r="T23" s="11" t="s">
        <v>691</v>
      </c>
      <c r="U23" s="1">
        <v>45518</v>
      </c>
      <c r="V23" s="2" t="s">
        <v>692</v>
      </c>
      <c r="W23" s="2" t="s">
        <v>663</v>
      </c>
      <c r="X23" s="2" t="s">
        <v>690</v>
      </c>
      <c r="Y23" s="2" t="str">
        <f t="shared" si="2"/>
        <v>T0_0.60-0.80</v>
      </c>
      <c r="Z23" t="s">
        <v>37</v>
      </c>
      <c r="AA23">
        <v>12</v>
      </c>
      <c r="AB23">
        <v>13</v>
      </c>
      <c r="AC23">
        <v>770</v>
      </c>
      <c r="AD23" s="32">
        <f t="shared" si="3"/>
        <v>0.29573678146204069</v>
      </c>
      <c r="AE23">
        <v>110</v>
      </c>
      <c r="AF23" s="32">
        <f>($AE23/92140)*36</f>
        <v>4.2978076839591928E-2</v>
      </c>
      <c r="AG23">
        <v>530</v>
      </c>
      <c r="AH23" s="32">
        <f t="shared" si="4"/>
        <v>0.20966374682113592</v>
      </c>
      <c r="AI23">
        <v>190</v>
      </c>
      <c r="AJ23" s="32">
        <f t="shared" si="5"/>
        <v>7.5162475275501545E-2</v>
      </c>
      <c r="AK23">
        <v>290</v>
      </c>
      <c r="AL23" s="32">
        <f t="shared" si="6"/>
        <v>0.11472167278892344</v>
      </c>
      <c r="AM23">
        <v>480</v>
      </c>
      <c r="AO23" s="49">
        <v>1890</v>
      </c>
      <c r="AP23" s="49">
        <f t="shared" si="7"/>
        <v>0.54837860512276859</v>
      </c>
      <c r="AQ23">
        <v>2600</v>
      </c>
      <c r="AR23" s="32">
        <f t="shared" si="8"/>
        <v>0.97370679566201146</v>
      </c>
      <c r="AS23" s="48">
        <v>520</v>
      </c>
      <c r="AT23" s="27">
        <f t="shared" si="9"/>
        <v>0.19474135913240226</v>
      </c>
      <c r="AU23" s="48">
        <v>4</v>
      </c>
      <c r="AV23" s="27">
        <f t="shared" si="10"/>
        <v>1.4718444050200407E-3</v>
      </c>
      <c r="AW23" s="48">
        <v>4</v>
      </c>
      <c r="AX23" s="27">
        <f t="shared" si="11"/>
        <v>1.5044419946825757E-3</v>
      </c>
      <c r="AY23" s="48">
        <v>2</v>
      </c>
      <c r="AZ23" s="27">
        <f t="shared" si="12"/>
        <v>7.4599927806521475E-4</v>
      </c>
      <c r="BA23" s="48">
        <v>3</v>
      </c>
      <c r="BB23" s="27">
        <f t="shared" si="13"/>
        <v>1.1109240868540651E-3</v>
      </c>
      <c r="BC23" s="48">
        <v>0.41</v>
      </c>
      <c r="BD23" s="27">
        <f t="shared" si="14"/>
        <v>1.5182629187005553E-4</v>
      </c>
      <c r="BE23" s="48">
        <v>0.04</v>
      </c>
      <c r="BF23" s="27">
        <f t="shared" si="15"/>
        <v>1.4635352286773795E-5</v>
      </c>
      <c r="BG23" s="48">
        <v>0.02</v>
      </c>
      <c r="BH23" s="27">
        <f t="shared" si="16"/>
        <v>7.3176761433868973E-6</v>
      </c>
      <c r="BI23" s="52">
        <f t="shared" si="17"/>
        <v>533.46999999999991</v>
      </c>
      <c r="BJ23" s="52">
        <f t="shared" si="18"/>
        <v>13.469999999999999</v>
      </c>
      <c r="BK23" s="27">
        <f t="shared" si="19"/>
        <v>0.19974834821732437</v>
      </c>
      <c r="BL23" s="27">
        <f t="shared" si="20"/>
        <v>5.0069890849221126E-3</v>
      </c>
      <c r="BM23">
        <v>3400</v>
      </c>
      <c r="BN23">
        <v>910</v>
      </c>
      <c r="BO23" t="s">
        <v>19</v>
      </c>
      <c r="BP23">
        <v>4300</v>
      </c>
      <c r="BQ23">
        <v>64</v>
      </c>
      <c r="BR23">
        <v>23</v>
      </c>
      <c r="BS23">
        <v>1.1000000000000001</v>
      </c>
      <c r="BT23">
        <v>0.23</v>
      </c>
      <c r="BU23">
        <v>24.1</v>
      </c>
      <c r="BV23">
        <v>-132</v>
      </c>
      <c r="BW23">
        <v>6.92</v>
      </c>
      <c r="BX23">
        <v>1150</v>
      </c>
      <c r="BY23">
        <v>0.1</v>
      </c>
      <c r="BZ23" t="s">
        <v>443</v>
      </c>
      <c r="CA23" s="32">
        <v>4.9000000000000004</v>
      </c>
      <c r="CB23" s="32">
        <f t="shared" si="21"/>
        <v>8.7735004476275746E-2</v>
      </c>
      <c r="CC23" s="32">
        <f t="shared" si="22"/>
        <v>8.7735004476275746E-2</v>
      </c>
      <c r="CD23" s="32">
        <v>2.8</v>
      </c>
      <c r="CE23" s="32">
        <f t="shared" si="23"/>
        <v>5.097396686692153E-2</v>
      </c>
      <c r="CF23" s="32">
        <f t="shared" si="24"/>
        <v>0.10194793373384306</v>
      </c>
      <c r="CG23" s="27">
        <v>38</v>
      </c>
      <c r="CH23" s="27">
        <f t="shared" si="25"/>
        <v>0.39558609202581718</v>
      </c>
      <c r="CI23" s="27">
        <f t="shared" si="26"/>
        <v>3.1646887362065375</v>
      </c>
      <c r="CJ23" s="58">
        <v>35</v>
      </c>
      <c r="CK23" s="58">
        <v>47.945205479452049</v>
      </c>
      <c r="CL23" s="58">
        <v>2.9148448886112845</v>
      </c>
      <c r="CM23" s="58">
        <v>2.9148448886112845</v>
      </c>
      <c r="CN23" s="28">
        <v>20</v>
      </c>
      <c r="CO23" s="28">
        <v>34.482758620689658</v>
      </c>
      <c r="CP23" s="28">
        <v>1.6656256506350198</v>
      </c>
      <c r="CQ23" s="28">
        <v>1.6656256506350198</v>
      </c>
      <c r="CR23" s="32">
        <f t="shared" si="27"/>
        <v>20.345617322506765</v>
      </c>
      <c r="CS23" s="32">
        <v>20.345617322506765</v>
      </c>
      <c r="CT23" s="32">
        <f t="shared" si="28"/>
        <v>25.245617322506767</v>
      </c>
      <c r="CU23" s="32">
        <f t="shared" si="29"/>
        <v>0.45202537730540315</v>
      </c>
      <c r="CV23" s="32">
        <f t="shared" si="30"/>
        <v>0.45202537730540315</v>
      </c>
      <c r="CW23" s="60">
        <f t="shared" si="31"/>
        <v>11.626067041432437</v>
      </c>
      <c r="CX23" s="60">
        <v>11.626067041432437</v>
      </c>
      <c r="CY23" s="60">
        <f t="shared" si="32"/>
        <v>16.526067041432437</v>
      </c>
      <c r="CZ23" s="60">
        <f t="shared" si="33"/>
        <v>0.29590093180720567</v>
      </c>
      <c r="DA23" s="60">
        <f t="shared" si="34"/>
        <v>0.29590093180720567</v>
      </c>
      <c r="DB23" s="32">
        <f t="shared" si="35"/>
        <v>3.1646887362065375</v>
      </c>
      <c r="DC23">
        <f t="shared" si="36"/>
        <v>3.4688181996505305</v>
      </c>
      <c r="DD23">
        <f t="shared" si="37"/>
        <v>2.938981747273867E-2</v>
      </c>
      <c r="DE23">
        <f t="shared" si="38"/>
        <v>0.13031106021957073</v>
      </c>
      <c r="DF23">
        <f t="shared" si="39"/>
        <v>0.84029912230769066</v>
      </c>
      <c r="DG23">
        <f t="shared" si="40"/>
        <v>2.0634745161760684</v>
      </c>
      <c r="DH23">
        <f t="shared" si="41"/>
        <v>4.9405957250573687E-2</v>
      </c>
      <c r="DI23">
        <f t="shared" si="42"/>
        <v>0.14339936330086356</v>
      </c>
      <c r="DJ23">
        <f t="shared" si="43"/>
        <v>0.80719467944856282</v>
      </c>
      <c r="DK23" s="64">
        <f t="shared" si="44"/>
        <v>-1.9467327988657503</v>
      </c>
      <c r="DL23" s="64">
        <f t="shared" si="45"/>
        <v>-0.5413891153912882</v>
      </c>
      <c r="DM23" s="64">
        <f t="shared" si="46"/>
        <v>-1.9417258097808283</v>
      </c>
      <c r="DN23" s="64">
        <f t="shared" si="47"/>
        <v>-0.53638212630636617</v>
      </c>
      <c r="DO23" t="str">
        <f t="shared" si="48"/>
        <v>Sufficient Capacity</v>
      </c>
      <c r="DP23" t="str">
        <f t="shared" si="49"/>
        <v>Sufficient Capacity</v>
      </c>
    </row>
    <row r="24" spans="1:120" ht="15.75" x14ac:dyDescent="0.25">
      <c r="A24" s="29" t="s">
        <v>77</v>
      </c>
      <c r="B24" s="29" t="s">
        <v>77</v>
      </c>
      <c r="C24" s="29" t="s">
        <v>726</v>
      </c>
      <c r="D24" s="29" t="s">
        <v>466</v>
      </c>
      <c r="E24" s="29" t="s">
        <v>466</v>
      </c>
      <c r="F24" s="29">
        <v>23</v>
      </c>
      <c r="G24" s="29" t="s">
        <v>724</v>
      </c>
      <c r="H24" s="30" t="s">
        <v>656</v>
      </c>
      <c r="I24" s="29">
        <v>150</v>
      </c>
      <c r="J24" s="29">
        <v>65</v>
      </c>
      <c r="K24" s="29">
        <v>20.149999999999999</v>
      </c>
      <c r="L24" s="32" t="s">
        <v>44</v>
      </c>
      <c r="M24" s="29" t="s">
        <v>1120</v>
      </c>
      <c r="N24" s="29" t="s">
        <v>436</v>
      </c>
      <c r="O24" s="29" t="s">
        <v>673</v>
      </c>
      <c r="P24" s="29" t="s">
        <v>1127</v>
      </c>
      <c r="Q24" s="40" t="s">
        <v>725</v>
      </c>
      <c r="R24" s="2" t="str">
        <f t="shared" si="0"/>
        <v>CW_2_Section_3</v>
      </c>
      <c r="S24" s="2" t="str">
        <f t="shared" si="1"/>
        <v>CW_2_MF09</v>
      </c>
      <c r="T24" s="31" t="s">
        <v>691</v>
      </c>
      <c r="U24" s="33">
        <v>45518</v>
      </c>
      <c r="V24" s="29" t="s">
        <v>692</v>
      </c>
      <c r="W24" s="29" t="s">
        <v>655</v>
      </c>
      <c r="X24" s="29" t="s">
        <v>690</v>
      </c>
      <c r="Y24" s="2" t="str">
        <f t="shared" si="2"/>
        <v>T0_0.15-0.30</v>
      </c>
      <c r="Z24" s="32" t="s">
        <v>45</v>
      </c>
      <c r="AA24" s="32">
        <v>22</v>
      </c>
      <c r="AB24" s="32">
        <v>23</v>
      </c>
      <c r="AC24" s="32">
        <v>130</v>
      </c>
      <c r="AD24" s="32">
        <f t="shared" si="3"/>
        <v>4.9929586480604277E-2</v>
      </c>
      <c r="AE24" s="32">
        <v>3.1</v>
      </c>
      <c r="AF24" s="32">
        <f>($AE24/92140)*36</f>
        <v>1.2112003472975908E-3</v>
      </c>
      <c r="AG24" s="32">
        <v>5.7</v>
      </c>
      <c r="AH24" s="32">
        <f t="shared" si="4"/>
        <v>2.254874258265047E-3</v>
      </c>
      <c r="AI24" s="32">
        <v>2</v>
      </c>
      <c r="AJ24" s="32">
        <f t="shared" si="5"/>
        <v>7.9118395026843739E-4</v>
      </c>
      <c r="AK24" s="32">
        <v>2.9</v>
      </c>
      <c r="AL24" s="32">
        <f t="shared" si="6"/>
        <v>1.1472167278892343E-3</v>
      </c>
      <c r="AM24" s="32">
        <v>4.9000000000000004</v>
      </c>
      <c r="AN24" s="32"/>
      <c r="AO24" s="49">
        <v>143.69999999999999</v>
      </c>
      <c r="AP24" s="49">
        <f t="shared" si="7"/>
        <v>5.3395661086166911E-2</v>
      </c>
      <c r="AQ24" s="32">
        <v>20</v>
      </c>
      <c r="AR24" s="32">
        <f t="shared" si="8"/>
        <v>7.4900522743231637E-3</v>
      </c>
      <c r="AS24" s="48">
        <v>9.8000000000000007</v>
      </c>
      <c r="AT24" s="27">
        <f t="shared" si="9"/>
        <v>3.670125614418351E-3</v>
      </c>
      <c r="AU24" s="48">
        <v>0.41</v>
      </c>
      <c r="AV24" s="27">
        <f t="shared" si="10"/>
        <v>1.5086405151455416E-4</v>
      </c>
      <c r="AW24" s="48">
        <v>0.21</v>
      </c>
      <c r="AX24" s="27">
        <f t="shared" si="11"/>
        <v>7.8983204720835227E-5</v>
      </c>
      <c r="AY24" s="48">
        <v>0.08</v>
      </c>
      <c r="AZ24" s="27">
        <f t="shared" si="12"/>
        <v>2.9839971122608595E-5</v>
      </c>
      <c r="BA24" s="48">
        <v>0.04</v>
      </c>
      <c r="BB24" s="27">
        <f t="shared" si="13"/>
        <v>1.4812321158054199E-5</v>
      </c>
      <c r="BC24" s="48">
        <v>1E-3</v>
      </c>
      <c r="BD24" s="27">
        <f t="shared" si="14"/>
        <v>3.7030802895135499E-7</v>
      </c>
      <c r="BE24" s="48">
        <v>0.01</v>
      </c>
      <c r="BF24" s="27">
        <f t="shared" si="15"/>
        <v>3.6588380716934487E-6</v>
      </c>
      <c r="BG24" s="48">
        <v>2E-3</v>
      </c>
      <c r="BH24" s="27">
        <f t="shared" si="16"/>
        <v>7.3176761433868969E-7</v>
      </c>
      <c r="BI24" s="52">
        <f t="shared" si="17"/>
        <v>10.553000000000001</v>
      </c>
      <c r="BJ24" s="52">
        <f t="shared" si="18"/>
        <v>0.753</v>
      </c>
      <c r="BK24" s="27">
        <f t="shared" si="19"/>
        <v>3.9493860766493874E-3</v>
      </c>
      <c r="BL24" s="27">
        <f t="shared" si="20"/>
        <v>2.7926046223103565E-4</v>
      </c>
      <c r="BM24" s="32">
        <v>35</v>
      </c>
      <c r="BN24" s="32">
        <v>2.5</v>
      </c>
      <c r="BO24" s="32" t="s">
        <v>19</v>
      </c>
      <c r="BP24" s="32">
        <v>5</v>
      </c>
      <c r="BQ24" s="32">
        <v>53</v>
      </c>
      <c r="BR24" s="32">
        <v>16</v>
      </c>
      <c r="BS24" s="32">
        <v>2.6</v>
      </c>
      <c r="BT24" s="32">
        <v>0.78</v>
      </c>
      <c r="BU24" s="32">
        <v>24.2</v>
      </c>
      <c r="BV24" s="32">
        <v>-132</v>
      </c>
      <c r="BW24" s="32">
        <v>6.9</v>
      </c>
      <c r="BX24" s="32">
        <v>712</v>
      </c>
      <c r="BY24" s="32">
        <v>0.1</v>
      </c>
      <c r="BZ24" s="32" t="s">
        <v>443</v>
      </c>
      <c r="CA24" s="32">
        <v>15</v>
      </c>
      <c r="CB24" s="32">
        <f t="shared" si="21"/>
        <v>0.26857654431512978</v>
      </c>
      <c r="CC24" s="32">
        <f t="shared" si="22"/>
        <v>0.26857654431512978</v>
      </c>
      <c r="CD24" s="32">
        <v>4.4000000000000004</v>
      </c>
      <c r="CE24" s="32">
        <f t="shared" si="23"/>
        <v>8.0101947933733847E-2</v>
      </c>
      <c r="CF24" s="32">
        <f t="shared" si="24"/>
        <v>0.16020389586746769</v>
      </c>
      <c r="CG24" s="32">
        <v>0.5</v>
      </c>
      <c r="CH24" s="32">
        <f t="shared" si="25"/>
        <v>5.2050801582344368E-3</v>
      </c>
      <c r="CI24" s="32">
        <f t="shared" si="26"/>
        <v>4.1640641265875494E-2</v>
      </c>
      <c r="CJ24" s="58">
        <v>72.5</v>
      </c>
      <c r="CK24" s="58">
        <v>99.315068493150676</v>
      </c>
      <c r="CL24" s="58">
        <v>6.0378929835519468</v>
      </c>
      <c r="CM24" s="58">
        <v>6.0378929835519468</v>
      </c>
      <c r="CN24" s="28">
        <v>32.5</v>
      </c>
      <c r="CO24" s="28">
        <v>98.484848484848484</v>
      </c>
      <c r="CP24" s="28">
        <v>2.7066416822819073</v>
      </c>
      <c r="CQ24" s="28">
        <v>2.7066416822819073</v>
      </c>
      <c r="CR24" s="32">
        <f t="shared" si="27"/>
        <v>42.144493025192588</v>
      </c>
      <c r="CS24" s="32">
        <v>42.144493025192588</v>
      </c>
      <c r="CT24" s="32">
        <f t="shared" si="28"/>
        <v>57.144493025192588</v>
      </c>
      <c r="CU24" s="32">
        <f t="shared" si="29"/>
        <v>1.0231780308897509</v>
      </c>
      <c r="CV24" s="32">
        <f t="shared" si="30"/>
        <v>1.0231780308897509</v>
      </c>
      <c r="CW24" s="60">
        <f t="shared" si="31"/>
        <v>18.892358942327711</v>
      </c>
      <c r="CX24" s="60">
        <v>18.892358942327711</v>
      </c>
      <c r="CY24" s="60">
        <f t="shared" si="32"/>
        <v>33.892358942327711</v>
      </c>
      <c r="CZ24" s="60">
        <f t="shared" si="33"/>
        <v>0.60684617622789094</v>
      </c>
      <c r="DA24" s="60">
        <f t="shared" si="34"/>
        <v>0.60684617622789094</v>
      </c>
      <c r="DB24" s="32">
        <f t="shared" si="35"/>
        <v>4.1640641265875494E-2</v>
      </c>
      <c r="DC24">
        <f t="shared" si="36"/>
        <v>7.2212749103091651</v>
      </c>
      <c r="DD24">
        <f t="shared" si="37"/>
        <v>2.218498781132941E-2</v>
      </c>
      <c r="DE24">
        <f t="shared" si="38"/>
        <v>0.14168938914499041</v>
      </c>
      <c r="DF24">
        <f t="shared" si="39"/>
        <v>0.83612562304368021</v>
      </c>
      <c r="DG24">
        <f t="shared" si="40"/>
        <v>3.4736917543772661</v>
      </c>
      <c r="DH24">
        <f t="shared" si="41"/>
        <v>4.6119203198036113E-2</v>
      </c>
      <c r="DI24">
        <f t="shared" si="42"/>
        <v>0.17469776224766989</v>
      </c>
      <c r="DJ24">
        <f t="shared" si="43"/>
        <v>0.77918303455429394</v>
      </c>
      <c r="DK24" s="64">
        <f t="shared" si="44"/>
        <v>-7.1603891969486755</v>
      </c>
      <c r="DL24" s="64">
        <f t="shared" si="45"/>
        <v>-3.412806041016776</v>
      </c>
      <c r="DM24" s="64">
        <f t="shared" si="46"/>
        <v>-7.1601099364864442</v>
      </c>
      <c r="DN24" s="64">
        <f t="shared" si="47"/>
        <v>-3.4125267805545452</v>
      </c>
      <c r="DO24" t="str">
        <f t="shared" si="48"/>
        <v>Sufficient Capacity</v>
      </c>
      <c r="DP24" t="str">
        <f t="shared" si="49"/>
        <v>Sufficient Capacity</v>
      </c>
    </row>
    <row r="25" spans="1:120" ht="15.75" x14ac:dyDescent="0.25">
      <c r="A25" s="41" t="s">
        <v>78</v>
      </c>
      <c r="B25" s="41" t="s">
        <v>78</v>
      </c>
      <c r="C25" s="41" t="s">
        <v>729</v>
      </c>
      <c r="D25" s="41" t="s">
        <v>467</v>
      </c>
      <c r="E25" s="41" t="s">
        <v>467</v>
      </c>
      <c r="F25" s="41">
        <v>24</v>
      </c>
      <c r="G25" s="41" t="s">
        <v>727</v>
      </c>
      <c r="H25" s="43" t="s">
        <v>656</v>
      </c>
      <c r="I25" s="41">
        <v>150</v>
      </c>
      <c r="J25" s="41">
        <v>65</v>
      </c>
      <c r="K25" s="41">
        <v>7.45</v>
      </c>
      <c r="L25" s="26" t="s">
        <v>46</v>
      </c>
      <c r="M25" s="41" t="s">
        <v>1120</v>
      </c>
      <c r="N25" s="41" t="s">
        <v>436</v>
      </c>
      <c r="O25" s="41" t="s">
        <v>673</v>
      </c>
      <c r="P25" s="41" t="s">
        <v>1128</v>
      </c>
      <c r="Q25" s="42" t="s">
        <v>728</v>
      </c>
      <c r="R25" s="2" t="str">
        <f t="shared" si="0"/>
        <v>CW_2_Section_3</v>
      </c>
      <c r="S25" s="2" t="str">
        <f t="shared" si="1"/>
        <v>CW_2_MF10</v>
      </c>
      <c r="T25" s="44" t="s">
        <v>691</v>
      </c>
      <c r="U25" s="45">
        <v>45518</v>
      </c>
      <c r="V25" s="41" t="s">
        <v>692</v>
      </c>
      <c r="W25" s="41" t="s">
        <v>663</v>
      </c>
      <c r="X25" s="41" t="s">
        <v>690</v>
      </c>
      <c r="Y25" s="2" t="str">
        <f t="shared" si="2"/>
        <v>T0_0.60-0.80</v>
      </c>
      <c r="Z25" s="26" t="s">
        <v>47</v>
      </c>
      <c r="AA25" s="26">
        <v>12</v>
      </c>
      <c r="AB25" s="26">
        <v>12</v>
      </c>
      <c r="AC25" s="26">
        <v>730</v>
      </c>
      <c r="AD25" s="32">
        <f t="shared" si="3"/>
        <v>0.28037383177570091</v>
      </c>
      <c r="AE25" s="26">
        <v>100</v>
      </c>
      <c r="AF25" s="32">
        <f>($AE25/92140)*36</f>
        <v>3.9070978945083573E-2</v>
      </c>
      <c r="AG25" s="26">
        <v>490</v>
      </c>
      <c r="AH25" s="32">
        <f t="shared" si="4"/>
        <v>0.19384006781576718</v>
      </c>
      <c r="AI25" s="26">
        <v>190</v>
      </c>
      <c r="AJ25" s="32">
        <f t="shared" si="5"/>
        <v>7.5162475275501545E-2</v>
      </c>
      <c r="AK25" s="26">
        <v>290</v>
      </c>
      <c r="AL25" s="32">
        <f t="shared" si="6"/>
        <v>0.11472167278892344</v>
      </c>
      <c r="AM25" s="26">
        <v>480</v>
      </c>
      <c r="AN25" s="26"/>
      <c r="AO25" s="49">
        <v>1800</v>
      </c>
      <c r="AP25" s="49">
        <f t="shared" si="7"/>
        <v>0.51328487853655158</v>
      </c>
      <c r="AQ25" s="26">
        <v>2500</v>
      </c>
      <c r="AR25" s="32">
        <f t="shared" si="8"/>
        <v>0.93625653429039557</v>
      </c>
      <c r="AS25" s="48">
        <v>980</v>
      </c>
      <c r="AT25" s="27">
        <f t="shared" si="9"/>
        <v>0.36701256144183508</v>
      </c>
      <c r="AU25" s="48">
        <v>42</v>
      </c>
      <c r="AV25" s="27">
        <f t="shared" si="10"/>
        <v>1.545436625271043E-2</v>
      </c>
      <c r="AW25" s="48">
        <v>4</v>
      </c>
      <c r="AX25" s="27">
        <f t="shared" si="11"/>
        <v>1.5044419946825757E-3</v>
      </c>
      <c r="AY25" s="48">
        <v>2</v>
      </c>
      <c r="AZ25" s="27">
        <f t="shared" si="12"/>
        <v>7.4599927806521475E-4</v>
      </c>
      <c r="BA25" s="48">
        <v>1.8</v>
      </c>
      <c r="BB25" s="27">
        <f t="shared" si="13"/>
        <v>6.6655445211243904E-4</v>
      </c>
      <c r="BC25" s="48">
        <v>0.15</v>
      </c>
      <c r="BD25" s="27">
        <f t="shared" si="14"/>
        <v>5.5546204342703247E-5</v>
      </c>
      <c r="BE25" s="48">
        <v>7.0000000000000007E-2</v>
      </c>
      <c r="BF25" s="27">
        <f t="shared" si="15"/>
        <v>2.5611866501854141E-5</v>
      </c>
      <c r="BG25" s="48">
        <v>0.04</v>
      </c>
      <c r="BH25" s="27">
        <f t="shared" si="16"/>
        <v>1.4635352286773795E-5</v>
      </c>
      <c r="BI25" s="52">
        <f t="shared" si="17"/>
        <v>1030.06</v>
      </c>
      <c r="BJ25" s="52">
        <f t="shared" si="18"/>
        <v>50.059999999999995</v>
      </c>
      <c r="BK25" s="27">
        <f t="shared" si="19"/>
        <v>0.38547971684253712</v>
      </c>
      <c r="BL25" s="27">
        <f t="shared" si="20"/>
        <v>1.8467155400701988E-2</v>
      </c>
      <c r="BM25" s="26">
        <v>3400</v>
      </c>
      <c r="BN25" s="26">
        <v>810</v>
      </c>
      <c r="BO25" s="26" t="s">
        <v>19</v>
      </c>
      <c r="BP25" s="26">
        <v>4200</v>
      </c>
      <c r="BQ25" s="26">
        <v>65</v>
      </c>
      <c r="BR25" s="26">
        <v>24</v>
      </c>
      <c r="BS25" s="26">
        <v>0.77</v>
      </c>
      <c r="BT25" s="26">
        <v>0.34</v>
      </c>
      <c r="BU25" s="26">
        <v>24.2</v>
      </c>
      <c r="BV25" s="26">
        <v>-128</v>
      </c>
      <c r="BW25" s="26">
        <v>6.91</v>
      </c>
      <c r="BX25" s="26">
        <v>676</v>
      </c>
      <c r="BY25" s="26">
        <v>0.2</v>
      </c>
      <c r="BZ25" s="26" t="s">
        <v>443</v>
      </c>
      <c r="CA25" s="26">
        <v>3.6</v>
      </c>
      <c r="CB25" s="32">
        <f t="shared" si="21"/>
        <v>6.445837063563116E-2</v>
      </c>
      <c r="CC25" s="32">
        <f t="shared" si="22"/>
        <v>6.445837063563116E-2</v>
      </c>
      <c r="CD25" s="26">
        <v>2.8</v>
      </c>
      <c r="CE25" s="32">
        <f t="shared" si="23"/>
        <v>5.097396686692153E-2</v>
      </c>
      <c r="CF25" s="32">
        <f t="shared" si="24"/>
        <v>0.10194793373384306</v>
      </c>
      <c r="CG25" s="26">
        <v>45</v>
      </c>
      <c r="CH25" s="26">
        <f t="shared" si="25"/>
        <v>0.46845721424109932</v>
      </c>
      <c r="CI25" s="26">
        <f t="shared" si="26"/>
        <v>3.7476577139287945</v>
      </c>
      <c r="CJ25" s="58">
        <v>28</v>
      </c>
      <c r="CK25" s="58">
        <v>38.356164383561641</v>
      </c>
      <c r="CL25" s="58">
        <v>2.3318759108890275</v>
      </c>
      <c r="CM25" s="58">
        <v>2.3318759108890275</v>
      </c>
      <c r="CN25" s="28">
        <v>-7</v>
      </c>
      <c r="CO25" s="28">
        <v>-18.421052631578945</v>
      </c>
      <c r="CP25" s="28">
        <v>-0.58296897772225686</v>
      </c>
      <c r="CR25" s="32">
        <f t="shared" si="27"/>
        <v>16.276493858005413</v>
      </c>
      <c r="CS25" s="26">
        <v>16.276493858005413</v>
      </c>
      <c r="CT25" s="32">
        <f t="shared" si="28"/>
        <v>19.876493858005414</v>
      </c>
      <c r="CU25" s="32">
        <f t="shared" si="29"/>
        <v>0.35589066889893312</v>
      </c>
      <c r="CV25" s="32">
        <f t="shared" si="30"/>
        <v>0.35589066889893312</v>
      </c>
      <c r="CW25" s="60">
        <f t="shared" si="31"/>
        <v>-4.0691234645013532</v>
      </c>
      <c r="CY25" s="60">
        <f t="shared" si="32"/>
        <v>3.6</v>
      </c>
      <c r="CZ25" s="60">
        <f t="shared" si="33"/>
        <v>6.445837063563116E-2</v>
      </c>
      <c r="DA25" s="60">
        <f t="shared" si="34"/>
        <v>6.445837063563116E-2</v>
      </c>
      <c r="DB25" s="32">
        <f t="shared" si="35"/>
        <v>3.7476577139287945</v>
      </c>
      <c r="DC25">
        <f t="shared" si="36"/>
        <v>2.7897145135218038</v>
      </c>
      <c r="DD25">
        <f t="shared" si="37"/>
        <v>3.6544217424291744E-2</v>
      </c>
      <c r="DE25">
        <f t="shared" si="38"/>
        <v>0.12757243337048421</v>
      </c>
      <c r="DF25">
        <f t="shared" si="39"/>
        <v>0.835883349205224</v>
      </c>
      <c r="DG25">
        <f t="shared" si="40"/>
        <v>0.16640630436947423</v>
      </c>
      <c r="DH25">
        <f t="shared" si="41"/>
        <v>0.61264465982903293</v>
      </c>
      <c r="DI25">
        <f t="shared" si="42"/>
        <v>0.38735534017096696</v>
      </c>
      <c r="DJ25">
        <f t="shared" si="43"/>
        <v>0</v>
      </c>
      <c r="DK25" s="64">
        <f t="shared" si="44"/>
        <v>-1.3401731006948565</v>
      </c>
      <c r="DL25" s="64">
        <f t="shared" si="45"/>
        <v>1.2831351084574729</v>
      </c>
      <c r="DM25" s="64">
        <f t="shared" si="46"/>
        <v>-1.3217059452941544</v>
      </c>
      <c r="DN25" s="64">
        <f t="shared" si="47"/>
        <v>1.3016022638581752</v>
      </c>
      <c r="DO25" t="str">
        <f t="shared" si="48"/>
        <v>Sufficient Capacity</v>
      </c>
      <c r="DP25" t="str">
        <f t="shared" si="49"/>
        <v>Insufficient Capacity</v>
      </c>
    </row>
    <row r="26" spans="1:120" ht="15.75" x14ac:dyDescent="0.25">
      <c r="A26" s="2" t="s">
        <v>79</v>
      </c>
      <c r="B26" s="2" t="s">
        <v>79</v>
      </c>
      <c r="C26" s="2" t="s">
        <v>732</v>
      </c>
      <c r="D26" s="2" t="s">
        <v>468</v>
      </c>
      <c r="E26" s="2" t="s">
        <v>468</v>
      </c>
      <c r="F26" s="2">
        <v>25</v>
      </c>
      <c r="G26" s="2" t="s">
        <v>730</v>
      </c>
      <c r="H26" s="10" t="s">
        <v>656</v>
      </c>
      <c r="I26" s="2">
        <v>150</v>
      </c>
      <c r="J26" s="2">
        <v>65</v>
      </c>
      <c r="K26" s="2">
        <v>22.8</v>
      </c>
      <c r="L26" t="s">
        <v>50</v>
      </c>
      <c r="M26" s="2" t="s">
        <v>1120</v>
      </c>
      <c r="N26" s="2" t="s">
        <v>437</v>
      </c>
      <c r="O26" s="2" t="s">
        <v>653</v>
      </c>
      <c r="P26" s="2" t="s">
        <v>1123</v>
      </c>
      <c r="Q26" s="9" t="s">
        <v>731</v>
      </c>
      <c r="R26" s="2" t="str">
        <f t="shared" si="0"/>
        <v>CW_3_Section_1</v>
      </c>
      <c r="S26" s="2" t="str">
        <f t="shared" si="1"/>
        <v>CW_3_MF01</v>
      </c>
      <c r="T26" s="11" t="s">
        <v>691</v>
      </c>
      <c r="U26" s="1">
        <v>45518</v>
      </c>
      <c r="V26" s="2" t="s">
        <v>692</v>
      </c>
      <c r="W26" s="2" t="s">
        <v>655</v>
      </c>
      <c r="X26" s="2" t="s">
        <v>690</v>
      </c>
      <c r="Y26" s="2" t="str">
        <f t="shared" si="2"/>
        <v>T0_0.15-0.30</v>
      </c>
      <c r="Z26" t="s">
        <v>51</v>
      </c>
      <c r="AA26">
        <v>31</v>
      </c>
      <c r="AB26">
        <v>38</v>
      </c>
      <c r="AC26">
        <v>120</v>
      </c>
      <c r="AD26" s="32">
        <f t="shared" si="3"/>
        <v>4.6088849059019332E-2</v>
      </c>
      <c r="AE26">
        <v>2.2999999999999998</v>
      </c>
      <c r="AF26" s="32">
        <f>($AE26/92140)*36</f>
        <v>8.9863251573692204E-4</v>
      </c>
      <c r="AG26">
        <v>2</v>
      </c>
      <c r="AH26" s="32">
        <f t="shared" si="4"/>
        <v>7.9118395026843739E-4</v>
      </c>
      <c r="AI26">
        <v>1.3</v>
      </c>
      <c r="AJ26" s="32">
        <f t="shared" si="5"/>
        <v>5.1426956767448438E-4</v>
      </c>
      <c r="AK26">
        <v>0.2</v>
      </c>
      <c r="AL26" s="32">
        <f t="shared" si="6"/>
        <v>7.9118395026843739E-5</v>
      </c>
      <c r="AM26">
        <v>2.7</v>
      </c>
      <c r="AO26" s="49">
        <v>127</v>
      </c>
      <c r="AP26" s="49">
        <f t="shared" si="7"/>
        <v>4.7778665525024688E-2</v>
      </c>
      <c r="AQ26">
        <v>6.1</v>
      </c>
      <c r="AR26" s="32">
        <f t="shared" si="8"/>
        <v>2.284465943668565E-3</v>
      </c>
      <c r="AS26" s="48">
        <v>4.3</v>
      </c>
      <c r="AT26" s="27">
        <f t="shared" si="9"/>
        <v>1.6103612389794801E-3</v>
      </c>
      <c r="AU26" s="48">
        <v>0.01</v>
      </c>
      <c r="AV26" s="27">
        <f t="shared" si="10"/>
        <v>3.6796110125501018E-6</v>
      </c>
      <c r="AW26" s="48">
        <v>0.01</v>
      </c>
      <c r="AX26" s="27">
        <f t="shared" si="11"/>
        <v>3.7611049867064394E-6</v>
      </c>
      <c r="AY26" s="48">
        <v>5.0000000000000001E-3</v>
      </c>
      <c r="AZ26" s="27">
        <f t="shared" si="12"/>
        <v>1.8649981951630372E-6</v>
      </c>
      <c r="BA26" s="48">
        <v>1E-3</v>
      </c>
      <c r="BB26" s="27">
        <f t="shared" si="13"/>
        <v>3.7030802895135499E-7</v>
      </c>
      <c r="BC26" s="48">
        <v>1E-3</v>
      </c>
      <c r="BD26" s="27">
        <f t="shared" si="14"/>
        <v>3.7030802895135499E-7</v>
      </c>
      <c r="BE26" s="48">
        <v>1E-3</v>
      </c>
      <c r="BF26" s="27">
        <f t="shared" si="15"/>
        <v>3.6588380716934485E-7</v>
      </c>
      <c r="BG26" s="48">
        <v>2E-3</v>
      </c>
      <c r="BH26" s="27">
        <f t="shared" si="16"/>
        <v>7.3176761433868969E-7</v>
      </c>
      <c r="BI26" s="52">
        <f t="shared" si="17"/>
        <v>4.33</v>
      </c>
      <c r="BJ26" s="52">
        <f t="shared" si="18"/>
        <v>3.0000000000000006E-2</v>
      </c>
      <c r="BK26" s="27">
        <f t="shared" si="19"/>
        <v>1.6215052206533106E-3</v>
      </c>
      <c r="BL26" s="27">
        <f t="shared" si="20"/>
        <v>1.1143981673830322E-5</v>
      </c>
      <c r="BM26">
        <v>2.5</v>
      </c>
      <c r="BN26">
        <v>2.5</v>
      </c>
      <c r="BO26" t="s">
        <v>19</v>
      </c>
      <c r="BP26">
        <v>5</v>
      </c>
      <c r="BQ26">
        <v>59</v>
      </c>
      <c r="BR26">
        <v>16</v>
      </c>
      <c r="BS26">
        <v>2.9</v>
      </c>
      <c r="BT26">
        <v>0.41</v>
      </c>
      <c r="BU26">
        <v>22.9</v>
      </c>
      <c r="BV26">
        <v>-131</v>
      </c>
      <c r="BW26">
        <v>6.8</v>
      </c>
      <c r="BX26">
        <v>1155</v>
      </c>
      <c r="BY26">
        <v>0.2</v>
      </c>
      <c r="BZ26" t="s">
        <v>443</v>
      </c>
      <c r="CA26" s="32">
        <v>22</v>
      </c>
      <c r="CB26" s="32">
        <f t="shared" si="21"/>
        <v>0.39391226499552373</v>
      </c>
      <c r="CC26" s="32">
        <f t="shared" si="22"/>
        <v>0.39391226499552373</v>
      </c>
      <c r="CD26" s="32">
        <v>5</v>
      </c>
      <c r="CE26" s="32">
        <f t="shared" si="23"/>
        <v>9.1024940833788454E-2</v>
      </c>
      <c r="CF26" s="32">
        <f t="shared" si="24"/>
        <v>0.18204988166757691</v>
      </c>
      <c r="CG26" s="27">
        <v>0.5</v>
      </c>
      <c r="CH26" s="27">
        <f t="shared" si="25"/>
        <v>5.2050801582344368E-3</v>
      </c>
      <c r="CI26" s="27">
        <f t="shared" si="26"/>
        <v>4.1640641265875494E-2</v>
      </c>
      <c r="CJ26" s="58">
        <v>72.5</v>
      </c>
      <c r="CK26" s="58">
        <v>99.315068493150676</v>
      </c>
      <c r="CL26" s="58">
        <v>6.0378929835519468</v>
      </c>
      <c r="CM26" s="58">
        <v>6.0378929835519468</v>
      </c>
      <c r="CN26" s="28">
        <v>72.5</v>
      </c>
      <c r="CO26" s="28">
        <v>99.315068493150676</v>
      </c>
      <c r="CP26" s="28">
        <v>6.0378929835519468</v>
      </c>
      <c r="CQ26" s="28">
        <v>6.0378929835519468</v>
      </c>
      <c r="CR26" s="32">
        <f t="shared" si="27"/>
        <v>42.144493025192588</v>
      </c>
      <c r="CS26" s="32">
        <v>42.144493025192588</v>
      </c>
      <c r="CT26" s="32">
        <f t="shared" si="28"/>
        <v>64.144493025192588</v>
      </c>
      <c r="CU26" s="32">
        <f t="shared" si="29"/>
        <v>1.1485137515701447</v>
      </c>
      <c r="CV26" s="32">
        <f t="shared" si="30"/>
        <v>1.1485137515701447</v>
      </c>
      <c r="CW26" s="60">
        <f t="shared" si="31"/>
        <v>42.144493025192588</v>
      </c>
      <c r="CX26" s="60">
        <v>42.144493025192588</v>
      </c>
      <c r="CY26" s="60">
        <f t="shared" si="32"/>
        <v>64.144493025192588</v>
      </c>
      <c r="CZ26" s="60">
        <f t="shared" si="33"/>
        <v>1.1485137515701447</v>
      </c>
      <c r="DA26" s="60">
        <f t="shared" si="34"/>
        <v>1.1485137515701447</v>
      </c>
      <c r="DB26" s="32">
        <f t="shared" si="35"/>
        <v>4.1640641265875494E-2</v>
      </c>
      <c r="DC26">
        <f t="shared" si="36"/>
        <v>7.3684566167896683</v>
      </c>
      <c r="DD26">
        <f t="shared" si="37"/>
        <v>2.4706650406648312E-2</v>
      </c>
      <c r="DE26">
        <f t="shared" si="38"/>
        <v>0.15586897111576342</v>
      </c>
      <c r="DF26">
        <f t="shared" si="39"/>
        <v>0.81942437847758831</v>
      </c>
      <c r="DG26">
        <f t="shared" si="40"/>
        <v>7.3684566167896683</v>
      </c>
      <c r="DH26">
        <f t="shared" si="41"/>
        <v>2.4706650406648312E-2</v>
      </c>
      <c r="DI26">
        <f t="shared" si="42"/>
        <v>0.15586897111576342</v>
      </c>
      <c r="DJ26">
        <f t="shared" si="43"/>
        <v>0.81942437847758831</v>
      </c>
      <c r="DK26" s="64">
        <f t="shared" si="44"/>
        <v>-7.3183934853209749</v>
      </c>
      <c r="DL26" s="64">
        <f t="shared" si="45"/>
        <v>-7.3183934853209749</v>
      </c>
      <c r="DM26" s="64">
        <f t="shared" si="46"/>
        <v>-7.3183823413393014</v>
      </c>
      <c r="DN26" s="64">
        <f t="shared" si="47"/>
        <v>-7.3183823413393014</v>
      </c>
      <c r="DO26" t="str">
        <f t="shared" si="48"/>
        <v>Sufficient Capacity</v>
      </c>
      <c r="DP26" t="str">
        <f t="shared" si="49"/>
        <v>Sufficient Capacity</v>
      </c>
    </row>
    <row r="27" spans="1:120" ht="15.75" x14ac:dyDescent="0.25">
      <c r="A27" s="2" t="s">
        <v>80</v>
      </c>
      <c r="B27" s="2" t="s">
        <v>80</v>
      </c>
      <c r="C27" s="2" t="s">
        <v>735</v>
      </c>
      <c r="D27" s="2" t="s">
        <v>469</v>
      </c>
      <c r="E27" s="2" t="s">
        <v>469</v>
      </c>
      <c r="F27" s="2">
        <v>26</v>
      </c>
      <c r="G27" s="2" t="s">
        <v>733</v>
      </c>
      <c r="H27" s="10" t="s">
        <v>656</v>
      </c>
      <c r="I27" s="2">
        <v>150</v>
      </c>
      <c r="J27" s="2">
        <v>65</v>
      </c>
      <c r="K27" s="2">
        <v>8.8000000000000007</v>
      </c>
      <c r="L27" t="s">
        <v>52</v>
      </c>
      <c r="M27" s="2" t="s">
        <v>1120</v>
      </c>
      <c r="N27" s="2" t="s">
        <v>437</v>
      </c>
      <c r="O27" s="2" t="s">
        <v>653</v>
      </c>
      <c r="P27" s="2" t="s">
        <v>1124</v>
      </c>
      <c r="Q27" s="9" t="s">
        <v>734</v>
      </c>
      <c r="R27" s="2" t="str">
        <f t="shared" si="0"/>
        <v>CW_3_Section_1</v>
      </c>
      <c r="S27" s="2" t="str">
        <f t="shared" si="1"/>
        <v>CW_3_MF02</v>
      </c>
      <c r="T27" s="11" t="s">
        <v>691</v>
      </c>
      <c r="U27" s="1">
        <v>45518</v>
      </c>
      <c r="V27" s="2" t="s">
        <v>692</v>
      </c>
      <c r="W27" s="2" t="s">
        <v>663</v>
      </c>
      <c r="X27" s="2" t="s">
        <v>690</v>
      </c>
      <c r="Y27" s="2" t="str">
        <f t="shared" si="2"/>
        <v>T0_0.60-0.80</v>
      </c>
      <c r="Z27" t="s">
        <v>53</v>
      </c>
      <c r="AA27">
        <v>12</v>
      </c>
      <c r="AB27">
        <v>12</v>
      </c>
      <c r="AC27">
        <v>850</v>
      </c>
      <c r="AD27" s="32">
        <f t="shared" si="3"/>
        <v>0.3264626808347203</v>
      </c>
      <c r="AE27">
        <v>120</v>
      </c>
      <c r="AF27" s="32">
        <f>($AE27/92140)*36</f>
        <v>4.6885174734100282E-2</v>
      </c>
      <c r="AG27">
        <v>620</v>
      </c>
      <c r="AH27" s="32">
        <f t="shared" si="4"/>
        <v>0.24526702458321561</v>
      </c>
      <c r="AI27">
        <v>250</v>
      </c>
      <c r="AJ27" s="32">
        <f t="shared" si="5"/>
        <v>9.8897993783554669E-2</v>
      </c>
      <c r="AK27">
        <v>290</v>
      </c>
      <c r="AL27" s="32">
        <f t="shared" si="6"/>
        <v>0.11472167278892344</v>
      </c>
      <c r="AM27">
        <v>540</v>
      </c>
      <c r="AO27" s="49">
        <v>2130</v>
      </c>
      <c r="AP27" s="49">
        <f t="shared" si="7"/>
        <v>0.61861488015203614</v>
      </c>
      <c r="AQ27">
        <v>3500</v>
      </c>
      <c r="AR27" s="32">
        <f t="shared" si="8"/>
        <v>1.3107591480065537</v>
      </c>
      <c r="AS27" s="48">
        <v>1400</v>
      </c>
      <c r="AT27" s="27">
        <f t="shared" si="9"/>
        <v>0.52430365920262156</v>
      </c>
      <c r="AU27" s="48">
        <v>68</v>
      </c>
      <c r="AV27" s="27">
        <f t="shared" si="10"/>
        <v>2.5021354885340692E-2</v>
      </c>
      <c r="AW27" s="48">
        <v>57</v>
      </c>
      <c r="AX27" s="27">
        <f t="shared" si="11"/>
        <v>2.1438298424226704E-2</v>
      </c>
      <c r="AY27" s="48">
        <v>23</v>
      </c>
      <c r="AZ27" s="27">
        <f t="shared" si="12"/>
        <v>8.57899169774997E-3</v>
      </c>
      <c r="BA27" s="48">
        <v>13</v>
      </c>
      <c r="BB27" s="27">
        <f t="shared" si="13"/>
        <v>4.8140043763676144E-3</v>
      </c>
      <c r="BC27" s="48">
        <v>2.7</v>
      </c>
      <c r="BD27" s="27">
        <f t="shared" si="14"/>
        <v>9.9983167816865845E-4</v>
      </c>
      <c r="BE27" s="48">
        <v>0.38</v>
      </c>
      <c r="BF27" s="27">
        <f t="shared" si="15"/>
        <v>1.3903584672435106E-4</v>
      </c>
      <c r="BG27" s="48">
        <v>0.28000000000000003</v>
      </c>
      <c r="BH27" s="27">
        <f t="shared" si="16"/>
        <v>1.0244746600741656E-4</v>
      </c>
      <c r="BI27" s="52">
        <f t="shared" si="17"/>
        <v>1564.3600000000001</v>
      </c>
      <c r="BJ27" s="52">
        <f t="shared" si="18"/>
        <v>164.35999999999999</v>
      </c>
      <c r="BK27" s="27">
        <f t="shared" si="19"/>
        <v>0.58539762357720704</v>
      </c>
      <c r="BL27" s="27">
        <f t="shared" si="20"/>
        <v>6.1093964374585412E-2</v>
      </c>
      <c r="BM27">
        <v>5000</v>
      </c>
      <c r="BN27">
        <v>1300</v>
      </c>
      <c r="BO27" t="s">
        <v>19</v>
      </c>
      <c r="BP27">
        <v>6300</v>
      </c>
      <c r="BQ27">
        <v>65</v>
      </c>
      <c r="BR27">
        <v>25</v>
      </c>
      <c r="BS27">
        <v>0.93</v>
      </c>
      <c r="BT27" s="20">
        <v>0.2</v>
      </c>
      <c r="BU27">
        <v>24</v>
      </c>
      <c r="BV27">
        <v>-109</v>
      </c>
      <c r="BW27">
        <v>6.9</v>
      </c>
      <c r="BX27">
        <v>1090</v>
      </c>
      <c r="BY27">
        <v>0.2</v>
      </c>
      <c r="BZ27" t="s">
        <v>443</v>
      </c>
      <c r="CA27" s="32">
        <v>1.4</v>
      </c>
      <c r="CB27" s="32">
        <f t="shared" si="21"/>
        <v>2.506714413607878E-2</v>
      </c>
      <c r="CC27" s="32">
        <f t="shared" si="22"/>
        <v>2.506714413607878E-2</v>
      </c>
      <c r="CD27" s="32">
        <v>1.4</v>
      </c>
      <c r="CE27" s="32">
        <f t="shared" si="23"/>
        <v>2.5486983433460765E-2</v>
      </c>
      <c r="CF27" s="32">
        <f t="shared" si="24"/>
        <v>5.097396686692153E-2</v>
      </c>
      <c r="CG27" s="27">
        <v>49</v>
      </c>
      <c r="CH27" s="27">
        <f t="shared" si="25"/>
        <v>0.51009785550697484</v>
      </c>
      <c r="CI27" s="27">
        <f t="shared" si="26"/>
        <v>4.0807828440557987</v>
      </c>
      <c r="CJ27" s="58">
        <v>24</v>
      </c>
      <c r="CK27" s="58">
        <v>32.87671232876712</v>
      </c>
      <c r="CL27" s="58">
        <v>1.9987507807620237</v>
      </c>
      <c r="CM27" s="58">
        <v>1.9987507807620237</v>
      </c>
      <c r="CN27" s="28">
        <v>24</v>
      </c>
      <c r="CO27" s="28">
        <v>32.87671232876712</v>
      </c>
      <c r="CP27" s="28">
        <v>1.9987507807620237</v>
      </c>
      <c r="CQ27" s="28">
        <v>1.9987507807620237</v>
      </c>
      <c r="CR27" s="32">
        <f t="shared" si="27"/>
        <v>13.951280449718926</v>
      </c>
      <c r="CS27" s="32">
        <v>13.951280449718926</v>
      </c>
      <c r="CT27" s="32">
        <f t="shared" si="28"/>
        <v>15.351280449718926</v>
      </c>
      <c r="CU27" s="32">
        <f t="shared" si="29"/>
        <v>0.27486625693319472</v>
      </c>
      <c r="CV27" s="32">
        <f t="shared" si="30"/>
        <v>0.27486625693319472</v>
      </c>
      <c r="CW27" s="60">
        <f t="shared" si="31"/>
        <v>13.951280449718926</v>
      </c>
      <c r="CX27" s="60">
        <v>13.951280449718926</v>
      </c>
      <c r="CY27" s="60">
        <f t="shared" si="32"/>
        <v>15.351280449718926</v>
      </c>
      <c r="CZ27" s="60">
        <f t="shared" si="33"/>
        <v>0.27486625693319472</v>
      </c>
      <c r="DA27" s="60">
        <f t="shared" si="34"/>
        <v>0.27486625693319472</v>
      </c>
      <c r="DB27" s="32">
        <f t="shared" si="35"/>
        <v>4.0807828440557987</v>
      </c>
      <c r="DC27">
        <f t="shared" si="36"/>
        <v>2.3245910045621399</v>
      </c>
      <c r="DD27">
        <f t="shared" si="37"/>
        <v>2.1928144248550507E-2</v>
      </c>
      <c r="DE27">
        <f t="shared" si="38"/>
        <v>0.11824284633028104</v>
      </c>
      <c r="DF27">
        <f t="shared" si="39"/>
        <v>0.85982900942116847</v>
      </c>
      <c r="DG27">
        <f t="shared" si="40"/>
        <v>2.3245910045621399</v>
      </c>
      <c r="DH27">
        <f t="shared" si="41"/>
        <v>2.1928144248550507E-2</v>
      </c>
      <c r="DI27">
        <f t="shared" si="42"/>
        <v>0.11824284633028104</v>
      </c>
      <c r="DJ27">
        <f t="shared" si="43"/>
        <v>0.85982900942116847</v>
      </c>
      <c r="DK27" s="64">
        <f t="shared" si="44"/>
        <v>-0.39521697640355002</v>
      </c>
      <c r="DL27" s="64">
        <f t="shared" si="45"/>
        <v>-0.39521697640355002</v>
      </c>
      <c r="DM27" s="64">
        <f t="shared" si="46"/>
        <v>-0.33412301202896466</v>
      </c>
      <c r="DN27" s="64">
        <f t="shared" si="47"/>
        <v>-0.33412301202896466</v>
      </c>
      <c r="DO27" t="str">
        <f t="shared" si="48"/>
        <v>Sufficient Capacity</v>
      </c>
      <c r="DP27" t="str">
        <f t="shared" si="49"/>
        <v>Sufficient Capacity</v>
      </c>
    </row>
    <row r="28" spans="1:120" ht="15.75" x14ac:dyDescent="0.25">
      <c r="A28" s="2" t="s">
        <v>81</v>
      </c>
      <c r="B28" s="2" t="s">
        <v>81</v>
      </c>
      <c r="C28" s="2" t="s">
        <v>738</v>
      </c>
      <c r="D28" s="2" t="s">
        <v>470</v>
      </c>
      <c r="E28" s="2" t="s">
        <v>470</v>
      </c>
      <c r="F28" s="2">
        <v>27</v>
      </c>
      <c r="G28" s="2" t="s">
        <v>736</v>
      </c>
      <c r="H28" s="10" t="s">
        <v>656</v>
      </c>
      <c r="I28" s="2">
        <v>150</v>
      </c>
      <c r="J28" s="2">
        <v>65</v>
      </c>
      <c r="K28" s="2">
        <v>22.6</v>
      </c>
      <c r="L28" t="s">
        <v>54</v>
      </c>
      <c r="M28" s="2" t="s">
        <v>1120</v>
      </c>
      <c r="N28" s="2" t="s">
        <v>437</v>
      </c>
      <c r="O28" s="2" t="s">
        <v>666</v>
      </c>
      <c r="P28" s="2" t="s">
        <v>1131</v>
      </c>
      <c r="Q28" s="9" t="s">
        <v>737</v>
      </c>
      <c r="R28" s="2" t="str">
        <f t="shared" si="0"/>
        <v>CW_3_Section_2</v>
      </c>
      <c r="S28" s="2" t="str">
        <f t="shared" si="1"/>
        <v>CW_3_MF05</v>
      </c>
      <c r="T28" s="11" t="s">
        <v>691</v>
      </c>
      <c r="U28" s="1">
        <v>45518</v>
      </c>
      <c r="V28" s="2" t="s">
        <v>692</v>
      </c>
      <c r="W28" s="2" t="s">
        <v>655</v>
      </c>
      <c r="X28" s="2" t="s">
        <v>690</v>
      </c>
      <c r="Y28" s="2" t="str">
        <f t="shared" si="2"/>
        <v>T0_0.15-0.30</v>
      </c>
      <c r="Z28" t="s">
        <v>55</v>
      </c>
      <c r="AA28">
        <v>4.5</v>
      </c>
      <c r="AB28">
        <v>6.1</v>
      </c>
      <c r="AC28">
        <v>1.1000000000000001</v>
      </c>
      <c r="AD28" s="32">
        <f t="shared" si="3"/>
        <v>4.2248111637434386E-4</v>
      </c>
      <c r="AE28">
        <v>0.02</v>
      </c>
      <c r="AF28" s="32">
        <f>($AE28/92140)*36</f>
        <v>7.8141957890167132E-6</v>
      </c>
      <c r="AG28">
        <v>0.93</v>
      </c>
      <c r="AH28" s="32">
        <f t="shared" si="4"/>
        <v>3.679005368748234E-4</v>
      </c>
      <c r="AI28">
        <v>0.43</v>
      </c>
      <c r="AJ28" s="32">
        <f t="shared" si="5"/>
        <v>1.7010454930771403E-4</v>
      </c>
      <c r="AK28">
        <v>0.47</v>
      </c>
      <c r="AL28" s="32">
        <f t="shared" si="6"/>
        <v>1.8592822831308279E-4</v>
      </c>
      <c r="AM28">
        <v>0.9</v>
      </c>
      <c r="AO28" s="49">
        <v>3.07</v>
      </c>
      <c r="AP28" s="49">
        <f t="shared" si="7"/>
        <v>7.9819584903818397E-4</v>
      </c>
      <c r="AQ28">
        <v>5</v>
      </c>
      <c r="AR28" s="32">
        <f t="shared" si="8"/>
        <v>1.8725130685807909E-3</v>
      </c>
      <c r="AS28" s="48">
        <v>4.7</v>
      </c>
      <c r="AT28" s="27">
        <f t="shared" si="9"/>
        <v>1.7601622844659439E-3</v>
      </c>
      <c r="AU28" s="48">
        <v>0.01</v>
      </c>
      <c r="AV28" s="27">
        <f t="shared" si="10"/>
        <v>3.6796110125501018E-6</v>
      </c>
      <c r="AW28" s="48">
        <v>0.01</v>
      </c>
      <c r="AX28" s="27">
        <f t="shared" si="11"/>
        <v>3.7611049867064394E-6</v>
      </c>
      <c r="AY28" s="48">
        <v>5.0000000000000001E-3</v>
      </c>
      <c r="AZ28" s="27">
        <f t="shared" si="12"/>
        <v>1.8649981951630372E-6</v>
      </c>
      <c r="BA28" s="48">
        <v>1E-3</v>
      </c>
      <c r="BB28" s="27">
        <f t="shared" si="13"/>
        <v>3.7030802895135499E-7</v>
      </c>
      <c r="BC28" s="48">
        <v>1E-3</v>
      </c>
      <c r="BD28" s="27">
        <f t="shared" si="14"/>
        <v>3.7030802895135499E-7</v>
      </c>
      <c r="BE28" s="48">
        <v>1E-3</v>
      </c>
      <c r="BF28" s="27">
        <f t="shared" si="15"/>
        <v>3.6588380716934485E-7</v>
      </c>
      <c r="BG28" s="48">
        <v>2E-3</v>
      </c>
      <c r="BH28" s="27">
        <f t="shared" si="16"/>
        <v>7.3176761433868969E-7</v>
      </c>
      <c r="BI28" s="52">
        <f t="shared" si="17"/>
        <v>4.7300000000000004</v>
      </c>
      <c r="BJ28" s="52">
        <f t="shared" si="18"/>
        <v>3.0000000000000006E-2</v>
      </c>
      <c r="BK28" s="27">
        <f t="shared" si="19"/>
        <v>1.7713062661397743E-3</v>
      </c>
      <c r="BL28" s="27">
        <f t="shared" si="20"/>
        <v>1.1143981673830322E-5</v>
      </c>
      <c r="BM28">
        <v>2.5</v>
      </c>
      <c r="BN28">
        <v>2.5</v>
      </c>
      <c r="BO28" t="s">
        <v>19</v>
      </c>
      <c r="BP28">
        <v>5</v>
      </c>
      <c r="BQ28">
        <v>56</v>
      </c>
      <c r="BR28">
        <v>0.2</v>
      </c>
      <c r="BS28">
        <v>0.65</v>
      </c>
      <c r="BT28">
        <v>0.28000000000000003</v>
      </c>
      <c r="BU28">
        <v>24.1</v>
      </c>
      <c r="BV28">
        <v>-159</v>
      </c>
      <c r="BW28">
        <v>7.08</v>
      </c>
      <c r="BX28">
        <v>934</v>
      </c>
      <c r="BY28">
        <v>0.2</v>
      </c>
      <c r="BZ28" t="s">
        <v>443</v>
      </c>
      <c r="CA28" s="32">
        <v>4.3</v>
      </c>
      <c r="CB28" s="32">
        <f t="shared" si="21"/>
        <v>7.6991942703670546E-2</v>
      </c>
      <c r="CC28" s="32">
        <f t="shared" si="22"/>
        <v>7.6991942703670546E-2</v>
      </c>
      <c r="CD28" s="32">
        <v>1.5</v>
      </c>
      <c r="CE28" s="32">
        <f t="shared" si="23"/>
        <v>2.7307482250136537E-2</v>
      </c>
      <c r="CF28" s="32">
        <f t="shared" si="24"/>
        <v>5.4614964500273075E-2</v>
      </c>
      <c r="CG28" s="27">
        <v>240</v>
      </c>
      <c r="CH28" s="27">
        <f t="shared" si="25"/>
        <v>2.4984384759525295</v>
      </c>
      <c r="CI28" s="27">
        <f t="shared" si="26"/>
        <v>19.987507807620236</v>
      </c>
      <c r="CJ28" s="58">
        <v>-167</v>
      </c>
      <c r="CK28" s="58">
        <v>-228.76712328767121</v>
      </c>
      <c r="CL28" s="58">
        <v>-13.907974182802414</v>
      </c>
      <c r="CN28" s="28">
        <v>-239.5</v>
      </c>
      <c r="CO28" s="28">
        <v>-47900</v>
      </c>
      <c r="CP28" s="28">
        <v>-19.945867166354361</v>
      </c>
      <c r="CR28" s="32">
        <f t="shared" si="27"/>
        <v>-97.077659795960855</v>
      </c>
      <c r="CS28" s="32">
        <v>0</v>
      </c>
      <c r="CT28" s="32">
        <f t="shared" si="28"/>
        <v>4.3</v>
      </c>
      <c r="CU28" s="32">
        <f t="shared" si="29"/>
        <v>7.6991942703670546E-2</v>
      </c>
      <c r="CV28" s="32">
        <f t="shared" si="30"/>
        <v>7.6991942703670546E-2</v>
      </c>
      <c r="CW28" s="60">
        <f t="shared" si="31"/>
        <v>-139.22215282115343</v>
      </c>
      <c r="CY28" s="60">
        <f t="shared" si="32"/>
        <v>4.3</v>
      </c>
      <c r="CZ28" s="60">
        <f t="shared" si="33"/>
        <v>7.6991942703670546E-2</v>
      </c>
      <c r="DA28" s="60">
        <f t="shared" si="34"/>
        <v>7.6991942703670546E-2</v>
      </c>
      <c r="DB28" s="32">
        <f t="shared" si="35"/>
        <v>19.987507807620236</v>
      </c>
      <c r="DC28">
        <f t="shared" si="36"/>
        <v>0.13160690720394363</v>
      </c>
      <c r="DD28">
        <f t="shared" si="37"/>
        <v>0.41498554795182152</v>
      </c>
      <c r="DE28">
        <f t="shared" si="38"/>
        <v>0.58501445204817837</v>
      </c>
      <c r="DF28">
        <f t="shared" si="39"/>
        <v>0</v>
      </c>
      <c r="DG28">
        <f t="shared" si="40"/>
        <v>0.13160690720394363</v>
      </c>
      <c r="DH28">
        <f t="shared" si="41"/>
        <v>0.41498554795182152</v>
      </c>
      <c r="DI28">
        <f t="shared" si="42"/>
        <v>0.58501445204817837</v>
      </c>
      <c r="DJ28">
        <f t="shared" si="43"/>
        <v>0</v>
      </c>
      <c r="DK28" s="64">
        <f t="shared" si="44"/>
        <v>-0.12893619828632466</v>
      </c>
      <c r="DL28" s="64">
        <f t="shared" si="45"/>
        <v>-0.12893619828632466</v>
      </c>
      <c r="DM28" s="64">
        <f t="shared" si="46"/>
        <v>-0.12892505430465084</v>
      </c>
      <c r="DN28" s="64">
        <f t="shared" si="47"/>
        <v>-0.12892505430465084</v>
      </c>
      <c r="DO28" t="str">
        <f t="shared" si="48"/>
        <v>Sufficient Capacity</v>
      </c>
      <c r="DP28" t="str">
        <f t="shared" si="49"/>
        <v>Sufficient Capacity</v>
      </c>
    </row>
    <row r="29" spans="1:120" ht="15.75" x14ac:dyDescent="0.25">
      <c r="A29" s="2" t="s">
        <v>82</v>
      </c>
      <c r="B29" s="2" t="s">
        <v>82</v>
      </c>
      <c r="C29" s="2" t="s">
        <v>741</v>
      </c>
      <c r="D29" s="2" t="s">
        <v>471</v>
      </c>
      <c r="E29" s="2" t="s">
        <v>471</v>
      </c>
      <c r="F29" s="2">
        <v>28</v>
      </c>
      <c r="G29" s="2" t="s">
        <v>739</v>
      </c>
      <c r="H29" s="10" t="s">
        <v>656</v>
      </c>
      <c r="I29" s="2">
        <v>150</v>
      </c>
      <c r="J29" s="2">
        <v>65</v>
      </c>
      <c r="K29" s="2">
        <v>5.8</v>
      </c>
      <c r="L29" t="s">
        <v>56</v>
      </c>
      <c r="M29" s="2" t="s">
        <v>1120</v>
      </c>
      <c r="N29" s="2" t="s">
        <v>437</v>
      </c>
      <c r="O29" s="2" t="s">
        <v>666</v>
      </c>
      <c r="P29" s="2" t="s">
        <v>1132</v>
      </c>
      <c r="Q29" s="9" t="s">
        <v>740</v>
      </c>
      <c r="R29" s="2" t="str">
        <f t="shared" si="0"/>
        <v>CW_3_Section_2</v>
      </c>
      <c r="S29" s="2" t="str">
        <f t="shared" si="1"/>
        <v>CW_3_MF06</v>
      </c>
      <c r="T29" s="11" t="s">
        <v>691</v>
      </c>
      <c r="U29" s="1">
        <v>45518</v>
      </c>
      <c r="V29" s="2" t="s">
        <v>692</v>
      </c>
      <c r="W29" s="2" t="s">
        <v>663</v>
      </c>
      <c r="X29" s="2" t="s">
        <v>690</v>
      </c>
      <c r="Y29" s="2" t="str">
        <f t="shared" si="2"/>
        <v>T0_0.60-0.80</v>
      </c>
      <c r="Z29" t="s">
        <v>57</v>
      </c>
      <c r="AA29">
        <v>11</v>
      </c>
      <c r="AB29">
        <v>9.5</v>
      </c>
      <c r="AC29">
        <v>570</v>
      </c>
      <c r="AD29" s="32">
        <f t="shared" si="3"/>
        <v>0.21892203303034183</v>
      </c>
      <c r="AE29">
        <v>31</v>
      </c>
      <c r="AF29" s="32">
        <f>($AE29/92140)*36</f>
        <v>1.2112003472975906E-2</v>
      </c>
      <c r="AG29">
        <v>350</v>
      </c>
      <c r="AH29" s="32">
        <f t="shared" si="4"/>
        <v>0.13845719129697656</v>
      </c>
      <c r="AI29">
        <v>150</v>
      </c>
      <c r="AJ29" s="32">
        <f t="shared" si="5"/>
        <v>5.9338796270132804E-2</v>
      </c>
      <c r="AK29">
        <v>150</v>
      </c>
      <c r="AL29" s="32">
        <f t="shared" si="6"/>
        <v>5.9338796270132804E-2</v>
      </c>
      <c r="AM29">
        <v>300</v>
      </c>
      <c r="AO29" s="49">
        <v>1251</v>
      </c>
      <c r="AP29" s="49">
        <f t="shared" si="7"/>
        <v>0.36949122780029431</v>
      </c>
      <c r="AQ29">
        <v>2000</v>
      </c>
      <c r="AR29" s="32">
        <f t="shared" si="8"/>
        <v>0.74900522743231646</v>
      </c>
      <c r="AS29" s="48">
        <v>900</v>
      </c>
      <c r="AT29" s="27">
        <f t="shared" si="9"/>
        <v>0.33705235234454245</v>
      </c>
      <c r="AU29" s="48">
        <v>47</v>
      </c>
      <c r="AV29" s="27">
        <f t="shared" si="10"/>
        <v>1.7294171758985479E-2</v>
      </c>
      <c r="AW29" s="48">
        <v>4</v>
      </c>
      <c r="AX29" s="27">
        <f t="shared" si="11"/>
        <v>1.5044419946825757E-3</v>
      </c>
      <c r="AY29" s="48">
        <v>2</v>
      </c>
      <c r="AZ29" s="27">
        <f t="shared" si="12"/>
        <v>7.4599927806521475E-4</v>
      </c>
      <c r="BA29" s="48">
        <v>7.3</v>
      </c>
      <c r="BB29" s="27">
        <f t="shared" si="13"/>
        <v>2.7032486113448911E-3</v>
      </c>
      <c r="BC29" s="48">
        <v>1.4</v>
      </c>
      <c r="BD29" s="27">
        <f t="shared" si="14"/>
        <v>5.1843124053189689E-4</v>
      </c>
      <c r="BE29" s="48">
        <v>0.06</v>
      </c>
      <c r="BF29" s="27">
        <f t="shared" si="15"/>
        <v>2.1953028430160689E-5</v>
      </c>
      <c r="BG29" s="48">
        <v>0.03</v>
      </c>
      <c r="BH29" s="27">
        <f t="shared" si="16"/>
        <v>1.0976514215080345E-5</v>
      </c>
      <c r="BI29" s="52">
        <f t="shared" si="17"/>
        <v>961.78999999999985</v>
      </c>
      <c r="BJ29" s="52">
        <f t="shared" si="18"/>
        <v>61.79</v>
      </c>
      <c r="BK29" s="27">
        <f t="shared" si="19"/>
        <v>0.35985157477079777</v>
      </c>
      <c r="BL29" s="27">
        <f t="shared" si="20"/>
        <v>2.2799222426255292E-2</v>
      </c>
      <c r="BM29">
        <v>3000</v>
      </c>
      <c r="BN29">
        <v>750</v>
      </c>
      <c r="BO29" t="s">
        <v>19</v>
      </c>
      <c r="BP29">
        <v>3700</v>
      </c>
      <c r="BQ29">
        <v>66</v>
      </c>
      <c r="BR29">
        <v>24</v>
      </c>
      <c r="BS29">
        <v>1</v>
      </c>
      <c r="BT29">
        <v>0.22</v>
      </c>
      <c r="BU29">
        <v>22.8</v>
      </c>
      <c r="BV29">
        <v>-163</v>
      </c>
      <c r="BW29">
        <v>7.11</v>
      </c>
      <c r="BX29">
        <v>1064</v>
      </c>
      <c r="BY29">
        <v>0.2</v>
      </c>
      <c r="BZ29" t="s">
        <v>443</v>
      </c>
      <c r="CA29" s="32">
        <v>1.8</v>
      </c>
      <c r="CB29" s="32">
        <f t="shared" si="21"/>
        <v>3.222918531781558E-2</v>
      </c>
      <c r="CC29" s="32">
        <f t="shared" si="22"/>
        <v>3.222918531781558E-2</v>
      </c>
      <c r="CD29" s="32">
        <v>2.1</v>
      </c>
      <c r="CE29" s="32">
        <f t="shared" si="23"/>
        <v>3.8230475150191151E-2</v>
      </c>
      <c r="CF29" s="32">
        <f t="shared" si="24"/>
        <v>7.6460950300382302E-2</v>
      </c>
      <c r="CG29" s="27">
        <v>52</v>
      </c>
      <c r="CH29" s="27">
        <f t="shared" si="25"/>
        <v>0.54132833645638145</v>
      </c>
      <c r="CI29" s="27">
        <f t="shared" si="26"/>
        <v>4.3306266916510516</v>
      </c>
      <c r="CJ29" s="58">
        <v>21</v>
      </c>
      <c r="CK29" s="58">
        <v>28.767123287671232</v>
      </c>
      <c r="CL29" s="58">
        <v>1.7489069331667708</v>
      </c>
      <c r="CM29" s="58">
        <v>1.7489069331667708</v>
      </c>
      <c r="CN29" s="28">
        <v>-3</v>
      </c>
      <c r="CO29" s="28">
        <v>-6.1224489795918364</v>
      </c>
      <c r="CP29" s="28">
        <v>-0.24984384759525297</v>
      </c>
      <c r="CR29" s="32">
        <f t="shared" si="27"/>
        <v>12.207370393504059</v>
      </c>
      <c r="CS29" s="32">
        <v>12.207370393504059</v>
      </c>
      <c r="CT29" s="32">
        <f t="shared" si="28"/>
        <v>14.007370393504059</v>
      </c>
      <c r="CU29" s="32">
        <f t="shared" si="29"/>
        <v>0.25080340901529202</v>
      </c>
      <c r="CV29" s="32">
        <f t="shared" si="30"/>
        <v>0.25080340901529202</v>
      </c>
      <c r="CW29" s="60">
        <f t="shared" si="31"/>
        <v>-1.7439100562148657</v>
      </c>
      <c r="CY29" s="60">
        <f t="shared" si="32"/>
        <v>1.8</v>
      </c>
      <c r="CZ29" s="60">
        <f t="shared" si="33"/>
        <v>3.222918531781558E-2</v>
      </c>
      <c r="DA29" s="60">
        <f t="shared" si="34"/>
        <v>3.222918531781558E-2</v>
      </c>
      <c r="DB29" s="32">
        <f t="shared" si="35"/>
        <v>4.3306266916510516</v>
      </c>
      <c r="DC29">
        <f t="shared" si="36"/>
        <v>2.0761712924824449</v>
      </c>
      <c r="DD29">
        <f t="shared" si="37"/>
        <v>3.6827862217938274E-2</v>
      </c>
      <c r="DE29">
        <f t="shared" si="38"/>
        <v>0.12080092327806459</v>
      </c>
      <c r="DF29">
        <f t="shared" si="39"/>
        <v>0.84237121450399721</v>
      </c>
      <c r="DG29">
        <f t="shared" si="40"/>
        <v>0.10869013561819788</v>
      </c>
      <c r="DH29">
        <f t="shared" si="41"/>
        <v>0.70347644581998781</v>
      </c>
      <c r="DI29">
        <f t="shared" si="42"/>
        <v>0.29652355418001231</v>
      </c>
      <c r="DJ29">
        <f t="shared" si="43"/>
        <v>0</v>
      </c>
      <c r="DK29" s="64">
        <f t="shared" si="44"/>
        <v>-0.95767483724983427</v>
      </c>
      <c r="DL29" s="64">
        <f t="shared" si="45"/>
        <v>1.0098063196144127</v>
      </c>
      <c r="DM29" s="64">
        <f t="shared" si="46"/>
        <v>-0.93487561482357906</v>
      </c>
      <c r="DN29" s="64">
        <f t="shared" si="47"/>
        <v>1.0326055420406679</v>
      </c>
      <c r="DO29" t="str">
        <f t="shared" si="48"/>
        <v>Sufficient Capacity</v>
      </c>
      <c r="DP29" t="str">
        <f t="shared" si="49"/>
        <v>Insufficient Capacity</v>
      </c>
    </row>
    <row r="30" spans="1:120" ht="15.75" x14ac:dyDescent="0.25">
      <c r="A30" s="29" t="s">
        <v>83</v>
      </c>
      <c r="B30" s="29" t="s">
        <v>83</v>
      </c>
      <c r="C30" s="29" t="s">
        <v>744</v>
      </c>
      <c r="D30" s="29" t="s">
        <v>472</v>
      </c>
      <c r="E30" s="29" t="s">
        <v>472</v>
      </c>
      <c r="F30" s="29">
        <v>29</v>
      </c>
      <c r="G30" s="29" t="s">
        <v>742</v>
      </c>
      <c r="H30" s="30" t="s">
        <v>656</v>
      </c>
      <c r="I30" s="29">
        <v>150</v>
      </c>
      <c r="J30" s="29">
        <v>65</v>
      </c>
      <c r="K30" s="29">
        <v>24</v>
      </c>
      <c r="L30" s="32" t="s">
        <v>58</v>
      </c>
      <c r="M30" s="29" t="s">
        <v>1120</v>
      </c>
      <c r="N30" s="29" t="s">
        <v>437</v>
      </c>
      <c r="O30" s="29" t="s">
        <v>673</v>
      </c>
      <c r="P30" s="29" t="s">
        <v>1127</v>
      </c>
      <c r="Q30" s="40" t="s">
        <v>743</v>
      </c>
      <c r="R30" s="2" t="str">
        <f t="shared" si="0"/>
        <v>CW_3_Section_3</v>
      </c>
      <c r="S30" s="2" t="str">
        <f t="shared" si="1"/>
        <v>CW_3_MF09</v>
      </c>
      <c r="T30" s="31" t="s">
        <v>691</v>
      </c>
      <c r="U30" s="33">
        <v>45518</v>
      </c>
      <c r="V30" s="29" t="s">
        <v>692</v>
      </c>
      <c r="W30" s="29" t="s">
        <v>655</v>
      </c>
      <c r="X30" s="29" t="s">
        <v>690</v>
      </c>
      <c r="Y30" s="2" t="str">
        <f t="shared" si="2"/>
        <v>T0_0.15-0.30</v>
      </c>
      <c r="Z30" s="32" t="s">
        <v>59</v>
      </c>
      <c r="AA30" s="32">
        <v>39</v>
      </c>
      <c r="AB30" s="32">
        <v>39</v>
      </c>
      <c r="AC30" s="32">
        <v>6.6</v>
      </c>
      <c r="AD30" s="32">
        <f t="shared" si="3"/>
        <v>2.534886698246063E-3</v>
      </c>
      <c r="AE30" s="32">
        <v>0.1</v>
      </c>
      <c r="AF30" s="32">
        <f>($AE30/92140)*36</f>
        <v>3.9070978945083576E-5</v>
      </c>
      <c r="AG30" s="32">
        <v>2.2999999999999998</v>
      </c>
      <c r="AH30" s="32">
        <f t="shared" si="4"/>
        <v>9.0986154280870292E-4</v>
      </c>
      <c r="AI30" s="32">
        <v>0.1</v>
      </c>
      <c r="AJ30" s="32">
        <f t="shared" si="5"/>
        <v>3.9559197513421869E-5</v>
      </c>
      <c r="AK30" s="32">
        <v>0.2</v>
      </c>
      <c r="AL30" s="32">
        <f t="shared" si="6"/>
        <v>7.9118395026843739E-5</v>
      </c>
      <c r="AM30" s="32">
        <v>2.1</v>
      </c>
      <c r="AN30" s="32"/>
      <c r="AO30" s="49">
        <v>11.7</v>
      </c>
      <c r="AP30" s="49">
        <f t="shared" si="7"/>
        <v>3.4838192199998495E-3</v>
      </c>
      <c r="AQ30" s="32">
        <v>18</v>
      </c>
      <c r="AR30" s="32">
        <f t="shared" si="8"/>
        <v>6.7410470468908471E-3</v>
      </c>
      <c r="AS30" s="48">
        <v>8.3000000000000007</v>
      </c>
      <c r="AT30" s="27">
        <f t="shared" si="9"/>
        <v>3.1083716938441136E-3</v>
      </c>
      <c r="AU30" s="48">
        <v>0.41</v>
      </c>
      <c r="AV30" s="27">
        <f t="shared" si="10"/>
        <v>1.5086405151455416E-4</v>
      </c>
      <c r="AW30" s="48">
        <v>0.21</v>
      </c>
      <c r="AX30" s="27">
        <f t="shared" si="11"/>
        <v>7.8983204720835227E-5</v>
      </c>
      <c r="AY30" s="48">
        <v>7.0000000000000007E-2</v>
      </c>
      <c r="AZ30" s="27">
        <f t="shared" si="12"/>
        <v>2.6109974732282519E-5</v>
      </c>
      <c r="BA30" s="48">
        <v>0.04</v>
      </c>
      <c r="BB30" s="27">
        <f t="shared" si="13"/>
        <v>1.4812321158054199E-5</v>
      </c>
      <c r="BC30" s="48">
        <v>1E-3</v>
      </c>
      <c r="BD30" s="27">
        <f t="shared" si="14"/>
        <v>3.7030802895135499E-7</v>
      </c>
      <c r="BE30" s="48">
        <v>1E-3</v>
      </c>
      <c r="BF30" s="27">
        <f t="shared" si="15"/>
        <v>3.6588380716934485E-7</v>
      </c>
      <c r="BG30" s="48">
        <v>2E-3</v>
      </c>
      <c r="BH30" s="27">
        <f t="shared" si="16"/>
        <v>7.3176761433868969E-7</v>
      </c>
      <c r="BI30" s="52">
        <f t="shared" si="17"/>
        <v>9.0340000000000007</v>
      </c>
      <c r="BJ30" s="52">
        <f t="shared" si="18"/>
        <v>0.73399999999999999</v>
      </c>
      <c r="BK30" s="27">
        <f t="shared" si="19"/>
        <v>3.380609205420299E-3</v>
      </c>
      <c r="BL30" s="27">
        <f t="shared" si="20"/>
        <v>2.7223751157618548E-4</v>
      </c>
      <c r="BM30" s="32">
        <v>2.5</v>
      </c>
      <c r="BN30" s="32">
        <v>2.5</v>
      </c>
      <c r="BO30" s="32" t="s">
        <v>19</v>
      </c>
      <c r="BP30" s="32">
        <v>5</v>
      </c>
      <c r="BQ30" s="32">
        <v>16</v>
      </c>
      <c r="BR30" s="32">
        <v>5.2</v>
      </c>
      <c r="BS30" s="32">
        <v>3</v>
      </c>
      <c r="BT30" s="32">
        <v>4.7</v>
      </c>
      <c r="BU30" s="32">
        <v>24</v>
      </c>
      <c r="BV30" s="32">
        <v>-117</v>
      </c>
      <c r="BW30" s="32">
        <v>6.91</v>
      </c>
      <c r="BX30" s="32">
        <v>1036</v>
      </c>
      <c r="BY30" s="32">
        <v>0.1</v>
      </c>
      <c r="BZ30" s="32" t="s">
        <v>443</v>
      </c>
      <c r="CA30" s="32">
        <v>24</v>
      </c>
      <c r="CB30" s="32">
        <f t="shared" si="21"/>
        <v>0.42972247090420768</v>
      </c>
      <c r="CC30" s="32">
        <f t="shared" si="22"/>
        <v>0.42972247090420768</v>
      </c>
      <c r="CD30" s="32">
        <v>5.8</v>
      </c>
      <c r="CE30" s="32">
        <f t="shared" si="23"/>
        <v>0.10558893136719461</v>
      </c>
      <c r="CF30" s="32">
        <f t="shared" si="24"/>
        <v>0.21117786273438921</v>
      </c>
      <c r="CG30" s="32">
        <v>0.5</v>
      </c>
      <c r="CH30" s="32">
        <f t="shared" si="25"/>
        <v>5.2050801582344368E-3</v>
      </c>
      <c r="CI30" s="32">
        <f t="shared" si="26"/>
        <v>4.1640641265875494E-2</v>
      </c>
      <c r="CJ30" s="58">
        <v>72.5</v>
      </c>
      <c r="CK30" s="58">
        <v>99.315068493150676</v>
      </c>
      <c r="CL30" s="58">
        <v>6.0378929835519468</v>
      </c>
      <c r="CM30" s="58">
        <v>6.0378929835519468</v>
      </c>
      <c r="CN30" s="28">
        <v>239.5</v>
      </c>
      <c r="CO30" s="28">
        <v>99.791666666666671</v>
      </c>
      <c r="CP30" s="28">
        <v>19.945867166354361</v>
      </c>
      <c r="CQ30" s="28">
        <v>19.945867166354361</v>
      </c>
      <c r="CR30" s="32">
        <f t="shared" si="27"/>
        <v>42.144493025192588</v>
      </c>
      <c r="CS30" s="32">
        <v>42.144493025192588</v>
      </c>
      <c r="CT30" s="32">
        <f t="shared" si="28"/>
        <v>66.144493025192588</v>
      </c>
      <c r="CU30" s="32">
        <f t="shared" si="29"/>
        <v>1.1843239574788287</v>
      </c>
      <c r="CV30" s="32">
        <f t="shared" si="30"/>
        <v>1.1843239574788287</v>
      </c>
      <c r="CW30" s="60">
        <f t="shared" si="31"/>
        <v>139.22215282115343</v>
      </c>
      <c r="CX30" s="60">
        <v>139.22215282115343</v>
      </c>
      <c r="CY30" s="60">
        <f t="shared" si="32"/>
        <v>163.22215282115343</v>
      </c>
      <c r="CZ30" s="60">
        <f t="shared" si="33"/>
        <v>2.9225094506920937</v>
      </c>
      <c r="DA30" s="60">
        <f t="shared" si="34"/>
        <v>2.9225094506920937</v>
      </c>
      <c r="DB30" s="32">
        <f t="shared" si="35"/>
        <v>4.1640641265875494E-2</v>
      </c>
      <c r="DC30">
        <f t="shared" si="36"/>
        <v>7.4333948037651645</v>
      </c>
      <c r="DD30">
        <f t="shared" si="37"/>
        <v>2.8409343013426833E-2</v>
      </c>
      <c r="DE30">
        <f t="shared" si="38"/>
        <v>0.159324775387814</v>
      </c>
      <c r="DF30">
        <f t="shared" si="39"/>
        <v>0.81226588159875923</v>
      </c>
      <c r="DG30">
        <f t="shared" si="40"/>
        <v>23.079554479780846</v>
      </c>
      <c r="DH30">
        <f t="shared" si="41"/>
        <v>9.1499973675572641E-3</v>
      </c>
      <c r="DI30">
        <f t="shared" si="42"/>
        <v>0.12662763716918354</v>
      </c>
      <c r="DJ30">
        <f t="shared" si="43"/>
        <v>0.86422236546325915</v>
      </c>
      <c r="DK30" s="64">
        <f t="shared" si="44"/>
        <v>-7.4231699374982734</v>
      </c>
      <c r="DL30" s="64">
        <f t="shared" si="45"/>
        <v>-23.069329613513954</v>
      </c>
      <c r="DM30" s="64">
        <f t="shared" si="46"/>
        <v>-7.4228976999866978</v>
      </c>
      <c r="DN30" s="64">
        <f t="shared" si="47"/>
        <v>-23.06905737600238</v>
      </c>
      <c r="DO30" t="str">
        <f t="shared" si="48"/>
        <v>Sufficient Capacity</v>
      </c>
      <c r="DP30" t="str">
        <f t="shared" si="49"/>
        <v>Sufficient Capacity</v>
      </c>
    </row>
    <row r="31" spans="1:120" ht="15.75" x14ac:dyDescent="0.25">
      <c r="A31" s="41" t="s">
        <v>84</v>
      </c>
      <c r="B31" s="41" t="s">
        <v>84</v>
      </c>
      <c r="C31" s="41" t="s">
        <v>747</v>
      </c>
      <c r="D31" s="41" t="s">
        <v>473</v>
      </c>
      <c r="E31" s="41" t="s">
        <v>473</v>
      </c>
      <c r="F31" s="41">
        <v>30</v>
      </c>
      <c r="G31" s="41" t="s">
        <v>745</v>
      </c>
      <c r="H31" s="43" t="s">
        <v>656</v>
      </c>
      <c r="I31" s="41">
        <v>150</v>
      </c>
      <c r="J31" s="41">
        <v>65</v>
      </c>
      <c r="K31" s="41">
        <v>10.55</v>
      </c>
      <c r="L31" s="26" t="s">
        <v>60</v>
      </c>
      <c r="M31" s="41" t="s">
        <v>1120</v>
      </c>
      <c r="N31" s="41" t="s">
        <v>437</v>
      </c>
      <c r="O31" s="41" t="s">
        <v>673</v>
      </c>
      <c r="P31" s="41" t="s">
        <v>1128</v>
      </c>
      <c r="Q31" s="42" t="s">
        <v>746</v>
      </c>
      <c r="R31" s="2" t="str">
        <f t="shared" si="0"/>
        <v>CW_3_Section_3</v>
      </c>
      <c r="S31" s="2" t="str">
        <f t="shared" si="1"/>
        <v>CW_3_MF10</v>
      </c>
      <c r="T31" s="44" t="s">
        <v>691</v>
      </c>
      <c r="U31" s="45">
        <v>45518</v>
      </c>
      <c r="V31" s="41" t="s">
        <v>692</v>
      </c>
      <c r="W31" s="41" t="s">
        <v>663</v>
      </c>
      <c r="X31" s="41" t="s">
        <v>690</v>
      </c>
      <c r="Y31" s="2" t="str">
        <f t="shared" si="2"/>
        <v>T0_0.60-0.80</v>
      </c>
      <c r="Z31" s="26" t="s">
        <v>61</v>
      </c>
      <c r="AA31" s="26">
        <v>10</v>
      </c>
      <c r="AB31" s="26">
        <v>11</v>
      </c>
      <c r="AC31" s="26">
        <v>630</v>
      </c>
      <c r="AD31" s="32">
        <f t="shared" si="3"/>
        <v>0.24196645755985149</v>
      </c>
      <c r="AE31" s="26">
        <v>18</v>
      </c>
      <c r="AF31" s="32">
        <f>($AE31/92140)*36</f>
        <v>7.0327762101150427E-3</v>
      </c>
      <c r="AG31" s="26">
        <v>370</v>
      </c>
      <c r="AH31" s="32">
        <f t="shared" si="4"/>
        <v>0.14636903079966093</v>
      </c>
      <c r="AI31" s="26">
        <v>140</v>
      </c>
      <c r="AJ31" s="32">
        <f t="shared" si="5"/>
        <v>5.5382876518790619E-2</v>
      </c>
      <c r="AK31" s="26">
        <v>120</v>
      </c>
      <c r="AL31" s="32">
        <f t="shared" si="6"/>
        <v>4.7471037016106249E-2</v>
      </c>
      <c r="AM31" s="26">
        <v>260</v>
      </c>
      <c r="AN31" s="26"/>
      <c r="AO31" s="49">
        <v>1278</v>
      </c>
      <c r="AP31" s="49">
        <f t="shared" si="7"/>
        <v>0.39536826456962748</v>
      </c>
      <c r="AQ31" s="26">
        <v>2100</v>
      </c>
      <c r="AR31" s="32">
        <f t="shared" si="8"/>
        <v>0.78645548880393235</v>
      </c>
      <c r="AS31" s="48">
        <v>890</v>
      </c>
      <c r="AT31" s="27">
        <f t="shared" si="9"/>
        <v>0.33330732620738079</v>
      </c>
      <c r="AU31" s="48">
        <v>42</v>
      </c>
      <c r="AV31" s="27">
        <f t="shared" si="10"/>
        <v>1.545436625271043E-2</v>
      </c>
      <c r="AW31" s="48">
        <v>4</v>
      </c>
      <c r="AX31" s="27">
        <f t="shared" si="11"/>
        <v>1.5044419946825757E-3</v>
      </c>
      <c r="AY31" s="48">
        <v>2</v>
      </c>
      <c r="AZ31" s="27">
        <f t="shared" si="12"/>
        <v>7.4599927806521475E-4</v>
      </c>
      <c r="BA31" s="48">
        <v>2</v>
      </c>
      <c r="BB31" s="27">
        <f t="shared" si="13"/>
        <v>7.4061605790271001E-4</v>
      </c>
      <c r="BC31" s="48">
        <v>0.16</v>
      </c>
      <c r="BD31" s="27">
        <f t="shared" si="14"/>
        <v>5.9249284632216798E-5</v>
      </c>
      <c r="BE31" s="48">
        <v>0.05</v>
      </c>
      <c r="BF31" s="27">
        <f t="shared" si="15"/>
        <v>1.8294190358467248E-5</v>
      </c>
      <c r="BG31" s="48">
        <v>0.02</v>
      </c>
      <c r="BH31" s="27">
        <f t="shared" si="16"/>
        <v>7.3176761433868973E-6</v>
      </c>
      <c r="BI31" s="52">
        <f t="shared" si="17"/>
        <v>940.2299999999999</v>
      </c>
      <c r="BJ31" s="52">
        <f t="shared" si="18"/>
        <v>50.23</v>
      </c>
      <c r="BK31" s="27">
        <f t="shared" si="19"/>
        <v>0.35183761094187577</v>
      </c>
      <c r="BL31" s="27">
        <f t="shared" si="20"/>
        <v>1.8530284734495001E-2</v>
      </c>
      <c r="BM31" s="26">
        <v>3100</v>
      </c>
      <c r="BN31" s="26">
        <v>600</v>
      </c>
      <c r="BO31" s="26" t="s">
        <v>19</v>
      </c>
      <c r="BP31" s="26">
        <v>3700</v>
      </c>
      <c r="BQ31" s="26">
        <v>65</v>
      </c>
      <c r="BR31" s="26">
        <v>24</v>
      </c>
      <c r="BS31" s="26">
        <v>0.9</v>
      </c>
      <c r="BT31" s="26">
        <v>0.41</v>
      </c>
      <c r="BU31" s="26">
        <v>23.5</v>
      </c>
      <c r="BV31" s="26">
        <v>-132</v>
      </c>
      <c r="BW31" s="26">
        <v>7.02</v>
      </c>
      <c r="BX31" s="26">
        <v>887</v>
      </c>
      <c r="BY31" s="26">
        <v>2</v>
      </c>
      <c r="BZ31" s="26" t="s">
        <v>443</v>
      </c>
      <c r="CA31" s="26">
        <v>2.1</v>
      </c>
      <c r="CB31" s="32">
        <f t="shared" si="21"/>
        <v>3.7600716204118173E-2</v>
      </c>
      <c r="CC31" s="32">
        <f t="shared" si="22"/>
        <v>3.7600716204118173E-2</v>
      </c>
      <c r="CD31" s="26">
        <v>2.7</v>
      </c>
      <c r="CE31" s="32">
        <f t="shared" si="23"/>
        <v>4.9153468050245772E-2</v>
      </c>
      <c r="CF31" s="32">
        <f t="shared" si="24"/>
        <v>9.8306936100491543E-2</v>
      </c>
      <c r="CG31" s="26">
        <v>47</v>
      </c>
      <c r="CH31" s="26">
        <f t="shared" si="25"/>
        <v>0.48927753487403702</v>
      </c>
      <c r="CI31" s="26">
        <f t="shared" si="26"/>
        <v>3.9142202789922962</v>
      </c>
      <c r="CJ31" s="58">
        <v>26</v>
      </c>
      <c r="CK31" s="58">
        <v>35.61643835616438</v>
      </c>
      <c r="CL31" s="58">
        <v>2.1653133458255258</v>
      </c>
      <c r="CM31" s="58">
        <v>2.1653133458255258</v>
      </c>
      <c r="CN31" s="28">
        <v>5</v>
      </c>
      <c r="CO31" s="28">
        <v>9.6153846153846168</v>
      </c>
      <c r="CP31" s="28">
        <v>0.41640641265875494</v>
      </c>
      <c r="CQ31" s="28">
        <v>0.41640641265875494</v>
      </c>
      <c r="CR31" s="32">
        <f t="shared" si="27"/>
        <v>15.113887153862169</v>
      </c>
      <c r="CS31" s="26">
        <v>15.113887153862169</v>
      </c>
      <c r="CT31" s="32">
        <f t="shared" si="28"/>
        <v>17.213887153862171</v>
      </c>
      <c r="CU31" s="32">
        <f t="shared" si="29"/>
        <v>0.30821642173432712</v>
      </c>
      <c r="CV31" s="32">
        <f t="shared" si="30"/>
        <v>0.30821642173432712</v>
      </c>
      <c r="CW31" s="60">
        <f t="shared" si="31"/>
        <v>2.9065167603581092</v>
      </c>
      <c r="CX31" s="60">
        <v>2.9065167603581092</v>
      </c>
      <c r="CY31" s="60">
        <f t="shared" si="32"/>
        <v>5.0065167603581093</v>
      </c>
      <c r="CZ31" s="60">
        <f t="shared" si="33"/>
        <v>8.9642198036850654E-2</v>
      </c>
      <c r="DA31" s="60">
        <f t="shared" si="34"/>
        <v>8.9642198036850654E-2</v>
      </c>
      <c r="DB31" s="32">
        <f t="shared" si="35"/>
        <v>3.9142202789922962</v>
      </c>
      <c r="DC31">
        <f t="shared" si="36"/>
        <v>2.5718367036603444</v>
      </c>
      <c r="DD31">
        <f t="shared" si="37"/>
        <v>3.822440824511799E-2</v>
      </c>
      <c r="DE31">
        <f t="shared" si="38"/>
        <v>0.1198429205461065</v>
      </c>
      <c r="DF31">
        <f t="shared" si="39"/>
        <v>0.84193267120877546</v>
      </c>
      <c r="DG31">
        <f t="shared" si="40"/>
        <v>0.60435554679609715</v>
      </c>
      <c r="DH31">
        <f t="shared" si="41"/>
        <v>0.16266407518165663</v>
      </c>
      <c r="DI31">
        <f t="shared" si="42"/>
        <v>0.14832692197842098</v>
      </c>
      <c r="DJ31">
        <f t="shared" si="43"/>
        <v>0.68900900283992239</v>
      </c>
      <c r="DK31" s="64">
        <f t="shared" si="44"/>
        <v>-1.3900129502867846</v>
      </c>
      <c r="DL31" s="64">
        <f t="shared" si="45"/>
        <v>0.57746820657746267</v>
      </c>
      <c r="DM31" s="64">
        <f t="shared" si="46"/>
        <v>-1.3714826655522896</v>
      </c>
      <c r="DN31" s="64">
        <f t="shared" si="47"/>
        <v>0.5959984913119577</v>
      </c>
      <c r="DO31" t="str">
        <f t="shared" si="48"/>
        <v>Sufficient Capacity</v>
      </c>
      <c r="DP31" t="str">
        <f t="shared" si="49"/>
        <v>Insufficient Capacity</v>
      </c>
    </row>
    <row r="32" spans="1:120" ht="15.75" x14ac:dyDescent="0.25">
      <c r="A32" s="29" t="s">
        <v>85</v>
      </c>
      <c r="B32" s="29" t="s">
        <v>85</v>
      </c>
      <c r="C32" s="29" t="s">
        <v>749</v>
      </c>
      <c r="D32" s="29" t="s">
        <v>474</v>
      </c>
      <c r="E32" s="29" t="s">
        <v>474</v>
      </c>
      <c r="F32" s="29">
        <v>31</v>
      </c>
      <c r="G32" s="29" t="s">
        <v>748</v>
      </c>
      <c r="H32" s="30" t="s">
        <v>656</v>
      </c>
      <c r="I32" s="29">
        <v>150</v>
      </c>
      <c r="J32" s="29">
        <v>100</v>
      </c>
      <c r="K32" s="34">
        <v>5</v>
      </c>
      <c r="L32" s="32" t="s">
        <v>263</v>
      </c>
      <c r="M32" s="29" t="s">
        <v>1118</v>
      </c>
      <c r="N32" s="29" t="s">
        <v>688</v>
      </c>
      <c r="O32" s="29" t="s">
        <v>687</v>
      </c>
      <c r="P32" s="29" t="s">
        <v>1118</v>
      </c>
      <c r="Q32" s="29" t="s">
        <v>443</v>
      </c>
      <c r="R32" s="2" t="str">
        <f t="shared" si="0"/>
        <v>CW_0_Section_0</v>
      </c>
      <c r="S32" s="2" t="str">
        <f t="shared" si="1"/>
        <v>CW_0_INF</v>
      </c>
      <c r="T32" s="31" t="s">
        <v>751</v>
      </c>
      <c r="U32" s="33">
        <v>45580</v>
      </c>
      <c r="V32" s="29" t="s">
        <v>752</v>
      </c>
      <c r="W32" s="29" t="s">
        <v>1118</v>
      </c>
      <c r="X32" s="29" t="s">
        <v>750</v>
      </c>
      <c r="Y32" s="2" t="str">
        <f t="shared" si="2"/>
        <v>T1_INF</v>
      </c>
      <c r="Z32" s="32" t="s">
        <v>27</v>
      </c>
      <c r="AA32" s="32">
        <v>15</v>
      </c>
      <c r="AB32" s="32">
        <v>16</v>
      </c>
      <c r="AC32" s="32">
        <v>610</v>
      </c>
      <c r="AD32" s="32">
        <f t="shared" si="3"/>
        <v>0.23428498271668158</v>
      </c>
      <c r="AE32" s="32">
        <v>110</v>
      </c>
      <c r="AF32" s="32">
        <f>($AE32/92140)*36</f>
        <v>4.2978076839591928E-2</v>
      </c>
      <c r="AG32" s="32">
        <v>490</v>
      </c>
      <c r="AH32" s="32">
        <f t="shared" si="4"/>
        <v>0.19384006781576718</v>
      </c>
      <c r="AI32" s="32">
        <v>210</v>
      </c>
      <c r="AJ32" s="32">
        <f t="shared" si="5"/>
        <v>8.3074314778185929E-2</v>
      </c>
      <c r="AK32" s="32">
        <v>280</v>
      </c>
      <c r="AL32" s="32">
        <f t="shared" si="6"/>
        <v>0.11076575303758124</v>
      </c>
      <c r="AM32" s="32">
        <v>490</v>
      </c>
      <c r="AN32" s="32"/>
      <c r="AO32" s="49">
        <v>1700</v>
      </c>
      <c r="AP32" s="49">
        <f t="shared" si="7"/>
        <v>0.47110312737204069</v>
      </c>
      <c r="AQ32" s="32">
        <v>5000</v>
      </c>
      <c r="AR32" s="32">
        <f t="shared" si="8"/>
        <v>1.8725130685807911</v>
      </c>
      <c r="AS32" s="48">
        <v>4600</v>
      </c>
      <c r="AT32" s="27">
        <f t="shared" si="9"/>
        <v>1.7227120230943278</v>
      </c>
      <c r="AU32" s="48">
        <v>230</v>
      </c>
      <c r="AV32" s="27">
        <f t="shared" si="10"/>
        <v>8.4631053288652336E-2</v>
      </c>
      <c r="AW32" s="48">
        <v>210</v>
      </c>
      <c r="AX32" s="27">
        <f t="shared" si="11"/>
        <v>7.8983204720835226E-2</v>
      </c>
      <c r="AY32" s="48">
        <v>120</v>
      </c>
      <c r="AZ32" s="27">
        <f t="shared" si="12"/>
        <v>4.4759956683912888E-2</v>
      </c>
      <c r="BA32" s="48">
        <v>120</v>
      </c>
      <c r="BB32" s="27">
        <f t="shared" si="13"/>
        <v>4.4436963474162601E-2</v>
      </c>
      <c r="BC32" s="48">
        <v>22</v>
      </c>
      <c r="BD32" s="27">
        <f t="shared" si="14"/>
        <v>8.1467766369298089E-3</v>
      </c>
      <c r="BE32" s="48">
        <v>9.3000000000000007</v>
      </c>
      <c r="BF32" s="27">
        <f t="shared" si="15"/>
        <v>3.402719406674908E-3</v>
      </c>
      <c r="BG32" s="48">
        <v>12</v>
      </c>
      <c r="BH32" s="27">
        <f t="shared" si="16"/>
        <v>4.3906056860321388E-3</v>
      </c>
      <c r="BI32" s="52">
        <f t="shared" si="17"/>
        <v>5323.3</v>
      </c>
      <c r="BJ32" s="52">
        <f t="shared" si="18"/>
        <v>723.3</v>
      </c>
      <c r="BK32" s="27">
        <f t="shared" si="19"/>
        <v>1.9914633029915276</v>
      </c>
      <c r="BL32" s="27">
        <f t="shared" si="20"/>
        <v>0.26875127989719988</v>
      </c>
      <c r="BM32" s="32">
        <v>8300</v>
      </c>
      <c r="BN32" s="32">
        <v>4300</v>
      </c>
      <c r="BO32" s="32">
        <v>35</v>
      </c>
      <c r="BP32" s="32">
        <v>13000</v>
      </c>
      <c r="BQ32" s="32">
        <v>69</v>
      </c>
      <c r="BR32" s="32">
        <v>26</v>
      </c>
      <c r="BS32" s="32">
        <v>0.69</v>
      </c>
      <c r="BT32" s="32" t="s">
        <v>443</v>
      </c>
      <c r="BU32" s="32" t="s">
        <v>443</v>
      </c>
      <c r="BV32" s="32" t="s">
        <v>443</v>
      </c>
      <c r="BW32" s="32" t="s">
        <v>443</v>
      </c>
      <c r="BX32" s="32" t="s">
        <v>443</v>
      </c>
      <c r="BY32" s="32" t="s">
        <v>443</v>
      </c>
      <c r="BZ32" s="32">
        <v>0.01</v>
      </c>
      <c r="CA32" s="32">
        <v>1.9</v>
      </c>
      <c r="CB32" s="32">
        <f t="shared" si="21"/>
        <v>3.4019695613249773E-2</v>
      </c>
      <c r="CC32" s="32">
        <f t="shared" si="22"/>
        <v>3.4019695613249773E-2</v>
      </c>
      <c r="CD32" s="32">
        <v>1.1000000000000001</v>
      </c>
      <c r="CE32" s="32">
        <f t="shared" si="23"/>
        <v>2.0025486983433462E-2</v>
      </c>
      <c r="CF32" s="32">
        <f t="shared" si="24"/>
        <v>4.0050973966866923E-2</v>
      </c>
      <c r="CG32" s="32">
        <v>78</v>
      </c>
      <c r="CH32" s="32">
        <f t="shared" si="25"/>
        <v>0.81199250468457207</v>
      </c>
      <c r="CI32" s="32">
        <f t="shared" si="26"/>
        <v>6.4959400374765766</v>
      </c>
      <c r="CJ32" s="58">
        <v>0</v>
      </c>
      <c r="CK32" s="58">
        <v>0</v>
      </c>
      <c r="CL32" s="58">
        <v>0</v>
      </c>
      <c r="CM32" s="58">
        <v>0</v>
      </c>
      <c r="CN32" s="28">
        <v>0</v>
      </c>
      <c r="CO32" s="28">
        <v>0</v>
      </c>
      <c r="CP32" s="28">
        <v>0</v>
      </c>
      <c r="CQ32" s="28">
        <v>0</v>
      </c>
      <c r="CR32" s="32">
        <f t="shared" si="27"/>
        <v>0</v>
      </c>
      <c r="CS32" s="32">
        <v>0</v>
      </c>
      <c r="CT32" s="32">
        <f t="shared" si="28"/>
        <v>1.9</v>
      </c>
      <c r="CU32" s="32">
        <f t="shared" si="29"/>
        <v>3.4019695613249773E-2</v>
      </c>
      <c r="CV32" s="32">
        <f t="shared" si="30"/>
        <v>3.4019695613249773E-2</v>
      </c>
      <c r="CW32" s="60">
        <f t="shared" si="31"/>
        <v>0</v>
      </c>
      <c r="CX32" s="60">
        <v>0</v>
      </c>
      <c r="CY32" s="60">
        <f t="shared" si="32"/>
        <v>1.9</v>
      </c>
      <c r="CZ32" s="60">
        <f t="shared" si="33"/>
        <v>3.4019695613249773E-2</v>
      </c>
      <c r="DA32" s="60">
        <f t="shared" si="34"/>
        <v>3.4019695613249773E-2</v>
      </c>
      <c r="DB32" s="32">
        <f t="shared" si="35"/>
        <v>6.4959400374765766</v>
      </c>
      <c r="DC32">
        <f t="shared" si="36"/>
        <v>7.4070669580116696E-2</v>
      </c>
      <c r="DD32">
        <f t="shared" si="37"/>
        <v>0.54071300008361323</v>
      </c>
      <c r="DE32">
        <f t="shared" si="38"/>
        <v>0.45928699991638683</v>
      </c>
      <c r="DF32">
        <f t="shared" si="39"/>
        <v>0</v>
      </c>
      <c r="DG32">
        <f t="shared" si="40"/>
        <v>7.4070669580116696E-2</v>
      </c>
      <c r="DH32">
        <f t="shared" si="41"/>
        <v>0.54071300008361323</v>
      </c>
      <c r="DI32">
        <f t="shared" si="42"/>
        <v>0.45928699991638683</v>
      </c>
      <c r="DJ32">
        <f t="shared" si="43"/>
        <v>0</v>
      </c>
      <c r="DK32" s="64">
        <f t="shared" si="44"/>
        <v>2.2695455263727151</v>
      </c>
      <c r="DL32" s="64">
        <f t="shared" si="45"/>
        <v>2.2695455263727151</v>
      </c>
      <c r="DM32" s="64">
        <f t="shared" si="46"/>
        <v>2.5382968062699152</v>
      </c>
      <c r="DN32" s="64">
        <f t="shared" si="47"/>
        <v>2.5382968062699152</v>
      </c>
      <c r="DO32" t="str">
        <f t="shared" si="48"/>
        <v>Insufficient Capacity</v>
      </c>
      <c r="DP32" t="str">
        <f t="shared" si="49"/>
        <v>Insufficient Capacity</v>
      </c>
    </row>
    <row r="33" spans="1:120" ht="15.75" x14ac:dyDescent="0.25">
      <c r="A33" s="3" t="s">
        <v>86</v>
      </c>
      <c r="B33" s="3" t="s">
        <v>86</v>
      </c>
      <c r="C33" s="2" t="s">
        <v>754</v>
      </c>
      <c r="D33" s="2" t="s">
        <v>475</v>
      </c>
      <c r="E33" s="2" t="s">
        <v>475</v>
      </c>
      <c r="F33" s="2">
        <v>32</v>
      </c>
      <c r="G33" s="2" t="s">
        <v>753</v>
      </c>
      <c r="H33" s="10" t="s">
        <v>656</v>
      </c>
      <c r="I33" s="2">
        <v>150</v>
      </c>
      <c r="J33" s="2">
        <v>100</v>
      </c>
      <c r="K33" s="12">
        <v>4.0999999999999996</v>
      </c>
      <c r="L33" t="s">
        <v>260</v>
      </c>
      <c r="M33" s="2" t="s">
        <v>1119</v>
      </c>
      <c r="N33" s="2" t="s">
        <v>435</v>
      </c>
      <c r="O33" s="2" t="s">
        <v>694</v>
      </c>
      <c r="P33" s="2" t="s">
        <v>1119</v>
      </c>
      <c r="Q33" s="2" t="s">
        <v>443</v>
      </c>
      <c r="R33" s="2" t="str">
        <f t="shared" si="0"/>
        <v>CW_1_Section_5</v>
      </c>
      <c r="S33" s="2" t="str">
        <f t="shared" si="1"/>
        <v>CW_1_EFF</v>
      </c>
      <c r="T33" s="11" t="s">
        <v>751</v>
      </c>
      <c r="U33" s="1">
        <v>45580</v>
      </c>
      <c r="V33" s="2" t="s">
        <v>752</v>
      </c>
      <c r="W33" s="2" t="s">
        <v>1119</v>
      </c>
      <c r="X33" s="2" t="s">
        <v>750</v>
      </c>
      <c r="Y33" s="2" t="str">
        <f t="shared" si="2"/>
        <v>T1_EFF</v>
      </c>
      <c r="Z33" t="s">
        <v>18</v>
      </c>
      <c r="AA33">
        <v>13</v>
      </c>
      <c r="AB33">
        <v>13</v>
      </c>
      <c r="AC33">
        <v>170</v>
      </c>
      <c r="AD33" s="32">
        <f t="shared" si="3"/>
        <v>6.5292536166944054E-2</v>
      </c>
      <c r="AE33">
        <v>0.5</v>
      </c>
      <c r="AF33" s="32">
        <f>($AE33/92140)*36</f>
        <v>1.9535489472541785E-4</v>
      </c>
      <c r="AG33">
        <v>130</v>
      </c>
      <c r="AH33" s="32">
        <f t="shared" si="4"/>
        <v>5.1426956767448434E-2</v>
      </c>
      <c r="AI33">
        <v>43</v>
      </c>
      <c r="AJ33" s="32">
        <f t="shared" si="5"/>
        <v>1.7010454930771402E-2</v>
      </c>
      <c r="AK33">
        <v>29</v>
      </c>
      <c r="AL33" s="32">
        <f t="shared" si="6"/>
        <v>1.1472167278892343E-2</v>
      </c>
      <c r="AM33">
        <v>72</v>
      </c>
      <c r="AO33" s="49">
        <v>375.5</v>
      </c>
      <c r="AP33" s="49">
        <f t="shared" si="7"/>
        <v>0.1169148478291179</v>
      </c>
      <c r="AQ33">
        <v>620</v>
      </c>
      <c r="AR33" s="32">
        <f t="shared" si="8"/>
        <v>0.23219162050401809</v>
      </c>
      <c r="AS33" s="48">
        <v>290</v>
      </c>
      <c r="AT33" s="27">
        <f t="shared" si="9"/>
        <v>0.10860575797768589</v>
      </c>
      <c r="AU33" s="48">
        <v>2</v>
      </c>
      <c r="AV33" s="27">
        <f t="shared" si="10"/>
        <v>7.3592220251002033E-4</v>
      </c>
      <c r="AW33" s="48">
        <v>2</v>
      </c>
      <c r="AX33" s="27">
        <f t="shared" si="11"/>
        <v>7.5222099734128785E-4</v>
      </c>
      <c r="AY33" s="48">
        <v>4.5</v>
      </c>
      <c r="AZ33" s="27">
        <f t="shared" si="12"/>
        <v>1.6784983756467334E-3</v>
      </c>
      <c r="BA33" s="48">
        <v>0.77</v>
      </c>
      <c r="BB33" s="27">
        <f t="shared" si="13"/>
        <v>2.8513718229254334E-4</v>
      </c>
      <c r="BC33" s="48">
        <v>7.0000000000000007E-2</v>
      </c>
      <c r="BD33" s="27">
        <f t="shared" si="14"/>
        <v>2.5921562026594851E-5</v>
      </c>
      <c r="BE33" s="48">
        <v>0.03</v>
      </c>
      <c r="BF33" s="27">
        <f t="shared" si="15"/>
        <v>1.0976514215080345E-5</v>
      </c>
      <c r="BG33" s="48">
        <v>2E-3</v>
      </c>
      <c r="BH33" s="27">
        <f t="shared" si="16"/>
        <v>7.3176761433868969E-7</v>
      </c>
      <c r="BI33" s="52">
        <f t="shared" si="17"/>
        <v>299.37199999999996</v>
      </c>
      <c r="BJ33" s="52">
        <f t="shared" si="18"/>
        <v>9.3719999999999999</v>
      </c>
      <c r="BK33" s="27">
        <f t="shared" si="19"/>
        <v>0.11209516657933249</v>
      </c>
      <c r="BL33" s="27">
        <f t="shared" si="20"/>
        <v>3.4894086016465991E-3</v>
      </c>
      <c r="BM33">
        <v>1100</v>
      </c>
      <c r="BN33">
        <v>200</v>
      </c>
      <c r="BO33" t="s">
        <v>19</v>
      </c>
      <c r="BP33">
        <v>1300</v>
      </c>
      <c r="BQ33">
        <v>53</v>
      </c>
      <c r="BR33">
        <v>12</v>
      </c>
      <c r="BS33">
        <v>0.98</v>
      </c>
      <c r="BT33">
        <v>4.2</v>
      </c>
      <c r="BU33">
        <v>13.1</v>
      </c>
      <c r="BV33">
        <v>-75</v>
      </c>
      <c r="BW33">
        <v>7.09</v>
      </c>
      <c r="BX33">
        <v>789</v>
      </c>
      <c r="BY33">
        <v>0.2</v>
      </c>
      <c r="BZ33">
        <v>0.01</v>
      </c>
      <c r="CA33" s="32">
        <v>6.6</v>
      </c>
      <c r="CB33" s="32">
        <f t="shared" si="21"/>
        <v>0.11817367949865711</v>
      </c>
      <c r="CC33" s="32">
        <f t="shared" si="22"/>
        <v>0.11817367949865711</v>
      </c>
      <c r="CD33" s="32">
        <v>3.5</v>
      </c>
      <c r="CE33" s="32">
        <f t="shared" si="23"/>
        <v>6.3717458583651923E-2</v>
      </c>
      <c r="CF33" s="32">
        <f t="shared" si="24"/>
        <v>0.12743491716730385</v>
      </c>
      <c r="CG33" s="27">
        <v>14</v>
      </c>
      <c r="CH33" s="27">
        <f t="shared" si="25"/>
        <v>0.14574224443056422</v>
      </c>
      <c r="CI33" s="27">
        <f t="shared" si="26"/>
        <v>1.1659379554445137</v>
      </c>
      <c r="CJ33" s="58">
        <v>64</v>
      </c>
      <c r="CK33" s="58">
        <v>82.051282051282044</v>
      </c>
      <c r="CL33" s="58">
        <v>5.3300020820320633</v>
      </c>
      <c r="CM33" s="58">
        <v>5.3300020820320633</v>
      </c>
      <c r="CN33" s="28">
        <v>30</v>
      </c>
      <c r="CO33" s="28">
        <v>68.181818181818173</v>
      </c>
      <c r="CP33" s="28">
        <v>2.4984384759525295</v>
      </c>
      <c r="CQ33" s="28">
        <v>2.4984384759525295</v>
      </c>
      <c r="CR33" s="32">
        <f t="shared" si="27"/>
        <v>37.2034145325838</v>
      </c>
      <c r="CS33" s="32">
        <v>37.2034145325838</v>
      </c>
      <c r="CT33" s="32">
        <f t="shared" si="28"/>
        <v>43.803414532583801</v>
      </c>
      <c r="CU33" s="32">
        <f t="shared" si="29"/>
        <v>0.78430464695763291</v>
      </c>
      <c r="CV33" s="32">
        <f t="shared" si="30"/>
        <v>0.78430464695763291</v>
      </c>
      <c r="CW33" s="60">
        <f t="shared" si="31"/>
        <v>17.439100562148656</v>
      </c>
      <c r="CX33" s="60">
        <v>17.439100562148656</v>
      </c>
      <c r="CY33" s="60">
        <f t="shared" si="32"/>
        <v>24.039100562148654</v>
      </c>
      <c r="CZ33" s="60">
        <f t="shared" si="33"/>
        <v>0.430422570495052</v>
      </c>
      <c r="DA33" s="60">
        <f t="shared" si="34"/>
        <v>0.430422570495052</v>
      </c>
      <c r="DB33" s="32">
        <f t="shared" si="35"/>
        <v>1.1659379554445137</v>
      </c>
      <c r="DC33">
        <f t="shared" si="36"/>
        <v>6.2417416461570001</v>
      </c>
      <c r="DD33">
        <f t="shared" si="37"/>
        <v>2.0416563900199986E-2</v>
      </c>
      <c r="DE33">
        <f t="shared" si="38"/>
        <v>0.12565477576927975</v>
      </c>
      <c r="DF33">
        <f t="shared" si="39"/>
        <v>0.85392866033052028</v>
      </c>
      <c r="DG33">
        <f t="shared" si="40"/>
        <v>3.0562959636148852</v>
      </c>
      <c r="DH33">
        <f t="shared" si="41"/>
        <v>4.1695869341324542E-2</v>
      </c>
      <c r="DI33">
        <f t="shared" si="42"/>
        <v>0.14083144290318092</v>
      </c>
      <c r="DJ33">
        <f t="shared" si="43"/>
        <v>0.81747268775549464</v>
      </c>
      <c r="DK33" s="64">
        <f t="shared" si="44"/>
        <v>-5.8926351778238644</v>
      </c>
      <c r="DL33" s="64">
        <f t="shared" si="45"/>
        <v>-2.7071894952817495</v>
      </c>
      <c r="DM33" s="64">
        <f t="shared" si="46"/>
        <v>-5.8891457692222176</v>
      </c>
      <c r="DN33" s="64">
        <f t="shared" si="47"/>
        <v>-2.7037000866801026</v>
      </c>
      <c r="DO33" t="str">
        <f t="shared" si="48"/>
        <v>Sufficient Capacity</v>
      </c>
      <c r="DP33" t="str">
        <f t="shared" si="49"/>
        <v>Sufficient Capacity</v>
      </c>
    </row>
    <row r="34" spans="1:120" ht="15.75" x14ac:dyDescent="0.25">
      <c r="A34" s="3" t="s">
        <v>87</v>
      </c>
      <c r="B34" s="3" t="s">
        <v>87</v>
      </c>
      <c r="C34" s="2" t="s">
        <v>756</v>
      </c>
      <c r="D34" s="2" t="s">
        <v>476</v>
      </c>
      <c r="E34" s="2" t="s">
        <v>476</v>
      </c>
      <c r="F34" s="2">
        <v>33</v>
      </c>
      <c r="G34" s="2" t="s">
        <v>755</v>
      </c>
      <c r="H34" s="10" t="s">
        <v>656</v>
      </c>
      <c r="I34" s="2">
        <v>150</v>
      </c>
      <c r="J34" s="2">
        <v>100</v>
      </c>
      <c r="K34" s="12">
        <v>4.9000000000000004</v>
      </c>
      <c r="L34" t="s">
        <v>261</v>
      </c>
      <c r="M34" s="2" t="s">
        <v>1119</v>
      </c>
      <c r="N34" s="2" t="s">
        <v>436</v>
      </c>
      <c r="O34" s="2" t="s">
        <v>694</v>
      </c>
      <c r="P34" s="2" t="s">
        <v>1119</v>
      </c>
      <c r="Q34" s="2" t="s">
        <v>443</v>
      </c>
      <c r="R34" s="2" t="str">
        <f t="shared" si="0"/>
        <v>CW_2_Section_5</v>
      </c>
      <c r="S34" s="2" t="str">
        <f t="shared" si="1"/>
        <v>CW_2_EFF</v>
      </c>
      <c r="T34" s="11" t="s">
        <v>751</v>
      </c>
      <c r="U34" s="1">
        <v>45580</v>
      </c>
      <c r="V34" s="2" t="s">
        <v>752</v>
      </c>
      <c r="W34" s="2" t="s">
        <v>1119</v>
      </c>
      <c r="X34" s="2" t="s">
        <v>750</v>
      </c>
      <c r="Y34" s="2" t="str">
        <f t="shared" si="2"/>
        <v>T1_EFF</v>
      </c>
      <c r="Z34" t="s">
        <v>39</v>
      </c>
      <c r="AA34">
        <v>11</v>
      </c>
      <c r="AB34">
        <v>12</v>
      </c>
      <c r="AC34">
        <v>610</v>
      </c>
      <c r="AD34" s="32">
        <f t="shared" si="3"/>
        <v>0.23428498271668158</v>
      </c>
      <c r="AE34">
        <v>2</v>
      </c>
      <c r="AF34" s="32">
        <f>($AE34/92140)*36</f>
        <v>7.8141957890167139E-4</v>
      </c>
      <c r="AG34">
        <v>370</v>
      </c>
      <c r="AH34" s="32">
        <f t="shared" si="4"/>
        <v>0.14636903079966093</v>
      </c>
      <c r="AI34">
        <v>140</v>
      </c>
      <c r="AJ34" s="32">
        <f t="shared" si="5"/>
        <v>5.5382876518790619E-2</v>
      </c>
      <c r="AK34">
        <v>80</v>
      </c>
      <c r="AL34" s="32">
        <f t="shared" si="6"/>
        <v>3.1647358010737495E-2</v>
      </c>
      <c r="AM34">
        <v>220</v>
      </c>
      <c r="AO34" s="49">
        <v>1214</v>
      </c>
      <c r="AP34" s="49">
        <f t="shared" si="7"/>
        <v>0.38143543309524419</v>
      </c>
      <c r="AQ34">
        <v>2600</v>
      </c>
      <c r="AR34" s="32">
        <f t="shared" si="8"/>
        <v>0.97370679566201146</v>
      </c>
      <c r="AS34" s="48">
        <v>2700</v>
      </c>
      <c r="AT34" s="27">
        <f t="shared" si="9"/>
        <v>1.0111570570336272</v>
      </c>
      <c r="AU34" s="48">
        <v>120</v>
      </c>
      <c r="AV34" s="27">
        <f t="shared" si="10"/>
        <v>4.4155332150601224E-2</v>
      </c>
      <c r="AW34" s="48">
        <v>77</v>
      </c>
      <c r="AX34" s="27">
        <f t="shared" si="11"/>
        <v>2.8960508397639584E-2</v>
      </c>
      <c r="AY34" s="48">
        <v>27</v>
      </c>
      <c r="AZ34" s="27">
        <f t="shared" si="12"/>
        <v>1.0070990253880399E-2</v>
      </c>
      <c r="BA34" s="48">
        <v>4.9000000000000004</v>
      </c>
      <c r="BB34" s="27">
        <f t="shared" si="13"/>
        <v>1.8145093418616396E-3</v>
      </c>
      <c r="BC34" s="48">
        <v>0.7</v>
      </c>
      <c r="BD34" s="27">
        <f t="shared" si="14"/>
        <v>2.5921562026594844E-4</v>
      </c>
      <c r="BE34" s="48">
        <v>0.06</v>
      </c>
      <c r="BF34" s="27">
        <f t="shared" si="15"/>
        <v>2.1953028430160689E-5</v>
      </c>
      <c r="BG34" s="48">
        <v>0.03</v>
      </c>
      <c r="BH34" s="27">
        <f t="shared" si="16"/>
        <v>1.0976514215080345E-5</v>
      </c>
      <c r="BI34" s="52">
        <f t="shared" si="17"/>
        <v>2929.69</v>
      </c>
      <c r="BJ34" s="52">
        <f t="shared" si="18"/>
        <v>229.69</v>
      </c>
      <c r="BK34" s="27">
        <f t="shared" si="19"/>
        <v>1.0964505423405213</v>
      </c>
      <c r="BL34" s="27">
        <f t="shared" si="20"/>
        <v>8.529348530689404E-2</v>
      </c>
      <c r="BM34">
        <v>4100</v>
      </c>
      <c r="BN34">
        <v>990</v>
      </c>
      <c r="BO34" t="s">
        <v>19</v>
      </c>
      <c r="BP34">
        <v>5100</v>
      </c>
      <c r="BQ34">
        <v>67</v>
      </c>
      <c r="BR34">
        <v>25</v>
      </c>
      <c r="BS34">
        <v>0.54</v>
      </c>
      <c r="BT34">
        <v>0.56999999999999995</v>
      </c>
      <c r="BU34">
        <v>13</v>
      </c>
      <c r="BV34">
        <v>-95</v>
      </c>
      <c r="BW34">
        <v>7.01</v>
      </c>
      <c r="BX34">
        <v>450</v>
      </c>
      <c r="BY34">
        <v>0.2</v>
      </c>
      <c r="BZ34">
        <v>0.01</v>
      </c>
      <c r="CA34" s="32">
        <v>3</v>
      </c>
      <c r="CB34" s="32">
        <f t="shared" si="21"/>
        <v>5.371530886302596E-2</v>
      </c>
      <c r="CC34" s="32">
        <f t="shared" si="22"/>
        <v>5.371530886302596E-2</v>
      </c>
      <c r="CD34" s="32">
        <v>2.1</v>
      </c>
      <c r="CE34" s="32">
        <f t="shared" si="23"/>
        <v>3.8230475150191151E-2</v>
      </c>
      <c r="CF34" s="32">
        <f t="shared" si="24"/>
        <v>7.6460950300382302E-2</v>
      </c>
      <c r="CG34" s="27">
        <v>46</v>
      </c>
      <c r="CH34" s="27">
        <f t="shared" si="25"/>
        <v>0.47886737455756817</v>
      </c>
      <c r="CI34" s="27">
        <f t="shared" si="26"/>
        <v>3.8309389964605454</v>
      </c>
      <c r="CJ34" s="58">
        <v>32</v>
      </c>
      <c r="CK34" s="58">
        <v>41.025641025641022</v>
      </c>
      <c r="CL34" s="58">
        <v>2.6650010410160316</v>
      </c>
      <c r="CM34" s="58">
        <v>2.6650010410160316</v>
      </c>
      <c r="CN34" s="28">
        <v>1</v>
      </c>
      <c r="CO34" s="28">
        <v>2.1276595744680851</v>
      </c>
      <c r="CP34" s="28">
        <v>8.3281282531750989E-2</v>
      </c>
      <c r="CQ34" s="28">
        <v>8.3281282531750989E-2</v>
      </c>
      <c r="CR34" s="32">
        <f t="shared" si="27"/>
        <v>18.6017072662919</v>
      </c>
      <c r="CS34" s="32">
        <v>18.6017072662919</v>
      </c>
      <c r="CT34" s="32">
        <f t="shared" si="28"/>
        <v>21.6017072662919</v>
      </c>
      <c r="CU34" s="32">
        <f t="shared" si="29"/>
        <v>0.38678079259251386</v>
      </c>
      <c r="CV34" s="32">
        <f t="shared" si="30"/>
        <v>0.38678079259251386</v>
      </c>
      <c r="CW34" s="60">
        <f t="shared" si="31"/>
        <v>0.58130335207162187</v>
      </c>
      <c r="CX34" s="60">
        <v>0.58130335207162187</v>
      </c>
      <c r="CY34" s="60">
        <f t="shared" si="32"/>
        <v>3.5813033520716218</v>
      </c>
      <c r="CZ34" s="60">
        <f t="shared" si="33"/>
        <v>6.4123605229572458E-2</v>
      </c>
      <c r="DA34" s="60">
        <f t="shared" si="34"/>
        <v>6.4123605229572458E-2</v>
      </c>
      <c r="DB34" s="32">
        <f t="shared" si="35"/>
        <v>3.8309389964605454</v>
      </c>
      <c r="DC34">
        <f t="shared" si="36"/>
        <v>3.1282427839089277</v>
      </c>
      <c r="DD34">
        <f t="shared" si="37"/>
        <v>2.4442140710331867E-2</v>
      </c>
      <c r="DE34">
        <f t="shared" si="38"/>
        <v>0.12364155192238882</v>
      </c>
      <c r="DF34">
        <f t="shared" si="39"/>
        <v>0.8519163073672793</v>
      </c>
      <c r="DG34">
        <f t="shared" si="40"/>
        <v>0.22386583806170574</v>
      </c>
      <c r="DH34">
        <f t="shared" si="41"/>
        <v>0.34154809399416641</v>
      </c>
      <c r="DI34">
        <f t="shared" si="42"/>
        <v>0.28643765294773388</v>
      </c>
      <c r="DJ34">
        <f t="shared" si="43"/>
        <v>0.37201425305809982</v>
      </c>
      <c r="DK34" s="64">
        <f t="shared" si="44"/>
        <v>-1.7731005551516721</v>
      </c>
      <c r="DL34" s="64">
        <f t="shared" si="45"/>
        <v>1.1312763906955499</v>
      </c>
      <c r="DM34" s="64">
        <f t="shared" si="46"/>
        <v>-1.687807069844778</v>
      </c>
      <c r="DN34" s="64">
        <f t="shared" si="47"/>
        <v>1.2165698760024439</v>
      </c>
      <c r="DO34" t="str">
        <f t="shared" si="48"/>
        <v>Sufficient Capacity</v>
      </c>
      <c r="DP34" t="str">
        <f t="shared" si="49"/>
        <v>Insufficient Capacity</v>
      </c>
    </row>
    <row r="35" spans="1:120" ht="15.75" x14ac:dyDescent="0.25">
      <c r="A35" s="3" t="s">
        <v>88</v>
      </c>
      <c r="B35" s="3" t="s">
        <v>88</v>
      </c>
      <c r="C35" s="2" t="s">
        <v>758</v>
      </c>
      <c r="D35" s="2" t="s">
        <v>477</v>
      </c>
      <c r="E35" s="2" t="s">
        <v>477</v>
      </c>
      <c r="F35" s="2">
        <v>34</v>
      </c>
      <c r="G35" s="2" t="s">
        <v>757</v>
      </c>
      <c r="H35" s="10" t="s">
        <v>656</v>
      </c>
      <c r="I35" s="2">
        <v>150</v>
      </c>
      <c r="J35" s="2">
        <v>100</v>
      </c>
      <c r="K35" s="12">
        <v>6.15</v>
      </c>
      <c r="L35" t="s">
        <v>262</v>
      </c>
      <c r="M35" s="2" t="s">
        <v>1119</v>
      </c>
      <c r="N35" s="2" t="s">
        <v>437</v>
      </c>
      <c r="O35" s="2" t="s">
        <v>694</v>
      </c>
      <c r="P35" s="2" t="s">
        <v>1119</v>
      </c>
      <c r="Q35" s="2" t="s">
        <v>443</v>
      </c>
      <c r="R35" s="2" t="str">
        <f t="shared" si="0"/>
        <v>CW_3_Section_5</v>
      </c>
      <c r="S35" s="2" t="str">
        <f t="shared" si="1"/>
        <v>CW_3_EFF</v>
      </c>
      <c r="T35" s="11" t="s">
        <v>751</v>
      </c>
      <c r="U35" s="1">
        <v>45580</v>
      </c>
      <c r="V35" s="2" t="s">
        <v>752</v>
      </c>
      <c r="W35" s="2" t="s">
        <v>1119</v>
      </c>
      <c r="X35" s="2" t="s">
        <v>750</v>
      </c>
      <c r="Y35" s="2" t="str">
        <f t="shared" si="2"/>
        <v>T1_EFF</v>
      </c>
      <c r="Z35" t="s">
        <v>49</v>
      </c>
      <c r="AA35">
        <v>10</v>
      </c>
      <c r="AB35">
        <v>10</v>
      </c>
      <c r="AC35">
        <v>600</v>
      </c>
      <c r="AD35" s="32">
        <f t="shared" si="3"/>
        <v>0.23044424529509666</v>
      </c>
      <c r="AE35">
        <v>12</v>
      </c>
      <c r="AF35" s="32">
        <f>($AE35/92140)*36</f>
        <v>4.6885174734100279E-3</v>
      </c>
      <c r="AG35">
        <v>490</v>
      </c>
      <c r="AH35" s="32">
        <f t="shared" si="4"/>
        <v>0.19384006781576718</v>
      </c>
      <c r="AI35">
        <v>170</v>
      </c>
      <c r="AJ35" s="32">
        <f t="shared" si="5"/>
        <v>6.7250635772817174E-2</v>
      </c>
      <c r="AK35">
        <v>97</v>
      </c>
      <c r="AL35" s="32">
        <f t="shared" si="6"/>
        <v>3.8372421588019213E-2</v>
      </c>
      <c r="AM35">
        <v>267</v>
      </c>
      <c r="AO35" s="49">
        <v>1369</v>
      </c>
      <c r="AP35" s="49">
        <f t="shared" si="7"/>
        <v>0.42897283058427388</v>
      </c>
      <c r="AQ35">
        <v>2000</v>
      </c>
      <c r="AR35" s="32">
        <f t="shared" si="8"/>
        <v>0.74900522743231646</v>
      </c>
      <c r="AS35" s="48">
        <v>1200</v>
      </c>
      <c r="AT35" s="27">
        <f t="shared" si="9"/>
        <v>0.44940313645938984</v>
      </c>
      <c r="AU35" s="48">
        <v>63</v>
      </c>
      <c r="AV35" s="27">
        <f t="shared" si="10"/>
        <v>2.3181549379065643E-2</v>
      </c>
      <c r="AW35" s="48">
        <v>52</v>
      </c>
      <c r="AX35" s="27">
        <f t="shared" si="11"/>
        <v>1.9557745930873484E-2</v>
      </c>
      <c r="AY35" s="48">
        <v>2</v>
      </c>
      <c r="AZ35" s="27">
        <f t="shared" si="12"/>
        <v>7.4599927806521475E-4</v>
      </c>
      <c r="BA35" s="48">
        <v>0.4</v>
      </c>
      <c r="BB35" s="27">
        <f t="shared" si="13"/>
        <v>1.4812321158054199E-4</v>
      </c>
      <c r="BC35" s="48">
        <v>0.62</v>
      </c>
      <c r="BD35" s="27">
        <f t="shared" si="14"/>
        <v>2.2959097794984009E-4</v>
      </c>
      <c r="BE35" s="48">
        <v>0.03</v>
      </c>
      <c r="BF35" s="27">
        <f t="shared" si="15"/>
        <v>1.0976514215080345E-5</v>
      </c>
      <c r="BG35" s="48">
        <v>2E-3</v>
      </c>
      <c r="BH35" s="27">
        <f t="shared" si="16"/>
        <v>7.3176761433868969E-7</v>
      </c>
      <c r="BI35" s="52">
        <f t="shared" si="17"/>
        <v>1318.0519999999999</v>
      </c>
      <c r="BJ35" s="52">
        <f t="shared" si="18"/>
        <v>118.05200000000001</v>
      </c>
      <c r="BK35" s="27">
        <f t="shared" si="19"/>
        <v>0.49327785351875397</v>
      </c>
      <c r="BL35" s="27">
        <f t="shared" si="20"/>
        <v>4.3874717059364146E-2</v>
      </c>
      <c r="BM35">
        <v>2800</v>
      </c>
      <c r="BN35">
        <v>710</v>
      </c>
      <c r="BO35" t="s">
        <v>19</v>
      </c>
      <c r="BP35">
        <v>3500</v>
      </c>
      <c r="BQ35">
        <v>64</v>
      </c>
      <c r="BR35">
        <v>21</v>
      </c>
      <c r="BS35">
        <v>0.55000000000000004</v>
      </c>
      <c r="BT35">
        <v>0.49</v>
      </c>
      <c r="BU35">
        <v>12.8</v>
      </c>
      <c r="BV35">
        <v>-75</v>
      </c>
      <c r="BW35">
        <v>7.1</v>
      </c>
      <c r="BX35">
        <v>879</v>
      </c>
      <c r="BY35">
        <v>0.2</v>
      </c>
      <c r="BZ35">
        <v>0.01</v>
      </c>
      <c r="CA35" s="32">
        <v>3.6</v>
      </c>
      <c r="CB35" s="32">
        <f t="shared" si="21"/>
        <v>6.445837063563116E-2</v>
      </c>
      <c r="CC35" s="32">
        <f t="shared" si="22"/>
        <v>6.445837063563116E-2</v>
      </c>
      <c r="CD35" s="32">
        <v>2</v>
      </c>
      <c r="CE35" s="32">
        <f t="shared" si="23"/>
        <v>3.6409976333515386E-2</v>
      </c>
      <c r="CF35" s="32">
        <f t="shared" si="24"/>
        <v>7.2819952667030771E-2</v>
      </c>
      <c r="CG35" s="27">
        <v>35</v>
      </c>
      <c r="CH35" s="27">
        <f t="shared" si="25"/>
        <v>0.36435561107641057</v>
      </c>
      <c r="CI35" s="27">
        <f t="shared" si="26"/>
        <v>2.9148448886112845</v>
      </c>
      <c r="CJ35" s="58">
        <v>43</v>
      </c>
      <c r="CK35" s="58">
        <v>55.128205128205131</v>
      </c>
      <c r="CL35" s="58">
        <v>3.5810951488652925</v>
      </c>
      <c r="CM35" s="58">
        <v>3.5810951488652925</v>
      </c>
      <c r="CN35" s="28">
        <v>15</v>
      </c>
      <c r="CO35" s="28">
        <v>30</v>
      </c>
      <c r="CP35" s="28">
        <v>1.2492192379762648</v>
      </c>
      <c r="CQ35" s="28">
        <v>1.2492192379762648</v>
      </c>
      <c r="CR35" s="32">
        <f t="shared" si="27"/>
        <v>24.996044139079739</v>
      </c>
      <c r="CS35" s="32">
        <v>24.996044139079739</v>
      </c>
      <c r="CT35" s="32">
        <f t="shared" si="28"/>
        <v>28.596044139079741</v>
      </c>
      <c r="CU35" s="32">
        <f t="shared" si="29"/>
        <v>0.51201511439713054</v>
      </c>
      <c r="CV35" s="32">
        <f t="shared" si="30"/>
        <v>0.51201511439713054</v>
      </c>
      <c r="CW35" s="60">
        <f t="shared" si="31"/>
        <v>8.7195502810743282</v>
      </c>
      <c r="CX35" s="60">
        <v>8.7195502810743282</v>
      </c>
      <c r="CY35" s="60">
        <f t="shared" si="32"/>
        <v>12.319550281074328</v>
      </c>
      <c r="CZ35" s="60">
        <f t="shared" si="33"/>
        <v>0.2205828161338286</v>
      </c>
      <c r="DA35" s="60">
        <f t="shared" si="34"/>
        <v>0.2205828161338286</v>
      </c>
      <c r="DB35" s="32">
        <f t="shared" si="35"/>
        <v>2.9148448886112845</v>
      </c>
      <c r="DC35">
        <f t="shared" si="36"/>
        <v>4.1659302159294533</v>
      </c>
      <c r="DD35">
        <f t="shared" si="37"/>
        <v>1.7479878176688095E-2</v>
      </c>
      <c r="DE35">
        <f t="shared" si="38"/>
        <v>0.12290535075199184</v>
      </c>
      <c r="DF35">
        <f t="shared" si="39"/>
        <v>0.85961477107132023</v>
      </c>
      <c r="DG35">
        <f t="shared" si="40"/>
        <v>1.5426220067771241</v>
      </c>
      <c r="DH35">
        <f t="shared" si="41"/>
        <v>4.7205311701190904E-2</v>
      </c>
      <c r="DI35">
        <f t="shared" si="42"/>
        <v>0.14299213622310142</v>
      </c>
      <c r="DJ35">
        <f t="shared" si="43"/>
        <v>0.80980255207570773</v>
      </c>
      <c r="DK35" s="64">
        <f t="shared" si="44"/>
        <v>-2.9879521579128632</v>
      </c>
      <c r="DL35" s="64">
        <f t="shared" si="45"/>
        <v>-0.36464394876053374</v>
      </c>
      <c r="DM35" s="64">
        <f t="shared" si="46"/>
        <v>-2.9440774408534987</v>
      </c>
      <c r="DN35" s="64">
        <f t="shared" si="47"/>
        <v>-0.32076923170116967</v>
      </c>
      <c r="DO35" t="str">
        <f t="shared" si="48"/>
        <v>Sufficient Capacity</v>
      </c>
      <c r="DP35" t="str">
        <f t="shared" si="49"/>
        <v>Sufficient Capacity</v>
      </c>
    </row>
    <row r="36" spans="1:120" ht="15.75" x14ac:dyDescent="0.25">
      <c r="A36" s="3" t="s">
        <v>89</v>
      </c>
      <c r="B36" s="3" t="s">
        <v>89</v>
      </c>
      <c r="C36" s="2" t="s">
        <v>760</v>
      </c>
      <c r="D36" s="2" t="s">
        <v>478</v>
      </c>
      <c r="E36" s="2" t="s">
        <v>478</v>
      </c>
      <c r="F36" s="2">
        <v>35</v>
      </c>
      <c r="G36" s="2" t="s">
        <v>759</v>
      </c>
      <c r="H36" s="10" t="s">
        <v>656</v>
      </c>
      <c r="I36" s="2">
        <v>150</v>
      </c>
      <c r="J36" s="2">
        <v>100</v>
      </c>
      <c r="K36" s="12">
        <v>8.6</v>
      </c>
      <c r="L36" t="s">
        <v>264</v>
      </c>
      <c r="M36" s="2" t="s">
        <v>1120</v>
      </c>
      <c r="N36" s="2" t="s">
        <v>435</v>
      </c>
      <c r="O36" s="2" t="s">
        <v>653</v>
      </c>
      <c r="P36" s="2" t="s">
        <v>1123</v>
      </c>
      <c r="Q36" s="9" t="s">
        <v>654</v>
      </c>
      <c r="R36" s="2" t="str">
        <f t="shared" si="0"/>
        <v>CW_1_Section_1</v>
      </c>
      <c r="S36" s="2" t="str">
        <f t="shared" si="1"/>
        <v>CW_1_MF01</v>
      </c>
      <c r="T36" s="11" t="s">
        <v>751</v>
      </c>
      <c r="U36" s="1">
        <v>45580</v>
      </c>
      <c r="V36" s="2" t="s">
        <v>752</v>
      </c>
      <c r="W36" s="2" t="s">
        <v>655</v>
      </c>
      <c r="X36" s="2" t="s">
        <v>750</v>
      </c>
      <c r="Y36" s="2" t="str">
        <f t="shared" si="2"/>
        <v>T1_0.15-0.30</v>
      </c>
      <c r="Z36" t="s">
        <v>29</v>
      </c>
      <c r="AA36">
        <v>17</v>
      </c>
      <c r="AB36">
        <v>11</v>
      </c>
      <c r="AC36">
        <v>420</v>
      </c>
      <c r="AD36" s="32">
        <f t="shared" si="3"/>
        <v>0.16131097170656766</v>
      </c>
      <c r="AE36">
        <v>17</v>
      </c>
      <c r="AF36" s="32">
        <f>($AE36/92140)*36</f>
        <v>6.6420664206642069E-3</v>
      </c>
      <c r="AG36">
        <v>150</v>
      </c>
      <c r="AH36" s="32">
        <f t="shared" si="4"/>
        <v>5.9338796270132804E-2</v>
      </c>
      <c r="AI36">
        <v>110</v>
      </c>
      <c r="AJ36" s="32">
        <f t="shared" si="5"/>
        <v>4.3515117264764057E-2</v>
      </c>
      <c r="AK36">
        <v>63</v>
      </c>
      <c r="AL36" s="32">
        <f t="shared" si="6"/>
        <v>2.4922294433455779E-2</v>
      </c>
      <c r="AM36">
        <v>173</v>
      </c>
      <c r="AO36" s="49">
        <v>760</v>
      </c>
      <c r="AP36" s="49">
        <f t="shared" si="7"/>
        <v>0.22729183439736467</v>
      </c>
      <c r="AQ36">
        <v>120</v>
      </c>
      <c r="AR36" s="32">
        <f t="shared" si="8"/>
        <v>4.4940313645938985E-2</v>
      </c>
      <c r="AS36" s="48">
        <v>100</v>
      </c>
      <c r="AT36" s="27">
        <f t="shared" si="9"/>
        <v>3.745026137161582E-2</v>
      </c>
      <c r="AU36" s="48">
        <v>0.01</v>
      </c>
      <c r="AV36" s="27">
        <f t="shared" si="10"/>
        <v>3.6796110125501018E-6</v>
      </c>
      <c r="AW36" s="48">
        <v>0.01</v>
      </c>
      <c r="AX36" s="27">
        <f t="shared" si="11"/>
        <v>3.7611049867064394E-6</v>
      </c>
      <c r="AY36" s="48">
        <v>5.0000000000000001E-3</v>
      </c>
      <c r="AZ36" s="27">
        <f t="shared" si="12"/>
        <v>1.8649981951630372E-6</v>
      </c>
      <c r="BA36" s="48">
        <v>0.04</v>
      </c>
      <c r="BB36" s="27">
        <f t="shared" si="13"/>
        <v>1.4812321158054199E-5</v>
      </c>
      <c r="BC36" s="48">
        <v>1E-3</v>
      </c>
      <c r="BD36" s="27">
        <f t="shared" si="14"/>
        <v>3.7030802895135499E-7</v>
      </c>
      <c r="BE36" s="48">
        <v>1E-3</v>
      </c>
      <c r="BF36" s="27">
        <f t="shared" si="15"/>
        <v>3.6588380716934485E-7</v>
      </c>
      <c r="BG36" s="48">
        <v>2E-3</v>
      </c>
      <c r="BH36" s="27">
        <f t="shared" si="16"/>
        <v>7.3176761433868969E-7</v>
      </c>
      <c r="BI36" s="52">
        <f t="shared" si="17"/>
        <v>100.06900000000002</v>
      </c>
      <c r="BJ36" s="52">
        <f t="shared" si="18"/>
        <v>6.9000000000000006E-2</v>
      </c>
      <c r="BK36" s="27">
        <f t="shared" si="19"/>
        <v>3.7475847366418749E-2</v>
      </c>
      <c r="BL36" s="27">
        <f t="shared" si="20"/>
        <v>2.5585994802933168E-5</v>
      </c>
      <c r="BM36">
        <v>250</v>
      </c>
      <c r="BN36">
        <v>2.5</v>
      </c>
      <c r="BO36" t="s">
        <v>19</v>
      </c>
      <c r="BP36">
        <v>260</v>
      </c>
      <c r="BQ36">
        <v>65</v>
      </c>
      <c r="BR36">
        <v>26</v>
      </c>
      <c r="BS36">
        <v>1.4</v>
      </c>
      <c r="BT36">
        <v>4.9000000000000004</v>
      </c>
      <c r="BU36">
        <v>13.2</v>
      </c>
      <c r="BV36">
        <v>-113</v>
      </c>
      <c r="BW36">
        <v>6.88</v>
      </c>
      <c r="BX36">
        <v>797</v>
      </c>
      <c r="BY36">
        <v>0.2</v>
      </c>
      <c r="BZ36">
        <v>0.01</v>
      </c>
      <c r="CA36" s="32">
        <v>26</v>
      </c>
      <c r="CB36" s="32">
        <f t="shared" si="21"/>
        <v>0.46553267681289168</v>
      </c>
      <c r="CC36" s="32">
        <f t="shared" si="22"/>
        <v>0.46553267681289168</v>
      </c>
      <c r="CD36" s="32">
        <v>5.3</v>
      </c>
      <c r="CE36" s="32">
        <f t="shared" si="23"/>
        <v>9.6486437283815757E-2</v>
      </c>
      <c r="CF36" s="32">
        <f t="shared" si="24"/>
        <v>0.19297287456763151</v>
      </c>
      <c r="CG36" s="27">
        <v>0.5</v>
      </c>
      <c r="CH36" s="27">
        <f t="shared" si="25"/>
        <v>5.2050801582344368E-3</v>
      </c>
      <c r="CI36" s="27">
        <f t="shared" si="26"/>
        <v>4.1640641265875494E-2</v>
      </c>
      <c r="CJ36" s="58">
        <v>77.5</v>
      </c>
      <c r="CK36" s="58">
        <v>99.358974358974365</v>
      </c>
      <c r="CL36" s="58">
        <v>6.4542993962107014</v>
      </c>
      <c r="CM36" s="58">
        <v>6.4542993962107014</v>
      </c>
      <c r="CN36" s="28">
        <v>77.5</v>
      </c>
      <c r="CO36" s="28">
        <v>99.358974358974365</v>
      </c>
      <c r="CP36" s="28">
        <v>6.4542993962107014</v>
      </c>
      <c r="CQ36" s="28">
        <v>6.4542993962107014</v>
      </c>
      <c r="CR36" s="32">
        <f t="shared" si="27"/>
        <v>45.051009785550697</v>
      </c>
      <c r="CS36" s="32">
        <v>45.051009785550697</v>
      </c>
      <c r="CT36" s="32">
        <f t="shared" si="28"/>
        <v>71.05100978555069</v>
      </c>
      <c r="CU36" s="32">
        <f t="shared" si="29"/>
        <v>1.2721756452202451</v>
      </c>
      <c r="CV36" s="32">
        <f t="shared" si="30"/>
        <v>1.2721756452202451</v>
      </c>
      <c r="CW36" s="60">
        <f t="shared" si="31"/>
        <v>45.051009785550697</v>
      </c>
      <c r="CX36" s="60">
        <v>45.051009785550697</v>
      </c>
      <c r="CY36" s="60">
        <f t="shared" si="32"/>
        <v>71.05100978555069</v>
      </c>
      <c r="CZ36" s="60">
        <f t="shared" si="33"/>
        <v>1.2721756452202451</v>
      </c>
      <c r="DA36" s="60">
        <f t="shared" si="34"/>
        <v>1.2721756452202451</v>
      </c>
      <c r="DB36" s="32">
        <f t="shared" si="35"/>
        <v>4.1640641265875494E-2</v>
      </c>
      <c r="DC36">
        <f t="shared" si="36"/>
        <v>7.9194479159985782</v>
      </c>
      <c r="DD36">
        <f t="shared" si="37"/>
        <v>2.4366960502107071E-2</v>
      </c>
      <c r="DE36">
        <f t="shared" si="38"/>
        <v>0.16063943581853005</v>
      </c>
      <c r="DF36">
        <f t="shared" si="39"/>
        <v>0.81499360367936291</v>
      </c>
      <c r="DG36">
        <f t="shared" si="40"/>
        <v>7.9194479159985782</v>
      </c>
      <c r="DH36">
        <f t="shared" si="41"/>
        <v>2.4366960502107071E-2</v>
      </c>
      <c r="DI36">
        <f t="shared" si="42"/>
        <v>0.16063943581853005</v>
      </c>
      <c r="DJ36">
        <f t="shared" si="43"/>
        <v>0.81499360367936291</v>
      </c>
      <c r="DK36" s="64">
        <f t="shared" si="44"/>
        <v>-7.6472157679552746</v>
      </c>
      <c r="DL36" s="64">
        <f t="shared" si="45"/>
        <v>-7.6472157679552746</v>
      </c>
      <c r="DM36" s="64">
        <f t="shared" si="46"/>
        <v>-7.6471901819604717</v>
      </c>
      <c r="DN36" s="64">
        <f t="shared" si="47"/>
        <v>-7.6471901819604717</v>
      </c>
      <c r="DO36" t="str">
        <f t="shared" si="48"/>
        <v>Sufficient Capacity</v>
      </c>
      <c r="DP36" t="str">
        <f t="shared" si="49"/>
        <v>Sufficient Capacity</v>
      </c>
    </row>
    <row r="37" spans="1:120" ht="15.75" x14ac:dyDescent="0.25">
      <c r="A37" s="3" t="s">
        <v>90</v>
      </c>
      <c r="B37" s="3" t="s">
        <v>90</v>
      </c>
      <c r="C37" s="2" t="s">
        <v>762</v>
      </c>
      <c r="D37" s="2" t="s">
        <v>479</v>
      </c>
      <c r="E37" s="2" t="s">
        <v>479</v>
      </c>
      <c r="F37" s="2">
        <v>36</v>
      </c>
      <c r="G37" s="2" t="s">
        <v>761</v>
      </c>
      <c r="H37" s="10" t="s">
        <v>656</v>
      </c>
      <c r="I37" s="2">
        <v>150</v>
      </c>
      <c r="J37" s="2">
        <v>100</v>
      </c>
      <c r="K37" s="12">
        <v>3.85</v>
      </c>
      <c r="L37" t="s">
        <v>265</v>
      </c>
      <c r="M37" s="2" t="s">
        <v>1120</v>
      </c>
      <c r="N37" s="2" t="s">
        <v>435</v>
      </c>
      <c r="O37" s="2" t="s">
        <v>653</v>
      </c>
      <c r="P37" s="2" t="s">
        <v>1124</v>
      </c>
      <c r="Q37" s="9" t="s">
        <v>662</v>
      </c>
      <c r="R37" s="2" t="str">
        <f t="shared" si="0"/>
        <v>CW_1_Section_1</v>
      </c>
      <c r="S37" s="2" t="str">
        <f t="shared" si="1"/>
        <v>CW_1_MF02</v>
      </c>
      <c r="T37" s="11" t="s">
        <v>751</v>
      </c>
      <c r="U37" s="1">
        <v>45580</v>
      </c>
      <c r="V37" s="2" t="s">
        <v>752</v>
      </c>
      <c r="W37" s="2" t="s">
        <v>663</v>
      </c>
      <c r="X37" s="2" t="s">
        <v>750</v>
      </c>
      <c r="Y37" s="2" t="str">
        <f t="shared" si="2"/>
        <v>T1_0.60-0.80</v>
      </c>
      <c r="Z37" t="s">
        <v>31</v>
      </c>
      <c r="AA37">
        <v>12</v>
      </c>
      <c r="AB37">
        <v>13</v>
      </c>
      <c r="AC37">
        <v>590</v>
      </c>
      <c r="AD37" s="32">
        <f t="shared" si="3"/>
        <v>0.22660350787351172</v>
      </c>
      <c r="AE37">
        <v>55</v>
      </c>
      <c r="AF37" s="32">
        <f>($AE37/92140)*36</f>
        <v>2.1489038419795964E-2</v>
      </c>
      <c r="AG37">
        <v>460</v>
      </c>
      <c r="AH37" s="32">
        <f t="shared" si="4"/>
        <v>0.1819723085617406</v>
      </c>
      <c r="AI37">
        <v>180</v>
      </c>
      <c r="AJ37" s="32">
        <f t="shared" si="5"/>
        <v>7.120655552415936E-2</v>
      </c>
      <c r="AK37">
        <v>180</v>
      </c>
      <c r="AL37" s="32">
        <f t="shared" si="6"/>
        <v>7.120655552415936E-2</v>
      </c>
      <c r="AM37">
        <v>360</v>
      </c>
      <c r="AO37" s="49">
        <v>1465</v>
      </c>
      <c r="AP37" s="49">
        <f t="shared" si="7"/>
        <v>0.43006485485504831</v>
      </c>
      <c r="AQ37">
        <v>3400</v>
      </c>
      <c r="AR37" s="32">
        <f t="shared" si="8"/>
        <v>1.273308886634938</v>
      </c>
      <c r="AS37" s="48">
        <v>2700</v>
      </c>
      <c r="AT37" s="27">
        <f t="shared" si="9"/>
        <v>1.0111570570336272</v>
      </c>
      <c r="AU37" s="48">
        <v>85</v>
      </c>
      <c r="AV37" s="27">
        <f t="shared" si="10"/>
        <v>3.1276693606675864E-2</v>
      </c>
      <c r="AW37" s="48">
        <v>82</v>
      </c>
      <c r="AX37" s="27">
        <f t="shared" si="11"/>
        <v>3.08410608909928E-2</v>
      </c>
      <c r="AY37" s="48">
        <v>34</v>
      </c>
      <c r="AZ37" s="27">
        <f t="shared" si="12"/>
        <v>1.2681987727108652E-2</v>
      </c>
      <c r="BA37" s="48">
        <v>18</v>
      </c>
      <c r="BB37" s="27">
        <f t="shared" si="13"/>
        <v>6.66554452112439E-3</v>
      </c>
      <c r="BC37" s="48">
        <v>0.4</v>
      </c>
      <c r="BD37" s="27">
        <f t="shared" si="14"/>
        <v>1.4812321158054199E-4</v>
      </c>
      <c r="BE37" s="48">
        <v>0.88</v>
      </c>
      <c r="BF37" s="27">
        <f t="shared" si="15"/>
        <v>3.219777503090235E-4</v>
      </c>
      <c r="BG37" s="48">
        <v>0.78</v>
      </c>
      <c r="BH37" s="27">
        <f t="shared" si="16"/>
        <v>2.8538936959208902E-4</v>
      </c>
      <c r="BI37" s="52">
        <f t="shared" si="17"/>
        <v>2921.0600000000004</v>
      </c>
      <c r="BJ37" s="52">
        <f t="shared" si="18"/>
        <v>221.06</v>
      </c>
      <c r="BK37" s="27">
        <f t="shared" si="19"/>
        <v>1.0933778341110105</v>
      </c>
      <c r="BL37" s="27">
        <f t="shared" si="20"/>
        <v>8.2220777077383372E-2</v>
      </c>
      <c r="BM37">
        <v>6000</v>
      </c>
      <c r="BN37">
        <v>1800</v>
      </c>
      <c r="BO37">
        <v>45</v>
      </c>
      <c r="BP37">
        <v>7800</v>
      </c>
      <c r="BQ37">
        <v>68</v>
      </c>
      <c r="BR37">
        <v>24</v>
      </c>
      <c r="BS37">
        <v>0.74</v>
      </c>
      <c r="BT37">
        <v>0.46</v>
      </c>
      <c r="BU37">
        <v>13</v>
      </c>
      <c r="BV37">
        <v>-141</v>
      </c>
      <c r="BW37">
        <v>7.11</v>
      </c>
      <c r="BX37">
        <v>1215</v>
      </c>
      <c r="BY37">
        <v>0.2</v>
      </c>
      <c r="BZ37">
        <v>0.01</v>
      </c>
      <c r="CA37" s="32">
        <v>0.6</v>
      </c>
      <c r="CB37" s="32">
        <f t="shared" si="21"/>
        <v>1.0743061772605192E-2</v>
      </c>
      <c r="CC37" s="32">
        <f t="shared" si="22"/>
        <v>1.0743061772605192E-2</v>
      </c>
      <c r="CD37" s="32">
        <v>1</v>
      </c>
      <c r="CE37" s="32">
        <f t="shared" si="23"/>
        <v>1.8204988166757693E-2</v>
      </c>
      <c r="CF37" s="32">
        <f t="shared" si="24"/>
        <v>3.6409976333515386E-2</v>
      </c>
      <c r="CG37" s="27">
        <v>66</v>
      </c>
      <c r="CH37" s="27">
        <f t="shared" si="25"/>
        <v>0.68707058088694561</v>
      </c>
      <c r="CI37" s="27">
        <f t="shared" si="26"/>
        <v>5.4965646470955649</v>
      </c>
      <c r="CJ37" s="58">
        <v>12</v>
      </c>
      <c r="CK37" s="58">
        <v>15.384615384615385</v>
      </c>
      <c r="CL37" s="58">
        <v>0.99937539038101186</v>
      </c>
      <c r="CM37" s="58">
        <v>0.99937539038101186</v>
      </c>
      <c r="CN37" s="28">
        <v>12</v>
      </c>
      <c r="CO37" s="28">
        <v>15.384615384615385</v>
      </c>
      <c r="CP37" s="28">
        <v>0.99937539038101186</v>
      </c>
      <c r="CQ37" s="28">
        <v>0.99937539038101186</v>
      </c>
      <c r="CR37" s="32">
        <f t="shared" si="27"/>
        <v>6.9756402248594629</v>
      </c>
      <c r="CS37" s="32">
        <v>6.9756402248594629</v>
      </c>
      <c r="CT37" s="32">
        <f t="shared" si="28"/>
        <v>7.5756402248594625</v>
      </c>
      <c r="CU37" s="32">
        <f t="shared" si="29"/>
        <v>0.13564261817116316</v>
      </c>
      <c r="CV37" s="32">
        <f t="shared" si="30"/>
        <v>0.13564261817116316</v>
      </c>
      <c r="CW37" s="60">
        <f t="shared" si="31"/>
        <v>6.9756402248594629</v>
      </c>
      <c r="CX37" s="60">
        <v>6.9756402248594629</v>
      </c>
      <c r="CY37" s="60">
        <f t="shared" si="32"/>
        <v>7.5756402248594625</v>
      </c>
      <c r="CZ37" s="60">
        <f t="shared" si="33"/>
        <v>0.13564261817116316</v>
      </c>
      <c r="DA37" s="60">
        <f t="shared" si="34"/>
        <v>0.13564261817116316</v>
      </c>
      <c r="DB37" s="32">
        <f t="shared" si="35"/>
        <v>5.4965646470955649</v>
      </c>
      <c r="DC37">
        <f t="shared" si="36"/>
        <v>1.1714279848856903</v>
      </c>
      <c r="DD37">
        <f t="shared" si="37"/>
        <v>3.1081702676813143E-2</v>
      </c>
      <c r="DE37">
        <f t="shared" si="38"/>
        <v>0.11579253690477556</v>
      </c>
      <c r="DF37">
        <f t="shared" si="39"/>
        <v>0.85312576041841137</v>
      </c>
      <c r="DG37">
        <f t="shared" si="40"/>
        <v>1.1714279848856903</v>
      </c>
      <c r="DH37">
        <f t="shared" si="41"/>
        <v>3.1081702676813143E-2</v>
      </c>
      <c r="DI37">
        <f t="shared" si="42"/>
        <v>0.11579253690477556</v>
      </c>
      <c r="DJ37">
        <f t="shared" si="43"/>
        <v>0.85312576041841137</v>
      </c>
      <c r="DK37" s="64">
        <f t="shared" si="44"/>
        <v>0.53194575660429599</v>
      </c>
      <c r="DL37" s="64">
        <f t="shared" si="45"/>
        <v>0.53194575660429599</v>
      </c>
      <c r="DM37" s="64">
        <f t="shared" si="46"/>
        <v>0.61416653368167928</v>
      </c>
      <c r="DN37" s="64">
        <f t="shared" si="47"/>
        <v>0.61416653368167928</v>
      </c>
      <c r="DO37" t="str">
        <f t="shared" si="48"/>
        <v>Insufficient Capacity</v>
      </c>
      <c r="DP37" t="str">
        <f t="shared" si="49"/>
        <v>Insufficient Capacity</v>
      </c>
    </row>
    <row r="38" spans="1:120" ht="15.75" x14ac:dyDescent="0.25">
      <c r="A38" s="3" t="s">
        <v>91</v>
      </c>
      <c r="B38" s="3" t="s">
        <v>91</v>
      </c>
      <c r="C38" s="2" t="s">
        <v>764</v>
      </c>
      <c r="D38" s="2" t="s">
        <v>480</v>
      </c>
      <c r="E38" s="2" t="s">
        <v>480</v>
      </c>
      <c r="F38" s="2">
        <v>37</v>
      </c>
      <c r="G38" s="2" t="s">
        <v>763</v>
      </c>
      <c r="H38" s="10" t="s">
        <v>656</v>
      </c>
      <c r="I38" s="2">
        <v>150</v>
      </c>
      <c r="J38" s="2">
        <v>100</v>
      </c>
      <c r="K38" s="12">
        <v>5.6</v>
      </c>
      <c r="L38" t="s">
        <v>268</v>
      </c>
      <c r="M38" s="2" t="s">
        <v>1120</v>
      </c>
      <c r="N38" s="2" t="s">
        <v>435</v>
      </c>
      <c r="O38" s="2" t="s">
        <v>666</v>
      </c>
      <c r="P38" s="2" t="s">
        <v>1131</v>
      </c>
      <c r="Q38" s="9" t="s">
        <v>667</v>
      </c>
      <c r="R38" s="2" t="str">
        <f t="shared" si="0"/>
        <v>CW_1_Section_2</v>
      </c>
      <c r="S38" s="2" t="str">
        <f t="shared" si="1"/>
        <v>CW_1_MF05</v>
      </c>
      <c r="T38" s="11" t="s">
        <v>751</v>
      </c>
      <c r="U38" s="1">
        <v>45580</v>
      </c>
      <c r="V38" s="2" t="s">
        <v>752</v>
      </c>
      <c r="W38" s="2" t="s">
        <v>655</v>
      </c>
      <c r="X38" s="2" t="s">
        <v>750</v>
      </c>
      <c r="Y38" s="2" t="str">
        <f t="shared" si="2"/>
        <v>T1_0.15-0.30</v>
      </c>
      <c r="Z38" t="s">
        <v>33</v>
      </c>
      <c r="AA38">
        <v>39</v>
      </c>
      <c r="AB38">
        <v>17</v>
      </c>
      <c r="AC38">
        <v>720</v>
      </c>
      <c r="AD38" s="32">
        <f t="shared" si="3"/>
        <v>0.27653309435411599</v>
      </c>
      <c r="AE38">
        <v>26</v>
      </c>
      <c r="AF38" s="32">
        <f>($AE38/92140)*36</f>
        <v>1.0158454525721729E-2</v>
      </c>
      <c r="AG38">
        <v>340</v>
      </c>
      <c r="AH38" s="32">
        <f t="shared" si="4"/>
        <v>0.13450127154563435</v>
      </c>
      <c r="AI38">
        <v>210</v>
      </c>
      <c r="AJ38" s="32">
        <f t="shared" si="5"/>
        <v>8.3074314778185929E-2</v>
      </c>
      <c r="AK38">
        <v>170</v>
      </c>
      <c r="AL38" s="32">
        <f t="shared" si="6"/>
        <v>6.7250635772817174E-2</v>
      </c>
      <c r="AM38">
        <v>380</v>
      </c>
      <c r="AO38" s="49">
        <v>1466</v>
      </c>
      <c r="AP38" s="49">
        <f t="shared" si="7"/>
        <v>0.42119282042547207</v>
      </c>
      <c r="AQ38">
        <v>210</v>
      </c>
      <c r="AR38" s="32">
        <f t="shared" si="8"/>
        <v>7.8645548880393226E-2</v>
      </c>
      <c r="AS38" s="48">
        <v>190</v>
      </c>
      <c r="AT38" s="27">
        <f t="shared" si="9"/>
        <v>7.1155496606070068E-2</v>
      </c>
      <c r="AU38" s="48">
        <v>0.01</v>
      </c>
      <c r="AV38" s="27">
        <f t="shared" si="10"/>
        <v>3.6796110125501018E-6</v>
      </c>
      <c r="AW38" s="48">
        <v>0.01</v>
      </c>
      <c r="AX38" s="27">
        <f t="shared" si="11"/>
        <v>3.7611049867064394E-6</v>
      </c>
      <c r="AY38" s="48">
        <v>0.05</v>
      </c>
      <c r="AZ38" s="27">
        <f t="shared" si="12"/>
        <v>1.864998195163037E-5</v>
      </c>
      <c r="BA38" s="48">
        <v>0.05</v>
      </c>
      <c r="BB38" s="27">
        <f t="shared" si="13"/>
        <v>1.8515401447567749E-5</v>
      </c>
      <c r="BC38" s="48">
        <v>1E-3</v>
      </c>
      <c r="BD38" s="27">
        <f t="shared" si="14"/>
        <v>3.7030802895135499E-7</v>
      </c>
      <c r="BE38" s="48">
        <v>1E-3</v>
      </c>
      <c r="BF38" s="27">
        <f t="shared" si="15"/>
        <v>3.6588380716934485E-7</v>
      </c>
      <c r="BG38" s="48">
        <v>2E-3</v>
      </c>
      <c r="BH38" s="27">
        <f t="shared" si="16"/>
        <v>7.3176761433868969E-7</v>
      </c>
      <c r="BI38" s="52">
        <f t="shared" si="17"/>
        <v>190.12400000000002</v>
      </c>
      <c r="BJ38" s="52">
        <f t="shared" si="18"/>
        <v>0.12400000000000001</v>
      </c>
      <c r="BK38" s="27">
        <f t="shared" si="19"/>
        <v>7.1201570664918973E-2</v>
      </c>
      <c r="BL38" s="27">
        <f t="shared" si="20"/>
        <v>4.607405884891405E-5</v>
      </c>
      <c r="BM38">
        <v>360</v>
      </c>
      <c r="BN38">
        <v>2.5</v>
      </c>
      <c r="BO38" t="s">
        <v>19</v>
      </c>
      <c r="BP38">
        <v>370</v>
      </c>
      <c r="BQ38">
        <v>68</v>
      </c>
      <c r="BR38">
        <v>25</v>
      </c>
      <c r="BS38">
        <v>1.2</v>
      </c>
      <c r="BT38">
        <v>3.5</v>
      </c>
      <c r="BU38">
        <v>12.8</v>
      </c>
      <c r="BV38">
        <v>-142</v>
      </c>
      <c r="BW38">
        <v>6.82</v>
      </c>
      <c r="BX38">
        <v>1462</v>
      </c>
      <c r="BY38">
        <v>0.2</v>
      </c>
      <c r="BZ38">
        <v>0.01</v>
      </c>
      <c r="CA38" s="32">
        <v>24</v>
      </c>
      <c r="CB38" s="32">
        <f t="shared" si="21"/>
        <v>0.42972247090420768</v>
      </c>
      <c r="CC38" s="32">
        <f t="shared" si="22"/>
        <v>0.42972247090420768</v>
      </c>
      <c r="CD38" s="32">
        <v>5</v>
      </c>
      <c r="CE38" s="32">
        <f t="shared" si="23"/>
        <v>9.1024940833788454E-2</v>
      </c>
      <c r="CF38" s="32">
        <f t="shared" si="24"/>
        <v>0.18204988166757691</v>
      </c>
      <c r="CG38" s="27">
        <v>0.5</v>
      </c>
      <c r="CH38" s="27">
        <f t="shared" si="25"/>
        <v>5.2050801582344368E-3</v>
      </c>
      <c r="CI38" s="27">
        <f t="shared" si="26"/>
        <v>4.1640641265875494E-2</v>
      </c>
      <c r="CJ38" s="58">
        <v>77.5</v>
      </c>
      <c r="CK38" s="58">
        <v>99.358974358974365</v>
      </c>
      <c r="CL38" s="58">
        <v>6.4542993962107014</v>
      </c>
      <c r="CM38" s="58">
        <v>6.4542993962107014</v>
      </c>
      <c r="CN38" s="28">
        <v>0</v>
      </c>
      <c r="CO38" s="28">
        <v>0</v>
      </c>
      <c r="CP38" s="28">
        <v>0</v>
      </c>
      <c r="CQ38" s="28">
        <v>0</v>
      </c>
      <c r="CR38" s="32">
        <f t="shared" si="27"/>
        <v>45.051009785550697</v>
      </c>
      <c r="CS38" s="32">
        <v>45.051009785550697</v>
      </c>
      <c r="CT38" s="32">
        <f t="shared" si="28"/>
        <v>69.05100978555069</v>
      </c>
      <c r="CU38" s="32">
        <f t="shared" si="29"/>
        <v>1.2363654393115611</v>
      </c>
      <c r="CV38" s="32">
        <f t="shared" si="30"/>
        <v>1.2363654393115611</v>
      </c>
      <c r="CW38" s="60">
        <f t="shared" si="31"/>
        <v>0</v>
      </c>
      <c r="CX38" s="60">
        <v>0</v>
      </c>
      <c r="CY38" s="60">
        <f t="shared" si="32"/>
        <v>24</v>
      </c>
      <c r="CZ38" s="60">
        <f t="shared" si="33"/>
        <v>0.42972247090420768</v>
      </c>
      <c r="DA38" s="60">
        <f t="shared" si="34"/>
        <v>0.42972247090420768</v>
      </c>
      <c r="DB38" s="32">
        <f t="shared" si="35"/>
        <v>4.1640641265875494E-2</v>
      </c>
      <c r="DC38">
        <f t="shared" si="36"/>
        <v>7.8727147171898393</v>
      </c>
      <c r="DD38">
        <f t="shared" si="37"/>
        <v>2.3124155797246963E-2</v>
      </c>
      <c r="DE38">
        <f t="shared" si="38"/>
        <v>0.15704435937606043</v>
      </c>
      <c r="DF38">
        <f t="shared" si="39"/>
        <v>0.81983148482669266</v>
      </c>
      <c r="DG38">
        <f t="shared" si="40"/>
        <v>0.61177235257178464</v>
      </c>
      <c r="DH38">
        <f t="shared" si="41"/>
        <v>0.29757781779819054</v>
      </c>
      <c r="DI38">
        <f t="shared" si="42"/>
        <v>0.70242218220180941</v>
      </c>
      <c r="DJ38">
        <f t="shared" si="43"/>
        <v>0</v>
      </c>
      <c r="DK38" s="64">
        <f t="shared" si="44"/>
        <v>-7.3728763478839738</v>
      </c>
      <c r="DL38" s="64">
        <f t="shared" si="45"/>
        <v>-0.11193398326591936</v>
      </c>
      <c r="DM38" s="64">
        <f t="shared" si="46"/>
        <v>-7.3728302738251248</v>
      </c>
      <c r="DN38" s="64">
        <f t="shared" si="47"/>
        <v>-0.11188790920707042</v>
      </c>
      <c r="DO38" t="str">
        <f t="shared" si="48"/>
        <v>Sufficient Capacity</v>
      </c>
      <c r="DP38" t="str">
        <f t="shared" si="49"/>
        <v>Sufficient Capacity</v>
      </c>
    </row>
    <row r="39" spans="1:120" ht="15.75" x14ac:dyDescent="0.25">
      <c r="A39" s="3" t="s">
        <v>92</v>
      </c>
      <c r="B39" s="3" t="s">
        <v>92</v>
      </c>
      <c r="C39" s="2" t="s">
        <v>766</v>
      </c>
      <c r="D39" s="2" t="s">
        <v>481</v>
      </c>
      <c r="E39" s="2" t="s">
        <v>481</v>
      </c>
      <c r="F39" s="2">
        <v>38</v>
      </c>
      <c r="G39" s="2" t="s">
        <v>765</v>
      </c>
      <c r="H39" s="10" t="s">
        <v>656</v>
      </c>
      <c r="I39" s="2">
        <v>150</v>
      </c>
      <c r="J39" s="2">
        <v>100</v>
      </c>
      <c r="K39" s="12">
        <v>5.0999999999999996</v>
      </c>
      <c r="L39" t="s">
        <v>266</v>
      </c>
      <c r="M39" s="2" t="s">
        <v>1120</v>
      </c>
      <c r="N39" s="2" t="s">
        <v>435</v>
      </c>
      <c r="O39" s="2" t="s">
        <v>666</v>
      </c>
      <c r="P39" s="2" t="s">
        <v>1132</v>
      </c>
      <c r="Q39" s="9" t="s">
        <v>670</v>
      </c>
      <c r="R39" s="2" t="str">
        <f t="shared" si="0"/>
        <v>CW_1_Section_2</v>
      </c>
      <c r="S39" s="2" t="str">
        <f t="shared" si="1"/>
        <v>CW_1_MF06</v>
      </c>
      <c r="T39" s="11" t="s">
        <v>751</v>
      </c>
      <c r="U39" s="1">
        <v>45580</v>
      </c>
      <c r="V39" s="2" t="s">
        <v>752</v>
      </c>
      <c r="W39" s="2" t="s">
        <v>663</v>
      </c>
      <c r="X39" s="2" t="s">
        <v>750</v>
      </c>
      <c r="Y39" s="2" t="str">
        <f t="shared" si="2"/>
        <v>T1_0.60-0.80</v>
      </c>
      <c r="Z39" t="s">
        <v>25</v>
      </c>
      <c r="AA39">
        <v>12</v>
      </c>
      <c r="AB39">
        <v>12</v>
      </c>
      <c r="AC39">
        <v>590</v>
      </c>
      <c r="AD39" s="32">
        <f t="shared" si="3"/>
        <v>0.22660350787351172</v>
      </c>
      <c r="AE39">
        <v>14</v>
      </c>
      <c r="AF39" s="32">
        <f>($AE39/92140)*36</f>
        <v>5.4699370523116995E-3</v>
      </c>
      <c r="AG39">
        <v>400</v>
      </c>
      <c r="AH39" s="32">
        <f t="shared" si="4"/>
        <v>0.15823679005368749</v>
      </c>
      <c r="AI39">
        <v>120</v>
      </c>
      <c r="AJ39" s="32">
        <f t="shared" si="5"/>
        <v>4.7471037016106249E-2</v>
      </c>
      <c r="AK39">
        <v>99</v>
      </c>
      <c r="AL39" s="32">
        <f t="shared" si="6"/>
        <v>3.9163605538287648E-2</v>
      </c>
      <c r="AM39">
        <v>219</v>
      </c>
      <c r="AO39" s="49">
        <v>1223</v>
      </c>
      <c r="AP39" s="49">
        <f t="shared" si="7"/>
        <v>0.39031023497951089</v>
      </c>
      <c r="AQ39">
        <v>2600</v>
      </c>
      <c r="AR39" s="32">
        <f t="shared" si="8"/>
        <v>0.97370679566201146</v>
      </c>
      <c r="AS39" s="48">
        <v>3000</v>
      </c>
      <c r="AT39" s="27">
        <f t="shared" si="9"/>
        <v>1.1235078411484747</v>
      </c>
      <c r="AU39" s="48">
        <v>120</v>
      </c>
      <c r="AV39" s="27">
        <f t="shared" si="10"/>
        <v>4.4155332150601224E-2</v>
      </c>
      <c r="AW39" s="48">
        <v>95</v>
      </c>
      <c r="AX39" s="27">
        <f t="shared" si="11"/>
        <v>3.5730497373711173E-2</v>
      </c>
      <c r="AY39" s="48">
        <v>29</v>
      </c>
      <c r="AZ39" s="27">
        <f t="shared" si="12"/>
        <v>1.0816989531945613E-2</v>
      </c>
      <c r="BA39" s="48">
        <v>0.4</v>
      </c>
      <c r="BB39" s="27">
        <f t="shared" si="13"/>
        <v>1.4812321158054199E-4</v>
      </c>
      <c r="BC39" s="48">
        <v>0.57999999999999996</v>
      </c>
      <c r="BD39" s="27">
        <f t="shared" si="14"/>
        <v>2.1477865679178588E-4</v>
      </c>
      <c r="BE39" s="48">
        <v>0.03</v>
      </c>
      <c r="BF39" s="27">
        <f t="shared" si="15"/>
        <v>1.0976514215080345E-5</v>
      </c>
      <c r="BG39" s="48">
        <v>2E-3</v>
      </c>
      <c r="BH39" s="27">
        <f t="shared" si="16"/>
        <v>7.3176761433868969E-7</v>
      </c>
      <c r="BI39" s="52">
        <f t="shared" si="17"/>
        <v>3245.0120000000002</v>
      </c>
      <c r="BJ39" s="52">
        <f t="shared" si="18"/>
        <v>245.01200000000003</v>
      </c>
      <c r="BK39" s="27">
        <f t="shared" si="19"/>
        <v>1.2145852703549345</v>
      </c>
      <c r="BL39" s="27">
        <f t="shared" si="20"/>
        <v>9.1077429206459753E-2</v>
      </c>
      <c r="BM39">
        <v>4700</v>
      </c>
      <c r="BN39">
        <v>1200</v>
      </c>
      <c r="BO39">
        <v>45</v>
      </c>
      <c r="BP39">
        <v>6000</v>
      </c>
      <c r="BQ39">
        <v>68</v>
      </c>
      <c r="BR39">
        <v>24</v>
      </c>
      <c r="BS39">
        <v>0.92</v>
      </c>
      <c r="BT39">
        <v>0.33</v>
      </c>
      <c r="BU39">
        <v>12.8</v>
      </c>
      <c r="BV39">
        <v>-154</v>
      </c>
      <c r="BW39">
        <v>7.08</v>
      </c>
      <c r="BX39">
        <v>1922</v>
      </c>
      <c r="BY39">
        <v>0.2</v>
      </c>
      <c r="BZ39">
        <v>0.01</v>
      </c>
      <c r="CA39" s="32">
        <v>3</v>
      </c>
      <c r="CB39" s="32">
        <f t="shared" si="21"/>
        <v>5.371530886302596E-2</v>
      </c>
      <c r="CC39" s="32">
        <f t="shared" si="22"/>
        <v>5.371530886302596E-2</v>
      </c>
      <c r="CD39" s="32">
        <v>1.7</v>
      </c>
      <c r="CE39" s="32">
        <f t="shared" si="23"/>
        <v>3.0948479883488075E-2</v>
      </c>
      <c r="CF39" s="32">
        <f t="shared" si="24"/>
        <v>6.1896959766976151E-2</v>
      </c>
      <c r="CG39" s="27">
        <v>43</v>
      </c>
      <c r="CH39" s="27">
        <f t="shared" si="25"/>
        <v>0.44763689360816156</v>
      </c>
      <c r="CI39" s="27">
        <f t="shared" si="26"/>
        <v>3.5810951488652925</v>
      </c>
      <c r="CJ39" s="58">
        <v>35</v>
      </c>
      <c r="CK39" s="58">
        <v>44.871794871794876</v>
      </c>
      <c r="CL39" s="58">
        <v>2.9148448886112845</v>
      </c>
      <c r="CM39" s="58">
        <v>2.9148448886112845</v>
      </c>
      <c r="CN39" s="28">
        <v>23</v>
      </c>
      <c r="CO39" s="28">
        <v>34.848484848484851</v>
      </c>
      <c r="CP39" s="28">
        <v>1.9154694982302727</v>
      </c>
      <c r="CQ39" s="28">
        <v>1.9154694982302727</v>
      </c>
      <c r="CR39" s="32">
        <f t="shared" si="27"/>
        <v>20.345617322506765</v>
      </c>
      <c r="CS39" s="32">
        <v>20.345617322506765</v>
      </c>
      <c r="CT39" s="32">
        <f t="shared" si="28"/>
        <v>23.345617322506765</v>
      </c>
      <c r="CU39" s="32">
        <f t="shared" si="29"/>
        <v>0.41800568169215335</v>
      </c>
      <c r="CV39" s="32">
        <f t="shared" si="30"/>
        <v>0.41800568169215335</v>
      </c>
      <c r="CW39" s="60">
        <f t="shared" si="31"/>
        <v>13.369977097647302</v>
      </c>
      <c r="CX39" s="60">
        <v>13.369977097647302</v>
      </c>
      <c r="CY39" s="60">
        <f t="shared" si="32"/>
        <v>16.3699770976473</v>
      </c>
      <c r="CZ39" s="60">
        <f t="shared" si="33"/>
        <v>0.29310612529359537</v>
      </c>
      <c r="DA39" s="60">
        <f t="shared" si="34"/>
        <v>0.29310612529359537</v>
      </c>
      <c r="DB39" s="32">
        <f t="shared" si="35"/>
        <v>3.5810951488652925</v>
      </c>
      <c r="DC39">
        <f t="shared" si="36"/>
        <v>3.394747530070414</v>
      </c>
      <c r="DD39">
        <f t="shared" si="37"/>
        <v>1.8233155549476836E-2</v>
      </c>
      <c r="DE39">
        <f t="shared" si="38"/>
        <v>0.12313306895122274</v>
      </c>
      <c r="DF39">
        <f t="shared" si="39"/>
        <v>0.85863377549930042</v>
      </c>
      <c r="DG39">
        <f t="shared" si="40"/>
        <v>2.2704725832908443</v>
      </c>
      <c r="DH39">
        <f t="shared" si="41"/>
        <v>2.7261707638531408E-2</v>
      </c>
      <c r="DI39">
        <f t="shared" si="42"/>
        <v>0.12909476531478947</v>
      </c>
      <c r="DJ39">
        <f t="shared" si="43"/>
        <v>0.843643527046679</v>
      </c>
      <c r="DK39" s="64">
        <f t="shared" si="44"/>
        <v>-2.0307304994288917</v>
      </c>
      <c r="DL39" s="64">
        <f t="shared" si="45"/>
        <v>-0.90645555264932209</v>
      </c>
      <c r="DM39" s="64">
        <f t="shared" si="46"/>
        <v>-1.9396530702224319</v>
      </c>
      <c r="DN39" s="64">
        <f t="shared" si="47"/>
        <v>-0.81537812344286231</v>
      </c>
      <c r="DO39" t="str">
        <f t="shared" si="48"/>
        <v>Sufficient Capacity</v>
      </c>
      <c r="DP39" t="str">
        <f t="shared" si="49"/>
        <v>Sufficient Capacity</v>
      </c>
    </row>
    <row r="40" spans="1:120" ht="15.75" x14ac:dyDescent="0.25">
      <c r="A40" s="3" t="s">
        <v>93</v>
      </c>
      <c r="B40" s="3" t="s">
        <v>93</v>
      </c>
      <c r="C40" s="2" t="s">
        <v>768</v>
      </c>
      <c r="D40" s="2" t="s">
        <v>482</v>
      </c>
      <c r="E40" s="2" t="s">
        <v>482</v>
      </c>
      <c r="F40" s="2">
        <v>39</v>
      </c>
      <c r="G40" s="2" t="s">
        <v>767</v>
      </c>
      <c r="H40" s="10" t="s">
        <v>656</v>
      </c>
      <c r="I40" s="2">
        <v>150</v>
      </c>
      <c r="J40" s="2">
        <v>100</v>
      </c>
      <c r="K40" s="12">
        <v>6.5</v>
      </c>
      <c r="L40" t="s">
        <v>269</v>
      </c>
      <c r="M40" s="2" t="s">
        <v>1120</v>
      </c>
      <c r="N40" s="2" t="s">
        <v>435</v>
      </c>
      <c r="O40" s="2" t="s">
        <v>673</v>
      </c>
      <c r="P40" s="2" t="s">
        <v>1127</v>
      </c>
      <c r="Q40" s="9" t="s">
        <v>674</v>
      </c>
      <c r="R40" s="2" t="str">
        <f t="shared" si="0"/>
        <v>CW_1_Section_3</v>
      </c>
      <c r="S40" s="2" t="str">
        <f t="shared" si="1"/>
        <v>CW_1_MF09</v>
      </c>
      <c r="T40" s="11" t="s">
        <v>751</v>
      </c>
      <c r="U40" s="1">
        <v>45580</v>
      </c>
      <c r="V40" s="2" t="s">
        <v>752</v>
      </c>
      <c r="W40" s="2" t="s">
        <v>655</v>
      </c>
      <c r="X40" s="2" t="s">
        <v>750</v>
      </c>
      <c r="Y40" s="2" t="str">
        <f t="shared" si="2"/>
        <v>T1_0.15-0.30</v>
      </c>
      <c r="Z40" t="s">
        <v>21</v>
      </c>
      <c r="AA40">
        <v>12</v>
      </c>
      <c r="AB40">
        <v>11</v>
      </c>
      <c r="AC40">
        <v>650</v>
      </c>
      <c r="AD40" s="32">
        <f t="shared" si="3"/>
        <v>0.24964793240302136</v>
      </c>
      <c r="AE40">
        <v>13</v>
      </c>
      <c r="AF40" s="32">
        <f>($AE40/92140)*36</f>
        <v>5.0792272628608645E-3</v>
      </c>
      <c r="AG40">
        <v>160</v>
      </c>
      <c r="AH40" s="32">
        <f t="shared" si="4"/>
        <v>6.3294716021474989E-2</v>
      </c>
      <c r="AI40">
        <v>140</v>
      </c>
      <c r="AJ40" s="32">
        <f t="shared" si="5"/>
        <v>5.5382876518790619E-2</v>
      </c>
      <c r="AK40">
        <v>82</v>
      </c>
      <c r="AL40" s="32">
        <f t="shared" si="6"/>
        <v>3.2438541961005936E-2</v>
      </c>
      <c r="AM40">
        <v>222</v>
      </c>
      <c r="AO40" s="49">
        <v>1045</v>
      </c>
      <c r="AP40" s="49">
        <f t="shared" si="7"/>
        <v>0.31802187568735718</v>
      </c>
      <c r="AQ40">
        <v>95</v>
      </c>
      <c r="AR40" s="32">
        <f t="shared" si="8"/>
        <v>3.5577748303035034E-2</v>
      </c>
      <c r="AS40" s="48">
        <v>72</v>
      </c>
      <c r="AT40" s="27">
        <f t="shared" si="9"/>
        <v>2.6964188187563388E-2</v>
      </c>
      <c r="AU40" s="48">
        <v>0.01</v>
      </c>
      <c r="AV40" s="27">
        <f t="shared" si="10"/>
        <v>3.6796110125501018E-6</v>
      </c>
      <c r="AW40" s="48">
        <v>0.01</v>
      </c>
      <c r="AX40" s="27">
        <f t="shared" si="11"/>
        <v>3.7611049867064394E-6</v>
      </c>
      <c r="AY40" s="48">
        <v>5.0000000000000001E-3</v>
      </c>
      <c r="AZ40" s="27">
        <f t="shared" si="12"/>
        <v>1.8649981951630372E-6</v>
      </c>
      <c r="BA40" s="48">
        <v>0.04</v>
      </c>
      <c r="BB40" s="27">
        <f t="shared" si="13"/>
        <v>1.4812321158054199E-5</v>
      </c>
      <c r="BC40" s="48">
        <v>1E-3</v>
      </c>
      <c r="BD40" s="27">
        <f t="shared" si="14"/>
        <v>3.7030802895135499E-7</v>
      </c>
      <c r="BE40" s="48">
        <v>1E-3</v>
      </c>
      <c r="BF40" s="27">
        <f t="shared" si="15"/>
        <v>3.6588380716934485E-7</v>
      </c>
      <c r="BG40" s="48">
        <v>2E-3</v>
      </c>
      <c r="BH40" s="27">
        <f t="shared" si="16"/>
        <v>7.3176761433868969E-7</v>
      </c>
      <c r="BI40" s="52">
        <f t="shared" si="17"/>
        <v>72.069000000000017</v>
      </c>
      <c r="BJ40" s="52">
        <f t="shared" si="18"/>
        <v>6.9000000000000006E-2</v>
      </c>
      <c r="BK40" s="27">
        <f t="shared" si="19"/>
        <v>2.6989774182366318E-2</v>
      </c>
      <c r="BL40" s="27">
        <f t="shared" si="20"/>
        <v>2.5585994802933168E-5</v>
      </c>
      <c r="BM40">
        <v>170</v>
      </c>
      <c r="BN40">
        <v>30</v>
      </c>
      <c r="BO40" t="s">
        <v>19</v>
      </c>
      <c r="BP40">
        <v>190</v>
      </c>
      <c r="BQ40">
        <v>67</v>
      </c>
      <c r="BR40">
        <v>26</v>
      </c>
      <c r="BS40">
        <v>1.2</v>
      </c>
      <c r="BT40">
        <v>7.8</v>
      </c>
      <c r="BU40">
        <v>12.8</v>
      </c>
      <c r="BV40">
        <v>-92</v>
      </c>
      <c r="BW40">
        <v>6.98</v>
      </c>
      <c r="BX40">
        <v>536</v>
      </c>
      <c r="BY40" t="s">
        <v>443</v>
      </c>
      <c r="BZ40">
        <v>0.01</v>
      </c>
      <c r="CA40" s="32">
        <v>23</v>
      </c>
      <c r="CB40" s="32">
        <f t="shared" si="21"/>
        <v>0.41181736794986568</v>
      </c>
      <c r="CC40" s="32">
        <f t="shared" si="22"/>
        <v>0.41181736794986568</v>
      </c>
      <c r="CD40" s="32">
        <v>4.9000000000000004</v>
      </c>
      <c r="CE40" s="32">
        <f t="shared" si="23"/>
        <v>8.9204442017112695E-2</v>
      </c>
      <c r="CF40" s="32">
        <f t="shared" si="24"/>
        <v>0.17840888403422539</v>
      </c>
      <c r="CG40" s="27">
        <v>0.5</v>
      </c>
      <c r="CH40" s="27">
        <f t="shared" si="25"/>
        <v>5.2050801582344368E-3</v>
      </c>
      <c r="CI40" s="27">
        <f t="shared" si="26"/>
        <v>4.1640641265875494E-2</v>
      </c>
      <c r="CJ40" s="58">
        <v>77.5</v>
      </c>
      <c r="CK40" s="58">
        <v>99.358974358974365</v>
      </c>
      <c r="CL40" s="58">
        <v>6.4542993962107014</v>
      </c>
      <c r="CM40" s="58">
        <v>6.4542993962107014</v>
      </c>
      <c r="CN40" s="28">
        <v>0</v>
      </c>
      <c r="CO40" s="28">
        <v>0</v>
      </c>
      <c r="CP40" s="28">
        <v>0</v>
      </c>
      <c r="CQ40" s="28">
        <v>0</v>
      </c>
      <c r="CR40" s="32">
        <f t="shared" si="27"/>
        <v>45.051009785550697</v>
      </c>
      <c r="CS40" s="32">
        <v>45.051009785550697</v>
      </c>
      <c r="CT40" s="32">
        <f t="shared" si="28"/>
        <v>68.05100978555069</v>
      </c>
      <c r="CU40" s="32">
        <f t="shared" si="29"/>
        <v>1.2184603363572191</v>
      </c>
      <c r="CV40" s="32">
        <f t="shared" si="30"/>
        <v>1.2184603363572191</v>
      </c>
      <c r="CW40" s="60">
        <f t="shared" si="31"/>
        <v>0</v>
      </c>
      <c r="CX40" s="60">
        <v>0</v>
      </c>
      <c r="CY40" s="60">
        <f t="shared" si="32"/>
        <v>23</v>
      </c>
      <c r="CZ40" s="60">
        <f t="shared" si="33"/>
        <v>0.41181736794986568</v>
      </c>
      <c r="DA40" s="60">
        <f t="shared" si="34"/>
        <v>0.41181736794986568</v>
      </c>
      <c r="DB40" s="32">
        <f t="shared" si="35"/>
        <v>4.1640641265875494E-2</v>
      </c>
      <c r="DC40">
        <f t="shared" si="36"/>
        <v>7.8511686166021457</v>
      </c>
      <c r="DD40">
        <f t="shared" si="37"/>
        <v>2.2723863509562195E-2</v>
      </c>
      <c r="DE40">
        <f t="shared" si="38"/>
        <v>0.1551947736519953</v>
      </c>
      <c r="DF40">
        <f t="shared" si="39"/>
        <v>0.82208136283844258</v>
      </c>
      <c r="DG40">
        <f t="shared" si="40"/>
        <v>0.59022625198409107</v>
      </c>
      <c r="DH40">
        <f t="shared" si="41"/>
        <v>0.30227202438808876</v>
      </c>
      <c r="DI40">
        <f t="shared" si="42"/>
        <v>0.69772797561191124</v>
      </c>
      <c r="DJ40">
        <f t="shared" si="43"/>
        <v>0</v>
      </c>
      <c r="DK40" s="64">
        <f t="shared" si="44"/>
        <v>-7.4975689926117539</v>
      </c>
      <c r="DL40" s="64">
        <f t="shared" si="45"/>
        <v>-0.23662662799369882</v>
      </c>
      <c r="DM40" s="64">
        <f t="shared" si="46"/>
        <v>-7.4975434066169502</v>
      </c>
      <c r="DN40" s="64">
        <f t="shared" si="47"/>
        <v>-0.23660104199889587</v>
      </c>
      <c r="DO40" t="str">
        <f t="shared" si="48"/>
        <v>Sufficient Capacity</v>
      </c>
      <c r="DP40" t="str">
        <f t="shared" si="49"/>
        <v>Sufficient Capacity</v>
      </c>
    </row>
    <row r="41" spans="1:120" ht="15.75" x14ac:dyDescent="0.25">
      <c r="A41" s="3" t="s">
        <v>94</v>
      </c>
      <c r="B41" s="3" t="s">
        <v>94</v>
      </c>
      <c r="C41" s="2" t="s">
        <v>770</v>
      </c>
      <c r="D41" s="2" t="s">
        <v>483</v>
      </c>
      <c r="E41" s="2" t="s">
        <v>483</v>
      </c>
      <c r="F41" s="2">
        <v>40</v>
      </c>
      <c r="G41" s="2" t="s">
        <v>769</v>
      </c>
      <c r="H41" s="10" t="s">
        <v>656</v>
      </c>
      <c r="I41" s="2">
        <v>150</v>
      </c>
      <c r="J41" s="2">
        <v>100</v>
      </c>
      <c r="K41" s="12">
        <v>4.4000000000000004</v>
      </c>
      <c r="L41" t="s">
        <v>267</v>
      </c>
      <c r="M41" s="2" t="s">
        <v>1120</v>
      </c>
      <c r="N41" s="2" t="s">
        <v>435</v>
      </c>
      <c r="O41" s="2" t="s">
        <v>673</v>
      </c>
      <c r="P41" s="2" t="s">
        <v>1128</v>
      </c>
      <c r="Q41" s="9" t="s">
        <v>677</v>
      </c>
      <c r="R41" s="2" t="str">
        <f t="shared" si="0"/>
        <v>CW_1_Section_3</v>
      </c>
      <c r="S41" s="2" t="str">
        <f t="shared" si="1"/>
        <v>CW_1_MF10</v>
      </c>
      <c r="T41" s="11" t="s">
        <v>751</v>
      </c>
      <c r="U41" s="1">
        <v>45580</v>
      </c>
      <c r="V41" s="2" t="s">
        <v>752</v>
      </c>
      <c r="W41" s="2" t="s">
        <v>663</v>
      </c>
      <c r="X41" s="2" t="s">
        <v>750</v>
      </c>
      <c r="Y41" s="2" t="str">
        <f t="shared" si="2"/>
        <v>T1_0.60-0.80</v>
      </c>
      <c r="Z41" t="s">
        <v>23</v>
      </c>
      <c r="AA41">
        <v>10</v>
      </c>
      <c r="AB41">
        <v>10</v>
      </c>
      <c r="AC41">
        <v>610</v>
      </c>
      <c r="AD41" s="32">
        <f t="shared" si="3"/>
        <v>0.23428498271668158</v>
      </c>
      <c r="AE41">
        <v>1</v>
      </c>
      <c r="AF41" s="32">
        <f>($AE41/92140)*36</f>
        <v>3.9070978945083569E-4</v>
      </c>
      <c r="AG41">
        <v>370</v>
      </c>
      <c r="AH41" s="32">
        <f t="shared" si="4"/>
        <v>0.14636903079966093</v>
      </c>
      <c r="AI41">
        <v>140</v>
      </c>
      <c r="AJ41" s="32">
        <f t="shared" si="5"/>
        <v>5.5382876518790619E-2</v>
      </c>
      <c r="AK41">
        <v>79</v>
      </c>
      <c r="AL41" s="32">
        <f t="shared" si="6"/>
        <v>3.1251766035603278E-2</v>
      </c>
      <c r="AM41">
        <v>219</v>
      </c>
      <c r="AO41" s="49">
        <v>1206</v>
      </c>
      <c r="AP41" s="49">
        <f t="shared" si="7"/>
        <v>0.38104472330579331</v>
      </c>
      <c r="AQ41">
        <v>2500</v>
      </c>
      <c r="AR41" s="32">
        <f t="shared" si="8"/>
        <v>0.93625653429039557</v>
      </c>
      <c r="AS41" s="48">
        <v>2400</v>
      </c>
      <c r="AT41" s="27">
        <f t="shared" si="9"/>
        <v>0.89880627291877968</v>
      </c>
      <c r="AU41" s="48">
        <v>73</v>
      </c>
      <c r="AV41" s="27">
        <f t="shared" si="10"/>
        <v>2.6861160391615742E-2</v>
      </c>
      <c r="AW41" s="48">
        <v>55</v>
      </c>
      <c r="AX41" s="27">
        <f t="shared" si="11"/>
        <v>2.0686077426885417E-2</v>
      </c>
      <c r="AY41" s="48">
        <v>2</v>
      </c>
      <c r="AZ41" s="27">
        <f t="shared" si="12"/>
        <v>7.4599927806521475E-4</v>
      </c>
      <c r="BA41" s="48">
        <v>1</v>
      </c>
      <c r="BB41" s="27">
        <f t="shared" si="13"/>
        <v>3.70308028951355E-4</v>
      </c>
      <c r="BC41" s="48">
        <v>0.12</v>
      </c>
      <c r="BD41" s="27">
        <f t="shared" si="14"/>
        <v>4.44369634741626E-5</v>
      </c>
      <c r="BE41" s="48">
        <v>0.04</v>
      </c>
      <c r="BF41" s="27">
        <f t="shared" si="15"/>
        <v>1.4635352286773795E-5</v>
      </c>
      <c r="BG41" s="48">
        <v>2E-3</v>
      </c>
      <c r="BH41" s="27">
        <f t="shared" si="16"/>
        <v>7.3176761433868969E-7</v>
      </c>
      <c r="BI41" s="52">
        <f t="shared" si="17"/>
        <v>2531.1619999999998</v>
      </c>
      <c r="BJ41" s="52">
        <f t="shared" si="18"/>
        <v>131.16200000000001</v>
      </c>
      <c r="BK41" s="27">
        <f t="shared" si="19"/>
        <v>0.94752962212767267</v>
      </c>
      <c r="BL41" s="27">
        <f t="shared" si="20"/>
        <v>4.8723349208893006E-2</v>
      </c>
      <c r="BM41">
        <v>4100</v>
      </c>
      <c r="BN41">
        <v>730</v>
      </c>
      <c r="BO41" t="s">
        <v>19</v>
      </c>
      <c r="BP41">
        <v>4900</v>
      </c>
      <c r="BQ41">
        <v>68</v>
      </c>
      <c r="BR41">
        <v>26</v>
      </c>
      <c r="BS41">
        <v>0.48</v>
      </c>
      <c r="BT41">
        <v>0.38</v>
      </c>
      <c r="BU41">
        <v>13</v>
      </c>
      <c r="BV41">
        <v>-98</v>
      </c>
      <c r="BW41">
        <v>7.01</v>
      </c>
      <c r="BX41">
        <v>890</v>
      </c>
      <c r="BY41" t="s">
        <v>443</v>
      </c>
      <c r="BZ41">
        <v>0.01</v>
      </c>
      <c r="CA41" s="32">
        <v>1.7</v>
      </c>
      <c r="CB41" s="32">
        <f t="shared" si="21"/>
        <v>3.0438675022381376E-2</v>
      </c>
      <c r="CC41" s="32">
        <f t="shared" si="22"/>
        <v>3.0438675022381376E-2</v>
      </c>
      <c r="CD41" s="32">
        <v>2.1</v>
      </c>
      <c r="CE41" s="32">
        <f t="shared" si="23"/>
        <v>3.8230475150191151E-2</v>
      </c>
      <c r="CF41" s="32">
        <f t="shared" si="24"/>
        <v>7.6460950300382302E-2</v>
      </c>
      <c r="CG41" s="27">
        <v>44</v>
      </c>
      <c r="CH41" s="27">
        <f t="shared" si="25"/>
        <v>0.45804705392463041</v>
      </c>
      <c r="CI41" s="27">
        <f t="shared" si="26"/>
        <v>3.6643764313970433</v>
      </c>
      <c r="CJ41" s="58">
        <v>34</v>
      </c>
      <c r="CK41" s="58">
        <v>43.589743589743591</v>
      </c>
      <c r="CL41" s="58">
        <v>2.8315636060795337</v>
      </c>
      <c r="CM41" s="58">
        <v>2.8315636060795337</v>
      </c>
      <c r="CN41" s="28">
        <v>-1</v>
      </c>
      <c r="CO41" s="28">
        <v>-2.3255813953488373</v>
      </c>
      <c r="CP41" s="28">
        <v>-8.3281282531750989E-2</v>
      </c>
      <c r="CR41" s="32">
        <f t="shared" si="27"/>
        <v>19.764313970435143</v>
      </c>
      <c r="CS41" s="32">
        <v>19.764313970435143</v>
      </c>
      <c r="CT41" s="32">
        <f t="shared" si="28"/>
        <v>21.464313970435143</v>
      </c>
      <c r="CU41" s="32">
        <f t="shared" si="29"/>
        <v>0.38432075148496225</v>
      </c>
      <c r="CV41" s="32">
        <f t="shared" si="30"/>
        <v>0.38432075148496225</v>
      </c>
      <c r="CW41" s="60">
        <f t="shared" si="31"/>
        <v>-0.58130335207162187</v>
      </c>
      <c r="CY41" s="60">
        <f t="shared" si="32"/>
        <v>1.7</v>
      </c>
      <c r="CZ41" s="60">
        <f t="shared" si="33"/>
        <v>3.0438675022381376E-2</v>
      </c>
      <c r="DA41" s="60">
        <f t="shared" si="34"/>
        <v>3.0438675022381376E-2</v>
      </c>
      <c r="DB41" s="32">
        <f t="shared" si="35"/>
        <v>3.6643764313970433</v>
      </c>
      <c r="DC41">
        <f t="shared" si="36"/>
        <v>3.2923453078648781</v>
      </c>
      <c r="DD41">
        <f t="shared" si="37"/>
        <v>2.3223855079152696E-2</v>
      </c>
      <c r="DE41">
        <f t="shared" si="38"/>
        <v>0.11673160484317438</v>
      </c>
      <c r="DF41">
        <f t="shared" si="39"/>
        <v>0.86004454007767295</v>
      </c>
      <c r="DG41">
        <f t="shared" si="40"/>
        <v>0.10689962532276368</v>
      </c>
      <c r="DH41">
        <f t="shared" si="41"/>
        <v>0.71525929178444347</v>
      </c>
      <c r="DI41">
        <f t="shared" si="42"/>
        <v>0.28474070821555658</v>
      </c>
      <c r="DJ41">
        <f t="shared" si="43"/>
        <v>0</v>
      </c>
      <c r="DK41" s="64">
        <f t="shared" si="44"/>
        <v>-1.9750440502686892</v>
      </c>
      <c r="DL41" s="64">
        <f t="shared" si="45"/>
        <v>1.2104016322734252</v>
      </c>
      <c r="DM41" s="64">
        <f t="shared" si="46"/>
        <v>-1.9263207010597962</v>
      </c>
      <c r="DN41" s="64">
        <f t="shared" si="47"/>
        <v>1.2591249814823182</v>
      </c>
      <c r="DO41" t="str">
        <f t="shared" si="48"/>
        <v>Sufficient Capacity</v>
      </c>
      <c r="DP41" t="str">
        <f t="shared" si="49"/>
        <v>Insufficient Capacity</v>
      </c>
    </row>
    <row r="42" spans="1:120" ht="15.75" x14ac:dyDescent="0.25">
      <c r="A42" s="3" t="s">
        <v>95</v>
      </c>
      <c r="B42" s="3" t="s">
        <v>95</v>
      </c>
      <c r="C42" s="2" t="s">
        <v>772</v>
      </c>
      <c r="D42" s="2" t="s">
        <v>484</v>
      </c>
      <c r="E42" s="2" t="s">
        <v>484</v>
      </c>
      <c r="F42" s="2">
        <v>41</v>
      </c>
      <c r="G42" s="2" t="s">
        <v>771</v>
      </c>
      <c r="H42" s="10" t="s">
        <v>656</v>
      </c>
      <c r="I42" s="2">
        <v>150</v>
      </c>
      <c r="J42" s="2">
        <v>100</v>
      </c>
      <c r="K42" s="12">
        <v>4.9000000000000004</v>
      </c>
      <c r="L42" t="s">
        <v>270</v>
      </c>
      <c r="M42" s="2" t="s">
        <v>1120</v>
      </c>
      <c r="N42" s="2" t="s">
        <v>436</v>
      </c>
      <c r="O42" s="2" t="s">
        <v>653</v>
      </c>
      <c r="P42" s="2" t="s">
        <v>1123</v>
      </c>
      <c r="Q42" s="9" t="s">
        <v>713</v>
      </c>
      <c r="R42" s="2" t="str">
        <f t="shared" si="0"/>
        <v>CW_2_Section_1</v>
      </c>
      <c r="S42" s="2" t="str">
        <f t="shared" si="1"/>
        <v>CW_2_MF01</v>
      </c>
      <c r="T42" s="11" t="s">
        <v>751</v>
      </c>
      <c r="U42" s="1">
        <v>45580</v>
      </c>
      <c r="V42" s="2" t="s">
        <v>752</v>
      </c>
      <c r="W42" s="2" t="s">
        <v>655</v>
      </c>
      <c r="X42" s="2" t="s">
        <v>750</v>
      </c>
      <c r="Y42" s="2" t="str">
        <f t="shared" si="2"/>
        <v>T1_0.15-0.30</v>
      </c>
      <c r="Z42" t="s">
        <v>41</v>
      </c>
      <c r="AA42">
        <v>11</v>
      </c>
      <c r="AB42">
        <v>11</v>
      </c>
      <c r="AC42">
        <v>650</v>
      </c>
      <c r="AD42" s="32">
        <f t="shared" si="3"/>
        <v>0.24964793240302136</v>
      </c>
      <c r="AE42">
        <v>13</v>
      </c>
      <c r="AF42" s="32">
        <f>($AE42/92140)*36</f>
        <v>5.0792272628608645E-3</v>
      </c>
      <c r="AG42">
        <v>430</v>
      </c>
      <c r="AH42" s="32">
        <f t="shared" si="4"/>
        <v>0.17010454930771404</v>
      </c>
      <c r="AI42">
        <v>210</v>
      </c>
      <c r="AJ42" s="32">
        <f t="shared" si="5"/>
        <v>8.3074314778185929E-2</v>
      </c>
      <c r="AK42">
        <v>200</v>
      </c>
      <c r="AL42" s="32">
        <f t="shared" si="6"/>
        <v>7.9118395026843744E-2</v>
      </c>
      <c r="AM42">
        <v>410</v>
      </c>
      <c r="AO42" s="49">
        <v>1503</v>
      </c>
      <c r="AP42" s="49">
        <f t="shared" si="7"/>
        <v>0.42483170897359623</v>
      </c>
      <c r="AQ42">
        <v>250</v>
      </c>
      <c r="AR42" s="32">
        <f t="shared" si="8"/>
        <v>9.3625653429039557E-2</v>
      </c>
      <c r="AS42" s="48">
        <v>230</v>
      </c>
      <c r="AT42" s="27">
        <f t="shared" si="9"/>
        <v>8.6135601154716385E-2</v>
      </c>
      <c r="AU42" s="48">
        <v>0.01</v>
      </c>
      <c r="AV42" s="27">
        <f t="shared" si="10"/>
        <v>3.6796110125501018E-6</v>
      </c>
      <c r="AW42" s="48">
        <v>0.01</v>
      </c>
      <c r="AX42" s="27">
        <f t="shared" si="11"/>
        <v>3.7611049867064394E-6</v>
      </c>
      <c r="AY42" s="48">
        <v>5.0000000000000001E-3</v>
      </c>
      <c r="AZ42" s="27">
        <f t="shared" si="12"/>
        <v>1.8649981951630372E-6</v>
      </c>
      <c r="BA42" s="48">
        <v>0.02</v>
      </c>
      <c r="BB42" s="27">
        <f t="shared" si="13"/>
        <v>7.4061605790270997E-6</v>
      </c>
      <c r="BC42" s="48">
        <v>1E-3</v>
      </c>
      <c r="BD42" s="27">
        <f t="shared" si="14"/>
        <v>3.7030802895135499E-7</v>
      </c>
      <c r="BE42" s="48">
        <v>1E-3</v>
      </c>
      <c r="BF42" s="27">
        <f t="shared" si="15"/>
        <v>3.6588380716934485E-7</v>
      </c>
      <c r="BG42" s="48">
        <v>2E-3</v>
      </c>
      <c r="BH42" s="27">
        <f t="shared" si="16"/>
        <v>7.3176761433868969E-7</v>
      </c>
      <c r="BI42" s="52">
        <f t="shared" si="17"/>
        <v>230.04900000000001</v>
      </c>
      <c r="BJ42" s="52">
        <f t="shared" si="18"/>
        <v>4.9000000000000002E-2</v>
      </c>
      <c r="BK42" s="27">
        <f t="shared" si="19"/>
        <v>8.615378098894029E-2</v>
      </c>
      <c r="BL42" s="27">
        <f t="shared" si="20"/>
        <v>1.8179834223906066E-5</v>
      </c>
      <c r="BM42">
        <v>480</v>
      </c>
      <c r="BN42">
        <v>2.5</v>
      </c>
      <c r="BO42">
        <v>30</v>
      </c>
      <c r="BP42">
        <v>590</v>
      </c>
      <c r="BQ42">
        <v>68</v>
      </c>
      <c r="BR42">
        <v>25</v>
      </c>
      <c r="BS42">
        <v>1.5</v>
      </c>
      <c r="BT42">
        <v>4.25</v>
      </c>
      <c r="BU42">
        <v>13</v>
      </c>
      <c r="BV42">
        <v>-97</v>
      </c>
      <c r="BW42">
        <v>6.88</v>
      </c>
      <c r="BX42">
        <v>686</v>
      </c>
      <c r="BY42">
        <v>0.2</v>
      </c>
      <c r="BZ42">
        <v>0.01</v>
      </c>
      <c r="CA42" s="32">
        <v>18</v>
      </c>
      <c r="CB42" s="32">
        <f t="shared" si="21"/>
        <v>0.32229185317815578</v>
      </c>
      <c r="CC42" s="32">
        <f t="shared" si="22"/>
        <v>0.32229185317815578</v>
      </c>
      <c r="CD42" s="32">
        <v>4.3</v>
      </c>
      <c r="CE42" s="32">
        <f t="shared" si="23"/>
        <v>7.8281449117058075E-2</v>
      </c>
      <c r="CF42" s="32">
        <f t="shared" si="24"/>
        <v>0.15656289823411615</v>
      </c>
      <c r="CG42" s="27">
        <v>22</v>
      </c>
      <c r="CH42" s="27">
        <f t="shared" si="25"/>
        <v>0.2290235269623152</v>
      </c>
      <c r="CI42" s="27">
        <f t="shared" si="26"/>
        <v>1.8321882156985216</v>
      </c>
      <c r="CJ42" s="58">
        <v>56</v>
      </c>
      <c r="CK42" s="58">
        <v>71.794871794871796</v>
      </c>
      <c r="CL42" s="58">
        <v>4.6637518217780549</v>
      </c>
      <c r="CM42" s="58">
        <v>4.6637518217780549</v>
      </c>
      <c r="CN42" s="28">
        <v>56</v>
      </c>
      <c r="CO42" s="28">
        <v>71.794871794871796</v>
      </c>
      <c r="CP42" s="28">
        <v>4.6637518217780549</v>
      </c>
      <c r="CQ42" s="28">
        <v>4.6637518217780549</v>
      </c>
      <c r="CR42" s="32">
        <f t="shared" si="27"/>
        <v>32.552987716010826</v>
      </c>
      <c r="CS42" s="32">
        <v>32.552987716010826</v>
      </c>
      <c r="CT42" s="32">
        <f t="shared" si="28"/>
        <v>50.552987716010826</v>
      </c>
      <c r="CU42" s="32">
        <f t="shared" si="29"/>
        <v>0.90515644970475961</v>
      </c>
      <c r="CV42" s="32">
        <f t="shared" si="30"/>
        <v>0.90515644970475961</v>
      </c>
      <c r="CW42" s="60">
        <f t="shared" si="31"/>
        <v>32.552987716010826</v>
      </c>
      <c r="CX42" s="60">
        <v>32.552987716010826</v>
      </c>
      <c r="CY42" s="60">
        <f t="shared" si="32"/>
        <v>50.552987716010826</v>
      </c>
      <c r="CZ42" s="60">
        <f t="shared" si="33"/>
        <v>0.90515644970475961</v>
      </c>
      <c r="DA42" s="60">
        <f t="shared" si="34"/>
        <v>0.90515644970475961</v>
      </c>
      <c r="DB42" s="32">
        <f t="shared" si="35"/>
        <v>1.8321882156985216</v>
      </c>
      <c r="DC42">
        <f t="shared" si="36"/>
        <v>5.7254711697169309</v>
      </c>
      <c r="DD42">
        <f t="shared" si="37"/>
        <v>2.7344980630101864E-2</v>
      </c>
      <c r="DE42">
        <f t="shared" si="38"/>
        <v>0.15809291897098326</v>
      </c>
      <c r="DF42">
        <f t="shared" si="39"/>
        <v>0.81456210039891486</v>
      </c>
      <c r="DG42">
        <f t="shared" si="40"/>
        <v>5.7254711697169309</v>
      </c>
      <c r="DH42">
        <f t="shared" si="41"/>
        <v>2.7344980630101864E-2</v>
      </c>
      <c r="DI42">
        <f t="shared" si="42"/>
        <v>0.15809291897098326</v>
      </c>
      <c r="DJ42">
        <f t="shared" si="43"/>
        <v>0.81456210039891486</v>
      </c>
      <c r="DK42" s="64">
        <f t="shared" si="44"/>
        <v>-5.2070138073142953</v>
      </c>
      <c r="DL42" s="64">
        <f t="shared" si="45"/>
        <v>-5.2070138073142953</v>
      </c>
      <c r="DM42" s="64">
        <f t="shared" si="46"/>
        <v>-5.2069956274800715</v>
      </c>
      <c r="DN42" s="64">
        <f t="shared" si="47"/>
        <v>-5.2069956274800715</v>
      </c>
      <c r="DO42" t="str">
        <f t="shared" si="48"/>
        <v>Sufficient Capacity</v>
      </c>
      <c r="DP42" t="str">
        <f t="shared" si="49"/>
        <v>Sufficient Capacity</v>
      </c>
    </row>
    <row r="43" spans="1:120" ht="15.75" x14ac:dyDescent="0.25">
      <c r="A43" s="3" t="s">
        <v>96</v>
      </c>
      <c r="B43" s="3" t="s">
        <v>96</v>
      </c>
      <c r="C43" s="2" t="s">
        <v>774</v>
      </c>
      <c r="D43" s="2" t="s">
        <v>485</v>
      </c>
      <c r="E43" s="2" t="s">
        <v>485</v>
      </c>
      <c r="F43" s="2">
        <v>42</v>
      </c>
      <c r="G43" s="2" t="s">
        <v>773</v>
      </c>
      <c r="H43" s="10" t="s">
        <v>656</v>
      </c>
      <c r="I43" s="2">
        <v>150</v>
      </c>
      <c r="J43" s="2">
        <v>100</v>
      </c>
      <c r="K43" s="12">
        <v>5.3</v>
      </c>
      <c r="L43" t="s">
        <v>271</v>
      </c>
      <c r="M43" s="2" t="s">
        <v>1120</v>
      </c>
      <c r="N43" s="2" t="s">
        <v>436</v>
      </c>
      <c r="O43" s="2" t="s">
        <v>653</v>
      </c>
      <c r="P43" s="2" t="s">
        <v>1124</v>
      </c>
      <c r="Q43" s="9" t="s">
        <v>716</v>
      </c>
      <c r="R43" s="2" t="str">
        <f t="shared" si="0"/>
        <v>CW_2_Section_1</v>
      </c>
      <c r="S43" s="2" t="str">
        <f t="shared" si="1"/>
        <v>CW_2_MF02</v>
      </c>
      <c r="T43" s="11" t="s">
        <v>751</v>
      </c>
      <c r="U43" s="1">
        <v>45580</v>
      </c>
      <c r="V43" s="2" t="s">
        <v>752</v>
      </c>
      <c r="W43" s="2" t="s">
        <v>663</v>
      </c>
      <c r="X43" s="2" t="s">
        <v>750</v>
      </c>
      <c r="Y43" s="2" t="str">
        <f t="shared" si="2"/>
        <v>T1_0.60-0.80</v>
      </c>
      <c r="Z43" t="s">
        <v>43</v>
      </c>
      <c r="AA43">
        <v>11</v>
      </c>
      <c r="AB43">
        <v>12</v>
      </c>
      <c r="AC43">
        <v>810</v>
      </c>
      <c r="AD43" s="32">
        <f t="shared" si="3"/>
        <v>0.31109973114838052</v>
      </c>
      <c r="AE43">
        <v>100</v>
      </c>
      <c r="AF43" s="32">
        <f>($AE43/92140)*36</f>
        <v>3.9070978945083573E-2</v>
      </c>
      <c r="AG43">
        <v>680</v>
      </c>
      <c r="AH43" s="32">
        <f t="shared" si="4"/>
        <v>0.2690025430912687</v>
      </c>
      <c r="AI43">
        <v>240</v>
      </c>
      <c r="AJ43" s="32">
        <f t="shared" si="5"/>
        <v>9.4942074032212498E-2</v>
      </c>
      <c r="AK43">
        <v>310</v>
      </c>
      <c r="AL43" s="32">
        <f t="shared" si="6"/>
        <v>0.12263351229160781</v>
      </c>
      <c r="AM43">
        <v>550</v>
      </c>
      <c r="AO43" s="49">
        <v>2140</v>
      </c>
      <c r="AP43" s="49">
        <f t="shared" si="7"/>
        <v>0.61917325318473282</v>
      </c>
      <c r="AQ43">
        <v>4000</v>
      </c>
      <c r="AR43" s="32">
        <f t="shared" si="8"/>
        <v>1.4980104548646329</v>
      </c>
      <c r="AS43" s="48">
        <v>3200</v>
      </c>
      <c r="AT43" s="27">
        <f t="shared" si="9"/>
        <v>1.1984083638917062</v>
      </c>
      <c r="AU43" s="48">
        <v>120</v>
      </c>
      <c r="AV43" s="27">
        <f t="shared" si="10"/>
        <v>4.4155332150601224E-2</v>
      </c>
      <c r="AW43" s="48">
        <v>110</v>
      </c>
      <c r="AX43" s="27">
        <f t="shared" si="11"/>
        <v>4.1372154853770833E-2</v>
      </c>
      <c r="AY43" s="48">
        <v>43</v>
      </c>
      <c r="AZ43" s="27">
        <f t="shared" si="12"/>
        <v>1.6038984478402119E-2</v>
      </c>
      <c r="BA43" s="48">
        <v>22</v>
      </c>
      <c r="BB43" s="27">
        <f t="shared" si="13"/>
        <v>8.1467766369298089E-3</v>
      </c>
      <c r="BC43" s="48">
        <v>4.4000000000000004</v>
      </c>
      <c r="BD43" s="27">
        <f t="shared" si="14"/>
        <v>1.629355327385962E-3</v>
      </c>
      <c r="BE43" s="48">
        <v>0.74</v>
      </c>
      <c r="BF43" s="27">
        <f t="shared" si="15"/>
        <v>2.7075401730531522E-4</v>
      </c>
      <c r="BG43" s="48">
        <v>0.64</v>
      </c>
      <c r="BH43" s="27">
        <f t="shared" si="16"/>
        <v>2.3416563658838071E-4</v>
      </c>
      <c r="BI43" s="52">
        <f t="shared" si="17"/>
        <v>3500.7799999999997</v>
      </c>
      <c r="BJ43" s="52">
        <f t="shared" si="18"/>
        <v>300.77999999999997</v>
      </c>
      <c r="BK43" s="27">
        <f t="shared" si="19"/>
        <v>1.3102558869926899</v>
      </c>
      <c r="BL43" s="27">
        <f t="shared" si="20"/>
        <v>0.11184752310098366</v>
      </c>
      <c r="BM43">
        <v>6100</v>
      </c>
      <c r="BN43">
        <v>1900</v>
      </c>
      <c r="BO43" t="s">
        <v>19</v>
      </c>
      <c r="BP43">
        <v>8100</v>
      </c>
      <c r="BQ43">
        <v>69</v>
      </c>
      <c r="BR43">
        <v>26</v>
      </c>
      <c r="BS43">
        <v>0.68</v>
      </c>
      <c r="BT43">
        <v>0.25</v>
      </c>
      <c r="BU43">
        <v>12.5</v>
      </c>
      <c r="BV43">
        <v>-144</v>
      </c>
      <c r="BW43">
        <v>7.11</v>
      </c>
      <c r="BX43">
        <v>955</v>
      </c>
      <c r="BY43">
        <v>0.2</v>
      </c>
      <c r="BZ43">
        <v>0.01</v>
      </c>
      <c r="CA43" s="32">
        <v>1</v>
      </c>
      <c r="CB43" s="32">
        <f t="shared" si="21"/>
        <v>1.7905102954341987E-2</v>
      </c>
      <c r="CC43" s="32">
        <f t="shared" si="22"/>
        <v>1.7905102954341987E-2</v>
      </c>
      <c r="CD43" s="32">
        <v>1.3</v>
      </c>
      <c r="CE43" s="32">
        <f t="shared" si="23"/>
        <v>2.3666484616785E-2</v>
      </c>
      <c r="CF43" s="32">
        <f t="shared" si="24"/>
        <v>4.7332969233569999E-2</v>
      </c>
      <c r="CG43" s="27">
        <v>66</v>
      </c>
      <c r="CH43" s="27">
        <f t="shared" si="25"/>
        <v>0.68707058088694561</v>
      </c>
      <c r="CI43" s="27">
        <f t="shared" si="26"/>
        <v>5.4965646470955649</v>
      </c>
      <c r="CJ43" s="58">
        <v>12</v>
      </c>
      <c r="CK43" s="58">
        <v>15.384615384615385</v>
      </c>
      <c r="CL43" s="58">
        <v>0.99937539038101186</v>
      </c>
      <c r="CM43" s="58">
        <v>0.99937539038101186</v>
      </c>
      <c r="CN43" s="28">
        <v>12</v>
      </c>
      <c r="CO43" s="28">
        <v>15.384615384615385</v>
      </c>
      <c r="CP43" s="28">
        <v>0.99937539038101186</v>
      </c>
      <c r="CQ43" s="28">
        <v>0.99937539038101186</v>
      </c>
      <c r="CR43" s="32">
        <f t="shared" si="27"/>
        <v>6.9756402248594629</v>
      </c>
      <c r="CS43" s="32">
        <v>6.9756402248594629</v>
      </c>
      <c r="CT43" s="32">
        <f t="shared" si="28"/>
        <v>7.9756402248594629</v>
      </c>
      <c r="CU43" s="32">
        <f t="shared" si="29"/>
        <v>0.14280465935289996</v>
      </c>
      <c r="CV43" s="32">
        <f t="shared" si="30"/>
        <v>0.14280465935289996</v>
      </c>
      <c r="CW43" s="60">
        <f t="shared" si="31"/>
        <v>6.9756402248594629</v>
      </c>
      <c r="CX43" s="60">
        <v>6.9756402248594629</v>
      </c>
      <c r="CY43" s="60">
        <f t="shared" si="32"/>
        <v>7.9756402248594629</v>
      </c>
      <c r="CZ43" s="60">
        <f t="shared" si="33"/>
        <v>0.14280465935289996</v>
      </c>
      <c r="DA43" s="60">
        <f t="shared" si="34"/>
        <v>0.14280465935289996</v>
      </c>
      <c r="DB43" s="32">
        <f t="shared" si="35"/>
        <v>5.4965646470955649</v>
      </c>
      <c r="DC43">
        <f t="shared" si="36"/>
        <v>1.1895130189674818</v>
      </c>
      <c r="DD43">
        <f t="shared" si="37"/>
        <v>3.9791888343227923E-2</v>
      </c>
      <c r="DE43">
        <f t="shared" si="38"/>
        <v>0.12005304446088107</v>
      </c>
      <c r="DF43">
        <f t="shared" si="39"/>
        <v>0.84015506719589095</v>
      </c>
      <c r="DG43">
        <f t="shared" si="40"/>
        <v>1.1895130189674818</v>
      </c>
      <c r="DH43">
        <f t="shared" si="41"/>
        <v>3.9791888343227923E-2</v>
      </c>
      <c r="DI43">
        <f t="shared" si="42"/>
        <v>0.12005304446088107</v>
      </c>
      <c r="DJ43">
        <f t="shared" si="43"/>
        <v>0.84015506719589095</v>
      </c>
      <c r="DK43" s="64">
        <f t="shared" si="44"/>
        <v>0.92767068908188377</v>
      </c>
      <c r="DL43" s="64">
        <f t="shared" si="45"/>
        <v>0.92767068908188377</v>
      </c>
      <c r="DM43" s="64">
        <f t="shared" si="46"/>
        <v>1.0395182121828672</v>
      </c>
      <c r="DN43" s="64">
        <f t="shared" si="47"/>
        <v>1.0395182121828672</v>
      </c>
      <c r="DO43" t="str">
        <f t="shared" si="48"/>
        <v>Insufficient Capacity</v>
      </c>
      <c r="DP43" t="str">
        <f t="shared" si="49"/>
        <v>Insufficient Capacity</v>
      </c>
    </row>
    <row r="44" spans="1:120" ht="15.75" x14ac:dyDescent="0.25">
      <c r="A44" s="3" t="s">
        <v>97</v>
      </c>
      <c r="B44" s="3" t="s">
        <v>97</v>
      </c>
      <c r="C44" s="2" t="s">
        <v>776</v>
      </c>
      <c r="D44" s="2" t="s">
        <v>486</v>
      </c>
      <c r="E44" s="2" t="s">
        <v>486</v>
      </c>
      <c r="F44" s="2">
        <v>43</v>
      </c>
      <c r="G44" s="2" t="s">
        <v>775</v>
      </c>
      <c r="H44" s="10" t="s">
        <v>656</v>
      </c>
      <c r="I44" s="2">
        <v>150</v>
      </c>
      <c r="J44" s="2">
        <v>100</v>
      </c>
      <c r="K44" s="12">
        <v>17.05</v>
      </c>
      <c r="L44" t="s">
        <v>272</v>
      </c>
      <c r="M44" s="2" t="s">
        <v>1120</v>
      </c>
      <c r="N44" s="2" t="s">
        <v>436</v>
      </c>
      <c r="O44" s="2" t="s">
        <v>666</v>
      </c>
      <c r="P44" s="2" t="s">
        <v>1131</v>
      </c>
      <c r="Q44" s="9" t="s">
        <v>719</v>
      </c>
      <c r="R44" s="2" t="str">
        <f t="shared" si="0"/>
        <v>CW_2_Section_2</v>
      </c>
      <c r="S44" s="2" t="str">
        <f t="shared" si="1"/>
        <v>CW_2_MF05</v>
      </c>
      <c r="T44" s="11" t="s">
        <v>751</v>
      </c>
      <c r="U44" s="1">
        <v>45580</v>
      </c>
      <c r="V44" s="2" t="s">
        <v>752</v>
      </c>
      <c r="W44" s="2" t="s">
        <v>655</v>
      </c>
      <c r="X44" s="2" t="s">
        <v>750</v>
      </c>
      <c r="Y44" s="2" t="str">
        <f t="shared" si="2"/>
        <v>T1_0.15-0.30</v>
      </c>
      <c r="Z44" t="s">
        <v>35</v>
      </c>
      <c r="AA44">
        <v>25</v>
      </c>
      <c r="AB44">
        <v>29</v>
      </c>
      <c r="AC44">
        <v>77</v>
      </c>
      <c r="AD44" s="32">
        <f t="shared" si="3"/>
        <v>2.9573678146204076E-2</v>
      </c>
      <c r="AE44">
        <v>1.2</v>
      </c>
      <c r="AF44" s="32">
        <f>($AE44/92140)*36</f>
        <v>4.6885174734100283E-4</v>
      </c>
      <c r="AG44">
        <v>6</v>
      </c>
      <c r="AH44" s="32">
        <f t="shared" si="4"/>
        <v>2.3735518508053123E-3</v>
      </c>
      <c r="AI44">
        <v>2.7</v>
      </c>
      <c r="AJ44" s="32">
        <f t="shared" si="5"/>
        <v>1.0680983328623906E-3</v>
      </c>
      <c r="AK44">
        <v>2.7</v>
      </c>
      <c r="AL44" s="32">
        <f t="shared" si="6"/>
        <v>1.0680983328623906E-3</v>
      </c>
      <c r="AM44">
        <v>5.4</v>
      </c>
      <c r="AO44" s="49">
        <v>89.6</v>
      </c>
      <c r="AP44" s="49">
        <f t="shared" si="7"/>
        <v>3.2416081744350393E-2</v>
      </c>
      <c r="AQ44">
        <v>21</v>
      </c>
      <c r="AR44" s="32">
        <f t="shared" si="8"/>
        <v>7.8645548880393219E-3</v>
      </c>
      <c r="AS44" s="48">
        <v>21</v>
      </c>
      <c r="AT44" s="27">
        <f t="shared" si="9"/>
        <v>7.8645548880393219E-3</v>
      </c>
      <c r="AU44" s="48">
        <v>0.57999999999999996</v>
      </c>
      <c r="AV44" s="27">
        <f t="shared" si="10"/>
        <v>2.1341743872790587E-4</v>
      </c>
      <c r="AW44" s="48">
        <v>0.31</v>
      </c>
      <c r="AX44" s="27">
        <f t="shared" si="11"/>
        <v>1.1659425458789961E-4</v>
      </c>
      <c r="AY44" s="48">
        <v>0.1</v>
      </c>
      <c r="AZ44" s="27">
        <f t="shared" si="12"/>
        <v>3.729996390326074E-5</v>
      </c>
      <c r="BA44" s="48">
        <v>0.04</v>
      </c>
      <c r="BB44" s="27">
        <f t="shared" si="13"/>
        <v>1.4812321158054199E-5</v>
      </c>
      <c r="BC44" s="48">
        <v>1E-3</v>
      </c>
      <c r="BD44" s="27">
        <f t="shared" si="14"/>
        <v>3.7030802895135499E-7</v>
      </c>
      <c r="BE44" s="48">
        <v>1E-3</v>
      </c>
      <c r="BF44" s="27">
        <f t="shared" si="15"/>
        <v>3.6588380716934485E-7</v>
      </c>
      <c r="BG44" s="48">
        <v>2E-3</v>
      </c>
      <c r="BH44" s="27">
        <f t="shared" si="16"/>
        <v>7.3176761433868969E-7</v>
      </c>
      <c r="BI44" s="52">
        <f t="shared" si="17"/>
        <v>22.033999999999999</v>
      </c>
      <c r="BJ44" s="52">
        <f t="shared" si="18"/>
        <v>1.0339999999999996</v>
      </c>
      <c r="BK44" s="27">
        <f t="shared" si="19"/>
        <v>8.2481468258668988E-3</v>
      </c>
      <c r="BL44" s="27">
        <f t="shared" si="20"/>
        <v>3.8359193782757978E-4</v>
      </c>
      <c r="BM44">
        <v>2.5</v>
      </c>
      <c r="BN44">
        <v>2.5</v>
      </c>
      <c r="BO44" t="s">
        <v>19</v>
      </c>
      <c r="BP44">
        <v>5</v>
      </c>
      <c r="BQ44">
        <v>58</v>
      </c>
      <c r="BR44">
        <v>12</v>
      </c>
      <c r="BS44">
        <v>1.7</v>
      </c>
      <c r="BT44">
        <v>0.3</v>
      </c>
      <c r="BU44">
        <v>12.9</v>
      </c>
      <c r="BV44">
        <v>-104</v>
      </c>
      <c r="BW44">
        <v>7.44</v>
      </c>
      <c r="BX44">
        <v>920</v>
      </c>
      <c r="BY44">
        <v>0.2</v>
      </c>
      <c r="BZ44">
        <v>0.01</v>
      </c>
      <c r="CA44" s="32">
        <v>21</v>
      </c>
      <c r="CB44" s="32">
        <f t="shared" si="21"/>
        <v>0.37600716204118173</v>
      </c>
      <c r="CC44" s="32">
        <f t="shared" si="22"/>
        <v>0.37600716204118173</v>
      </c>
      <c r="CD44" s="32">
        <v>5.4</v>
      </c>
      <c r="CE44" s="32">
        <f t="shared" si="23"/>
        <v>9.8306936100491543E-2</v>
      </c>
      <c r="CF44" s="32">
        <f t="shared" si="24"/>
        <v>0.19661387220098309</v>
      </c>
      <c r="CG44" s="27">
        <v>0.5</v>
      </c>
      <c r="CH44" s="27">
        <f t="shared" si="25"/>
        <v>5.2050801582344368E-3</v>
      </c>
      <c r="CI44" s="27">
        <f t="shared" si="26"/>
        <v>4.1640641265875494E-2</v>
      </c>
      <c r="CJ44" s="58">
        <v>77.5</v>
      </c>
      <c r="CK44" s="58">
        <v>99.358974358974365</v>
      </c>
      <c r="CL44" s="58">
        <v>6.4542993962107014</v>
      </c>
      <c r="CM44" s="58">
        <v>6.4542993962107014</v>
      </c>
      <c r="CN44" s="28">
        <v>21.5</v>
      </c>
      <c r="CO44" s="28">
        <v>97.727272727272734</v>
      </c>
      <c r="CP44" s="28">
        <v>1.7905475744326462</v>
      </c>
      <c r="CQ44" s="28">
        <v>1.7905475744326462</v>
      </c>
      <c r="CR44" s="32">
        <f t="shared" si="27"/>
        <v>45.051009785550697</v>
      </c>
      <c r="CS44" s="32">
        <v>45.051009785550697</v>
      </c>
      <c r="CT44" s="32">
        <f t="shared" si="28"/>
        <v>66.05100978555069</v>
      </c>
      <c r="CU44" s="32">
        <f t="shared" si="29"/>
        <v>1.1826501304485351</v>
      </c>
      <c r="CV44" s="32">
        <f t="shared" si="30"/>
        <v>1.1826501304485351</v>
      </c>
      <c r="CW44" s="60">
        <f t="shared" si="31"/>
        <v>12.49802206953987</v>
      </c>
      <c r="CX44" s="60">
        <v>12.49802206953987</v>
      </c>
      <c r="CY44" s="60">
        <f t="shared" si="32"/>
        <v>33.498022069539871</v>
      </c>
      <c r="CZ44" s="60">
        <f t="shared" si="33"/>
        <v>0.59978553392193146</v>
      </c>
      <c r="DA44" s="60">
        <f t="shared" si="34"/>
        <v>0.59978553392193146</v>
      </c>
      <c r="DB44" s="32">
        <f t="shared" si="35"/>
        <v>4.1640641265875494E-2</v>
      </c>
      <c r="DC44">
        <f t="shared" si="36"/>
        <v>7.8335633988602194</v>
      </c>
      <c r="DD44">
        <f t="shared" si="37"/>
        <v>2.5098906103139515E-2</v>
      </c>
      <c r="DE44">
        <f t="shared" si="38"/>
        <v>0.15097217833465293</v>
      </c>
      <c r="DF44">
        <f t="shared" si="39"/>
        <v>0.8239289155622076</v>
      </c>
      <c r="DG44">
        <f t="shared" si="40"/>
        <v>2.5869469805555605</v>
      </c>
      <c r="DH44">
        <f t="shared" si="41"/>
        <v>7.6002281329615506E-2</v>
      </c>
      <c r="DI44">
        <f t="shared" si="42"/>
        <v>0.2318507253647403</v>
      </c>
      <c r="DJ44">
        <f t="shared" si="43"/>
        <v>0.69214699330564433</v>
      </c>
      <c r="DK44" s="64">
        <f t="shared" si="44"/>
        <v>-7.7932827622278298</v>
      </c>
      <c r="DL44" s="64">
        <f t="shared" si="45"/>
        <v>-2.5466663439231709</v>
      </c>
      <c r="DM44" s="64">
        <f t="shared" si="46"/>
        <v>-7.7928991702900019</v>
      </c>
      <c r="DN44" s="64">
        <f t="shared" si="47"/>
        <v>-2.546282751985343</v>
      </c>
      <c r="DO44" t="str">
        <f t="shared" si="48"/>
        <v>Sufficient Capacity</v>
      </c>
      <c r="DP44" t="str">
        <f t="shared" si="49"/>
        <v>Sufficient Capacity</v>
      </c>
    </row>
    <row r="45" spans="1:120" ht="15.75" x14ac:dyDescent="0.25">
      <c r="A45" s="3" t="s">
        <v>98</v>
      </c>
      <c r="B45" s="3" t="s">
        <v>98</v>
      </c>
      <c r="C45" s="2" t="s">
        <v>778</v>
      </c>
      <c r="D45" s="2" t="s">
        <v>487</v>
      </c>
      <c r="E45" s="2" t="s">
        <v>487</v>
      </c>
      <c r="F45" s="2">
        <v>44</v>
      </c>
      <c r="G45" s="2" t="s">
        <v>777</v>
      </c>
      <c r="H45" s="10" t="s">
        <v>656</v>
      </c>
      <c r="I45" s="2">
        <v>150</v>
      </c>
      <c r="J45" s="2">
        <v>100</v>
      </c>
      <c r="K45" s="12">
        <v>7.5</v>
      </c>
      <c r="L45" t="s">
        <v>273</v>
      </c>
      <c r="M45" s="2" t="s">
        <v>1120</v>
      </c>
      <c r="N45" s="2" t="s">
        <v>436</v>
      </c>
      <c r="O45" s="2" t="s">
        <v>666</v>
      </c>
      <c r="P45" s="2" t="s">
        <v>1132</v>
      </c>
      <c r="Q45" s="9" t="s">
        <v>722</v>
      </c>
      <c r="R45" s="2" t="str">
        <f t="shared" si="0"/>
        <v>CW_2_Section_2</v>
      </c>
      <c r="S45" s="2" t="str">
        <f t="shared" si="1"/>
        <v>CW_2_MF06</v>
      </c>
      <c r="T45" s="11" t="s">
        <v>751</v>
      </c>
      <c r="U45" s="1">
        <v>45580</v>
      </c>
      <c r="V45" s="2" t="s">
        <v>752</v>
      </c>
      <c r="W45" s="2" t="s">
        <v>663</v>
      </c>
      <c r="X45" s="2" t="s">
        <v>750</v>
      </c>
      <c r="Y45" s="2" t="str">
        <f t="shared" si="2"/>
        <v>T1_0.60-0.80</v>
      </c>
      <c r="Z45" t="s">
        <v>37</v>
      </c>
      <c r="AA45">
        <v>12</v>
      </c>
      <c r="AB45">
        <v>12</v>
      </c>
      <c r="AC45">
        <v>650</v>
      </c>
      <c r="AD45" s="32">
        <f t="shared" si="3"/>
        <v>0.24964793240302136</v>
      </c>
      <c r="AE45">
        <v>45</v>
      </c>
      <c r="AF45" s="32">
        <f>($AE45/92140)*36</f>
        <v>1.7581940525287606E-2</v>
      </c>
      <c r="AG45">
        <v>510</v>
      </c>
      <c r="AH45" s="32">
        <f t="shared" si="4"/>
        <v>0.20175190731845152</v>
      </c>
      <c r="AI45">
        <v>180</v>
      </c>
      <c r="AJ45" s="32">
        <f t="shared" si="5"/>
        <v>7.120655552415936E-2</v>
      </c>
      <c r="AK45">
        <v>200</v>
      </c>
      <c r="AL45" s="32">
        <f t="shared" si="6"/>
        <v>7.9118395026843744E-2</v>
      </c>
      <c r="AM45">
        <v>380</v>
      </c>
      <c r="AO45" s="49">
        <v>1585</v>
      </c>
      <c r="AP45" s="49">
        <f t="shared" si="7"/>
        <v>0.46898178024676052</v>
      </c>
      <c r="AQ45">
        <v>2700</v>
      </c>
      <c r="AR45" s="32">
        <f t="shared" si="8"/>
        <v>1.0111570570336272</v>
      </c>
      <c r="AS45" s="48">
        <v>2400</v>
      </c>
      <c r="AT45" s="27">
        <f t="shared" si="9"/>
        <v>0.89880627291877968</v>
      </c>
      <c r="AU45" s="48">
        <v>100</v>
      </c>
      <c r="AV45" s="27">
        <f t="shared" si="10"/>
        <v>3.6796110125501019E-2</v>
      </c>
      <c r="AW45" s="48">
        <v>72</v>
      </c>
      <c r="AX45" s="27">
        <f t="shared" si="11"/>
        <v>2.707995590428636E-2</v>
      </c>
      <c r="AY45" s="48">
        <v>26</v>
      </c>
      <c r="AZ45" s="27">
        <f t="shared" si="12"/>
        <v>9.6979906148477926E-3</v>
      </c>
      <c r="BA45" s="48">
        <v>8.6999999999999993</v>
      </c>
      <c r="BB45" s="27">
        <f t="shared" si="13"/>
        <v>3.2216798518767882E-3</v>
      </c>
      <c r="BC45" s="48">
        <v>1.8</v>
      </c>
      <c r="BD45" s="27">
        <f t="shared" si="14"/>
        <v>6.6655445211243904E-4</v>
      </c>
      <c r="BE45" s="48">
        <v>0.18</v>
      </c>
      <c r="BF45" s="27">
        <f t="shared" si="15"/>
        <v>6.5859085290482068E-5</v>
      </c>
      <c r="BG45" s="48">
        <v>0.12</v>
      </c>
      <c r="BH45" s="27">
        <f t="shared" si="16"/>
        <v>4.3906056860321379E-5</v>
      </c>
      <c r="BI45" s="52">
        <f t="shared" si="17"/>
        <v>2608.7999999999997</v>
      </c>
      <c r="BJ45" s="52">
        <f t="shared" si="18"/>
        <v>208.8</v>
      </c>
      <c r="BK45" s="27">
        <f t="shared" si="19"/>
        <v>0.97637832900955479</v>
      </c>
      <c r="BL45" s="27">
        <f t="shared" si="20"/>
        <v>7.7572056090775193E-2</v>
      </c>
      <c r="BM45">
        <v>4700</v>
      </c>
      <c r="BN45">
        <v>1200</v>
      </c>
      <c r="BO45" t="s">
        <v>19</v>
      </c>
      <c r="BP45">
        <v>6000</v>
      </c>
      <c r="BQ45">
        <v>68</v>
      </c>
      <c r="BR45">
        <v>24</v>
      </c>
      <c r="BS45">
        <v>1</v>
      </c>
      <c r="BT45">
        <v>0.52</v>
      </c>
      <c r="BU45">
        <v>13.8</v>
      </c>
      <c r="BV45">
        <v>-115</v>
      </c>
      <c r="BW45">
        <v>7.08</v>
      </c>
      <c r="BX45">
        <v>672</v>
      </c>
      <c r="BY45" t="s">
        <v>443</v>
      </c>
      <c r="BZ45">
        <v>0.01</v>
      </c>
      <c r="CA45" s="32">
        <v>5.8</v>
      </c>
      <c r="CB45" s="32">
        <f t="shared" si="21"/>
        <v>0.10384959713518352</v>
      </c>
      <c r="CC45" s="32">
        <f t="shared" si="22"/>
        <v>0.10384959713518352</v>
      </c>
      <c r="CD45" s="32">
        <v>2.6</v>
      </c>
      <c r="CE45" s="32">
        <f t="shared" si="23"/>
        <v>4.7332969233569999E-2</v>
      </c>
      <c r="CF45" s="32">
        <f t="shared" si="24"/>
        <v>9.4665938467139998E-2</v>
      </c>
      <c r="CG45" s="27">
        <v>42</v>
      </c>
      <c r="CH45" s="27">
        <f t="shared" si="25"/>
        <v>0.4372267332916927</v>
      </c>
      <c r="CI45" s="27">
        <f t="shared" si="26"/>
        <v>3.4978138663335416</v>
      </c>
      <c r="CJ45" s="58">
        <v>36</v>
      </c>
      <c r="CK45" s="58">
        <v>46.153846153846153</v>
      </c>
      <c r="CL45" s="58">
        <v>2.9981261711430354</v>
      </c>
      <c r="CM45" s="58">
        <v>2.9981261711430354</v>
      </c>
      <c r="CN45" s="28">
        <v>24</v>
      </c>
      <c r="CO45" s="28">
        <v>36.363636363636367</v>
      </c>
      <c r="CP45" s="28">
        <v>1.9987507807620237</v>
      </c>
      <c r="CQ45" s="28">
        <v>1.9987507807620237</v>
      </c>
      <c r="CR45" s="32">
        <f t="shared" si="27"/>
        <v>20.926920674578387</v>
      </c>
      <c r="CS45" s="32">
        <v>20.926920674578387</v>
      </c>
      <c r="CT45" s="32">
        <f t="shared" si="28"/>
        <v>26.726920674578388</v>
      </c>
      <c r="CU45" s="32">
        <f t="shared" si="29"/>
        <v>0.4785482663308574</v>
      </c>
      <c r="CV45" s="32">
        <f t="shared" si="30"/>
        <v>0.4785482663308574</v>
      </c>
      <c r="CW45" s="60">
        <f t="shared" si="31"/>
        <v>13.951280449718926</v>
      </c>
      <c r="CX45" s="60">
        <v>13.951280449718926</v>
      </c>
      <c r="CY45" s="60">
        <f t="shared" si="32"/>
        <v>19.751280449718926</v>
      </c>
      <c r="CZ45" s="60">
        <f t="shared" si="33"/>
        <v>0.35364870993229947</v>
      </c>
      <c r="DA45" s="60">
        <f t="shared" si="34"/>
        <v>0.35364870993229947</v>
      </c>
      <c r="DB45" s="32">
        <f t="shared" si="35"/>
        <v>3.4978138663335416</v>
      </c>
      <c r="DC45">
        <f t="shared" si="36"/>
        <v>3.5713403759410327</v>
      </c>
      <c r="DD45">
        <f t="shared" si="37"/>
        <v>2.6507117357077996E-2</v>
      </c>
      <c r="DE45">
        <f t="shared" si="38"/>
        <v>0.13399682358889189</v>
      </c>
      <c r="DF45">
        <f t="shared" si="39"/>
        <v>0.83949605905403013</v>
      </c>
      <c r="DG45">
        <f t="shared" si="40"/>
        <v>2.4470654291614631</v>
      </c>
      <c r="DH45">
        <f t="shared" si="41"/>
        <v>3.8685495426078256E-2</v>
      </c>
      <c r="DI45">
        <f t="shared" si="42"/>
        <v>0.14451951538275151</v>
      </c>
      <c r="DJ45">
        <f t="shared" si="43"/>
        <v>0.81679498919117033</v>
      </c>
      <c r="DK45" s="64">
        <f t="shared" si="44"/>
        <v>-2.0912015386606448</v>
      </c>
      <c r="DL45" s="64">
        <f t="shared" si="45"/>
        <v>-0.96692659188107521</v>
      </c>
      <c r="DM45" s="64">
        <f t="shared" si="46"/>
        <v>-2.0136294825698697</v>
      </c>
      <c r="DN45" s="64">
        <f t="shared" si="47"/>
        <v>-0.8893545357903001</v>
      </c>
      <c r="DO45" t="str">
        <f t="shared" si="48"/>
        <v>Sufficient Capacity</v>
      </c>
      <c r="DP45" t="str">
        <f t="shared" si="49"/>
        <v>Sufficient Capacity</v>
      </c>
    </row>
    <row r="46" spans="1:120" ht="15.75" x14ac:dyDescent="0.25">
      <c r="A46" s="3" t="s">
        <v>99</v>
      </c>
      <c r="B46" s="3" t="s">
        <v>99</v>
      </c>
      <c r="C46" s="2" t="s">
        <v>780</v>
      </c>
      <c r="D46" s="2" t="s">
        <v>488</v>
      </c>
      <c r="E46" s="2" t="s">
        <v>488</v>
      </c>
      <c r="F46" s="2">
        <v>45</v>
      </c>
      <c r="G46" s="2" t="s">
        <v>779</v>
      </c>
      <c r="H46" s="10" t="s">
        <v>656</v>
      </c>
      <c r="I46" s="2">
        <v>150</v>
      </c>
      <c r="J46" s="2">
        <v>100</v>
      </c>
      <c r="K46" s="12">
        <v>6.1</v>
      </c>
      <c r="L46" t="s">
        <v>274</v>
      </c>
      <c r="M46" s="2" t="s">
        <v>1120</v>
      </c>
      <c r="N46" s="2" t="s">
        <v>436</v>
      </c>
      <c r="O46" s="2" t="s">
        <v>673</v>
      </c>
      <c r="P46" s="2" t="s">
        <v>1127</v>
      </c>
      <c r="Q46" s="9" t="s">
        <v>725</v>
      </c>
      <c r="R46" s="2" t="str">
        <f t="shared" si="0"/>
        <v>CW_2_Section_3</v>
      </c>
      <c r="S46" s="2" t="str">
        <f t="shared" si="1"/>
        <v>CW_2_MF09</v>
      </c>
      <c r="T46" s="11" t="s">
        <v>751</v>
      </c>
      <c r="U46" s="1">
        <v>45580</v>
      </c>
      <c r="V46" s="2" t="s">
        <v>752</v>
      </c>
      <c r="W46" s="2" t="s">
        <v>655</v>
      </c>
      <c r="X46" s="2" t="s">
        <v>750</v>
      </c>
      <c r="Y46" s="2" t="str">
        <f t="shared" si="2"/>
        <v>T1_0.15-0.30</v>
      </c>
      <c r="Z46" t="s">
        <v>45</v>
      </c>
      <c r="AA46">
        <v>13</v>
      </c>
      <c r="AB46">
        <v>11</v>
      </c>
      <c r="AC46">
        <v>580</v>
      </c>
      <c r="AD46" s="32">
        <f t="shared" si="3"/>
        <v>0.22276277045192677</v>
      </c>
      <c r="AE46">
        <v>5.0999999999999996</v>
      </c>
      <c r="AF46" s="32">
        <f>($AE46/92140)*36</f>
        <v>1.992619926199262E-3</v>
      </c>
      <c r="AG46">
        <v>180</v>
      </c>
      <c r="AH46" s="32">
        <f t="shared" si="4"/>
        <v>7.120655552415936E-2</v>
      </c>
      <c r="AI46">
        <v>100</v>
      </c>
      <c r="AJ46" s="32">
        <f t="shared" si="5"/>
        <v>3.9559197513421872E-2</v>
      </c>
      <c r="AK46">
        <v>90</v>
      </c>
      <c r="AL46" s="32">
        <f t="shared" si="6"/>
        <v>3.560327776207968E-2</v>
      </c>
      <c r="AM46">
        <v>190</v>
      </c>
      <c r="AO46" s="49">
        <v>955.1</v>
      </c>
      <c r="AP46" s="49">
        <f t="shared" si="7"/>
        <v>0.29596194590228542</v>
      </c>
      <c r="AQ46">
        <v>27</v>
      </c>
      <c r="AR46" s="32">
        <f t="shared" si="8"/>
        <v>1.0111570570336272E-2</v>
      </c>
      <c r="AS46" s="48">
        <v>32</v>
      </c>
      <c r="AT46" s="27">
        <f t="shared" si="9"/>
        <v>1.1984083638917061E-2</v>
      </c>
      <c r="AU46" s="48">
        <v>0.01</v>
      </c>
      <c r="AV46" s="27">
        <f t="shared" si="10"/>
        <v>3.6796110125501018E-6</v>
      </c>
      <c r="AW46" s="48">
        <v>0.01</v>
      </c>
      <c r="AX46" s="27">
        <f t="shared" si="11"/>
        <v>3.7611049867064394E-6</v>
      </c>
      <c r="AY46" s="48">
        <v>5.0000000000000001E-3</v>
      </c>
      <c r="AZ46" s="27">
        <f t="shared" si="12"/>
        <v>1.8649981951630372E-6</v>
      </c>
      <c r="BA46" s="48">
        <v>0.03</v>
      </c>
      <c r="BB46" s="27">
        <f t="shared" si="13"/>
        <v>1.110924086854065E-5</v>
      </c>
      <c r="BC46" s="48">
        <v>1E-3</v>
      </c>
      <c r="BD46" s="27">
        <f t="shared" si="14"/>
        <v>3.7030802895135499E-7</v>
      </c>
      <c r="BE46" s="48">
        <v>1E-3</v>
      </c>
      <c r="BF46" s="27">
        <f t="shared" si="15"/>
        <v>3.6588380716934485E-7</v>
      </c>
      <c r="BG46" s="48">
        <v>2E-3</v>
      </c>
      <c r="BH46" s="27">
        <f t="shared" si="16"/>
        <v>7.3176761433868969E-7</v>
      </c>
      <c r="BI46" s="52">
        <f t="shared" si="17"/>
        <v>32.058999999999997</v>
      </c>
      <c r="BJ46" s="52">
        <f t="shared" si="18"/>
        <v>5.9000000000000004E-2</v>
      </c>
      <c r="BK46" s="27">
        <f t="shared" si="19"/>
        <v>1.200596655343048E-2</v>
      </c>
      <c r="BL46" s="27">
        <f t="shared" si="20"/>
        <v>2.1882914513419617E-5</v>
      </c>
      <c r="BM46">
        <v>65</v>
      </c>
      <c r="BN46">
        <v>2.5</v>
      </c>
      <c r="BO46" t="s">
        <v>19</v>
      </c>
      <c r="BP46">
        <v>70</v>
      </c>
      <c r="BQ46">
        <v>69</v>
      </c>
      <c r="BR46">
        <v>24</v>
      </c>
      <c r="BS46">
        <v>1.7</v>
      </c>
      <c r="BT46">
        <v>5.25</v>
      </c>
      <c r="BU46">
        <v>12.5</v>
      </c>
      <c r="BV46">
        <v>-112</v>
      </c>
      <c r="BW46">
        <v>6.91</v>
      </c>
      <c r="BX46">
        <v>488</v>
      </c>
      <c r="BY46">
        <v>0.2</v>
      </c>
      <c r="BZ46">
        <v>0.01</v>
      </c>
      <c r="CA46" s="32">
        <v>18</v>
      </c>
      <c r="CB46" s="32">
        <f t="shared" si="21"/>
        <v>0.32229185317815578</v>
      </c>
      <c r="CC46" s="32">
        <f t="shared" si="22"/>
        <v>0.32229185317815578</v>
      </c>
      <c r="CD46" s="32">
        <v>3.9</v>
      </c>
      <c r="CE46" s="32">
        <f t="shared" si="23"/>
        <v>7.0999453850354999E-2</v>
      </c>
      <c r="CF46" s="32">
        <f t="shared" si="24"/>
        <v>0.14199890770071</v>
      </c>
      <c r="CG46" s="27">
        <v>0.5</v>
      </c>
      <c r="CH46" s="27">
        <f t="shared" si="25"/>
        <v>5.2050801582344368E-3</v>
      </c>
      <c r="CI46" s="27">
        <f t="shared" si="26"/>
        <v>4.1640641265875494E-2</v>
      </c>
      <c r="CJ46" s="58">
        <v>77.5</v>
      </c>
      <c r="CK46" s="58">
        <v>99.358974358974365</v>
      </c>
      <c r="CL46" s="58">
        <v>6.4542993962107014</v>
      </c>
      <c r="CM46" s="58">
        <v>6.4542993962107014</v>
      </c>
      <c r="CN46" s="28">
        <v>0</v>
      </c>
      <c r="CO46" s="28">
        <v>0</v>
      </c>
      <c r="CP46" s="28">
        <v>0</v>
      </c>
      <c r="CQ46" s="28">
        <v>0</v>
      </c>
      <c r="CR46" s="32">
        <f t="shared" si="27"/>
        <v>45.051009785550697</v>
      </c>
      <c r="CS46" s="32">
        <v>45.051009785550697</v>
      </c>
      <c r="CT46" s="32">
        <f t="shared" si="28"/>
        <v>63.051009785550697</v>
      </c>
      <c r="CU46" s="32">
        <f t="shared" si="29"/>
        <v>1.1289348215855093</v>
      </c>
      <c r="CV46" s="32">
        <f t="shared" si="30"/>
        <v>1.1289348215855093</v>
      </c>
      <c r="CW46" s="60">
        <f t="shared" si="31"/>
        <v>0</v>
      </c>
      <c r="CX46" s="60">
        <v>0</v>
      </c>
      <c r="CY46" s="60">
        <f t="shared" si="32"/>
        <v>18</v>
      </c>
      <c r="CZ46" s="60">
        <f t="shared" si="33"/>
        <v>0.32229185317815578</v>
      </c>
      <c r="DA46" s="60">
        <f t="shared" si="34"/>
        <v>0.32229185317815578</v>
      </c>
      <c r="DB46" s="32">
        <f t="shared" si="35"/>
        <v>4.1640641265875494E-2</v>
      </c>
      <c r="DC46">
        <f t="shared" si="36"/>
        <v>7.7252331254969206</v>
      </c>
      <c r="DD46">
        <f t="shared" si="37"/>
        <v>1.8381180916346263E-2</v>
      </c>
      <c r="DE46">
        <f t="shared" si="38"/>
        <v>0.14613601987744432</v>
      </c>
      <c r="DF46">
        <f t="shared" si="39"/>
        <v>0.83548279920620938</v>
      </c>
      <c r="DG46">
        <f t="shared" si="40"/>
        <v>0.46429076087886578</v>
      </c>
      <c r="DH46">
        <f t="shared" si="41"/>
        <v>0.30584047684239346</v>
      </c>
      <c r="DI46">
        <f t="shared" si="42"/>
        <v>0.69415952315760654</v>
      </c>
      <c r="DJ46">
        <f t="shared" si="43"/>
        <v>0</v>
      </c>
      <c r="DK46" s="64">
        <f t="shared" si="44"/>
        <v>-7.4191596090242991</v>
      </c>
      <c r="DL46" s="64">
        <f t="shared" si="45"/>
        <v>-0.15821724440624407</v>
      </c>
      <c r="DM46" s="64">
        <f t="shared" si="46"/>
        <v>-7.4191377261097857</v>
      </c>
      <c r="DN46" s="64">
        <f t="shared" si="47"/>
        <v>-0.15819536149173063</v>
      </c>
      <c r="DO46" t="str">
        <f t="shared" si="48"/>
        <v>Sufficient Capacity</v>
      </c>
      <c r="DP46" t="str">
        <f t="shared" si="49"/>
        <v>Sufficient Capacity</v>
      </c>
    </row>
    <row r="47" spans="1:120" ht="15.75" x14ac:dyDescent="0.25">
      <c r="A47" s="3" t="s">
        <v>100</v>
      </c>
      <c r="B47" s="3" t="s">
        <v>100</v>
      </c>
      <c r="C47" s="2" t="s">
        <v>782</v>
      </c>
      <c r="D47" s="2" t="s">
        <v>489</v>
      </c>
      <c r="E47" s="2" t="s">
        <v>489</v>
      </c>
      <c r="F47" s="2">
        <v>46</v>
      </c>
      <c r="G47" s="2" t="s">
        <v>781</v>
      </c>
      <c r="H47" s="10" t="s">
        <v>656</v>
      </c>
      <c r="I47" s="2">
        <v>150</v>
      </c>
      <c r="J47" s="2">
        <v>100</v>
      </c>
      <c r="K47" s="12">
        <v>5.2</v>
      </c>
      <c r="L47" t="s">
        <v>275</v>
      </c>
      <c r="M47" s="2" t="s">
        <v>1120</v>
      </c>
      <c r="N47" s="2" t="s">
        <v>436</v>
      </c>
      <c r="O47" s="2" t="s">
        <v>673</v>
      </c>
      <c r="P47" s="2" t="s">
        <v>1128</v>
      </c>
      <c r="Q47" s="9" t="s">
        <v>728</v>
      </c>
      <c r="R47" s="2" t="str">
        <f t="shared" si="0"/>
        <v>CW_2_Section_3</v>
      </c>
      <c r="S47" s="2" t="str">
        <f t="shared" si="1"/>
        <v>CW_2_MF10</v>
      </c>
      <c r="T47" s="11" t="s">
        <v>751</v>
      </c>
      <c r="U47" s="1">
        <v>45580</v>
      </c>
      <c r="V47" s="2" t="s">
        <v>752</v>
      </c>
      <c r="W47" s="2" t="s">
        <v>663</v>
      </c>
      <c r="X47" s="2" t="s">
        <v>750</v>
      </c>
      <c r="Y47" s="2" t="str">
        <f t="shared" si="2"/>
        <v>T1_0.60-0.80</v>
      </c>
      <c r="Z47" t="s">
        <v>47</v>
      </c>
      <c r="AA47">
        <v>13</v>
      </c>
      <c r="AB47">
        <v>12</v>
      </c>
      <c r="AC47">
        <v>680</v>
      </c>
      <c r="AD47" s="32">
        <f t="shared" si="3"/>
        <v>0.26117014466777622</v>
      </c>
      <c r="AE47">
        <v>23</v>
      </c>
      <c r="AF47" s="32">
        <f>($AE47/92140)*36</f>
        <v>8.98632515736922E-3</v>
      </c>
      <c r="AG47">
        <v>510</v>
      </c>
      <c r="AH47" s="32">
        <f t="shared" si="4"/>
        <v>0.20175190731845152</v>
      </c>
      <c r="AI47">
        <v>180</v>
      </c>
      <c r="AJ47" s="32">
        <f t="shared" si="5"/>
        <v>7.120655552415936E-2</v>
      </c>
      <c r="AK47">
        <v>120</v>
      </c>
      <c r="AL47" s="32">
        <f t="shared" si="6"/>
        <v>4.7471037016106249E-2</v>
      </c>
      <c r="AM47">
        <v>300</v>
      </c>
      <c r="AO47" s="49">
        <v>1513</v>
      </c>
      <c r="AP47" s="49">
        <f t="shared" si="7"/>
        <v>0.47190837714359701</v>
      </c>
      <c r="AQ47">
        <v>2700</v>
      </c>
      <c r="AR47" s="32">
        <f t="shared" si="8"/>
        <v>1.0111570570336272</v>
      </c>
      <c r="AS47" s="48">
        <v>2000</v>
      </c>
      <c r="AT47" s="27">
        <f t="shared" si="9"/>
        <v>0.74900522743231646</v>
      </c>
      <c r="AU47" s="48">
        <v>99</v>
      </c>
      <c r="AV47" s="27">
        <f t="shared" si="10"/>
        <v>3.6428149024246008E-2</v>
      </c>
      <c r="AW47" s="48">
        <v>68</v>
      </c>
      <c r="AX47" s="27">
        <f t="shared" si="11"/>
        <v>2.5575513909603786E-2</v>
      </c>
      <c r="AY47" s="48">
        <v>24</v>
      </c>
      <c r="AZ47" s="27">
        <f t="shared" si="12"/>
        <v>8.9519913367825769E-3</v>
      </c>
      <c r="BA47" s="48">
        <v>6.7</v>
      </c>
      <c r="BB47" s="27">
        <f t="shared" si="13"/>
        <v>2.4810637939740783E-3</v>
      </c>
      <c r="BC47" s="48">
        <v>1.2</v>
      </c>
      <c r="BD47" s="27">
        <f t="shared" si="14"/>
        <v>4.4436963474162597E-4</v>
      </c>
      <c r="BE47" s="48">
        <v>0.08</v>
      </c>
      <c r="BF47" s="27">
        <f t="shared" si="15"/>
        <v>2.9270704573547589E-5</v>
      </c>
      <c r="BG47" s="48">
        <v>0.04</v>
      </c>
      <c r="BH47" s="27">
        <f t="shared" si="16"/>
        <v>1.4635352286773795E-5</v>
      </c>
      <c r="BI47" s="52">
        <f t="shared" si="17"/>
        <v>2199.0199999999995</v>
      </c>
      <c r="BJ47" s="52">
        <f t="shared" si="18"/>
        <v>199.01999999999998</v>
      </c>
      <c r="BK47" s="27">
        <f t="shared" si="19"/>
        <v>0.82293022118852477</v>
      </c>
      <c r="BL47" s="27">
        <f t="shared" si="20"/>
        <v>7.3924993756208382E-2</v>
      </c>
      <c r="BM47">
        <v>5600</v>
      </c>
      <c r="BN47">
        <v>1300</v>
      </c>
      <c r="BO47" t="s">
        <v>19</v>
      </c>
      <c r="BP47">
        <v>6900</v>
      </c>
      <c r="BQ47">
        <v>69</v>
      </c>
      <c r="BR47">
        <v>27</v>
      </c>
      <c r="BS47">
        <v>0.36</v>
      </c>
      <c r="BT47">
        <v>0.73</v>
      </c>
      <c r="BU47">
        <v>11.9</v>
      </c>
      <c r="BV47">
        <v>-105</v>
      </c>
      <c r="BW47">
        <v>7.01</v>
      </c>
      <c r="BX47">
        <v>610</v>
      </c>
      <c r="BY47">
        <v>0.2</v>
      </c>
      <c r="BZ47">
        <v>0.01</v>
      </c>
      <c r="CA47" s="32">
        <v>2</v>
      </c>
      <c r="CB47" s="32">
        <f t="shared" si="21"/>
        <v>3.5810205908683973E-2</v>
      </c>
      <c r="CC47" s="32">
        <f t="shared" si="22"/>
        <v>3.5810205908683973E-2</v>
      </c>
      <c r="CD47" s="32">
        <v>2</v>
      </c>
      <c r="CE47" s="32">
        <f t="shared" si="23"/>
        <v>3.6409976333515386E-2</v>
      </c>
      <c r="CF47" s="32">
        <f t="shared" si="24"/>
        <v>7.2819952667030771E-2</v>
      </c>
      <c r="CG47" s="27">
        <v>47</v>
      </c>
      <c r="CH47" s="27">
        <f t="shared" si="25"/>
        <v>0.48927753487403702</v>
      </c>
      <c r="CI47" s="27">
        <f t="shared" si="26"/>
        <v>3.9142202789922962</v>
      </c>
      <c r="CJ47" s="58">
        <v>31</v>
      </c>
      <c r="CK47" s="58">
        <v>39.743589743589745</v>
      </c>
      <c r="CL47" s="58">
        <v>2.5817197584842808</v>
      </c>
      <c r="CM47" s="58">
        <v>2.5817197584842808</v>
      </c>
      <c r="CN47" s="28">
        <v>-5</v>
      </c>
      <c r="CO47" s="28">
        <v>-11.904761904761903</v>
      </c>
      <c r="CP47" s="28">
        <v>-0.41640641265875494</v>
      </c>
      <c r="CR47" s="32">
        <f t="shared" si="27"/>
        <v>18.020403914220278</v>
      </c>
      <c r="CS47" s="32">
        <v>18.020403914220278</v>
      </c>
      <c r="CT47" s="32">
        <f t="shared" si="28"/>
        <v>20.020403914220278</v>
      </c>
      <c r="CU47" s="32">
        <f t="shared" si="29"/>
        <v>0.35846739327162536</v>
      </c>
      <c r="CV47" s="32">
        <f t="shared" si="30"/>
        <v>0.35846739327162536</v>
      </c>
      <c r="CW47" s="60">
        <f t="shared" si="31"/>
        <v>-2.9065167603581092</v>
      </c>
      <c r="CY47" s="60">
        <f t="shared" si="32"/>
        <v>2</v>
      </c>
      <c r="CZ47" s="60">
        <f t="shared" si="33"/>
        <v>3.5810205908683973E-2</v>
      </c>
      <c r="DA47" s="60">
        <f t="shared" si="34"/>
        <v>3.5810205908683973E-2</v>
      </c>
      <c r="DB47" s="32">
        <f t="shared" si="35"/>
        <v>3.9142202789922962</v>
      </c>
      <c r="DC47">
        <f t="shared" si="36"/>
        <v>3.013007104422937</v>
      </c>
      <c r="DD47">
        <f t="shared" si="37"/>
        <v>2.4168530024418093E-2</v>
      </c>
      <c r="DE47">
        <f t="shared" si="38"/>
        <v>0.11897329838532872</v>
      </c>
      <c r="DF47">
        <f t="shared" si="39"/>
        <v>0.85685817159025324</v>
      </c>
      <c r="DG47">
        <f t="shared" si="40"/>
        <v>0.10863015857571474</v>
      </c>
      <c r="DH47">
        <f t="shared" si="41"/>
        <v>0.67034747644481785</v>
      </c>
      <c r="DI47">
        <f t="shared" si="42"/>
        <v>0.3296525235551821</v>
      </c>
      <c r="DJ47">
        <f t="shared" si="43"/>
        <v>0</v>
      </c>
      <c r="DK47" s="64">
        <f t="shared" si="44"/>
        <v>-1.5299416702457127</v>
      </c>
      <c r="DL47" s="64">
        <f t="shared" si="45"/>
        <v>1.3744352756015095</v>
      </c>
      <c r="DM47" s="64">
        <f t="shared" si="46"/>
        <v>-1.4560166764895044</v>
      </c>
      <c r="DN47" s="64">
        <f t="shared" si="47"/>
        <v>1.4483602693577178</v>
      </c>
      <c r="DO47" t="str">
        <f t="shared" si="48"/>
        <v>Sufficient Capacity</v>
      </c>
      <c r="DP47" t="str">
        <f t="shared" si="49"/>
        <v>Insufficient Capacity</v>
      </c>
    </row>
    <row r="48" spans="1:120" ht="15.75" x14ac:dyDescent="0.25">
      <c r="A48" s="3" t="s">
        <v>101</v>
      </c>
      <c r="B48" s="3" t="s">
        <v>101</v>
      </c>
      <c r="C48" s="2" t="s">
        <v>784</v>
      </c>
      <c r="D48" s="2" t="s">
        <v>490</v>
      </c>
      <c r="E48" s="2" t="s">
        <v>490</v>
      </c>
      <c r="F48" s="2">
        <v>47</v>
      </c>
      <c r="G48" s="2" t="s">
        <v>783</v>
      </c>
      <c r="H48" s="10" t="s">
        <v>656</v>
      </c>
      <c r="I48" s="2">
        <v>150</v>
      </c>
      <c r="J48" s="2">
        <v>100</v>
      </c>
      <c r="K48" s="12">
        <v>8.35</v>
      </c>
      <c r="L48" t="s">
        <v>277</v>
      </c>
      <c r="M48" s="2" t="s">
        <v>1120</v>
      </c>
      <c r="N48" s="2" t="s">
        <v>437</v>
      </c>
      <c r="O48" s="2" t="s">
        <v>653</v>
      </c>
      <c r="P48" s="2" t="s">
        <v>1123</v>
      </c>
      <c r="Q48" s="9" t="s">
        <v>731</v>
      </c>
      <c r="R48" s="2" t="str">
        <f t="shared" si="0"/>
        <v>CW_3_Section_1</v>
      </c>
      <c r="S48" s="2" t="str">
        <f t="shared" si="1"/>
        <v>CW_3_MF01</v>
      </c>
      <c r="T48" s="11" t="s">
        <v>751</v>
      </c>
      <c r="U48" s="1">
        <v>45582</v>
      </c>
      <c r="V48" s="2" t="s">
        <v>752</v>
      </c>
      <c r="W48" s="2" t="s">
        <v>655</v>
      </c>
      <c r="X48" s="2" t="s">
        <v>750</v>
      </c>
      <c r="Y48" s="2" t="str">
        <f t="shared" si="2"/>
        <v>T1_0.15-0.30</v>
      </c>
      <c r="Z48" t="s">
        <v>51</v>
      </c>
      <c r="AA48">
        <v>31</v>
      </c>
      <c r="AB48">
        <v>14</v>
      </c>
      <c r="AC48">
        <v>380</v>
      </c>
      <c r="AD48" s="32">
        <f t="shared" si="3"/>
        <v>0.14594802202022789</v>
      </c>
      <c r="AE48">
        <v>9.1</v>
      </c>
      <c r="AF48" s="32">
        <f>($AE48/92140)*36</f>
        <v>3.5554590840026047E-3</v>
      </c>
      <c r="AG48">
        <v>66</v>
      </c>
      <c r="AH48" s="32">
        <f t="shared" si="4"/>
        <v>2.6109070358858434E-2</v>
      </c>
      <c r="AI48">
        <v>37</v>
      </c>
      <c r="AJ48" s="32">
        <f t="shared" si="5"/>
        <v>1.4636903079966092E-2</v>
      </c>
      <c r="AK48">
        <v>27</v>
      </c>
      <c r="AL48" s="32">
        <f t="shared" si="6"/>
        <v>1.0680983328623906E-2</v>
      </c>
      <c r="AM48">
        <v>64</v>
      </c>
      <c r="AO48" s="49">
        <v>519.1</v>
      </c>
      <c r="AP48" s="49">
        <f t="shared" si="7"/>
        <v>0.17561255146308891</v>
      </c>
      <c r="AQ48">
        <v>60</v>
      </c>
      <c r="AR48" s="32">
        <f t="shared" si="8"/>
        <v>2.2470156822969493E-2</v>
      </c>
      <c r="AS48" s="48">
        <v>110</v>
      </c>
      <c r="AT48" s="27">
        <f t="shared" si="9"/>
        <v>4.1195287508777406E-2</v>
      </c>
      <c r="AU48" s="48">
        <v>3.8</v>
      </c>
      <c r="AV48" s="27">
        <f t="shared" si="10"/>
        <v>1.3982521847690386E-3</v>
      </c>
      <c r="AW48" s="48">
        <v>2.2000000000000002</v>
      </c>
      <c r="AX48" s="27">
        <f t="shared" si="11"/>
        <v>8.2744309707541669E-4</v>
      </c>
      <c r="AY48" s="48">
        <v>0.66</v>
      </c>
      <c r="AZ48" s="27">
        <f t="shared" si="12"/>
        <v>2.461797617615209E-4</v>
      </c>
      <c r="BA48" s="48">
        <v>0.24</v>
      </c>
      <c r="BB48" s="27">
        <f t="shared" si="13"/>
        <v>8.88739269483252E-5</v>
      </c>
      <c r="BC48" s="48">
        <v>0.01</v>
      </c>
      <c r="BD48" s="27">
        <f t="shared" si="14"/>
        <v>3.7030802895135499E-6</v>
      </c>
      <c r="BE48" s="48">
        <v>1E-3</v>
      </c>
      <c r="BF48" s="27">
        <f t="shared" si="15"/>
        <v>3.6588380716934485E-7</v>
      </c>
      <c r="BG48" s="48">
        <v>2E-3</v>
      </c>
      <c r="BH48" s="27">
        <f t="shared" si="16"/>
        <v>7.3176761433868969E-7</v>
      </c>
      <c r="BI48" s="52">
        <f t="shared" si="17"/>
        <v>116.913</v>
      </c>
      <c r="BJ48" s="52">
        <f t="shared" si="18"/>
        <v>6.9130000000000003</v>
      </c>
      <c r="BK48" s="27">
        <f t="shared" si="19"/>
        <v>4.3760837211042722E-2</v>
      </c>
      <c r="BL48" s="27">
        <f t="shared" si="20"/>
        <v>2.5655497022653235E-3</v>
      </c>
      <c r="BM48">
        <v>75</v>
      </c>
      <c r="BN48">
        <v>2.5</v>
      </c>
      <c r="BO48" t="s">
        <v>19</v>
      </c>
      <c r="BP48">
        <v>95</v>
      </c>
      <c r="BQ48">
        <v>65</v>
      </c>
      <c r="BR48">
        <v>24</v>
      </c>
      <c r="BS48">
        <v>5.0999999999999996</v>
      </c>
      <c r="BT48">
        <v>7.48</v>
      </c>
      <c r="BU48">
        <v>13.1</v>
      </c>
      <c r="BV48">
        <v>-95</v>
      </c>
      <c r="BW48">
        <v>6.99</v>
      </c>
      <c r="BX48">
        <v>1080</v>
      </c>
      <c r="BY48">
        <v>0.2</v>
      </c>
      <c r="BZ48">
        <v>0.01</v>
      </c>
      <c r="CA48" s="32">
        <v>26</v>
      </c>
      <c r="CB48" s="32">
        <f t="shared" si="21"/>
        <v>0.46553267681289168</v>
      </c>
      <c r="CC48" s="32">
        <f t="shared" si="22"/>
        <v>0.46553267681289168</v>
      </c>
      <c r="CD48" s="32">
        <v>4.5999999999999996</v>
      </c>
      <c r="CE48" s="32">
        <f t="shared" si="23"/>
        <v>8.3742945567085378E-2</v>
      </c>
      <c r="CF48" s="32">
        <f t="shared" si="24"/>
        <v>0.16748589113417076</v>
      </c>
      <c r="CG48" s="27">
        <v>0.5</v>
      </c>
      <c r="CH48" s="27">
        <f t="shared" si="25"/>
        <v>5.2050801582344368E-3</v>
      </c>
      <c r="CI48" s="27">
        <f t="shared" si="26"/>
        <v>4.1640641265875494E-2</v>
      </c>
      <c r="CJ48" s="58">
        <v>77.5</v>
      </c>
      <c r="CK48" s="58">
        <v>99.358974358974365</v>
      </c>
      <c r="CL48" s="58">
        <v>6.4542993962107014</v>
      </c>
      <c r="CM48" s="58">
        <v>6.4542993962107014</v>
      </c>
      <c r="CN48" s="28">
        <v>77.5</v>
      </c>
      <c r="CO48" s="28">
        <v>99.358974358974365</v>
      </c>
      <c r="CP48" s="28">
        <v>6.4542993962107014</v>
      </c>
      <c r="CQ48" s="28">
        <v>6.4542993962107014</v>
      </c>
      <c r="CR48" s="32">
        <f t="shared" si="27"/>
        <v>45.051009785550697</v>
      </c>
      <c r="CS48" s="32">
        <v>45.051009785550697</v>
      </c>
      <c r="CT48" s="32">
        <f t="shared" si="28"/>
        <v>71.05100978555069</v>
      </c>
      <c r="CU48" s="32">
        <f t="shared" si="29"/>
        <v>1.2721756452202451</v>
      </c>
      <c r="CV48" s="32">
        <f t="shared" si="30"/>
        <v>1.2721756452202451</v>
      </c>
      <c r="CW48" s="60">
        <f t="shared" si="31"/>
        <v>45.051009785550697</v>
      </c>
      <c r="CX48" s="60">
        <v>45.051009785550697</v>
      </c>
      <c r="CY48" s="60">
        <f t="shared" si="32"/>
        <v>71.05100978555069</v>
      </c>
      <c r="CZ48" s="60">
        <f t="shared" si="33"/>
        <v>1.2721756452202451</v>
      </c>
      <c r="DA48" s="60">
        <f t="shared" si="34"/>
        <v>1.2721756452202451</v>
      </c>
      <c r="DB48" s="32">
        <f t="shared" si="35"/>
        <v>4.1640641265875494E-2</v>
      </c>
      <c r="DC48">
        <f t="shared" si="36"/>
        <v>7.8939609325651174</v>
      </c>
      <c r="DD48">
        <f t="shared" si="37"/>
        <v>2.1216964786744487E-2</v>
      </c>
      <c r="DE48">
        <f t="shared" si="38"/>
        <v>0.16115808731357067</v>
      </c>
      <c r="DF48">
        <f t="shared" si="39"/>
        <v>0.81762494789968476</v>
      </c>
      <c r="DG48">
        <f t="shared" si="40"/>
        <v>7.8939609325651174</v>
      </c>
      <c r="DH48">
        <f t="shared" si="41"/>
        <v>2.1216964786744487E-2</v>
      </c>
      <c r="DI48">
        <f t="shared" si="42"/>
        <v>0.16115808731357067</v>
      </c>
      <c r="DJ48">
        <f t="shared" si="43"/>
        <v>0.81762494789968476</v>
      </c>
      <c r="DK48" s="64">
        <f t="shared" si="44"/>
        <v>-7.6958782242790589</v>
      </c>
      <c r="DL48" s="64">
        <f t="shared" si="45"/>
        <v>-7.6958782242790589</v>
      </c>
      <c r="DM48" s="64">
        <f t="shared" si="46"/>
        <v>-7.6933126745767941</v>
      </c>
      <c r="DN48" s="64">
        <f t="shared" si="47"/>
        <v>-7.6933126745767941</v>
      </c>
      <c r="DO48" t="str">
        <f t="shared" si="48"/>
        <v>Sufficient Capacity</v>
      </c>
      <c r="DP48" t="str">
        <f t="shared" si="49"/>
        <v>Sufficient Capacity</v>
      </c>
    </row>
    <row r="49" spans="1:120" ht="15.75" x14ac:dyDescent="0.25">
      <c r="A49" s="3" t="s">
        <v>102</v>
      </c>
      <c r="B49" s="3" t="s">
        <v>102</v>
      </c>
      <c r="C49" s="2" t="s">
        <v>786</v>
      </c>
      <c r="D49" s="2" t="s">
        <v>491</v>
      </c>
      <c r="E49" s="2" t="s">
        <v>491</v>
      </c>
      <c r="F49" s="2">
        <v>48</v>
      </c>
      <c r="G49" s="2" t="s">
        <v>785</v>
      </c>
      <c r="H49" s="10" t="s">
        <v>656</v>
      </c>
      <c r="I49" s="2">
        <v>150</v>
      </c>
      <c r="J49" s="2">
        <v>100</v>
      </c>
      <c r="K49" s="12">
        <v>5</v>
      </c>
      <c r="L49" t="s">
        <v>276</v>
      </c>
      <c r="M49" s="2" t="s">
        <v>1120</v>
      </c>
      <c r="N49" s="2" t="s">
        <v>437</v>
      </c>
      <c r="O49" s="2" t="s">
        <v>653</v>
      </c>
      <c r="P49" s="2" t="s">
        <v>1124</v>
      </c>
      <c r="Q49" s="9" t="s">
        <v>734</v>
      </c>
      <c r="R49" s="2" t="str">
        <f t="shared" si="0"/>
        <v>CW_3_Section_1</v>
      </c>
      <c r="S49" s="2" t="str">
        <f t="shared" si="1"/>
        <v>CW_3_MF02</v>
      </c>
      <c r="T49" s="11" t="s">
        <v>751</v>
      </c>
      <c r="U49" s="1">
        <v>45580</v>
      </c>
      <c r="V49" s="2" t="s">
        <v>752</v>
      </c>
      <c r="W49" s="2" t="s">
        <v>663</v>
      </c>
      <c r="X49" s="2" t="s">
        <v>750</v>
      </c>
      <c r="Y49" s="2" t="str">
        <f t="shared" si="2"/>
        <v>T1_0.60-0.80</v>
      </c>
      <c r="Z49" t="s">
        <v>53</v>
      </c>
      <c r="AA49">
        <v>11</v>
      </c>
      <c r="AB49">
        <v>11</v>
      </c>
      <c r="AC49">
        <v>800</v>
      </c>
      <c r="AD49" s="32">
        <f t="shared" si="3"/>
        <v>0.30725899372679555</v>
      </c>
      <c r="AE49">
        <v>47</v>
      </c>
      <c r="AF49" s="32">
        <f>($AE49/92140)*36</f>
        <v>1.8363360104189274E-2</v>
      </c>
      <c r="AG49">
        <v>600</v>
      </c>
      <c r="AH49" s="32">
        <f t="shared" si="4"/>
        <v>0.23735518508053122</v>
      </c>
      <c r="AI49">
        <v>250</v>
      </c>
      <c r="AJ49" s="32">
        <f t="shared" si="5"/>
        <v>9.8897993783554669E-2</v>
      </c>
      <c r="AK49">
        <v>220</v>
      </c>
      <c r="AL49" s="32">
        <f t="shared" si="6"/>
        <v>8.7030234529528114E-2</v>
      </c>
      <c r="AM49">
        <v>470</v>
      </c>
      <c r="AO49" s="49">
        <v>1917</v>
      </c>
      <c r="AP49" s="49">
        <f t="shared" si="7"/>
        <v>0.56297753891151603</v>
      </c>
      <c r="AQ49">
        <v>3900</v>
      </c>
      <c r="AR49" s="32">
        <f t="shared" si="8"/>
        <v>1.460560193493017</v>
      </c>
      <c r="AS49" s="48">
        <v>3500</v>
      </c>
      <c r="AT49" s="27">
        <f t="shared" si="9"/>
        <v>1.3107591480065537</v>
      </c>
      <c r="AU49" s="48">
        <v>120</v>
      </c>
      <c r="AV49" s="27">
        <f t="shared" si="10"/>
        <v>4.4155332150601224E-2</v>
      </c>
      <c r="AW49" s="48">
        <v>120</v>
      </c>
      <c r="AX49" s="27">
        <f t="shared" si="11"/>
        <v>4.5133259840477273E-2</v>
      </c>
      <c r="AY49" s="48">
        <v>38</v>
      </c>
      <c r="AZ49" s="27">
        <f t="shared" si="12"/>
        <v>1.4173986283239081E-2</v>
      </c>
      <c r="BA49" s="48">
        <v>18</v>
      </c>
      <c r="BB49" s="27">
        <f t="shared" si="13"/>
        <v>6.66554452112439E-3</v>
      </c>
      <c r="BC49" s="48">
        <v>3.9</v>
      </c>
      <c r="BD49" s="27">
        <f t="shared" si="14"/>
        <v>1.4442013129102845E-3</v>
      </c>
      <c r="BE49" s="48">
        <v>0.51</v>
      </c>
      <c r="BF49" s="27">
        <f t="shared" si="15"/>
        <v>1.8660074165636589E-4</v>
      </c>
      <c r="BG49" s="48">
        <v>0.41</v>
      </c>
      <c r="BH49" s="27">
        <f t="shared" si="16"/>
        <v>1.5001236093943138E-4</v>
      </c>
      <c r="BI49" s="52">
        <f t="shared" si="17"/>
        <v>3800.82</v>
      </c>
      <c r="BJ49" s="52">
        <f t="shared" si="18"/>
        <v>300.82</v>
      </c>
      <c r="BK49" s="27">
        <f t="shared" si="19"/>
        <v>1.4226680852175018</v>
      </c>
      <c r="BL49" s="27">
        <f t="shared" si="20"/>
        <v>0.11190893721094806</v>
      </c>
      <c r="BM49">
        <v>5400</v>
      </c>
      <c r="BN49">
        <v>1500</v>
      </c>
      <c r="BO49" t="s">
        <v>19</v>
      </c>
      <c r="BP49">
        <v>7000</v>
      </c>
      <c r="BQ49">
        <v>70</v>
      </c>
      <c r="BR49">
        <v>26</v>
      </c>
      <c r="BS49">
        <v>0.76</v>
      </c>
      <c r="BT49">
        <v>0.45</v>
      </c>
      <c r="BU49">
        <v>13.1</v>
      </c>
      <c r="BV49">
        <v>-128</v>
      </c>
      <c r="BW49">
        <v>7.08</v>
      </c>
      <c r="BX49">
        <v>556</v>
      </c>
      <c r="BY49">
        <v>0.2</v>
      </c>
      <c r="BZ49">
        <v>0.01</v>
      </c>
      <c r="CA49" s="32">
        <v>0.7</v>
      </c>
      <c r="CB49" s="32">
        <f t="shared" si="21"/>
        <v>1.253357206803939E-2</v>
      </c>
      <c r="CC49" s="32">
        <f t="shared" si="22"/>
        <v>1.253357206803939E-2</v>
      </c>
      <c r="CD49" s="32">
        <v>1.2</v>
      </c>
      <c r="CE49" s="32">
        <f t="shared" si="23"/>
        <v>2.1845985800109231E-2</v>
      </c>
      <c r="CF49" s="32">
        <f t="shared" si="24"/>
        <v>4.3691971600218461E-2</v>
      </c>
      <c r="CG49" s="27">
        <v>61</v>
      </c>
      <c r="CH49" s="27">
        <f t="shared" si="25"/>
        <v>0.6350197793046013</v>
      </c>
      <c r="CI49" s="27">
        <f t="shared" si="26"/>
        <v>5.0801582344368104</v>
      </c>
      <c r="CJ49" s="58">
        <v>17</v>
      </c>
      <c r="CK49" s="58">
        <v>21.794871794871796</v>
      </c>
      <c r="CL49" s="58">
        <v>1.4157818030397669</v>
      </c>
      <c r="CM49" s="58">
        <v>1.4157818030397669</v>
      </c>
      <c r="CN49" s="28">
        <v>17</v>
      </c>
      <c r="CO49" s="28">
        <v>21.794871794871796</v>
      </c>
      <c r="CP49" s="28">
        <v>1.4157818030397669</v>
      </c>
      <c r="CQ49" s="28">
        <v>1.4157818030397669</v>
      </c>
      <c r="CR49" s="32">
        <f t="shared" si="27"/>
        <v>9.8821569852175717</v>
      </c>
      <c r="CS49" s="32">
        <v>9.8821569852175717</v>
      </c>
      <c r="CT49" s="32">
        <f t="shared" si="28"/>
        <v>10.582156985217571</v>
      </c>
      <c r="CU49" s="32">
        <f t="shared" si="29"/>
        <v>0.18947461029932983</v>
      </c>
      <c r="CV49" s="32">
        <f t="shared" si="30"/>
        <v>0.18947461029932983</v>
      </c>
      <c r="CW49" s="60">
        <f t="shared" si="31"/>
        <v>9.8821569852175717</v>
      </c>
      <c r="CX49" s="60">
        <v>9.8821569852175717</v>
      </c>
      <c r="CY49" s="60">
        <f t="shared" si="32"/>
        <v>10.582156985217571</v>
      </c>
      <c r="CZ49" s="60">
        <f t="shared" si="33"/>
        <v>0.18947461029932983</v>
      </c>
      <c r="DA49" s="60">
        <f t="shared" si="34"/>
        <v>0.18947461029932983</v>
      </c>
      <c r="DB49" s="32">
        <f t="shared" si="35"/>
        <v>5.0801582344368104</v>
      </c>
      <c r="DC49">
        <f t="shared" si="36"/>
        <v>1.6489483849393152</v>
      </c>
      <c r="DD49">
        <f t="shared" si="37"/>
        <v>2.6496870368581258E-2</v>
      </c>
      <c r="DE49">
        <f t="shared" si="38"/>
        <v>0.11490633183542788</v>
      </c>
      <c r="DF49">
        <f t="shared" si="39"/>
        <v>0.85859679779599085</v>
      </c>
      <c r="DG49">
        <f t="shared" si="40"/>
        <v>1.6489483849393152</v>
      </c>
      <c r="DH49">
        <f t="shared" si="41"/>
        <v>2.6496870368581258E-2</v>
      </c>
      <c r="DI49">
        <f t="shared" si="42"/>
        <v>0.11490633183542788</v>
      </c>
      <c r="DJ49">
        <f t="shared" si="43"/>
        <v>0.85859679779599085</v>
      </c>
      <c r="DK49" s="64">
        <f t="shared" si="44"/>
        <v>0.37458934746521799</v>
      </c>
      <c r="DL49" s="64">
        <f t="shared" si="45"/>
        <v>0.37458934746521799</v>
      </c>
      <c r="DM49" s="64">
        <f t="shared" si="46"/>
        <v>0.48649828467616607</v>
      </c>
      <c r="DN49" s="64">
        <f t="shared" si="47"/>
        <v>0.48649828467616607</v>
      </c>
      <c r="DO49" t="str">
        <f t="shared" si="48"/>
        <v>Insufficient Capacity</v>
      </c>
      <c r="DP49" t="str">
        <f t="shared" si="49"/>
        <v>Insufficient Capacity</v>
      </c>
    </row>
    <row r="50" spans="1:120" ht="15.75" x14ac:dyDescent="0.25">
      <c r="A50" s="3" t="s">
        <v>103</v>
      </c>
      <c r="B50" s="3" t="s">
        <v>103</v>
      </c>
      <c r="C50" s="2" t="s">
        <v>788</v>
      </c>
      <c r="D50" s="2" t="s">
        <v>492</v>
      </c>
      <c r="E50" s="2" t="s">
        <v>492</v>
      </c>
      <c r="F50" s="2">
        <v>49</v>
      </c>
      <c r="G50" s="2" t="s">
        <v>787</v>
      </c>
      <c r="H50" s="10" t="s">
        <v>656</v>
      </c>
      <c r="I50" s="2">
        <v>150</v>
      </c>
      <c r="J50" s="2">
        <v>100</v>
      </c>
      <c r="K50" s="12">
        <v>6.25</v>
      </c>
      <c r="L50" t="s">
        <v>278</v>
      </c>
      <c r="M50" s="2" t="s">
        <v>1120</v>
      </c>
      <c r="N50" s="2" t="s">
        <v>437</v>
      </c>
      <c r="O50" s="2" t="s">
        <v>666</v>
      </c>
      <c r="P50" s="2" t="s">
        <v>1131</v>
      </c>
      <c r="Q50" s="9" t="s">
        <v>737</v>
      </c>
      <c r="R50" s="2" t="str">
        <f t="shared" si="0"/>
        <v>CW_3_Section_2</v>
      </c>
      <c r="S50" s="2" t="str">
        <f t="shared" si="1"/>
        <v>CW_3_MF05</v>
      </c>
      <c r="T50" s="11" t="s">
        <v>751</v>
      </c>
      <c r="U50" s="1">
        <v>45582</v>
      </c>
      <c r="V50" s="2" t="s">
        <v>752</v>
      </c>
      <c r="W50" s="2" t="s">
        <v>655</v>
      </c>
      <c r="X50" s="2" t="s">
        <v>750</v>
      </c>
      <c r="Y50" s="2" t="str">
        <f t="shared" si="2"/>
        <v>T1_0.15-0.30</v>
      </c>
      <c r="Z50" t="s">
        <v>55</v>
      </c>
      <c r="AA50">
        <v>1.1000000000000001</v>
      </c>
      <c r="AB50">
        <v>2.1</v>
      </c>
      <c r="AC50">
        <v>1.8</v>
      </c>
      <c r="AD50" s="32">
        <f t="shared" si="3"/>
        <v>6.9133273588529E-4</v>
      </c>
      <c r="AE50">
        <v>0.02</v>
      </c>
      <c r="AF50" s="32">
        <f>($AE50/92140)*36</f>
        <v>7.8141957890167132E-6</v>
      </c>
      <c r="AG50">
        <v>3.3</v>
      </c>
      <c r="AH50" s="32">
        <f t="shared" si="4"/>
        <v>1.3054535179429217E-3</v>
      </c>
      <c r="AI50">
        <v>1.8</v>
      </c>
      <c r="AJ50" s="32">
        <f t="shared" si="5"/>
        <v>7.120655552415937E-4</v>
      </c>
      <c r="AK50">
        <v>1.7</v>
      </c>
      <c r="AL50" s="32">
        <f t="shared" si="6"/>
        <v>6.7250635772817175E-4</v>
      </c>
      <c r="AM50">
        <v>3.5</v>
      </c>
      <c r="AO50" s="49">
        <v>8.74</v>
      </c>
      <c r="AP50" s="49">
        <f t="shared" si="7"/>
        <v>2.0046004496172285E-3</v>
      </c>
      <c r="AQ50">
        <v>0.98</v>
      </c>
      <c r="AR50" s="32">
        <f t="shared" si="8"/>
        <v>3.6701256144183508E-4</v>
      </c>
      <c r="AS50" s="48">
        <v>0.85</v>
      </c>
      <c r="AT50" s="27">
        <f t="shared" si="9"/>
        <v>3.1832722165873448E-4</v>
      </c>
      <c r="AU50" s="48">
        <v>0.01</v>
      </c>
      <c r="AV50" s="27">
        <f t="shared" si="10"/>
        <v>3.6796110125501018E-6</v>
      </c>
      <c r="AW50" s="48">
        <v>0.01</v>
      </c>
      <c r="AX50" s="27">
        <f t="shared" si="11"/>
        <v>3.7611049867064394E-6</v>
      </c>
      <c r="AY50" s="48">
        <v>5.0000000000000001E-3</v>
      </c>
      <c r="AZ50" s="27">
        <f t="shared" si="12"/>
        <v>1.8649981951630372E-6</v>
      </c>
      <c r="BA50" s="48">
        <v>0.03</v>
      </c>
      <c r="BB50" s="27">
        <f t="shared" si="13"/>
        <v>1.110924086854065E-5</v>
      </c>
      <c r="BC50" s="48">
        <v>1E-3</v>
      </c>
      <c r="BD50" s="27">
        <f t="shared" si="14"/>
        <v>3.7030802895135499E-7</v>
      </c>
      <c r="BE50" s="48">
        <v>0.01</v>
      </c>
      <c r="BF50" s="27">
        <f t="shared" si="15"/>
        <v>3.6588380716934487E-6</v>
      </c>
      <c r="BG50" s="48">
        <v>2E-3</v>
      </c>
      <c r="BH50" s="27">
        <f t="shared" si="16"/>
        <v>7.3176761433868969E-7</v>
      </c>
      <c r="BI50" s="52">
        <f t="shared" si="17"/>
        <v>0.91800000000000004</v>
      </c>
      <c r="BJ50" s="52">
        <f t="shared" si="18"/>
        <v>6.8000000000000005E-2</v>
      </c>
      <c r="BK50" s="27">
        <f t="shared" si="19"/>
        <v>3.4350309043667816E-4</v>
      </c>
      <c r="BL50" s="27">
        <f t="shared" si="20"/>
        <v>2.5175868777943722E-5</v>
      </c>
      <c r="BM50">
        <v>2.5</v>
      </c>
      <c r="BN50">
        <v>2.5</v>
      </c>
      <c r="BO50" t="s">
        <v>19</v>
      </c>
      <c r="BP50">
        <v>5</v>
      </c>
      <c r="BQ50">
        <v>70</v>
      </c>
      <c r="BR50">
        <v>0.2</v>
      </c>
      <c r="BS50">
        <v>0.26</v>
      </c>
      <c r="BT50">
        <v>8.81</v>
      </c>
      <c r="BU50">
        <v>13.8</v>
      </c>
      <c r="BV50">
        <v>-55</v>
      </c>
      <c r="BW50">
        <v>7.08</v>
      </c>
      <c r="BX50">
        <v>496</v>
      </c>
      <c r="BY50">
        <v>0.2</v>
      </c>
      <c r="BZ50">
        <v>0.01</v>
      </c>
      <c r="CA50" s="32">
        <v>1.4</v>
      </c>
      <c r="CB50" s="32">
        <f t="shared" si="21"/>
        <v>2.506714413607878E-2</v>
      </c>
      <c r="CC50" s="32">
        <f t="shared" si="22"/>
        <v>2.506714413607878E-2</v>
      </c>
      <c r="CD50" s="32">
        <v>6</v>
      </c>
      <c r="CE50" s="32">
        <f t="shared" si="23"/>
        <v>0.10922992900054615</v>
      </c>
      <c r="CF50" s="32">
        <f t="shared" si="24"/>
        <v>0.2184598580010923</v>
      </c>
      <c r="CG50" s="27">
        <v>36</v>
      </c>
      <c r="CH50" s="27">
        <f t="shared" si="25"/>
        <v>0.37476577139287942</v>
      </c>
      <c r="CI50" s="27">
        <f t="shared" si="26"/>
        <v>2.9981261711430354</v>
      </c>
      <c r="CJ50" s="58">
        <v>42</v>
      </c>
      <c r="CK50" s="58">
        <v>53.846153846153847</v>
      </c>
      <c r="CL50" s="58">
        <v>3.4978138663335416</v>
      </c>
      <c r="CM50" s="58">
        <v>3.4978138663335416</v>
      </c>
      <c r="CN50" s="28">
        <v>-35.5</v>
      </c>
      <c r="CO50" s="28">
        <v>-7100</v>
      </c>
      <c r="CP50" s="28">
        <v>-2.9564855298771602</v>
      </c>
      <c r="CR50" s="32">
        <f t="shared" si="27"/>
        <v>24.414740787008117</v>
      </c>
      <c r="CS50" s="32">
        <v>24.414740787008117</v>
      </c>
      <c r="CT50" s="32">
        <f t="shared" si="28"/>
        <v>25.814740787008116</v>
      </c>
      <c r="CU50" s="32">
        <f t="shared" si="29"/>
        <v>0.46221559153103159</v>
      </c>
      <c r="CV50" s="32">
        <f t="shared" si="30"/>
        <v>0.46221559153103159</v>
      </c>
      <c r="CW50" s="60">
        <f t="shared" si="31"/>
        <v>-20.636268998542576</v>
      </c>
      <c r="CY50" s="60">
        <f t="shared" si="32"/>
        <v>1.4</v>
      </c>
      <c r="CZ50" s="60">
        <f t="shared" si="33"/>
        <v>2.506714413607878E-2</v>
      </c>
      <c r="DA50" s="60">
        <f t="shared" si="34"/>
        <v>2.506714413607878E-2</v>
      </c>
      <c r="DB50" s="32">
        <f t="shared" si="35"/>
        <v>2.9981261711430354</v>
      </c>
      <c r="DC50">
        <f t="shared" si="36"/>
        <v>4.1784893158656651</v>
      </c>
      <c r="DD50">
        <f t="shared" si="37"/>
        <v>5.2282019047315331E-2</v>
      </c>
      <c r="DE50">
        <f t="shared" si="38"/>
        <v>0.11061787085969216</v>
      </c>
      <c r="DF50">
        <f t="shared" si="39"/>
        <v>0.83710011009299257</v>
      </c>
      <c r="DG50">
        <f t="shared" si="40"/>
        <v>0.24352700213717107</v>
      </c>
      <c r="DH50">
        <f t="shared" si="41"/>
        <v>0.89706626404426704</v>
      </c>
      <c r="DI50">
        <f t="shared" si="42"/>
        <v>0.10293373595573295</v>
      </c>
      <c r="DJ50">
        <f t="shared" si="43"/>
        <v>0</v>
      </c>
      <c r="DK50" s="64">
        <f t="shared" si="44"/>
        <v>-4.1761177028546062</v>
      </c>
      <c r="DL50" s="64">
        <f t="shared" si="45"/>
        <v>-0.24115538912611201</v>
      </c>
      <c r="DM50" s="64">
        <f t="shared" si="46"/>
        <v>-4.176092526985828</v>
      </c>
      <c r="DN50" s="64">
        <f t="shared" si="47"/>
        <v>-0.24113021325733405</v>
      </c>
      <c r="DO50" t="str">
        <f t="shared" si="48"/>
        <v>Sufficient Capacity</v>
      </c>
      <c r="DP50" t="str">
        <f t="shared" si="49"/>
        <v>Sufficient Capacity</v>
      </c>
    </row>
    <row r="51" spans="1:120" ht="15.75" x14ac:dyDescent="0.25">
      <c r="A51" s="3" t="s">
        <v>104</v>
      </c>
      <c r="B51" s="3" t="s">
        <v>104</v>
      </c>
      <c r="C51" s="2" t="s">
        <v>790</v>
      </c>
      <c r="D51" s="2" t="s">
        <v>493</v>
      </c>
      <c r="E51" s="2" t="s">
        <v>493</v>
      </c>
      <c r="F51" s="2">
        <v>50</v>
      </c>
      <c r="G51" s="2" t="s">
        <v>789</v>
      </c>
      <c r="H51" s="10" t="s">
        <v>656</v>
      </c>
      <c r="I51" s="2">
        <v>150</v>
      </c>
      <c r="J51" s="2">
        <v>100</v>
      </c>
      <c r="K51" s="12">
        <v>8.9499999999999993</v>
      </c>
      <c r="L51" t="s">
        <v>279</v>
      </c>
      <c r="M51" s="2" t="s">
        <v>1120</v>
      </c>
      <c r="N51" s="2" t="s">
        <v>437</v>
      </c>
      <c r="O51" s="2" t="s">
        <v>666</v>
      </c>
      <c r="P51" s="2" t="s">
        <v>1132</v>
      </c>
      <c r="Q51" s="9" t="s">
        <v>740</v>
      </c>
      <c r="R51" s="2" t="str">
        <f t="shared" si="0"/>
        <v>CW_3_Section_2</v>
      </c>
      <c r="S51" s="2" t="str">
        <f t="shared" si="1"/>
        <v>CW_3_MF06</v>
      </c>
      <c r="T51" s="11" t="s">
        <v>751</v>
      </c>
      <c r="U51" s="1">
        <v>45582</v>
      </c>
      <c r="V51" s="2" t="s">
        <v>752</v>
      </c>
      <c r="W51" s="2" t="s">
        <v>663</v>
      </c>
      <c r="X51" s="2" t="s">
        <v>750</v>
      </c>
      <c r="Y51" s="2" t="str">
        <f t="shared" si="2"/>
        <v>T1_0.60-0.80</v>
      </c>
      <c r="Z51" t="s">
        <v>57</v>
      </c>
      <c r="AA51">
        <v>9.6999999999999993</v>
      </c>
      <c r="AB51">
        <v>13</v>
      </c>
      <c r="AC51">
        <v>440</v>
      </c>
      <c r="AD51" s="32">
        <f t="shared" si="3"/>
        <v>0.16899244654973755</v>
      </c>
      <c r="AE51">
        <v>29</v>
      </c>
      <c r="AF51" s="32">
        <f>($AE51/92140)*36</f>
        <v>1.1330583894074235E-2</v>
      </c>
      <c r="AG51">
        <v>370</v>
      </c>
      <c r="AH51" s="32">
        <f t="shared" si="4"/>
        <v>0.14636903079966093</v>
      </c>
      <c r="AI51">
        <v>140</v>
      </c>
      <c r="AJ51" s="32">
        <f t="shared" si="5"/>
        <v>5.5382876518790619E-2</v>
      </c>
      <c r="AK51">
        <v>150</v>
      </c>
      <c r="AL51" s="32">
        <f t="shared" si="6"/>
        <v>5.9338796270132804E-2</v>
      </c>
      <c r="AM51">
        <v>290</v>
      </c>
      <c r="AO51" s="49">
        <v>1129</v>
      </c>
      <c r="AP51" s="49">
        <f t="shared" si="7"/>
        <v>0.32669206124347272</v>
      </c>
      <c r="AQ51">
        <v>2300</v>
      </c>
      <c r="AR51" s="32">
        <f t="shared" si="8"/>
        <v>0.8613560115471639</v>
      </c>
      <c r="AS51" s="48">
        <v>3000</v>
      </c>
      <c r="AT51" s="27">
        <f t="shared" si="9"/>
        <v>1.1235078411484747</v>
      </c>
      <c r="AU51" s="48">
        <v>120</v>
      </c>
      <c r="AV51" s="27">
        <f t="shared" si="10"/>
        <v>4.4155332150601224E-2</v>
      </c>
      <c r="AW51" s="48">
        <v>110</v>
      </c>
      <c r="AX51" s="27">
        <f t="shared" si="11"/>
        <v>4.1372154853770833E-2</v>
      </c>
      <c r="AY51" s="48">
        <v>47</v>
      </c>
      <c r="AZ51" s="27">
        <f t="shared" si="12"/>
        <v>1.7530983034532547E-2</v>
      </c>
      <c r="BA51" s="48">
        <v>29</v>
      </c>
      <c r="BB51" s="27">
        <f t="shared" si="13"/>
        <v>1.0738932839589295E-2</v>
      </c>
      <c r="BC51" s="48">
        <v>4.7</v>
      </c>
      <c r="BD51" s="27">
        <f t="shared" si="14"/>
        <v>1.7404477360713684E-3</v>
      </c>
      <c r="BE51" s="48">
        <v>1.2</v>
      </c>
      <c r="BF51" s="27">
        <f t="shared" si="15"/>
        <v>4.3906056860321384E-4</v>
      </c>
      <c r="BG51" s="48">
        <v>1.2</v>
      </c>
      <c r="BH51" s="27">
        <f t="shared" si="16"/>
        <v>4.3906056860321384E-4</v>
      </c>
      <c r="BI51" s="52">
        <f t="shared" si="17"/>
        <v>3313.0999999999995</v>
      </c>
      <c r="BJ51" s="52">
        <f t="shared" si="18"/>
        <v>313.09999999999997</v>
      </c>
      <c r="BK51" s="27">
        <f t="shared" si="19"/>
        <v>1.2399238129002466</v>
      </c>
      <c r="BL51" s="27">
        <f t="shared" si="20"/>
        <v>0.11641597175177168</v>
      </c>
      <c r="BM51">
        <v>4700</v>
      </c>
      <c r="BN51">
        <v>1500</v>
      </c>
      <c r="BO51" t="s">
        <v>19</v>
      </c>
      <c r="BP51">
        <v>6200</v>
      </c>
      <c r="BQ51">
        <v>68</v>
      </c>
      <c r="BR51">
        <v>29</v>
      </c>
      <c r="BS51">
        <v>0.68</v>
      </c>
      <c r="BT51">
        <v>0.51</v>
      </c>
      <c r="BU51">
        <v>12.8</v>
      </c>
      <c r="BV51">
        <v>-109</v>
      </c>
      <c r="BW51">
        <v>7.05</v>
      </c>
      <c r="BX51">
        <v>593</v>
      </c>
      <c r="BY51">
        <v>0.2</v>
      </c>
      <c r="BZ51">
        <v>0.01</v>
      </c>
      <c r="CA51" s="32">
        <v>0.6</v>
      </c>
      <c r="CB51" s="32">
        <f t="shared" si="21"/>
        <v>1.0743061772605192E-2</v>
      </c>
      <c r="CC51" s="32">
        <f t="shared" si="22"/>
        <v>1.0743061772605192E-2</v>
      </c>
      <c r="CD51" s="32">
        <v>1.1000000000000001</v>
      </c>
      <c r="CE51" s="32">
        <f t="shared" si="23"/>
        <v>2.0025486983433462E-2</v>
      </c>
      <c r="CF51" s="32">
        <f t="shared" si="24"/>
        <v>4.0050973966866923E-2</v>
      </c>
      <c r="CG51" s="27">
        <v>70</v>
      </c>
      <c r="CH51" s="27">
        <f t="shared" si="25"/>
        <v>0.72871122215282114</v>
      </c>
      <c r="CI51" s="27">
        <f t="shared" si="26"/>
        <v>5.8296897772225691</v>
      </c>
      <c r="CJ51" s="58">
        <v>8</v>
      </c>
      <c r="CK51" s="58">
        <v>10.256410256410255</v>
      </c>
      <c r="CL51" s="58">
        <v>0.66625026025400791</v>
      </c>
      <c r="CM51" s="58">
        <v>0.66625026025400791</v>
      </c>
      <c r="CN51" s="28">
        <v>-9</v>
      </c>
      <c r="CO51" s="28">
        <v>-14.754098360655737</v>
      </c>
      <c r="CP51" s="28">
        <v>-0.74953154278575884</v>
      </c>
      <c r="CR51" s="32">
        <f t="shared" si="27"/>
        <v>4.650426816572975</v>
      </c>
      <c r="CS51" s="32">
        <v>4.650426816572975</v>
      </c>
      <c r="CT51" s="32">
        <f t="shared" si="28"/>
        <v>5.2504268165729746</v>
      </c>
      <c r="CU51" s="32">
        <f t="shared" si="29"/>
        <v>9.4009432704977164E-2</v>
      </c>
      <c r="CV51" s="32">
        <f t="shared" si="30"/>
        <v>9.4009432704977164E-2</v>
      </c>
      <c r="CW51" s="60">
        <f t="shared" si="31"/>
        <v>-5.2317301686445967</v>
      </c>
      <c r="CY51" s="60">
        <f t="shared" si="32"/>
        <v>0.6</v>
      </c>
      <c r="CZ51" s="60">
        <f t="shared" si="33"/>
        <v>1.0743061772605192E-2</v>
      </c>
      <c r="DA51" s="60">
        <f t="shared" si="34"/>
        <v>1.0743061772605192E-2</v>
      </c>
      <c r="DB51" s="32">
        <f t="shared" si="35"/>
        <v>5.8296897772225691</v>
      </c>
      <c r="DC51">
        <f t="shared" si="36"/>
        <v>0.80031066692585195</v>
      </c>
      <c r="DD51">
        <f t="shared" si="37"/>
        <v>5.0044283578913745E-2</v>
      </c>
      <c r="DE51">
        <f t="shared" si="38"/>
        <v>0.11746617481194593</v>
      </c>
      <c r="DF51">
        <f t="shared" si="39"/>
        <v>0.83248954160914035</v>
      </c>
      <c r="DG51">
        <f t="shared" si="40"/>
        <v>5.0794035739472117E-2</v>
      </c>
      <c r="DH51">
        <f t="shared" si="41"/>
        <v>0.7884975742485304</v>
      </c>
      <c r="DI51">
        <f t="shared" si="42"/>
        <v>0.21150242575146955</v>
      </c>
      <c r="DJ51">
        <f t="shared" si="43"/>
        <v>0</v>
      </c>
      <c r="DK51" s="64">
        <f t="shared" si="44"/>
        <v>0.38773740586478467</v>
      </c>
      <c r="DL51" s="64">
        <f t="shared" si="45"/>
        <v>1.1372540370511646</v>
      </c>
      <c r="DM51" s="64">
        <f t="shared" si="46"/>
        <v>0.50415337761655632</v>
      </c>
      <c r="DN51" s="64">
        <f t="shared" si="47"/>
        <v>1.2536700088029362</v>
      </c>
      <c r="DO51" t="str">
        <f t="shared" si="48"/>
        <v>Insufficient Capacity</v>
      </c>
      <c r="DP51" t="str">
        <f t="shared" si="49"/>
        <v>Insufficient Capacity</v>
      </c>
    </row>
    <row r="52" spans="1:120" ht="15.75" x14ac:dyDescent="0.25">
      <c r="A52" s="3" t="s">
        <v>105</v>
      </c>
      <c r="B52" s="3" t="s">
        <v>105</v>
      </c>
      <c r="C52" s="2" t="s">
        <v>792</v>
      </c>
      <c r="D52" s="2" t="s">
        <v>494</v>
      </c>
      <c r="E52" s="2" t="s">
        <v>494</v>
      </c>
      <c r="F52" s="2">
        <v>51</v>
      </c>
      <c r="G52" s="2" t="s">
        <v>791</v>
      </c>
      <c r="H52" s="10" t="s">
        <v>656</v>
      </c>
      <c r="I52" s="2">
        <v>150</v>
      </c>
      <c r="J52" s="2">
        <v>100</v>
      </c>
      <c r="K52" s="12">
        <v>9.9</v>
      </c>
      <c r="L52" t="s">
        <v>280</v>
      </c>
      <c r="M52" s="2" t="s">
        <v>1120</v>
      </c>
      <c r="N52" s="2" t="s">
        <v>437</v>
      </c>
      <c r="O52" s="2" t="s">
        <v>673</v>
      </c>
      <c r="P52" s="2" t="s">
        <v>1127</v>
      </c>
      <c r="Q52" s="9" t="s">
        <v>743</v>
      </c>
      <c r="R52" s="2" t="str">
        <f t="shared" si="0"/>
        <v>CW_3_Section_3</v>
      </c>
      <c r="S52" s="2" t="str">
        <f t="shared" si="1"/>
        <v>CW_3_MF09</v>
      </c>
      <c r="T52" s="11" t="s">
        <v>751</v>
      </c>
      <c r="U52" s="1">
        <v>45582</v>
      </c>
      <c r="V52" s="2" t="s">
        <v>752</v>
      </c>
      <c r="W52" s="2" t="s">
        <v>655</v>
      </c>
      <c r="X52" s="2" t="s">
        <v>750</v>
      </c>
      <c r="Y52" s="2" t="str">
        <f t="shared" si="2"/>
        <v>T1_0.15-0.30</v>
      </c>
      <c r="Z52" t="s">
        <v>59</v>
      </c>
      <c r="AA52">
        <v>22</v>
      </c>
      <c r="AB52">
        <v>22</v>
      </c>
      <c r="AC52">
        <v>43</v>
      </c>
      <c r="AD52" s="32">
        <f t="shared" si="3"/>
        <v>1.651517091281526E-2</v>
      </c>
      <c r="AE52">
        <v>1.2</v>
      </c>
      <c r="AF52" s="32">
        <f>($AE52/92140)*36</f>
        <v>4.6885174734100283E-4</v>
      </c>
      <c r="AG52">
        <v>26</v>
      </c>
      <c r="AH52" s="32">
        <f t="shared" si="4"/>
        <v>1.0285391353489687E-2</v>
      </c>
      <c r="AI52">
        <v>9.4</v>
      </c>
      <c r="AJ52" s="32">
        <f t="shared" si="5"/>
        <v>3.7185645662616562E-3</v>
      </c>
      <c r="AK52">
        <v>9.9</v>
      </c>
      <c r="AL52" s="32">
        <f t="shared" si="6"/>
        <v>3.9163605538287656E-3</v>
      </c>
      <c r="AM52">
        <v>19.3</v>
      </c>
      <c r="AO52" s="49">
        <v>89.5</v>
      </c>
      <c r="AP52" s="49">
        <f t="shared" si="7"/>
        <v>2.7269414013645951E-2</v>
      </c>
      <c r="AQ52">
        <v>190</v>
      </c>
      <c r="AR52" s="32">
        <f t="shared" si="8"/>
        <v>7.1155496606070068E-2</v>
      </c>
      <c r="AS52" s="48">
        <v>110</v>
      </c>
      <c r="AT52" s="27">
        <f t="shared" si="9"/>
        <v>4.1195287508777406E-2</v>
      </c>
      <c r="AU52" s="48">
        <v>0.5</v>
      </c>
      <c r="AV52" s="27">
        <f t="shared" si="10"/>
        <v>1.8398055062750508E-4</v>
      </c>
      <c r="AW52" s="48">
        <v>0.5</v>
      </c>
      <c r="AX52" s="27">
        <f t="shared" si="11"/>
        <v>1.8805524933532196E-4</v>
      </c>
      <c r="AY52" s="48">
        <v>0.25</v>
      </c>
      <c r="AZ52" s="27">
        <f t="shared" si="12"/>
        <v>9.3249909758151843E-5</v>
      </c>
      <c r="BA52" s="48">
        <v>0.05</v>
      </c>
      <c r="BB52" s="27">
        <f t="shared" si="13"/>
        <v>1.8515401447567749E-5</v>
      </c>
      <c r="BC52" s="48">
        <v>0.05</v>
      </c>
      <c r="BD52" s="27">
        <f t="shared" si="14"/>
        <v>1.8515401447567749E-5</v>
      </c>
      <c r="BE52" s="48">
        <v>1E-3</v>
      </c>
      <c r="BF52" s="27">
        <f t="shared" si="15"/>
        <v>3.6588380716934485E-7</v>
      </c>
      <c r="BG52" s="48">
        <v>2E-3</v>
      </c>
      <c r="BH52" s="27">
        <f t="shared" si="16"/>
        <v>7.3176761433868969E-7</v>
      </c>
      <c r="BI52" s="52">
        <f t="shared" si="17"/>
        <v>111.35299999999999</v>
      </c>
      <c r="BJ52" s="52">
        <f t="shared" si="18"/>
        <v>1.353</v>
      </c>
      <c r="BK52" s="27">
        <f t="shared" si="19"/>
        <v>4.1698701672815024E-2</v>
      </c>
      <c r="BL52" s="27">
        <f t="shared" si="20"/>
        <v>5.0341416403762245E-4</v>
      </c>
      <c r="BM52">
        <v>230</v>
      </c>
      <c r="BN52">
        <v>50</v>
      </c>
      <c r="BO52" t="s">
        <v>19</v>
      </c>
      <c r="BP52">
        <v>280</v>
      </c>
      <c r="BQ52">
        <v>56</v>
      </c>
      <c r="BR52">
        <v>17</v>
      </c>
      <c r="BS52">
        <v>2.2999999999999998</v>
      </c>
      <c r="BT52">
        <v>6.88</v>
      </c>
      <c r="BU52">
        <v>12.8</v>
      </c>
      <c r="BV52">
        <v>-99</v>
      </c>
      <c r="BW52">
        <v>6.9</v>
      </c>
      <c r="BX52">
        <v>606</v>
      </c>
      <c r="BY52">
        <v>0.2</v>
      </c>
      <c r="BZ52">
        <v>0.01</v>
      </c>
      <c r="CA52" s="32">
        <v>25</v>
      </c>
      <c r="CB52" s="32">
        <f t="shared" si="21"/>
        <v>0.44762757385854968</v>
      </c>
      <c r="CC52" s="32">
        <f t="shared" si="22"/>
        <v>0.44762757385854968</v>
      </c>
      <c r="CD52" s="32">
        <v>5.0999999999999996</v>
      </c>
      <c r="CE52" s="32">
        <f t="shared" si="23"/>
        <v>9.2845439650464226E-2</v>
      </c>
      <c r="CF52" s="32">
        <f t="shared" si="24"/>
        <v>0.18569087930092845</v>
      </c>
      <c r="CG52" s="27">
        <v>0.5</v>
      </c>
      <c r="CH52" s="27">
        <f t="shared" si="25"/>
        <v>5.2050801582344368E-3</v>
      </c>
      <c r="CI52" s="27">
        <f t="shared" si="26"/>
        <v>4.1640641265875494E-2</v>
      </c>
      <c r="CJ52" s="58">
        <v>77.5</v>
      </c>
      <c r="CK52" s="58">
        <v>99.358974358974365</v>
      </c>
      <c r="CL52" s="58">
        <v>6.4542993962107014</v>
      </c>
      <c r="CM52" s="58">
        <v>6.4542993962107014</v>
      </c>
      <c r="CN52" s="28">
        <v>35.5</v>
      </c>
      <c r="CO52" s="28">
        <v>98.611111111111114</v>
      </c>
      <c r="CP52" s="28">
        <v>2.9564855298771602</v>
      </c>
      <c r="CQ52" s="28">
        <v>2.9564855298771602</v>
      </c>
      <c r="CR52" s="32">
        <f t="shared" si="27"/>
        <v>45.051009785550697</v>
      </c>
      <c r="CS52" s="32">
        <v>45.051009785550697</v>
      </c>
      <c r="CT52" s="32">
        <f t="shared" si="28"/>
        <v>70.05100978555069</v>
      </c>
      <c r="CU52" s="32">
        <f t="shared" si="29"/>
        <v>1.2542705422659031</v>
      </c>
      <c r="CV52" s="32">
        <f t="shared" si="30"/>
        <v>1.2542705422659031</v>
      </c>
      <c r="CW52" s="60">
        <f t="shared" si="31"/>
        <v>20.636268998542576</v>
      </c>
      <c r="CX52" s="60">
        <v>20.636268998542576</v>
      </c>
      <c r="CY52" s="60">
        <f t="shared" si="32"/>
        <v>45.636268998542576</v>
      </c>
      <c r="CZ52" s="60">
        <f t="shared" si="33"/>
        <v>0.81712209487095033</v>
      </c>
      <c r="DA52" s="60">
        <f t="shared" si="34"/>
        <v>0.81712209487095033</v>
      </c>
      <c r="DB52" s="32">
        <f t="shared" si="35"/>
        <v>4.1640641265875494E-2</v>
      </c>
      <c r="DC52">
        <f t="shared" si="36"/>
        <v>7.8942608177775329</v>
      </c>
      <c r="DD52">
        <f t="shared" si="37"/>
        <v>2.3522263019580079E-2</v>
      </c>
      <c r="DE52">
        <f t="shared" si="38"/>
        <v>0.15888384881347475</v>
      </c>
      <c r="DF52">
        <f t="shared" si="39"/>
        <v>0.81759388816694523</v>
      </c>
      <c r="DG52">
        <f t="shared" si="40"/>
        <v>3.9592985040490389</v>
      </c>
      <c r="DH52">
        <f t="shared" si="41"/>
        <v>4.6899944298473266E-2</v>
      </c>
      <c r="DI52">
        <f t="shared" si="42"/>
        <v>0.20638052272020097</v>
      </c>
      <c r="DJ52">
        <f t="shared" si="43"/>
        <v>0.74671953298132576</v>
      </c>
      <c r="DK52" s="64">
        <f t="shared" si="44"/>
        <v>-7.7958359071578167</v>
      </c>
      <c r="DL52" s="64">
        <f t="shared" si="45"/>
        <v>-3.8608735934293228</v>
      </c>
      <c r="DM52" s="64">
        <f t="shared" si="46"/>
        <v>-7.7953324929937793</v>
      </c>
      <c r="DN52" s="64">
        <f t="shared" si="47"/>
        <v>-3.8603701792652854</v>
      </c>
      <c r="DO52" t="str">
        <f t="shared" si="48"/>
        <v>Sufficient Capacity</v>
      </c>
      <c r="DP52" t="str">
        <f t="shared" si="49"/>
        <v>Sufficient Capacity</v>
      </c>
    </row>
    <row r="53" spans="1:120" ht="15.75" x14ac:dyDescent="0.25">
      <c r="A53" s="3" t="s">
        <v>106</v>
      </c>
      <c r="B53" s="3" t="s">
        <v>106</v>
      </c>
      <c r="C53" s="2" t="s">
        <v>794</v>
      </c>
      <c r="D53" s="2" t="s">
        <v>495</v>
      </c>
      <c r="E53" s="2" t="s">
        <v>495</v>
      </c>
      <c r="F53" s="2">
        <v>52</v>
      </c>
      <c r="G53" s="2" t="s">
        <v>793</v>
      </c>
      <c r="H53" s="10" t="s">
        <v>656</v>
      </c>
      <c r="I53" s="2">
        <v>150</v>
      </c>
      <c r="J53" s="2">
        <v>100</v>
      </c>
      <c r="K53" s="12">
        <v>7.5</v>
      </c>
      <c r="L53" t="s">
        <v>281</v>
      </c>
      <c r="M53" s="2" t="s">
        <v>1120</v>
      </c>
      <c r="N53" s="2" t="s">
        <v>437</v>
      </c>
      <c r="O53" s="2" t="s">
        <v>673</v>
      </c>
      <c r="P53" s="2" t="s">
        <v>1128</v>
      </c>
      <c r="Q53" s="9" t="s">
        <v>746</v>
      </c>
      <c r="R53" s="2" t="str">
        <f t="shared" si="0"/>
        <v>CW_3_Section_3</v>
      </c>
      <c r="S53" s="2" t="str">
        <f t="shared" si="1"/>
        <v>CW_3_MF10</v>
      </c>
      <c r="T53" s="11" t="s">
        <v>751</v>
      </c>
      <c r="U53" s="1">
        <v>45582</v>
      </c>
      <c r="V53" s="2" t="s">
        <v>752</v>
      </c>
      <c r="W53" s="2" t="s">
        <v>663</v>
      </c>
      <c r="X53" s="2" t="s">
        <v>750</v>
      </c>
      <c r="Y53" s="2" t="str">
        <f t="shared" si="2"/>
        <v>T1_0.60-0.80</v>
      </c>
      <c r="Z53" t="s">
        <v>61</v>
      </c>
      <c r="AA53">
        <v>11</v>
      </c>
      <c r="AB53">
        <v>11</v>
      </c>
      <c r="AC53">
        <v>660</v>
      </c>
      <c r="AD53" s="32">
        <f t="shared" si="3"/>
        <v>0.25348866982460633</v>
      </c>
      <c r="AE53">
        <v>1</v>
      </c>
      <c r="AF53" s="32">
        <f>($AE53/92140)*36</f>
        <v>3.9070978945083569E-4</v>
      </c>
      <c r="AG53">
        <v>500</v>
      </c>
      <c r="AH53" s="32">
        <f t="shared" si="4"/>
        <v>0.19779598756710934</v>
      </c>
      <c r="AI53">
        <v>150</v>
      </c>
      <c r="AJ53" s="32">
        <f t="shared" si="5"/>
        <v>5.9338796270132804E-2</v>
      </c>
      <c r="AK53">
        <v>110</v>
      </c>
      <c r="AL53" s="32">
        <f t="shared" si="6"/>
        <v>4.3515117264764057E-2</v>
      </c>
      <c r="AM53">
        <v>260</v>
      </c>
      <c r="AO53" s="49">
        <v>1427</v>
      </c>
      <c r="AP53" s="49">
        <f t="shared" si="7"/>
        <v>0.45167536718116652</v>
      </c>
      <c r="AQ53">
        <v>2100</v>
      </c>
      <c r="AR53" s="32">
        <f t="shared" si="8"/>
        <v>0.78645548880393235</v>
      </c>
      <c r="AS53" s="48">
        <v>1900</v>
      </c>
      <c r="AT53" s="27">
        <f t="shared" si="9"/>
        <v>0.71155496606070068</v>
      </c>
      <c r="AU53" s="48">
        <v>120</v>
      </c>
      <c r="AV53" s="27">
        <f t="shared" si="10"/>
        <v>4.4155332150601224E-2</v>
      </c>
      <c r="AW53" s="48">
        <v>93</v>
      </c>
      <c r="AX53" s="27">
        <f t="shared" si="11"/>
        <v>3.4978276376369882E-2</v>
      </c>
      <c r="AY53" s="48">
        <v>30</v>
      </c>
      <c r="AZ53" s="27">
        <f t="shared" si="12"/>
        <v>1.1189989170978222E-2</v>
      </c>
      <c r="BA53" s="48">
        <v>9</v>
      </c>
      <c r="BB53" s="27">
        <f t="shared" si="13"/>
        <v>3.332772260562195E-3</v>
      </c>
      <c r="BC53" s="48">
        <v>1.4</v>
      </c>
      <c r="BD53" s="27">
        <f t="shared" si="14"/>
        <v>5.1843124053189689E-4</v>
      </c>
      <c r="BE53" s="48">
        <v>0.06</v>
      </c>
      <c r="BF53" s="27">
        <f t="shared" si="15"/>
        <v>2.1953028430160689E-5</v>
      </c>
      <c r="BG53" s="48">
        <v>0.03</v>
      </c>
      <c r="BH53" s="27">
        <f t="shared" si="16"/>
        <v>1.0976514215080345E-5</v>
      </c>
      <c r="BI53" s="52">
        <f t="shared" si="17"/>
        <v>2153.4900000000002</v>
      </c>
      <c r="BJ53" s="52">
        <f t="shared" si="18"/>
        <v>253.49</v>
      </c>
      <c r="BK53" s="27">
        <f t="shared" si="19"/>
        <v>0.80576269680238921</v>
      </c>
      <c r="BL53" s="27">
        <f t="shared" si="20"/>
        <v>9.4207730741688658E-2</v>
      </c>
      <c r="BM53">
        <v>3700</v>
      </c>
      <c r="BN53">
        <v>980</v>
      </c>
      <c r="BO53" t="s">
        <v>19</v>
      </c>
      <c r="BP53">
        <v>4700</v>
      </c>
      <c r="BQ53">
        <v>68</v>
      </c>
      <c r="BR53">
        <v>29</v>
      </c>
      <c r="BS53">
        <v>0.68</v>
      </c>
      <c r="BT53">
        <v>0.53</v>
      </c>
      <c r="BU53">
        <v>12.9</v>
      </c>
      <c r="BV53">
        <v>-84</v>
      </c>
      <c r="BW53">
        <v>7.21</v>
      </c>
      <c r="BX53">
        <v>470</v>
      </c>
      <c r="BY53">
        <v>0.2</v>
      </c>
      <c r="BZ53">
        <v>0.01</v>
      </c>
      <c r="CA53" s="32">
        <v>1.2</v>
      </c>
      <c r="CB53" s="32">
        <f t="shared" si="21"/>
        <v>2.1486123545210383E-2</v>
      </c>
      <c r="CC53" s="32">
        <f t="shared" si="22"/>
        <v>2.1486123545210383E-2</v>
      </c>
      <c r="CD53" s="32">
        <v>1.6</v>
      </c>
      <c r="CE53" s="32">
        <f t="shared" si="23"/>
        <v>2.912798106681231E-2</v>
      </c>
      <c r="CF53" s="32">
        <f t="shared" si="24"/>
        <v>5.825596213362462E-2</v>
      </c>
      <c r="CG53" s="27">
        <v>50</v>
      </c>
      <c r="CH53" s="27">
        <f t="shared" si="25"/>
        <v>0.52050801582344364</v>
      </c>
      <c r="CI53" s="27">
        <f t="shared" si="26"/>
        <v>4.1640641265875491</v>
      </c>
      <c r="CJ53" s="58">
        <v>28</v>
      </c>
      <c r="CK53" s="58">
        <v>35.897435897435898</v>
      </c>
      <c r="CL53" s="58">
        <v>2.3318759108890275</v>
      </c>
      <c r="CM53" s="58">
        <v>2.3318759108890275</v>
      </c>
      <c r="CN53" s="28">
        <v>20</v>
      </c>
      <c r="CO53" s="28">
        <v>28.571428571428569</v>
      </c>
      <c r="CP53" s="28">
        <v>1.6656256506350198</v>
      </c>
      <c r="CQ53" s="28">
        <v>1.6656256506350198</v>
      </c>
      <c r="CR53" s="32">
        <f t="shared" si="27"/>
        <v>16.276493858005413</v>
      </c>
      <c r="CS53" s="32">
        <v>16.276493858005413</v>
      </c>
      <c r="CT53" s="32">
        <f t="shared" si="28"/>
        <v>17.476493858005412</v>
      </c>
      <c r="CU53" s="32">
        <f t="shared" si="29"/>
        <v>0.31291842180851231</v>
      </c>
      <c r="CV53" s="32">
        <f t="shared" si="30"/>
        <v>0.31291842180851231</v>
      </c>
      <c r="CW53" s="60">
        <f t="shared" si="31"/>
        <v>11.626067041432437</v>
      </c>
      <c r="CX53" s="60">
        <v>11.626067041432437</v>
      </c>
      <c r="CY53" s="60">
        <f t="shared" si="32"/>
        <v>12.826067041432436</v>
      </c>
      <c r="CZ53" s="60">
        <f t="shared" si="33"/>
        <v>0.2296520508761403</v>
      </c>
      <c r="DA53" s="60">
        <f t="shared" si="34"/>
        <v>0.2296520508761403</v>
      </c>
      <c r="DB53" s="32">
        <f t="shared" si="35"/>
        <v>4.1640641265875491</v>
      </c>
      <c r="DC53">
        <f t="shared" si="36"/>
        <v>2.7030502948311645</v>
      </c>
      <c r="DD53">
        <f t="shared" si="37"/>
        <v>2.1551934214847211E-2</v>
      </c>
      <c r="DE53">
        <f t="shared" si="38"/>
        <v>0.11576492764743675</v>
      </c>
      <c r="DF53">
        <f t="shared" si="39"/>
        <v>0.86268313813771602</v>
      </c>
      <c r="DG53">
        <f t="shared" si="40"/>
        <v>1.9535336636447846</v>
      </c>
      <c r="DH53">
        <f t="shared" si="41"/>
        <v>2.9820813031158203E-2</v>
      </c>
      <c r="DI53">
        <f t="shared" si="42"/>
        <v>0.1175572528643655</v>
      </c>
      <c r="DJ53">
        <f t="shared" si="43"/>
        <v>0.85262193410447629</v>
      </c>
      <c r="DK53" s="64">
        <f t="shared" si="44"/>
        <v>-1.4649194388460658</v>
      </c>
      <c r="DL53" s="64">
        <f t="shared" si="45"/>
        <v>-0.71540280765968589</v>
      </c>
      <c r="DM53" s="64">
        <f t="shared" si="46"/>
        <v>-1.3707117081043771</v>
      </c>
      <c r="DN53" s="64">
        <f t="shared" si="47"/>
        <v>-0.62119507691799725</v>
      </c>
      <c r="DO53" t="str">
        <f t="shared" si="48"/>
        <v>Sufficient Capacity</v>
      </c>
      <c r="DP53" t="str">
        <f t="shared" si="49"/>
        <v>Sufficient Capacity</v>
      </c>
    </row>
    <row r="54" spans="1:120" ht="15.75" x14ac:dyDescent="0.25">
      <c r="A54" s="29" t="s">
        <v>107</v>
      </c>
      <c r="B54" s="29" t="s">
        <v>107</v>
      </c>
      <c r="C54" s="29" t="s">
        <v>796</v>
      </c>
      <c r="D54" s="29" t="s">
        <v>496</v>
      </c>
      <c r="E54" s="29" t="s">
        <v>496</v>
      </c>
      <c r="F54" s="29">
        <v>53</v>
      </c>
      <c r="G54" s="29" t="s">
        <v>795</v>
      </c>
      <c r="H54" s="30" t="s">
        <v>656</v>
      </c>
      <c r="I54" s="29">
        <v>150</v>
      </c>
      <c r="J54" s="29">
        <v>65</v>
      </c>
      <c r="K54" s="29">
        <v>5.8</v>
      </c>
      <c r="L54" s="32" t="s">
        <v>289</v>
      </c>
      <c r="M54" s="29" t="s">
        <v>1118</v>
      </c>
      <c r="N54" s="29" t="s">
        <v>688</v>
      </c>
      <c r="O54" s="29" t="s">
        <v>687</v>
      </c>
      <c r="P54" s="29" t="s">
        <v>1118</v>
      </c>
      <c r="Q54" s="29" t="s">
        <v>443</v>
      </c>
      <c r="R54" s="2" t="str">
        <f t="shared" si="0"/>
        <v>CW_0_Section_0</v>
      </c>
      <c r="S54" s="2" t="str">
        <f t="shared" si="1"/>
        <v>CW_0_INF</v>
      </c>
      <c r="T54" s="31" t="s">
        <v>798</v>
      </c>
      <c r="U54" s="33">
        <v>45643</v>
      </c>
      <c r="V54" s="29" t="s">
        <v>799</v>
      </c>
      <c r="W54" s="29" t="s">
        <v>1118</v>
      </c>
      <c r="X54" s="29" t="s">
        <v>797</v>
      </c>
      <c r="Y54" s="2" t="str">
        <f t="shared" si="2"/>
        <v>T2_INF</v>
      </c>
      <c r="Z54" s="32" t="s">
        <v>27</v>
      </c>
      <c r="AA54" s="32">
        <v>16</v>
      </c>
      <c r="AB54" s="32">
        <v>50</v>
      </c>
      <c r="AC54" s="32">
        <v>610</v>
      </c>
      <c r="AD54" s="32">
        <f t="shared" si="3"/>
        <v>0.23428498271668158</v>
      </c>
      <c r="AE54" s="32">
        <v>140</v>
      </c>
      <c r="AF54" s="32">
        <f>($AE54/92140)*36</f>
        <v>5.4699370523116998E-2</v>
      </c>
      <c r="AG54" s="32">
        <v>690</v>
      </c>
      <c r="AH54" s="32">
        <f t="shared" si="4"/>
        <v>0.27295846284261088</v>
      </c>
      <c r="AI54" s="32">
        <v>260</v>
      </c>
      <c r="AJ54" s="32">
        <f t="shared" si="5"/>
        <v>0.10285391353489687</v>
      </c>
      <c r="AK54" s="32">
        <v>450</v>
      </c>
      <c r="AL54" s="32">
        <f t="shared" si="6"/>
        <v>0.17801638881039844</v>
      </c>
      <c r="AM54" s="32">
        <v>710</v>
      </c>
      <c r="AN54" s="32"/>
      <c r="AO54" s="49">
        <v>2150</v>
      </c>
      <c r="AP54" s="49">
        <f t="shared" si="7"/>
        <v>0.56194281608240948</v>
      </c>
      <c r="AQ54" s="32">
        <v>5400</v>
      </c>
      <c r="AR54" s="32">
        <f t="shared" si="8"/>
        <v>2.0223141140672545</v>
      </c>
      <c r="AS54" s="48">
        <v>3700</v>
      </c>
      <c r="AT54" s="27">
        <f t="shared" si="9"/>
        <v>1.3856596707497855</v>
      </c>
      <c r="AU54" s="48">
        <v>250</v>
      </c>
      <c r="AV54" s="27">
        <f t="shared" si="10"/>
        <v>9.1990275313752548E-2</v>
      </c>
      <c r="AW54" s="48">
        <v>210</v>
      </c>
      <c r="AX54" s="27">
        <f t="shared" si="11"/>
        <v>7.8983204720835226E-2</v>
      </c>
      <c r="AY54" s="48">
        <v>130</v>
      </c>
      <c r="AZ54" s="27">
        <f t="shared" si="12"/>
        <v>4.8489953074238958E-2</v>
      </c>
      <c r="BA54" s="48">
        <v>130</v>
      </c>
      <c r="BB54" s="27">
        <f t="shared" si="13"/>
        <v>4.8140043763676151E-2</v>
      </c>
      <c r="BC54" s="48">
        <v>28</v>
      </c>
      <c r="BD54" s="27">
        <f t="shared" si="14"/>
        <v>1.0368624810637939E-2</v>
      </c>
      <c r="BE54" s="48">
        <v>12</v>
      </c>
      <c r="BF54" s="27">
        <f t="shared" si="15"/>
        <v>4.3906056860321388E-3</v>
      </c>
      <c r="BG54" s="48">
        <v>15</v>
      </c>
      <c r="BH54" s="27">
        <f t="shared" si="16"/>
        <v>5.4882571075401728E-3</v>
      </c>
      <c r="BI54" s="52">
        <f t="shared" si="17"/>
        <v>4475</v>
      </c>
      <c r="BJ54" s="52">
        <f t="shared" si="18"/>
        <v>775</v>
      </c>
      <c r="BK54" s="27">
        <f t="shared" si="19"/>
        <v>1.6735106352264983</v>
      </c>
      <c r="BL54" s="27">
        <f t="shared" si="20"/>
        <v>0.28785096447671316</v>
      </c>
      <c r="BM54" s="32">
        <v>9000</v>
      </c>
      <c r="BN54" s="32">
        <v>4700</v>
      </c>
      <c r="BO54" s="32" t="s">
        <v>19</v>
      </c>
      <c r="BP54" s="32">
        <v>14000</v>
      </c>
      <c r="BQ54" s="32">
        <v>68</v>
      </c>
      <c r="BR54" s="32">
        <v>29</v>
      </c>
      <c r="BS54" s="32">
        <v>0.9</v>
      </c>
      <c r="BT54" s="32" t="s">
        <v>443</v>
      </c>
      <c r="BU54" s="32" t="s">
        <v>443</v>
      </c>
      <c r="BV54" s="32" t="s">
        <v>443</v>
      </c>
      <c r="BW54" s="32" t="s">
        <v>443</v>
      </c>
      <c r="BX54" s="32" t="s">
        <v>443</v>
      </c>
      <c r="BY54" s="32" t="s">
        <v>443</v>
      </c>
      <c r="BZ54" s="32">
        <v>0.01</v>
      </c>
      <c r="CA54" s="32">
        <v>1.2</v>
      </c>
      <c r="CB54" s="32">
        <f t="shared" si="21"/>
        <v>2.1486123545210383E-2</v>
      </c>
      <c r="CC54" s="32">
        <f t="shared" si="22"/>
        <v>2.1486123545210383E-2</v>
      </c>
      <c r="CD54" s="32">
        <v>0.9</v>
      </c>
      <c r="CE54" s="32">
        <f t="shared" si="23"/>
        <v>1.6384489350081924E-2</v>
      </c>
      <c r="CF54" s="32">
        <f t="shared" si="24"/>
        <v>3.2768978700163848E-2</v>
      </c>
      <c r="CG54" s="32">
        <v>81</v>
      </c>
      <c r="CH54" s="32">
        <f t="shared" si="25"/>
        <v>0.84322298563397879</v>
      </c>
      <c r="CI54" s="32">
        <f t="shared" si="26"/>
        <v>6.7457838850718304</v>
      </c>
      <c r="CJ54" s="58">
        <v>0</v>
      </c>
      <c r="CK54" s="58">
        <v>0</v>
      </c>
      <c r="CL54" s="58">
        <v>0</v>
      </c>
      <c r="CM54" s="58">
        <v>0</v>
      </c>
      <c r="CN54" s="28">
        <v>0</v>
      </c>
      <c r="CO54" s="28">
        <v>0</v>
      </c>
      <c r="CP54" s="28">
        <v>0</v>
      </c>
      <c r="CQ54" s="28">
        <v>0</v>
      </c>
      <c r="CR54" s="32">
        <f t="shared" si="27"/>
        <v>0</v>
      </c>
      <c r="CS54" s="32">
        <v>0</v>
      </c>
      <c r="CT54" s="32">
        <f t="shared" si="28"/>
        <v>1.2</v>
      </c>
      <c r="CU54" s="32">
        <f t="shared" si="29"/>
        <v>2.1486123545210383E-2</v>
      </c>
      <c r="CV54" s="32">
        <f t="shared" si="30"/>
        <v>2.1486123545210383E-2</v>
      </c>
      <c r="CW54" s="60">
        <f t="shared" si="31"/>
        <v>0</v>
      </c>
      <c r="CX54" s="60">
        <v>0</v>
      </c>
      <c r="CY54" s="60">
        <f t="shared" si="32"/>
        <v>1.2</v>
      </c>
      <c r="CZ54" s="60">
        <f t="shared" si="33"/>
        <v>2.1486123545210383E-2</v>
      </c>
      <c r="DA54" s="60">
        <f t="shared" si="34"/>
        <v>2.1486123545210383E-2</v>
      </c>
      <c r="DB54" s="32">
        <f t="shared" si="35"/>
        <v>6.7457838850718304</v>
      </c>
      <c r="DC54">
        <f t="shared" si="36"/>
        <v>5.4255102245374234E-2</v>
      </c>
      <c r="DD54">
        <f t="shared" si="37"/>
        <v>0.6039796690818644</v>
      </c>
      <c r="DE54">
        <f t="shared" si="38"/>
        <v>0.39602033091813554</v>
      </c>
      <c r="DF54">
        <f t="shared" si="39"/>
        <v>0</v>
      </c>
      <c r="DG54">
        <f t="shared" si="40"/>
        <v>5.4255102245374234E-2</v>
      </c>
      <c r="DH54">
        <f t="shared" si="41"/>
        <v>0.6039796690818644</v>
      </c>
      <c r="DI54">
        <f t="shared" si="42"/>
        <v>0.39602033091813554</v>
      </c>
      <c r="DJ54">
        <f t="shared" si="43"/>
        <v>0</v>
      </c>
      <c r="DK54" s="64">
        <f t="shared" si="44"/>
        <v>2.5300018279042895</v>
      </c>
      <c r="DL54" s="64">
        <f t="shared" si="45"/>
        <v>2.5300018279042895</v>
      </c>
      <c r="DM54" s="64">
        <f t="shared" si="46"/>
        <v>2.8178527923810028</v>
      </c>
      <c r="DN54" s="64">
        <f t="shared" si="47"/>
        <v>2.8178527923810028</v>
      </c>
      <c r="DO54" t="str">
        <f t="shared" si="48"/>
        <v>Insufficient Capacity</v>
      </c>
      <c r="DP54" t="str">
        <f t="shared" si="49"/>
        <v>Insufficient Capacity</v>
      </c>
    </row>
    <row r="55" spans="1:120" ht="15.75" x14ac:dyDescent="0.25">
      <c r="A55" s="4" t="s">
        <v>108</v>
      </c>
      <c r="B55" s="4" t="s">
        <v>108</v>
      </c>
      <c r="C55" s="2" t="s">
        <v>801</v>
      </c>
      <c r="D55" s="2" t="s">
        <v>497</v>
      </c>
      <c r="E55" s="2" t="s">
        <v>497</v>
      </c>
      <c r="F55" s="2">
        <v>54</v>
      </c>
      <c r="G55" s="2" t="s">
        <v>800</v>
      </c>
      <c r="H55" s="10" t="s">
        <v>656</v>
      </c>
      <c r="I55" s="2">
        <v>150</v>
      </c>
      <c r="J55" s="2">
        <v>65</v>
      </c>
      <c r="K55" s="2">
        <v>6.9</v>
      </c>
      <c r="L55" t="s">
        <v>288</v>
      </c>
      <c r="M55" s="2" t="s">
        <v>1119</v>
      </c>
      <c r="N55" s="2" t="s">
        <v>435</v>
      </c>
      <c r="O55" s="2" t="s">
        <v>694</v>
      </c>
      <c r="P55" s="2" t="s">
        <v>1119</v>
      </c>
      <c r="Q55" s="2" t="s">
        <v>443</v>
      </c>
      <c r="R55" s="2" t="str">
        <f t="shared" si="0"/>
        <v>CW_1_Section_5</v>
      </c>
      <c r="S55" s="2" t="str">
        <f t="shared" si="1"/>
        <v>CW_1_EFF</v>
      </c>
      <c r="T55" s="11" t="s">
        <v>798</v>
      </c>
      <c r="U55" s="1">
        <v>45643</v>
      </c>
      <c r="V55" s="2" t="s">
        <v>799</v>
      </c>
      <c r="W55" s="2" t="s">
        <v>1119</v>
      </c>
      <c r="X55" s="2" t="s">
        <v>797</v>
      </c>
      <c r="Y55" s="2" t="str">
        <f t="shared" si="2"/>
        <v>T2_EFF</v>
      </c>
      <c r="Z55" t="s">
        <v>18</v>
      </c>
      <c r="AA55">
        <v>17</v>
      </c>
      <c r="AB55">
        <v>11</v>
      </c>
      <c r="AC55">
        <v>140</v>
      </c>
      <c r="AD55" s="32">
        <f t="shared" si="3"/>
        <v>5.3770323902189221E-2</v>
      </c>
      <c r="AE55">
        <v>0.5</v>
      </c>
      <c r="AF55" s="32">
        <f>($AE55/92140)*36</f>
        <v>1.9535489472541785E-4</v>
      </c>
      <c r="AG55">
        <v>73</v>
      </c>
      <c r="AH55" s="32">
        <f t="shared" si="4"/>
        <v>2.8878214184797964E-2</v>
      </c>
      <c r="AI55">
        <v>40</v>
      </c>
      <c r="AJ55" s="32">
        <f t="shared" si="5"/>
        <v>1.5823679005368747E-2</v>
      </c>
      <c r="AK55">
        <v>17</v>
      </c>
      <c r="AL55" s="32">
        <f t="shared" si="6"/>
        <v>6.725063577281718E-3</v>
      </c>
      <c r="AM55">
        <v>57</v>
      </c>
      <c r="AO55" s="49">
        <v>273.5</v>
      </c>
      <c r="AP55" s="49">
        <f t="shared" si="7"/>
        <v>8.2843892981712602E-2</v>
      </c>
      <c r="AQ55">
        <v>530</v>
      </c>
      <c r="AR55" s="32">
        <f t="shared" si="8"/>
        <v>0.19848638526956386</v>
      </c>
      <c r="AS55" s="48">
        <v>150</v>
      </c>
      <c r="AT55" s="27">
        <f t="shared" si="9"/>
        <v>5.617539205742373E-2</v>
      </c>
      <c r="AU55" s="48">
        <v>25</v>
      </c>
      <c r="AV55" s="27">
        <f t="shared" si="10"/>
        <v>9.1990275313752548E-3</v>
      </c>
      <c r="AW55" s="48">
        <v>26</v>
      </c>
      <c r="AX55" s="27">
        <f t="shared" si="11"/>
        <v>9.7788729654367419E-3</v>
      </c>
      <c r="AY55" s="48">
        <v>7.9</v>
      </c>
      <c r="AZ55" s="27">
        <f t="shared" si="12"/>
        <v>2.9466971483575986E-3</v>
      </c>
      <c r="BA55" s="48">
        <v>1.6</v>
      </c>
      <c r="BB55" s="27">
        <f t="shared" si="13"/>
        <v>5.9249284632216796E-4</v>
      </c>
      <c r="BC55" s="48">
        <v>0.2</v>
      </c>
      <c r="BD55" s="27">
        <f t="shared" si="14"/>
        <v>7.4061605790270996E-5</v>
      </c>
      <c r="BE55" s="48">
        <v>0.03</v>
      </c>
      <c r="BF55" s="27">
        <f t="shared" si="15"/>
        <v>1.0976514215080345E-5</v>
      </c>
      <c r="BG55" s="48">
        <v>2E-3</v>
      </c>
      <c r="BH55" s="27">
        <f t="shared" si="16"/>
        <v>7.3176761433868969E-7</v>
      </c>
      <c r="BI55" s="52">
        <f t="shared" si="17"/>
        <v>210.732</v>
      </c>
      <c r="BJ55" s="52">
        <f t="shared" si="18"/>
        <v>60.732000000000006</v>
      </c>
      <c r="BK55" s="27">
        <f t="shared" si="19"/>
        <v>7.8778252436535176E-2</v>
      </c>
      <c r="BL55" s="27">
        <f t="shared" si="20"/>
        <v>2.2602860379111453E-2</v>
      </c>
      <c r="BM55">
        <v>1100</v>
      </c>
      <c r="BN55">
        <v>320</v>
      </c>
      <c r="BO55" t="s">
        <v>19</v>
      </c>
      <c r="BP55">
        <v>1400</v>
      </c>
      <c r="BQ55">
        <v>58</v>
      </c>
      <c r="BR55">
        <v>16</v>
      </c>
      <c r="BS55">
        <v>0.97</v>
      </c>
      <c r="BT55">
        <v>4.5</v>
      </c>
      <c r="BU55">
        <v>9.6</v>
      </c>
      <c r="BV55">
        <v>-80</v>
      </c>
      <c r="BW55">
        <v>7.08</v>
      </c>
      <c r="BX55">
        <v>940</v>
      </c>
      <c r="BY55">
        <v>0.2</v>
      </c>
      <c r="BZ55">
        <v>0.01</v>
      </c>
      <c r="CA55" s="32">
        <v>10</v>
      </c>
      <c r="CB55" s="32">
        <f t="shared" si="21"/>
        <v>0.17905102954341987</v>
      </c>
      <c r="CC55" s="32">
        <f t="shared" si="22"/>
        <v>0.17905102954341987</v>
      </c>
      <c r="CD55" s="32">
        <v>3.3</v>
      </c>
      <c r="CE55" s="32">
        <f t="shared" si="23"/>
        <v>6.0076460950300378E-2</v>
      </c>
      <c r="CF55" s="32">
        <f t="shared" si="24"/>
        <v>0.12015292190060076</v>
      </c>
      <c r="CG55" s="27">
        <v>16</v>
      </c>
      <c r="CH55" s="27">
        <f t="shared" si="25"/>
        <v>0.16656256506350198</v>
      </c>
      <c r="CI55" s="27">
        <f t="shared" si="26"/>
        <v>1.3325005205080158</v>
      </c>
      <c r="CJ55" s="58">
        <v>65</v>
      </c>
      <c r="CK55" s="58">
        <v>80.246913580246911</v>
      </c>
      <c r="CL55" s="58">
        <v>5.4132833645638145</v>
      </c>
      <c r="CM55" s="58">
        <v>5.4132833645638145</v>
      </c>
      <c r="CN55" s="28">
        <v>34</v>
      </c>
      <c r="CO55" s="28">
        <v>68</v>
      </c>
      <c r="CP55" s="28">
        <v>2.8315636060795337</v>
      </c>
      <c r="CQ55" s="28">
        <v>2.8315636060795337</v>
      </c>
      <c r="CR55" s="32">
        <f t="shared" si="27"/>
        <v>37.784717884655421</v>
      </c>
      <c r="CS55" s="32">
        <v>37.784717884655421</v>
      </c>
      <c r="CT55" s="32">
        <f t="shared" si="28"/>
        <v>47.784717884655421</v>
      </c>
      <c r="CU55" s="32">
        <f t="shared" si="29"/>
        <v>0.85559029336894221</v>
      </c>
      <c r="CV55" s="32">
        <f t="shared" si="30"/>
        <v>0.85559029336894221</v>
      </c>
      <c r="CW55" s="60">
        <f t="shared" si="31"/>
        <v>19.764313970435143</v>
      </c>
      <c r="CX55" s="60">
        <v>19.764313970435143</v>
      </c>
      <c r="CY55" s="60">
        <f t="shared" si="32"/>
        <v>29.764313970435143</v>
      </c>
      <c r="CZ55" s="60">
        <f t="shared" si="33"/>
        <v>0.53293310600600075</v>
      </c>
      <c r="DA55" s="60">
        <f t="shared" si="34"/>
        <v>0.53293310600600075</v>
      </c>
      <c r="DB55" s="32">
        <f t="shared" si="35"/>
        <v>1.3325005205080158</v>
      </c>
      <c r="DC55">
        <f t="shared" si="36"/>
        <v>6.3890265798333576</v>
      </c>
      <c r="DD55">
        <f t="shared" si="37"/>
        <v>1.8806138994609513E-2</v>
      </c>
      <c r="DE55">
        <f t="shared" si="38"/>
        <v>0.13391559460240315</v>
      </c>
      <c r="DF55">
        <f t="shared" si="39"/>
        <v>0.84727826640298731</v>
      </c>
      <c r="DG55">
        <f t="shared" si="40"/>
        <v>3.4846496339861353</v>
      </c>
      <c r="DH55">
        <f t="shared" si="41"/>
        <v>3.4480632063762548E-2</v>
      </c>
      <c r="DI55">
        <f t="shared" si="42"/>
        <v>0.15293735726204755</v>
      </c>
      <c r="DJ55">
        <f t="shared" si="43"/>
        <v>0.81258201067418989</v>
      </c>
      <c r="DK55" s="64">
        <f t="shared" si="44"/>
        <v>-6.1076963015820809</v>
      </c>
      <c r="DL55" s="64">
        <f t="shared" si="45"/>
        <v>-3.2033193557348589</v>
      </c>
      <c r="DM55" s="64">
        <f t="shared" si="46"/>
        <v>-6.0850934412029698</v>
      </c>
      <c r="DN55" s="64">
        <f t="shared" si="47"/>
        <v>-3.1807164953557474</v>
      </c>
      <c r="DO55" t="str">
        <f t="shared" si="48"/>
        <v>Sufficient Capacity</v>
      </c>
      <c r="DP55" t="str">
        <f t="shared" si="49"/>
        <v>Sufficient Capacity</v>
      </c>
    </row>
    <row r="56" spans="1:120" ht="15.75" x14ac:dyDescent="0.25">
      <c r="A56" s="4" t="s">
        <v>109</v>
      </c>
      <c r="B56" s="4" t="s">
        <v>109</v>
      </c>
      <c r="C56" s="2" t="s">
        <v>803</v>
      </c>
      <c r="D56" s="2" t="s">
        <v>498</v>
      </c>
      <c r="E56" s="2" t="s">
        <v>498</v>
      </c>
      <c r="F56" s="2">
        <v>55</v>
      </c>
      <c r="G56" s="2" t="s">
        <v>802</v>
      </c>
      <c r="H56" s="10" t="s">
        <v>656</v>
      </c>
      <c r="I56" s="2">
        <v>150</v>
      </c>
      <c r="J56" s="2">
        <v>65</v>
      </c>
      <c r="K56" s="2">
        <v>4.5</v>
      </c>
      <c r="L56" t="s">
        <v>296</v>
      </c>
      <c r="M56" s="2" t="s">
        <v>1119</v>
      </c>
      <c r="N56" s="2" t="s">
        <v>436</v>
      </c>
      <c r="O56" s="2" t="s">
        <v>694</v>
      </c>
      <c r="P56" s="2" t="s">
        <v>1119</v>
      </c>
      <c r="Q56" s="2" t="s">
        <v>443</v>
      </c>
      <c r="R56" s="2" t="str">
        <f t="shared" si="0"/>
        <v>CW_2_Section_5</v>
      </c>
      <c r="S56" s="2" t="str">
        <f t="shared" si="1"/>
        <v>CW_2_EFF</v>
      </c>
      <c r="T56" s="11" t="s">
        <v>798</v>
      </c>
      <c r="U56" s="1">
        <v>45643</v>
      </c>
      <c r="V56" s="2" t="s">
        <v>799</v>
      </c>
      <c r="W56" s="2" t="s">
        <v>1119</v>
      </c>
      <c r="X56" s="2" t="s">
        <v>797</v>
      </c>
      <c r="Y56" s="2" t="str">
        <f t="shared" si="2"/>
        <v>T2_EFF</v>
      </c>
      <c r="Z56" t="s">
        <v>39</v>
      </c>
      <c r="AA56">
        <v>11</v>
      </c>
      <c r="AB56">
        <v>12</v>
      </c>
      <c r="AC56">
        <v>670</v>
      </c>
      <c r="AD56" s="32">
        <f t="shared" si="3"/>
        <v>0.2573294072461913</v>
      </c>
      <c r="AE56">
        <v>14</v>
      </c>
      <c r="AF56" s="32">
        <f>($AE56/92140)*36</f>
        <v>5.4699370523116995E-3</v>
      </c>
      <c r="AG56">
        <v>410</v>
      </c>
      <c r="AH56" s="32">
        <f t="shared" si="4"/>
        <v>0.16219270980502967</v>
      </c>
      <c r="AI56">
        <v>250</v>
      </c>
      <c r="AJ56" s="32">
        <f t="shared" si="5"/>
        <v>9.8897993783554669E-2</v>
      </c>
      <c r="AK56">
        <v>200</v>
      </c>
      <c r="AL56" s="32">
        <f t="shared" si="6"/>
        <v>7.9118395026843744E-2</v>
      </c>
      <c r="AM56">
        <v>450</v>
      </c>
      <c r="AO56" s="49">
        <v>1544</v>
      </c>
      <c r="AP56" s="49">
        <f t="shared" si="7"/>
        <v>0.42499205410353269</v>
      </c>
      <c r="AQ56">
        <v>2700</v>
      </c>
      <c r="AR56" s="32">
        <f t="shared" si="8"/>
        <v>1.0111570570336272</v>
      </c>
      <c r="AS56" s="48">
        <v>350</v>
      </c>
      <c r="AT56" s="27">
        <f t="shared" si="9"/>
        <v>0.13107591480065539</v>
      </c>
      <c r="AU56" s="48">
        <v>110</v>
      </c>
      <c r="AV56" s="27">
        <f t="shared" si="10"/>
        <v>4.0475721138051118E-2</v>
      </c>
      <c r="AW56" s="48">
        <v>100</v>
      </c>
      <c r="AX56" s="27">
        <f t="shared" si="11"/>
        <v>3.7611049867064393E-2</v>
      </c>
      <c r="AY56" s="48">
        <v>44</v>
      </c>
      <c r="AZ56" s="27">
        <f t="shared" si="12"/>
        <v>1.6411984117434726E-2</v>
      </c>
      <c r="BA56" s="48">
        <v>3.1</v>
      </c>
      <c r="BB56" s="27">
        <f t="shared" si="13"/>
        <v>1.1479548897492004E-3</v>
      </c>
      <c r="BC56" s="48">
        <v>0.5</v>
      </c>
      <c r="BD56" s="27">
        <f t="shared" si="14"/>
        <v>1.851540144756775E-4</v>
      </c>
      <c r="BE56" s="48">
        <v>0.04</v>
      </c>
      <c r="BF56" s="27">
        <f t="shared" si="15"/>
        <v>1.4635352286773795E-5</v>
      </c>
      <c r="BG56" s="48">
        <v>0.04</v>
      </c>
      <c r="BH56" s="27">
        <f t="shared" si="16"/>
        <v>1.4635352286773795E-5</v>
      </c>
      <c r="BI56" s="52">
        <f t="shared" si="17"/>
        <v>607.67999999999995</v>
      </c>
      <c r="BJ56" s="52">
        <f t="shared" si="18"/>
        <v>257.68000000000006</v>
      </c>
      <c r="BK56" s="27">
        <f t="shared" si="19"/>
        <v>0.22693704953200405</v>
      </c>
      <c r="BL56" s="27">
        <f t="shared" si="20"/>
        <v>9.5861134731348649E-2</v>
      </c>
      <c r="BM56">
        <v>4600</v>
      </c>
      <c r="BN56">
        <v>1400</v>
      </c>
      <c r="BO56" t="s">
        <v>19</v>
      </c>
      <c r="BP56">
        <v>6000</v>
      </c>
      <c r="BQ56">
        <v>67</v>
      </c>
      <c r="BR56">
        <v>26</v>
      </c>
      <c r="BS56">
        <v>0.57999999999999996</v>
      </c>
      <c r="BT56">
        <v>0.51</v>
      </c>
      <c r="BU56">
        <v>9.5</v>
      </c>
      <c r="BV56">
        <v>-87</v>
      </c>
      <c r="BW56">
        <v>7.09</v>
      </c>
      <c r="BX56">
        <v>615</v>
      </c>
      <c r="BY56">
        <v>0.2</v>
      </c>
      <c r="BZ56">
        <v>0.01</v>
      </c>
      <c r="CA56" s="32">
        <v>1.4</v>
      </c>
      <c r="CB56" s="32">
        <f t="shared" si="21"/>
        <v>2.506714413607878E-2</v>
      </c>
      <c r="CC56" s="32">
        <f t="shared" si="22"/>
        <v>2.506714413607878E-2</v>
      </c>
      <c r="CD56" s="32">
        <v>1.2</v>
      </c>
      <c r="CE56" s="32">
        <f t="shared" si="23"/>
        <v>2.1845985800109231E-2</v>
      </c>
      <c r="CF56" s="32">
        <f t="shared" si="24"/>
        <v>4.3691971600218461E-2</v>
      </c>
      <c r="CG56" s="27">
        <v>55</v>
      </c>
      <c r="CH56" s="27">
        <f t="shared" si="25"/>
        <v>0.57255881740578807</v>
      </c>
      <c r="CI56" s="27">
        <f t="shared" si="26"/>
        <v>4.5804705392463045</v>
      </c>
      <c r="CJ56" s="58">
        <v>26</v>
      </c>
      <c r="CK56" s="58">
        <v>32.098765432098766</v>
      </c>
      <c r="CL56" s="58">
        <v>2.1653133458255258</v>
      </c>
      <c r="CM56" s="58">
        <v>2.1653133458255258</v>
      </c>
      <c r="CN56" s="28">
        <v>-13</v>
      </c>
      <c r="CO56" s="28">
        <v>-30.952380952380953</v>
      </c>
      <c r="CP56" s="28">
        <v>-1.0826566729127629</v>
      </c>
      <c r="CR56" s="32">
        <f t="shared" si="27"/>
        <v>15.113887153862169</v>
      </c>
      <c r="CS56" s="32">
        <v>15.113887153862169</v>
      </c>
      <c r="CT56" s="32">
        <f t="shared" si="28"/>
        <v>16.513887153862168</v>
      </c>
      <c r="CU56" s="32">
        <f t="shared" si="29"/>
        <v>0.29568284966628772</v>
      </c>
      <c r="CV56" s="32">
        <f t="shared" si="30"/>
        <v>0.29568284966628772</v>
      </c>
      <c r="CW56" s="60">
        <f t="shared" si="31"/>
        <v>-7.5569435769310846</v>
      </c>
      <c r="CY56" s="60">
        <f t="shared" si="32"/>
        <v>1.4</v>
      </c>
      <c r="CZ56" s="60">
        <f t="shared" si="33"/>
        <v>2.506714413607878E-2</v>
      </c>
      <c r="DA56" s="60">
        <f t="shared" si="34"/>
        <v>2.506714413607878E-2</v>
      </c>
      <c r="DB56" s="32">
        <f t="shared" si="35"/>
        <v>4.5804705392463045</v>
      </c>
      <c r="DC56">
        <f t="shared" si="36"/>
        <v>2.504688167092032</v>
      </c>
      <c r="DD56">
        <f t="shared" si="37"/>
        <v>1.7444076342223981E-2</v>
      </c>
      <c r="DE56">
        <f t="shared" si="38"/>
        <v>0.11805176131349654</v>
      </c>
      <c r="DF56">
        <f t="shared" si="39"/>
        <v>0.86450416234427951</v>
      </c>
      <c r="DG56">
        <f t="shared" si="40"/>
        <v>6.8759115736297241E-2</v>
      </c>
      <c r="DH56">
        <f t="shared" si="41"/>
        <v>0.63543533293511967</v>
      </c>
      <c r="DI56">
        <f t="shared" si="42"/>
        <v>0.36456466706488039</v>
      </c>
      <c r="DJ56">
        <f t="shared" si="43"/>
        <v>0</v>
      </c>
      <c r="DK56" s="64">
        <f t="shared" si="44"/>
        <v>-1.0685390559548722</v>
      </c>
      <c r="DL56" s="64">
        <f t="shared" si="45"/>
        <v>1.3673899954008626</v>
      </c>
      <c r="DM56" s="64">
        <f t="shared" si="46"/>
        <v>-0.97267792122352348</v>
      </c>
      <c r="DN56" s="64">
        <f t="shared" si="47"/>
        <v>1.4632511301322113</v>
      </c>
      <c r="DO56" t="str">
        <f t="shared" si="48"/>
        <v>Sufficient Capacity</v>
      </c>
      <c r="DP56" t="str">
        <f t="shared" si="49"/>
        <v>Insufficient Capacity</v>
      </c>
    </row>
    <row r="57" spans="1:120" ht="15.75" x14ac:dyDescent="0.25">
      <c r="A57" s="4" t="s">
        <v>110</v>
      </c>
      <c r="B57" s="4" t="s">
        <v>110</v>
      </c>
      <c r="C57" s="2" t="s">
        <v>805</v>
      </c>
      <c r="D57" s="2" t="s">
        <v>499</v>
      </c>
      <c r="E57" s="2" t="s">
        <v>499</v>
      </c>
      <c r="F57" s="2">
        <v>56</v>
      </c>
      <c r="G57" s="2" t="s">
        <v>804</v>
      </c>
      <c r="H57" s="10" t="s">
        <v>656</v>
      </c>
      <c r="I57" s="2">
        <v>150</v>
      </c>
      <c r="J57" s="2">
        <v>65</v>
      </c>
      <c r="K57" s="2">
        <v>7.3</v>
      </c>
      <c r="L57" t="s">
        <v>297</v>
      </c>
      <c r="M57" s="2" t="s">
        <v>1119</v>
      </c>
      <c r="N57" s="2" t="s">
        <v>437</v>
      </c>
      <c r="O57" s="2" t="s">
        <v>694</v>
      </c>
      <c r="P57" s="2" t="s">
        <v>1119</v>
      </c>
      <c r="Q57" s="2" t="s">
        <v>443</v>
      </c>
      <c r="R57" s="2" t="str">
        <f t="shared" si="0"/>
        <v>CW_3_Section_5</v>
      </c>
      <c r="S57" s="2" t="str">
        <f t="shared" si="1"/>
        <v>CW_3_EFF</v>
      </c>
      <c r="T57" s="11" t="s">
        <v>798</v>
      </c>
      <c r="U57" s="1">
        <v>45643</v>
      </c>
      <c r="V57" s="2" t="s">
        <v>799</v>
      </c>
      <c r="W57" s="2" t="s">
        <v>1119</v>
      </c>
      <c r="X57" s="2" t="s">
        <v>797</v>
      </c>
      <c r="Y57" s="2" t="str">
        <f t="shared" si="2"/>
        <v>T2_EFF</v>
      </c>
      <c r="Z57" t="s">
        <v>49</v>
      </c>
      <c r="AA57">
        <v>10</v>
      </c>
      <c r="AB57">
        <v>10</v>
      </c>
      <c r="AC57">
        <v>230</v>
      </c>
      <c r="AD57" s="32">
        <f t="shared" si="3"/>
        <v>8.833696069645372E-2</v>
      </c>
      <c r="AE57">
        <v>6.8</v>
      </c>
      <c r="AF57" s="32">
        <f>($AE57/92140)*36</f>
        <v>2.6568265682656825E-3</v>
      </c>
      <c r="AG57">
        <v>190</v>
      </c>
      <c r="AH57" s="32">
        <f t="shared" si="4"/>
        <v>7.5162475275501545E-2</v>
      </c>
      <c r="AI57">
        <v>65</v>
      </c>
      <c r="AJ57" s="32">
        <f t="shared" si="5"/>
        <v>2.5713478383724217E-2</v>
      </c>
      <c r="AK57">
        <v>44</v>
      </c>
      <c r="AL57" s="32">
        <f t="shared" si="6"/>
        <v>1.7406046905905623E-2</v>
      </c>
      <c r="AM57">
        <v>109</v>
      </c>
      <c r="AO57" s="49">
        <v>535.79999999999995</v>
      </c>
      <c r="AP57" s="49">
        <f t="shared" si="7"/>
        <v>0.16615626254022095</v>
      </c>
      <c r="AQ57">
        <v>1100</v>
      </c>
      <c r="AR57" s="32">
        <f t="shared" si="8"/>
        <v>0.41195287508777401</v>
      </c>
      <c r="AS57" s="48">
        <v>0.79</v>
      </c>
      <c r="AT57" s="27">
        <f t="shared" si="9"/>
        <v>2.9585706483576502E-4</v>
      </c>
      <c r="AU57" s="48">
        <v>1.8</v>
      </c>
      <c r="AV57" s="27">
        <f t="shared" si="10"/>
        <v>6.6232998225901839E-4</v>
      </c>
      <c r="AW57" s="48">
        <v>5.5</v>
      </c>
      <c r="AX57" s="27">
        <f t="shared" si="11"/>
        <v>2.0686077426885418E-3</v>
      </c>
      <c r="AY57" s="48">
        <v>1.8</v>
      </c>
      <c r="AZ57" s="27">
        <f t="shared" si="12"/>
        <v>6.7139935025869329E-4</v>
      </c>
      <c r="BA57" s="48">
        <v>0.35</v>
      </c>
      <c r="BB57" s="27">
        <f t="shared" si="13"/>
        <v>1.2960781013297422E-4</v>
      </c>
      <c r="BC57" s="48">
        <v>7.0000000000000007E-2</v>
      </c>
      <c r="BD57" s="27">
        <f t="shared" si="14"/>
        <v>2.5921562026594851E-5</v>
      </c>
      <c r="BE57" s="48">
        <v>1E-3</v>
      </c>
      <c r="BF57" s="27">
        <f t="shared" si="15"/>
        <v>3.6588380716934485E-7</v>
      </c>
      <c r="BG57" s="48">
        <v>2E-3</v>
      </c>
      <c r="BH57" s="27">
        <f t="shared" si="16"/>
        <v>7.3176761433868969E-7</v>
      </c>
      <c r="BI57" s="52">
        <f t="shared" si="17"/>
        <v>10.313000000000001</v>
      </c>
      <c r="BJ57" s="52">
        <f t="shared" si="18"/>
        <v>9.5229999999999997</v>
      </c>
      <c r="BK57" s="27">
        <f t="shared" si="19"/>
        <v>3.8548211636230956E-3</v>
      </c>
      <c r="BL57" s="27">
        <f t="shared" si="20"/>
        <v>3.5589640987873307E-3</v>
      </c>
      <c r="BM57">
        <v>1500</v>
      </c>
      <c r="BN57">
        <v>410</v>
      </c>
      <c r="BO57" t="s">
        <v>19</v>
      </c>
      <c r="BP57">
        <v>2000</v>
      </c>
      <c r="BQ57">
        <v>51</v>
      </c>
      <c r="BR57">
        <v>22</v>
      </c>
      <c r="BS57">
        <v>0.73</v>
      </c>
      <c r="BT57">
        <v>0.52</v>
      </c>
      <c r="BU57">
        <v>9.5</v>
      </c>
      <c r="BV57">
        <v>-82</v>
      </c>
      <c r="BW57">
        <v>6.99</v>
      </c>
      <c r="BX57">
        <v>799</v>
      </c>
      <c r="BY57">
        <v>0.2</v>
      </c>
      <c r="BZ57">
        <v>0.01</v>
      </c>
      <c r="CA57" s="32">
        <v>1.1000000000000001</v>
      </c>
      <c r="CB57" s="32">
        <f t="shared" si="21"/>
        <v>1.9695613249776187E-2</v>
      </c>
      <c r="CC57" s="32">
        <f t="shared" si="22"/>
        <v>1.9695613249776187E-2</v>
      </c>
      <c r="CD57" s="32">
        <v>0.5</v>
      </c>
      <c r="CE57" s="32">
        <f t="shared" si="23"/>
        <v>9.1024940833788464E-3</v>
      </c>
      <c r="CF57" s="32">
        <f t="shared" si="24"/>
        <v>1.8204988166757693E-2</v>
      </c>
      <c r="CG57" s="27">
        <v>31</v>
      </c>
      <c r="CH57" s="27">
        <f t="shared" si="25"/>
        <v>0.3227149698105351</v>
      </c>
      <c r="CI57" s="27">
        <f t="shared" si="26"/>
        <v>2.5817197584842808</v>
      </c>
      <c r="CJ57" s="58">
        <v>50</v>
      </c>
      <c r="CK57" s="58">
        <v>61.728395061728392</v>
      </c>
      <c r="CL57" s="58">
        <v>4.1640641265875491</v>
      </c>
      <c r="CM57" s="58">
        <v>4.1640641265875491</v>
      </c>
      <c r="CN57" s="28">
        <v>15</v>
      </c>
      <c r="CO57" s="28">
        <v>32.608695652173914</v>
      </c>
      <c r="CP57" s="28">
        <v>1.2492192379762648</v>
      </c>
      <c r="CQ57" s="28">
        <v>1.2492192379762648</v>
      </c>
      <c r="CR57" s="32">
        <f t="shared" si="27"/>
        <v>29.065167603581095</v>
      </c>
      <c r="CS57" s="32">
        <v>29.065167603581095</v>
      </c>
      <c r="CT57" s="32">
        <f t="shared" si="28"/>
        <v>30.165167603581097</v>
      </c>
      <c r="CU57" s="32">
        <f t="shared" si="29"/>
        <v>0.54011043157710104</v>
      </c>
      <c r="CV57" s="32">
        <f t="shared" si="30"/>
        <v>0.54011043157710104</v>
      </c>
      <c r="CW57" s="60">
        <f t="shared" si="31"/>
        <v>8.7195502810743282</v>
      </c>
      <c r="CX57" s="60">
        <v>8.7195502810743282</v>
      </c>
      <c r="CY57" s="60">
        <f t="shared" si="32"/>
        <v>9.8195502810743278</v>
      </c>
      <c r="CZ57" s="60">
        <f t="shared" si="33"/>
        <v>0.17582005874797363</v>
      </c>
      <c r="DA57" s="60">
        <f t="shared" si="34"/>
        <v>0.17582005874797363</v>
      </c>
      <c r="DB57" s="32">
        <f t="shared" si="35"/>
        <v>2.5817197584842808</v>
      </c>
      <c r="DC57">
        <f t="shared" si="36"/>
        <v>4.7223795463314078</v>
      </c>
      <c r="DD57">
        <f t="shared" si="37"/>
        <v>3.8550455312090031E-3</v>
      </c>
      <c r="DE57">
        <f t="shared" si="38"/>
        <v>0.11437251628719407</v>
      </c>
      <c r="DF57">
        <f t="shared" si="39"/>
        <v>0.8817724381815969</v>
      </c>
      <c r="DG57">
        <f t="shared" si="40"/>
        <v>1.4432442848909961</v>
      </c>
      <c r="DH57">
        <f t="shared" si="41"/>
        <v>1.2613934007805657E-2</v>
      </c>
      <c r="DI57">
        <f t="shared" si="42"/>
        <v>0.12182279922296924</v>
      </c>
      <c r="DJ57">
        <f t="shared" si="43"/>
        <v>0.86556326676922513</v>
      </c>
      <c r="DK57" s="64">
        <f t="shared" si="44"/>
        <v>-4.144270408703413</v>
      </c>
      <c r="DL57" s="64">
        <f t="shared" si="45"/>
        <v>-0.86513514726300111</v>
      </c>
      <c r="DM57" s="64">
        <f t="shared" si="46"/>
        <v>-4.1407114446046256</v>
      </c>
      <c r="DN57" s="64">
        <f t="shared" si="47"/>
        <v>-0.8615761831642138</v>
      </c>
      <c r="DO57" t="str">
        <f t="shared" si="48"/>
        <v>Sufficient Capacity</v>
      </c>
      <c r="DP57" t="str">
        <f t="shared" si="49"/>
        <v>Sufficient Capacity</v>
      </c>
    </row>
    <row r="58" spans="1:120" ht="15.75" x14ac:dyDescent="0.25">
      <c r="A58" s="4" t="s">
        <v>111</v>
      </c>
      <c r="B58" s="4" t="s">
        <v>111</v>
      </c>
      <c r="C58" s="2" t="s">
        <v>807</v>
      </c>
      <c r="D58" s="2" t="s">
        <v>500</v>
      </c>
      <c r="E58" s="2" t="s">
        <v>500</v>
      </c>
      <c r="F58" s="2">
        <v>57</v>
      </c>
      <c r="G58" s="2" t="s">
        <v>806</v>
      </c>
      <c r="H58" s="10" t="s">
        <v>656</v>
      </c>
      <c r="I58" s="2">
        <v>150</v>
      </c>
      <c r="J58" s="2">
        <v>65</v>
      </c>
      <c r="K58" s="2">
        <v>13.5</v>
      </c>
      <c r="L58" t="s">
        <v>282</v>
      </c>
      <c r="M58" s="2" t="s">
        <v>1120</v>
      </c>
      <c r="N58" s="2" t="s">
        <v>435</v>
      </c>
      <c r="O58" s="2" t="s">
        <v>653</v>
      </c>
      <c r="P58" s="2" t="s">
        <v>1123</v>
      </c>
      <c r="Q58" s="9" t="s">
        <v>654</v>
      </c>
      <c r="R58" s="2" t="str">
        <f t="shared" si="0"/>
        <v>CW_1_Section_1</v>
      </c>
      <c r="S58" s="2" t="str">
        <f t="shared" si="1"/>
        <v>CW_1_MF01</v>
      </c>
      <c r="T58" s="11" t="s">
        <v>798</v>
      </c>
      <c r="U58" s="1">
        <v>45643</v>
      </c>
      <c r="V58" s="2" t="s">
        <v>799</v>
      </c>
      <c r="W58" s="2" t="s">
        <v>655</v>
      </c>
      <c r="X58" s="2" t="s">
        <v>797</v>
      </c>
      <c r="Y58" s="2" t="str">
        <f t="shared" si="2"/>
        <v>T2_0.15-0.30</v>
      </c>
      <c r="Z58" t="s">
        <v>29</v>
      </c>
      <c r="AA58">
        <v>11</v>
      </c>
      <c r="AB58">
        <v>11</v>
      </c>
      <c r="AC58">
        <v>480</v>
      </c>
      <c r="AD58" s="32">
        <f t="shared" si="3"/>
        <v>0.18435539623607733</v>
      </c>
      <c r="AE58">
        <v>1</v>
      </c>
      <c r="AF58" s="32">
        <f>($AE58/92140)*36</f>
        <v>3.9070978945083569E-4</v>
      </c>
      <c r="AG58">
        <v>480</v>
      </c>
      <c r="AH58" s="32">
        <f t="shared" si="4"/>
        <v>0.189884148064425</v>
      </c>
      <c r="AI58">
        <v>270</v>
      </c>
      <c r="AJ58" s="32">
        <f t="shared" si="5"/>
        <v>0.10680983328623904</v>
      </c>
      <c r="AK58">
        <v>140</v>
      </c>
      <c r="AL58" s="32">
        <f t="shared" si="6"/>
        <v>5.5382876518790619E-2</v>
      </c>
      <c r="AM58">
        <v>410</v>
      </c>
      <c r="AO58" s="49">
        <v>1377</v>
      </c>
      <c r="AP58" s="49">
        <f t="shared" si="7"/>
        <v>0.37463025408995315</v>
      </c>
      <c r="AQ58">
        <v>1600</v>
      </c>
      <c r="AR58" s="32">
        <f t="shared" si="8"/>
        <v>0.59920418194585312</v>
      </c>
      <c r="AS58" s="48">
        <v>4.8</v>
      </c>
      <c r="AT58" s="27">
        <f t="shared" si="9"/>
        <v>1.7976125458375593E-3</v>
      </c>
      <c r="AU58" s="48">
        <v>0.01</v>
      </c>
      <c r="AV58" s="27">
        <f t="shared" si="10"/>
        <v>3.6796110125501018E-6</v>
      </c>
      <c r="AW58" s="48">
        <v>0.16</v>
      </c>
      <c r="AX58" s="27">
        <f t="shared" si="11"/>
        <v>6.0177679787303031E-5</v>
      </c>
      <c r="AY58" s="48">
        <v>0.1</v>
      </c>
      <c r="AZ58" s="27">
        <f t="shared" si="12"/>
        <v>3.729996390326074E-5</v>
      </c>
      <c r="BA58" s="48">
        <v>0.09</v>
      </c>
      <c r="BB58" s="27">
        <f t="shared" si="13"/>
        <v>3.3327722605621947E-5</v>
      </c>
      <c r="BC58" s="48">
        <v>0.01</v>
      </c>
      <c r="BD58" s="27">
        <f t="shared" si="14"/>
        <v>3.7030802895135499E-6</v>
      </c>
      <c r="BE58" s="48">
        <v>0.01</v>
      </c>
      <c r="BF58" s="27">
        <f t="shared" si="15"/>
        <v>3.6588380716934487E-6</v>
      </c>
      <c r="BG58" s="48">
        <v>2E-3</v>
      </c>
      <c r="BH58" s="27">
        <f t="shared" si="16"/>
        <v>7.3176761433868969E-7</v>
      </c>
      <c r="BI58" s="52">
        <f t="shared" si="17"/>
        <v>5.1819999999999986</v>
      </c>
      <c r="BJ58" s="52">
        <f t="shared" si="18"/>
        <v>0.38200000000000001</v>
      </c>
      <c r="BK58" s="27">
        <f t="shared" si="19"/>
        <v>1.9401912091218411E-3</v>
      </c>
      <c r="BL58" s="27">
        <f t="shared" si="20"/>
        <v>1.4257866328428151E-4</v>
      </c>
      <c r="BM58">
        <v>2000</v>
      </c>
      <c r="BN58">
        <v>35</v>
      </c>
      <c r="BO58" t="s">
        <v>19</v>
      </c>
      <c r="BP58">
        <v>2100</v>
      </c>
      <c r="BQ58">
        <v>67</v>
      </c>
      <c r="BR58">
        <v>27</v>
      </c>
      <c r="BS58">
        <v>1.9</v>
      </c>
      <c r="BT58">
        <v>2.2999999999999998</v>
      </c>
      <c r="BU58">
        <v>9.5</v>
      </c>
      <c r="BV58">
        <v>-123</v>
      </c>
      <c r="BW58">
        <v>6.95</v>
      </c>
      <c r="BX58">
        <v>965</v>
      </c>
      <c r="BY58">
        <v>0.2</v>
      </c>
      <c r="BZ58">
        <v>0.01</v>
      </c>
      <c r="CA58" s="32">
        <v>23</v>
      </c>
      <c r="CB58" s="32">
        <f t="shared" si="21"/>
        <v>0.41181736794986568</v>
      </c>
      <c r="CC58" s="32">
        <f t="shared" si="22"/>
        <v>0.41181736794986568</v>
      </c>
      <c r="CD58" s="32">
        <v>3.9</v>
      </c>
      <c r="CE58" s="32">
        <f t="shared" si="23"/>
        <v>7.0999453850354999E-2</v>
      </c>
      <c r="CF58" s="32">
        <f t="shared" si="24"/>
        <v>0.14199890770071</v>
      </c>
      <c r="CG58" s="27">
        <v>32</v>
      </c>
      <c r="CH58" s="27">
        <f t="shared" si="25"/>
        <v>0.33312513012700395</v>
      </c>
      <c r="CI58" s="27">
        <f t="shared" si="26"/>
        <v>2.6650010410160316</v>
      </c>
      <c r="CJ58" s="58">
        <v>49</v>
      </c>
      <c r="CK58" s="58">
        <v>60.493827160493829</v>
      </c>
      <c r="CL58" s="58">
        <v>4.0807828440557987</v>
      </c>
      <c r="CM58" s="58">
        <v>4.0807828440557987</v>
      </c>
      <c r="CN58" s="28">
        <v>49</v>
      </c>
      <c r="CO58" s="28">
        <v>60.493827160493829</v>
      </c>
      <c r="CP58" s="28">
        <v>4.0807828440557987</v>
      </c>
      <c r="CQ58" s="28">
        <v>4.0807828440557987</v>
      </c>
      <c r="CR58" s="32">
        <f t="shared" si="27"/>
        <v>28.483864251509473</v>
      </c>
      <c r="CS58" s="32">
        <v>28.483864251509473</v>
      </c>
      <c r="CT58" s="32">
        <f t="shared" si="28"/>
        <v>51.483864251509473</v>
      </c>
      <c r="CU58" s="32">
        <f t="shared" si="29"/>
        <v>0.92182388991064412</v>
      </c>
      <c r="CV58" s="32">
        <f t="shared" si="30"/>
        <v>0.92182388991064412</v>
      </c>
      <c r="CW58" s="60">
        <f t="shared" si="31"/>
        <v>28.483864251509473</v>
      </c>
      <c r="CX58" s="60">
        <v>28.483864251509473</v>
      </c>
      <c r="CY58" s="60">
        <f t="shared" si="32"/>
        <v>51.483864251509473</v>
      </c>
      <c r="CZ58" s="60">
        <f t="shared" si="33"/>
        <v>0.92182388991064412</v>
      </c>
      <c r="DA58" s="60">
        <f t="shared" si="34"/>
        <v>0.92182388991064412</v>
      </c>
      <c r="DB58" s="32">
        <f t="shared" si="35"/>
        <v>2.6650010410160316</v>
      </c>
      <c r="DC58">
        <f t="shared" si="36"/>
        <v>5.1446056416671526</v>
      </c>
      <c r="DD58">
        <f t="shared" si="37"/>
        <v>2.7601514594361418E-2</v>
      </c>
      <c r="DE58">
        <f t="shared" si="38"/>
        <v>0.1791826145904391</v>
      </c>
      <c r="DF58">
        <f t="shared" si="39"/>
        <v>0.79321587081519951</v>
      </c>
      <c r="DG58">
        <f t="shared" si="40"/>
        <v>5.1446056416671526</v>
      </c>
      <c r="DH58">
        <f t="shared" si="41"/>
        <v>2.7601514594361418E-2</v>
      </c>
      <c r="DI58">
        <f t="shared" si="42"/>
        <v>0.1791826145904391</v>
      </c>
      <c r="DJ58">
        <f t="shared" si="43"/>
        <v>0.79321587081519951</v>
      </c>
      <c r="DK58" s="64">
        <f t="shared" si="44"/>
        <v>-4.1707712056313468</v>
      </c>
      <c r="DL58" s="64">
        <f t="shared" si="45"/>
        <v>-4.1707712056313468</v>
      </c>
      <c r="DM58" s="64">
        <f t="shared" si="46"/>
        <v>-4.1706286269680621</v>
      </c>
      <c r="DN58" s="64">
        <f t="shared" si="47"/>
        <v>-4.1706286269680621</v>
      </c>
      <c r="DO58" t="str">
        <f t="shared" si="48"/>
        <v>Sufficient Capacity</v>
      </c>
      <c r="DP58" t="str">
        <f t="shared" si="49"/>
        <v>Sufficient Capacity</v>
      </c>
    </row>
    <row r="59" spans="1:120" ht="15.75" x14ac:dyDescent="0.25">
      <c r="A59" s="4" t="s">
        <v>112</v>
      </c>
      <c r="B59" s="4" t="s">
        <v>112</v>
      </c>
      <c r="C59" s="2" t="s">
        <v>809</v>
      </c>
      <c r="D59" s="2" t="s">
        <v>501</v>
      </c>
      <c r="E59" s="2" t="s">
        <v>501</v>
      </c>
      <c r="F59" s="2">
        <v>58</v>
      </c>
      <c r="G59" s="2" t="s">
        <v>808</v>
      </c>
      <c r="H59" s="10" t="s">
        <v>656</v>
      </c>
      <c r="I59" s="2">
        <v>150</v>
      </c>
      <c r="J59" s="2">
        <v>65</v>
      </c>
      <c r="K59" s="2">
        <v>5.3</v>
      </c>
      <c r="L59" t="s">
        <v>283</v>
      </c>
      <c r="M59" s="2" t="s">
        <v>1120</v>
      </c>
      <c r="N59" s="2" t="s">
        <v>435</v>
      </c>
      <c r="O59" s="2" t="s">
        <v>653</v>
      </c>
      <c r="P59" s="2" t="s">
        <v>1124</v>
      </c>
      <c r="Q59" s="9" t="s">
        <v>662</v>
      </c>
      <c r="R59" s="2" t="str">
        <f t="shared" si="0"/>
        <v>CW_1_Section_1</v>
      </c>
      <c r="S59" s="2" t="str">
        <f t="shared" si="1"/>
        <v>CW_1_MF02</v>
      </c>
      <c r="T59" s="11" t="s">
        <v>798</v>
      </c>
      <c r="U59" s="1">
        <v>45643</v>
      </c>
      <c r="V59" s="2" t="s">
        <v>799</v>
      </c>
      <c r="W59" s="2" t="s">
        <v>663</v>
      </c>
      <c r="X59" s="2" t="s">
        <v>797</v>
      </c>
      <c r="Y59" s="2" t="str">
        <f t="shared" si="2"/>
        <v>T2_0.60-0.80</v>
      </c>
      <c r="Z59" t="s">
        <v>31</v>
      </c>
      <c r="AA59">
        <v>13</v>
      </c>
      <c r="AB59">
        <v>13</v>
      </c>
      <c r="AC59">
        <v>480</v>
      </c>
      <c r="AD59" s="32">
        <f t="shared" si="3"/>
        <v>0.18435539623607733</v>
      </c>
      <c r="AE59">
        <v>60</v>
      </c>
      <c r="AF59" s="32">
        <f>($AE59/92140)*36</f>
        <v>2.3442587367050141E-2</v>
      </c>
      <c r="AG59">
        <v>360</v>
      </c>
      <c r="AH59" s="32">
        <f t="shared" si="4"/>
        <v>0.14241311104831872</v>
      </c>
      <c r="AI59">
        <v>190</v>
      </c>
      <c r="AJ59" s="32">
        <f t="shared" si="5"/>
        <v>7.5162475275501545E-2</v>
      </c>
      <c r="AK59">
        <v>220</v>
      </c>
      <c r="AL59" s="32">
        <f t="shared" si="6"/>
        <v>8.7030234529528114E-2</v>
      </c>
      <c r="AM59">
        <v>410</v>
      </c>
      <c r="AO59" s="49">
        <v>1310</v>
      </c>
      <c r="AP59" s="49">
        <f t="shared" si="7"/>
        <v>0.35021109465144618</v>
      </c>
      <c r="AQ59">
        <v>2700</v>
      </c>
      <c r="AR59" s="32">
        <f t="shared" si="8"/>
        <v>1.0111570570336272</v>
      </c>
      <c r="AS59" s="48">
        <v>2600</v>
      </c>
      <c r="AT59" s="27">
        <f t="shared" si="9"/>
        <v>0.97370679566201146</v>
      </c>
      <c r="AU59" s="48">
        <v>140</v>
      </c>
      <c r="AV59" s="27">
        <f t="shared" si="10"/>
        <v>5.1514554175701423E-2</v>
      </c>
      <c r="AW59" s="48">
        <v>140</v>
      </c>
      <c r="AX59" s="27">
        <f t="shared" si="11"/>
        <v>5.2655469813890153E-2</v>
      </c>
      <c r="AY59" s="48">
        <v>53</v>
      </c>
      <c r="AZ59" s="27">
        <f t="shared" si="12"/>
        <v>1.9768980868728192E-2</v>
      </c>
      <c r="BA59" s="48">
        <v>24</v>
      </c>
      <c r="BB59" s="27">
        <f t="shared" si="13"/>
        <v>8.8873926948325205E-3</v>
      </c>
      <c r="BC59" s="48">
        <v>4.4000000000000004</v>
      </c>
      <c r="BD59" s="27">
        <f t="shared" si="14"/>
        <v>1.629355327385962E-3</v>
      </c>
      <c r="BE59" s="48">
        <v>0.69</v>
      </c>
      <c r="BF59" s="27">
        <f t="shared" si="15"/>
        <v>2.5245982694684793E-4</v>
      </c>
      <c r="BG59" s="48">
        <v>0.6</v>
      </c>
      <c r="BH59" s="27">
        <f t="shared" si="16"/>
        <v>2.1953028430160692E-4</v>
      </c>
      <c r="BI59" s="52">
        <f t="shared" si="17"/>
        <v>2962.69</v>
      </c>
      <c r="BJ59" s="52">
        <f t="shared" si="18"/>
        <v>362.69</v>
      </c>
      <c r="BK59" s="27">
        <f t="shared" si="19"/>
        <v>1.1086345386537984</v>
      </c>
      <c r="BL59" s="27">
        <f t="shared" si="20"/>
        <v>0.1349277429917867</v>
      </c>
      <c r="BM59">
        <v>5500</v>
      </c>
      <c r="BN59">
        <v>1900</v>
      </c>
      <c r="BO59" t="s">
        <v>19</v>
      </c>
      <c r="BP59">
        <v>7400</v>
      </c>
      <c r="BQ59">
        <v>68</v>
      </c>
      <c r="BR59">
        <v>28</v>
      </c>
      <c r="BS59">
        <v>0.84</v>
      </c>
      <c r="BT59">
        <v>0.39</v>
      </c>
      <c r="BU59">
        <v>9.1999999999999993</v>
      </c>
      <c r="BV59">
        <v>-153</v>
      </c>
      <c r="BW59">
        <v>7.08</v>
      </c>
      <c r="BX59">
        <v>890</v>
      </c>
      <c r="BY59">
        <v>0.1</v>
      </c>
      <c r="BZ59">
        <v>0.01</v>
      </c>
      <c r="CA59" s="32">
        <v>0.4</v>
      </c>
      <c r="CB59" s="32">
        <f t="shared" si="21"/>
        <v>7.162041181736795E-3</v>
      </c>
      <c r="CC59" s="32">
        <f t="shared" si="22"/>
        <v>7.162041181736795E-3</v>
      </c>
      <c r="CD59" s="32">
        <v>0.9</v>
      </c>
      <c r="CE59" s="32">
        <f t="shared" si="23"/>
        <v>1.6384489350081924E-2</v>
      </c>
      <c r="CF59" s="32">
        <f t="shared" si="24"/>
        <v>3.2768978700163848E-2</v>
      </c>
      <c r="CG59" s="27">
        <v>68</v>
      </c>
      <c r="CH59" s="27">
        <f t="shared" si="25"/>
        <v>0.70789090151988343</v>
      </c>
      <c r="CI59" s="27">
        <f t="shared" si="26"/>
        <v>5.6631272121590674</v>
      </c>
      <c r="CJ59" s="58">
        <v>13</v>
      </c>
      <c r="CK59" s="58">
        <v>16.049382716049383</v>
      </c>
      <c r="CL59" s="58">
        <v>1.0826566729127629</v>
      </c>
      <c r="CM59" s="58">
        <v>1.0826566729127629</v>
      </c>
      <c r="CN59" s="28">
        <v>13</v>
      </c>
      <c r="CO59" s="28">
        <v>16.049382716049383</v>
      </c>
      <c r="CP59" s="28">
        <v>1.0826566729127629</v>
      </c>
      <c r="CQ59" s="28">
        <v>1.0826566729127629</v>
      </c>
      <c r="CR59" s="32">
        <f t="shared" si="27"/>
        <v>7.5569435769310846</v>
      </c>
      <c r="CS59" s="32">
        <v>7.5569435769310846</v>
      </c>
      <c r="CT59" s="32">
        <f t="shared" si="28"/>
        <v>7.956943576931085</v>
      </c>
      <c r="CU59" s="32">
        <f t="shared" si="29"/>
        <v>0.14246989394684126</v>
      </c>
      <c r="CV59" s="32">
        <f t="shared" si="30"/>
        <v>0.14246989394684126</v>
      </c>
      <c r="CW59" s="60">
        <f t="shared" si="31"/>
        <v>7.5569435769310846</v>
      </c>
      <c r="CX59" s="60">
        <v>7.5569435769310846</v>
      </c>
      <c r="CY59" s="60">
        <f t="shared" si="32"/>
        <v>7.956943576931085</v>
      </c>
      <c r="CZ59" s="60">
        <f t="shared" si="33"/>
        <v>0.14246989394684126</v>
      </c>
      <c r="DA59" s="60">
        <f t="shared" si="34"/>
        <v>0.14246989394684126</v>
      </c>
      <c r="DB59" s="32">
        <f t="shared" si="35"/>
        <v>5.6631272121590674</v>
      </c>
      <c r="DC59">
        <f t="shared" si="36"/>
        <v>1.257895545559768</v>
      </c>
      <c r="DD59">
        <f t="shared" si="37"/>
        <v>2.6050635774834179E-2</v>
      </c>
      <c r="DE59">
        <f t="shared" si="38"/>
        <v>0.1132605123292981</v>
      </c>
      <c r="DF59">
        <f t="shared" si="39"/>
        <v>0.86068885189586775</v>
      </c>
      <c r="DG59">
        <f t="shared" si="40"/>
        <v>1.257895545559768</v>
      </c>
      <c r="DH59">
        <f t="shared" si="41"/>
        <v>2.6050635774834179E-2</v>
      </c>
      <c r="DI59">
        <f t="shared" si="42"/>
        <v>0.1132605123292981</v>
      </c>
      <c r="DJ59">
        <f t="shared" si="43"/>
        <v>0.86068885189586775</v>
      </c>
      <c r="DK59" s="64">
        <f t="shared" si="44"/>
        <v>0.10347260612530551</v>
      </c>
      <c r="DL59" s="64">
        <f t="shared" si="45"/>
        <v>0.10347260612530551</v>
      </c>
      <c r="DM59" s="64">
        <f t="shared" si="46"/>
        <v>0.23840034911709229</v>
      </c>
      <c r="DN59" s="64">
        <f t="shared" si="47"/>
        <v>0.23840034911709229</v>
      </c>
      <c r="DO59" t="str">
        <f t="shared" si="48"/>
        <v>Insufficient Capacity</v>
      </c>
      <c r="DP59" t="str">
        <f t="shared" si="49"/>
        <v>Insufficient Capacity</v>
      </c>
    </row>
    <row r="60" spans="1:120" ht="15.75" x14ac:dyDescent="0.25">
      <c r="A60" s="4" t="s">
        <v>113</v>
      </c>
      <c r="B60" s="4" t="s">
        <v>113</v>
      </c>
      <c r="C60" s="2" t="s">
        <v>811</v>
      </c>
      <c r="D60" s="2" t="s">
        <v>502</v>
      </c>
      <c r="E60" s="2" t="s">
        <v>502</v>
      </c>
      <c r="F60" s="2">
        <v>59</v>
      </c>
      <c r="G60" s="2" t="s">
        <v>810</v>
      </c>
      <c r="H60" s="10" t="s">
        <v>656</v>
      </c>
      <c r="I60" s="2">
        <v>150</v>
      </c>
      <c r="J60" s="2">
        <v>65</v>
      </c>
      <c r="K60" s="2">
        <v>5.8</v>
      </c>
      <c r="L60" t="s">
        <v>284</v>
      </c>
      <c r="M60" s="2" t="s">
        <v>1120</v>
      </c>
      <c r="N60" s="2" t="s">
        <v>435</v>
      </c>
      <c r="O60" s="2" t="s">
        <v>666</v>
      </c>
      <c r="P60" s="2" t="s">
        <v>1131</v>
      </c>
      <c r="Q60" s="9" t="s">
        <v>667</v>
      </c>
      <c r="R60" s="2" t="str">
        <f t="shared" si="0"/>
        <v>CW_1_Section_2</v>
      </c>
      <c r="S60" s="2" t="str">
        <f t="shared" si="1"/>
        <v>CW_1_MF05</v>
      </c>
      <c r="T60" s="11" t="s">
        <v>798</v>
      </c>
      <c r="U60" s="1">
        <v>45643</v>
      </c>
      <c r="V60" s="2" t="s">
        <v>799</v>
      </c>
      <c r="W60" s="2" t="s">
        <v>655</v>
      </c>
      <c r="X60" s="2" t="s">
        <v>797</v>
      </c>
      <c r="Y60" s="2" t="str">
        <f t="shared" si="2"/>
        <v>T2_0.15-0.30</v>
      </c>
      <c r="Z60" t="s">
        <v>33</v>
      </c>
      <c r="AA60">
        <v>11</v>
      </c>
      <c r="AB60">
        <v>11</v>
      </c>
      <c r="AC60">
        <v>570</v>
      </c>
      <c r="AD60" s="32">
        <f t="shared" si="3"/>
        <v>0.21892203303034183</v>
      </c>
      <c r="AE60">
        <v>11</v>
      </c>
      <c r="AF60" s="32">
        <f>($AE60/92140)*36</f>
        <v>4.2978076839591921E-3</v>
      </c>
      <c r="AG60">
        <v>450</v>
      </c>
      <c r="AH60" s="32">
        <f t="shared" si="4"/>
        <v>0.17801638881039844</v>
      </c>
      <c r="AI60">
        <v>250</v>
      </c>
      <c r="AJ60" s="32">
        <f t="shared" si="5"/>
        <v>9.8897993783554669E-2</v>
      </c>
      <c r="AK60">
        <v>150</v>
      </c>
      <c r="AL60" s="32">
        <f t="shared" si="6"/>
        <v>5.9338796270132804E-2</v>
      </c>
      <c r="AM60">
        <v>400</v>
      </c>
      <c r="AO60" s="49">
        <v>1431</v>
      </c>
      <c r="AP60" s="49">
        <f t="shared" si="7"/>
        <v>0.40123622952469945</v>
      </c>
      <c r="AQ60">
        <v>1100</v>
      </c>
      <c r="AR60" s="32">
        <f t="shared" si="8"/>
        <v>0.41195287508777401</v>
      </c>
      <c r="AS60" s="48">
        <v>840</v>
      </c>
      <c r="AT60" s="27">
        <f t="shared" si="9"/>
        <v>0.3145821955215729</v>
      </c>
      <c r="AU60" s="48">
        <v>0.01</v>
      </c>
      <c r="AV60" s="27">
        <f t="shared" si="10"/>
        <v>3.6796110125501018E-6</v>
      </c>
      <c r="AW60" s="48">
        <v>0.01</v>
      </c>
      <c r="AX60" s="27">
        <f t="shared" si="11"/>
        <v>3.7611049867064394E-6</v>
      </c>
      <c r="AY60" s="48">
        <v>0.05</v>
      </c>
      <c r="AZ60" s="27">
        <f t="shared" si="12"/>
        <v>1.864998195163037E-5</v>
      </c>
      <c r="BA60" s="48">
        <v>0.06</v>
      </c>
      <c r="BB60" s="27">
        <f t="shared" si="13"/>
        <v>2.22184817370813E-5</v>
      </c>
      <c r="BC60" s="48">
        <v>0.01</v>
      </c>
      <c r="BD60" s="27">
        <f t="shared" si="14"/>
        <v>3.7030802895135499E-6</v>
      </c>
      <c r="BE60" s="48">
        <v>1E-3</v>
      </c>
      <c r="BF60" s="27">
        <f t="shared" si="15"/>
        <v>3.6588380716934485E-7</v>
      </c>
      <c r="BG60" s="48">
        <v>2E-3</v>
      </c>
      <c r="BH60" s="27">
        <f t="shared" si="16"/>
        <v>7.3176761433868969E-7</v>
      </c>
      <c r="BI60" s="52">
        <f t="shared" si="17"/>
        <v>840.1429999999998</v>
      </c>
      <c r="BJ60" s="52">
        <f t="shared" si="18"/>
        <v>0.14300000000000002</v>
      </c>
      <c r="BK60" s="27">
        <f t="shared" si="19"/>
        <v>0.31463530543297191</v>
      </c>
      <c r="BL60" s="27">
        <f t="shared" si="20"/>
        <v>5.3109911398989796E-5</v>
      </c>
      <c r="BM60">
        <v>1700</v>
      </c>
      <c r="BN60">
        <v>2.5</v>
      </c>
      <c r="BO60" t="s">
        <v>19</v>
      </c>
      <c r="BP60">
        <v>1700</v>
      </c>
      <c r="BQ60">
        <v>67</v>
      </c>
      <c r="BR60">
        <v>26</v>
      </c>
      <c r="BS60">
        <v>1.4</v>
      </c>
      <c r="BT60">
        <v>3.1</v>
      </c>
      <c r="BU60">
        <v>9.6</v>
      </c>
      <c r="BV60">
        <v>-122</v>
      </c>
      <c r="BW60">
        <v>6.99</v>
      </c>
      <c r="BX60">
        <v>1280</v>
      </c>
      <c r="BY60">
        <v>0.2</v>
      </c>
      <c r="BZ60">
        <v>0.01</v>
      </c>
      <c r="CA60" s="32">
        <v>23</v>
      </c>
      <c r="CB60" s="32">
        <f t="shared" si="21"/>
        <v>0.41181736794986568</v>
      </c>
      <c r="CC60" s="32">
        <f t="shared" si="22"/>
        <v>0.41181736794986568</v>
      </c>
      <c r="CD60" s="32">
        <v>4</v>
      </c>
      <c r="CE60" s="32">
        <f t="shared" si="23"/>
        <v>7.2819952667030771E-2</v>
      </c>
      <c r="CF60" s="32">
        <f t="shared" si="24"/>
        <v>0.14563990533406154</v>
      </c>
      <c r="CG60" s="27">
        <v>16</v>
      </c>
      <c r="CH60" s="27">
        <f t="shared" si="25"/>
        <v>0.16656256506350198</v>
      </c>
      <c r="CI60" s="27">
        <f t="shared" si="26"/>
        <v>1.3325005205080158</v>
      </c>
      <c r="CJ60" s="58">
        <v>65</v>
      </c>
      <c r="CK60" s="58">
        <v>80.246913580246911</v>
      </c>
      <c r="CL60" s="58">
        <v>5.4132833645638145</v>
      </c>
      <c r="CM60" s="58">
        <v>5.4132833645638145</v>
      </c>
      <c r="CN60" s="28">
        <v>16</v>
      </c>
      <c r="CO60" s="28">
        <v>50</v>
      </c>
      <c r="CP60" s="28">
        <v>1.3325005205080158</v>
      </c>
      <c r="CQ60" s="28">
        <v>1.3325005205080158</v>
      </c>
      <c r="CR60" s="32">
        <f t="shared" si="27"/>
        <v>37.784717884655421</v>
      </c>
      <c r="CS60" s="32">
        <v>37.784717884655421</v>
      </c>
      <c r="CT60" s="32">
        <f t="shared" si="28"/>
        <v>60.784717884655421</v>
      </c>
      <c r="CU60" s="32">
        <f t="shared" si="29"/>
        <v>1.0883566317753881</v>
      </c>
      <c r="CV60" s="32">
        <f t="shared" si="30"/>
        <v>1.0883566317753881</v>
      </c>
      <c r="CW60" s="60">
        <f t="shared" si="31"/>
        <v>9.3008536331459499</v>
      </c>
      <c r="CX60" s="60">
        <v>9.3008536331459499</v>
      </c>
      <c r="CY60" s="60">
        <f t="shared" si="32"/>
        <v>32.300853633145948</v>
      </c>
      <c r="CZ60" s="60">
        <f t="shared" si="33"/>
        <v>0.57835010981460966</v>
      </c>
      <c r="DA60" s="60">
        <f t="shared" si="34"/>
        <v>0.57835010981460966</v>
      </c>
      <c r="DB60" s="32">
        <f t="shared" si="35"/>
        <v>1.3325005205080158</v>
      </c>
      <c r="DC60">
        <f t="shared" si="36"/>
        <v>6.6472799016732642</v>
      </c>
      <c r="DD60">
        <f t="shared" si="37"/>
        <v>2.1909699529487365E-2</v>
      </c>
      <c r="DE60">
        <f t="shared" si="38"/>
        <v>0.16372962292462293</v>
      </c>
      <c r="DF60">
        <f t="shared" si="39"/>
        <v>0.8143606775458897</v>
      </c>
      <c r="DG60">
        <f t="shared" si="40"/>
        <v>2.0564905356566872</v>
      </c>
      <c r="DH60">
        <f t="shared" si="41"/>
        <v>7.081963316089622E-2</v>
      </c>
      <c r="DI60">
        <f t="shared" si="42"/>
        <v>0.28123159323460173</v>
      </c>
      <c r="DJ60">
        <f t="shared" si="43"/>
        <v>0.64794877360450198</v>
      </c>
      <c r="DK60" s="64">
        <f t="shared" si="44"/>
        <v>-5.8340907970607905</v>
      </c>
      <c r="DL60" s="64">
        <f t="shared" si="45"/>
        <v>-1.2433014310442136</v>
      </c>
      <c r="DM60" s="64">
        <f t="shared" si="46"/>
        <v>-5.834037687149392</v>
      </c>
      <c r="DN60" s="64">
        <f t="shared" si="47"/>
        <v>-1.2432483211328147</v>
      </c>
      <c r="DO60" t="str">
        <f t="shared" si="48"/>
        <v>Sufficient Capacity</v>
      </c>
      <c r="DP60" t="str">
        <f t="shared" si="49"/>
        <v>Sufficient Capacity</v>
      </c>
    </row>
    <row r="61" spans="1:120" ht="15.75" x14ac:dyDescent="0.25">
      <c r="A61" s="4" t="s">
        <v>114</v>
      </c>
      <c r="B61" s="4" t="s">
        <v>114</v>
      </c>
      <c r="C61" s="2" t="s">
        <v>813</v>
      </c>
      <c r="D61" s="2" t="s">
        <v>503</v>
      </c>
      <c r="E61" s="2" t="s">
        <v>503</v>
      </c>
      <c r="F61" s="2">
        <v>60</v>
      </c>
      <c r="G61" s="2" t="s">
        <v>812</v>
      </c>
      <c r="H61" s="10" t="s">
        <v>656</v>
      </c>
      <c r="I61" s="2">
        <v>150</v>
      </c>
      <c r="J61" s="2">
        <v>65</v>
      </c>
      <c r="K61" s="2">
        <v>6.9</v>
      </c>
      <c r="L61" t="s">
        <v>285</v>
      </c>
      <c r="M61" s="2" t="s">
        <v>1120</v>
      </c>
      <c r="N61" s="2" t="s">
        <v>435</v>
      </c>
      <c r="O61" s="2" t="s">
        <v>666</v>
      </c>
      <c r="P61" s="2" t="s">
        <v>1132</v>
      </c>
      <c r="Q61" s="9" t="s">
        <v>670</v>
      </c>
      <c r="R61" s="2" t="str">
        <f t="shared" si="0"/>
        <v>CW_1_Section_2</v>
      </c>
      <c r="S61" s="2" t="str">
        <f t="shared" si="1"/>
        <v>CW_1_MF06</v>
      </c>
      <c r="T61" s="11" t="s">
        <v>798</v>
      </c>
      <c r="U61" s="1">
        <v>45643</v>
      </c>
      <c r="V61" s="2" t="s">
        <v>799</v>
      </c>
      <c r="W61" s="2" t="s">
        <v>663</v>
      </c>
      <c r="X61" s="2" t="s">
        <v>797</v>
      </c>
      <c r="Y61" s="2" t="str">
        <f t="shared" si="2"/>
        <v>T2_0.60-0.80</v>
      </c>
      <c r="Z61" t="s">
        <v>25</v>
      </c>
      <c r="AA61">
        <v>12</v>
      </c>
      <c r="AB61">
        <v>12</v>
      </c>
      <c r="AC61">
        <v>550</v>
      </c>
      <c r="AD61" s="32">
        <f t="shared" si="3"/>
        <v>0.21124055818717194</v>
      </c>
      <c r="AE61">
        <v>75</v>
      </c>
      <c r="AF61" s="32">
        <f>($AE61/92140)*36</f>
        <v>2.9303234208812676E-2</v>
      </c>
      <c r="AG61">
        <v>440</v>
      </c>
      <c r="AH61" s="32">
        <f t="shared" si="4"/>
        <v>0.17406046905905623</v>
      </c>
      <c r="AI61">
        <v>180</v>
      </c>
      <c r="AJ61" s="32">
        <f t="shared" si="5"/>
        <v>7.120655552415936E-2</v>
      </c>
      <c r="AK61">
        <v>190</v>
      </c>
      <c r="AL61" s="32">
        <f t="shared" si="6"/>
        <v>7.5162475275501545E-2</v>
      </c>
      <c r="AM61">
        <v>370</v>
      </c>
      <c r="AO61" s="49">
        <v>1435</v>
      </c>
      <c r="AP61" s="49">
        <f t="shared" si="7"/>
        <v>0.41460426145504081</v>
      </c>
      <c r="AQ61">
        <v>2600</v>
      </c>
      <c r="AR61" s="32">
        <f t="shared" si="8"/>
        <v>0.97370679566201146</v>
      </c>
      <c r="AS61" s="48">
        <v>1800</v>
      </c>
      <c r="AT61" s="27">
        <f t="shared" si="9"/>
        <v>0.6741047046890849</v>
      </c>
      <c r="AU61" s="48">
        <v>120</v>
      </c>
      <c r="AV61" s="27">
        <f t="shared" si="10"/>
        <v>4.4155332150601224E-2</v>
      </c>
      <c r="AW61" s="48">
        <v>120</v>
      </c>
      <c r="AX61" s="27">
        <f t="shared" si="11"/>
        <v>4.5133259840477273E-2</v>
      </c>
      <c r="AY61" s="48">
        <v>35</v>
      </c>
      <c r="AZ61" s="27">
        <f t="shared" si="12"/>
        <v>1.3054987366141258E-2</v>
      </c>
      <c r="BA61" s="48">
        <v>6.5</v>
      </c>
      <c r="BB61" s="27">
        <f t="shared" si="13"/>
        <v>2.4070021881838072E-3</v>
      </c>
      <c r="BC61" s="48">
        <v>0.63</v>
      </c>
      <c r="BD61" s="27">
        <f t="shared" si="14"/>
        <v>2.3329405823935365E-4</v>
      </c>
      <c r="BE61" s="48">
        <v>0.03</v>
      </c>
      <c r="BF61" s="27">
        <f t="shared" si="15"/>
        <v>1.0976514215080345E-5</v>
      </c>
      <c r="BG61" s="48">
        <v>2E-3</v>
      </c>
      <c r="BH61" s="27">
        <f t="shared" si="16"/>
        <v>7.3176761433868969E-7</v>
      </c>
      <c r="BI61" s="52">
        <f t="shared" si="17"/>
        <v>2082.1620000000003</v>
      </c>
      <c r="BJ61" s="52">
        <f t="shared" si="18"/>
        <v>282.16199999999998</v>
      </c>
      <c r="BK61" s="27">
        <f t="shared" si="19"/>
        <v>0.77910028857455726</v>
      </c>
      <c r="BL61" s="27">
        <f t="shared" si="20"/>
        <v>0.10499558388547234</v>
      </c>
      <c r="BM61">
        <v>3700</v>
      </c>
      <c r="BN61">
        <v>1200</v>
      </c>
      <c r="BO61" t="s">
        <v>19</v>
      </c>
      <c r="BP61">
        <v>4900</v>
      </c>
      <c r="BQ61">
        <v>67</v>
      </c>
      <c r="BR61">
        <v>27</v>
      </c>
      <c r="BS61">
        <v>0.91</v>
      </c>
      <c r="BT61">
        <v>0.39</v>
      </c>
      <c r="BU61">
        <v>9.6</v>
      </c>
      <c r="BV61">
        <v>-139</v>
      </c>
      <c r="BW61">
        <v>7.12</v>
      </c>
      <c r="BX61">
        <v>1340</v>
      </c>
      <c r="BY61">
        <v>0.2</v>
      </c>
      <c r="BZ61">
        <v>0.01</v>
      </c>
      <c r="CA61" s="32">
        <v>2.2000000000000002</v>
      </c>
      <c r="CB61" s="32">
        <f t="shared" si="21"/>
        <v>3.9391226499552373E-2</v>
      </c>
      <c r="CC61" s="32">
        <f t="shared" si="22"/>
        <v>3.9391226499552373E-2</v>
      </c>
      <c r="CD61" s="32">
        <v>0.9</v>
      </c>
      <c r="CE61" s="32">
        <f t="shared" si="23"/>
        <v>1.6384489350081924E-2</v>
      </c>
      <c r="CF61" s="32">
        <f t="shared" si="24"/>
        <v>3.2768978700163848E-2</v>
      </c>
      <c r="CG61" s="27">
        <v>42</v>
      </c>
      <c r="CH61" s="27">
        <f t="shared" si="25"/>
        <v>0.4372267332916927</v>
      </c>
      <c r="CI61" s="27">
        <f t="shared" si="26"/>
        <v>3.4978138663335416</v>
      </c>
      <c r="CJ61" s="58">
        <v>39</v>
      </c>
      <c r="CK61" s="58">
        <v>48.148148148148145</v>
      </c>
      <c r="CL61" s="58">
        <v>3.2479700187382883</v>
      </c>
      <c r="CM61" s="58">
        <v>3.2479700187382883</v>
      </c>
      <c r="CN61" s="28">
        <v>26</v>
      </c>
      <c r="CO61" s="28">
        <v>38.235294117647058</v>
      </c>
      <c r="CP61" s="28">
        <v>2.1653133458255258</v>
      </c>
      <c r="CQ61" s="28">
        <v>2.1653133458255258</v>
      </c>
      <c r="CR61" s="32">
        <f t="shared" si="27"/>
        <v>22.670830730793252</v>
      </c>
      <c r="CS61" s="32">
        <v>22.670830730793252</v>
      </c>
      <c r="CT61" s="32">
        <f t="shared" si="28"/>
        <v>24.870830730793251</v>
      </c>
      <c r="CU61" s="32">
        <f t="shared" si="29"/>
        <v>0.44531478479486575</v>
      </c>
      <c r="CV61" s="32">
        <f t="shared" si="30"/>
        <v>0.44531478479486575</v>
      </c>
      <c r="CW61" s="60">
        <f t="shared" si="31"/>
        <v>15.113887153862169</v>
      </c>
      <c r="CX61" s="60">
        <v>15.113887153862169</v>
      </c>
      <c r="CY61" s="60">
        <f t="shared" si="32"/>
        <v>17.313887153862169</v>
      </c>
      <c r="CZ61" s="60">
        <f t="shared" si="33"/>
        <v>0.31000693202976132</v>
      </c>
      <c r="DA61" s="60">
        <f t="shared" si="34"/>
        <v>0.31000693202976132</v>
      </c>
      <c r="DB61" s="32">
        <f t="shared" si="35"/>
        <v>3.4978138663335416</v>
      </c>
      <c r="DC61">
        <f t="shared" si="36"/>
        <v>3.726053782233318</v>
      </c>
      <c r="DD61">
        <f t="shared" si="37"/>
        <v>8.794553330500457E-3</v>
      </c>
      <c r="DE61">
        <f t="shared" si="38"/>
        <v>0.11951378343442844</v>
      </c>
      <c r="DF61">
        <f t="shared" si="39"/>
        <v>0.87169166323507108</v>
      </c>
      <c r="DG61">
        <f t="shared" si="40"/>
        <v>2.5080892565554511</v>
      </c>
      <c r="DH61">
        <f t="shared" si="41"/>
        <v>1.3065316002815613E-2</v>
      </c>
      <c r="DI61">
        <f t="shared" si="42"/>
        <v>0.12360283080814967</v>
      </c>
      <c r="DJ61">
        <f t="shared" si="43"/>
        <v>0.86333185318903471</v>
      </c>
      <c r="DK61" s="64">
        <f t="shared" si="44"/>
        <v>-2.3377427251162657</v>
      </c>
      <c r="DL61" s="64">
        <f t="shared" si="45"/>
        <v>-1.1197781994383988</v>
      </c>
      <c r="DM61" s="64">
        <f t="shared" si="46"/>
        <v>-2.2327471412307931</v>
      </c>
      <c r="DN61" s="64">
        <f t="shared" si="47"/>
        <v>-1.0147826155529265</v>
      </c>
      <c r="DO61" t="str">
        <f t="shared" si="48"/>
        <v>Sufficient Capacity</v>
      </c>
      <c r="DP61" t="str">
        <f t="shared" si="49"/>
        <v>Sufficient Capacity</v>
      </c>
    </row>
    <row r="62" spans="1:120" ht="15.75" x14ac:dyDescent="0.25">
      <c r="A62" s="4" t="s">
        <v>115</v>
      </c>
      <c r="B62" s="4" t="s">
        <v>115</v>
      </c>
      <c r="C62" s="2" t="s">
        <v>815</v>
      </c>
      <c r="D62" s="2" t="s">
        <v>504</v>
      </c>
      <c r="E62" s="2" t="s">
        <v>504</v>
      </c>
      <c r="F62" s="2">
        <v>61</v>
      </c>
      <c r="G62" s="2" t="s">
        <v>814</v>
      </c>
      <c r="H62" s="10" t="s">
        <v>656</v>
      </c>
      <c r="I62" s="2">
        <v>150</v>
      </c>
      <c r="J62" s="2">
        <v>65</v>
      </c>
      <c r="K62" s="2">
        <v>9.1</v>
      </c>
      <c r="L62" t="s">
        <v>286</v>
      </c>
      <c r="M62" s="2" t="s">
        <v>1120</v>
      </c>
      <c r="N62" s="2" t="s">
        <v>435</v>
      </c>
      <c r="O62" s="2" t="s">
        <v>673</v>
      </c>
      <c r="P62" s="2" t="s">
        <v>1127</v>
      </c>
      <c r="Q62" s="9" t="s">
        <v>674</v>
      </c>
      <c r="R62" s="2" t="str">
        <f t="shared" si="0"/>
        <v>CW_1_Section_3</v>
      </c>
      <c r="S62" s="2" t="str">
        <f t="shared" si="1"/>
        <v>CW_1_MF09</v>
      </c>
      <c r="T62" s="11" t="s">
        <v>798</v>
      </c>
      <c r="U62" s="1">
        <v>45643</v>
      </c>
      <c r="V62" s="2" t="s">
        <v>799</v>
      </c>
      <c r="W62" s="2" t="s">
        <v>655</v>
      </c>
      <c r="X62" s="2" t="s">
        <v>797</v>
      </c>
      <c r="Y62" s="2" t="str">
        <f t="shared" si="2"/>
        <v>T2_0.15-0.30</v>
      </c>
      <c r="Z62" t="s">
        <v>21</v>
      </c>
      <c r="AA62">
        <v>9.8000000000000007</v>
      </c>
      <c r="AB62">
        <v>9.8000000000000007</v>
      </c>
      <c r="AC62">
        <v>330</v>
      </c>
      <c r="AD62" s="32">
        <f t="shared" si="3"/>
        <v>0.12674433491230316</v>
      </c>
      <c r="AE62">
        <v>0.5</v>
      </c>
      <c r="AF62" s="32">
        <f>($AE62/92140)*36</f>
        <v>1.9535489472541785E-4</v>
      </c>
      <c r="AG62">
        <v>130</v>
      </c>
      <c r="AH62" s="32">
        <f t="shared" si="4"/>
        <v>5.1426956767448434E-2</v>
      </c>
      <c r="AI62">
        <v>140</v>
      </c>
      <c r="AJ62" s="32">
        <f t="shared" si="5"/>
        <v>5.5382876518790619E-2</v>
      </c>
      <c r="AK62">
        <v>65</v>
      </c>
      <c r="AL62" s="32">
        <f t="shared" si="6"/>
        <v>2.5713478383724217E-2</v>
      </c>
      <c r="AM62">
        <v>205</v>
      </c>
      <c r="AO62" s="49">
        <v>668.5</v>
      </c>
      <c r="AP62" s="49">
        <f t="shared" si="7"/>
        <v>0.17836664657447701</v>
      </c>
      <c r="AQ62">
        <v>230</v>
      </c>
      <c r="AR62" s="32">
        <f t="shared" si="8"/>
        <v>8.6135601154716385E-2</v>
      </c>
      <c r="AS62" s="48">
        <v>320</v>
      </c>
      <c r="AT62" s="27">
        <f t="shared" si="9"/>
        <v>0.11984083638917062</v>
      </c>
      <c r="AU62" s="48">
        <v>0.01</v>
      </c>
      <c r="AV62" s="27">
        <f t="shared" si="10"/>
        <v>3.6796110125501018E-6</v>
      </c>
      <c r="AW62" s="48">
        <v>0.01</v>
      </c>
      <c r="AX62" s="27">
        <f t="shared" si="11"/>
        <v>3.7611049867064394E-6</v>
      </c>
      <c r="AY62" s="48">
        <v>5.0000000000000001E-3</v>
      </c>
      <c r="AZ62" s="27">
        <f t="shared" si="12"/>
        <v>1.8649981951630372E-6</v>
      </c>
      <c r="BA62" s="48">
        <v>1E-3</v>
      </c>
      <c r="BB62" s="27">
        <f t="shared" si="13"/>
        <v>3.7030802895135499E-7</v>
      </c>
      <c r="BC62" s="48">
        <v>1E-3</v>
      </c>
      <c r="BD62" s="27">
        <f t="shared" si="14"/>
        <v>3.7030802895135499E-7</v>
      </c>
      <c r="BE62" s="48">
        <v>1E-3</v>
      </c>
      <c r="BF62" s="27">
        <f t="shared" si="15"/>
        <v>3.6588380716934485E-7</v>
      </c>
      <c r="BG62" s="48">
        <v>2E-3</v>
      </c>
      <c r="BH62" s="27">
        <f t="shared" si="16"/>
        <v>7.3176761433868969E-7</v>
      </c>
      <c r="BI62" s="52">
        <f t="shared" si="17"/>
        <v>320.02999999999992</v>
      </c>
      <c r="BJ62" s="52">
        <f t="shared" si="18"/>
        <v>3.0000000000000006E-2</v>
      </c>
      <c r="BK62" s="27">
        <f t="shared" si="19"/>
        <v>0.11985198037084445</v>
      </c>
      <c r="BL62" s="27">
        <f t="shared" si="20"/>
        <v>1.1143981673830322E-5</v>
      </c>
      <c r="BM62">
        <v>460</v>
      </c>
      <c r="BN62">
        <v>25</v>
      </c>
      <c r="BO62" t="s">
        <v>19</v>
      </c>
      <c r="BP62">
        <v>500</v>
      </c>
      <c r="BQ62">
        <v>65</v>
      </c>
      <c r="BR62">
        <v>26</v>
      </c>
      <c r="BS62">
        <v>0.93</v>
      </c>
      <c r="BT62">
        <v>3.08</v>
      </c>
      <c r="BU62">
        <v>9.8000000000000007</v>
      </c>
      <c r="BV62">
        <v>-108</v>
      </c>
      <c r="BW62">
        <v>7.09</v>
      </c>
      <c r="BX62">
        <v>855</v>
      </c>
      <c r="BY62">
        <v>0.2</v>
      </c>
      <c r="BZ62">
        <v>0.01</v>
      </c>
      <c r="CA62" s="32">
        <v>23</v>
      </c>
      <c r="CB62" s="32">
        <f t="shared" si="21"/>
        <v>0.41181736794986568</v>
      </c>
      <c r="CC62" s="32">
        <f t="shared" si="22"/>
        <v>0.41181736794986568</v>
      </c>
      <c r="CD62" s="32">
        <v>3.6</v>
      </c>
      <c r="CE62" s="32">
        <f t="shared" si="23"/>
        <v>6.5537957400327695E-2</v>
      </c>
      <c r="CF62" s="32">
        <f t="shared" si="24"/>
        <v>0.13107591480065539</v>
      </c>
      <c r="CG62" s="27">
        <v>0.5</v>
      </c>
      <c r="CH62" s="27">
        <f t="shared" si="25"/>
        <v>5.2050801582344368E-3</v>
      </c>
      <c r="CI62" s="27">
        <f t="shared" si="26"/>
        <v>4.1640641265875494E-2</v>
      </c>
      <c r="CJ62" s="58">
        <v>80.5</v>
      </c>
      <c r="CK62" s="58">
        <v>99.382716049382708</v>
      </c>
      <c r="CL62" s="58">
        <v>6.7041432438059543</v>
      </c>
      <c r="CM62" s="58">
        <v>6.7041432438059543</v>
      </c>
      <c r="CN62" s="28">
        <v>15.5</v>
      </c>
      <c r="CO62" s="28">
        <v>96.875</v>
      </c>
      <c r="CP62" s="28">
        <v>1.2908598792421404</v>
      </c>
      <c r="CQ62" s="28">
        <v>1.2908598792421404</v>
      </c>
      <c r="CR62" s="32">
        <f t="shared" si="27"/>
        <v>46.794919841765562</v>
      </c>
      <c r="CS62" s="32">
        <v>46.794919841765562</v>
      </c>
      <c r="CT62" s="32">
        <f t="shared" si="28"/>
        <v>69.794919841765562</v>
      </c>
      <c r="CU62" s="32">
        <f t="shared" si="29"/>
        <v>1.2496852254568587</v>
      </c>
      <c r="CV62" s="32">
        <f t="shared" si="30"/>
        <v>1.2496852254568587</v>
      </c>
      <c r="CW62" s="60">
        <f t="shared" si="31"/>
        <v>9.010201957110139</v>
      </c>
      <c r="CX62" s="60">
        <v>9.010201957110139</v>
      </c>
      <c r="CY62" s="60">
        <f t="shared" si="32"/>
        <v>32.010201957110141</v>
      </c>
      <c r="CZ62" s="60">
        <f t="shared" si="33"/>
        <v>0.57314596163133646</v>
      </c>
      <c r="DA62" s="60">
        <f t="shared" si="34"/>
        <v>0.57314596163133646</v>
      </c>
      <c r="DB62" s="32">
        <f t="shared" si="35"/>
        <v>4.1640641265875494E-2</v>
      </c>
      <c r="DC62">
        <f t="shared" si="36"/>
        <v>8.0849043840634689</v>
      </c>
      <c r="DD62">
        <f t="shared" si="37"/>
        <v>1.6212426093625203E-2</v>
      </c>
      <c r="DE62">
        <f t="shared" si="38"/>
        <v>0.15457019231052024</v>
      </c>
      <c r="DF62">
        <f t="shared" si="39"/>
        <v>0.82921738159585445</v>
      </c>
      <c r="DG62">
        <f t="shared" si="40"/>
        <v>1.9950817556741323</v>
      </c>
      <c r="DH62">
        <f t="shared" si="41"/>
        <v>6.5699520547399942E-2</v>
      </c>
      <c r="DI62">
        <f t="shared" si="42"/>
        <v>0.28727943604379869</v>
      </c>
      <c r="DJ62">
        <f t="shared" si="43"/>
        <v>0.6470210434088014</v>
      </c>
      <c r="DK62" s="64">
        <f t="shared" si="44"/>
        <v>-7.8204021363342751</v>
      </c>
      <c r="DL62" s="64">
        <f t="shared" si="45"/>
        <v>-1.7305795079449389</v>
      </c>
      <c r="DM62" s="64">
        <f t="shared" si="46"/>
        <v>-7.8203909923526016</v>
      </c>
      <c r="DN62" s="64">
        <f t="shared" si="47"/>
        <v>-1.730568363963265</v>
      </c>
      <c r="DO62" t="str">
        <f t="shared" si="48"/>
        <v>Sufficient Capacity</v>
      </c>
      <c r="DP62" t="str">
        <f t="shared" si="49"/>
        <v>Sufficient Capacity</v>
      </c>
    </row>
    <row r="63" spans="1:120" ht="15.75" x14ac:dyDescent="0.25">
      <c r="A63" s="4" t="s">
        <v>116</v>
      </c>
      <c r="B63" s="4" t="s">
        <v>116</v>
      </c>
      <c r="C63" s="2" t="s">
        <v>817</v>
      </c>
      <c r="D63" s="2" t="s">
        <v>505</v>
      </c>
      <c r="E63" s="2" t="s">
        <v>505</v>
      </c>
      <c r="F63" s="2">
        <v>62</v>
      </c>
      <c r="G63" s="2" t="s">
        <v>816</v>
      </c>
      <c r="H63" s="10" t="s">
        <v>656</v>
      </c>
      <c r="I63" s="2">
        <v>150</v>
      </c>
      <c r="J63" s="2">
        <v>65</v>
      </c>
      <c r="K63" s="2">
        <v>28.1</v>
      </c>
      <c r="L63" t="s">
        <v>287</v>
      </c>
      <c r="M63" s="2" t="s">
        <v>1120</v>
      </c>
      <c r="N63" s="2" t="s">
        <v>435</v>
      </c>
      <c r="O63" s="2" t="s">
        <v>673</v>
      </c>
      <c r="P63" s="2" t="s">
        <v>1128</v>
      </c>
      <c r="Q63" s="9" t="s">
        <v>677</v>
      </c>
      <c r="R63" s="2" t="str">
        <f t="shared" si="0"/>
        <v>CW_1_Section_3</v>
      </c>
      <c r="S63" s="2" t="str">
        <f t="shared" si="1"/>
        <v>CW_1_MF10</v>
      </c>
      <c r="T63" s="11" t="s">
        <v>798</v>
      </c>
      <c r="U63" s="1">
        <v>45643</v>
      </c>
      <c r="V63" s="2" t="s">
        <v>799</v>
      </c>
      <c r="W63" s="2" t="s">
        <v>663</v>
      </c>
      <c r="X63" s="2" t="s">
        <v>797</v>
      </c>
      <c r="Y63" s="2" t="str">
        <f t="shared" si="2"/>
        <v>T2_0.60-0.80</v>
      </c>
      <c r="Z63" t="s">
        <v>23</v>
      </c>
      <c r="AA63">
        <v>11</v>
      </c>
      <c r="AB63">
        <v>11</v>
      </c>
      <c r="AC63">
        <v>560</v>
      </c>
      <c r="AD63" s="32">
        <f t="shared" si="3"/>
        <v>0.21508129560875688</v>
      </c>
      <c r="AE63">
        <v>1</v>
      </c>
      <c r="AF63" s="32">
        <f>($AE63/92140)*36</f>
        <v>3.9070978945083569E-4</v>
      </c>
      <c r="AG63">
        <v>370</v>
      </c>
      <c r="AH63" s="32">
        <f t="shared" si="4"/>
        <v>0.14636903079966093</v>
      </c>
      <c r="AI63">
        <v>220</v>
      </c>
      <c r="AJ63" s="32">
        <f t="shared" si="5"/>
        <v>8.7030234529528114E-2</v>
      </c>
      <c r="AK63">
        <v>130</v>
      </c>
      <c r="AL63" s="32">
        <f t="shared" si="6"/>
        <v>5.1426956767448434E-2</v>
      </c>
      <c r="AM63">
        <v>350</v>
      </c>
      <c r="AO63" s="49">
        <v>1287</v>
      </c>
      <c r="AP63" s="49">
        <f t="shared" si="7"/>
        <v>0.36184103619786867</v>
      </c>
      <c r="AQ63">
        <v>2200</v>
      </c>
      <c r="AR63" s="32">
        <f t="shared" si="8"/>
        <v>0.82390575017554801</v>
      </c>
      <c r="AS63" s="48">
        <v>1700</v>
      </c>
      <c r="AT63" s="27">
        <f t="shared" si="9"/>
        <v>0.63665444331746901</v>
      </c>
      <c r="AU63" s="48">
        <v>85</v>
      </c>
      <c r="AV63" s="27">
        <f t="shared" si="10"/>
        <v>3.1276693606675864E-2</v>
      </c>
      <c r="AW63" s="48">
        <v>75</v>
      </c>
      <c r="AX63" s="27">
        <f t="shared" si="11"/>
        <v>2.8208287400298297E-2</v>
      </c>
      <c r="AY63" s="48">
        <v>2</v>
      </c>
      <c r="AZ63" s="27">
        <f t="shared" si="12"/>
        <v>7.4599927806521475E-4</v>
      </c>
      <c r="BA63" s="48">
        <v>1.6</v>
      </c>
      <c r="BB63" s="27">
        <f t="shared" si="13"/>
        <v>5.9249284632216796E-4</v>
      </c>
      <c r="BC63" s="48">
        <v>0.17</v>
      </c>
      <c r="BD63" s="27">
        <f t="shared" si="14"/>
        <v>6.2952364921730342E-5</v>
      </c>
      <c r="BE63" s="48">
        <v>0.04</v>
      </c>
      <c r="BF63" s="27">
        <f t="shared" si="15"/>
        <v>1.4635352286773795E-5</v>
      </c>
      <c r="BG63" s="48">
        <v>2E-3</v>
      </c>
      <c r="BH63" s="27">
        <f t="shared" si="16"/>
        <v>7.3176761433868969E-7</v>
      </c>
      <c r="BI63" s="52">
        <f t="shared" si="17"/>
        <v>1863.8119999999999</v>
      </c>
      <c r="BJ63" s="52">
        <f t="shared" si="18"/>
        <v>163.81199999999998</v>
      </c>
      <c r="BK63" s="27">
        <f t="shared" si="19"/>
        <v>0.69755623593365335</v>
      </c>
      <c r="BL63" s="27">
        <f t="shared" si="20"/>
        <v>6.0901792616184384E-2</v>
      </c>
      <c r="BM63">
        <v>3200</v>
      </c>
      <c r="BN63">
        <v>770</v>
      </c>
      <c r="BO63" t="s">
        <v>19</v>
      </c>
      <c r="BP63">
        <v>4000</v>
      </c>
      <c r="BQ63">
        <v>67</v>
      </c>
      <c r="BR63">
        <v>28</v>
      </c>
      <c r="BS63">
        <v>0.53</v>
      </c>
      <c r="BT63">
        <v>0.42</v>
      </c>
      <c r="BU63">
        <v>9.5</v>
      </c>
      <c r="BV63">
        <v>-112</v>
      </c>
      <c r="BW63">
        <v>7.18</v>
      </c>
      <c r="BX63">
        <v>950</v>
      </c>
      <c r="BY63">
        <v>0.2</v>
      </c>
      <c r="BZ63">
        <v>0.01</v>
      </c>
      <c r="CA63" s="32">
        <v>1.7</v>
      </c>
      <c r="CB63" s="32">
        <f t="shared" si="21"/>
        <v>3.0438675022381376E-2</v>
      </c>
      <c r="CC63" s="32">
        <f t="shared" si="22"/>
        <v>3.0438675022381376E-2</v>
      </c>
      <c r="CD63" s="32">
        <v>1.6</v>
      </c>
      <c r="CE63" s="32">
        <f t="shared" si="23"/>
        <v>2.912798106681231E-2</v>
      </c>
      <c r="CF63" s="32">
        <f t="shared" si="24"/>
        <v>5.825596213362462E-2</v>
      </c>
      <c r="CG63" s="27">
        <v>50</v>
      </c>
      <c r="CH63" s="27">
        <f t="shared" si="25"/>
        <v>0.52050801582344364</v>
      </c>
      <c r="CI63" s="27">
        <f t="shared" si="26"/>
        <v>4.1640641265875491</v>
      </c>
      <c r="CJ63" s="58">
        <v>31</v>
      </c>
      <c r="CK63" s="58">
        <v>38.271604938271601</v>
      </c>
      <c r="CL63" s="58">
        <v>2.5817197584842808</v>
      </c>
      <c r="CM63" s="58">
        <v>2.5817197584842808</v>
      </c>
      <c r="CN63" s="28">
        <v>-8</v>
      </c>
      <c r="CO63" s="28">
        <v>-19.047619047619047</v>
      </c>
      <c r="CP63" s="28">
        <v>-0.66625026025400791</v>
      </c>
      <c r="CR63" s="32">
        <f t="shared" si="27"/>
        <v>18.020403914220278</v>
      </c>
      <c r="CS63" s="32">
        <v>18.020403914220278</v>
      </c>
      <c r="CT63" s="32">
        <f t="shared" si="28"/>
        <v>19.720403914220277</v>
      </c>
      <c r="CU63" s="32">
        <f t="shared" si="29"/>
        <v>0.35309586238532276</v>
      </c>
      <c r="CV63" s="32">
        <f t="shared" si="30"/>
        <v>0.35309586238532276</v>
      </c>
      <c r="CW63" s="60">
        <f t="shared" si="31"/>
        <v>-4.650426816572975</v>
      </c>
      <c r="CY63" s="60">
        <f t="shared" si="32"/>
        <v>1.7</v>
      </c>
      <c r="CZ63" s="60">
        <f t="shared" si="33"/>
        <v>3.0438675022381376E-2</v>
      </c>
      <c r="DA63" s="60">
        <f t="shared" si="34"/>
        <v>3.0438675022381376E-2</v>
      </c>
      <c r="DB63" s="32">
        <f t="shared" si="35"/>
        <v>4.1640641265875491</v>
      </c>
      <c r="DC63">
        <f t="shared" si="36"/>
        <v>2.9930715830032284</v>
      </c>
      <c r="DD63">
        <f t="shared" si="37"/>
        <v>1.9463604701084686E-2</v>
      </c>
      <c r="DE63">
        <f t="shared" si="38"/>
        <v>0.11797107172125455</v>
      </c>
      <c r="DF63">
        <f t="shared" si="39"/>
        <v>0.86256532357766069</v>
      </c>
      <c r="DG63">
        <f t="shared" si="40"/>
        <v>8.8694637156005993E-2</v>
      </c>
      <c r="DH63">
        <f t="shared" si="41"/>
        <v>0.65681493269043489</v>
      </c>
      <c r="DI63">
        <f t="shared" si="42"/>
        <v>0.34318506730956516</v>
      </c>
      <c r="DJ63">
        <f t="shared" si="43"/>
        <v>0</v>
      </c>
      <c r="DK63" s="64">
        <f t="shared" si="44"/>
        <v>-1.8073247966298118</v>
      </c>
      <c r="DL63" s="64">
        <f t="shared" si="45"/>
        <v>1.0970521492174106</v>
      </c>
      <c r="DM63" s="64">
        <f t="shared" si="46"/>
        <v>-1.7464230040136275</v>
      </c>
      <c r="DN63" s="64">
        <f t="shared" si="47"/>
        <v>1.1579539418335949</v>
      </c>
      <c r="DO63" t="str">
        <f t="shared" si="48"/>
        <v>Sufficient Capacity</v>
      </c>
      <c r="DP63" t="str">
        <f t="shared" si="49"/>
        <v>Insufficient Capacity</v>
      </c>
    </row>
    <row r="64" spans="1:120" ht="15.75" x14ac:dyDescent="0.25">
      <c r="A64" s="4" t="s">
        <v>117</v>
      </c>
      <c r="B64" s="4" t="s">
        <v>117</v>
      </c>
      <c r="C64" s="2" t="s">
        <v>819</v>
      </c>
      <c r="D64" s="2" t="s">
        <v>506</v>
      </c>
      <c r="E64" s="2" t="s">
        <v>506</v>
      </c>
      <c r="F64" s="2">
        <v>63</v>
      </c>
      <c r="G64" s="2" t="s">
        <v>818</v>
      </c>
      <c r="H64" s="10" t="s">
        <v>656</v>
      </c>
      <c r="I64" s="2">
        <v>150</v>
      </c>
      <c r="J64" s="2">
        <v>65</v>
      </c>
      <c r="K64" s="2">
        <v>7.6</v>
      </c>
      <c r="L64" t="s">
        <v>290</v>
      </c>
      <c r="M64" s="2" t="s">
        <v>1120</v>
      </c>
      <c r="N64" s="2" t="s">
        <v>436</v>
      </c>
      <c r="O64" s="2" t="s">
        <v>653</v>
      </c>
      <c r="P64" s="2" t="s">
        <v>1123</v>
      </c>
      <c r="Q64" s="9" t="s">
        <v>713</v>
      </c>
      <c r="R64" s="2" t="str">
        <f t="shared" si="0"/>
        <v>CW_2_Section_1</v>
      </c>
      <c r="S64" s="2" t="str">
        <f t="shared" si="1"/>
        <v>CW_2_MF01</v>
      </c>
      <c r="T64" s="11" t="s">
        <v>798</v>
      </c>
      <c r="U64" s="1">
        <v>45643</v>
      </c>
      <c r="V64" s="2" t="s">
        <v>799</v>
      </c>
      <c r="W64" s="2" t="s">
        <v>655</v>
      </c>
      <c r="X64" s="2" t="s">
        <v>797</v>
      </c>
      <c r="Y64" s="2" t="str">
        <f t="shared" si="2"/>
        <v>T2_0.15-0.30</v>
      </c>
      <c r="Z64" t="s">
        <v>41</v>
      </c>
      <c r="AA64">
        <v>22</v>
      </c>
      <c r="AB64">
        <v>13</v>
      </c>
      <c r="AC64">
        <v>530</v>
      </c>
      <c r="AD64" s="32">
        <f t="shared" si="3"/>
        <v>0.20355908334400205</v>
      </c>
      <c r="AE64">
        <v>0.5</v>
      </c>
      <c r="AF64" s="32">
        <f>($AE64/92140)*36</f>
        <v>1.9535489472541785E-4</v>
      </c>
      <c r="AG64">
        <v>500</v>
      </c>
      <c r="AH64" s="32">
        <f t="shared" si="4"/>
        <v>0.19779598756710934</v>
      </c>
      <c r="AI64">
        <v>230</v>
      </c>
      <c r="AJ64" s="32">
        <f t="shared" si="5"/>
        <v>9.0986154280870299E-2</v>
      </c>
      <c r="AK64">
        <v>180</v>
      </c>
      <c r="AL64" s="32">
        <f t="shared" si="6"/>
        <v>7.120655552415936E-2</v>
      </c>
      <c r="AM64">
        <v>410</v>
      </c>
      <c r="AO64" s="49">
        <v>1443.5</v>
      </c>
      <c r="AP64" s="49">
        <f t="shared" si="7"/>
        <v>0.40155042580583677</v>
      </c>
      <c r="AQ64">
        <v>1900</v>
      </c>
      <c r="AR64" s="32">
        <f t="shared" si="8"/>
        <v>0.71155496606070068</v>
      </c>
      <c r="AS64" s="48">
        <v>510</v>
      </c>
      <c r="AT64" s="27">
        <f t="shared" si="9"/>
        <v>0.19099633299524069</v>
      </c>
      <c r="AU64" s="48">
        <v>0.01</v>
      </c>
      <c r="AV64" s="27">
        <f t="shared" si="10"/>
        <v>3.6796110125501018E-6</v>
      </c>
      <c r="AW64" s="48">
        <v>0.01</v>
      </c>
      <c r="AX64" s="27">
        <f t="shared" si="11"/>
        <v>3.7611049867064394E-6</v>
      </c>
      <c r="AY64" s="48">
        <v>5.0000000000000001E-3</v>
      </c>
      <c r="AZ64" s="27">
        <f t="shared" si="12"/>
        <v>1.8649981951630372E-6</v>
      </c>
      <c r="BA64" s="48">
        <v>1E-3</v>
      </c>
      <c r="BB64" s="27">
        <f t="shared" si="13"/>
        <v>3.7030802895135499E-7</v>
      </c>
      <c r="BC64" s="48">
        <v>1E-3</v>
      </c>
      <c r="BD64" s="27">
        <f t="shared" si="14"/>
        <v>3.7030802895135499E-7</v>
      </c>
      <c r="BE64" s="48">
        <v>1E-3</v>
      </c>
      <c r="BF64" s="27">
        <f t="shared" si="15"/>
        <v>3.6588380716934485E-7</v>
      </c>
      <c r="BG64" s="48">
        <v>2E-3</v>
      </c>
      <c r="BH64" s="27">
        <f t="shared" si="16"/>
        <v>7.3176761433868969E-7</v>
      </c>
      <c r="BI64" s="52">
        <f t="shared" si="17"/>
        <v>510.02999999999992</v>
      </c>
      <c r="BJ64" s="52">
        <f t="shared" si="18"/>
        <v>3.0000000000000006E-2</v>
      </c>
      <c r="BK64" s="27">
        <f t="shared" si="19"/>
        <v>0.19100747697691453</v>
      </c>
      <c r="BL64" s="27">
        <f t="shared" si="20"/>
        <v>1.1143981673830322E-5</v>
      </c>
      <c r="BM64">
        <v>3800</v>
      </c>
      <c r="BN64">
        <v>40</v>
      </c>
      <c r="BO64" t="s">
        <v>19</v>
      </c>
      <c r="BP64">
        <v>3900</v>
      </c>
      <c r="BQ64">
        <v>68</v>
      </c>
      <c r="BR64">
        <v>27</v>
      </c>
      <c r="BS64">
        <v>1.2</v>
      </c>
      <c r="BT64">
        <v>3.51</v>
      </c>
      <c r="BU64">
        <v>9.6</v>
      </c>
      <c r="BV64">
        <v>-99</v>
      </c>
      <c r="BW64">
        <v>6.95</v>
      </c>
      <c r="BX64">
        <v>802</v>
      </c>
      <c r="BY64">
        <v>0.2</v>
      </c>
      <c r="BZ64">
        <v>0.01</v>
      </c>
      <c r="CA64" s="32">
        <v>12</v>
      </c>
      <c r="CB64" s="32">
        <f t="shared" si="21"/>
        <v>0.21486123545210384</v>
      </c>
      <c r="CC64" s="32">
        <f t="shared" si="22"/>
        <v>0.21486123545210384</v>
      </c>
      <c r="CD64" s="32">
        <v>2.6</v>
      </c>
      <c r="CE64" s="32">
        <f t="shared" si="23"/>
        <v>4.7332969233569999E-2</v>
      </c>
      <c r="CF64" s="32">
        <f t="shared" si="24"/>
        <v>9.4665938467139998E-2</v>
      </c>
      <c r="CG64" s="27">
        <v>54</v>
      </c>
      <c r="CH64" s="27">
        <f t="shared" si="25"/>
        <v>0.56214865708931916</v>
      </c>
      <c r="CI64" s="27">
        <f t="shared" si="26"/>
        <v>4.4971892567145533</v>
      </c>
      <c r="CJ64" s="58">
        <v>27</v>
      </c>
      <c r="CK64" s="58">
        <v>33.333333333333329</v>
      </c>
      <c r="CL64" s="58">
        <v>2.2485946283572766</v>
      </c>
      <c r="CM64" s="58">
        <v>2.2485946283572766</v>
      </c>
      <c r="CN64" s="28">
        <v>27</v>
      </c>
      <c r="CO64" s="28">
        <v>33.333333333333329</v>
      </c>
      <c r="CP64" s="28">
        <v>2.2485946283572766</v>
      </c>
      <c r="CQ64" s="28">
        <v>2.2485946283572766</v>
      </c>
      <c r="CR64" s="32">
        <f t="shared" si="27"/>
        <v>15.695190505933791</v>
      </c>
      <c r="CS64" s="32">
        <v>15.695190505933791</v>
      </c>
      <c r="CT64" s="32">
        <f t="shared" si="28"/>
        <v>27.695190505933791</v>
      </c>
      <c r="CU64" s="32">
        <f t="shared" si="29"/>
        <v>0.49588523734885925</v>
      </c>
      <c r="CV64" s="32">
        <f t="shared" si="30"/>
        <v>0.49588523734885925</v>
      </c>
      <c r="CW64" s="60">
        <f t="shared" si="31"/>
        <v>15.695190505933791</v>
      </c>
      <c r="CX64" s="60">
        <v>15.695190505933791</v>
      </c>
      <c r="CY64" s="60">
        <f t="shared" si="32"/>
        <v>27.695190505933791</v>
      </c>
      <c r="CZ64" s="60">
        <f t="shared" si="33"/>
        <v>0.49588523734885925</v>
      </c>
      <c r="DA64" s="60">
        <f t="shared" si="34"/>
        <v>0.49588523734885925</v>
      </c>
      <c r="DB64" s="32">
        <f t="shared" si="35"/>
        <v>4.4971892567145533</v>
      </c>
      <c r="DC64">
        <f t="shared" si="36"/>
        <v>2.8391458041732758</v>
      </c>
      <c r="DD64">
        <f t="shared" si="37"/>
        <v>3.3343105636910238E-2</v>
      </c>
      <c r="DE64">
        <f t="shared" si="38"/>
        <v>0.17466001098638712</v>
      </c>
      <c r="DF64">
        <f t="shared" si="39"/>
        <v>0.79199688337670271</v>
      </c>
      <c r="DG64">
        <f t="shared" si="40"/>
        <v>2.8391458041732758</v>
      </c>
      <c r="DH64">
        <f t="shared" si="41"/>
        <v>3.3343105636910238E-2</v>
      </c>
      <c r="DI64">
        <f t="shared" si="42"/>
        <v>0.17466001098638712</v>
      </c>
      <c r="DJ64">
        <f t="shared" si="43"/>
        <v>0.79199688337670271</v>
      </c>
      <c r="DK64" s="64">
        <f t="shared" si="44"/>
        <v>-1.7260404123067383</v>
      </c>
      <c r="DL64" s="64">
        <f t="shared" si="45"/>
        <v>-1.7260404123067383</v>
      </c>
      <c r="DM64" s="64">
        <f t="shared" si="46"/>
        <v>-1.7260292683250644</v>
      </c>
      <c r="DN64" s="64">
        <f t="shared" si="47"/>
        <v>-1.7260292683250644</v>
      </c>
      <c r="DO64" t="str">
        <f t="shared" si="48"/>
        <v>Sufficient Capacity</v>
      </c>
      <c r="DP64" t="str">
        <f t="shared" si="49"/>
        <v>Sufficient Capacity</v>
      </c>
    </row>
    <row r="65" spans="1:120" ht="15.75" x14ac:dyDescent="0.25">
      <c r="A65" s="4" t="s">
        <v>118</v>
      </c>
      <c r="B65" s="4" t="s">
        <v>118</v>
      </c>
      <c r="C65" s="2" t="s">
        <v>821</v>
      </c>
      <c r="D65" s="2" t="s">
        <v>507</v>
      </c>
      <c r="E65" s="2" t="s">
        <v>507</v>
      </c>
      <c r="F65" s="2">
        <v>64</v>
      </c>
      <c r="G65" s="2" t="s">
        <v>820</v>
      </c>
      <c r="H65" s="10" t="s">
        <v>656</v>
      </c>
      <c r="I65" s="2">
        <v>150</v>
      </c>
      <c r="J65" s="2">
        <v>65</v>
      </c>
      <c r="K65" s="2">
        <v>3.1</v>
      </c>
      <c r="L65" t="s">
        <v>291</v>
      </c>
      <c r="M65" s="2" t="s">
        <v>1120</v>
      </c>
      <c r="N65" s="2" t="s">
        <v>436</v>
      </c>
      <c r="O65" s="2" t="s">
        <v>653</v>
      </c>
      <c r="P65" s="2" t="s">
        <v>1124</v>
      </c>
      <c r="Q65" s="9" t="s">
        <v>716</v>
      </c>
      <c r="R65" s="2" t="str">
        <f t="shared" si="0"/>
        <v>CW_2_Section_1</v>
      </c>
      <c r="S65" s="2" t="str">
        <f t="shared" si="1"/>
        <v>CW_2_MF02</v>
      </c>
      <c r="T65" s="11" t="s">
        <v>798</v>
      </c>
      <c r="U65" s="1">
        <v>45643</v>
      </c>
      <c r="V65" s="2" t="s">
        <v>799</v>
      </c>
      <c r="W65" s="2" t="s">
        <v>663</v>
      </c>
      <c r="X65" s="2" t="s">
        <v>797</v>
      </c>
      <c r="Y65" s="2" t="str">
        <f t="shared" si="2"/>
        <v>T2_0.60-0.80</v>
      </c>
      <c r="Z65" t="s">
        <v>43</v>
      </c>
      <c r="AA65">
        <v>14</v>
      </c>
      <c r="AB65">
        <v>14</v>
      </c>
      <c r="AC65">
        <v>520</v>
      </c>
      <c r="AD65" s="32">
        <f t="shared" si="3"/>
        <v>0.19971834592241711</v>
      </c>
      <c r="AE65">
        <v>97</v>
      </c>
      <c r="AF65" s="32">
        <f>($AE65/92140)*36</f>
        <v>3.7898849576731064E-2</v>
      </c>
      <c r="AG65">
        <v>470</v>
      </c>
      <c r="AH65" s="32">
        <f t="shared" si="4"/>
        <v>0.18592822831308278</v>
      </c>
      <c r="AI65">
        <v>200</v>
      </c>
      <c r="AJ65" s="32">
        <f t="shared" si="5"/>
        <v>7.9118395026843744E-2</v>
      </c>
      <c r="AK65">
        <v>300</v>
      </c>
      <c r="AL65" s="32">
        <f t="shared" si="6"/>
        <v>0.11867759254026561</v>
      </c>
      <c r="AM65">
        <v>500</v>
      </c>
      <c r="AO65" s="49">
        <v>1587</v>
      </c>
      <c r="AP65" s="49">
        <f t="shared" si="7"/>
        <v>0.42354542381223093</v>
      </c>
      <c r="AQ65">
        <v>3100</v>
      </c>
      <c r="AR65" s="32">
        <f t="shared" si="8"/>
        <v>1.1609581025200906</v>
      </c>
      <c r="AS65" s="48">
        <v>1200</v>
      </c>
      <c r="AT65" s="27">
        <f t="shared" si="9"/>
        <v>0.44940313645938984</v>
      </c>
      <c r="AU65" s="48">
        <v>130</v>
      </c>
      <c r="AV65" s="27">
        <f t="shared" si="10"/>
        <v>4.7834943163151324E-2</v>
      </c>
      <c r="AW65" s="48">
        <v>100</v>
      </c>
      <c r="AX65" s="27">
        <f t="shared" si="11"/>
        <v>3.7611049867064393E-2</v>
      </c>
      <c r="AY65" s="48">
        <v>41</v>
      </c>
      <c r="AZ65" s="27">
        <f t="shared" si="12"/>
        <v>1.5292985200336905E-2</v>
      </c>
      <c r="BA65" s="48">
        <v>13</v>
      </c>
      <c r="BB65" s="27">
        <f t="shared" si="13"/>
        <v>4.8140043763676144E-3</v>
      </c>
      <c r="BC65" s="48">
        <v>3.5</v>
      </c>
      <c r="BD65" s="27">
        <f t="shared" si="14"/>
        <v>1.2960781013297423E-3</v>
      </c>
      <c r="BE65" s="48">
        <v>0.69</v>
      </c>
      <c r="BF65" s="27">
        <f t="shared" si="15"/>
        <v>2.5245982694684793E-4</v>
      </c>
      <c r="BG65" s="48">
        <v>0.63</v>
      </c>
      <c r="BH65" s="27">
        <f t="shared" si="16"/>
        <v>2.3050679851668727E-4</v>
      </c>
      <c r="BI65" s="52">
        <f t="shared" si="17"/>
        <v>1488.8200000000002</v>
      </c>
      <c r="BJ65" s="52">
        <f t="shared" si="18"/>
        <v>288.82</v>
      </c>
      <c r="BK65" s="27">
        <f t="shared" si="19"/>
        <v>0.55673516379310339</v>
      </c>
      <c r="BL65" s="27">
        <f t="shared" si="20"/>
        <v>0.10733202733371353</v>
      </c>
      <c r="BM65">
        <v>6000</v>
      </c>
      <c r="BN65">
        <v>2200</v>
      </c>
      <c r="BO65" t="s">
        <v>19</v>
      </c>
      <c r="BP65">
        <v>8200</v>
      </c>
      <c r="BQ65">
        <v>68</v>
      </c>
      <c r="BR65">
        <v>28</v>
      </c>
      <c r="BS65">
        <v>0.79</v>
      </c>
      <c r="BT65">
        <v>0.36</v>
      </c>
      <c r="BU65">
        <v>9.1</v>
      </c>
      <c r="BV65">
        <v>-1.35</v>
      </c>
      <c r="BW65">
        <v>7.18</v>
      </c>
      <c r="BX65">
        <v>1140</v>
      </c>
      <c r="BY65">
        <v>0.2</v>
      </c>
      <c r="BZ65">
        <v>0.01</v>
      </c>
      <c r="CA65" s="32">
        <v>0.6</v>
      </c>
      <c r="CB65" s="32">
        <f t="shared" si="21"/>
        <v>1.0743061772605192E-2</v>
      </c>
      <c r="CC65" s="32">
        <f t="shared" si="22"/>
        <v>1.0743061772605192E-2</v>
      </c>
      <c r="CD65" s="32">
        <v>1</v>
      </c>
      <c r="CE65" s="32">
        <f t="shared" si="23"/>
        <v>1.8204988166757693E-2</v>
      </c>
      <c r="CF65" s="32">
        <f t="shared" si="24"/>
        <v>3.6409976333515386E-2</v>
      </c>
      <c r="CG65" s="27">
        <v>68</v>
      </c>
      <c r="CH65" s="27">
        <f t="shared" si="25"/>
        <v>0.70789090151988343</v>
      </c>
      <c r="CI65" s="27">
        <f t="shared" si="26"/>
        <v>5.6631272121590674</v>
      </c>
      <c r="CJ65" s="58">
        <v>13</v>
      </c>
      <c r="CK65" s="58">
        <v>16.049382716049383</v>
      </c>
      <c r="CL65" s="58">
        <v>1.0826566729127629</v>
      </c>
      <c r="CM65" s="58">
        <v>1.0826566729127629</v>
      </c>
      <c r="CN65" s="28">
        <v>13</v>
      </c>
      <c r="CO65" s="28">
        <v>16.049382716049383</v>
      </c>
      <c r="CP65" s="28">
        <v>1.0826566729127629</v>
      </c>
      <c r="CQ65" s="28">
        <v>1.0826566729127629</v>
      </c>
      <c r="CR65" s="32">
        <f t="shared" si="27"/>
        <v>7.5569435769310846</v>
      </c>
      <c r="CS65" s="32">
        <v>7.5569435769310846</v>
      </c>
      <c r="CT65" s="32">
        <f t="shared" si="28"/>
        <v>8.1569435769310843</v>
      </c>
      <c r="CU65" s="32">
        <f t="shared" si="29"/>
        <v>0.14605091453770966</v>
      </c>
      <c r="CV65" s="32">
        <f t="shared" si="30"/>
        <v>0.14605091453770966</v>
      </c>
      <c r="CW65" s="60">
        <f t="shared" si="31"/>
        <v>7.5569435769310846</v>
      </c>
      <c r="CX65" s="60">
        <v>7.5569435769310846</v>
      </c>
      <c r="CY65" s="60">
        <f t="shared" si="32"/>
        <v>8.1569435769310843</v>
      </c>
      <c r="CZ65" s="60">
        <f t="shared" si="33"/>
        <v>0.14605091453770966</v>
      </c>
      <c r="DA65" s="60">
        <f t="shared" si="34"/>
        <v>0.14605091453770966</v>
      </c>
      <c r="DB65" s="32">
        <f t="shared" si="35"/>
        <v>5.6631272121590674</v>
      </c>
      <c r="DC65">
        <f t="shared" si="36"/>
        <v>1.265117563783988</v>
      </c>
      <c r="DD65">
        <f t="shared" si="37"/>
        <v>2.8779915302584634E-2</v>
      </c>
      <c r="DE65">
        <f t="shared" si="38"/>
        <v>0.11544453947889942</v>
      </c>
      <c r="DF65">
        <f t="shared" si="39"/>
        <v>0.85577554521851595</v>
      </c>
      <c r="DG65">
        <f t="shared" si="40"/>
        <v>1.265117563783988</v>
      </c>
      <c r="DH65">
        <f t="shared" si="41"/>
        <v>2.8779915302584634E-2</v>
      </c>
      <c r="DI65">
        <f t="shared" si="42"/>
        <v>0.11544453947889942</v>
      </c>
      <c r="DJ65">
        <f t="shared" si="43"/>
        <v>0.85577554521851595</v>
      </c>
      <c r="DK65" s="64">
        <f t="shared" si="44"/>
        <v>0.31938596254833351</v>
      </c>
      <c r="DL65" s="64">
        <f t="shared" si="45"/>
        <v>0.31938596254833351</v>
      </c>
      <c r="DM65" s="64">
        <f t="shared" si="46"/>
        <v>0.42671798988204701</v>
      </c>
      <c r="DN65" s="64">
        <f t="shared" si="47"/>
        <v>0.42671798988204701</v>
      </c>
      <c r="DO65" t="str">
        <f t="shared" si="48"/>
        <v>Insufficient Capacity</v>
      </c>
      <c r="DP65" t="str">
        <f t="shared" si="49"/>
        <v>Insufficient Capacity</v>
      </c>
    </row>
    <row r="66" spans="1:120" ht="15.75" x14ac:dyDescent="0.25">
      <c r="A66" s="4" t="s">
        <v>119</v>
      </c>
      <c r="B66" s="4" t="s">
        <v>119</v>
      </c>
      <c r="C66" s="2" t="s">
        <v>823</v>
      </c>
      <c r="D66" s="2" t="s">
        <v>508</v>
      </c>
      <c r="E66" s="2" t="s">
        <v>508</v>
      </c>
      <c r="F66" s="2">
        <v>65</v>
      </c>
      <c r="G66" s="2" t="s">
        <v>822</v>
      </c>
      <c r="H66" s="10" t="s">
        <v>656</v>
      </c>
      <c r="I66" s="2">
        <v>150</v>
      </c>
      <c r="J66" s="2">
        <v>65</v>
      </c>
      <c r="K66" s="2">
        <v>7.7</v>
      </c>
      <c r="L66" t="s">
        <v>292</v>
      </c>
      <c r="M66" s="2" t="s">
        <v>1120</v>
      </c>
      <c r="N66" s="2" t="s">
        <v>436</v>
      </c>
      <c r="O66" s="2" t="s">
        <v>666</v>
      </c>
      <c r="P66" s="2" t="s">
        <v>1131</v>
      </c>
      <c r="Q66" s="9" t="s">
        <v>719</v>
      </c>
      <c r="R66" s="2" t="str">
        <f t="shared" si="0"/>
        <v>CW_2_Section_2</v>
      </c>
      <c r="S66" s="2" t="str">
        <f t="shared" si="1"/>
        <v>CW_2_MF05</v>
      </c>
      <c r="T66" s="11" t="s">
        <v>798</v>
      </c>
      <c r="U66" s="1">
        <v>45643</v>
      </c>
      <c r="V66" s="2" t="s">
        <v>799</v>
      </c>
      <c r="W66" s="2" t="s">
        <v>655</v>
      </c>
      <c r="X66" s="2" t="s">
        <v>797</v>
      </c>
      <c r="Y66" s="2" t="str">
        <f t="shared" si="2"/>
        <v>T2_0.15-0.30</v>
      </c>
      <c r="Z66" t="s">
        <v>35</v>
      </c>
      <c r="AA66">
        <v>18</v>
      </c>
      <c r="AB66">
        <v>17</v>
      </c>
      <c r="AC66">
        <v>110</v>
      </c>
      <c r="AD66" s="32">
        <f t="shared" si="3"/>
        <v>4.2248111637434388E-2</v>
      </c>
      <c r="AE66">
        <v>1.5</v>
      </c>
      <c r="AF66" s="32">
        <f>($AE66/92140)*36</f>
        <v>5.8606468417625348E-4</v>
      </c>
      <c r="AG66">
        <v>24</v>
      </c>
      <c r="AH66" s="32">
        <f t="shared" si="4"/>
        <v>9.4942074032212491E-3</v>
      </c>
      <c r="AI66">
        <v>13</v>
      </c>
      <c r="AJ66" s="32">
        <f t="shared" si="5"/>
        <v>5.1426956767448434E-3</v>
      </c>
      <c r="AK66">
        <v>8.6999999999999993</v>
      </c>
      <c r="AL66" s="32">
        <f t="shared" si="6"/>
        <v>3.4416501836677022E-3</v>
      </c>
      <c r="AM66">
        <v>21.7</v>
      </c>
      <c r="AO66" s="49">
        <v>157.19999999999999</v>
      </c>
      <c r="AP66" s="49">
        <f t="shared" si="7"/>
        <v>5.2328383724831895E-2</v>
      </c>
      <c r="AQ66">
        <v>42</v>
      </c>
      <c r="AR66" s="32">
        <f t="shared" si="8"/>
        <v>1.5729109776078644E-2</v>
      </c>
      <c r="AS66" s="48">
        <v>1.4</v>
      </c>
      <c r="AT66" s="27">
        <f t="shared" si="9"/>
        <v>5.2430365920262147E-4</v>
      </c>
      <c r="AU66" s="48">
        <v>0.01</v>
      </c>
      <c r="AV66" s="27">
        <f t="shared" si="10"/>
        <v>3.6796110125501018E-6</v>
      </c>
      <c r="AW66" s="48">
        <v>0.01</v>
      </c>
      <c r="AX66" s="27">
        <f t="shared" si="11"/>
        <v>3.7611049867064394E-6</v>
      </c>
      <c r="AY66" s="48">
        <v>5.0000000000000001E-3</v>
      </c>
      <c r="AZ66" s="27">
        <f t="shared" si="12"/>
        <v>1.8649981951630372E-6</v>
      </c>
      <c r="BA66" s="48">
        <v>1E-3</v>
      </c>
      <c r="BB66" s="27">
        <f t="shared" si="13"/>
        <v>3.7030802895135499E-7</v>
      </c>
      <c r="BC66" s="48">
        <v>1E-3</v>
      </c>
      <c r="BD66" s="27">
        <f t="shared" si="14"/>
        <v>3.7030802895135499E-7</v>
      </c>
      <c r="BE66" s="48">
        <v>1E-3</v>
      </c>
      <c r="BF66" s="27">
        <f t="shared" si="15"/>
        <v>3.6588380716934485E-7</v>
      </c>
      <c r="BG66" s="48">
        <v>2E-3</v>
      </c>
      <c r="BH66" s="27">
        <f t="shared" si="16"/>
        <v>7.3176761433868969E-7</v>
      </c>
      <c r="BI66" s="52">
        <f t="shared" si="17"/>
        <v>1.4299999999999995</v>
      </c>
      <c r="BJ66" s="52">
        <f t="shared" si="18"/>
        <v>3.0000000000000006E-2</v>
      </c>
      <c r="BK66" s="27">
        <f t="shared" si="19"/>
        <v>5.3544764087645172E-4</v>
      </c>
      <c r="BL66" s="27">
        <f t="shared" si="20"/>
        <v>1.1143981673830322E-5</v>
      </c>
      <c r="BM66">
        <v>65</v>
      </c>
      <c r="BN66">
        <v>2.5</v>
      </c>
      <c r="BO66" t="s">
        <v>19</v>
      </c>
      <c r="BP66">
        <v>95</v>
      </c>
      <c r="BQ66">
        <v>62</v>
      </c>
      <c r="BR66">
        <v>15</v>
      </c>
      <c r="BS66">
        <v>1.1000000000000001</v>
      </c>
      <c r="BT66">
        <v>0.6</v>
      </c>
      <c r="BU66">
        <v>9.5</v>
      </c>
      <c r="BV66">
        <v>-152</v>
      </c>
      <c r="BW66">
        <v>7.33</v>
      </c>
      <c r="BX66">
        <v>890</v>
      </c>
      <c r="BY66">
        <v>0.1</v>
      </c>
      <c r="BZ66">
        <v>0.01</v>
      </c>
      <c r="CA66" s="32">
        <v>35</v>
      </c>
      <c r="CB66" s="32">
        <f t="shared" si="21"/>
        <v>0.62667860340196957</v>
      </c>
      <c r="CC66" s="32">
        <f t="shared" si="22"/>
        <v>0.62667860340196957</v>
      </c>
      <c r="CD66" s="32">
        <v>6.7</v>
      </c>
      <c r="CE66" s="32">
        <f t="shared" si="23"/>
        <v>0.12197342071727654</v>
      </c>
      <c r="CF66" s="32">
        <f t="shared" si="24"/>
        <v>0.24394684143455309</v>
      </c>
      <c r="CG66" s="27">
        <v>0.5</v>
      </c>
      <c r="CH66" s="27">
        <f t="shared" si="25"/>
        <v>5.2050801582344368E-3</v>
      </c>
      <c r="CI66" s="27">
        <f t="shared" si="26"/>
        <v>4.1640641265875494E-2</v>
      </c>
      <c r="CJ66" s="58">
        <v>80.5</v>
      </c>
      <c r="CK66" s="58">
        <v>99.382716049382708</v>
      </c>
      <c r="CL66" s="58">
        <v>6.7041432438059543</v>
      </c>
      <c r="CM66" s="58">
        <v>6.7041432438059543</v>
      </c>
      <c r="CN66" s="28">
        <v>53.5</v>
      </c>
      <c r="CO66" s="28">
        <v>99.074074074074076</v>
      </c>
      <c r="CP66" s="28">
        <v>4.4555486154486781</v>
      </c>
      <c r="CQ66" s="28">
        <v>4.4555486154486781</v>
      </c>
      <c r="CR66" s="32">
        <f t="shared" si="27"/>
        <v>46.794919841765562</v>
      </c>
      <c r="CS66" s="32">
        <v>46.794919841765562</v>
      </c>
      <c r="CT66" s="32">
        <f t="shared" si="28"/>
        <v>81.794919841765562</v>
      </c>
      <c r="CU66" s="32">
        <f t="shared" si="29"/>
        <v>1.4645464609089627</v>
      </c>
      <c r="CV66" s="32">
        <f t="shared" si="30"/>
        <v>1.4645464609089627</v>
      </c>
      <c r="CW66" s="60">
        <f t="shared" si="31"/>
        <v>31.099729335831771</v>
      </c>
      <c r="CX66" s="60">
        <v>31.099729335831771</v>
      </c>
      <c r="CY66" s="60">
        <f t="shared" si="32"/>
        <v>66.099729335831768</v>
      </c>
      <c r="CZ66" s="60">
        <f t="shared" si="33"/>
        <v>1.1835224590122071</v>
      </c>
      <c r="DA66" s="60">
        <f t="shared" si="34"/>
        <v>1.1835224590122071</v>
      </c>
      <c r="DB66" s="32">
        <f t="shared" si="35"/>
        <v>4.1640641265875494E-2</v>
      </c>
      <c r="DC66">
        <f t="shared" si="36"/>
        <v>8.4126365461494697</v>
      </c>
      <c r="DD66">
        <f t="shared" si="37"/>
        <v>2.8997667983910406E-2</v>
      </c>
      <c r="DE66">
        <f t="shared" si="38"/>
        <v>0.17408887842412463</v>
      </c>
      <c r="DF66">
        <f t="shared" si="39"/>
        <v>0.79691345359196497</v>
      </c>
      <c r="DG66">
        <f t="shared" si="40"/>
        <v>5.8830179158954383</v>
      </c>
      <c r="DH66">
        <f t="shared" si="41"/>
        <v>4.1466275459646054E-2</v>
      </c>
      <c r="DI66">
        <f t="shared" si="42"/>
        <v>0.20117607594129966</v>
      </c>
      <c r="DJ66">
        <f t="shared" si="43"/>
        <v>0.7573576485990543</v>
      </c>
      <c r="DK66" s="64">
        <f t="shared" si="44"/>
        <v>-8.3445790526485588</v>
      </c>
      <c r="DL66" s="64">
        <f t="shared" si="45"/>
        <v>-5.8149604223945275</v>
      </c>
      <c r="DM66" s="64">
        <f t="shared" si="46"/>
        <v>-8.3445679086668854</v>
      </c>
      <c r="DN66" s="64">
        <f t="shared" si="47"/>
        <v>-5.814949278412854</v>
      </c>
      <c r="DO66" t="str">
        <f t="shared" si="48"/>
        <v>Sufficient Capacity</v>
      </c>
      <c r="DP66" t="str">
        <f t="shared" si="49"/>
        <v>Sufficient Capacity</v>
      </c>
    </row>
    <row r="67" spans="1:120" ht="15.75" x14ac:dyDescent="0.25">
      <c r="A67" s="4" t="s">
        <v>120</v>
      </c>
      <c r="B67" s="4" t="s">
        <v>120</v>
      </c>
      <c r="C67" s="2" t="s">
        <v>825</v>
      </c>
      <c r="D67" s="2" t="s">
        <v>509</v>
      </c>
      <c r="E67" s="2" t="s">
        <v>509</v>
      </c>
      <c r="F67" s="2">
        <v>66</v>
      </c>
      <c r="G67" s="2" t="s">
        <v>824</v>
      </c>
      <c r="H67" s="10" t="s">
        <v>656</v>
      </c>
      <c r="I67" s="2">
        <v>150</v>
      </c>
      <c r="J67" s="2">
        <v>65</v>
      </c>
      <c r="K67" s="2">
        <v>4.45</v>
      </c>
      <c r="L67" t="s">
        <v>293</v>
      </c>
      <c r="M67" s="2" t="s">
        <v>1120</v>
      </c>
      <c r="N67" s="2" t="s">
        <v>436</v>
      </c>
      <c r="O67" s="2" t="s">
        <v>666</v>
      </c>
      <c r="P67" s="2" t="s">
        <v>1132</v>
      </c>
      <c r="Q67" s="9" t="s">
        <v>722</v>
      </c>
      <c r="R67" s="2" t="str">
        <f t="shared" ref="R67:R130" si="50">$N67&amp;"_"&amp;$O67</f>
        <v>CW_2_Section_2</v>
      </c>
      <c r="S67" s="2" t="str">
        <f t="shared" ref="S67:S130" si="51">$N67&amp;"_"&amp;$P67</f>
        <v>CW_2_MF06</v>
      </c>
      <c r="T67" s="11" t="s">
        <v>798</v>
      </c>
      <c r="U67" s="1">
        <v>45643</v>
      </c>
      <c r="V67" s="2" t="s">
        <v>799</v>
      </c>
      <c r="W67" s="2" t="s">
        <v>663</v>
      </c>
      <c r="X67" s="2" t="s">
        <v>797</v>
      </c>
      <c r="Y67" s="2" t="str">
        <f t="shared" ref="Y67:Y130" si="52">$X67&amp;"_"&amp;$W67</f>
        <v>T2_0.60-0.80</v>
      </c>
      <c r="Z67" t="s">
        <v>37</v>
      </c>
      <c r="AA67">
        <v>13</v>
      </c>
      <c r="AB67">
        <v>13</v>
      </c>
      <c r="AC67">
        <v>580</v>
      </c>
      <c r="AD67" s="32">
        <f t="shared" si="3"/>
        <v>0.22276277045192677</v>
      </c>
      <c r="AE67">
        <v>31</v>
      </c>
      <c r="AF67" s="32">
        <f>($AE67/92140)*36</f>
        <v>1.2112003472975906E-2</v>
      </c>
      <c r="AG67">
        <v>420</v>
      </c>
      <c r="AH67" s="32">
        <f t="shared" si="4"/>
        <v>0.16614862955637186</v>
      </c>
      <c r="AI67">
        <v>210</v>
      </c>
      <c r="AJ67" s="32">
        <f t="shared" si="5"/>
        <v>8.3074314778185929E-2</v>
      </c>
      <c r="AK67">
        <v>230</v>
      </c>
      <c r="AL67" s="32">
        <f t="shared" si="6"/>
        <v>9.0986154280870299E-2</v>
      </c>
      <c r="AM67">
        <v>440</v>
      </c>
      <c r="AO67" s="49">
        <v>1471</v>
      </c>
      <c r="AP67" s="49">
        <f t="shared" si="7"/>
        <v>0.40102340348127452</v>
      </c>
      <c r="AQ67">
        <v>1800</v>
      </c>
      <c r="AR67" s="32">
        <f t="shared" si="8"/>
        <v>0.6741047046890849</v>
      </c>
      <c r="AS67" s="48">
        <v>280</v>
      </c>
      <c r="AT67" s="27">
        <f t="shared" si="9"/>
        <v>0.1048607318405243</v>
      </c>
      <c r="AU67" s="48">
        <v>38</v>
      </c>
      <c r="AV67" s="27">
        <f t="shared" si="10"/>
        <v>1.3982521847690386E-2</v>
      </c>
      <c r="AW67" s="48">
        <v>32</v>
      </c>
      <c r="AX67" s="27">
        <f t="shared" si="11"/>
        <v>1.2035535957460606E-2</v>
      </c>
      <c r="AY67" s="48">
        <v>10</v>
      </c>
      <c r="AZ67" s="27">
        <f t="shared" si="12"/>
        <v>3.7299963903260737E-3</v>
      </c>
      <c r="BA67" s="48">
        <v>2.8</v>
      </c>
      <c r="BB67" s="27">
        <f t="shared" si="13"/>
        <v>1.0368624810637938E-3</v>
      </c>
      <c r="BC67" s="48">
        <v>0.55000000000000004</v>
      </c>
      <c r="BD67" s="27">
        <f t="shared" si="14"/>
        <v>2.0366941592324524E-4</v>
      </c>
      <c r="BE67" s="48">
        <v>0.08</v>
      </c>
      <c r="BF67" s="27">
        <f t="shared" si="15"/>
        <v>2.9270704573547589E-5</v>
      </c>
      <c r="BG67" s="48">
        <v>7.0000000000000007E-2</v>
      </c>
      <c r="BH67" s="27">
        <f t="shared" si="16"/>
        <v>2.5611866501854141E-5</v>
      </c>
      <c r="BI67" s="52">
        <f t="shared" si="17"/>
        <v>363.5</v>
      </c>
      <c r="BJ67" s="52">
        <f t="shared" si="18"/>
        <v>83.499999999999986</v>
      </c>
      <c r="BK67" s="27">
        <f t="shared" si="19"/>
        <v>0.13590420050406379</v>
      </c>
      <c r="BL67" s="27">
        <f t="shared" si="20"/>
        <v>3.1043468663539502E-2</v>
      </c>
      <c r="BM67">
        <v>4000</v>
      </c>
      <c r="BN67">
        <v>1100</v>
      </c>
      <c r="BO67" t="s">
        <v>19</v>
      </c>
      <c r="BP67">
        <v>5100</v>
      </c>
      <c r="BQ67">
        <v>67</v>
      </c>
      <c r="BR67">
        <v>27</v>
      </c>
      <c r="BS67">
        <v>0.97</v>
      </c>
      <c r="BT67">
        <v>0.37</v>
      </c>
      <c r="BU67">
        <v>9.6</v>
      </c>
      <c r="BV67">
        <v>-142</v>
      </c>
      <c r="BW67">
        <v>6.98</v>
      </c>
      <c r="BX67">
        <v>1040</v>
      </c>
      <c r="BY67">
        <v>0.2</v>
      </c>
      <c r="BZ67">
        <v>0.01</v>
      </c>
      <c r="CA67" s="32">
        <v>4.2</v>
      </c>
      <c r="CB67" s="32">
        <f t="shared" si="21"/>
        <v>7.5201432408236346E-2</v>
      </c>
      <c r="CC67" s="32">
        <f t="shared" si="22"/>
        <v>7.5201432408236346E-2</v>
      </c>
      <c r="CD67" s="32">
        <v>2</v>
      </c>
      <c r="CE67" s="32">
        <f t="shared" si="23"/>
        <v>3.6409976333515386E-2</v>
      </c>
      <c r="CF67" s="32">
        <f t="shared" si="24"/>
        <v>7.2819952667030771E-2</v>
      </c>
      <c r="CG67" s="27">
        <v>40</v>
      </c>
      <c r="CH67" s="27">
        <f t="shared" si="25"/>
        <v>0.41640641265875494</v>
      </c>
      <c r="CI67" s="27">
        <f t="shared" si="26"/>
        <v>3.3312513012700395</v>
      </c>
      <c r="CJ67" s="58">
        <v>41</v>
      </c>
      <c r="CK67" s="58">
        <v>50.617283950617285</v>
      </c>
      <c r="CL67" s="58">
        <v>3.4145325838017904</v>
      </c>
      <c r="CM67" s="58">
        <v>3.4145325838017904</v>
      </c>
      <c r="CN67" s="28">
        <v>28</v>
      </c>
      <c r="CO67" s="28">
        <v>41.17647058823529</v>
      </c>
      <c r="CP67" s="28">
        <v>2.3318759108890275</v>
      </c>
      <c r="CQ67" s="28">
        <v>2.3318759108890275</v>
      </c>
      <c r="CR67" s="32">
        <f t="shared" si="27"/>
        <v>23.833437434936496</v>
      </c>
      <c r="CS67" s="32">
        <v>23.833437434936496</v>
      </c>
      <c r="CT67" s="32">
        <f t="shared" si="28"/>
        <v>28.033437434936495</v>
      </c>
      <c r="CU67" s="32">
        <f t="shared" si="29"/>
        <v>0.50194158343664264</v>
      </c>
      <c r="CV67" s="32">
        <f t="shared" si="30"/>
        <v>0.50194158343664264</v>
      </c>
      <c r="CW67" s="60">
        <f t="shared" si="31"/>
        <v>16.276493858005413</v>
      </c>
      <c r="CX67" s="60">
        <v>16.276493858005413</v>
      </c>
      <c r="CY67" s="60">
        <f t="shared" si="32"/>
        <v>20.476493858005412</v>
      </c>
      <c r="CZ67" s="60">
        <f t="shared" si="33"/>
        <v>0.36663373067153826</v>
      </c>
      <c r="DA67" s="60">
        <f t="shared" si="34"/>
        <v>0.36663373067153826</v>
      </c>
      <c r="DB67" s="32">
        <f t="shared" si="35"/>
        <v>3.3312513012700395</v>
      </c>
      <c r="DC67">
        <f t="shared" si="36"/>
        <v>3.9892941199054639</v>
      </c>
      <c r="DD67">
        <f t="shared" si="37"/>
        <v>1.8253844033128453E-2</v>
      </c>
      <c r="DE67">
        <f t="shared" si="38"/>
        <v>0.12582215508555619</v>
      </c>
      <c r="DF67">
        <f t="shared" si="39"/>
        <v>0.85592400088131537</v>
      </c>
      <c r="DG67">
        <f t="shared" si="40"/>
        <v>2.7713295942275966</v>
      </c>
      <c r="DH67">
        <f t="shared" si="41"/>
        <v>2.6276179065350968E-2</v>
      </c>
      <c r="DI67">
        <f t="shared" si="42"/>
        <v>0.13229524609241708</v>
      </c>
      <c r="DJ67">
        <f t="shared" si="43"/>
        <v>0.84142857484223188</v>
      </c>
      <c r="DK67" s="64">
        <f t="shared" si="44"/>
        <v>-2.9141660117351043</v>
      </c>
      <c r="DL67" s="64">
        <f t="shared" si="45"/>
        <v>-1.6962014860572372</v>
      </c>
      <c r="DM67" s="64">
        <f t="shared" si="46"/>
        <v>-2.8831225430715648</v>
      </c>
      <c r="DN67" s="64">
        <f t="shared" si="47"/>
        <v>-1.6651580173936977</v>
      </c>
      <c r="DO67" t="str">
        <f t="shared" si="48"/>
        <v>Sufficient Capacity</v>
      </c>
      <c r="DP67" t="str">
        <f t="shared" si="49"/>
        <v>Sufficient Capacity</v>
      </c>
    </row>
    <row r="68" spans="1:120" ht="15.75" x14ac:dyDescent="0.25">
      <c r="A68" s="4" t="s">
        <v>121</v>
      </c>
      <c r="B68" s="4" t="s">
        <v>121</v>
      </c>
      <c r="C68" s="2" t="s">
        <v>827</v>
      </c>
      <c r="D68" s="2" t="s">
        <v>510</v>
      </c>
      <c r="E68" s="2" t="s">
        <v>510</v>
      </c>
      <c r="F68" s="2">
        <v>67</v>
      </c>
      <c r="G68" s="2" t="s">
        <v>826</v>
      </c>
      <c r="H68" s="10" t="s">
        <v>656</v>
      </c>
      <c r="I68" s="2">
        <v>150</v>
      </c>
      <c r="J68" s="2">
        <v>65</v>
      </c>
      <c r="K68" s="2">
        <v>7.2</v>
      </c>
      <c r="L68" t="s">
        <v>294</v>
      </c>
      <c r="M68" s="2" t="s">
        <v>1120</v>
      </c>
      <c r="N68" s="2" t="s">
        <v>436</v>
      </c>
      <c r="O68" s="2" t="s">
        <v>673</v>
      </c>
      <c r="P68" s="2" t="s">
        <v>1127</v>
      </c>
      <c r="Q68" s="9" t="s">
        <v>725</v>
      </c>
      <c r="R68" s="2" t="str">
        <f t="shared" si="50"/>
        <v>CW_2_Section_3</v>
      </c>
      <c r="S68" s="2" t="str">
        <f t="shared" si="51"/>
        <v>CW_2_MF09</v>
      </c>
      <c r="T68" s="11" t="s">
        <v>798</v>
      </c>
      <c r="U68" s="1">
        <v>45643</v>
      </c>
      <c r="V68" s="2" t="s">
        <v>799</v>
      </c>
      <c r="W68" s="2" t="s">
        <v>655</v>
      </c>
      <c r="X68" s="2" t="s">
        <v>797</v>
      </c>
      <c r="Y68" s="2" t="str">
        <f t="shared" si="52"/>
        <v>T2_0.15-0.30</v>
      </c>
      <c r="Z68" t="s">
        <v>45</v>
      </c>
      <c r="AA68">
        <v>12</v>
      </c>
      <c r="AB68">
        <v>18</v>
      </c>
      <c r="AC68">
        <v>570</v>
      </c>
      <c r="AD68" s="32">
        <f t="shared" si="3"/>
        <v>0.21892203303034183</v>
      </c>
      <c r="AE68">
        <v>12</v>
      </c>
      <c r="AF68" s="32">
        <f>($AE68/92140)*36</f>
        <v>4.6885174734100279E-3</v>
      </c>
      <c r="AG68">
        <v>260</v>
      </c>
      <c r="AH68" s="32">
        <f t="shared" si="4"/>
        <v>0.10285391353489687</v>
      </c>
      <c r="AI68">
        <v>130</v>
      </c>
      <c r="AJ68" s="32">
        <f t="shared" si="5"/>
        <v>5.1426956767448434E-2</v>
      </c>
      <c r="AK68">
        <v>110</v>
      </c>
      <c r="AL68" s="32">
        <f t="shared" si="6"/>
        <v>4.3515117264764057E-2</v>
      </c>
      <c r="AM68">
        <v>240</v>
      </c>
      <c r="AO68" s="49">
        <v>1082</v>
      </c>
      <c r="AP68" s="49">
        <f t="shared" si="7"/>
        <v>0.32646446403864871</v>
      </c>
      <c r="AQ68">
        <v>160</v>
      </c>
      <c r="AR68" s="32">
        <f t="shared" si="8"/>
        <v>5.9920418194585309E-2</v>
      </c>
      <c r="AS68" s="48">
        <v>110</v>
      </c>
      <c r="AT68" s="27">
        <f t="shared" si="9"/>
        <v>4.1195287508777406E-2</v>
      </c>
      <c r="AU68" s="48">
        <v>2.2999999999999998</v>
      </c>
      <c r="AV68" s="27">
        <f t="shared" si="10"/>
        <v>8.4631053288652339E-4</v>
      </c>
      <c r="AW68" s="48">
        <v>1.4</v>
      </c>
      <c r="AX68" s="27">
        <f t="shared" si="11"/>
        <v>5.2655469813890144E-4</v>
      </c>
      <c r="AY68" s="48">
        <v>0.51</v>
      </c>
      <c r="AZ68" s="27">
        <f t="shared" si="12"/>
        <v>1.9022981590662979E-4</v>
      </c>
      <c r="BA68" s="48">
        <v>0.13</v>
      </c>
      <c r="BB68" s="27">
        <f t="shared" si="13"/>
        <v>4.8140043763676151E-5</v>
      </c>
      <c r="BC68" s="48">
        <v>1E-3</v>
      </c>
      <c r="BD68" s="27">
        <f t="shared" si="14"/>
        <v>3.7030802895135499E-7</v>
      </c>
      <c r="BE68" s="48">
        <v>1E-3</v>
      </c>
      <c r="BF68" s="27">
        <f t="shared" si="15"/>
        <v>3.6588380716934485E-7</v>
      </c>
      <c r="BG68" s="48">
        <v>2E-3</v>
      </c>
      <c r="BH68" s="27">
        <f t="shared" si="16"/>
        <v>7.3176761433868969E-7</v>
      </c>
      <c r="BI68" s="52">
        <f t="shared" si="17"/>
        <v>114.34400000000001</v>
      </c>
      <c r="BJ68" s="52">
        <f t="shared" si="18"/>
        <v>4.3440000000000003</v>
      </c>
      <c r="BK68" s="27">
        <f t="shared" si="19"/>
        <v>4.2807990558923585E-2</v>
      </c>
      <c r="BL68" s="27">
        <f t="shared" si="20"/>
        <v>1.6127030501461902E-3</v>
      </c>
      <c r="BM68">
        <v>250</v>
      </c>
      <c r="BN68">
        <v>30</v>
      </c>
      <c r="BO68" t="s">
        <v>19</v>
      </c>
      <c r="BP68">
        <v>280</v>
      </c>
      <c r="BQ68">
        <v>62</v>
      </c>
      <c r="BR68">
        <v>23</v>
      </c>
      <c r="BS68">
        <v>1.5</v>
      </c>
      <c r="BT68">
        <v>5.7</v>
      </c>
      <c r="BU68">
        <v>8.6999999999999993</v>
      </c>
      <c r="BV68">
        <v>-122</v>
      </c>
      <c r="BW68">
        <v>7.05</v>
      </c>
      <c r="BX68">
        <v>622</v>
      </c>
      <c r="BY68">
        <v>0.1</v>
      </c>
      <c r="BZ68">
        <v>0.01</v>
      </c>
      <c r="CA68" s="32">
        <v>21</v>
      </c>
      <c r="CB68" s="32">
        <f t="shared" si="21"/>
        <v>0.37600716204118173</v>
      </c>
      <c r="CC68" s="32">
        <f t="shared" si="22"/>
        <v>0.37600716204118173</v>
      </c>
      <c r="CD68" s="32">
        <v>4</v>
      </c>
      <c r="CE68" s="32">
        <f t="shared" si="23"/>
        <v>7.2819952667030771E-2</v>
      </c>
      <c r="CF68" s="32">
        <f t="shared" si="24"/>
        <v>0.14563990533406154</v>
      </c>
      <c r="CG68" s="27">
        <v>0.5</v>
      </c>
      <c r="CH68" s="27">
        <f t="shared" si="25"/>
        <v>5.2050801582344368E-3</v>
      </c>
      <c r="CI68" s="27">
        <f t="shared" si="26"/>
        <v>4.1640641265875494E-2</v>
      </c>
      <c r="CJ68" s="58">
        <v>80.5</v>
      </c>
      <c r="CK68" s="58">
        <v>99.382716049382708</v>
      </c>
      <c r="CL68" s="58">
        <v>6.7041432438059543</v>
      </c>
      <c r="CM68" s="58">
        <v>6.7041432438059543</v>
      </c>
      <c r="CN68" s="28">
        <v>0</v>
      </c>
      <c r="CO68" s="28">
        <v>0</v>
      </c>
      <c r="CP68" s="28">
        <v>0</v>
      </c>
      <c r="CQ68" s="28">
        <v>0</v>
      </c>
      <c r="CR68" s="32">
        <f t="shared" si="27"/>
        <v>46.794919841765562</v>
      </c>
      <c r="CS68" s="32">
        <v>46.794919841765562</v>
      </c>
      <c r="CT68" s="32">
        <f t="shared" si="28"/>
        <v>67.794919841765562</v>
      </c>
      <c r="CU68" s="32">
        <f t="shared" si="29"/>
        <v>1.2138750195481747</v>
      </c>
      <c r="CV68" s="32">
        <f t="shared" si="30"/>
        <v>1.2138750195481747</v>
      </c>
      <c r="CW68" s="60">
        <f t="shared" si="31"/>
        <v>0</v>
      </c>
      <c r="CX68" s="60">
        <v>0</v>
      </c>
      <c r="CY68" s="60">
        <f t="shared" si="32"/>
        <v>21</v>
      </c>
      <c r="CZ68" s="60">
        <f t="shared" si="33"/>
        <v>0.37600716204118173</v>
      </c>
      <c r="DA68" s="60">
        <f t="shared" si="34"/>
        <v>0.37600716204118173</v>
      </c>
      <c r="DB68" s="32">
        <f t="shared" si="35"/>
        <v>4.1640641265875494E-2</v>
      </c>
      <c r="DC68">
        <f t="shared" si="36"/>
        <v>8.0636581686881907</v>
      </c>
      <c r="DD68">
        <f t="shared" si="37"/>
        <v>1.8061269747221251E-2</v>
      </c>
      <c r="DE68">
        <f t="shared" si="38"/>
        <v>0.15053651756491185</v>
      </c>
      <c r="DF68">
        <f t="shared" si="39"/>
        <v>0.83140221268786685</v>
      </c>
      <c r="DG68">
        <f t="shared" si="40"/>
        <v>0.52164706737524325</v>
      </c>
      <c r="DH68">
        <f t="shared" si="41"/>
        <v>0.27919241656408367</v>
      </c>
      <c r="DI68">
        <f t="shared" si="42"/>
        <v>0.72080758343591633</v>
      </c>
      <c r="DJ68">
        <f t="shared" si="43"/>
        <v>0</v>
      </c>
      <c r="DK68" s="64">
        <f t="shared" si="44"/>
        <v>-7.6772732864549571</v>
      </c>
      <c r="DL68" s="64">
        <f t="shared" si="45"/>
        <v>-0.13526218514200922</v>
      </c>
      <c r="DM68" s="64">
        <f t="shared" si="46"/>
        <v>-7.6756605834048104</v>
      </c>
      <c r="DN68" s="64">
        <f t="shared" si="47"/>
        <v>-0.133649482091863</v>
      </c>
      <c r="DO68" t="str">
        <f t="shared" si="48"/>
        <v>Sufficient Capacity</v>
      </c>
      <c r="DP68" t="str">
        <f t="shared" si="49"/>
        <v>Sufficient Capacity</v>
      </c>
    </row>
    <row r="69" spans="1:120" ht="15.75" x14ac:dyDescent="0.25">
      <c r="A69" s="4" t="s">
        <v>122</v>
      </c>
      <c r="B69" s="4" t="s">
        <v>122</v>
      </c>
      <c r="C69" s="2" t="s">
        <v>829</v>
      </c>
      <c r="D69" s="2" t="s">
        <v>511</v>
      </c>
      <c r="E69" s="2" t="s">
        <v>511</v>
      </c>
      <c r="F69" s="2">
        <v>68</v>
      </c>
      <c r="G69" s="2" t="s">
        <v>828</v>
      </c>
      <c r="H69" s="10" t="s">
        <v>656</v>
      </c>
      <c r="I69" s="2">
        <v>150</v>
      </c>
      <c r="J69" s="2">
        <v>65</v>
      </c>
      <c r="K69" s="2">
        <v>5.0999999999999996</v>
      </c>
      <c r="L69" t="s">
        <v>295</v>
      </c>
      <c r="M69" s="2" t="s">
        <v>1120</v>
      </c>
      <c r="N69" s="2" t="s">
        <v>436</v>
      </c>
      <c r="O69" s="2" t="s">
        <v>673</v>
      </c>
      <c r="P69" s="2" t="s">
        <v>1128</v>
      </c>
      <c r="Q69" s="9" t="s">
        <v>728</v>
      </c>
      <c r="R69" s="2" t="str">
        <f t="shared" si="50"/>
        <v>CW_2_Section_3</v>
      </c>
      <c r="S69" s="2" t="str">
        <f t="shared" si="51"/>
        <v>CW_2_MF10</v>
      </c>
      <c r="T69" s="11" t="s">
        <v>798</v>
      </c>
      <c r="U69" s="1">
        <v>45643</v>
      </c>
      <c r="V69" s="2" t="s">
        <v>799</v>
      </c>
      <c r="W69" s="2" t="s">
        <v>663</v>
      </c>
      <c r="X69" s="2" t="s">
        <v>797</v>
      </c>
      <c r="Y69" s="2" t="str">
        <f t="shared" si="52"/>
        <v>T2_0.60-0.80</v>
      </c>
      <c r="Z69" t="s">
        <v>47</v>
      </c>
      <c r="AA69">
        <v>11</v>
      </c>
      <c r="AB69">
        <v>12</v>
      </c>
      <c r="AC69">
        <v>660</v>
      </c>
      <c r="AD69" s="32">
        <f t="shared" si="3"/>
        <v>0.25348866982460633</v>
      </c>
      <c r="AE69">
        <v>34</v>
      </c>
      <c r="AF69" s="32">
        <f>($AE69/92140)*36</f>
        <v>1.3284132841328414E-2</v>
      </c>
      <c r="AG69">
        <v>400</v>
      </c>
      <c r="AH69" s="32">
        <f t="shared" si="4"/>
        <v>0.15823679005368749</v>
      </c>
      <c r="AI69">
        <v>210</v>
      </c>
      <c r="AJ69" s="32">
        <f t="shared" si="5"/>
        <v>8.3074314778185929E-2</v>
      </c>
      <c r="AK69">
        <v>190</v>
      </c>
      <c r="AL69" s="32">
        <f t="shared" si="6"/>
        <v>7.5162475275501545E-2</v>
      </c>
      <c r="AM69">
        <v>400</v>
      </c>
      <c r="AO69" s="49">
        <v>1494</v>
      </c>
      <c r="AP69" s="49">
        <f t="shared" si="7"/>
        <v>0.42500959271962224</v>
      </c>
      <c r="AQ69">
        <v>1900</v>
      </c>
      <c r="AR69" s="32">
        <f t="shared" si="8"/>
        <v>0.71155496606070068</v>
      </c>
      <c r="AS69" s="48">
        <v>710</v>
      </c>
      <c r="AT69" s="27">
        <f t="shared" si="9"/>
        <v>0.26589685573847233</v>
      </c>
      <c r="AU69" s="48">
        <v>58</v>
      </c>
      <c r="AV69" s="27">
        <f t="shared" si="10"/>
        <v>2.134174387279059E-2</v>
      </c>
      <c r="AW69" s="48">
        <v>41</v>
      </c>
      <c r="AX69" s="27">
        <f t="shared" si="11"/>
        <v>1.54205304454964E-2</v>
      </c>
      <c r="AY69" s="48">
        <v>13</v>
      </c>
      <c r="AZ69" s="27">
        <f t="shared" si="12"/>
        <v>4.8489953074238963E-3</v>
      </c>
      <c r="BA69" s="48">
        <v>3.4</v>
      </c>
      <c r="BB69" s="27">
        <f t="shared" si="13"/>
        <v>1.259047298434607E-3</v>
      </c>
      <c r="BC69" s="48">
        <v>0.73</v>
      </c>
      <c r="BD69" s="27">
        <f t="shared" si="14"/>
        <v>2.7032486113448914E-4</v>
      </c>
      <c r="BE69" s="48">
        <v>0.06</v>
      </c>
      <c r="BF69" s="27">
        <f t="shared" si="15"/>
        <v>2.1953028430160689E-5</v>
      </c>
      <c r="BG69" s="48">
        <v>0.03</v>
      </c>
      <c r="BH69" s="27">
        <f t="shared" si="16"/>
        <v>1.0976514215080345E-5</v>
      </c>
      <c r="BI69" s="52">
        <f t="shared" si="17"/>
        <v>826.21999999999991</v>
      </c>
      <c r="BJ69" s="52">
        <f t="shared" si="18"/>
        <v>116.22000000000001</v>
      </c>
      <c r="BK69" s="27">
        <f t="shared" si="19"/>
        <v>0.30907042706639754</v>
      </c>
      <c r="BL69" s="27">
        <f t="shared" si="20"/>
        <v>4.317357132792523E-2</v>
      </c>
      <c r="BM69">
        <v>3500</v>
      </c>
      <c r="BN69">
        <v>910</v>
      </c>
      <c r="BO69" t="s">
        <v>19</v>
      </c>
      <c r="BP69">
        <v>4400</v>
      </c>
      <c r="BQ69">
        <v>67</v>
      </c>
      <c r="BR69">
        <v>26</v>
      </c>
      <c r="BS69">
        <v>0.56999999999999995</v>
      </c>
      <c r="BT69">
        <v>0.49</v>
      </c>
      <c r="BU69">
        <v>9.5</v>
      </c>
      <c r="BV69">
        <v>-115</v>
      </c>
      <c r="BW69">
        <v>7.02</v>
      </c>
      <c r="BX69">
        <v>536</v>
      </c>
      <c r="BY69">
        <v>0.2</v>
      </c>
      <c r="BZ69">
        <v>0.01</v>
      </c>
      <c r="CA69" s="32">
        <v>2.4</v>
      </c>
      <c r="CB69" s="32">
        <f t="shared" si="21"/>
        <v>4.2972247090420766E-2</v>
      </c>
      <c r="CC69" s="32">
        <f t="shared" si="22"/>
        <v>4.2972247090420766E-2</v>
      </c>
      <c r="CD69" s="32">
        <v>2.1</v>
      </c>
      <c r="CE69" s="32">
        <f t="shared" si="23"/>
        <v>3.8230475150191151E-2</v>
      </c>
      <c r="CF69" s="32">
        <f t="shared" si="24"/>
        <v>7.6460950300382302E-2</v>
      </c>
      <c r="CG69" s="27">
        <v>42</v>
      </c>
      <c r="CH69" s="27">
        <f t="shared" si="25"/>
        <v>0.4372267332916927</v>
      </c>
      <c r="CI69" s="27">
        <f t="shared" si="26"/>
        <v>3.4978138663335416</v>
      </c>
      <c r="CJ69" s="58">
        <v>39</v>
      </c>
      <c r="CK69" s="58">
        <v>48.148148148148145</v>
      </c>
      <c r="CL69" s="58">
        <v>3.2479700187382883</v>
      </c>
      <c r="CM69" s="58">
        <v>3.2479700187382883</v>
      </c>
      <c r="CN69" s="28">
        <v>-2</v>
      </c>
      <c r="CO69" s="28">
        <v>-5</v>
      </c>
      <c r="CP69" s="28">
        <v>-0.16656256506350198</v>
      </c>
      <c r="CR69" s="32">
        <f t="shared" si="27"/>
        <v>22.670830730793252</v>
      </c>
      <c r="CS69" s="32">
        <v>22.670830730793252</v>
      </c>
      <c r="CT69" s="32">
        <f t="shared" si="28"/>
        <v>25.070830730793251</v>
      </c>
      <c r="CU69" s="32">
        <f t="shared" si="29"/>
        <v>0.44889580538573409</v>
      </c>
      <c r="CV69" s="32">
        <f t="shared" si="30"/>
        <v>0.44889580538573409</v>
      </c>
      <c r="CW69" s="60">
        <f t="shared" si="31"/>
        <v>-1.1626067041432437</v>
      </c>
      <c r="CY69" s="60">
        <f t="shared" si="32"/>
        <v>2.4</v>
      </c>
      <c r="CZ69" s="60">
        <f t="shared" si="33"/>
        <v>4.2972247090420766E-2</v>
      </c>
      <c r="DA69" s="60">
        <f t="shared" si="34"/>
        <v>4.2972247090420766E-2</v>
      </c>
      <c r="DB69" s="32">
        <f t="shared" si="35"/>
        <v>3.4978138663335416</v>
      </c>
      <c r="DC69">
        <f t="shared" si="36"/>
        <v>3.7733267744244046</v>
      </c>
      <c r="DD69">
        <f t="shared" si="37"/>
        <v>2.0263537952406971E-2</v>
      </c>
      <c r="DE69">
        <f t="shared" si="38"/>
        <v>0.11896552623757589</v>
      </c>
      <c r="DF69">
        <f t="shared" si="39"/>
        <v>0.86077093581001718</v>
      </c>
      <c r="DG69">
        <f t="shared" si="40"/>
        <v>0.11943319739080308</v>
      </c>
      <c r="DH69">
        <f t="shared" si="41"/>
        <v>0.64019847053236612</v>
      </c>
      <c r="DI69">
        <f t="shared" si="42"/>
        <v>0.35980152946763388</v>
      </c>
      <c r="DJ69">
        <f t="shared" si="43"/>
        <v>0</v>
      </c>
      <c r="DK69" s="64">
        <f t="shared" si="44"/>
        <v>-2.6367622156440818</v>
      </c>
      <c r="DL69" s="64">
        <f t="shared" si="45"/>
        <v>1.0171313613895197</v>
      </c>
      <c r="DM69" s="64">
        <f t="shared" si="46"/>
        <v>-2.5935886443161564</v>
      </c>
      <c r="DN69" s="64">
        <f t="shared" si="47"/>
        <v>1.060304932717445</v>
      </c>
      <c r="DO69" t="str">
        <f t="shared" si="48"/>
        <v>Sufficient Capacity</v>
      </c>
      <c r="DP69" t="str">
        <f t="shared" si="49"/>
        <v>Insufficient Capacity</v>
      </c>
    </row>
    <row r="70" spans="1:120" ht="15.75" x14ac:dyDescent="0.25">
      <c r="A70" s="4" t="s">
        <v>123</v>
      </c>
      <c r="B70" s="4" t="s">
        <v>123</v>
      </c>
      <c r="C70" s="2" t="s">
        <v>831</v>
      </c>
      <c r="D70" s="2" t="s">
        <v>512</v>
      </c>
      <c r="E70" s="2" t="s">
        <v>512</v>
      </c>
      <c r="F70" s="2">
        <v>69</v>
      </c>
      <c r="G70" s="2" t="s">
        <v>830</v>
      </c>
      <c r="H70" s="10" t="s">
        <v>656</v>
      </c>
      <c r="I70" s="2">
        <v>150</v>
      </c>
      <c r="J70" s="2">
        <v>65</v>
      </c>
      <c r="K70" s="2">
        <v>9.4499999999999993</v>
      </c>
      <c r="L70" t="s">
        <v>298</v>
      </c>
      <c r="M70" s="2" t="s">
        <v>1120</v>
      </c>
      <c r="N70" s="2" t="s">
        <v>437</v>
      </c>
      <c r="O70" s="2" t="s">
        <v>653</v>
      </c>
      <c r="P70" s="2" t="s">
        <v>1123</v>
      </c>
      <c r="Q70" s="9" t="s">
        <v>731</v>
      </c>
      <c r="R70" s="2" t="str">
        <f t="shared" si="50"/>
        <v>CW_3_Section_1</v>
      </c>
      <c r="S70" s="2" t="str">
        <f t="shared" si="51"/>
        <v>CW_3_MF01</v>
      </c>
      <c r="T70" s="11" t="s">
        <v>798</v>
      </c>
      <c r="U70" s="1">
        <v>45644</v>
      </c>
      <c r="V70" s="2" t="s">
        <v>799</v>
      </c>
      <c r="W70" s="2" t="s">
        <v>655</v>
      </c>
      <c r="X70" s="2" t="s">
        <v>797</v>
      </c>
      <c r="Y70" s="2" t="str">
        <f t="shared" si="52"/>
        <v>T2_0.15-0.30</v>
      </c>
      <c r="Z70" t="s">
        <v>51</v>
      </c>
      <c r="AA70">
        <v>9.8000000000000007</v>
      </c>
      <c r="AB70">
        <v>10</v>
      </c>
      <c r="AC70">
        <v>550</v>
      </c>
      <c r="AD70" s="32">
        <f t="shared" si="3"/>
        <v>0.21124055818717194</v>
      </c>
      <c r="AE70">
        <v>13</v>
      </c>
      <c r="AF70" s="32">
        <f>($AE70/92140)*36</f>
        <v>5.0792272628608645E-3</v>
      </c>
      <c r="AG70">
        <v>140</v>
      </c>
      <c r="AH70" s="32">
        <f t="shared" si="4"/>
        <v>5.5382876518790619E-2</v>
      </c>
      <c r="AI70">
        <v>110</v>
      </c>
      <c r="AJ70" s="32">
        <f t="shared" si="5"/>
        <v>4.3515117264764057E-2</v>
      </c>
      <c r="AK70">
        <v>59</v>
      </c>
      <c r="AL70" s="32">
        <f t="shared" si="6"/>
        <v>2.3339926532918904E-2</v>
      </c>
      <c r="AM70">
        <v>169</v>
      </c>
      <c r="AO70" s="49">
        <v>872</v>
      </c>
      <c r="AP70" s="49">
        <f t="shared" si="7"/>
        <v>0.27170266196882342</v>
      </c>
      <c r="AQ70">
        <v>32</v>
      </c>
      <c r="AR70" s="32">
        <f t="shared" si="8"/>
        <v>1.1984083638917061E-2</v>
      </c>
      <c r="AS70" s="48">
        <v>0.17</v>
      </c>
      <c r="AT70" s="27">
        <f t="shared" si="9"/>
        <v>6.36654443317469E-5</v>
      </c>
      <c r="AU70" s="48">
        <v>0.11</v>
      </c>
      <c r="AV70" s="27">
        <f t="shared" si="10"/>
        <v>4.0475721138051117E-5</v>
      </c>
      <c r="AW70" s="48">
        <v>0.01</v>
      </c>
      <c r="AX70" s="27">
        <f t="shared" si="11"/>
        <v>3.7611049867064394E-6</v>
      </c>
      <c r="AY70" s="48">
        <v>5.0000000000000001E-3</v>
      </c>
      <c r="AZ70" s="27">
        <f t="shared" si="12"/>
        <v>1.8649981951630372E-6</v>
      </c>
      <c r="BA70" s="48">
        <v>0.01</v>
      </c>
      <c r="BB70" s="27">
        <f t="shared" si="13"/>
        <v>3.7030802895135499E-6</v>
      </c>
      <c r="BC70" s="48">
        <v>1E-3</v>
      </c>
      <c r="BD70" s="27">
        <f t="shared" si="14"/>
        <v>3.7030802895135499E-7</v>
      </c>
      <c r="BE70" s="48">
        <v>1E-3</v>
      </c>
      <c r="BF70" s="27">
        <f t="shared" si="15"/>
        <v>3.6588380716934485E-7</v>
      </c>
      <c r="BG70" s="48">
        <v>2E-3</v>
      </c>
      <c r="BH70" s="27">
        <f t="shared" si="16"/>
        <v>7.3176761433868969E-7</v>
      </c>
      <c r="BI70" s="52">
        <f t="shared" si="17"/>
        <v>0.30900000000000005</v>
      </c>
      <c r="BJ70" s="52">
        <f t="shared" si="18"/>
        <v>0.13900000000000001</v>
      </c>
      <c r="BK70" s="27">
        <f t="shared" si="19"/>
        <v>1.1493830839164045E-4</v>
      </c>
      <c r="BL70" s="27">
        <f t="shared" si="20"/>
        <v>5.1272864059893534E-5</v>
      </c>
      <c r="BM70">
        <v>2.5</v>
      </c>
      <c r="BN70">
        <v>2.5</v>
      </c>
      <c r="BO70" t="s">
        <v>19</v>
      </c>
      <c r="BP70">
        <v>5</v>
      </c>
      <c r="BQ70">
        <v>63</v>
      </c>
      <c r="BR70">
        <v>22</v>
      </c>
      <c r="BS70">
        <v>1.7</v>
      </c>
      <c r="BT70">
        <v>4.3</v>
      </c>
      <c r="BU70">
        <v>9.8000000000000007</v>
      </c>
      <c r="BV70">
        <v>-106</v>
      </c>
      <c r="BW70">
        <v>7.09</v>
      </c>
      <c r="BX70">
        <v>1102</v>
      </c>
      <c r="BY70">
        <v>0.2</v>
      </c>
      <c r="BZ70">
        <v>0.01</v>
      </c>
      <c r="CA70" s="32">
        <v>25</v>
      </c>
      <c r="CB70" s="32">
        <f t="shared" si="21"/>
        <v>0.44762757385854968</v>
      </c>
      <c r="CC70" s="32">
        <f t="shared" si="22"/>
        <v>0.44762757385854968</v>
      </c>
      <c r="CD70" s="32">
        <v>3.8</v>
      </c>
      <c r="CE70" s="32">
        <f t="shared" si="23"/>
        <v>6.9178955033679226E-2</v>
      </c>
      <c r="CF70" s="32">
        <f t="shared" si="24"/>
        <v>0.13835791006735845</v>
      </c>
      <c r="CG70" s="27">
        <v>0.5</v>
      </c>
      <c r="CH70" s="27">
        <f t="shared" si="25"/>
        <v>5.2050801582344368E-3</v>
      </c>
      <c r="CI70" s="27">
        <f t="shared" si="26"/>
        <v>4.1640641265875494E-2</v>
      </c>
      <c r="CJ70" s="58">
        <v>80.5</v>
      </c>
      <c r="CK70" s="58">
        <v>99.382716049382708</v>
      </c>
      <c r="CL70" s="58">
        <v>6.7041432438059543</v>
      </c>
      <c r="CM70" s="58">
        <v>6.7041432438059543</v>
      </c>
      <c r="CN70" s="28">
        <v>80.5</v>
      </c>
      <c r="CO70" s="28">
        <v>99.382716049382708</v>
      </c>
      <c r="CP70" s="28">
        <v>6.7041432438059543</v>
      </c>
      <c r="CQ70" s="28">
        <v>6.7041432438059543</v>
      </c>
      <c r="CR70" s="32">
        <f t="shared" si="27"/>
        <v>46.794919841765562</v>
      </c>
      <c r="CS70" s="32">
        <v>46.794919841765562</v>
      </c>
      <c r="CT70" s="32">
        <f t="shared" si="28"/>
        <v>71.794919841765562</v>
      </c>
      <c r="CU70" s="32">
        <f t="shared" si="29"/>
        <v>1.2854954313655427</v>
      </c>
      <c r="CV70" s="32">
        <f t="shared" si="30"/>
        <v>1.2854954313655427</v>
      </c>
      <c r="CW70" s="60">
        <f t="shared" si="31"/>
        <v>46.794919841765562</v>
      </c>
      <c r="CX70" s="60">
        <v>46.794919841765562</v>
      </c>
      <c r="CY70" s="60">
        <f t="shared" si="32"/>
        <v>71.794919841765562</v>
      </c>
      <c r="CZ70" s="60">
        <f t="shared" si="33"/>
        <v>1.2854954313655427</v>
      </c>
      <c r="DA70" s="60">
        <f t="shared" si="34"/>
        <v>1.2854954313655427</v>
      </c>
      <c r="DB70" s="32">
        <f t="shared" si="35"/>
        <v>4.1640641265875494E-2</v>
      </c>
      <c r="DC70">
        <f t="shared" si="36"/>
        <v>8.127996585238856</v>
      </c>
      <c r="DD70">
        <f t="shared" si="37"/>
        <v>1.7022387819235599E-2</v>
      </c>
      <c r="DE70">
        <f t="shared" si="38"/>
        <v>0.15815649254825148</v>
      </c>
      <c r="DF70">
        <f t="shared" si="39"/>
        <v>0.82482111963251281</v>
      </c>
      <c r="DG70">
        <f t="shared" si="40"/>
        <v>8.127996585238856</v>
      </c>
      <c r="DH70">
        <f t="shared" si="41"/>
        <v>1.7022387819235599E-2</v>
      </c>
      <c r="DI70">
        <f t="shared" si="42"/>
        <v>0.15815649254825148</v>
      </c>
      <c r="DJ70">
        <f t="shared" si="43"/>
        <v>0.82482111963251281</v>
      </c>
      <c r="DK70" s="64">
        <f t="shared" si="44"/>
        <v>-7.8443098396311157</v>
      </c>
      <c r="DL70" s="64">
        <f t="shared" si="45"/>
        <v>-7.8443098396311157</v>
      </c>
      <c r="DM70" s="64">
        <f t="shared" si="46"/>
        <v>-7.8442585667670555</v>
      </c>
      <c r="DN70" s="64">
        <f t="shared" si="47"/>
        <v>-7.8442585667670555</v>
      </c>
      <c r="DO70" t="str">
        <f t="shared" si="48"/>
        <v>Sufficient Capacity</v>
      </c>
      <c r="DP70" t="str">
        <f t="shared" si="49"/>
        <v>Sufficient Capacity</v>
      </c>
    </row>
    <row r="71" spans="1:120" ht="15.75" x14ac:dyDescent="0.25">
      <c r="A71" s="4" t="s">
        <v>124</v>
      </c>
      <c r="B71" s="4" t="s">
        <v>124</v>
      </c>
      <c r="C71" s="2" t="s">
        <v>833</v>
      </c>
      <c r="D71" s="2" t="s">
        <v>513</v>
      </c>
      <c r="E71" s="2" t="s">
        <v>513</v>
      </c>
      <c r="F71" s="2">
        <v>70</v>
      </c>
      <c r="G71" s="2" t="s">
        <v>832</v>
      </c>
      <c r="H71" s="10" t="s">
        <v>656</v>
      </c>
      <c r="I71" s="2">
        <v>150</v>
      </c>
      <c r="J71" s="2">
        <v>65</v>
      </c>
      <c r="K71" s="2">
        <v>4.9000000000000004</v>
      </c>
      <c r="L71" t="s">
        <v>299</v>
      </c>
      <c r="M71" s="2" t="s">
        <v>1120</v>
      </c>
      <c r="N71" s="2" t="s">
        <v>437</v>
      </c>
      <c r="O71" s="2" t="s">
        <v>653</v>
      </c>
      <c r="P71" s="2" t="s">
        <v>1124</v>
      </c>
      <c r="Q71" s="9" t="s">
        <v>734</v>
      </c>
      <c r="R71" s="2" t="str">
        <f t="shared" si="50"/>
        <v>CW_3_Section_1</v>
      </c>
      <c r="S71" s="2" t="str">
        <f t="shared" si="51"/>
        <v>CW_3_MF02</v>
      </c>
      <c r="T71" s="11" t="s">
        <v>798</v>
      </c>
      <c r="U71" s="1">
        <v>45644</v>
      </c>
      <c r="V71" s="2" t="s">
        <v>799</v>
      </c>
      <c r="W71" s="2" t="s">
        <v>663</v>
      </c>
      <c r="X71" s="2" t="s">
        <v>797</v>
      </c>
      <c r="Y71" s="2" t="str">
        <f t="shared" si="52"/>
        <v>T2_0.60-0.80</v>
      </c>
      <c r="Z71" t="s">
        <v>53</v>
      </c>
      <c r="AA71">
        <v>11</v>
      </c>
      <c r="AB71">
        <v>11</v>
      </c>
      <c r="AC71">
        <v>590</v>
      </c>
      <c r="AD71" s="32">
        <f t="shared" si="3"/>
        <v>0.22660350787351172</v>
      </c>
      <c r="AE71">
        <v>49</v>
      </c>
      <c r="AF71" s="32">
        <f>($AE71/92140)*36</f>
        <v>1.9144779683090946E-2</v>
      </c>
      <c r="AG71">
        <v>650</v>
      </c>
      <c r="AH71" s="32">
        <f t="shared" si="4"/>
        <v>0.25713478383724214</v>
      </c>
      <c r="AI71">
        <v>240</v>
      </c>
      <c r="AJ71" s="32">
        <f t="shared" si="5"/>
        <v>9.4942074032212498E-2</v>
      </c>
      <c r="AK71">
        <v>280</v>
      </c>
      <c r="AL71" s="32">
        <f t="shared" si="6"/>
        <v>0.11076575303758124</v>
      </c>
      <c r="AM71">
        <v>520</v>
      </c>
      <c r="AO71" s="49">
        <v>1809</v>
      </c>
      <c r="AP71" s="49">
        <f t="shared" si="7"/>
        <v>0.5028830713938448</v>
      </c>
      <c r="AQ71">
        <v>3000</v>
      </c>
      <c r="AR71" s="32">
        <f t="shared" si="8"/>
        <v>1.1235078411484747</v>
      </c>
      <c r="AS71" s="48">
        <v>1400</v>
      </c>
      <c r="AT71" s="27">
        <f t="shared" si="9"/>
        <v>0.52430365920262156</v>
      </c>
      <c r="AU71" s="48">
        <v>80</v>
      </c>
      <c r="AV71" s="27">
        <f t="shared" si="10"/>
        <v>2.9436888100400814E-2</v>
      </c>
      <c r="AW71" s="48">
        <v>110</v>
      </c>
      <c r="AX71" s="27">
        <f t="shared" si="11"/>
        <v>4.1372154853770833E-2</v>
      </c>
      <c r="AY71" s="48">
        <v>32</v>
      </c>
      <c r="AZ71" s="27">
        <f t="shared" si="12"/>
        <v>1.1935988449043436E-2</v>
      </c>
      <c r="BA71" s="48">
        <v>11</v>
      </c>
      <c r="BB71" s="27">
        <f t="shared" si="13"/>
        <v>4.0733883184649045E-3</v>
      </c>
      <c r="BC71" s="48">
        <v>2.4</v>
      </c>
      <c r="BD71" s="27">
        <f t="shared" si="14"/>
        <v>8.8873926948325195E-4</v>
      </c>
      <c r="BE71" s="48">
        <v>0.42</v>
      </c>
      <c r="BF71" s="27">
        <f t="shared" si="15"/>
        <v>1.5367119901112485E-4</v>
      </c>
      <c r="BG71" s="48">
        <v>0.36</v>
      </c>
      <c r="BH71" s="27">
        <f t="shared" si="16"/>
        <v>1.3171817058096414E-4</v>
      </c>
      <c r="BI71" s="52">
        <f t="shared" si="17"/>
        <v>1636.18</v>
      </c>
      <c r="BJ71" s="52">
        <f t="shared" si="18"/>
        <v>236.18</v>
      </c>
      <c r="BK71" s="27">
        <f t="shared" si="19"/>
        <v>0.61229620756337699</v>
      </c>
      <c r="BL71" s="27">
        <f t="shared" si="20"/>
        <v>8.7992548360755332E-2</v>
      </c>
      <c r="BM71">
        <v>8900</v>
      </c>
      <c r="BN71">
        <v>1900</v>
      </c>
      <c r="BO71" t="s">
        <v>19</v>
      </c>
      <c r="BP71">
        <v>11000</v>
      </c>
      <c r="BQ71">
        <v>70</v>
      </c>
      <c r="BR71">
        <v>27</v>
      </c>
      <c r="BS71">
        <v>0.45</v>
      </c>
      <c r="BT71">
        <v>0.49</v>
      </c>
      <c r="BU71">
        <v>9.6</v>
      </c>
      <c r="BV71">
        <v>-145</v>
      </c>
      <c r="BW71">
        <v>6.92</v>
      </c>
      <c r="BX71">
        <v>850</v>
      </c>
      <c r="BY71">
        <v>0.2</v>
      </c>
      <c r="BZ71">
        <v>0.01</v>
      </c>
      <c r="CA71" s="32">
        <v>0.5</v>
      </c>
      <c r="CB71" s="32">
        <f t="shared" si="21"/>
        <v>8.9525514771709933E-3</v>
      </c>
      <c r="CC71" s="32">
        <f t="shared" si="22"/>
        <v>8.9525514771709933E-3</v>
      </c>
      <c r="CD71" s="32">
        <v>0.8</v>
      </c>
      <c r="CE71" s="32">
        <f t="shared" si="23"/>
        <v>1.4563990533406155E-2</v>
      </c>
      <c r="CF71" s="32">
        <f t="shared" si="24"/>
        <v>2.912798106681231E-2</v>
      </c>
      <c r="CG71" s="27">
        <v>58</v>
      </c>
      <c r="CH71" s="27">
        <f t="shared" si="25"/>
        <v>0.60378929835519468</v>
      </c>
      <c r="CI71" s="27">
        <f t="shared" si="26"/>
        <v>4.8303143868415575</v>
      </c>
      <c r="CJ71" s="58">
        <v>23</v>
      </c>
      <c r="CK71" s="58">
        <v>28.39506172839506</v>
      </c>
      <c r="CL71" s="58">
        <v>1.9154694982302727</v>
      </c>
      <c r="CM71" s="58">
        <v>1.9154694982302727</v>
      </c>
      <c r="CN71" s="28">
        <v>23</v>
      </c>
      <c r="CO71" s="28">
        <v>28.39506172839506</v>
      </c>
      <c r="CP71" s="28">
        <v>1.9154694982302727</v>
      </c>
      <c r="CQ71" s="28">
        <v>1.9154694982302727</v>
      </c>
      <c r="CR71" s="32">
        <f t="shared" si="27"/>
        <v>13.369977097647302</v>
      </c>
      <c r="CS71" s="32">
        <v>13.369977097647302</v>
      </c>
      <c r="CT71" s="32">
        <f t="shared" si="28"/>
        <v>13.869977097647302</v>
      </c>
      <c r="CU71" s="32">
        <f t="shared" si="29"/>
        <v>0.24834336790774042</v>
      </c>
      <c r="CV71" s="32">
        <f t="shared" si="30"/>
        <v>0.24834336790774042</v>
      </c>
      <c r="CW71" s="60">
        <f t="shared" si="31"/>
        <v>13.369977097647302</v>
      </c>
      <c r="CX71" s="60">
        <v>13.369977097647302</v>
      </c>
      <c r="CY71" s="60">
        <f t="shared" si="32"/>
        <v>13.869977097647302</v>
      </c>
      <c r="CZ71" s="60">
        <f t="shared" si="33"/>
        <v>0.24834336790774042</v>
      </c>
      <c r="DA71" s="60">
        <f t="shared" si="34"/>
        <v>0.24834336790774042</v>
      </c>
      <c r="DB71" s="32">
        <f t="shared" si="35"/>
        <v>4.8303143868415575</v>
      </c>
      <c r="DC71">
        <f t="shared" si="36"/>
        <v>2.1929408472048255</v>
      </c>
      <c r="DD71">
        <f t="shared" si="37"/>
        <v>1.3282611386412691E-2</v>
      </c>
      <c r="DE71">
        <f t="shared" si="38"/>
        <v>0.11324672447242924</v>
      </c>
      <c r="DF71">
        <f t="shared" si="39"/>
        <v>0.87347066414115804</v>
      </c>
      <c r="DG71">
        <f t="shared" si="40"/>
        <v>2.1929408472048255</v>
      </c>
      <c r="DH71">
        <f t="shared" si="41"/>
        <v>1.3282611386412691E-2</v>
      </c>
      <c r="DI71">
        <f t="shared" si="42"/>
        <v>0.11324672447242924</v>
      </c>
      <c r="DJ71">
        <f t="shared" si="43"/>
        <v>0.87347066414115804</v>
      </c>
      <c r="DK71" s="64">
        <f t="shared" si="44"/>
        <v>-0.56654993466250603</v>
      </c>
      <c r="DL71" s="64">
        <f t="shared" si="45"/>
        <v>-0.56654993466250603</v>
      </c>
      <c r="DM71" s="64">
        <f t="shared" si="46"/>
        <v>-0.47855738630175071</v>
      </c>
      <c r="DN71" s="64">
        <f t="shared" si="47"/>
        <v>-0.47855738630175071</v>
      </c>
      <c r="DO71" t="str">
        <f t="shared" si="48"/>
        <v>Sufficient Capacity</v>
      </c>
      <c r="DP71" t="str">
        <f t="shared" si="49"/>
        <v>Sufficient Capacity</v>
      </c>
    </row>
    <row r="72" spans="1:120" ht="15.75" x14ac:dyDescent="0.25">
      <c r="A72" s="4" t="s">
        <v>125</v>
      </c>
      <c r="B72" s="4" t="s">
        <v>125</v>
      </c>
      <c r="C72" s="2" t="s">
        <v>835</v>
      </c>
      <c r="D72" s="2" t="s">
        <v>514</v>
      </c>
      <c r="E72" s="2" t="s">
        <v>514</v>
      </c>
      <c r="F72" s="2">
        <v>71</v>
      </c>
      <c r="G72" s="2" t="s">
        <v>834</v>
      </c>
      <c r="H72" s="10" t="s">
        <v>656</v>
      </c>
      <c r="I72" s="2">
        <v>150</v>
      </c>
      <c r="J72" s="2">
        <v>65</v>
      </c>
      <c r="K72" s="2">
        <v>5</v>
      </c>
      <c r="L72" t="s">
        <v>300</v>
      </c>
      <c r="M72" s="2" t="s">
        <v>1120</v>
      </c>
      <c r="N72" s="2" t="s">
        <v>437</v>
      </c>
      <c r="O72" s="2" t="s">
        <v>666</v>
      </c>
      <c r="P72" s="2" t="s">
        <v>1131</v>
      </c>
      <c r="Q72" s="9" t="s">
        <v>737</v>
      </c>
      <c r="R72" s="2" t="str">
        <f t="shared" si="50"/>
        <v>CW_3_Section_2</v>
      </c>
      <c r="S72" s="2" t="str">
        <f t="shared" si="51"/>
        <v>CW_3_MF05</v>
      </c>
      <c r="T72" s="11" t="s">
        <v>798</v>
      </c>
      <c r="U72" s="1">
        <v>45644</v>
      </c>
      <c r="V72" s="2" t="s">
        <v>799</v>
      </c>
      <c r="W72" s="2" t="s">
        <v>655</v>
      </c>
      <c r="X72" s="2" t="s">
        <v>797</v>
      </c>
      <c r="Y72" s="2" t="str">
        <f t="shared" si="52"/>
        <v>T2_0.15-0.30</v>
      </c>
      <c r="Z72" t="s">
        <v>55</v>
      </c>
      <c r="AA72">
        <v>1.1000000000000001</v>
      </c>
      <c r="AB72">
        <v>1.5</v>
      </c>
      <c r="AC72">
        <v>3.5</v>
      </c>
      <c r="AD72" s="32">
        <f t="shared" si="3"/>
        <v>1.3442580975547304E-3</v>
      </c>
      <c r="AE72">
        <v>0.4</v>
      </c>
      <c r="AF72" s="32">
        <f>($AE72/92140)*36</f>
        <v>1.562839157803343E-4</v>
      </c>
      <c r="AG72">
        <v>4.4000000000000004</v>
      </c>
      <c r="AH72" s="32">
        <f t="shared" si="4"/>
        <v>1.7406046905905624E-3</v>
      </c>
      <c r="AI72">
        <v>2.1</v>
      </c>
      <c r="AJ72" s="32">
        <f t="shared" si="5"/>
        <v>8.3074314778185923E-4</v>
      </c>
      <c r="AK72">
        <v>1.8</v>
      </c>
      <c r="AL72" s="32">
        <f t="shared" si="6"/>
        <v>7.120655552415937E-4</v>
      </c>
      <c r="AM72">
        <v>3.9</v>
      </c>
      <c r="AO72" s="49">
        <v>12.2</v>
      </c>
      <c r="AP72" s="49">
        <f t="shared" si="7"/>
        <v>3.2411467039256273E-3</v>
      </c>
      <c r="AQ72">
        <v>12</v>
      </c>
      <c r="AR72" s="32">
        <f t="shared" si="8"/>
        <v>4.4940313645938984E-3</v>
      </c>
      <c r="AS72" s="48">
        <v>0.04</v>
      </c>
      <c r="AT72" s="27">
        <f t="shared" si="9"/>
        <v>1.498010454864633E-5</v>
      </c>
      <c r="AU72" s="48">
        <v>0.01</v>
      </c>
      <c r="AV72" s="27">
        <f t="shared" si="10"/>
        <v>3.6796110125501018E-6</v>
      </c>
      <c r="AW72" s="48">
        <v>0.01</v>
      </c>
      <c r="AX72" s="27">
        <f t="shared" si="11"/>
        <v>3.7611049867064394E-6</v>
      </c>
      <c r="AY72" s="48">
        <v>5.0000000000000001E-3</v>
      </c>
      <c r="AZ72" s="27">
        <f t="shared" si="12"/>
        <v>1.8649981951630372E-6</v>
      </c>
      <c r="BA72" s="48">
        <v>1E-3</v>
      </c>
      <c r="BB72" s="27">
        <f t="shared" si="13"/>
        <v>3.7030802895135499E-7</v>
      </c>
      <c r="BC72" s="48">
        <v>1E-3</v>
      </c>
      <c r="BD72" s="27">
        <f t="shared" si="14"/>
        <v>3.7030802895135499E-7</v>
      </c>
      <c r="BE72" s="48">
        <v>1E-3</v>
      </c>
      <c r="BF72" s="27">
        <f t="shared" si="15"/>
        <v>3.6588380716934485E-7</v>
      </c>
      <c r="BG72" s="48">
        <v>2E-3</v>
      </c>
      <c r="BH72" s="27">
        <f t="shared" si="16"/>
        <v>7.3176761433868969E-7</v>
      </c>
      <c r="BI72" s="52">
        <f t="shared" si="17"/>
        <v>7.0000000000000007E-2</v>
      </c>
      <c r="BJ72" s="52">
        <f t="shared" si="18"/>
        <v>3.0000000000000006E-2</v>
      </c>
      <c r="BK72" s="27">
        <f t="shared" si="19"/>
        <v>2.6124086222476654E-5</v>
      </c>
      <c r="BL72" s="27">
        <f t="shared" si="20"/>
        <v>1.1143981673830322E-5</v>
      </c>
      <c r="BM72">
        <v>2.5</v>
      </c>
      <c r="BN72">
        <v>2.5</v>
      </c>
      <c r="BO72" t="s">
        <v>19</v>
      </c>
      <c r="BP72">
        <v>5</v>
      </c>
      <c r="BQ72">
        <v>68</v>
      </c>
      <c r="BR72">
        <v>0.2</v>
      </c>
      <c r="BS72">
        <v>0.35</v>
      </c>
      <c r="BT72">
        <v>6.9</v>
      </c>
      <c r="BU72">
        <v>8.6</v>
      </c>
      <c r="BV72">
        <v>-89</v>
      </c>
      <c r="BW72">
        <v>6.98</v>
      </c>
      <c r="BX72">
        <v>690</v>
      </c>
      <c r="BY72">
        <v>0.2</v>
      </c>
      <c r="BZ72">
        <v>0.01</v>
      </c>
      <c r="CA72" s="32">
        <v>2.5</v>
      </c>
      <c r="CB72" s="32">
        <f t="shared" si="21"/>
        <v>4.4762757385854966E-2</v>
      </c>
      <c r="CC72" s="32">
        <f t="shared" si="22"/>
        <v>4.4762757385854966E-2</v>
      </c>
      <c r="CD72" s="32">
        <v>6.9</v>
      </c>
      <c r="CE72" s="32">
        <f t="shared" si="23"/>
        <v>0.12561441835062809</v>
      </c>
      <c r="CF72" s="32">
        <f t="shared" si="24"/>
        <v>0.25122883670125618</v>
      </c>
      <c r="CG72" s="27">
        <v>10</v>
      </c>
      <c r="CH72" s="27">
        <f t="shared" si="25"/>
        <v>0.10410160316468874</v>
      </c>
      <c r="CI72" s="27">
        <f t="shared" si="26"/>
        <v>0.83281282531750989</v>
      </c>
      <c r="CJ72" s="58">
        <v>71</v>
      </c>
      <c r="CK72" s="58">
        <v>87.654320987654316</v>
      </c>
      <c r="CL72" s="58">
        <v>5.9129710597543204</v>
      </c>
      <c r="CM72" s="58">
        <v>5.9129710597543204</v>
      </c>
      <c r="CN72" s="28">
        <v>-9.5</v>
      </c>
      <c r="CO72" s="28">
        <v>-1900</v>
      </c>
      <c r="CP72" s="28">
        <v>-0.79117218405163436</v>
      </c>
      <c r="CR72" s="32">
        <f t="shared" si="27"/>
        <v>41.272537997085152</v>
      </c>
      <c r="CS72" s="32">
        <v>41.272537997085152</v>
      </c>
      <c r="CT72" s="32">
        <f t="shared" si="28"/>
        <v>43.772537997085152</v>
      </c>
      <c r="CU72" s="32">
        <f t="shared" si="29"/>
        <v>0.7837517994106562</v>
      </c>
      <c r="CV72" s="32">
        <f t="shared" si="30"/>
        <v>0.7837517994106562</v>
      </c>
      <c r="CW72" s="60">
        <f t="shared" si="31"/>
        <v>-5.5223818446804076</v>
      </c>
      <c r="CY72" s="60">
        <f t="shared" si="32"/>
        <v>2.5</v>
      </c>
      <c r="CZ72" s="60">
        <f t="shared" si="33"/>
        <v>4.4762757385854966E-2</v>
      </c>
      <c r="DA72" s="60">
        <f t="shared" si="34"/>
        <v>4.4762757385854966E-2</v>
      </c>
      <c r="DB72" s="32">
        <f t="shared" si="35"/>
        <v>0.83281282531750989</v>
      </c>
      <c r="DC72">
        <f t="shared" si="36"/>
        <v>6.9479516958662328</v>
      </c>
      <c r="DD72">
        <f t="shared" si="37"/>
        <v>3.6158690747767834E-2</v>
      </c>
      <c r="DE72">
        <f t="shared" si="38"/>
        <v>0.11280328846801839</v>
      </c>
      <c r="DF72">
        <f t="shared" si="39"/>
        <v>0.85103802078421376</v>
      </c>
      <c r="DG72">
        <f t="shared" si="40"/>
        <v>0.29599159408711112</v>
      </c>
      <c r="DH72">
        <f t="shared" si="41"/>
        <v>0.84877017361283191</v>
      </c>
      <c r="DI72">
        <f t="shared" si="42"/>
        <v>0.15122982638716817</v>
      </c>
      <c r="DJ72">
        <f t="shared" si="43"/>
        <v>0</v>
      </c>
      <c r="DK72" s="64">
        <f t="shared" si="44"/>
        <v>-6.9402165177977135</v>
      </c>
      <c r="DL72" s="64">
        <f t="shared" si="45"/>
        <v>-0.28825641601859159</v>
      </c>
      <c r="DM72" s="64">
        <f t="shared" si="46"/>
        <v>-6.9402053738160392</v>
      </c>
      <c r="DN72" s="64">
        <f t="shared" si="47"/>
        <v>-0.28824527203691774</v>
      </c>
      <c r="DO72" t="str">
        <f t="shared" si="48"/>
        <v>Sufficient Capacity</v>
      </c>
      <c r="DP72" t="str">
        <f t="shared" si="49"/>
        <v>Sufficient Capacity</v>
      </c>
    </row>
    <row r="73" spans="1:120" ht="15.75" x14ac:dyDescent="0.25">
      <c r="A73" s="4" t="s">
        <v>126</v>
      </c>
      <c r="B73" s="4" t="s">
        <v>126</v>
      </c>
      <c r="C73" s="2" t="s">
        <v>837</v>
      </c>
      <c r="D73" s="2" t="s">
        <v>515</v>
      </c>
      <c r="E73" s="2" t="s">
        <v>515</v>
      </c>
      <c r="F73" s="2">
        <v>72</v>
      </c>
      <c r="G73" s="2" t="s">
        <v>836</v>
      </c>
      <c r="H73" s="10" t="s">
        <v>656</v>
      </c>
      <c r="I73" s="2">
        <v>150</v>
      </c>
      <c r="J73" s="2">
        <v>65</v>
      </c>
      <c r="K73" s="2">
        <v>8.1</v>
      </c>
      <c r="L73" t="s">
        <v>301</v>
      </c>
      <c r="M73" s="2" t="s">
        <v>1120</v>
      </c>
      <c r="N73" s="2" t="s">
        <v>437</v>
      </c>
      <c r="O73" s="2" t="s">
        <v>666</v>
      </c>
      <c r="P73" s="2" t="s">
        <v>1132</v>
      </c>
      <c r="Q73" s="9" t="s">
        <v>740</v>
      </c>
      <c r="R73" s="2" t="str">
        <f t="shared" si="50"/>
        <v>CW_3_Section_2</v>
      </c>
      <c r="S73" s="2" t="str">
        <f t="shared" si="51"/>
        <v>CW_3_MF06</v>
      </c>
      <c r="T73" s="11" t="s">
        <v>798</v>
      </c>
      <c r="U73" s="1">
        <v>45644</v>
      </c>
      <c r="V73" s="2" t="s">
        <v>799</v>
      </c>
      <c r="W73" s="2" t="s">
        <v>663</v>
      </c>
      <c r="X73" s="2" t="s">
        <v>797</v>
      </c>
      <c r="Y73" s="2" t="str">
        <f t="shared" si="52"/>
        <v>T2_0.60-0.80</v>
      </c>
      <c r="Z73" t="s">
        <v>57</v>
      </c>
      <c r="AA73">
        <v>8.4</v>
      </c>
      <c r="AB73">
        <v>8.6</v>
      </c>
      <c r="AC73">
        <v>450</v>
      </c>
      <c r="AD73" s="32">
        <f t="shared" si="3"/>
        <v>0.1728331839713225</v>
      </c>
      <c r="AE73">
        <v>29</v>
      </c>
      <c r="AF73" s="32">
        <f>($AE73/92140)*36</f>
        <v>1.1330583894074235E-2</v>
      </c>
      <c r="AG73">
        <v>320</v>
      </c>
      <c r="AH73" s="32">
        <f t="shared" si="4"/>
        <v>0.12658943204294998</v>
      </c>
      <c r="AI73">
        <v>150</v>
      </c>
      <c r="AJ73" s="32">
        <f t="shared" si="5"/>
        <v>5.9338796270132804E-2</v>
      </c>
      <c r="AK73">
        <v>130</v>
      </c>
      <c r="AL73" s="32">
        <f t="shared" si="6"/>
        <v>5.1426956767448434E-2</v>
      </c>
      <c r="AM73">
        <v>280</v>
      </c>
      <c r="AO73" s="49">
        <v>1079</v>
      </c>
      <c r="AP73" s="49">
        <f t="shared" si="7"/>
        <v>0.31075319990834671</v>
      </c>
      <c r="AQ73">
        <v>2000</v>
      </c>
      <c r="AR73" s="32">
        <f t="shared" si="8"/>
        <v>0.74900522743231646</v>
      </c>
      <c r="AS73" s="48">
        <v>270</v>
      </c>
      <c r="AT73" s="27">
        <f t="shared" si="9"/>
        <v>0.10111570570336273</v>
      </c>
      <c r="AU73" s="48">
        <v>25</v>
      </c>
      <c r="AV73" s="27">
        <f t="shared" si="10"/>
        <v>9.1990275313752548E-3</v>
      </c>
      <c r="AW73" s="48">
        <v>39</v>
      </c>
      <c r="AX73" s="27">
        <f t="shared" si="11"/>
        <v>1.4668309448155115E-2</v>
      </c>
      <c r="AY73" s="48">
        <v>9.1999999999999993</v>
      </c>
      <c r="AZ73" s="27">
        <f t="shared" si="12"/>
        <v>3.4315966790999875E-3</v>
      </c>
      <c r="BA73" s="48">
        <v>3</v>
      </c>
      <c r="BB73" s="27">
        <f t="shared" si="13"/>
        <v>1.1109240868540651E-3</v>
      </c>
      <c r="BC73" s="48">
        <v>0.55000000000000004</v>
      </c>
      <c r="BD73" s="27">
        <f t="shared" si="14"/>
        <v>2.0366941592324524E-4</v>
      </c>
      <c r="BE73" s="48">
        <v>0.09</v>
      </c>
      <c r="BF73" s="27">
        <f t="shared" si="15"/>
        <v>3.2929542645241034E-5</v>
      </c>
      <c r="BG73" s="48">
        <v>7.0000000000000007E-2</v>
      </c>
      <c r="BH73" s="27">
        <f t="shared" si="16"/>
        <v>2.5611866501854141E-5</v>
      </c>
      <c r="BI73" s="52">
        <f t="shared" si="17"/>
        <v>346.90999999999997</v>
      </c>
      <c r="BJ73" s="52">
        <f t="shared" si="18"/>
        <v>76.91</v>
      </c>
      <c r="BK73" s="27">
        <f t="shared" si="19"/>
        <v>0.12978777427391749</v>
      </c>
      <c r="BL73" s="27">
        <f t="shared" si="20"/>
        <v>2.8672068570554762E-2</v>
      </c>
      <c r="BM73">
        <v>4000</v>
      </c>
      <c r="BN73">
        <v>1000</v>
      </c>
      <c r="BO73" t="s">
        <v>19</v>
      </c>
      <c r="BP73">
        <v>5000</v>
      </c>
      <c r="BQ73">
        <v>70</v>
      </c>
      <c r="BR73">
        <v>27</v>
      </c>
      <c r="BS73">
        <v>0.8</v>
      </c>
      <c r="BT73">
        <v>42</v>
      </c>
      <c r="BU73">
        <v>8.6999999999999993</v>
      </c>
      <c r="BV73">
        <v>-112</v>
      </c>
      <c r="BW73">
        <v>7.06</v>
      </c>
      <c r="BX73">
        <v>844</v>
      </c>
      <c r="BY73">
        <v>0.2</v>
      </c>
      <c r="BZ73">
        <v>0.01</v>
      </c>
      <c r="CA73" s="32">
        <v>0.8</v>
      </c>
      <c r="CB73" s="32">
        <f t="shared" si="21"/>
        <v>1.432408236347359E-2</v>
      </c>
      <c r="CC73" s="32">
        <f t="shared" si="22"/>
        <v>1.432408236347359E-2</v>
      </c>
      <c r="CD73" s="32">
        <v>0.9</v>
      </c>
      <c r="CE73" s="32">
        <f t="shared" si="23"/>
        <v>1.6384489350081924E-2</v>
      </c>
      <c r="CF73" s="32">
        <f t="shared" si="24"/>
        <v>3.2768978700163848E-2</v>
      </c>
      <c r="CG73" s="27">
        <v>61</v>
      </c>
      <c r="CH73" s="27">
        <f t="shared" si="25"/>
        <v>0.6350197793046013</v>
      </c>
      <c r="CI73" s="27">
        <f t="shared" si="26"/>
        <v>5.0801582344368104</v>
      </c>
      <c r="CJ73" s="58">
        <v>20</v>
      </c>
      <c r="CK73" s="58">
        <v>24.691358024691358</v>
      </c>
      <c r="CL73" s="58">
        <v>1.6656256506350198</v>
      </c>
      <c r="CM73" s="58">
        <v>1.6656256506350198</v>
      </c>
      <c r="CN73" s="28">
        <v>-3</v>
      </c>
      <c r="CO73" s="28">
        <v>-5.1724137931034484</v>
      </c>
      <c r="CP73" s="28">
        <v>-0.24984384759525297</v>
      </c>
      <c r="CR73" s="32">
        <f t="shared" si="27"/>
        <v>11.626067041432437</v>
      </c>
      <c r="CS73" s="32">
        <v>11.626067041432437</v>
      </c>
      <c r="CT73" s="32">
        <f t="shared" si="28"/>
        <v>12.426067041432438</v>
      </c>
      <c r="CU73" s="32">
        <f t="shared" si="29"/>
        <v>0.22249000969440352</v>
      </c>
      <c r="CV73" s="32">
        <f t="shared" si="30"/>
        <v>0.22249000969440352</v>
      </c>
      <c r="CW73" s="60">
        <f t="shared" si="31"/>
        <v>-1.7439100562148657</v>
      </c>
      <c r="CY73" s="60">
        <f t="shared" si="32"/>
        <v>0.8</v>
      </c>
      <c r="CZ73" s="60">
        <f t="shared" si="33"/>
        <v>1.432408236347359E-2</v>
      </c>
      <c r="DA73" s="60">
        <f t="shared" si="34"/>
        <v>1.432408236347359E-2</v>
      </c>
      <c r="DB73" s="32">
        <f t="shared" si="35"/>
        <v>5.0801582344368104</v>
      </c>
      <c r="DC73">
        <f t="shared" si="36"/>
        <v>1.9208846390295871</v>
      </c>
      <c r="DD73">
        <f t="shared" si="37"/>
        <v>1.7059316334956186E-2</v>
      </c>
      <c r="DE73">
        <f t="shared" si="38"/>
        <v>0.11582684622164681</v>
      </c>
      <c r="DF73">
        <f t="shared" si="39"/>
        <v>0.8671138374433971</v>
      </c>
      <c r="DG73">
        <f t="shared" si="40"/>
        <v>4.7093061063637434E-2</v>
      </c>
      <c r="DH73">
        <f t="shared" si="41"/>
        <v>0.69583454462394623</v>
      </c>
      <c r="DI73">
        <f t="shared" si="42"/>
        <v>0.30416545537605383</v>
      </c>
      <c r="DJ73">
        <f t="shared" si="43"/>
        <v>0</v>
      </c>
      <c r="DK73" s="64">
        <f t="shared" si="44"/>
        <v>-0.86112621168892378</v>
      </c>
      <c r="DL73" s="64">
        <f t="shared" si="45"/>
        <v>1.0126653662770257</v>
      </c>
      <c r="DM73" s="64">
        <f t="shared" si="46"/>
        <v>-0.83245414311836896</v>
      </c>
      <c r="DN73" s="64">
        <f t="shared" si="47"/>
        <v>1.0413374348475806</v>
      </c>
      <c r="DO73" t="str">
        <f t="shared" si="48"/>
        <v>Sufficient Capacity</v>
      </c>
      <c r="DP73" t="str">
        <f t="shared" si="49"/>
        <v>Insufficient Capacity</v>
      </c>
    </row>
    <row r="74" spans="1:120" ht="15.75" x14ac:dyDescent="0.25">
      <c r="A74" s="4" t="s">
        <v>127</v>
      </c>
      <c r="B74" s="4" t="s">
        <v>127</v>
      </c>
      <c r="C74" s="2" t="s">
        <v>839</v>
      </c>
      <c r="D74" s="2" t="s">
        <v>516</v>
      </c>
      <c r="E74" s="2" t="s">
        <v>516</v>
      </c>
      <c r="F74" s="2">
        <v>73</v>
      </c>
      <c r="G74" s="2" t="s">
        <v>838</v>
      </c>
      <c r="H74" s="10" t="s">
        <v>656</v>
      </c>
      <c r="I74" s="2">
        <v>150</v>
      </c>
      <c r="J74" s="2">
        <v>65</v>
      </c>
      <c r="K74" s="2">
        <v>6.4</v>
      </c>
      <c r="L74" t="s">
        <v>302</v>
      </c>
      <c r="M74" s="2" t="s">
        <v>1120</v>
      </c>
      <c r="N74" s="2" t="s">
        <v>437</v>
      </c>
      <c r="O74" s="2" t="s">
        <v>673</v>
      </c>
      <c r="P74" s="2" t="s">
        <v>1127</v>
      </c>
      <c r="Q74" s="9" t="s">
        <v>743</v>
      </c>
      <c r="R74" s="2" t="str">
        <f t="shared" si="50"/>
        <v>CW_3_Section_3</v>
      </c>
      <c r="S74" s="2" t="str">
        <f t="shared" si="51"/>
        <v>CW_3_MF09</v>
      </c>
      <c r="T74" s="11" t="s">
        <v>798</v>
      </c>
      <c r="U74" s="1">
        <v>45644</v>
      </c>
      <c r="V74" s="2" t="s">
        <v>799</v>
      </c>
      <c r="W74" s="2" t="s">
        <v>655</v>
      </c>
      <c r="X74" s="2" t="s">
        <v>797</v>
      </c>
      <c r="Y74" s="2" t="str">
        <f t="shared" si="52"/>
        <v>T2_0.15-0.30</v>
      </c>
      <c r="Z74" t="s">
        <v>59</v>
      </c>
      <c r="AA74">
        <v>13</v>
      </c>
      <c r="AB74">
        <v>14</v>
      </c>
      <c r="AC74">
        <v>170</v>
      </c>
      <c r="AD74" s="32">
        <f t="shared" si="3"/>
        <v>6.5292536166944054E-2</v>
      </c>
      <c r="AE74">
        <v>1.4</v>
      </c>
      <c r="AF74" s="32">
        <f>($AE74/92140)*36</f>
        <v>5.4699370523116997E-4</v>
      </c>
      <c r="AG74">
        <v>25</v>
      </c>
      <c r="AH74" s="32">
        <f t="shared" si="4"/>
        <v>9.8897993783554679E-3</v>
      </c>
      <c r="AI74">
        <v>13</v>
      </c>
      <c r="AJ74" s="32">
        <f t="shared" si="5"/>
        <v>5.1426956767448434E-3</v>
      </c>
      <c r="AK74">
        <v>6.2</v>
      </c>
      <c r="AL74" s="32">
        <f t="shared" si="6"/>
        <v>2.452670245832156E-3</v>
      </c>
      <c r="AM74">
        <v>19.2</v>
      </c>
      <c r="AO74" s="49">
        <v>215.6</v>
      </c>
      <c r="AP74" s="49">
        <f t="shared" si="7"/>
        <v>7.5729329250530691E-2</v>
      </c>
      <c r="AQ74">
        <v>14</v>
      </c>
      <c r="AR74" s="32">
        <f t="shared" si="8"/>
        <v>5.2430365920262149E-3</v>
      </c>
      <c r="AS74" s="48">
        <v>3.2</v>
      </c>
      <c r="AT74" s="27">
        <f t="shared" si="9"/>
        <v>1.1984083638917065E-3</v>
      </c>
      <c r="AU74" s="48">
        <v>0.2</v>
      </c>
      <c r="AV74" s="27">
        <f t="shared" si="10"/>
        <v>7.3592220251002044E-5</v>
      </c>
      <c r="AW74" s="48">
        <v>0.12</v>
      </c>
      <c r="AX74" s="27">
        <f t="shared" si="11"/>
        <v>4.513325984047727E-5</v>
      </c>
      <c r="AY74" s="48">
        <v>5.0000000000000001E-3</v>
      </c>
      <c r="AZ74" s="27">
        <f t="shared" si="12"/>
        <v>1.8649981951630372E-6</v>
      </c>
      <c r="BA74" s="48">
        <v>1E-3</v>
      </c>
      <c r="BB74" s="27">
        <f t="shared" si="13"/>
        <v>3.7030802895135499E-7</v>
      </c>
      <c r="BC74" s="48">
        <v>1E-3</v>
      </c>
      <c r="BD74" s="27">
        <f t="shared" si="14"/>
        <v>3.7030802895135499E-7</v>
      </c>
      <c r="BE74" s="48">
        <v>1E-3</v>
      </c>
      <c r="BF74" s="27">
        <f t="shared" si="15"/>
        <v>3.6588380716934485E-7</v>
      </c>
      <c r="BG74" s="48">
        <v>2E-3</v>
      </c>
      <c r="BH74" s="27">
        <f t="shared" si="16"/>
        <v>7.3176761433868969E-7</v>
      </c>
      <c r="BI74" s="52">
        <f t="shared" si="17"/>
        <v>3.53</v>
      </c>
      <c r="BJ74" s="52">
        <f t="shared" si="18"/>
        <v>0.33</v>
      </c>
      <c r="BK74" s="27">
        <f t="shared" si="19"/>
        <v>1.3208371096577595E-3</v>
      </c>
      <c r="BL74" s="27">
        <f t="shared" si="20"/>
        <v>1.2242874576605311E-4</v>
      </c>
      <c r="BM74">
        <v>2.5</v>
      </c>
      <c r="BN74">
        <v>2.5</v>
      </c>
      <c r="BO74" t="s">
        <v>19</v>
      </c>
      <c r="BP74">
        <v>5</v>
      </c>
      <c r="BQ74">
        <v>62</v>
      </c>
      <c r="BR74">
        <v>19</v>
      </c>
      <c r="BS74">
        <v>2.5</v>
      </c>
      <c r="BT74">
        <v>5.3</v>
      </c>
      <c r="BU74">
        <v>8.9</v>
      </c>
      <c r="BV74">
        <v>-89</v>
      </c>
      <c r="BW74">
        <v>7.1</v>
      </c>
      <c r="BX74">
        <v>712</v>
      </c>
      <c r="BY74">
        <v>0.2</v>
      </c>
      <c r="BZ74">
        <v>0.01</v>
      </c>
      <c r="CA74" s="32">
        <v>24</v>
      </c>
      <c r="CB74" s="32">
        <f t="shared" si="21"/>
        <v>0.42972247090420768</v>
      </c>
      <c r="CC74" s="32">
        <f t="shared" si="22"/>
        <v>0.42972247090420768</v>
      </c>
      <c r="CD74" s="32">
        <v>3.6</v>
      </c>
      <c r="CE74" s="32">
        <f t="shared" si="23"/>
        <v>6.5537957400327695E-2</v>
      </c>
      <c r="CF74" s="32">
        <f t="shared" si="24"/>
        <v>0.13107591480065539</v>
      </c>
      <c r="CG74" s="27">
        <v>0.5</v>
      </c>
      <c r="CH74" s="27">
        <f t="shared" si="25"/>
        <v>5.2050801582344368E-3</v>
      </c>
      <c r="CI74" s="27">
        <f t="shared" si="26"/>
        <v>4.1640641265875494E-2</v>
      </c>
      <c r="CJ74" s="58">
        <v>80.5</v>
      </c>
      <c r="CK74" s="58">
        <v>99.382716049382708</v>
      </c>
      <c r="CL74" s="58">
        <v>6.7041432438059543</v>
      </c>
      <c r="CM74" s="58">
        <v>6.7041432438059543</v>
      </c>
      <c r="CN74" s="28">
        <v>9.5</v>
      </c>
      <c r="CO74" s="28">
        <v>95</v>
      </c>
      <c r="CP74" s="28">
        <v>0.79117218405163436</v>
      </c>
      <c r="CQ74" s="28">
        <v>0.79117218405163436</v>
      </c>
      <c r="CR74" s="32">
        <f t="shared" si="27"/>
        <v>46.794919841765562</v>
      </c>
      <c r="CS74" s="32">
        <v>46.794919841765562</v>
      </c>
      <c r="CT74" s="32">
        <f t="shared" si="28"/>
        <v>70.794919841765562</v>
      </c>
      <c r="CU74" s="32">
        <f t="shared" si="29"/>
        <v>1.2675903284112007</v>
      </c>
      <c r="CV74" s="32">
        <f t="shared" si="30"/>
        <v>1.2675903284112007</v>
      </c>
      <c r="CW74" s="60">
        <f t="shared" si="31"/>
        <v>5.5223818446804076</v>
      </c>
      <c r="CX74" s="60">
        <v>5.5223818446804076</v>
      </c>
      <c r="CY74" s="60">
        <f t="shared" si="32"/>
        <v>29.522381844680407</v>
      </c>
      <c r="CZ74" s="60">
        <f t="shared" si="33"/>
        <v>0.52860128638639936</v>
      </c>
      <c r="DA74" s="60">
        <f t="shared" si="34"/>
        <v>0.52860128638639936</v>
      </c>
      <c r="DB74" s="32">
        <f t="shared" si="35"/>
        <v>4.1640641265875494E-2</v>
      </c>
      <c r="DC74">
        <f t="shared" si="36"/>
        <v>8.1028094870178098</v>
      </c>
      <c r="DD74">
        <f t="shared" si="37"/>
        <v>1.6176600845751475E-2</v>
      </c>
      <c r="DE74">
        <f t="shared" si="38"/>
        <v>0.15643837244873071</v>
      </c>
      <c r="DF74">
        <f t="shared" si="39"/>
        <v>0.82738502670551795</v>
      </c>
      <c r="DG74">
        <f t="shared" si="40"/>
        <v>1.4508493852386892</v>
      </c>
      <c r="DH74">
        <f t="shared" si="41"/>
        <v>9.0344260496130813E-2</v>
      </c>
      <c r="DI74">
        <f t="shared" si="42"/>
        <v>0.36433918762658851</v>
      </c>
      <c r="DJ74">
        <f t="shared" si="43"/>
        <v>0.54531655187728056</v>
      </c>
      <c r="DK74" s="64">
        <f t="shared" si="44"/>
        <v>-8.0218371211752526</v>
      </c>
      <c r="DL74" s="64">
        <f t="shared" si="45"/>
        <v>-1.3698770193961323</v>
      </c>
      <c r="DM74" s="64">
        <f t="shared" si="46"/>
        <v>-8.0217146924294873</v>
      </c>
      <c r="DN74" s="64">
        <f t="shared" si="47"/>
        <v>-1.3697545906503663</v>
      </c>
      <c r="DO74" t="str">
        <f t="shared" si="48"/>
        <v>Sufficient Capacity</v>
      </c>
      <c r="DP74" t="str">
        <f t="shared" si="49"/>
        <v>Sufficient Capacity</v>
      </c>
    </row>
    <row r="75" spans="1:120" ht="15.75" x14ac:dyDescent="0.25">
      <c r="A75" s="4" t="s">
        <v>128</v>
      </c>
      <c r="B75" s="4" t="s">
        <v>128</v>
      </c>
      <c r="C75" s="2" t="s">
        <v>841</v>
      </c>
      <c r="D75" s="2" t="s">
        <v>517</v>
      </c>
      <c r="E75" s="2" t="s">
        <v>517</v>
      </c>
      <c r="F75" s="2">
        <v>74</v>
      </c>
      <c r="G75" s="2" t="s">
        <v>840</v>
      </c>
      <c r="H75" s="10" t="s">
        <v>656</v>
      </c>
      <c r="I75" s="2">
        <v>150</v>
      </c>
      <c r="J75" s="2">
        <v>65</v>
      </c>
      <c r="K75" s="2">
        <v>19.3</v>
      </c>
      <c r="L75" t="s">
        <v>303</v>
      </c>
      <c r="M75" s="2" t="s">
        <v>1120</v>
      </c>
      <c r="N75" s="2" t="s">
        <v>437</v>
      </c>
      <c r="O75" s="2" t="s">
        <v>673</v>
      </c>
      <c r="P75" s="2" t="s">
        <v>1128</v>
      </c>
      <c r="Q75" s="9" t="s">
        <v>746</v>
      </c>
      <c r="R75" s="2" t="str">
        <f t="shared" si="50"/>
        <v>CW_3_Section_3</v>
      </c>
      <c r="S75" s="2" t="str">
        <f t="shared" si="51"/>
        <v>CW_3_MF10</v>
      </c>
      <c r="T75" s="11" t="s">
        <v>798</v>
      </c>
      <c r="U75" s="1">
        <v>45644</v>
      </c>
      <c r="V75" s="2" t="s">
        <v>799</v>
      </c>
      <c r="W75" s="2" t="s">
        <v>663</v>
      </c>
      <c r="X75" s="2" t="s">
        <v>797</v>
      </c>
      <c r="Y75" s="2" t="str">
        <f t="shared" si="52"/>
        <v>T2_0.60-0.80</v>
      </c>
      <c r="Z75" t="s">
        <v>61</v>
      </c>
      <c r="AA75">
        <v>10</v>
      </c>
      <c r="AB75">
        <v>11</v>
      </c>
      <c r="AC75">
        <v>750</v>
      </c>
      <c r="AD75" s="32">
        <f t="shared" ref="AD75:AD138" si="53">($AC75/78110)*30</f>
        <v>0.2880553066188708</v>
      </c>
      <c r="AE75">
        <v>38</v>
      </c>
      <c r="AF75" s="32">
        <f t="shared" ref="AF75:AF138" si="54">($AE75/92140)*36</f>
        <v>1.4846971999131757E-2</v>
      </c>
      <c r="AG75">
        <v>550</v>
      </c>
      <c r="AH75" s="32">
        <f t="shared" ref="AH75:AH138" si="55">($AG75/106170)*42</f>
        <v>0.21757558632382029</v>
      </c>
      <c r="AI75">
        <v>240</v>
      </c>
      <c r="AJ75" s="32">
        <f t="shared" ref="AJ75:AJ138" si="56">($AI75/106170)*42</f>
        <v>9.4942074032212498E-2</v>
      </c>
      <c r="AK75">
        <v>200</v>
      </c>
      <c r="AL75" s="32">
        <f t="shared" ref="AL75:AL138" si="57">($AK75/106170)*42</f>
        <v>7.9118395026843744E-2</v>
      </c>
      <c r="AM75">
        <v>440</v>
      </c>
      <c r="AO75" s="49">
        <v>1778</v>
      </c>
      <c r="AP75" s="49">
        <f t="shared" ref="AP75:AP138" si="58">$AD75+$AF75+$AH75+$AN75</f>
        <v>0.52047786494182291</v>
      </c>
      <c r="AQ75">
        <v>3400</v>
      </c>
      <c r="AR75" s="32">
        <f t="shared" ref="AR75:AR138" si="59">($AQ75/128170)*48</f>
        <v>1.273308886634938</v>
      </c>
      <c r="AS75" s="48">
        <v>2100</v>
      </c>
      <c r="AT75" s="27">
        <f t="shared" ref="AT75:AT138" si="60">($AS75/128170)*48</f>
        <v>0.78645548880393235</v>
      </c>
      <c r="AU75" s="48">
        <v>78</v>
      </c>
      <c r="AV75" s="27">
        <f t="shared" ref="AV75:AV138" si="61">($AU75/152190)*56</f>
        <v>2.8700965897890791E-2</v>
      </c>
      <c r="AW75" s="48">
        <v>73</v>
      </c>
      <c r="AX75" s="27">
        <f t="shared" ref="AX75:AX138" si="62">($AW75/154210)*58</f>
        <v>2.7456066402957006E-2</v>
      </c>
      <c r="AY75" s="48">
        <v>21</v>
      </c>
      <c r="AZ75" s="27">
        <f t="shared" ref="AZ75:AZ138" si="63">($AY75/166220)*62</f>
        <v>7.8329924196847561E-3</v>
      </c>
      <c r="BA75" s="48">
        <v>5.4</v>
      </c>
      <c r="BB75" s="27">
        <f t="shared" ref="BB75:BB138" si="64">($BA75/178230)*66</f>
        <v>1.9996633563373169E-3</v>
      </c>
      <c r="BC75" s="48">
        <v>0.99</v>
      </c>
      <c r="BD75" s="27">
        <f t="shared" ref="BD75:BD138" si="65">($BC75/178230)*66</f>
        <v>3.6660494866184144E-4</v>
      </c>
      <c r="BE75" s="48">
        <v>0.1</v>
      </c>
      <c r="BF75" s="27">
        <f t="shared" ref="BF75:BF138" si="66">($BE75/202250)*74</f>
        <v>3.6588380716934496E-5</v>
      </c>
      <c r="BG75" s="48">
        <v>0.06</v>
      </c>
      <c r="BH75" s="27">
        <f t="shared" ref="BH75:BH138" si="67">($BG75/202250)*74</f>
        <v>2.1953028430160689E-5</v>
      </c>
      <c r="BI75" s="52">
        <f t="shared" ref="BI75:BI138" si="68">$AS75+$AU75+$AW75+$AY75+$BA75+$BC75+$BE75+$BG75</f>
        <v>2278.5499999999997</v>
      </c>
      <c r="BJ75" s="52">
        <f t="shared" ref="BJ75:BJ138" si="69">$AU75+$AW75+$AY75+$BA75+$BC75+$BE75+$BG75</f>
        <v>178.55</v>
      </c>
      <c r="BK75" s="27">
        <f t="shared" ref="BK75:BK138" si="70">$AT75+$AV75+$AX75+$AZ75+$BB75+$BD75+$BF75+$BH75</f>
        <v>0.85287032323861112</v>
      </c>
      <c r="BL75" s="27">
        <f t="shared" ref="BL75:BL138" si="71">$AV75+$AX75+$AZ75+$BB75+$BD75+$BF75+$BH75</f>
        <v>6.6414834434678813E-2</v>
      </c>
      <c r="BM75">
        <v>5100</v>
      </c>
      <c r="BN75">
        <v>1200</v>
      </c>
      <c r="BO75" t="s">
        <v>19</v>
      </c>
      <c r="BP75">
        <v>6300</v>
      </c>
      <c r="BQ75">
        <v>69</v>
      </c>
      <c r="BR75">
        <v>27</v>
      </c>
      <c r="BS75">
        <v>1.2</v>
      </c>
      <c r="BT75">
        <v>0.61</v>
      </c>
      <c r="BU75">
        <v>8.6999999999999993</v>
      </c>
      <c r="BV75">
        <v>-105</v>
      </c>
      <c r="BW75">
        <v>7.01</v>
      </c>
      <c r="BX75">
        <v>645</v>
      </c>
      <c r="BY75">
        <v>0.2</v>
      </c>
      <c r="BZ75">
        <v>0.01</v>
      </c>
      <c r="CA75" s="32">
        <v>3.4</v>
      </c>
      <c r="CB75" s="32">
        <f t="shared" ref="CB75:CB138" si="72">$CA75/55.85</f>
        <v>6.0877350044762753E-2</v>
      </c>
      <c r="CC75" s="32">
        <f t="shared" ref="CC75:CC138" si="73">$CB75*1</f>
        <v>6.0877350044762753E-2</v>
      </c>
      <c r="CD75" s="32">
        <v>1.3</v>
      </c>
      <c r="CE75" s="32">
        <f t="shared" ref="CE75:CE138" si="74">$CD75/54.93</f>
        <v>2.3666484616785E-2</v>
      </c>
      <c r="CF75" s="32">
        <f t="shared" ref="CF75:CF138" si="75">$CE75*2</f>
        <v>4.7332969233569999E-2</v>
      </c>
      <c r="CG75" s="27">
        <v>46</v>
      </c>
      <c r="CH75" s="27">
        <f t="shared" ref="CH75:CH138" si="76">CG75/96.06</f>
        <v>0.47886737455756817</v>
      </c>
      <c r="CI75" s="27">
        <f t="shared" ref="CI75:CI138" si="77">CH75*8</f>
        <v>3.8309389964605454</v>
      </c>
      <c r="CJ75" s="58">
        <v>35</v>
      </c>
      <c r="CK75" s="58">
        <v>43.209876543209873</v>
      </c>
      <c r="CL75" s="58">
        <v>2.9148448886112845</v>
      </c>
      <c r="CM75" s="58">
        <v>2.9148448886112845</v>
      </c>
      <c r="CN75" s="28">
        <v>15</v>
      </c>
      <c r="CO75" s="28">
        <v>24.590163934426229</v>
      </c>
      <c r="CP75" s="28">
        <v>1.2492192379762648</v>
      </c>
      <c r="CQ75" s="28">
        <v>1.2492192379762648</v>
      </c>
      <c r="CR75" s="32">
        <f t="shared" ref="CR75:CR138" si="78">$CJ75*(55.84/96.06)</f>
        <v>20.345617322506765</v>
      </c>
      <c r="CS75" s="32">
        <v>20.345617322506765</v>
      </c>
      <c r="CT75" s="32">
        <f t="shared" ref="CT75:CT138" si="79">$CA75+$CS75</f>
        <v>23.745617322506764</v>
      </c>
      <c r="CU75" s="32">
        <f t="shared" ref="CU75:CU138" si="80">$CT75/55.85</f>
        <v>0.4251677228738901</v>
      </c>
      <c r="CV75" s="32">
        <f t="shared" ref="CV75:CV138" si="81">$CU75*1</f>
        <v>0.4251677228738901</v>
      </c>
      <c r="CW75" s="60">
        <f t="shared" ref="CW75:CW138" si="82">$CN75*(55.84/96.06)</f>
        <v>8.7195502810743282</v>
      </c>
      <c r="CX75" s="60">
        <v>8.7195502810743282</v>
      </c>
      <c r="CY75" s="60">
        <f t="shared" ref="CY75:CY138" si="83">$CA75+$CX75</f>
        <v>12.119550281074329</v>
      </c>
      <c r="CZ75" s="60">
        <f t="shared" ref="CZ75:CZ138" si="84">$CY75/55.85</f>
        <v>0.21700179554296023</v>
      </c>
      <c r="DA75" s="60">
        <f t="shared" ref="DA75:DA138" si="85">$CZ75*1</f>
        <v>0.21700179554296023</v>
      </c>
      <c r="DB75" s="32">
        <f t="shared" ref="DB75:DB138" si="86">$CI75</f>
        <v>3.8309389964605454</v>
      </c>
      <c r="DC75">
        <f t="shared" ref="DC75:DC138" si="87">$CV75+$CF75+$CM75</f>
        <v>3.3873455807187445</v>
      </c>
      <c r="DD75">
        <f t="shared" ref="DD75:DD138" si="88">$CF75/$DC75</f>
        <v>1.3973469227053783E-2</v>
      </c>
      <c r="DE75">
        <f t="shared" ref="DE75:DE138" si="89">$CV75/$DC75</f>
        <v>0.12551648857264686</v>
      </c>
      <c r="DF75">
        <f t="shared" ref="DF75:DF138" si="90">$CM75/$DC75</f>
        <v>0.86051004220029936</v>
      </c>
      <c r="DG75">
        <f t="shared" ref="DG75:DG138" si="91">$DA75+$CF75+$CQ75</f>
        <v>1.5135540027527949</v>
      </c>
      <c r="DH75">
        <f t="shared" ref="DH75:DH138" si="92">$CF75/$DG75</f>
        <v>3.127273235542477E-2</v>
      </c>
      <c r="DI75">
        <f t="shared" ref="DI75:DI138" si="93">$DA75/$DG75</f>
        <v>0.14337235086973146</v>
      </c>
      <c r="DJ75">
        <f t="shared" ref="DJ75:DJ138" si="94">$CQ75/$DG75</f>
        <v>0.82535491677484385</v>
      </c>
      <c r="DK75" s="64">
        <f t="shared" ref="DK75:DK138" si="95">($AP75+$AR75)-$DC75</f>
        <v>-1.5935588291419835</v>
      </c>
      <c r="DL75" s="64">
        <f t="shared" ref="DL75:DL138" si="96">($AP75+$AR75)-$DG75</f>
        <v>0.28023274882396598</v>
      </c>
      <c r="DM75" s="64">
        <f t="shared" ref="DM75:DM138" si="97">($AP75+$AR75+$BL75)-$DC75</f>
        <v>-1.5271439947073047</v>
      </c>
      <c r="DN75" s="64">
        <f t="shared" ref="DN75:DN138" si="98">($AP75+$AR75+$BL75)-$DG75</f>
        <v>0.34664758325864486</v>
      </c>
      <c r="DO75" t="str">
        <f t="shared" ref="DO75:DO138" si="99">IF(DM75&lt;0, "Sufficient Capacity", "Insufficient Capacity")</f>
        <v>Sufficient Capacity</v>
      </c>
      <c r="DP75" t="str">
        <f t="shared" ref="DP75:DP138" si="100">IF($DN75&lt;0, "Sufficient Capacity", "Insufficient Capacity")</f>
        <v>Insufficient Capacity</v>
      </c>
    </row>
    <row r="76" spans="1:120" ht="15.75" x14ac:dyDescent="0.25">
      <c r="A76" s="29" t="s">
        <v>129</v>
      </c>
      <c r="B76" s="29" t="s">
        <v>129</v>
      </c>
      <c r="C76" s="29" t="s">
        <v>843</v>
      </c>
      <c r="D76" s="29" t="s">
        <v>518</v>
      </c>
      <c r="E76" s="29" t="s">
        <v>518</v>
      </c>
      <c r="F76" s="29">
        <v>75</v>
      </c>
      <c r="G76" s="29" t="s">
        <v>842</v>
      </c>
      <c r="H76" s="30" t="s">
        <v>656</v>
      </c>
      <c r="I76" s="29">
        <v>150</v>
      </c>
      <c r="J76" s="29">
        <v>65</v>
      </c>
      <c r="K76" s="35">
        <v>4.8</v>
      </c>
      <c r="L76" s="32" t="s">
        <v>305</v>
      </c>
      <c r="M76" s="29" t="s">
        <v>1118</v>
      </c>
      <c r="N76" s="29" t="s">
        <v>688</v>
      </c>
      <c r="O76" s="29" t="s">
        <v>687</v>
      </c>
      <c r="P76" s="29" t="s">
        <v>1118</v>
      </c>
      <c r="Q76" s="29" t="s">
        <v>443</v>
      </c>
      <c r="R76" s="2" t="str">
        <f t="shared" si="50"/>
        <v>CW_0_Section_0</v>
      </c>
      <c r="S76" s="2" t="str">
        <f t="shared" si="51"/>
        <v>CW_0_INF</v>
      </c>
      <c r="T76" s="31" t="s">
        <v>845</v>
      </c>
      <c r="U76" s="33">
        <v>45705</v>
      </c>
      <c r="V76" s="29" t="s">
        <v>799</v>
      </c>
      <c r="W76" s="29" t="s">
        <v>1118</v>
      </c>
      <c r="X76" s="29" t="s">
        <v>844</v>
      </c>
      <c r="Y76" s="2" t="str">
        <f t="shared" si="52"/>
        <v>T3_INF</v>
      </c>
      <c r="Z76" s="32" t="s">
        <v>27</v>
      </c>
      <c r="AA76" s="32">
        <v>64</v>
      </c>
      <c r="AB76" s="32">
        <v>17</v>
      </c>
      <c r="AC76" s="32">
        <v>660</v>
      </c>
      <c r="AD76" s="32">
        <f t="shared" si="53"/>
        <v>0.25348866982460633</v>
      </c>
      <c r="AE76" s="32">
        <v>210</v>
      </c>
      <c r="AF76" s="32">
        <f t="shared" si="54"/>
        <v>8.2049055784675501E-2</v>
      </c>
      <c r="AG76" s="32">
        <v>770</v>
      </c>
      <c r="AH76" s="32">
        <f t="shared" si="55"/>
        <v>0.30460582085334842</v>
      </c>
      <c r="AI76" s="32">
        <v>280</v>
      </c>
      <c r="AJ76" s="32">
        <f t="shared" si="56"/>
        <v>0.11076575303758124</v>
      </c>
      <c r="AK76" s="32">
        <v>500</v>
      </c>
      <c r="AL76" s="32">
        <f t="shared" si="57"/>
        <v>0.19779598756710934</v>
      </c>
      <c r="AM76" s="32">
        <v>780</v>
      </c>
      <c r="AN76" s="32"/>
      <c r="AO76" s="49">
        <v>2420</v>
      </c>
      <c r="AP76" s="49">
        <f t="shared" si="58"/>
        <v>0.64014354646263028</v>
      </c>
      <c r="AQ76" s="32">
        <v>5900</v>
      </c>
      <c r="AR76" s="32">
        <f t="shared" si="59"/>
        <v>2.2095654209253333</v>
      </c>
      <c r="AS76" s="48">
        <v>7000</v>
      </c>
      <c r="AT76" s="27">
        <f t="shared" si="60"/>
        <v>2.6215182960131074</v>
      </c>
      <c r="AU76" s="48">
        <v>310</v>
      </c>
      <c r="AV76" s="27">
        <f t="shared" si="61"/>
        <v>0.11406794138905316</v>
      </c>
      <c r="AW76" s="48">
        <v>280</v>
      </c>
      <c r="AX76" s="27">
        <f t="shared" si="62"/>
        <v>0.10531093962778031</v>
      </c>
      <c r="AY76" s="48">
        <v>190</v>
      </c>
      <c r="AZ76" s="27">
        <f t="shared" si="63"/>
        <v>7.0869931416195395E-2</v>
      </c>
      <c r="BA76" s="48">
        <v>180</v>
      </c>
      <c r="BB76" s="27">
        <f t="shared" si="64"/>
        <v>6.6655445211243891E-2</v>
      </c>
      <c r="BC76" s="48">
        <v>35</v>
      </c>
      <c r="BD76" s="27">
        <f t="shared" si="65"/>
        <v>1.2960781013297425E-2</v>
      </c>
      <c r="BE76" s="48">
        <v>19</v>
      </c>
      <c r="BF76" s="27">
        <f t="shared" si="66"/>
        <v>6.951792336217553E-3</v>
      </c>
      <c r="BG76" s="48">
        <v>21</v>
      </c>
      <c r="BH76" s="27">
        <f t="shared" si="67"/>
        <v>7.6835599505562418E-3</v>
      </c>
      <c r="BI76" s="52">
        <f t="shared" si="68"/>
        <v>8035</v>
      </c>
      <c r="BJ76" s="52">
        <f t="shared" si="69"/>
        <v>1035</v>
      </c>
      <c r="BK76" s="27">
        <f t="shared" si="70"/>
        <v>3.006018686957451</v>
      </c>
      <c r="BL76" s="27">
        <f t="shared" si="71"/>
        <v>0.38450039094434402</v>
      </c>
      <c r="BM76" s="32">
        <v>8900</v>
      </c>
      <c r="BN76" s="32">
        <v>4200</v>
      </c>
      <c r="BO76" s="32" t="s">
        <v>19</v>
      </c>
      <c r="BP76" s="32">
        <v>13000</v>
      </c>
      <c r="BQ76" s="32">
        <v>72</v>
      </c>
      <c r="BR76" s="32">
        <v>25</v>
      </c>
      <c r="BS76" s="32">
        <v>1.3</v>
      </c>
      <c r="BT76" s="32" t="s">
        <v>443</v>
      </c>
      <c r="BU76" s="32" t="s">
        <v>443</v>
      </c>
      <c r="BV76" s="32" t="s">
        <v>443</v>
      </c>
      <c r="BW76" s="32" t="s">
        <v>443</v>
      </c>
      <c r="BX76" s="32" t="s">
        <v>443</v>
      </c>
      <c r="BY76" s="32" t="s">
        <v>443</v>
      </c>
      <c r="BZ76" s="32">
        <v>0.01</v>
      </c>
      <c r="CA76" s="32">
        <v>0.5</v>
      </c>
      <c r="CB76" s="32">
        <f t="shared" si="72"/>
        <v>8.9525514771709933E-3</v>
      </c>
      <c r="CC76" s="32">
        <f t="shared" si="73"/>
        <v>8.9525514771709933E-3</v>
      </c>
      <c r="CD76" s="32">
        <v>0.8</v>
      </c>
      <c r="CE76" s="32">
        <f t="shared" si="74"/>
        <v>1.4563990533406155E-2</v>
      </c>
      <c r="CF76" s="32">
        <f t="shared" si="75"/>
        <v>2.912798106681231E-2</v>
      </c>
      <c r="CG76" s="32">
        <v>82</v>
      </c>
      <c r="CH76" s="32">
        <f t="shared" si="76"/>
        <v>0.85363314595044759</v>
      </c>
      <c r="CI76" s="32">
        <f t="shared" si="77"/>
        <v>6.8290651676035807</v>
      </c>
      <c r="CJ76" s="58">
        <v>0</v>
      </c>
      <c r="CK76" s="58">
        <v>0</v>
      </c>
      <c r="CL76" s="58">
        <v>0</v>
      </c>
      <c r="CM76" s="58">
        <v>0</v>
      </c>
      <c r="CN76" s="28">
        <v>0</v>
      </c>
      <c r="CO76" s="28">
        <v>0</v>
      </c>
      <c r="CP76" s="28">
        <v>0</v>
      </c>
      <c r="CQ76" s="28">
        <v>0</v>
      </c>
      <c r="CR76" s="32">
        <f t="shared" si="78"/>
        <v>0</v>
      </c>
      <c r="CS76" s="32">
        <v>0</v>
      </c>
      <c r="CT76" s="32">
        <f t="shared" si="79"/>
        <v>0.5</v>
      </c>
      <c r="CU76" s="32">
        <f t="shared" si="80"/>
        <v>8.9525514771709933E-3</v>
      </c>
      <c r="CV76" s="32">
        <f t="shared" si="81"/>
        <v>8.9525514771709933E-3</v>
      </c>
      <c r="CW76" s="60">
        <f t="shared" si="82"/>
        <v>0</v>
      </c>
      <c r="CX76" s="60">
        <v>0</v>
      </c>
      <c r="CY76" s="60">
        <f t="shared" si="83"/>
        <v>0.5</v>
      </c>
      <c r="CZ76" s="60">
        <f t="shared" si="84"/>
        <v>8.9525514771709933E-3</v>
      </c>
      <c r="DA76" s="60">
        <f t="shared" si="85"/>
        <v>8.9525514771709933E-3</v>
      </c>
      <c r="DB76" s="32">
        <f t="shared" si="86"/>
        <v>6.8290651676035807</v>
      </c>
      <c r="DC76">
        <f t="shared" si="87"/>
        <v>3.8080532543983303E-2</v>
      </c>
      <c r="DD76">
        <f t="shared" si="88"/>
        <v>0.76490477209501395</v>
      </c>
      <c r="DE76">
        <f t="shared" si="89"/>
        <v>0.23509522790498605</v>
      </c>
      <c r="DF76">
        <f t="shared" si="90"/>
        <v>0</v>
      </c>
      <c r="DG76">
        <f t="shared" si="91"/>
        <v>3.8080532543983303E-2</v>
      </c>
      <c r="DH76">
        <f t="shared" si="92"/>
        <v>0.76490477209501395</v>
      </c>
      <c r="DI76">
        <f t="shared" si="93"/>
        <v>0.23509522790498605</v>
      </c>
      <c r="DJ76">
        <f t="shared" si="94"/>
        <v>0</v>
      </c>
      <c r="DK76" s="64">
        <f t="shared" si="95"/>
        <v>2.8116284348439802</v>
      </c>
      <c r="DL76" s="64">
        <f t="shared" si="96"/>
        <v>2.8116284348439802</v>
      </c>
      <c r="DM76" s="64">
        <f t="shared" si="97"/>
        <v>3.1961288257883242</v>
      </c>
      <c r="DN76" s="64">
        <f t="shared" si="98"/>
        <v>3.1961288257883242</v>
      </c>
      <c r="DO76" t="str">
        <f t="shared" si="99"/>
        <v>Insufficient Capacity</v>
      </c>
      <c r="DP76" t="str">
        <f t="shared" si="100"/>
        <v>Insufficient Capacity</v>
      </c>
    </row>
    <row r="77" spans="1:120" ht="15.75" x14ac:dyDescent="0.25">
      <c r="A77" s="5" t="s">
        <v>130</v>
      </c>
      <c r="B77" s="5" t="s">
        <v>130</v>
      </c>
      <c r="C77" s="2" t="s">
        <v>847</v>
      </c>
      <c r="D77" s="2" t="s">
        <v>519</v>
      </c>
      <c r="E77" s="2" t="s">
        <v>519</v>
      </c>
      <c r="F77" s="2">
        <v>76</v>
      </c>
      <c r="G77" s="2" t="s">
        <v>846</v>
      </c>
      <c r="H77" s="10" t="s">
        <v>656</v>
      </c>
      <c r="I77" s="2">
        <v>150</v>
      </c>
      <c r="J77" s="2">
        <v>65</v>
      </c>
      <c r="K77" s="13">
        <v>5.7</v>
      </c>
      <c r="L77" t="s">
        <v>304</v>
      </c>
      <c r="M77" s="2" t="s">
        <v>1119</v>
      </c>
      <c r="N77" s="2" t="s">
        <v>435</v>
      </c>
      <c r="O77" s="2" t="s">
        <v>694</v>
      </c>
      <c r="P77" s="2" t="s">
        <v>1119</v>
      </c>
      <c r="Q77" s="2" t="s">
        <v>443</v>
      </c>
      <c r="R77" s="2" t="str">
        <f t="shared" si="50"/>
        <v>CW_1_Section_5</v>
      </c>
      <c r="S77" s="2" t="str">
        <f t="shared" si="51"/>
        <v>CW_1_EFF</v>
      </c>
      <c r="T77" s="11" t="s">
        <v>845</v>
      </c>
      <c r="U77" s="1">
        <v>45705</v>
      </c>
      <c r="V77" s="2" t="s">
        <v>799</v>
      </c>
      <c r="W77" s="2" t="s">
        <v>1119</v>
      </c>
      <c r="X77" s="2" t="s">
        <v>844</v>
      </c>
      <c r="Y77" s="2" t="str">
        <f t="shared" si="52"/>
        <v>T3_EFF</v>
      </c>
      <c r="Z77" t="s">
        <v>18</v>
      </c>
      <c r="AA77">
        <v>7.2</v>
      </c>
      <c r="AB77">
        <v>7.7</v>
      </c>
      <c r="AC77">
        <v>150</v>
      </c>
      <c r="AD77" s="32">
        <f t="shared" si="53"/>
        <v>5.7611061323774165E-2</v>
      </c>
      <c r="AE77">
        <v>1</v>
      </c>
      <c r="AF77" s="32">
        <f t="shared" si="54"/>
        <v>3.9070978945083569E-4</v>
      </c>
      <c r="AG77">
        <v>100</v>
      </c>
      <c r="AH77" s="32">
        <f t="shared" si="55"/>
        <v>3.9559197513421872E-2</v>
      </c>
      <c r="AI77">
        <v>33</v>
      </c>
      <c r="AJ77" s="32">
        <f t="shared" si="56"/>
        <v>1.3054535179429217E-2</v>
      </c>
      <c r="AK77">
        <v>29</v>
      </c>
      <c r="AL77" s="32">
        <f t="shared" si="57"/>
        <v>1.1472167278892343E-2</v>
      </c>
      <c r="AM77">
        <v>62</v>
      </c>
      <c r="AO77" s="49">
        <v>319</v>
      </c>
      <c r="AP77" s="49">
        <f t="shared" si="58"/>
        <v>9.7560968626646871E-2</v>
      </c>
      <c r="AQ77">
        <v>600</v>
      </c>
      <c r="AR77" s="32">
        <f t="shared" si="59"/>
        <v>0.22470156822969492</v>
      </c>
      <c r="AS77" s="48">
        <v>320</v>
      </c>
      <c r="AT77" s="27">
        <f t="shared" si="60"/>
        <v>0.11984083638917062</v>
      </c>
      <c r="AU77" s="48">
        <v>4</v>
      </c>
      <c r="AV77" s="27">
        <f t="shared" si="61"/>
        <v>1.4718444050200407E-3</v>
      </c>
      <c r="AW77" s="48">
        <v>4</v>
      </c>
      <c r="AX77" s="27">
        <f t="shared" si="62"/>
        <v>1.5044419946825757E-3</v>
      </c>
      <c r="AY77" s="48">
        <v>2</v>
      </c>
      <c r="AZ77" s="27">
        <f t="shared" si="63"/>
        <v>7.4599927806521475E-4</v>
      </c>
      <c r="BA77" s="48">
        <v>1.6</v>
      </c>
      <c r="BB77" s="27">
        <f t="shared" si="64"/>
        <v>5.9249284632216796E-4</v>
      </c>
      <c r="BC77" s="48">
        <v>0.19</v>
      </c>
      <c r="BD77" s="27">
        <f t="shared" si="65"/>
        <v>7.0358525500757444E-5</v>
      </c>
      <c r="BE77" s="48">
        <v>0.03</v>
      </c>
      <c r="BF77" s="27">
        <f t="shared" si="66"/>
        <v>1.0976514215080345E-5</v>
      </c>
      <c r="BG77" s="48">
        <v>0.02</v>
      </c>
      <c r="BH77" s="27">
        <f t="shared" si="67"/>
        <v>7.3176761433868973E-6</v>
      </c>
      <c r="BI77" s="52">
        <f t="shared" si="68"/>
        <v>331.84</v>
      </c>
      <c r="BJ77" s="52">
        <f t="shared" si="69"/>
        <v>11.839999999999998</v>
      </c>
      <c r="BK77" s="27">
        <f t="shared" si="70"/>
        <v>0.12424426762911986</v>
      </c>
      <c r="BL77" s="27">
        <f t="shared" si="71"/>
        <v>4.403431239949223E-3</v>
      </c>
      <c r="BM77">
        <v>1100</v>
      </c>
      <c r="BN77">
        <v>280</v>
      </c>
      <c r="BO77" t="s">
        <v>19</v>
      </c>
      <c r="BP77">
        <v>1400</v>
      </c>
      <c r="BQ77">
        <v>62</v>
      </c>
      <c r="BR77">
        <v>20</v>
      </c>
      <c r="BS77">
        <v>1.4</v>
      </c>
      <c r="BT77">
        <v>1.65</v>
      </c>
      <c r="BU77">
        <v>8.1</v>
      </c>
      <c r="BV77">
        <v>-83</v>
      </c>
      <c r="BW77">
        <v>7.16</v>
      </c>
      <c r="BX77">
        <v>845</v>
      </c>
      <c r="BY77">
        <v>0.2</v>
      </c>
      <c r="BZ77">
        <v>0.01</v>
      </c>
      <c r="CA77" s="32">
        <v>10</v>
      </c>
      <c r="CB77" s="32">
        <f t="shared" si="72"/>
        <v>0.17905102954341987</v>
      </c>
      <c r="CC77" s="32">
        <f t="shared" si="73"/>
        <v>0.17905102954341987</v>
      </c>
      <c r="CD77" s="32">
        <v>2.7</v>
      </c>
      <c r="CE77" s="32">
        <f t="shared" si="74"/>
        <v>4.9153468050245772E-2</v>
      </c>
      <c r="CF77" s="32">
        <f t="shared" si="75"/>
        <v>9.8306936100491543E-2</v>
      </c>
      <c r="CG77" s="27">
        <v>24</v>
      </c>
      <c r="CH77" s="27">
        <f t="shared" si="76"/>
        <v>0.24984384759525297</v>
      </c>
      <c r="CI77" s="27">
        <f t="shared" si="77"/>
        <v>1.9987507807620237</v>
      </c>
      <c r="CJ77" s="58">
        <v>58</v>
      </c>
      <c r="CK77" s="58">
        <v>70.731707317073173</v>
      </c>
      <c r="CL77" s="58">
        <v>4.8303143868415575</v>
      </c>
      <c r="CM77" s="58">
        <v>4.8303143868415575</v>
      </c>
      <c r="CN77" s="28">
        <v>38</v>
      </c>
      <c r="CO77" s="28">
        <v>61.29032258064516</v>
      </c>
      <c r="CP77" s="28">
        <v>3.1646887362065375</v>
      </c>
      <c r="CQ77" s="28">
        <v>3.1646887362065375</v>
      </c>
      <c r="CR77" s="32">
        <f t="shared" si="78"/>
        <v>33.715594420154069</v>
      </c>
      <c r="CS77" s="32">
        <v>33.715594420154069</v>
      </c>
      <c r="CT77" s="32">
        <f t="shared" si="79"/>
        <v>43.715594420154069</v>
      </c>
      <c r="CU77" s="32">
        <f t="shared" si="80"/>
        <v>0.78273221880311672</v>
      </c>
      <c r="CV77" s="32">
        <f t="shared" si="81"/>
        <v>0.78273221880311672</v>
      </c>
      <c r="CW77" s="60">
        <f t="shared" si="82"/>
        <v>22.08952737872163</v>
      </c>
      <c r="CX77" s="60">
        <v>22.08952737872163</v>
      </c>
      <c r="CY77" s="60">
        <f t="shared" si="83"/>
        <v>32.089527378721627</v>
      </c>
      <c r="CZ77" s="60">
        <f t="shared" si="84"/>
        <v>0.57456629147218663</v>
      </c>
      <c r="DA77" s="60">
        <f t="shared" si="85"/>
        <v>0.57456629147218663</v>
      </c>
      <c r="DB77" s="32">
        <f t="shared" si="86"/>
        <v>1.9987507807620237</v>
      </c>
      <c r="DC77">
        <f t="shared" si="87"/>
        <v>5.711353541745166</v>
      </c>
      <c r="DD77">
        <f t="shared" si="88"/>
        <v>1.7212546094713094E-2</v>
      </c>
      <c r="DE77">
        <f t="shared" si="89"/>
        <v>0.13704846199451776</v>
      </c>
      <c r="DF77">
        <f t="shared" si="90"/>
        <v>0.84573899191076907</v>
      </c>
      <c r="DG77">
        <f t="shared" si="91"/>
        <v>3.8375619637792155</v>
      </c>
      <c r="DH77">
        <f t="shared" si="92"/>
        <v>2.5617028996107537E-2</v>
      </c>
      <c r="DI77">
        <f t="shared" si="93"/>
        <v>0.14972169749836589</v>
      </c>
      <c r="DJ77">
        <f t="shared" si="94"/>
        <v>0.82466127350552665</v>
      </c>
      <c r="DK77" s="64">
        <f t="shared" si="95"/>
        <v>-5.3890910048888241</v>
      </c>
      <c r="DL77" s="64">
        <f t="shared" si="96"/>
        <v>-3.5152994269228737</v>
      </c>
      <c r="DM77" s="64">
        <f t="shared" si="97"/>
        <v>-5.3846875736488746</v>
      </c>
      <c r="DN77" s="64">
        <f t="shared" si="98"/>
        <v>-3.5108959956829247</v>
      </c>
      <c r="DO77" t="str">
        <f t="shared" si="99"/>
        <v>Sufficient Capacity</v>
      </c>
      <c r="DP77" t="str">
        <f t="shared" si="100"/>
        <v>Sufficient Capacity</v>
      </c>
    </row>
    <row r="78" spans="1:120" ht="15.75" x14ac:dyDescent="0.25">
      <c r="A78" s="5" t="s">
        <v>131</v>
      </c>
      <c r="B78" s="5" t="s">
        <v>131</v>
      </c>
      <c r="C78" s="2" t="s">
        <v>849</v>
      </c>
      <c r="D78" s="2" t="s">
        <v>520</v>
      </c>
      <c r="E78" s="2" t="s">
        <v>520</v>
      </c>
      <c r="F78" s="2">
        <v>77</v>
      </c>
      <c r="G78" s="2" t="s">
        <v>848</v>
      </c>
      <c r="H78" s="10" t="s">
        <v>656</v>
      </c>
      <c r="I78" s="2">
        <v>150</v>
      </c>
      <c r="J78" s="2">
        <v>65</v>
      </c>
      <c r="K78" s="13">
        <v>3.85</v>
      </c>
      <c r="L78" t="s">
        <v>318</v>
      </c>
      <c r="M78" s="2" t="s">
        <v>1119</v>
      </c>
      <c r="N78" s="2" t="s">
        <v>436</v>
      </c>
      <c r="O78" s="2" t="s">
        <v>694</v>
      </c>
      <c r="P78" s="2" t="s">
        <v>1119</v>
      </c>
      <c r="Q78" s="2" t="s">
        <v>443</v>
      </c>
      <c r="R78" s="2" t="str">
        <f t="shared" si="50"/>
        <v>CW_2_Section_5</v>
      </c>
      <c r="S78" s="2" t="str">
        <f t="shared" si="51"/>
        <v>CW_2_EFF</v>
      </c>
      <c r="T78" s="11" t="s">
        <v>845</v>
      </c>
      <c r="U78" s="1">
        <v>45706</v>
      </c>
      <c r="V78" s="2" t="s">
        <v>799</v>
      </c>
      <c r="W78" s="2" t="s">
        <v>1119</v>
      </c>
      <c r="X78" s="2" t="s">
        <v>844</v>
      </c>
      <c r="Y78" s="2" t="str">
        <f t="shared" si="52"/>
        <v>T3_EFF</v>
      </c>
      <c r="Z78" t="s">
        <v>39</v>
      </c>
      <c r="AA78">
        <v>13</v>
      </c>
      <c r="AB78">
        <v>13</v>
      </c>
      <c r="AC78">
        <v>620</v>
      </c>
      <c r="AD78" s="32">
        <f t="shared" si="53"/>
        <v>0.23812572013826652</v>
      </c>
      <c r="AE78">
        <v>8.6999999999999993</v>
      </c>
      <c r="AF78" s="32">
        <f t="shared" si="54"/>
        <v>3.3991751682222703E-3</v>
      </c>
      <c r="AG78">
        <v>560</v>
      </c>
      <c r="AH78" s="32">
        <f t="shared" si="55"/>
        <v>0.22153150607516248</v>
      </c>
      <c r="AI78">
        <v>180</v>
      </c>
      <c r="AJ78" s="32">
        <f t="shared" si="56"/>
        <v>7.120655552415936E-2</v>
      </c>
      <c r="AK78">
        <v>190</v>
      </c>
      <c r="AL78" s="32">
        <f t="shared" si="57"/>
        <v>7.5162475275501545E-2</v>
      </c>
      <c r="AM78">
        <v>370</v>
      </c>
      <c r="AO78" s="49">
        <v>1558.7</v>
      </c>
      <c r="AP78" s="49">
        <f t="shared" si="58"/>
        <v>0.46305640138165127</v>
      </c>
      <c r="AQ78">
        <v>3900</v>
      </c>
      <c r="AR78" s="32">
        <f t="shared" si="59"/>
        <v>1.460560193493017</v>
      </c>
      <c r="AS78" s="48">
        <v>4900</v>
      </c>
      <c r="AT78" s="27">
        <f t="shared" si="60"/>
        <v>1.8350628072091753</v>
      </c>
      <c r="AU78" s="48">
        <v>390</v>
      </c>
      <c r="AV78" s="27">
        <f t="shared" si="61"/>
        <v>0.14350482948945398</v>
      </c>
      <c r="AW78" s="48">
        <v>220</v>
      </c>
      <c r="AX78" s="27">
        <f t="shared" si="62"/>
        <v>8.2744309707541666E-2</v>
      </c>
      <c r="AY78" s="48">
        <v>99</v>
      </c>
      <c r="AZ78" s="27">
        <f t="shared" si="63"/>
        <v>3.6926964264228132E-2</v>
      </c>
      <c r="BA78" s="48">
        <v>35</v>
      </c>
      <c r="BB78" s="27">
        <f t="shared" si="64"/>
        <v>1.2960781013297425E-2</v>
      </c>
      <c r="BC78" s="48">
        <v>1.9</v>
      </c>
      <c r="BD78" s="27">
        <f t="shared" si="65"/>
        <v>7.0358525500757447E-4</v>
      </c>
      <c r="BE78" s="48">
        <v>0.09</v>
      </c>
      <c r="BF78" s="27">
        <f t="shared" si="66"/>
        <v>3.2929542645241034E-5</v>
      </c>
      <c r="BG78" s="48">
        <v>0.04</v>
      </c>
      <c r="BH78" s="27">
        <f t="shared" si="67"/>
        <v>1.4635352286773795E-5</v>
      </c>
      <c r="BI78" s="52">
        <f t="shared" si="68"/>
        <v>5646.03</v>
      </c>
      <c r="BJ78" s="52">
        <f t="shared" si="69"/>
        <v>746.03</v>
      </c>
      <c r="BK78" s="27">
        <f t="shared" si="70"/>
        <v>2.1119508418336363</v>
      </c>
      <c r="BL78" s="27">
        <f t="shared" si="71"/>
        <v>0.27688803462446082</v>
      </c>
      <c r="BM78">
        <v>4800</v>
      </c>
      <c r="BN78">
        <v>1400</v>
      </c>
      <c r="BO78" t="s">
        <v>19</v>
      </c>
      <c r="BP78">
        <v>6200</v>
      </c>
      <c r="BQ78">
        <v>68</v>
      </c>
      <c r="BR78">
        <v>25</v>
      </c>
      <c r="BS78">
        <v>1.2</v>
      </c>
      <c r="BT78">
        <v>0.72</v>
      </c>
      <c r="BU78">
        <v>7.3</v>
      </c>
      <c r="BV78">
        <v>-112</v>
      </c>
      <c r="BW78">
        <v>7.21</v>
      </c>
      <c r="BX78">
        <v>1029</v>
      </c>
      <c r="BY78">
        <v>0.2</v>
      </c>
      <c r="BZ78">
        <v>0.01</v>
      </c>
      <c r="CA78" s="32">
        <v>1.5</v>
      </c>
      <c r="CB78" s="32">
        <f t="shared" si="72"/>
        <v>2.685765443151298E-2</v>
      </c>
      <c r="CC78" s="32">
        <f t="shared" si="73"/>
        <v>2.685765443151298E-2</v>
      </c>
      <c r="CD78" s="32">
        <v>1.5</v>
      </c>
      <c r="CE78" s="32">
        <f t="shared" si="74"/>
        <v>2.7307482250136537E-2</v>
      </c>
      <c r="CF78" s="32">
        <f t="shared" si="75"/>
        <v>5.4614964500273075E-2</v>
      </c>
      <c r="CG78" s="27">
        <v>61</v>
      </c>
      <c r="CH78" s="27">
        <f t="shared" si="76"/>
        <v>0.6350197793046013</v>
      </c>
      <c r="CI78" s="27">
        <f t="shared" si="77"/>
        <v>5.0801582344368104</v>
      </c>
      <c r="CJ78" s="58">
        <v>21</v>
      </c>
      <c r="CK78" s="58">
        <v>25.609756097560975</v>
      </c>
      <c r="CL78" s="58">
        <v>1.7489069331667708</v>
      </c>
      <c r="CM78" s="58">
        <v>1.7489069331667708</v>
      </c>
      <c r="CN78" s="28">
        <v>-4</v>
      </c>
      <c r="CO78" s="28">
        <v>-7.0175438596491224</v>
      </c>
      <c r="CP78" s="28">
        <v>-0.33312513012700395</v>
      </c>
      <c r="CR78" s="32">
        <f t="shared" si="78"/>
        <v>12.207370393504059</v>
      </c>
      <c r="CS78" s="32">
        <v>12.207370393504059</v>
      </c>
      <c r="CT78" s="32">
        <f t="shared" si="79"/>
        <v>13.707370393504059</v>
      </c>
      <c r="CU78" s="32">
        <f t="shared" si="80"/>
        <v>0.24543187812898939</v>
      </c>
      <c r="CV78" s="32">
        <f t="shared" si="81"/>
        <v>0.24543187812898939</v>
      </c>
      <c r="CW78" s="60">
        <f t="shared" si="82"/>
        <v>-2.3252134082864875</v>
      </c>
      <c r="CY78" s="60">
        <f t="shared" si="83"/>
        <v>1.5</v>
      </c>
      <c r="CZ78" s="60">
        <f t="shared" si="84"/>
        <v>2.685765443151298E-2</v>
      </c>
      <c r="DA78" s="60">
        <f t="shared" si="85"/>
        <v>2.685765443151298E-2</v>
      </c>
      <c r="DB78" s="32">
        <f t="shared" si="86"/>
        <v>5.0801582344368104</v>
      </c>
      <c r="DC78">
        <f t="shared" si="87"/>
        <v>2.0489537757960332</v>
      </c>
      <c r="DD78">
        <f t="shared" si="88"/>
        <v>2.6655049589420225E-2</v>
      </c>
      <c r="DE78">
        <f t="shared" si="89"/>
        <v>0.11978399953587891</v>
      </c>
      <c r="DF78">
        <f t="shared" si="90"/>
        <v>0.85356095087470085</v>
      </c>
      <c r="DG78">
        <f t="shared" si="91"/>
        <v>8.1472618931786062E-2</v>
      </c>
      <c r="DH78">
        <f t="shared" si="92"/>
        <v>0.67034747644481785</v>
      </c>
      <c r="DI78">
        <f t="shared" si="93"/>
        <v>0.3296525235551821</v>
      </c>
      <c r="DJ78">
        <f t="shared" si="94"/>
        <v>0</v>
      </c>
      <c r="DK78" s="64">
        <f t="shared" si="95"/>
        <v>-0.12533718092136503</v>
      </c>
      <c r="DL78" s="64">
        <f t="shared" si="96"/>
        <v>1.8421439759428822</v>
      </c>
      <c r="DM78" s="64">
        <f t="shared" si="97"/>
        <v>0.15155085370309562</v>
      </c>
      <c r="DN78" s="64">
        <f t="shared" si="98"/>
        <v>2.1190320105673428</v>
      </c>
      <c r="DO78" t="str">
        <f t="shared" si="99"/>
        <v>Insufficient Capacity</v>
      </c>
      <c r="DP78" t="str">
        <f t="shared" si="100"/>
        <v>Insufficient Capacity</v>
      </c>
    </row>
    <row r="79" spans="1:120" ht="15.75" x14ac:dyDescent="0.25">
      <c r="A79" s="5" t="s">
        <v>132</v>
      </c>
      <c r="B79" s="5" t="s">
        <v>132</v>
      </c>
      <c r="C79" s="2" t="s">
        <v>851</v>
      </c>
      <c r="D79" s="2" t="s">
        <v>521</v>
      </c>
      <c r="E79" s="2" t="s">
        <v>521</v>
      </c>
      <c r="F79" s="2">
        <v>78</v>
      </c>
      <c r="G79" s="2" t="s">
        <v>850</v>
      </c>
      <c r="H79" s="10" t="s">
        <v>656</v>
      </c>
      <c r="I79" s="2">
        <v>150</v>
      </c>
      <c r="J79" s="2">
        <v>65</v>
      </c>
      <c r="K79" s="13">
        <v>2.8</v>
      </c>
      <c r="L79" t="s">
        <v>325</v>
      </c>
      <c r="M79" s="2" t="s">
        <v>1119</v>
      </c>
      <c r="N79" s="2" t="s">
        <v>437</v>
      </c>
      <c r="O79" s="2" t="s">
        <v>694</v>
      </c>
      <c r="P79" s="2" t="s">
        <v>1119</v>
      </c>
      <c r="Q79" s="2" t="s">
        <v>443</v>
      </c>
      <c r="R79" s="2" t="str">
        <f t="shared" si="50"/>
        <v>CW_3_Section_5</v>
      </c>
      <c r="S79" s="2" t="str">
        <f t="shared" si="51"/>
        <v>CW_3_EFF</v>
      </c>
      <c r="T79" s="11" t="s">
        <v>845</v>
      </c>
      <c r="U79" s="1">
        <v>45707</v>
      </c>
      <c r="V79" s="2" t="s">
        <v>799</v>
      </c>
      <c r="W79" s="2" t="s">
        <v>1119</v>
      </c>
      <c r="X79" s="2" t="s">
        <v>844</v>
      </c>
      <c r="Y79" s="2" t="str">
        <f t="shared" si="52"/>
        <v>T3_EFF</v>
      </c>
      <c r="Z79" t="s">
        <v>49</v>
      </c>
      <c r="AA79">
        <v>13</v>
      </c>
      <c r="AB79">
        <v>13</v>
      </c>
      <c r="AC79">
        <v>750</v>
      </c>
      <c r="AD79" s="32">
        <f t="shared" si="53"/>
        <v>0.2880553066188708</v>
      </c>
      <c r="AE79">
        <v>2</v>
      </c>
      <c r="AF79" s="32">
        <f t="shared" si="54"/>
        <v>7.8141957890167139E-4</v>
      </c>
      <c r="AG79">
        <v>710</v>
      </c>
      <c r="AH79" s="32">
        <f t="shared" si="55"/>
        <v>0.28087030234529531</v>
      </c>
      <c r="AI79">
        <v>210</v>
      </c>
      <c r="AJ79" s="32">
        <f t="shared" si="56"/>
        <v>8.3074314778185929E-2</v>
      </c>
      <c r="AK79">
        <v>240</v>
      </c>
      <c r="AL79" s="32">
        <f t="shared" si="57"/>
        <v>9.4942074032212498E-2</v>
      </c>
      <c r="AM79">
        <v>450</v>
      </c>
      <c r="AO79" s="49">
        <v>1924</v>
      </c>
      <c r="AP79" s="49">
        <f t="shared" si="58"/>
        <v>0.56970702854306776</v>
      </c>
      <c r="AQ79">
        <v>4400</v>
      </c>
      <c r="AR79" s="32">
        <f t="shared" si="59"/>
        <v>1.647811500351096</v>
      </c>
      <c r="AS79" s="48">
        <v>3000</v>
      </c>
      <c r="AT79" s="27">
        <f t="shared" si="60"/>
        <v>1.1235078411484747</v>
      </c>
      <c r="AU79" s="48">
        <v>110</v>
      </c>
      <c r="AV79" s="27">
        <f t="shared" si="61"/>
        <v>4.0475721138051118E-2</v>
      </c>
      <c r="AW79" s="48">
        <v>140</v>
      </c>
      <c r="AX79" s="27">
        <f t="shared" si="62"/>
        <v>5.2655469813890153E-2</v>
      </c>
      <c r="AY79" s="48">
        <v>43</v>
      </c>
      <c r="AZ79" s="27">
        <f t="shared" si="63"/>
        <v>1.6038984478402119E-2</v>
      </c>
      <c r="BA79" s="48">
        <v>20</v>
      </c>
      <c r="BB79" s="27">
        <f t="shared" si="64"/>
        <v>7.4061605790270999E-3</v>
      </c>
      <c r="BC79" s="48">
        <v>1.6</v>
      </c>
      <c r="BD79" s="27">
        <f t="shared" si="65"/>
        <v>5.9249284632216796E-4</v>
      </c>
      <c r="BE79" s="48">
        <v>0.08</v>
      </c>
      <c r="BF79" s="27">
        <f t="shared" si="66"/>
        <v>2.9270704573547589E-5</v>
      </c>
      <c r="BG79" s="48">
        <v>0.04</v>
      </c>
      <c r="BH79" s="27">
        <f t="shared" si="67"/>
        <v>1.4635352286773795E-5</v>
      </c>
      <c r="BI79" s="52">
        <f t="shared" si="68"/>
        <v>3314.72</v>
      </c>
      <c r="BJ79" s="52">
        <f t="shared" si="69"/>
        <v>314.72000000000003</v>
      </c>
      <c r="BK79" s="27">
        <f t="shared" si="70"/>
        <v>1.2407205760610276</v>
      </c>
      <c r="BL79" s="27">
        <f t="shared" si="71"/>
        <v>0.11721273491255298</v>
      </c>
      <c r="BM79">
        <v>5800</v>
      </c>
      <c r="BN79">
        <v>1400</v>
      </c>
      <c r="BO79" t="s">
        <v>19</v>
      </c>
      <c r="BP79">
        <v>7200</v>
      </c>
      <c r="BQ79">
        <v>67</v>
      </c>
      <c r="BR79">
        <v>32</v>
      </c>
      <c r="BS79">
        <v>1.3</v>
      </c>
      <c r="BT79">
        <v>0.39</v>
      </c>
      <c r="BU79">
        <v>7.2</v>
      </c>
      <c r="BV79">
        <v>-101</v>
      </c>
      <c r="BW79">
        <v>7.08</v>
      </c>
      <c r="BX79">
        <v>866</v>
      </c>
      <c r="BY79">
        <v>0.2</v>
      </c>
      <c r="BZ79">
        <v>0.01</v>
      </c>
      <c r="CA79" s="32">
        <v>0.7</v>
      </c>
      <c r="CB79" s="32">
        <f t="shared" si="72"/>
        <v>1.253357206803939E-2</v>
      </c>
      <c r="CC79" s="32">
        <f t="shared" si="73"/>
        <v>1.253357206803939E-2</v>
      </c>
      <c r="CD79" s="32">
        <v>1.1000000000000001</v>
      </c>
      <c r="CE79" s="32">
        <f t="shared" si="74"/>
        <v>2.0025486983433462E-2</v>
      </c>
      <c r="CF79" s="32">
        <f t="shared" si="75"/>
        <v>4.0050973966866923E-2</v>
      </c>
      <c r="CG79" s="27">
        <v>67</v>
      </c>
      <c r="CH79" s="27">
        <f t="shared" si="76"/>
        <v>0.69748074120341452</v>
      </c>
      <c r="CI79" s="27">
        <f t="shared" si="77"/>
        <v>5.5798459296273162</v>
      </c>
      <c r="CJ79" s="58">
        <v>15</v>
      </c>
      <c r="CK79" s="58">
        <v>18.292682926829269</v>
      </c>
      <c r="CL79" s="58">
        <v>1.2492192379762648</v>
      </c>
      <c r="CM79" s="58">
        <v>1.2492192379762648</v>
      </c>
      <c r="CN79" s="28">
        <v>-2</v>
      </c>
      <c r="CO79" s="28">
        <v>-3.0769230769230771</v>
      </c>
      <c r="CP79" s="28">
        <v>-0.16656256506350198</v>
      </c>
      <c r="CR79" s="32">
        <f t="shared" si="78"/>
        <v>8.7195502810743282</v>
      </c>
      <c r="CS79" s="32">
        <v>8.7195502810743282</v>
      </c>
      <c r="CT79" s="32">
        <f t="shared" si="79"/>
        <v>9.4195502810743275</v>
      </c>
      <c r="CU79" s="32">
        <f t="shared" si="80"/>
        <v>0.16865801756623683</v>
      </c>
      <c r="CV79" s="32">
        <f t="shared" si="81"/>
        <v>0.16865801756623683</v>
      </c>
      <c r="CW79" s="60">
        <f t="shared" si="82"/>
        <v>-1.1626067041432437</v>
      </c>
      <c r="CY79" s="60">
        <f t="shared" si="83"/>
        <v>0.7</v>
      </c>
      <c r="CZ79" s="60">
        <f t="shared" si="84"/>
        <v>1.253357206803939E-2</v>
      </c>
      <c r="DA79" s="60">
        <f t="shared" si="85"/>
        <v>1.253357206803939E-2</v>
      </c>
      <c r="DB79" s="32">
        <f t="shared" si="86"/>
        <v>5.5798459296273162</v>
      </c>
      <c r="DC79">
        <f t="shared" si="87"/>
        <v>1.4579282295093685</v>
      </c>
      <c r="DD79">
        <f t="shared" si="88"/>
        <v>2.7471156094113863E-2</v>
      </c>
      <c r="DE79">
        <f t="shared" si="89"/>
        <v>0.11568334719946724</v>
      </c>
      <c r="DF79">
        <f t="shared" si="90"/>
        <v>0.85684549670641896</v>
      </c>
      <c r="DG79">
        <f t="shared" si="91"/>
        <v>5.258454603490631E-2</v>
      </c>
      <c r="DH79">
        <f t="shared" si="92"/>
        <v>0.76164913433464965</v>
      </c>
      <c r="DI79">
        <f t="shared" si="93"/>
        <v>0.23835086566535044</v>
      </c>
      <c r="DJ79">
        <f t="shared" si="94"/>
        <v>0</v>
      </c>
      <c r="DK79" s="64">
        <f t="shared" si="95"/>
        <v>0.75959029938479516</v>
      </c>
      <c r="DL79" s="64">
        <f t="shared" si="96"/>
        <v>2.1649339828592575</v>
      </c>
      <c r="DM79" s="64">
        <f t="shared" si="97"/>
        <v>0.87680303429734807</v>
      </c>
      <c r="DN79" s="64">
        <f t="shared" si="98"/>
        <v>2.2821467177718104</v>
      </c>
      <c r="DO79" t="str">
        <f t="shared" si="99"/>
        <v>Insufficient Capacity</v>
      </c>
      <c r="DP79" t="str">
        <f t="shared" si="100"/>
        <v>Insufficient Capacity</v>
      </c>
    </row>
    <row r="80" spans="1:120" ht="15.75" x14ac:dyDescent="0.25">
      <c r="A80" s="5" t="s">
        <v>133</v>
      </c>
      <c r="B80" s="5" t="s">
        <v>133</v>
      </c>
      <c r="C80" s="2" t="s">
        <v>853</v>
      </c>
      <c r="D80" s="2" t="s">
        <v>522</v>
      </c>
      <c r="E80" s="2" t="s">
        <v>522</v>
      </c>
      <c r="F80" s="2">
        <v>79</v>
      </c>
      <c r="G80" s="2" t="s">
        <v>852</v>
      </c>
      <c r="H80" s="10" t="s">
        <v>656</v>
      </c>
      <c r="I80" s="2">
        <v>150</v>
      </c>
      <c r="J80" s="2">
        <v>65</v>
      </c>
      <c r="K80" s="13">
        <v>5.45</v>
      </c>
      <c r="L80" t="s">
        <v>306</v>
      </c>
      <c r="M80" s="2" t="s">
        <v>1120</v>
      </c>
      <c r="N80" s="2" t="s">
        <v>435</v>
      </c>
      <c r="O80" s="2" t="s">
        <v>653</v>
      </c>
      <c r="P80" s="2" t="s">
        <v>1123</v>
      </c>
      <c r="Q80" s="9" t="s">
        <v>654</v>
      </c>
      <c r="R80" s="2" t="str">
        <f t="shared" si="50"/>
        <v>CW_1_Section_1</v>
      </c>
      <c r="S80" s="2" t="str">
        <f t="shared" si="51"/>
        <v>CW_1_MF01</v>
      </c>
      <c r="T80" s="11" t="s">
        <v>845</v>
      </c>
      <c r="U80" s="1">
        <v>45705</v>
      </c>
      <c r="V80" s="2" t="s">
        <v>799</v>
      </c>
      <c r="W80" s="2" t="s">
        <v>655</v>
      </c>
      <c r="X80" s="2" t="s">
        <v>844</v>
      </c>
      <c r="Y80" s="2" t="str">
        <f t="shared" si="52"/>
        <v>T3_0.15-0.30</v>
      </c>
      <c r="Z80" t="s">
        <v>29</v>
      </c>
      <c r="AA80">
        <v>12</v>
      </c>
      <c r="AB80">
        <v>11</v>
      </c>
      <c r="AC80">
        <v>550</v>
      </c>
      <c r="AD80" s="32">
        <f t="shared" si="53"/>
        <v>0.21124055818717194</v>
      </c>
      <c r="AE80">
        <v>2</v>
      </c>
      <c r="AF80" s="32">
        <f t="shared" si="54"/>
        <v>7.8141957890167139E-4</v>
      </c>
      <c r="AG80">
        <v>370</v>
      </c>
      <c r="AH80" s="32">
        <f t="shared" si="55"/>
        <v>0.14636903079966093</v>
      </c>
      <c r="AI80">
        <v>160</v>
      </c>
      <c r="AJ80" s="32">
        <f t="shared" si="56"/>
        <v>6.3294716021474989E-2</v>
      </c>
      <c r="AK80">
        <v>150</v>
      </c>
      <c r="AL80" s="32">
        <f t="shared" si="57"/>
        <v>5.9338796270132804E-2</v>
      </c>
      <c r="AM80">
        <v>310</v>
      </c>
      <c r="AO80" s="49">
        <v>1244</v>
      </c>
      <c r="AP80" s="49">
        <f t="shared" si="58"/>
        <v>0.35839100856573458</v>
      </c>
      <c r="AQ80">
        <v>2200</v>
      </c>
      <c r="AR80" s="32">
        <f t="shared" si="59"/>
        <v>0.82390575017554801</v>
      </c>
      <c r="AS80" s="48">
        <v>3000</v>
      </c>
      <c r="AT80" s="27">
        <f t="shared" si="60"/>
        <v>1.1235078411484747</v>
      </c>
      <c r="AU80" s="48">
        <v>0.47</v>
      </c>
      <c r="AV80" s="27">
        <f t="shared" si="61"/>
        <v>1.7294171758985478E-4</v>
      </c>
      <c r="AW80" s="48">
        <v>0.26</v>
      </c>
      <c r="AX80" s="27">
        <f t="shared" si="62"/>
        <v>9.7788729654367423E-5</v>
      </c>
      <c r="AY80" s="48">
        <v>0.13</v>
      </c>
      <c r="AZ80" s="27">
        <f t="shared" si="63"/>
        <v>4.8489953074238965E-5</v>
      </c>
      <c r="BA80" s="48">
        <v>0.1</v>
      </c>
      <c r="BB80" s="27">
        <f t="shared" si="64"/>
        <v>3.7030802895135498E-5</v>
      </c>
      <c r="BC80" s="48">
        <v>0.02</v>
      </c>
      <c r="BD80" s="27">
        <f t="shared" si="65"/>
        <v>7.4061605790270997E-6</v>
      </c>
      <c r="BE80" s="48">
        <v>0.02</v>
      </c>
      <c r="BF80" s="27">
        <f t="shared" si="66"/>
        <v>7.3176761433868973E-6</v>
      </c>
      <c r="BG80" s="48">
        <v>2E-3</v>
      </c>
      <c r="BH80" s="27">
        <f t="shared" si="67"/>
        <v>7.3176761433868969E-7</v>
      </c>
      <c r="BI80" s="52">
        <f t="shared" si="68"/>
        <v>3001.002</v>
      </c>
      <c r="BJ80" s="52">
        <f t="shared" si="69"/>
        <v>1.002</v>
      </c>
      <c r="BK80" s="27">
        <f t="shared" si="70"/>
        <v>1.1238795479560248</v>
      </c>
      <c r="BL80" s="27">
        <f t="shared" si="71"/>
        <v>3.7170680755034931E-4</v>
      </c>
      <c r="BM80">
        <v>4300</v>
      </c>
      <c r="BN80">
        <v>70</v>
      </c>
      <c r="BO80" t="s">
        <v>19</v>
      </c>
      <c r="BP80">
        <v>4400</v>
      </c>
      <c r="BQ80">
        <v>70</v>
      </c>
      <c r="BR80">
        <v>31</v>
      </c>
      <c r="BS80">
        <v>1.8</v>
      </c>
      <c r="BT80">
        <v>5.0999999999999996</v>
      </c>
      <c r="BU80">
        <v>7.4</v>
      </c>
      <c r="BV80">
        <v>-109</v>
      </c>
      <c r="BW80">
        <v>7.11</v>
      </c>
      <c r="BX80">
        <v>855</v>
      </c>
      <c r="BY80">
        <v>0.2</v>
      </c>
      <c r="BZ80">
        <v>0.01</v>
      </c>
      <c r="CA80" s="32">
        <v>9.6999999999999993</v>
      </c>
      <c r="CB80" s="32">
        <f t="shared" si="72"/>
        <v>0.17367949865711726</v>
      </c>
      <c r="CC80" s="32">
        <f t="shared" si="73"/>
        <v>0.17367949865711726</v>
      </c>
      <c r="CD80" s="32">
        <v>2</v>
      </c>
      <c r="CE80" s="32">
        <f t="shared" si="74"/>
        <v>3.6409976333515386E-2</v>
      </c>
      <c r="CF80" s="32">
        <f t="shared" si="75"/>
        <v>7.2819952667030771E-2</v>
      </c>
      <c r="CG80" s="27">
        <v>56</v>
      </c>
      <c r="CH80" s="27">
        <f t="shared" si="76"/>
        <v>0.58296897772225686</v>
      </c>
      <c r="CI80" s="27">
        <f t="shared" si="77"/>
        <v>4.6637518217780549</v>
      </c>
      <c r="CJ80" s="58">
        <v>26</v>
      </c>
      <c r="CK80" s="58">
        <v>31.707317073170731</v>
      </c>
      <c r="CL80" s="58">
        <v>2.1653133458255258</v>
      </c>
      <c r="CM80" s="58">
        <v>2.1653133458255258</v>
      </c>
      <c r="CN80" s="28">
        <v>26</v>
      </c>
      <c r="CO80" s="28">
        <v>31.707317073170731</v>
      </c>
      <c r="CP80" s="28">
        <v>2.1653133458255258</v>
      </c>
      <c r="CQ80" s="28">
        <v>2.1653133458255258</v>
      </c>
      <c r="CR80" s="32">
        <f t="shared" si="78"/>
        <v>15.113887153862169</v>
      </c>
      <c r="CS80" s="32">
        <v>15.113887153862169</v>
      </c>
      <c r="CT80" s="32">
        <f t="shared" si="79"/>
        <v>24.813887153862169</v>
      </c>
      <c r="CU80" s="32">
        <f t="shared" si="80"/>
        <v>0.44429520418732621</v>
      </c>
      <c r="CV80" s="32">
        <f t="shared" si="81"/>
        <v>0.44429520418732621</v>
      </c>
      <c r="CW80" s="60">
        <f t="shared" si="82"/>
        <v>15.113887153862169</v>
      </c>
      <c r="CX80" s="60">
        <v>15.113887153862169</v>
      </c>
      <c r="CY80" s="60">
        <f t="shared" si="83"/>
        <v>24.813887153862169</v>
      </c>
      <c r="CZ80" s="60">
        <f t="shared" si="84"/>
        <v>0.44429520418732621</v>
      </c>
      <c r="DA80" s="60">
        <f t="shared" si="85"/>
        <v>0.44429520418732621</v>
      </c>
      <c r="DB80" s="32">
        <f t="shared" si="86"/>
        <v>4.6637518217780549</v>
      </c>
      <c r="DC80">
        <f t="shared" si="87"/>
        <v>2.6824285026798829</v>
      </c>
      <c r="DD80">
        <f t="shared" si="88"/>
        <v>2.7147024643631668E-2</v>
      </c>
      <c r="DE80">
        <f t="shared" si="89"/>
        <v>0.16563170416041012</v>
      </c>
      <c r="DF80">
        <f t="shared" si="90"/>
        <v>0.80722127119595821</v>
      </c>
      <c r="DG80">
        <f t="shared" si="91"/>
        <v>2.6824285026798829</v>
      </c>
      <c r="DH80">
        <f t="shared" si="92"/>
        <v>2.7147024643631668E-2</v>
      </c>
      <c r="DI80">
        <f t="shared" si="93"/>
        <v>0.16563170416041012</v>
      </c>
      <c r="DJ80">
        <f t="shared" si="94"/>
        <v>0.80722127119595821</v>
      </c>
      <c r="DK80" s="64">
        <f t="shared" si="95"/>
        <v>-1.5001317439386002</v>
      </c>
      <c r="DL80" s="64">
        <f t="shared" si="96"/>
        <v>-1.5001317439386002</v>
      </c>
      <c r="DM80" s="64">
        <f t="shared" si="97"/>
        <v>-1.4997600371310498</v>
      </c>
      <c r="DN80" s="64">
        <f t="shared" si="98"/>
        <v>-1.4997600371310498</v>
      </c>
      <c r="DO80" t="str">
        <f t="shared" si="99"/>
        <v>Sufficient Capacity</v>
      </c>
      <c r="DP80" t="str">
        <f t="shared" si="100"/>
        <v>Sufficient Capacity</v>
      </c>
    </row>
    <row r="81" spans="1:120" ht="15.75" x14ac:dyDescent="0.25">
      <c r="A81" s="5" t="s">
        <v>134</v>
      </c>
      <c r="B81" s="5" t="s">
        <v>134</v>
      </c>
      <c r="C81" s="2" t="s">
        <v>855</v>
      </c>
      <c r="D81" s="2" t="s">
        <v>523</v>
      </c>
      <c r="E81" s="2" t="s">
        <v>523</v>
      </c>
      <c r="F81" s="2">
        <v>80</v>
      </c>
      <c r="G81" s="2" t="s">
        <v>854</v>
      </c>
      <c r="H81" s="10" t="s">
        <v>656</v>
      </c>
      <c r="I81" s="2">
        <v>150</v>
      </c>
      <c r="J81" s="2">
        <v>65</v>
      </c>
      <c r="K81" s="13">
        <v>4</v>
      </c>
      <c r="L81" t="s">
        <v>307</v>
      </c>
      <c r="M81" s="2" t="s">
        <v>1120</v>
      </c>
      <c r="N81" s="2" t="s">
        <v>435</v>
      </c>
      <c r="O81" s="2" t="s">
        <v>653</v>
      </c>
      <c r="P81" s="2" t="s">
        <v>1124</v>
      </c>
      <c r="Q81" s="9" t="s">
        <v>662</v>
      </c>
      <c r="R81" s="2" t="str">
        <f t="shared" si="50"/>
        <v>CW_1_Section_1</v>
      </c>
      <c r="S81" s="2" t="str">
        <f t="shared" si="51"/>
        <v>CW_1_MF02</v>
      </c>
      <c r="T81" s="11" t="s">
        <v>845</v>
      </c>
      <c r="U81" s="1">
        <v>45705</v>
      </c>
      <c r="V81" s="2" t="s">
        <v>799</v>
      </c>
      <c r="W81" s="2" t="s">
        <v>663</v>
      </c>
      <c r="X81" s="2" t="s">
        <v>844</v>
      </c>
      <c r="Y81" s="2" t="str">
        <f t="shared" si="52"/>
        <v>T3_0.60-0.80</v>
      </c>
      <c r="Z81" t="s">
        <v>31</v>
      </c>
      <c r="AA81">
        <v>13</v>
      </c>
      <c r="AB81">
        <v>13</v>
      </c>
      <c r="AC81">
        <v>540</v>
      </c>
      <c r="AD81" s="32">
        <f t="shared" si="53"/>
        <v>0.207399820765587</v>
      </c>
      <c r="AE81">
        <v>65</v>
      </c>
      <c r="AF81" s="32">
        <f t="shared" si="54"/>
        <v>2.5396136314304318E-2</v>
      </c>
      <c r="AG81">
        <v>490</v>
      </c>
      <c r="AH81" s="32">
        <f t="shared" si="55"/>
        <v>0.19384006781576718</v>
      </c>
      <c r="AI81">
        <v>180</v>
      </c>
      <c r="AJ81" s="32">
        <f t="shared" si="56"/>
        <v>7.120655552415936E-2</v>
      </c>
      <c r="AK81">
        <v>270</v>
      </c>
      <c r="AL81" s="32">
        <f t="shared" si="57"/>
        <v>0.10680983328623904</v>
      </c>
      <c r="AM81">
        <v>450</v>
      </c>
      <c r="AO81" s="49">
        <v>1545</v>
      </c>
      <c r="AP81" s="49">
        <f t="shared" si="58"/>
        <v>0.42663602489565849</v>
      </c>
      <c r="AQ81">
        <v>3800</v>
      </c>
      <c r="AR81" s="32">
        <f t="shared" si="59"/>
        <v>1.4231099321214014</v>
      </c>
      <c r="AS81" s="48">
        <v>6600</v>
      </c>
      <c r="AT81" s="27">
        <f t="shared" si="60"/>
        <v>2.4717172505266443</v>
      </c>
      <c r="AU81" s="48">
        <v>190</v>
      </c>
      <c r="AV81" s="27">
        <f t="shared" si="61"/>
        <v>6.9912609238451939E-2</v>
      </c>
      <c r="AW81" s="48">
        <v>230</v>
      </c>
      <c r="AX81" s="27">
        <f t="shared" si="62"/>
        <v>8.6505414694248106E-2</v>
      </c>
      <c r="AY81" s="48">
        <v>100</v>
      </c>
      <c r="AZ81" s="27">
        <f t="shared" si="63"/>
        <v>3.7299963903260742E-2</v>
      </c>
      <c r="BA81" s="48">
        <v>62</v>
      </c>
      <c r="BB81" s="27">
        <f t="shared" si="64"/>
        <v>2.2959097794984007E-2</v>
      </c>
      <c r="BC81" s="48">
        <v>4.3</v>
      </c>
      <c r="BD81" s="27">
        <f t="shared" si="65"/>
        <v>1.5923245244908264E-3</v>
      </c>
      <c r="BE81" s="48">
        <v>0.74</v>
      </c>
      <c r="BF81" s="27">
        <f t="shared" si="66"/>
        <v>2.7075401730531522E-4</v>
      </c>
      <c r="BG81" s="48">
        <v>0.63</v>
      </c>
      <c r="BH81" s="27">
        <f t="shared" si="67"/>
        <v>2.3050679851668727E-4</v>
      </c>
      <c r="BI81" s="52">
        <f t="shared" si="68"/>
        <v>7187.67</v>
      </c>
      <c r="BJ81" s="52">
        <f t="shared" si="69"/>
        <v>587.66999999999996</v>
      </c>
      <c r="BK81" s="27">
        <f t="shared" si="70"/>
        <v>2.6904879214979021</v>
      </c>
      <c r="BL81" s="27">
        <f t="shared" si="71"/>
        <v>0.2187706709712576</v>
      </c>
      <c r="BM81">
        <v>7900</v>
      </c>
      <c r="BN81">
        <v>2300</v>
      </c>
      <c r="BO81" t="s">
        <v>19</v>
      </c>
      <c r="BP81">
        <v>10000</v>
      </c>
      <c r="BQ81">
        <v>72</v>
      </c>
      <c r="BR81">
        <v>33</v>
      </c>
      <c r="BS81">
        <v>1.4</v>
      </c>
      <c r="BT81">
        <v>0.53</v>
      </c>
      <c r="BU81">
        <v>7.8</v>
      </c>
      <c r="BV81">
        <v>-125</v>
      </c>
      <c r="BW81">
        <v>7.08</v>
      </c>
      <c r="BX81">
        <v>1312</v>
      </c>
      <c r="BY81">
        <v>0.2</v>
      </c>
      <c r="BZ81">
        <v>0.01</v>
      </c>
      <c r="CA81" s="32">
        <v>0.3</v>
      </c>
      <c r="CB81" s="32">
        <f t="shared" si="72"/>
        <v>5.3715308863025958E-3</v>
      </c>
      <c r="CC81" s="32">
        <f t="shared" si="73"/>
        <v>5.3715308863025958E-3</v>
      </c>
      <c r="CD81" s="32">
        <v>0.8</v>
      </c>
      <c r="CE81" s="32">
        <f t="shared" si="74"/>
        <v>1.4563990533406155E-2</v>
      </c>
      <c r="CF81" s="32">
        <f t="shared" si="75"/>
        <v>2.912798106681231E-2</v>
      </c>
      <c r="CG81" s="27">
        <v>73</v>
      </c>
      <c r="CH81" s="27">
        <f t="shared" si="76"/>
        <v>0.75994170310222775</v>
      </c>
      <c r="CI81" s="27">
        <f t="shared" si="77"/>
        <v>6.079533624817822</v>
      </c>
      <c r="CJ81" s="58">
        <v>9</v>
      </c>
      <c r="CK81" s="58">
        <v>10.975609756097562</v>
      </c>
      <c r="CL81" s="58">
        <v>0.74953154278575884</v>
      </c>
      <c r="CM81" s="58">
        <v>0.74953154278575884</v>
      </c>
      <c r="CN81" s="28">
        <v>9</v>
      </c>
      <c r="CO81" s="28">
        <v>10.975609756097562</v>
      </c>
      <c r="CP81" s="28">
        <v>0.74953154278575884</v>
      </c>
      <c r="CQ81" s="28">
        <v>0.74953154278575884</v>
      </c>
      <c r="CR81" s="32">
        <f t="shared" si="78"/>
        <v>5.2317301686445967</v>
      </c>
      <c r="CS81" s="32">
        <v>5.2317301686445967</v>
      </c>
      <c r="CT81" s="32">
        <f t="shared" si="79"/>
        <v>5.5317301686445965</v>
      </c>
      <c r="CU81" s="32">
        <f t="shared" si="80"/>
        <v>9.9046198185221063E-2</v>
      </c>
      <c r="CV81" s="32">
        <f t="shared" si="81"/>
        <v>9.9046198185221063E-2</v>
      </c>
      <c r="CW81" s="60">
        <f t="shared" si="82"/>
        <v>5.2317301686445967</v>
      </c>
      <c r="CX81" s="60">
        <v>5.2317301686445967</v>
      </c>
      <c r="CY81" s="60">
        <f t="shared" si="83"/>
        <v>5.5317301686445965</v>
      </c>
      <c r="CZ81" s="60">
        <f t="shared" si="84"/>
        <v>9.9046198185221063E-2</v>
      </c>
      <c r="DA81" s="60">
        <f t="shared" si="85"/>
        <v>9.9046198185221063E-2</v>
      </c>
      <c r="DB81" s="32">
        <f t="shared" si="86"/>
        <v>6.079533624817822</v>
      </c>
      <c r="DC81">
        <f t="shared" si="87"/>
        <v>0.87770572203779218</v>
      </c>
      <c r="DD81">
        <f t="shared" si="88"/>
        <v>3.3186500139460319E-2</v>
      </c>
      <c r="DE81">
        <f t="shared" si="89"/>
        <v>0.11284670442305302</v>
      </c>
      <c r="DF81">
        <f t="shared" si="90"/>
        <v>0.85396679543748666</v>
      </c>
      <c r="DG81">
        <f t="shared" si="91"/>
        <v>0.87770572203779218</v>
      </c>
      <c r="DH81">
        <f t="shared" si="92"/>
        <v>3.3186500139460319E-2</v>
      </c>
      <c r="DI81">
        <f t="shared" si="93"/>
        <v>0.11284670442305302</v>
      </c>
      <c r="DJ81">
        <f t="shared" si="94"/>
        <v>0.85396679543748666</v>
      </c>
      <c r="DK81" s="64">
        <f t="shared" si="95"/>
        <v>0.97204023497926761</v>
      </c>
      <c r="DL81" s="64">
        <f t="shared" si="96"/>
        <v>0.97204023497926761</v>
      </c>
      <c r="DM81" s="64">
        <f t="shared" si="97"/>
        <v>1.1908109059505254</v>
      </c>
      <c r="DN81" s="64">
        <f t="shared" si="98"/>
        <v>1.1908109059505254</v>
      </c>
      <c r="DO81" t="str">
        <f t="shared" si="99"/>
        <v>Insufficient Capacity</v>
      </c>
      <c r="DP81" t="str">
        <f t="shared" si="100"/>
        <v>Insufficient Capacity</v>
      </c>
    </row>
    <row r="82" spans="1:120" ht="15.75" x14ac:dyDescent="0.25">
      <c r="A82" s="5" t="s">
        <v>135</v>
      </c>
      <c r="B82" s="5" t="s">
        <v>135</v>
      </c>
      <c r="C82" s="2" t="s">
        <v>857</v>
      </c>
      <c r="D82" s="2" t="s">
        <v>524</v>
      </c>
      <c r="E82" s="2" t="s">
        <v>524</v>
      </c>
      <c r="F82" s="2">
        <v>81</v>
      </c>
      <c r="G82" s="2" t="s">
        <v>856</v>
      </c>
      <c r="H82" s="10" t="s">
        <v>656</v>
      </c>
      <c r="I82" s="2">
        <v>150</v>
      </c>
      <c r="J82" s="2">
        <v>65</v>
      </c>
      <c r="K82" s="13">
        <v>5.5</v>
      </c>
      <c r="L82" t="s">
        <v>308</v>
      </c>
      <c r="M82" s="2" t="s">
        <v>1120</v>
      </c>
      <c r="N82" s="2" t="s">
        <v>435</v>
      </c>
      <c r="O82" s="2" t="s">
        <v>666</v>
      </c>
      <c r="P82" s="2" t="s">
        <v>1131</v>
      </c>
      <c r="Q82" s="9" t="s">
        <v>667</v>
      </c>
      <c r="R82" s="2" t="str">
        <f t="shared" si="50"/>
        <v>CW_1_Section_2</v>
      </c>
      <c r="S82" s="2" t="str">
        <f t="shared" si="51"/>
        <v>CW_1_MF05</v>
      </c>
      <c r="T82" s="11" t="s">
        <v>845</v>
      </c>
      <c r="U82" s="1">
        <v>45705</v>
      </c>
      <c r="V82" s="2" t="s">
        <v>799</v>
      </c>
      <c r="W82" s="2" t="s">
        <v>655</v>
      </c>
      <c r="X82" s="2" t="s">
        <v>844</v>
      </c>
      <c r="Y82" s="2" t="str">
        <f t="shared" si="52"/>
        <v>T3_0.15-0.30</v>
      </c>
      <c r="Z82" t="s">
        <v>33</v>
      </c>
      <c r="AA82">
        <v>10</v>
      </c>
      <c r="AB82">
        <v>9.9</v>
      </c>
      <c r="AC82">
        <v>470</v>
      </c>
      <c r="AD82" s="32">
        <f t="shared" si="53"/>
        <v>0.18051465881449238</v>
      </c>
      <c r="AE82">
        <v>1</v>
      </c>
      <c r="AF82" s="32">
        <f t="shared" si="54"/>
        <v>3.9070978945083569E-4</v>
      </c>
      <c r="AG82">
        <v>260</v>
      </c>
      <c r="AH82" s="32">
        <f t="shared" si="55"/>
        <v>0.10285391353489687</v>
      </c>
      <c r="AI82">
        <v>150</v>
      </c>
      <c r="AJ82" s="32">
        <f t="shared" si="56"/>
        <v>5.9338796270132804E-2</v>
      </c>
      <c r="AK82">
        <v>88</v>
      </c>
      <c r="AL82" s="32">
        <f t="shared" si="57"/>
        <v>3.4812093811811246E-2</v>
      </c>
      <c r="AM82">
        <v>238</v>
      </c>
      <c r="AO82" s="49">
        <v>975</v>
      </c>
      <c r="AP82" s="49">
        <f t="shared" si="58"/>
        <v>0.28375928213884005</v>
      </c>
      <c r="AQ82">
        <v>1800</v>
      </c>
      <c r="AR82" s="32">
        <f t="shared" si="59"/>
        <v>0.6741047046890849</v>
      </c>
      <c r="AS82" s="48">
        <v>2E-3</v>
      </c>
      <c r="AT82" s="27">
        <f t="shared" si="60"/>
        <v>7.4900522743231646E-7</v>
      </c>
      <c r="AU82" s="48">
        <v>0.01</v>
      </c>
      <c r="AV82" s="27">
        <f t="shared" si="61"/>
        <v>3.6796110125501018E-6</v>
      </c>
      <c r="AW82" s="48">
        <v>0.01</v>
      </c>
      <c r="AX82" s="27">
        <f t="shared" si="62"/>
        <v>3.7611049867064394E-6</v>
      </c>
      <c r="AY82" s="48">
        <v>0.05</v>
      </c>
      <c r="AZ82" s="27">
        <f t="shared" si="63"/>
        <v>1.864998195163037E-5</v>
      </c>
      <c r="BA82" s="48">
        <v>0.02</v>
      </c>
      <c r="BB82" s="27">
        <f t="shared" si="64"/>
        <v>7.4061605790270997E-6</v>
      </c>
      <c r="BC82" s="48">
        <v>1E-3</v>
      </c>
      <c r="BD82" s="27">
        <f t="shared" si="65"/>
        <v>3.7030802895135499E-7</v>
      </c>
      <c r="BE82" s="48">
        <v>1E-3</v>
      </c>
      <c r="BF82" s="27">
        <f t="shared" si="66"/>
        <v>3.6588380716934485E-7</v>
      </c>
      <c r="BG82" s="48">
        <v>2E-3</v>
      </c>
      <c r="BH82" s="27">
        <f t="shared" si="67"/>
        <v>7.3176761433868969E-7</v>
      </c>
      <c r="BI82" s="52">
        <f t="shared" si="68"/>
        <v>9.6000000000000016E-2</v>
      </c>
      <c r="BJ82" s="52">
        <f t="shared" si="69"/>
        <v>9.4000000000000014E-2</v>
      </c>
      <c r="BK82" s="27">
        <f t="shared" si="70"/>
        <v>3.5713823207805717E-5</v>
      </c>
      <c r="BL82" s="27">
        <f t="shared" si="71"/>
        <v>3.4964817980373396E-5</v>
      </c>
      <c r="BM82">
        <v>3400</v>
      </c>
      <c r="BN82">
        <v>25</v>
      </c>
      <c r="BO82" t="s">
        <v>19</v>
      </c>
      <c r="BP82">
        <v>3400</v>
      </c>
      <c r="BQ82">
        <v>71</v>
      </c>
      <c r="BR82">
        <v>31</v>
      </c>
      <c r="BS82">
        <v>1.8</v>
      </c>
      <c r="BT82">
        <v>3.9</v>
      </c>
      <c r="BU82">
        <v>7.9</v>
      </c>
      <c r="BV82">
        <v>-114</v>
      </c>
      <c r="BW82">
        <v>7.21</v>
      </c>
      <c r="BX82">
        <v>1030</v>
      </c>
      <c r="BY82">
        <v>0.2</v>
      </c>
      <c r="BZ82">
        <v>0.01</v>
      </c>
      <c r="CA82" s="32">
        <v>13</v>
      </c>
      <c r="CB82" s="32">
        <f t="shared" si="72"/>
        <v>0.23276633840644584</v>
      </c>
      <c r="CC82" s="32">
        <f t="shared" si="73"/>
        <v>0.23276633840644584</v>
      </c>
      <c r="CD82" s="32">
        <v>0.05</v>
      </c>
      <c r="CE82" s="32">
        <f t="shared" si="74"/>
        <v>9.1024940833788468E-4</v>
      </c>
      <c r="CF82" s="32">
        <f t="shared" si="75"/>
        <v>1.8204988166757694E-3</v>
      </c>
      <c r="CG82" s="27">
        <v>45</v>
      </c>
      <c r="CH82" s="27">
        <f t="shared" si="76"/>
        <v>0.46845721424109932</v>
      </c>
      <c r="CI82" s="27">
        <f t="shared" si="77"/>
        <v>3.7476577139287945</v>
      </c>
      <c r="CJ82" s="58">
        <v>37</v>
      </c>
      <c r="CK82" s="58">
        <v>45.121951219512198</v>
      </c>
      <c r="CL82" s="58">
        <v>3.0814074536747866</v>
      </c>
      <c r="CM82" s="58">
        <v>3.0814074536747866</v>
      </c>
      <c r="CN82" s="28">
        <v>11</v>
      </c>
      <c r="CO82" s="28">
        <v>19.642857142857142</v>
      </c>
      <c r="CP82" s="28">
        <v>0.91609410784926082</v>
      </c>
      <c r="CQ82" s="28">
        <v>0.91609410784926082</v>
      </c>
      <c r="CR82" s="32">
        <f t="shared" si="78"/>
        <v>21.508224026650009</v>
      </c>
      <c r="CS82" s="32">
        <v>21.508224026650009</v>
      </c>
      <c r="CT82" s="32">
        <f t="shared" si="79"/>
        <v>34.508224026650012</v>
      </c>
      <c r="CU82" s="32">
        <f t="shared" si="80"/>
        <v>0.61787330396866624</v>
      </c>
      <c r="CV82" s="32">
        <f t="shared" si="81"/>
        <v>0.61787330396866624</v>
      </c>
      <c r="CW82" s="60">
        <f t="shared" si="82"/>
        <v>6.3943368727878402</v>
      </c>
      <c r="CX82" s="60">
        <v>6.3943368727878402</v>
      </c>
      <c r="CY82" s="60">
        <f t="shared" si="83"/>
        <v>19.394336872787839</v>
      </c>
      <c r="CZ82" s="60">
        <f t="shared" si="84"/>
        <v>0.34725759843845727</v>
      </c>
      <c r="DA82" s="60">
        <f t="shared" si="85"/>
        <v>0.34725759843845727</v>
      </c>
      <c r="DB82" s="32">
        <f t="shared" si="86"/>
        <v>3.7476577139287945</v>
      </c>
      <c r="DC82">
        <f t="shared" si="87"/>
        <v>3.7011012564601287</v>
      </c>
      <c r="DD82">
        <f t="shared" si="88"/>
        <v>4.9188030548965916E-4</v>
      </c>
      <c r="DE82">
        <f t="shared" si="89"/>
        <v>0.16694309643384989</v>
      </c>
      <c r="DF82">
        <f t="shared" si="90"/>
        <v>0.8325650232606604</v>
      </c>
      <c r="DG82">
        <f t="shared" si="91"/>
        <v>1.2651722051043939</v>
      </c>
      <c r="DH82">
        <f t="shared" si="92"/>
        <v>1.4389336165708394E-3</v>
      </c>
      <c r="DI82">
        <f t="shared" si="93"/>
        <v>0.27447457115911256</v>
      </c>
      <c r="DJ82">
        <f t="shared" si="94"/>
        <v>0.72408649522431656</v>
      </c>
      <c r="DK82" s="64">
        <f t="shared" si="95"/>
        <v>-2.7432372696322038</v>
      </c>
      <c r="DL82" s="64">
        <f t="shared" si="96"/>
        <v>-0.30730821827646893</v>
      </c>
      <c r="DM82" s="64">
        <f t="shared" si="97"/>
        <v>-2.7432023048142233</v>
      </c>
      <c r="DN82" s="64">
        <f t="shared" si="98"/>
        <v>-0.30727325345848855</v>
      </c>
      <c r="DO82" t="str">
        <f t="shared" si="99"/>
        <v>Sufficient Capacity</v>
      </c>
      <c r="DP82" t="str">
        <f t="shared" si="100"/>
        <v>Sufficient Capacity</v>
      </c>
    </row>
    <row r="83" spans="1:120" ht="15.75" x14ac:dyDescent="0.25">
      <c r="A83" s="5" t="s">
        <v>136</v>
      </c>
      <c r="B83" s="5" t="s">
        <v>136</v>
      </c>
      <c r="C83" s="2" t="s">
        <v>859</v>
      </c>
      <c r="D83" s="2" t="s">
        <v>525</v>
      </c>
      <c r="E83" s="2" t="s">
        <v>525</v>
      </c>
      <c r="F83" s="2">
        <v>82</v>
      </c>
      <c r="G83" s="2" t="s">
        <v>858</v>
      </c>
      <c r="H83" s="10" t="s">
        <v>656</v>
      </c>
      <c r="I83" s="2">
        <v>150</v>
      </c>
      <c r="J83" s="2">
        <v>65</v>
      </c>
      <c r="K83" s="13">
        <v>5</v>
      </c>
      <c r="L83" t="s">
        <v>309</v>
      </c>
      <c r="M83" s="2" t="s">
        <v>1120</v>
      </c>
      <c r="N83" s="2" t="s">
        <v>435</v>
      </c>
      <c r="O83" s="2" t="s">
        <v>666</v>
      </c>
      <c r="P83" s="2" t="s">
        <v>1132</v>
      </c>
      <c r="Q83" s="9" t="s">
        <v>670</v>
      </c>
      <c r="R83" s="2" t="str">
        <f t="shared" si="50"/>
        <v>CW_1_Section_2</v>
      </c>
      <c r="S83" s="2" t="str">
        <f t="shared" si="51"/>
        <v>CW_1_MF06</v>
      </c>
      <c r="T83" s="11" t="s">
        <v>845</v>
      </c>
      <c r="U83" s="1">
        <v>45705</v>
      </c>
      <c r="V83" s="2" t="s">
        <v>799</v>
      </c>
      <c r="W83" s="2" t="s">
        <v>663</v>
      </c>
      <c r="X83" s="2" t="s">
        <v>844</v>
      </c>
      <c r="Y83" s="2" t="str">
        <f t="shared" si="52"/>
        <v>T3_0.60-0.80</v>
      </c>
      <c r="Z83" t="s">
        <v>25</v>
      </c>
      <c r="AA83">
        <v>11</v>
      </c>
      <c r="AB83">
        <v>11</v>
      </c>
      <c r="AC83">
        <v>630</v>
      </c>
      <c r="AD83" s="32">
        <f t="shared" si="53"/>
        <v>0.24196645755985149</v>
      </c>
      <c r="AE83">
        <v>5</v>
      </c>
      <c r="AF83" s="32">
        <f t="shared" si="54"/>
        <v>1.9535489472541786E-3</v>
      </c>
      <c r="AG83">
        <v>370</v>
      </c>
      <c r="AH83" s="32">
        <f t="shared" si="55"/>
        <v>0.14636903079966093</v>
      </c>
      <c r="AI83">
        <v>110</v>
      </c>
      <c r="AJ83" s="32">
        <f t="shared" si="56"/>
        <v>4.3515117264764057E-2</v>
      </c>
      <c r="AK83">
        <v>130</v>
      </c>
      <c r="AL83" s="32">
        <f t="shared" si="57"/>
        <v>5.1426956767448434E-2</v>
      </c>
      <c r="AM83">
        <v>240</v>
      </c>
      <c r="AO83" s="49">
        <v>1275</v>
      </c>
      <c r="AP83" s="49">
        <f t="shared" si="58"/>
        <v>0.39028903730676662</v>
      </c>
      <c r="AQ83">
        <v>2500</v>
      </c>
      <c r="AR83" s="32">
        <f t="shared" si="59"/>
        <v>0.93625653429039557</v>
      </c>
      <c r="AS83" s="48">
        <v>5600</v>
      </c>
      <c r="AT83" s="27">
        <f t="shared" si="60"/>
        <v>2.0972146368104863</v>
      </c>
      <c r="AU83" s="48">
        <v>200</v>
      </c>
      <c r="AV83" s="27">
        <f t="shared" si="61"/>
        <v>7.3592220251002038E-2</v>
      </c>
      <c r="AW83" s="48">
        <v>230</v>
      </c>
      <c r="AX83" s="27">
        <f t="shared" si="62"/>
        <v>8.6505414694248106E-2</v>
      </c>
      <c r="AY83" s="48">
        <v>86</v>
      </c>
      <c r="AZ83" s="27">
        <f t="shared" si="63"/>
        <v>3.2077968956804238E-2</v>
      </c>
      <c r="BA83" s="48">
        <v>29</v>
      </c>
      <c r="BB83" s="27">
        <f t="shared" si="64"/>
        <v>1.0738932839589295E-2</v>
      </c>
      <c r="BC83" s="48">
        <v>1</v>
      </c>
      <c r="BD83" s="27">
        <f t="shared" si="65"/>
        <v>3.70308028951355E-4</v>
      </c>
      <c r="BE83" s="48">
        <v>0.04</v>
      </c>
      <c r="BF83" s="27">
        <f t="shared" si="66"/>
        <v>1.4635352286773795E-5</v>
      </c>
      <c r="BG83" s="48">
        <v>0.02</v>
      </c>
      <c r="BH83" s="27">
        <f t="shared" si="67"/>
        <v>7.3176761433868973E-6</v>
      </c>
      <c r="BI83" s="52">
        <f t="shared" si="68"/>
        <v>6146.06</v>
      </c>
      <c r="BJ83" s="52">
        <f t="shared" si="69"/>
        <v>546.05999999999995</v>
      </c>
      <c r="BK83" s="27">
        <f t="shared" si="70"/>
        <v>2.3005214346095118</v>
      </c>
      <c r="BL83" s="27">
        <f t="shared" si="71"/>
        <v>0.20330679779902519</v>
      </c>
      <c r="BM83">
        <v>6000</v>
      </c>
      <c r="BN83">
        <v>1500</v>
      </c>
      <c r="BO83" t="s">
        <v>19</v>
      </c>
      <c r="BP83">
        <v>7500</v>
      </c>
      <c r="BQ83">
        <v>71</v>
      </c>
      <c r="BR83">
        <v>33</v>
      </c>
      <c r="BS83">
        <v>1.6</v>
      </c>
      <c r="BT83">
        <v>0.66</v>
      </c>
      <c r="BU83">
        <v>8</v>
      </c>
      <c r="BV83">
        <v>-128</v>
      </c>
      <c r="BW83">
        <v>7.22</v>
      </c>
      <c r="BX83">
        <v>1132</v>
      </c>
      <c r="BY83">
        <v>1</v>
      </c>
      <c r="BZ83">
        <v>0.01</v>
      </c>
      <c r="CA83" s="32">
        <v>1.6</v>
      </c>
      <c r="CB83" s="32">
        <f t="shared" si="72"/>
        <v>2.864816472694718E-2</v>
      </c>
      <c r="CC83" s="32">
        <f t="shared" si="73"/>
        <v>2.864816472694718E-2</v>
      </c>
      <c r="CD83" s="32">
        <v>2.5</v>
      </c>
      <c r="CE83" s="32">
        <f t="shared" si="74"/>
        <v>4.5512470416894227E-2</v>
      </c>
      <c r="CF83" s="32">
        <f t="shared" si="75"/>
        <v>9.1024940833788454E-2</v>
      </c>
      <c r="CG83" s="27">
        <v>58</v>
      </c>
      <c r="CH83" s="27">
        <f t="shared" si="76"/>
        <v>0.60378929835519468</v>
      </c>
      <c r="CI83" s="27">
        <f t="shared" si="77"/>
        <v>4.8303143868415575</v>
      </c>
      <c r="CJ83" s="58">
        <v>24</v>
      </c>
      <c r="CK83" s="58">
        <v>29.268292682926827</v>
      </c>
      <c r="CL83" s="58">
        <v>1.9987507807620237</v>
      </c>
      <c r="CM83" s="58">
        <v>1.9987507807620237</v>
      </c>
      <c r="CN83" s="28">
        <v>15</v>
      </c>
      <c r="CO83" s="28">
        <v>20.547945205479451</v>
      </c>
      <c r="CP83" s="28">
        <v>1.2492192379762648</v>
      </c>
      <c r="CQ83" s="28">
        <v>1.2492192379762648</v>
      </c>
      <c r="CR83" s="32">
        <f t="shared" si="78"/>
        <v>13.951280449718926</v>
      </c>
      <c r="CS83" s="32">
        <v>13.951280449718926</v>
      </c>
      <c r="CT83" s="32">
        <f t="shared" si="79"/>
        <v>15.551280449718925</v>
      </c>
      <c r="CU83" s="32">
        <f t="shared" si="80"/>
        <v>0.27844727752406312</v>
      </c>
      <c r="CV83" s="32">
        <f t="shared" si="81"/>
        <v>0.27844727752406312</v>
      </c>
      <c r="CW83" s="60">
        <f t="shared" si="82"/>
        <v>8.7195502810743282</v>
      </c>
      <c r="CX83" s="60">
        <v>8.7195502810743282</v>
      </c>
      <c r="CY83" s="60">
        <f t="shared" si="83"/>
        <v>10.319550281074328</v>
      </c>
      <c r="CZ83" s="60">
        <f t="shared" si="84"/>
        <v>0.18477261022514463</v>
      </c>
      <c r="DA83" s="60">
        <f t="shared" si="85"/>
        <v>0.18477261022514463</v>
      </c>
      <c r="DB83" s="32">
        <f t="shared" si="86"/>
        <v>4.8303143868415575</v>
      </c>
      <c r="DC83">
        <f t="shared" si="87"/>
        <v>2.3682229991198751</v>
      </c>
      <c r="DD83">
        <f t="shared" si="88"/>
        <v>3.8435966911738E-2</v>
      </c>
      <c r="DE83">
        <f t="shared" si="89"/>
        <v>0.11757646033652451</v>
      </c>
      <c r="DF83">
        <f t="shared" si="90"/>
        <v>0.84398757275173752</v>
      </c>
      <c r="DG83">
        <f t="shared" si="91"/>
        <v>1.525016789035198</v>
      </c>
      <c r="DH83">
        <f t="shared" si="92"/>
        <v>5.9687828677201245E-2</v>
      </c>
      <c r="DI83">
        <f t="shared" si="93"/>
        <v>0.12116103347428787</v>
      </c>
      <c r="DJ83">
        <f t="shared" si="94"/>
        <v>0.81915113784851079</v>
      </c>
      <c r="DK83" s="64">
        <f t="shared" si="95"/>
        <v>-1.041677427522713</v>
      </c>
      <c r="DL83" s="64">
        <f t="shared" si="96"/>
        <v>-0.19847121743803586</v>
      </c>
      <c r="DM83" s="64">
        <f t="shared" si="97"/>
        <v>-0.8383706297236877</v>
      </c>
      <c r="DN83" s="64">
        <f t="shared" si="98"/>
        <v>4.835580360989411E-3</v>
      </c>
      <c r="DO83" t="str">
        <f t="shared" si="99"/>
        <v>Sufficient Capacity</v>
      </c>
      <c r="DP83" t="str">
        <f t="shared" si="100"/>
        <v>Insufficient Capacity</v>
      </c>
    </row>
    <row r="84" spans="1:120" ht="15.75" x14ac:dyDescent="0.25">
      <c r="A84" s="5" t="s">
        <v>137</v>
      </c>
      <c r="B84" s="5" t="s">
        <v>137</v>
      </c>
      <c r="C84" s="2" t="s">
        <v>861</v>
      </c>
      <c r="D84" s="2" t="s">
        <v>526</v>
      </c>
      <c r="E84" s="2" t="s">
        <v>526</v>
      </c>
      <c r="F84" s="2">
        <v>83</v>
      </c>
      <c r="G84" s="2" t="s">
        <v>860</v>
      </c>
      <c r="H84" s="10" t="s">
        <v>656</v>
      </c>
      <c r="I84" s="2">
        <v>150</v>
      </c>
      <c r="J84" s="2">
        <v>65</v>
      </c>
      <c r="K84" s="13">
        <v>7.1</v>
      </c>
      <c r="L84" t="s">
        <v>311</v>
      </c>
      <c r="M84" s="2" t="s">
        <v>1120</v>
      </c>
      <c r="N84" s="2" t="s">
        <v>435</v>
      </c>
      <c r="O84" s="2" t="s">
        <v>673</v>
      </c>
      <c r="P84" s="2" t="s">
        <v>1127</v>
      </c>
      <c r="Q84" s="9" t="s">
        <v>674</v>
      </c>
      <c r="R84" s="2" t="str">
        <f t="shared" si="50"/>
        <v>CW_1_Section_3</v>
      </c>
      <c r="S84" s="2" t="str">
        <f t="shared" si="51"/>
        <v>CW_1_MF09</v>
      </c>
      <c r="T84" s="11" t="s">
        <v>845</v>
      </c>
      <c r="U84" s="1">
        <v>45706</v>
      </c>
      <c r="V84" s="2" t="s">
        <v>799</v>
      </c>
      <c r="W84" s="2" t="s">
        <v>655</v>
      </c>
      <c r="X84" s="2" t="s">
        <v>844</v>
      </c>
      <c r="Y84" s="2" t="str">
        <f t="shared" si="52"/>
        <v>T3_0.15-0.30</v>
      </c>
      <c r="Z84" t="s">
        <v>21</v>
      </c>
      <c r="AA84">
        <v>8.1999999999999993</v>
      </c>
      <c r="AB84">
        <v>8.8000000000000007</v>
      </c>
      <c r="AC84">
        <v>730</v>
      </c>
      <c r="AD84" s="32">
        <f t="shared" si="53"/>
        <v>0.28037383177570091</v>
      </c>
      <c r="AE84">
        <v>6.9</v>
      </c>
      <c r="AF84" s="32">
        <f t="shared" si="54"/>
        <v>2.6958975472107663E-3</v>
      </c>
      <c r="AG84">
        <v>360</v>
      </c>
      <c r="AH84" s="32">
        <f t="shared" si="55"/>
        <v>0.14241311104831872</v>
      </c>
      <c r="AI84">
        <v>220</v>
      </c>
      <c r="AJ84" s="32">
        <f t="shared" si="56"/>
        <v>8.7030234529528114E-2</v>
      </c>
      <c r="AK84">
        <v>120</v>
      </c>
      <c r="AL84" s="32">
        <f t="shared" si="57"/>
        <v>4.7471037016106249E-2</v>
      </c>
      <c r="AM84">
        <v>340</v>
      </c>
      <c r="AO84" s="49">
        <v>1436.9</v>
      </c>
      <c r="AP84" s="49">
        <f t="shared" si="58"/>
        <v>0.42548284037123041</v>
      </c>
      <c r="AQ84">
        <v>1200</v>
      </c>
      <c r="AR84" s="32">
        <f t="shared" si="59"/>
        <v>0.44940313645938984</v>
      </c>
      <c r="AS84" s="48">
        <v>0.28999999999999998</v>
      </c>
      <c r="AT84" s="27">
        <f t="shared" si="60"/>
        <v>1.0860575797768587E-4</v>
      </c>
      <c r="AU84" s="48">
        <v>0.01</v>
      </c>
      <c r="AV84" s="27">
        <f t="shared" si="61"/>
        <v>3.6796110125501018E-6</v>
      </c>
      <c r="AW84" s="48">
        <v>0.11</v>
      </c>
      <c r="AX84" s="27">
        <f t="shared" si="62"/>
        <v>4.1372154853770834E-5</v>
      </c>
      <c r="AY84" s="48">
        <v>7.0000000000000007E-2</v>
      </c>
      <c r="AZ84" s="27">
        <f t="shared" si="63"/>
        <v>2.6109974732282519E-5</v>
      </c>
      <c r="BA84" s="48">
        <v>0.04</v>
      </c>
      <c r="BB84" s="27">
        <f t="shared" si="64"/>
        <v>1.4812321158054199E-5</v>
      </c>
      <c r="BC84" s="48">
        <v>1E-3</v>
      </c>
      <c r="BD84" s="27">
        <f t="shared" si="65"/>
        <v>3.7030802895135499E-7</v>
      </c>
      <c r="BE84" s="48">
        <v>1E-3</v>
      </c>
      <c r="BF84" s="27">
        <f t="shared" si="66"/>
        <v>3.6588380716934485E-7</v>
      </c>
      <c r="BG84" s="48">
        <v>2E-3</v>
      </c>
      <c r="BH84" s="27">
        <f t="shared" si="67"/>
        <v>7.3176761433868969E-7</v>
      </c>
      <c r="BI84" s="52">
        <f t="shared" si="68"/>
        <v>0.52400000000000002</v>
      </c>
      <c r="BJ84" s="52">
        <f t="shared" si="69"/>
        <v>0.23400000000000001</v>
      </c>
      <c r="BK84" s="27">
        <f t="shared" si="70"/>
        <v>1.9604777918480294E-4</v>
      </c>
      <c r="BL84" s="27">
        <f t="shared" si="71"/>
        <v>8.7442021207117057E-5</v>
      </c>
      <c r="BM84">
        <v>1300</v>
      </c>
      <c r="BN84">
        <v>2.5</v>
      </c>
      <c r="BO84" t="s">
        <v>19</v>
      </c>
      <c r="BP84">
        <v>1300</v>
      </c>
      <c r="BQ84">
        <v>69</v>
      </c>
      <c r="BR84">
        <v>27</v>
      </c>
      <c r="BS84">
        <v>1.5</v>
      </c>
      <c r="BT84">
        <v>6.58</v>
      </c>
      <c r="BU84">
        <v>7.4</v>
      </c>
      <c r="BV84">
        <v>-100</v>
      </c>
      <c r="BW84">
        <v>7.11</v>
      </c>
      <c r="BX84">
        <v>1004</v>
      </c>
      <c r="BY84">
        <v>0.1</v>
      </c>
      <c r="BZ84">
        <v>0.01</v>
      </c>
      <c r="CA84" s="32">
        <v>14</v>
      </c>
      <c r="CB84" s="32">
        <f t="shared" si="72"/>
        <v>0.25067144136078784</v>
      </c>
      <c r="CC84" s="32">
        <f t="shared" si="73"/>
        <v>0.25067144136078784</v>
      </c>
      <c r="CD84" s="32">
        <v>3.5</v>
      </c>
      <c r="CE84" s="32">
        <f t="shared" si="74"/>
        <v>6.3717458583651923E-2</v>
      </c>
      <c r="CF84" s="32">
        <f t="shared" si="75"/>
        <v>0.12743491716730385</v>
      </c>
      <c r="CG84" s="27">
        <v>38</v>
      </c>
      <c r="CH84" s="27">
        <f t="shared" si="76"/>
        <v>0.39558609202581718</v>
      </c>
      <c r="CI84" s="27">
        <f t="shared" si="77"/>
        <v>3.1646887362065375</v>
      </c>
      <c r="CJ84" s="58">
        <v>44</v>
      </c>
      <c r="CK84" s="58">
        <v>53.658536585365859</v>
      </c>
      <c r="CL84" s="58">
        <v>3.6643764313970433</v>
      </c>
      <c r="CM84" s="58">
        <v>3.6643764313970433</v>
      </c>
      <c r="CN84" s="28">
        <v>7</v>
      </c>
      <c r="CO84" s="28">
        <v>15.555555555555555</v>
      </c>
      <c r="CP84" s="28">
        <v>0.58296897772225686</v>
      </c>
      <c r="CQ84" s="28">
        <v>0.58296897772225686</v>
      </c>
      <c r="CR84" s="32">
        <f t="shared" si="78"/>
        <v>25.577347491151361</v>
      </c>
      <c r="CS84" s="32">
        <v>25.577347491151361</v>
      </c>
      <c r="CT84" s="32">
        <f t="shared" si="79"/>
        <v>39.577347491151357</v>
      </c>
      <c r="CU84" s="32">
        <f t="shared" si="80"/>
        <v>0.70863648148883362</v>
      </c>
      <c r="CV84" s="32">
        <f t="shared" si="81"/>
        <v>0.70863648148883362</v>
      </c>
      <c r="CW84" s="60">
        <f t="shared" si="82"/>
        <v>4.0691234645013532</v>
      </c>
      <c r="CX84" s="60">
        <v>4.0691234645013532</v>
      </c>
      <c r="CY84" s="60">
        <f t="shared" si="83"/>
        <v>18.069123464501352</v>
      </c>
      <c r="CZ84" s="60">
        <f t="shared" si="84"/>
        <v>0.32352951592661328</v>
      </c>
      <c r="DA84" s="60">
        <f t="shared" si="85"/>
        <v>0.32352951592661328</v>
      </c>
      <c r="DB84" s="32">
        <f t="shared" si="86"/>
        <v>3.1646887362065375</v>
      </c>
      <c r="DC84">
        <f t="shared" si="87"/>
        <v>4.5004478300531812</v>
      </c>
      <c r="DD84">
        <f t="shared" si="88"/>
        <v>2.8316052530665145E-2</v>
      </c>
      <c r="DE84">
        <f t="shared" si="89"/>
        <v>0.15745910368223506</v>
      </c>
      <c r="DF84">
        <f t="shared" si="90"/>
        <v>0.81422484378709969</v>
      </c>
      <c r="DG84">
        <f t="shared" si="91"/>
        <v>1.033933410816174</v>
      </c>
      <c r="DH84">
        <f t="shared" si="92"/>
        <v>0.12325253815592277</v>
      </c>
      <c r="DI84">
        <f t="shared" si="93"/>
        <v>0.31291136599524644</v>
      </c>
      <c r="DJ84">
        <f t="shared" si="94"/>
        <v>0.56383609584883088</v>
      </c>
      <c r="DK84" s="64">
        <f t="shared" si="95"/>
        <v>-3.6255618532225609</v>
      </c>
      <c r="DL84" s="64">
        <f t="shared" si="96"/>
        <v>-0.15904743398555365</v>
      </c>
      <c r="DM84" s="64">
        <f t="shared" si="97"/>
        <v>-3.6254744112013535</v>
      </c>
      <c r="DN84" s="64">
        <f t="shared" si="98"/>
        <v>-0.15895999196434651</v>
      </c>
      <c r="DO84" t="str">
        <f t="shared" si="99"/>
        <v>Sufficient Capacity</v>
      </c>
      <c r="DP84" t="str">
        <f t="shared" si="100"/>
        <v>Sufficient Capacity</v>
      </c>
    </row>
    <row r="85" spans="1:120" ht="15.75" x14ac:dyDescent="0.25">
      <c r="A85" s="5" t="s">
        <v>138</v>
      </c>
      <c r="B85" s="5" t="s">
        <v>138</v>
      </c>
      <c r="C85" s="2" t="s">
        <v>863</v>
      </c>
      <c r="D85" s="2" t="s">
        <v>527</v>
      </c>
      <c r="E85" s="2" t="s">
        <v>527</v>
      </c>
      <c r="F85" s="2">
        <v>84</v>
      </c>
      <c r="G85" s="2" t="s">
        <v>862</v>
      </c>
      <c r="H85" s="10" t="s">
        <v>656</v>
      </c>
      <c r="I85" s="2">
        <v>150</v>
      </c>
      <c r="J85" s="2">
        <v>65</v>
      </c>
      <c r="K85" s="13">
        <v>4.2</v>
      </c>
      <c r="L85" t="s">
        <v>310</v>
      </c>
      <c r="M85" s="2" t="s">
        <v>1120</v>
      </c>
      <c r="N85" s="2" t="s">
        <v>435</v>
      </c>
      <c r="O85" s="2" t="s">
        <v>673</v>
      </c>
      <c r="P85" s="2" t="s">
        <v>1128</v>
      </c>
      <c r="Q85" s="9" t="s">
        <v>677</v>
      </c>
      <c r="R85" s="2" t="str">
        <f t="shared" si="50"/>
        <v>CW_1_Section_3</v>
      </c>
      <c r="S85" s="2" t="str">
        <f t="shared" si="51"/>
        <v>CW_1_MF10</v>
      </c>
      <c r="T85" s="11" t="s">
        <v>845</v>
      </c>
      <c r="U85" s="1">
        <v>45705</v>
      </c>
      <c r="V85" s="2" t="s">
        <v>799</v>
      </c>
      <c r="W85" s="2" t="s">
        <v>663</v>
      </c>
      <c r="X85" s="2" t="s">
        <v>844</v>
      </c>
      <c r="Y85" s="2" t="str">
        <f t="shared" si="52"/>
        <v>T3_0.60-0.80</v>
      </c>
      <c r="Z85" t="s">
        <v>23</v>
      </c>
      <c r="AA85">
        <v>11</v>
      </c>
      <c r="AB85">
        <v>11</v>
      </c>
      <c r="AC85">
        <v>510</v>
      </c>
      <c r="AD85" s="32">
        <f t="shared" si="53"/>
        <v>0.19587760850083216</v>
      </c>
      <c r="AE85">
        <v>5</v>
      </c>
      <c r="AF85" s="32">
        <f t="shared" si="54"/>
        <v>1.9535489472541786E-3</v>
      </c>
      <c r="AG85">
        <v>430</v>
      </c>
      <c r="AH85" s="32">
        <f t="shared" si="55"/>
        <v>0.17010454930771404</v>
      </c>
      <c r="AI85">
        <v>150</v>
      </c>
      <c r="AJ85" s="32">
        <f t="shared" si="56"/>
        <v>5.9338796270132804E-2</v>
      </c>
      <c r="AK85">
        <v>150</v>
      </c>
      <c r="AL85" s="32">
        <f t="shared" si="57"/>
        <v>5.9338796270132804E-2</v>
      </c>
      <c r="AM85">
        <v>300</v>
      </c>
      <c r="AO85" s="49">
        <v>1275</v>
      </c>
      <c r="AP85" s="49">
        <f t="shared" si="58"/>
        <v>0.3679357067558004</v>
      </c>
      <c r="AQ85">
        <v>2900</v>
      </c>
      <c r="AR85" s="32">
        <f t="shared" si="59"/>
        <v>1.0860575797768588</v>
      </c>
      <c r="AS85" s="48">
        <v>4500</v>
      </c>
      <c r="AT85" s="27">
        <f t="shared" si="60"/>
        <v>1.6852617617227121</v>
      </c>
      <c r="AU85" s="48">
        <v>150</v>
      </c>
      <c r="AV85" s="27">
        <f t="shared" si="61"/>
        <v>5.5194165188251522E-2</v>
      </c>
      <c r="AW85" s="48">
        <v>140</v>
      </c>
      <c r="AX85" s="27">
        <f t="shared" si="62"/>
        <v>5.2655469813890153E-2</v>
      </c>
      <c r="AY85" s="48">
        <v>48</v>
      </c>
      <c r="AZ85" s="27">
        <f t="shared" si="63"/>
        <v>1.7903982673565154E-2</v>
      </c>
      <c r="BA85" s="48">
        <v>18</v>
      </c>
      <c r="BB85" s="27">
        <f t="shared" si="64"/>
        <v>6.66554452112439E-3</v>
      </c>
      <c r="BC85" s="48">
        <v>0.53</v>
      </c>
      <c r="BD85" s="27">
        <f t="shared" si="65"/>
        <v>1.9626325534421817E-4</v>
      </c>
      <c r="BE85" s="48">
        <v>0.05</v>
      </c>
      <c r="BF85" s="27">
        <f t="shared" si="66"/>
        <v>1.8294190358467248E-5</v>
      </c>
      <c r="BG85" s="48">
        <v>0.03</v>
      </c>
      <c r="BH85" s="27">
        <f t="shared" si="67"/>
        <v>1.0976514215080345E-5</v>
      </c>
      <c r="BI85" s="52">
        <f t="shared" si="68"/>
        <v>4856.6099999999997</v>
      </c>
      <c r="BJ85" s="52">
        <f t="shared" si="69"/>
        <v>356.60999999999996</v>
      </c>
      <c r="BK85" s="27">
        <f t="shared" si="70"/>
        <v>1.817906457879461</v>
      </c>
      <c r="BL85" s="27">
        <f t="shared" si="71"/>
        <v>0.13264469615674901</v>
      </c>
      <c r="BM85">
        <v>5000</v>
      </c>
      <c r="BN85">
        <v>1200</v>
      </c>
      <c r="BO85" t="s">
        <v>19</v>
      </c>
      <c r="BP85">
        <v>6100</v>
      </c>
      <c r="BQ85">
        <v>71</v>
      </c>
      <c r="BR85">
        <v>31</v>
      </c>
      <c r="BS85">
        <v>1.3</v>
      </c>
      <c r="BT85">
        <v>0.73</v>
      </c>
      <c r="BU85">
        <v>8.3000000000000007</v>
      </c>
      <c r="BV85">
        <v>-109</v>
      </c>
      <c r="BW85">
        <v>7.3</v>
      </c>
      <c r="BX85">
        <v>1080</v>
      </c>
      <c r="BY85">
        <v>0.2</v>
      </c>
      <c r="BZ85">
        <v>0.01</v>
      </c>
      <c r="CA85" s="32">
        <v>1</v>
      </c>
      <c r="CB85" s="32">
        <f t="shared" si="72"/>
        <v>1.7905102954341987E-2</v>
      </c>
      <c r="CC85" s="32">
        <f t="shared" si="73"/>
        <v>1.7905102954341987E-2</v>
      </c>
      <c r="CD85" s="32">
        <v>1.3</v>
      </c>
      <c r="CE85" s="32">
        <f t="shared" si="74"/>
        <v>2.3666484616785E-2</v>
      </c>
      <c r="CF85" s="32">
        <f t="shared" si="75"/>
        <v>4.7332969233569999E-2</v>
      </c>
      <c r="CG85" s="27">
        <v>62</v>
      </c>
      <c r="CH85" s="27">
        <f t="shared" si="76"/>
        <v>0.6454299396210702</v>
      </c>
      <c r="CI85" s="27">
        <f t="shared" si="77"/>
        <v>5.1634395169685616</v>
      </c>
      <c r="CJ85" s="58">
        <v>20</v>
      </c>
      <c r="CK85" s="58">
        <v>24.390243902439025</v>
      </c>
      <c r="CL85" s="58">
        <v>1.6656256506350198</v>
      </c>
      <c r="CM85" s="58">
        <v>1.6656256506350198</v>
      </c>
      <c r="CN85" s="28">
        <v>-4</v>
      </c>
      <c r="CO85" s="28">
        <v>-6.8965517241379306</v>
      </c>
      <c r="CP85" s="28">
        <v>-0.33312513012700395</v>
      </c>
      <c r="CR85" s="32">
        <f t="shared" si="78"/>
        <v>11.626067041432437</v>
      </c>
      <c r="CS85" s="32">
        <v>11.626067041432437</v>
      </c>
      <c r="CT85" s="32">
        <f t="shared" si="79"/>
        <v>12.626067041432437</v>
      </c>
      <c r="CU85" s="32">
        <f t="shared" si="80"/>
        <v>0.22607103028527192</v>
      </c>
      <c r="CV85" s="32">
        <f t="shared" si="81"/>
        <v>0.22607103028527192</v>
      </c>
      <c r="CW85" s="60">
        <f t="shared" si="82"/>
        <v>-2.3252134082864875</v>
      </c>
      <c r="CY85" s="60">
        <f t="shared" si="83"/>
        <v>1</v>
      </c>
      <c r="CZ85" s="60">
        <f t="shared" si="84"/>
        <v>1.7905102954341987E-2</v>
      </c>
      <c r="DA85" s="60">
        <f t="shared" si="85"/>
        <v>1.7905102954341987E-2</v>
      </c>
      <c r="DB85" s="32">
        <f t="shared" si="86"/>
        <v>5.1634395169685616</v>
      </c>
      <c r="DC85">
        <f t="shared" si="87"/>
        <v>1.9390296501538618</v>
      </c>
      <c r="DD85">
        <f t="shared" si="88"/>
        <v>2.441064747504719E-2</v>
      </c>
      <c r="DE85">
        <f t="shared" si="89"/>
        <v>0.11658977482233612</v>
      </c>
      <c r="DF85">
        <f t="shared" si="90"/>
        <v>0.8589995777026167</v>
      </c>
      <c r="DG85">
        <f t="shared" si="91"/>
        <v>6.5238072187911986E-2</v>
      </c>
      <c r="DH85">
        <f t="shared" si="92"/>
        <v>0.72554212051563904</v>
      </c>
      <c r="DI85">
        <f t="shared" si="93"/>
        <v>0.27445787948436096</v>
      </c>
      <c r="DJ85">
        <f t="shared" si="94"/>
        <v>0</v>
      </c>
      <c r="DK85" s="64">
        <f t="shared" si="95"/>
        <v>-0.4850363636212025</v>
      </c>
      <c r="DL85" s="64">
        <f t="shared" si="96"/>
        <v>1.3887552143447472</v>
      </c>
      <c r="DM85" s="64">
        <f t="shared" si="97"/>
        <v>-0.35239166746445361</v>
      </c>
      <c r="DN85" s="64">
        <f t="shared" si="98"/>
        <v>1.5213999105014961</v>
      </c>
      <c r="DO85" t="str">
        <f t="shared" si="99"/>
        <v>Sufficient Capacity</v>
      </c>
      <c r="DP85" t="str">
        <f t="shared" si="100"/>
        <v>Insufficient Capacity</v>
      </c>
    </row>
    <row r="86" spans="1:120" ht="15.75" x14ac:dyDescent="0.25">
      <c r="A86" s="5" t="s">
        <v>139</v>
      </c>
      <c r="B86" s="5" t="s">
        <v>139</v>
      </c>
      <c r="C86" s="2" t="s">
        <v>865</v>
      </c>
      <c r="D86" s="2" t="s">
        <v>528</v>
      </c>
      <c r="E86" s="2" t="s">
        <v>528</v>
      </c>
      <c r="F86" s="2">
        <v>85</v>
      </c>
      <c r="G86" s="2" t="s">
        <v>864</v>
      </c>
      <c r="H86" s="10" t="s">
        <v>656</v>
      </c>
      <c r="I86" s="2">
        <v>150</v>
      </c>
      <c r="J86" s="2">
        <v>65</v>
      </c>
      <c r="K86" s="13">
        <v>4.4000000000000004</v>
      </c>
      <c r="L86" t="s">
        <v>312</v>
      </c>
      <c r="M86" s="2" t="s">
        <v>1120</v>
      </c>
      <c r="N86" s="2" t="s">
        <v>436</v>
      </c>
      <c r="O86" s="2" t="s">
        <v>653</v>
      </c>
      <c r="P86" s="2" t="s">
        <v>1123</v>
      </c>
      <c r="Q86" s="9" t="s">
        <v>713</v>
      </c>
      <c r="R86" s="2" t="str">
        <f t="shared" si="50"/>
        <v>CW_2_Section_1</v>
      </c>
      <c r="S86" s="2" t="str">
        <f t="shared" si="51"/>
        <v>CW_2_MF01</v>
      </c>
      <c r="T86" s="11" t="s">
        <v>845</v>
      </c>
      <c r="U86" s="1">
        <v>45706</v>
      </c>
      <c r="V86" s="2" t="s">
        <v>799</v>
      </c>
      <c r="W86" s="2" t="s">
        <v>655</v>
      </c>
      <c r="X86" s="2" t="s">
        <v>844</v>
      </c>
      <c r="Y86" s="2" t="str">
        <f t="shared" si="52"/>
        <v>T3_0.15-0.30</v>
      </c>
      <c r="Z86" t="s">
        <v>41</v>
      </c>
      <c r="AA86">
        <v>11</v>
      </c>
      <c r="AB86">
        <v>11</v>
      </c>
      <c r="AC86">
        <v>730</v>
      </c>
      <c r="AD86" s="32">
        <f t="shared" si="53"/>
        <v>0.28037383177570091</v>
      </c>
      <c r="AE86">
        <v>2</v>
      </c>
      <c r="AF86" s="32">
        <f t="shared" si="54"/>
        <v>7.8141957890167139E-4</v>
      </c>
      <c r="AG86">
        <v>740</v>
      </c>
      <c r="AH86" s="32">
        <f t="shared" si="55"/>
        <v>0.29273806159932186</v>
      </c>
      <c r="AI86">
        <v>230</v>
      </c>
      <c r="AJ86" s="32">
        <f t="shared" si="56"/>
        <v>9.0986154280870299E-2</v>
      </c>
      <c r="AK86">
        <v>290</v>
      </c>
      <c r="AL86" s="32">
        <f t="shared" si="57"/>
        <v>0.11472167278892344</v>
      </c>
      <c r="AM86">
        <v>520</v>
      </c>
      <c r="AO86" s="49">
        <v>2004</v>
      </c>
      <c r="AP86" s="49">
        <f t="shared" si="58"/>
        <v>0.57389331295392443</v>
      </c>
      <c r="AQ86">
        <v>4700</v>
      </c>
      <c r="AR86" s="32">
        <f t="shared" si="59"/>
        <v>1.7601622844659439</v>
      </c>
      <c r="AS86" s="48">
        <v>1500</v>
      </c>
      <c r="AT86" s="27">
        <f t="shared" si="60"/>
        <v>0.56175392057423734</v>
      </c>
      <c r="AU86" s="48">
        <v>4</v>
      </c>
      <c r="AV86" s="27">
        <f t="shared" si="61"/>
        <v>1.4718444050200407E-3</v>
      </c>
      <c r="AW86" s="48">
        <v>0.74</v>
      </c>
      <c r="AX86" s="27">
        <f t="shared" si="62"/>
        <v>2.7832176901627654E-4</v>
      </c>
      <c r="AY86" s="48">
        <v>0.1</v>
      </c>
      <c r="AZ86" s="27">
        <f t="shared" si="63"/>
        <v>3.729996390326074E-5</v>
      </c>
      <c r="BA86" s="48">
        <v>0.04</v>
      </c>
      <c r="BB86" s="27">
        <f t="shared" si="64"/>
        <v>1.4812321158054199E-5</v>
      </c>
      <c r="BC86" s="48">
        <v>1E-3</v>
      </c>
      <c r="BD86" s="27">
        <f t="shared" si="65"/>
        <v>3.7030802895135499E-7</v>
      </c>
      <c r="BE86" s="48">
        <v>1E-3</v>
      </c>
      <c r="BF86" s="27">
        <f t="shared" si="66"/>
        <v>3.6588380716934485E-7</v>
      </c>
      <c r="BG86" s="48">
        <v>2E-3</v>
      </c>
      <c r="BH86" s="27">
        <f t="shared" si="67"/>
        <v>7.3176761433868969E-7</v>
      </c>
      <c r="BI86" s="52">
        <f t="shared" si="68"/>
        <v>1504.8839999999998</v>
      </c>
      <c r="BJ86" s="52">
        <f t="shared" si="69"/>
        <v>4.8840000000000003</v>
      </c>
      <c r="BK86" s="27">
        <f t="shared" si="70"/>
        <v>0.56355766699278542</v>
      </c>
      <c r="BL86" s="27">
        <f t="shared" si="71"/>
        <v>1.8037464185480915E-3</v>
      </c>
      <c r="BM86">
        <v>5800</v>
      </c>
      <c r="BN86">
        <v>340</v>
      </c>
      <c r="BO86" t="s">
        <v>19</v>
      </c>
      <c r="BP86">
        <v>6200</v>
      </c>
      <c r="BQ86">
        <v>69</v>
      </c>
      <c r="BR86">
        <v>30</v>
      </c>
      <c r="BS86">
        <v>1.5</v>
      </c>
      <c r="BT86">
        <v>2.8</v>
      </c>
      <c r="BU86">
        <v>7.3</v>
      </c>
      <c r="BV86">
        <v>-108</v>
      </c>
      <c r="BW86">
        <v>7.09</v>
      </c>
      <c r="BX86">
        <v>944</v>
      </c>
      <c r="BY86">
        <v>0.2</v>
      </c>
      <c r="BZ86">
        <v>0.01</v>
      </c>
      <c r="CA86" s="32">
        <v>5.2</v>
      </c>
      <c r="CB86" s="32">
        <f t="shared" si="72"/>
        <v>9.3106535362578333E-2</v>
      </c>
      <c r="CC86" s="32">
        <f t="shared" si="73"/>
        <v>9.3106535362578333E-2</v>
      </c>
      <c r="CD86" s="32">
        <v>1.4</v>
      </c>
      <c r="CE86" s="32">
        <f t="shared" si="74"/>
        <v>2.5486983433460765E-2</v>
      </c>
      <c r="CF86" s="32">
        <f t="shared" si="75"/>
        <v>5.097396686692153E-2</v>
      </c>
      <c r="CG86" s="27">
        <v>68</v>
      </c>
      <c r="CH86" s="27">
        <f t="shared" si="76"/>
        <v>0.70789090151988343</v>
      </c>
      <c r="CI86" s="27">
        <f t="shared" si="77"/>
        <v>5.6631272121590674</v>
      </c>
      <c r="CJ86" s="58">
        <v>14</v>
      </c>
      <c r="CK86" s="58">
        <v>17.073170731707318</v>
      </c>
      <c r="CL86" s="58">
        <v>1.1659379554445137</v>
      </c>
      <c r="CM86" s="58">
        <v>1.1659379554445137</v>
      </c>
      <c r="CN86" s="28">
        <v>14</v>
      </c>
      <c r="CO86" s="28">
        <v>17.073170731707318</v>
      </c>
      <c r="CP86" s="28">
        <v>1.1659379554445137</v>
      </c>
      <c r="CQ86" s="28">
        <v>1.1659379554445137</v>
      </c>
      <c r="CR86" s="32">
        <f t="shared" si="78"/>
        <v>8.1382469290027064</v>
      </c>
      <c r="CS86" s="32">
        <v>8.1382469290027064</v>
      </c>
      <c r="CT86" s="32">
        <f t="shared" si="79"/>
        <v>13.338246929002707</v>
      </c>
      <c r="CU86" s="32">
        <f t="shared" si="80"/>
        <v>0.2388226844942293</v>
      </c>
      <c r="CV86" s="32">
        <f t="shared" si="81"/>
        <v>0.2388226844942293</v>
      </c>
      <c r="CW86" s="60">
        <f t="shared" si="82"/>
        <v>8.1382469290027064</v>
      </c>
      <c r="CX86" s="60">
        <v>8.1382469290027064</v>
      </c>
      <c r="CY86" s="60">
        <f t="shared" si="83"/>
        <v>13.338246929002707</v>
      </c>
      <c r="CZ86" s="60">
        <f t="shared" si="84"/>
        <v>0.2388226844942293</v>
      </c>
      <c r="DA86" s="60">
        <f t="shared" si="85"/>
        <v>0.2388226844942293</v>
      </c>
      <c r="DB86" s="32">
        <f t="shared" si="86"/>
        <v>5.6631272121590674</v>
      </c>
      <c r="DC86">
        <f t="shared" si="87"/>
        <v>1.4557346068056645</v>
      </c>
      <c r="DD86">
        <f t="shared" si="88"/>
        <v>3.5015975184360219E-2</v>
      </c>
      <c r="DE86">
        <f t="shared" si="89"/>
        <v>0.16405647250379018</v>
      </c>
      <c r="DF86">
        <f t="shared" si="90"/>
        <v>0.80092755231184964</v>
      </c>
      <c r="DG86">
        <f t="shared" si="91"/>
        <v>1.4557346068056645</v>
      </c>
      <c r="DH86">
        <f t="shared" si="92"/>
        <v>3.5015975184360219E-2</v>
      </c>
      <c r="DI86">
        <f t="shared" si="93"/>
        <v>0.16405647250379018</v>
      </c>
      <c r="DJ86">
        <f t="shared" si="94"/>
        <v>0.80092755231184964</v>
      </c>
      <c r="DK86" s="64">
        <f t="shared" si="95"/>
        <v>0.87832099061420399</v>
      </c>
      <c r="DL86" s="64">
        <f t="shared" si="96"/>
        <v>0.87832099061420399</v>
      </c>
      <c r="DM86" s="64">
        <f t="shared" si="97"/>
        <v>0.88012473703275207</v>
      </c>
      <c r="DN86" s="64">
        <f t="shared" si="98"/>
        <v>0.88012473703275207</v>
      </c>
      <c r="DO86" t="str">
        <f t="shared" si="99"/>
        <v>Insufficient Capacity</v>
      </c>
      <c r="DP86" t="str">
        <f t="shared" si="100"/>
        <v>Insufficient Capacity</v>
      </c>
    </row>
    <row r="87" spans="1:120" ht="15.75" x14ac:dyDescent="0.25">
      <c r="A87" s="5" t="s">
        <v>140</v>
      </c>
      <c r="B87" s="5" t="s">
        <v>140</v>
      </c>
      <c r="C87" s="2" t="s">
        <v>867</v>
      </c>
      <c r="D87" s="2" t="s">
        <v>529</v>
      </c>
      <c r="E87" s="2" t="s">
        <v>529</v>
      </c>
      <c r="F87" s="2">
        <v>86</v>
      </c>
      <c r="G87" s="2" t="s">
        <v>866</v>
      </c>
      <c r="H87" s="10" t="s">
        <v>656</v>
      </c>
      <c r="I87" s="2">
        <v>150</v>
      </c>
      <c r="J87" s="2">
        <v>65</v>
      </c>
      <c r="K87" s="13">
        <v>3.25</v>
      </c>
      <c r="L87" t="s">
        <v>313</v>
      </c>
      <c r="M87" s="2" t="s">
        <v>1120</v>
      </c>
      <c r="N87" s="2" t="s">
        <v>436</v>
      </c>
      <c r="O87" s="2" t="s">
        <v>653</v>
      </c>
      <c r="P87" s="2" t="s">
        <v>1124</v>
      </c>
      <c r="Q87" s="9" t="s">
        <v>716</v>
      </c>
      <c r="R87" s="2" t="str">
        <f t="shared" si="50"/>
        <v>CW_2_Section_1</v>
      </c>
      <c r="S87" s="2" t="str">
        <f t="shared" si="51"/>
        <v>CW_2_MF02</v>
      </c>
      <c r="T87" s="11" t="s">
        <v>845</v>
      </c>
      <c r="U87" s="1">
        <v>45706</v>
      </c>
      <c r="V87" s="2" t="s">
        <v>799</v>
      </c>
      <c r="W87" s="2" t="s">
        <v>663</v>
      </c>
      <c r="X87" s="2" t="s">
        <v>844</v>
      </c>
      <c r="Y87" s="2" t="str">
        <f t="shared" si="52"/>
        <v>T3_0.60-0.80</v>
      </c>
      <c r="Z87" t="s">
        <v>43</v>
      </c>
      <c r="AA87">
        <v>13</v>
      </c>
      <c r="AB87">
        <v>13</v>
      </c>
      <c r="AC87">
        <v>540</v>
      </c>
      <c r="AD87" s="32">
        <f t="shared" si="53"/>
        <v>0.207399820765587</v>
      </c>
      <c r="AE87">
        <v>120</v>
      </c>
      <c r="AF87" s="32">
        <f t="shared" si="54"/>
        <v>4.6885174734100282E-2</v>
      </c>
      <c r="AG87">
        <v>590</v>
      </c>
      <c r="AH87" s="32">
        <f t="shared" si="55"/>
        <v>0.23339926532918903</v>
      </c>
      <c r="AI87">
        <v>200</v>
      </c>
      <c r="AJ87" s="32">
        <f t="shared" si="56"/>
        <v>7.9118395026843744E-2</v>
      </c>
      <c r="AK87">
        <v>340</v>
      </c>
      <c r="AL87" s="32">
        <f t="shared" si="57"/>
        <v>0.13450127154563435</v>
      </c>
      <c r="AM87">
        <v>540</v>
      </c>
      <c r="AO87" s="49">
        <v>1790</v>
      </c>
      <c r="AP87" s="49">
        <f t="shared" si="58"/>
        <v>0.48768426082887634</v>
      </c>
      <c r="AQ87">
        <v>4400</v>
      </c>
      <c r="AR87" s="32">
        <f t="shared" si="59"/>
        <v>1.647811500351096</v>
      </c>
      <c r="AS87" s="48">
        <v>7600</v>
      </c>
      <c r="AT87" s="27">
        <f t="shared" si="60"/>
        <v>2.8462198642428027</v>
      </c>
      <c r="AU87" s="48">
        <v>480</v>
      </c>
      <c r="AV87" s="27">
        <f t="shared" si="61"/>
        <v>0.1766213286024049</v>
      </c>
      <c r="AW87" s="48">
        <v>310</v>
      </c>
      <c r="AX87" s="27">
        <f t="shared" si="62"/>
        <v>0.11659425458789963</v>
      </c>
      <c r="AY87" s="48">
        <v>150</v>
      </c>
      <c r="AZ87" s="27">
        <f t="shared" si="63"/>
        <v>5.594994585489111E-2</v>
      </c>
      <c r="BA87" s="48">
        <v>73</v>
      </c>
      <c r="BB87" s="27">
        <f t="shared" si="64"/>
        <v>2.7032486113448915E-2</v>
      </c>
      <c r="BC87" s="48">
        <v>11</v>
      </c>
      <c r="BD87" s="27">
        <f t="shared" si="65"/>
        <v>4.0733883184649045E-3</v>
      </c>
      <c r="BE87" s="48">
        <v>0.94</v>
      </c>
      <c r="BF87" s="27">
        <f t="shared" si="66"/>
        <v>3.4393077873918414E-4</v>
      </c>
      <c r="BG87" s="48">
        <v>0.77</v>
      </c>
      <c r="BH87" s="27">
        <f t="shared" si="67"/>
        <v>2.8173053152039557E-4</v>
      </c>
      <c r="BI87" s="52">
        <f t="shared" si="68"/>
        <v>8625.7100000000009</v>
      </c>
      <c r="BJ87" s="52">
        <f t="shared" si="69"/>
        <v>1025.71</v>
      </c>
      <c r="BK87" s="27">
        <f t="shared" si="70"/>
        <v>3.227116929030172</v>
      </c>
      <c r="BL87" s="27">
        <f t="shared" si="71"/>
        <v>0.38089706478736901</v>
      </c>
      <c r="BM87">
        <v>6500</v>
      </c>
      <c r="BN87">
        <v>2400</v>
      </c>
      <c r="BO87" t="s">
        <v>19</v>
      </c>
      <c r="BP87">
        <v>8900</v>
      </c>
      <c r="BQ87">
        <v>71</v>
      </c>
      <c r="BR87">
        <v>28</v>
      </c>
      <c r="BS87">
        <v>1.3</v>
      </c>
      <c r="BT87">
        <v>0.42</v>
      </c>
      <c r="BU87">
        <v>7</v>
      </c>
      <c r="BV87">
        <v>-152</v>
      </c>
      <c r="BW87">
        <v>7.21</v>
      </c>
      <c r="BX87">
        <v>1059</v>
      </c>
      <c r="BY87">
        <v>0.2</v>
      </c>
      <c r="BZ87">
        <v>0.01</v>
      </c>
      <c r="CA87" s="32">
        <v>0.3</v>
      </c>
      <c r="CB87" s="32">
        <f t="shared" si="72"/>
        <v>5.3715308863025958E-3</v>
      </c>
      <c r="CC87" s="32">
        <f t="shared" si="73"/>
        <v>5.3715308863025958E-3</v>
      </c>
      <c r="CD87" s="32">
        <v>0.7</v>
      </c>
      <c r="CE87" s="32">
        <f t="shared" si="74"/>
        <v>1.2743491716730383E-2</v>
      </c>
      <c r="CF87" s="32">
        <f t="shared" si="75"/>
        <v>2.5486983433460765E-2</v>
      </c>
      <c r="CG87" s="27">
        <v>73</v>
      </c>
      <c r="CH87" s="27">
        <f t="shared" si="76"/>
        <v>0.75994170310222775</v>
      </c>
      <c r="CI87" s="27">
        <f t="shared" si="77"/>
        <v>6.079533624817822</v>
      </c>
      <c r="CJ87" s="58">
        <v>9</v>
      </c>
      <c r="CK87" s="58">
        <v>10.975609756097562</v>
      </c>
      <c r="CL87" s="58">
        <v>0.74953154278575884</v>
      </c>
      <c r="CM87" s="58">
        <v>0.74953154278575884</v>
      </c>
      <c r="CN87" s="28">
        <v>9</v>
      </c>
      <c r="CO87" s="28">
        <v>10.975609756097562</v>
      </c>
      <c r="CP87" s="28">
        <v>0.74953154278575884</v>
      </c>
      <c r="CQ87" s="28">
        <v>0.74953154278575884</v>
      </c>
      <c r="CR87" s="32">
        <f t="shared" si="78"/>
        <v>5.2317301686445967</v>
      </c>
      <c r="CS87" s="32">
        <v>5.2317301686445967</v>
      </c>
      <c r="CT87" s="32">
        <f t="shared" si="79"/>
        <v>5.5317301686445965</v>
      </c>
      <c r="CU87" s="32">
        <f t="shared" si="80"/>
        <v>9.9046198185221063E-2</v>
      </c>
      <c r="CV87" s="32">
        <f t="shared" si="81"/>
        <v>9.9046198185221063E-2</v>
      </c>
      <c r="CW87" s="60">
        <f t="shared" si="82"/>
        <v>5.2317301686445967</v>
      </c>
      <c r="CX87" s="60">
        <v>5.2317301686445967</v>
      </c>
      <c r="CY87" s="60">
        <f t="shared" si="83"/>
        <v>5.5317301686445965</v>
      </c>
      <c r="CZ87" s="60">
        <f t="shared" si="84"/>
        <v>9.9046198185221063E-2</v>
      </c>
      <c r="DA87" s="60">
        <f t="shared" si="85"/>
        <v>9.9046198185221063E-2</v>
      </c>
      <c r="DB87" s="32">
        <f t="shared" si="86"/>
        <v>6.079533624817822</v>
      </c>
      <c r="DC87">
        <f t="shared" si="87"/>
        <v>0.87406472440444061</v>
      </c>
      <c r="DD87">
        <f t="shared" si="88"/>
        <v>2.9159148884342369E-2</v>
      </c>
      <c r="DE87">
        <f t="shared" si="89"/>
        <v>0.11331677783096433</v>
      </c>
      <c r="DF87">
        <f t="shared" si="90"/>
        <v>0.85752407328469338</v>
      </c>
      <c r="DG87">
        <f t="shared" si="91"/>
        <v>0.87406472440444061</v>
      </c>
      <c r="DH87">
        <f t="shared" si="92"/>
        <v>2.9159148884342369E-2</v>
      </c>
      <c r="DI87">
        <f t="shared" si="93"/>
        <v>0.11331677783096433</v>
      </c>
      <c r="DJ87">
        <f t="shared" si="94"/>
        <v>0.85752407328469338</v>
      </c>
      <c r="DK87" s="64">
        <f t="shared" si="95"/>
        <v>1.2614310367755319</v>
      </c>
      <c r="DL87" s="64">
        <f t="shared" si="96"/>
        <v>1.2614310367755319</v>
      </c>
      <c r="DM87" s="64">
        <f t="shared" si="97"/>
        <v>1.6423281015629008</v>
      </c>
      <c r="DN87" s="64">
        <f t="shared" si="98"/>
        <v>1.6423281015629008</v>
      </c>
      <c r="DO87" t="str">
        <f t="shared" si="99"/>
        <v>Insufficient Capacity</v>
      </c>
      <c r="DP87" t="str">
        <f t="shared" si="100"/>
        <v>Insufficient Capacity</v>
      </c>
    </row>
    <row r="88" spans="1:120" ht="15.75" x14ac:dyDescent="0.25">
      <c r="A88" s="5" t="s">
        <v>141</v>
      </c>
      <c r="B88" s="5" t="s">
        <v>141</v>
      </c>
      <c r="C88" s="2" t="s">
        <v>869</v>
      </c>
      <c r="D88" s="2" t="s">
        <v>530</v>
      </c>
      <c r="E88" s="2" t="s">
        <v>530</v>
      </c>
      <c r="F88" s="2">
        <v>87</v>
      </c>
      <c r="G88" s="2" t="s">
        <v>868</v>
      </c>
      <c r="H88" s="10" t="s">
        <v>656</v>
      </c>
      <c r="I88" s="2">
        <v>150</v>
      </c>
      <c r="J88" s="2">
        <v>65</v>
      </c>
      <c r="K88" s="13">
        <v>8</v>
      </c>
      <c r="L88" t="s">
        <v>314</v>
      </c>
      <c r="M88" s="2" t="s">
        <v>1120</v>
      </c>
      <c r="N88" s="2" t="s">
        <v>436</v>
      </c>
      <c r="O88" s="2" t="s">
        <v>666</v>
      </c>
      <c r="P88" s="2" t="s">
        <v>1131</v>
      </c>
      <c r="Q88" s="9" t="s">
        <v>719</v>
      </c>
      <c r="R88" s="2" t="str">
        <f t="shared" si="50"/>
        <v>CW_2_Section_2</v>
      </c>
      <c r="S88" s="2" t="str">
        <f t="shared" si="51"/>
        <v>CW_2_MF05</v>
      </c>
      <c r="T88" s="11" t="s">
        <v>845</v>
      </c>
      <c r="U88" s="1">
        <v>45706</v>
      </c>
      <c r="V88" s="2" t="s">
        <v>799</v>
      </c>
      <c r="W88" s="2" t="s">
        <v>655</v>
      </c>
      <c r="X88" s="2" t="s">
        <v>844</v>
      </c>
      <c r="Y88" s="2" t="str">
        <f t="shared" si="52"/>
        <v>T3_0.15-0.30</v>
      </c>
      <c r="Z88" t="s">
        <v>35</v>
      </c>
      <c r="AA88">
        <v>14</v>
      </c>
      <c r="AB88">
        <v>14</v>
      </c>
      <c r="AC88">
        <v>180</v>
      </c>
      <c r="AD88" s="32">
        <f t="shared" si="53"/>
        <v>6.9133273588528998E-2</v>
      </c>
      <c r="AE88">
        <v>1.8</v>
      </c>
      <c r="AF88" s="32">
        <f t="shared" si="54"/>
        <v>7.0327762101150425E-4</v>
      </c>
      <c r="AG88">
        <v>30</v>
      </c>
      <c r="AH88" s="32">
        <f t="shared" si="55"/>
        <v>1.1867759254026562E-2</v>
      </c>
      <c r="AI88">
        <v>15</v>
      </c>
      <c r="AJ88" s="32">
        <f t="shared" si="56"/>
        <v>5.9338796270132811E-3</v>
      </c>
      <c r="AK88">
        <v>9.9</v>
      </c>
      <c r="AL88" s="32">
        <f t="shared" si="57"/>
        <v>3.9163605538287656E-3</v>
      </c>
      <c r="AM88">
        <v>24.9</v>
      </c>
      <c r="AO88" s="49">
        <v>236.7</v>
      </c>
      <c r="AP88" s="49">
        <f t="shared" si="58"/>
        <v>8.1704310463567076E-2</v>
      </c>
      <c r="AQ88">
        <v>19</v>
      </c>
      <c r="AR88" s="32">
        <f t="shared" si="59"/>
        <v>7.1155496606070054E-3</v>
      </c>
      <c r="AS88" s="48">
        <v>13</v>
      </c>
      <c r="AT88" s="27">
        <f t="shared" si="60"/>
        <v>4.8685339783100566E-3</v>
      </c>
      <c r="AU88" s="48">
        <v>0.18</v>
      </c>
      <c r="AV88" s="27">
        <f t="shared" si="61"/>
        <v>6.6232998225901826E-5</v>
      </c>
      <c r="AW88" s="48">
        <v>0.01</v>
      </c>
      <c r="AX88" s="27">
        <f t="shared" si="62"/>
        <v>3.7611049867064394E-6</v>
      </c>
      <c r="AY88" s="48">
        <v>5.0000000000000001E-3</v>
      </c>
      <c r="AZ88" s="27">
        <f t="shared" si="63"/>
        <v>1.8649981951630372E-6</v>
      </c>
      <c r="BA88" s="48">
        <v>1E-3</v>
      </c>
      <c r="BB88" s="27">
        <f t="shared" si="64"/>
        <v>3.7030802895135499E-7</v>
      </c>
      <c r="BC88" s="48">
        <v>1E-3</v>
      </c>
      <c r="BD88" s="27">
        <f t="shared" si="65"/>
        <v>3.7030802895135499E-7</v>
      </c>
      <c r="BE88" s="48">
        <v>1E-3</v>
      </c>
      <c r="BF88" s="27">
        <f t="shared" si="66"/>
        <v>3.6588380716934485E-7</v>
      </c>
      <c r="BG88" s="48">
        <v>2E-3</v>
      </c>
      <c r="BH88" s="27">
        <f t="shared" si="67"/>
        <v>7.3176761433868969E-7</v>
      </c>
      <c r="BI88" s="52">
        <f t="shared" si="68"/>
        <v>13.2</v>
      </c>
      <c r="BJ88" s="52">
        <f t="shared" si="69"/>
        <v>0.2</v>
      </c>
      <c r="BK88" s="27">
        <f t="shared" si="70"/>
        <v>4.9422313471972389E-3</v>
      </c>
      <c r="BL88" s="27">
        <f t="shared" si="71"/>
        <v>7.3697368887182054E-5</v>
      </c>
      <c r="BM88">
        <v>2.5</v>
      </c>
      <c r="BN88">
        <v>2.5</v>
      </c>
      <c r="BO88" t="s">
        <v>19</v>
      </c>
      <c r="BP88">
        <v>50</v>
      </c>
      <c r="BQ88">
        <v>60</v>
      </c>
      <c r="BR88">
        <v>14</v>
      </c>
      <c r="BS88">
        <v>2.2999999999999998</v>
      </c>
      <c r="BT88">
        <v>0.61</v>
      </c>
      <c r="BU88">
        <v>7.2</v>
      </c>
      <c r="BV88">
        <v>-135</v>
      </c>
      <c r="BW88">
        <v>7.08</v>
      </c>
      <c r="BX88">
        <v>920</v>
      </c>
      <c r="BY88">
        <v>0.1</v>
      </c>
      <c r="BZ88">
        <v>0.01</v>
      </c>
      <c r="CA88" s="32">
        <v>31</v>
      </c>
      <c r="CB88" s="32">
        <f t="shared" si="72"/>
        <v>0.55505819158460157</v>
      </c>
      <c r="CC88" s="32">
        <f t="shared" si="73"/>
        <v>0.55505819158460157</v>
      </c>
      <c r="CD88" s="32">
        <v>5.6</v>
      </c>
      <c r="CE88" s="32">
        <f t="shared" si="74"/>
        <v>0.10194793373384306</v>
      </c>
      <c r="CF88" s="32">
        <f t="shared" si="75"/>
        <v>0.20389586746768612</v>
      </c>
      <c r="CG88" s="27">
        <v>6.2</v>
      </c>
      <c r="CH88" s="27">
        <f t="shared" si="76"/>
        <v>6.4542993962107012E-2</v>
      </c>
      <c r="CI88" s="27">
        <f t="shared" si="77"/>
        <v>0.5163439516968561</v>
      </c>
      <c r="CJ88" s="58">
        <v>75.8</v>
      </c>
      <c r="CK88" s="58">
        <v>92.439024390243901</v>
      </c>
      <c r="CL88" s="58">
        <v>6.3127212159067243</v>
      </c>
      <c r="CM88" s="58">
        <v>6.3127212159067243</v>
      </c>
      <c r="CN88" s="28">
        <v>61.8</v>
      </c>
      <c r="CO88" s="28">
        <v>90.882352941176464</v>
      </c>
      <c r="CP88" s="28">
        <v>5.146783260462211</v>
      </c>
      <c r="CQ88" s="28">
        <v>5.146783260462211</v>
      </c>
      <c r="CR88" s="32">
        <f t="shared" si="78"/>
        <v>44.062794087028934</v>
      </c>
      <c r="CS88" s="32">
        <v>44.062794087028934</v>
      </c>
      <c r="CT88" s="32">
        <f t="shared" si="79"/>
        <v>75.062794087028934</v>
      </c>
      <c r="CU88" s="32">
        <f t="shared" si="80"/>
        <v>1.344007056168826</v>
      </c>
      <c r="CV88" s="32">
        <f t="shared" si="81"/>
        <v>1.344007056168826</v>
      </c>
      <c r="CW88" s="60">
        <f t="shared" si="82"/>
        <v>35.924547158026229</v>
      </c>
      <c r="CX88" s="60">
        <v>35.924547158026229</v>
      </c>
      <c r="CY88" s="60">
        <f t="shared" si="83"/>
        <v>66.924547158026229</v>
      </c>
      <c r="CZ88" s="60">
        <f t="shared" si="84"/>
        <v>1.198290907037175</v>
      </c>
      <c r="DA88" s="60">
        <f t="shared" si="85"/>
        <v>1.198290907037175</v>
      </c>
      <c r="DB88" s="32">
        <f t="shared" si="86"/>
        <v>0.5163439516968561</v>
      </c>
      <c r="DC88">
        <f t="shared" si="87"/>
        <v>7.8606241395432361</v>
      </c>
      <c r="DD88">
        <f t="shared" si="88"/>
        <v>2.5938890328311013E-2</v>
      </c>
      <c r="DE88">
        <f t="shared" si="89"/>
        <v>0.17097968714821712</v>
      </c>
      <c r="DF88">
        <f t="shared" si="90"/>
        <v>0.80308142252347192</v>
      </c>
      <c r="DG88">
        <f t="shared" si="91"/>
        <v>6.5489700349670716</v>
      </c>
      <c r="DH88">
        <f t="shared" si="92"/>
        <v>3.1134035791738252E-2</v>
      </c>
      <c r="DI88">
        <f t="shared" si="93"/>
        <v>0.18297394867270911</v>
      </c>
      <c r="DJ88">
        <f t="shared" si="94"/>
        <v>0.78589201553555266</v>
      </c>
      <c r="DK88" s="64">
        <f t="shared" si="95"/>
        <v>-7.7718042794190616</v>
      </c>
      <c r="DL88" s="64">
        <f t="shared" si="96"/>
        <v>-6.460150174842898</v>
      </c>
      <c r="DM88" s="64">
        <f t="shared" si="97"/>
        <v>-7.771730582050175</v>
      </c>
      <c r="DN88" s="64">
        <f t="shared" si="98"/>
        <v>-6.4600764774740105</v>
      </c>
      <c r="DO88" t="str">
        <f t="shared" si="99"/>
        <v>Sufficient Capacity</v>
      </c>
      <c r="DP88" t="str">
        <f t="shared" si="100"/>
        <v>Sufficient Capacity</v>
      </c>
    </row>
    <row r="89" spans="1:120" ht="15.75" x14ac:dyDescent="0.25">
      <c r="A89" s="5" t="s">
        <v>142</v>
      </c>
      <c r="B89" s="5" t="s">
        <v>142</v>
      </c>
      <c r="C89" s="2" t="s">
        <v>871</v>
      </c>
      <c r="D89" s="2" t="s">
        <v>531</v>
      </c>
      <c r="E89" s="2" t="s">
        <v>531</v>
      </c>
      <c r="F89" s="2">
        <v>88</v>
      </c>
      <c r="G89" s="2" t="s">
        <v>870</v>
      </c>
      <c r="H89" s="10" t="s">
        <v>656</v>
      </c>
      <c r="I89" s="2">
        <v>150</v>
      </c>
      <c r="J89" s="2">
        <v>65</v>
      </c>
      <c r="K89" s="13">
        <v>4.45</v>
      </c>
      <c r="L89" t="s">
        <v>315</v>
      </c>
      <c r="M89" s="2" t="s">
        <v>1120</v>
      </c>
      <c r="N89" s="2" t="s">
        <v>436</v>
      </c>
      <c r="O89" s="2" t="s">
        <v>666</v>
      </c>
      <c r="P89" s="2" t="s">
        <v>1132</v>
      </c>
      <c r="Q89" s="9" t="s">
        <v>722</v>
      </c>
      <c r="R89" s="2" t="str">
        <f t="shared" si="50"/>
        <v>CW_2_Section_2</v>
      </c>
      <c r="S89" s="2" t="str">
        <f t="shared" si="51"/>
        <v>CW_2_MF06</v>
      </c>
      <c r="T89" s="11" t="s">
        <v>845</v>
      </c>
      <c r="U89" s="1">
        <v>45706</v>
      </c>
      <c r="V89" s="2" t="s">
        <v>799</v>
      </c>
      <c r="W89" s="2" t="s">
        <v>663</v>
      </c>
      <c r="X89" s="2" t="s">
        <v>844</v>
      </c>
      <c r="Y89" s="2" t="str">
        <f t="shared" si="52"/>
        <v>T3_0.60-0.80</v>
      </c>
      <c r="Z89" t="s">
        <v>37</v>
      </c>
      <c r="AA89">
        <v>11</v>
      </c>
      <c r="AB89">
        <v>11</v>
      </c>
      <c r="AC89">
        <v>710</v>
      </c>
      <c r="AD89" s="32">
        <f t="shared" si="53"/>
        <v>0.27269235693253108</v>
      </c>
      <c r="AE89">
        <v>2</v>
      </c>
      <c r="AF89" s="32">
        <f t="shared" si="54"/>
        <v>7.8141957890167139E-4</v>
      </c>
      <c r="AG89">
        <v>710</v>
      </c>
      <c r="AH89" s="32">
        <f t="shared" si="55"/>
        <v>0.28087030234529531</v>
      </c>
      <c r="AI89">
        <v>250</v>
      </c>
      <c r="AJ89" s="32">
        <f t="shared" si="56"/>
        <v>9.8897993783554669E-2</v>
      </c>
      <c r="AK89">
        <v>300</v>
      </c>
      <c r="AL89" s="32">
        <f t="shared" si="57"/>
        <v>0.11867759254026561</v>
      </c>
      <c r="AM89">
        <v>550</v>
      </c>
      <c r="AO89" s="49">
        <v>1984</v>
      </c>
      <c r="AP89" s="49">
        <f t="shared" si="58"/>
        <v>0.55434407885672798</v>
      </c>
      <c r="AQ89">
        <v>3900</v>
      </c>
      <c r="AR89" s="32">
        <f t="shared" si="59"/>
        <v>1.460560193493017</v>
      </c>
      <c r="AS89" s="48">
        <v>3600</v>
      </c>
      <c r="AT89" s="27">
        <f t="shared" si="60"/>
        <v>1.3482094093781698</v>
      </c>
      <c r="AU89" s="48">
        <v>170</v>
      </c>
      <c r="AV89" s="27">
        <f t="shared" si="61"/>
        <v>6.2553387213351727E-2</v>
      </c>
      <c r="AW89" s="48">
        <v>91</v>
      </c>
      <c r="AX89" s="27">
        <f t="shared" si="62"/>
        <v>3.4226055379028592E-2</v>
      </c>
      <c r="AY89" s="48">
        <v>39</v>
      </c>
      <c r="AZ89" s="27">
        <f t="shared" si="63"/>
        <v>1.4546985922271688E-2</v>
      </c>
      <c r="BA89" s="48">
        <v>15</v>
      </c>
      <c r="BB89" s="27">
        <f t="shared" si="64"/>
        <v>5.5546204342703251E-3</v>
      </c>
      <c r="BC89" s="48">
        <v>0.7</v>
      </c>
      <c r="BD89" s="27">
        <f t="shared" si="65"/>
        <v>2.5921562026594844E-4</v>
      </c>
      <c r="BE89" s="48">
        <v>7.0000000000000007E-2</v>
      </c>
      <c r="BF89" s="27">
        <f t="shared" si="66"/>
        <v>2.5611866501854141E-5</v>
      </c>
      <c r="BG89" s="48">
        <v>0.05</v>
      </c>
      <c r="BH89" s="27">
        <f t="shared" si="67"/>
        <v>1.8294190358467248E-5</v>
      </c>
      <c r="BI89" s="52">
        <f t="shared" si="68"/>
        <v>3915.82</v>
      </c>
      <c r="BJ89" s="52">
        <f t="shared" si="69"/>
        <v>315.82</v>
      </c>
      <c r="BK89" s="27">
        <f t="shared" si="70"/>
        <v>1.4653935800042182</v>
      </c>
      <c r="BL89" s="27">
        <f t="shared" si="71"/>
        <v>0.11718417062604859</v>
      </c>
      <c r="BM89">
        <v>5300</v>
      </c>
      <c r="BN89">
        <v>1400</v>
      </c>
      <c r="BO89" t="s">
        <v>19</v>
      </c>
      <c r="BP89">
        <v>6700</v>
      </c>
      <c r="BQ89">
        <v>68</v>
      </c>
      <c r="BR89">
        <v>25</v>
      </c>
      <c r="BS89">
        <v>1.4</v>
      </c>
      <c r="BT89">
        <v>0.42</v>
      </c>
      <c r="BU89">
        <v>7.4</v>
      </c>
      <c r="BV89">
        <v>-138</v>
      </c>
      <c r="BW89">
        <v>7.08</v>
      </c>
      <c r="BX89">
        <v>110</v>
      </c>
      <c r="BY89">
        <v>0.2</v>
      </c>
      <c r="BZ89">
        <v>0.01</v>
      </c>
      <c r="CA89" s="32">
        <v>2.7</v>
      </c>
      <c r="CB89" s="32">
        <f t="shared" si="72"/>
        <v>4.8343777976723366E-2</v>
      </c>
      <c r="CC89" s="32">
        <f t="shared" si="73"/>
        <v>4.8343777976723366E-2</v>
      </c>
      <c r="CD89" s="32">
        <v>1.7</v>
      </c>
      <c r="CE89" s="32">
        <f t="shared" si="74"/>
        <v>3.0948479883488075E-2</v>
      </c>
      <c r="CF89" s="32">
        <f t="shared" si="75"/>
        <v>6.1896959766976151E-2</v>
      </c>
      <c r="CG89" s="27">
        <v>47</v>
      </c>
      <c r="CH89" s="27">
        <f t="shared" si="76"/>
        <v>0.48927753487403702</v>
      </c>
      <c r="CI89" s="27">
        <f t="shared" si="77"/>
        <v>3.9142202789922962</v>
      </c>
      <c r="CJ89" s="58">
        <v>35</v>
      </c>
      <c r="CK89" s="58">
        <v>42.68292682926829</v>
      </c>
      <c r="CL89" s="58">
        <v>2.9148448886112845</v>
      </c>
      <c r="CM89" s="58">
        <v>2.9148448886112845</v>
      </c>
      <c r="CN89" s="28">
        <v>26</v>
      </c>
      <c r="CO89" s="28">
        <v>35.61643835616438</v>
      </c>
      <c r="CP89" s="28">
        <v>2.1653133458255258</v>
      </c>
      <c r="CQ89" s="28">
        <v>2.1653133458255258</v>
      </c>
      <c r="CR89" s="32">
        <f t="shared" si="78"/>
        <v>20.345617322506765</v>
      </c>
      <c r="CS89" s="32">
        <v>20.345617322506765</v>
      </c>
      <c r="CT89" s="32">
        <f t="shared" si="79"/>
        <v>23.045617322506764</v>
      </c>
      <c r="CU89" s="32">
        <f t="shared" si="80"/>
        <v>0.41263415080585075</v>
      </c>
      <c r="CV89" s="32">
        <f t="shared" si="81"/>
        <v>0.41263415080585075</v>
      </c>
      <c r="CW89" s="60">
        <f t="shared" si="82"/>
        <v>15.113887153862169</v>
      </c>
      <c r="CX89" s="60">
        <v>15.113887153862169</v>
      </c>
      <c r="CY89" s="60">
        <f t="shared" si="83"/>
        <v>17.813887153862169</v>
      </c>
      <c r="CZ89" s="60">
        <f t="shared" si="84"/>
        <v>0.31895948350693226</v>
      </c>
      <c r="DA89" s="60">
        <f t="shared" si="85"/>
        <v>0.31895948350693226</v>
      </c>
      <c r="DB89" s="32">
        <f t="shared" si="86"/>
        <v>3.9142202789922962</v>
      </c>
      <c r="DC89">
        <f t="shared" si="87"/>
        <v>3.3893759991841117</v>
      </c>
      <c r="DD89">
        <f t="shared" si="88"/>
        <v>1.8262051711546889E-2</v>
      </c>
      <c r="DE89">
        <f t="shared" si="89"/>
        <v>0.12174339787181468</v>
      </c>
      <c r="DF89">
        <f t="shared" si="90"/>
        <v>0.8599945504166383</v>
      </c>
      <c r="DG89">
        <f t="shared" si="91"/>
        <v>2.5461697890994341</v>
      </c>
      <c r="DH89">
        <f t="shared" si="92"/>
        <v>2.430983198055647E-2</v>
      </c>
      <c r="DI89">
        <f t="shared" si="93"/>
        <v>0.12527031185133433</v>
      </c>
      <c r="DJ89">
        <f t="shared" si="94"/>
        <v>0.85041985616810922</v>
      </c>
      <c r="DK89" s="64">
        <f t="shared" si="95"/>
        <v>-1.3744717268343667</v>
      </c>
      <c r="DL89" s="64">
        <f t="shared" si="96"/>
        <v>-0.53126551674968914</v>
      </c>
      <c r="DM89" s="64">
        <f t="shared" si="97"/>
        <v>-1.2572875562083179</v>
      </c>
      <c r="DN89" s="64">
        <f t="shared" si="98"/>
        <v>-0.41408134612364034</v>
      </c>
      <c r="DO89" t="str">
        <f t="shared" si="99"/>
        <v>Sufficient Capacity</v>
      </c>
      <c r="DP89" t="str">
        <f t="shared" si="100"/>
        <v>Sufficient Capacity</v>
      </c>
    </row>
    <row r="90" spans="1:120" ht="15.75" x14ac:dyDescent="0.25">
      <c r="A90" s="5" t="s">
        <v>143</v>
      </c>
      <c r="B90" s="5" t="s">
        <v>143</v>
      </c>
      <c r="C90" s="2" t="s">
        <v>873</v>
      </c>
      <c r="D90" s="2" t="s">
        <v>532</v>
      </c>
      <c r="E90" s="2" t="s">
        <v>532</v>
      </c>
      <c r="F90" s="2">
        <v>89</v>
      </c>
      <c r="G90" s="2" t="s">
        <v>872</v>
      </c>
      <c r="H90" s="10" t="s">
        <v>656</v>
      </c>
      <c r="I90" s="2">
        <v>150</v>
      </c>
      <c r="J90" s="2">
        <v>65</v>
      </c>
      <c r="K90" s="13">
        <v>6.45</v>
      </c>
      <c r="L90" t="s">
        <v>316</v>
      </c>
      <c r="M90" s="2" t="s">
        <v>1120</v>
      </c>
      <c r="N90" s="2" t="s">
        <v>436</v>
      </c>
      <c r="O90" s="2" t="s">
        <v>673</v>
      </c>
      <c r="P90" s="2" t="s">
        <v>1127</v>
      </c>
      <c r="Q90" s="9" t="s">
        <v>725</v>
      </c>
      <c r="R90" s="2" t="str">
        <f t="shared" si="50"/>
        <v>CW_2_Section_3</v>
      </c>
      <c r="S90" s="2" t="str">
        <f t="shared" si="51"/>
        <v>CW_2_MF09</v>
      </c>
      <c r="T90" s="11" t="s">
        <v>845</v>
      </c>
      <c r="U90" s="1">
        <v>45706</v>
      </c>
      <c r="V90" s="2" t="s">
        <v>799</v>
      </c>
      <c r="W90" s="2" t="s">
        <v>655</v>
      </c>
      <c r="X90" s="2" t="s">
        <v>844</v>
      </c>
      <c r="Y90" s="2" t="str">
        <f t="shared" si="52"/>
        <v>T3_0.15-0.30</v>
      </c>
      <c r="Z90" t="s">
        <v>45</v>
      </c>
      <c r="AA90">
        <v>9.3000000000000007</v>
      </c>
      <c r="AB90">
        <v>9.4</v>
      </c>
      <c r="AC90">
        <v>880</v>
      </c>
      <c r="AD90" s="32">
        <f t="shared" si="53"/>
        <v>0.3379848930994751</v>
      </c>
      <c r="AE90">
        <v>16</v>
      </c>
      <c r="AF90" s="32">
        <f t="shared" si="54"/>
        <v>6.2513566312133711E-3</v>
      </c>
      <c r="AG90">
        <v>610</v>
      </c>
      <c r="AH90" s="32">
        <f t="shared" si="55"/>
        <v>0.2413111048318734</v>
      </c>
      <c r="AI90">
        <v>180</v>
      </c>
      <c r="AJ90" s="32">
        <f t="shared" si="56"/>
        <v>7.120655552415936E-2</v>
      </c>
      <c r="AK90">
        <v>150</v>
      </c>
      <c r="AL90" s="32">
        <f t="shared" si="57"/>
        <v>5.9338796270132804E-2</v>
      </c>
      <c r="AM90">
        <v>330</v>
      </c>
      <c r="AO90" s="49">
        <v>1836</v>
      </c>
      <c r="AP90" s="49">
        <f t="shared" si="58"/>
        <v>0.58554735456256179</v>
      </c>
      <c r="AQ90">
        <v>710</v>
      </c>
      <c r="AR90" s="32">
        <f t="shared" si="59"/>
        <v>0.26589685573847233</v>
      </c>
      <c r="AS90" s="48">
        <v>0.12</v>
      </c>
      <c r="AT90" s="27">
        <f t="shared" si="60"/>
        <v>4.4940313645938987E-5</v>
      </c>
      <c r="AU90" s="48">
        <v>0.01</v>
      </c>
      <c r="AV90" s="27">
        <f t="shared" si="61"/>
        <v>3.6796110125501018E-6</v>
      </c>
      <c r="AW90" s="48">
        <v>0.14000000000000001</v>
      </c>
      <c r="AX90" s="27">
        <f t="shared" si="62"/>
        <v>5.2655469813890153E-5</v>
      </c>
      <c r="AY90" s="48">
        <v>0.06</v>
      </c>
      <c r="AZ90" s="27">
        <f t="shared" si="63"/>
        <v>2.2379978341956443E-5</v>
      </c>
      <c r="BA90" s="48">
        <v>0.03</v>
      </c>
      <c r="BB90" s="27">
        <f t="shared" si="64"/>
        <v>1.110924086854065E-5</v>
      </c>
      <c r="BC90" s="48">
        <v>1E-3</v>
      </c>
      <c r="BD90" s="27">
        <f t="shared" si="65"/>
        <v>3.7030802895135499E-7</v>
      </c>
      <c r="BE90" s="48">
        <v>1E-3</v>
      </c>
      <c r="BF90" s="27">
        <f t="shared" si="66"/>
        <v>3.6588380716934485E-7</v>
      </c>
      <c r="BG90" s="48">
        <v>2E-3</v>
      </c>
      <c r="BH90" s="27">
        <f t="shared" si="67"/>
        <v>7.3176761433868969E-7</v>
      </c>
      <c r="BI90" s="52">
        <f t="shared" si="68"/>
        <v>0.36399999999999999</v>
      </c>
      <c r="BJ90" s="52">
        <f t="shared" si="69"/>
        <v>0.24400000000000002</v>
      </c>
      <c r="BK90" s="27">
        <f t="shared" si="70"/>
        <v>1.3623257313333573E-4</v>
      </c>
      <c r="BL90" s="27">
        <f t="shared" si="71"/>
        <v>9.1292259487396745E-5</v>
      </c>
      <c r="BM90">
        <v>830</v>
      </c>
      <c r="BN90">
        <v>2.5</v>
      </c>
      <c r="BO90" t="s">
        <v>19</v>
      </c>
      <c r="BP90">
        <v>830</v>
      </c>
      <c r="BQ90">
        <v>68</v>
      </c>
      <c r="BR90">
        <v>28</v>
      </c>
      <c r="BS90">
        <v>1.7</v>
      </c>
      <c r="BT90">
        <v>4.99</v>
      </c>
      <c r="BU90">
        <v>7.5</v>
      </c>
      <c r="BV90">
        <v>-109</v>
      </c>
      <c r="BW90">
        <v>7.2</v>
      </c>
      <c r="BX90">
        <v>508</v>
      </c>
      <c r="BY90">
        <v>0.1</v>
      </c>
      <c r="BZ90">
        <v>0.01</v>
      </c>
      <c r="CA90" s="32">
        <v>16</v>
      </c>
      <c r="CB90" s="32">
        <f t="shared" si="72"/>
        <v>0.28648164726947178</v>
      </c>
      <c r="CC90" s="32">
        <f t="shared" si="73"/>
        <v>0.28648164726947178</v>
      </c>
      <c r="CD90" s="32">
        <v>4.4000000000000004</v>
      </c>
      <c r="CE90" s="32">
        <f t="shared" si="74"/>
        <v>8.0101947933733847E-2</v>
      </c>
      <c r="CF90" s="32">
        <f t="shared" si="75"/>
        <v>0.16020389586746769</v>
      </c>
      <c r="CG90" s="27">
        <v>38</v>
      </c>
      <c r="CH90" s="27">
        <f t="shared" si="76"/>
        <v>0.39558609202581718</v>
      </c>
      <c r="CI90" s="27">
        <f t="shared" si="77"/>
        <v>3.1646887362065375</v>
      </c>
      <c r="CJ90" s="58">
        <v>44</v>
      </c>
      <c r="CK90" s="58">
        <v>53.658536585365859</v>
      </c>
      <c r="CL90" s="58">
        <v>3.6643764313970433</v>
      </c>
      <c r="CM90" s="58">
        <v>3.6643764313970433</v>
      </c>
      <c r="CN90" s="28">
        <v>-31.8</v>
      </c>
      <c r="CO90" s="28">
        <v>-512.90322580645159</v>
      </c>
      <c r="CP90" s="28">
        <v>-2.6483447845096815</v>
      </c>
      <c r="CR90" s="32">
        <f t="shared" si="78"/>
        <v>25.577347491151361</v>
      </c>
      <c r="CS90" s="32">
        <v>25.577347491151361</v>
      </c>
      <c r="CT90" s="32">
        <f t="shared" si="79"/>
        <v>41.577347491151357</v>
      </c>
      <c r="CU90" s="32">
        <f t="shared" si="80"/>
        <v>0.74444668739751763</v>
      </c>
      <c r="CV90" s="32">
        <f t="shared" si="81"/>
        <v>0.74444668739751763</v>
      </c>
      <c r="CW90" s="60">
        <f t="shared" si="82"/>
        <v>-18.485446595877576</v>
      </c>
      <c r="CY90" s="60">
        <f t="shared" si="83"/>
        <v>16</v>
      </c>
      <c r="CZ90" s="60">
        <f t="shared" si="84"/>
        <v>0.28648164726947178</v>
      </c>
      <c r="DA90" s="60">
        <f t="shared" si="85"/>
        <v>0.28648164726947178</v>
      </c>
      <c r="DB90" s="32">
        <f t="shared" si="86"/>
        <v>3.1646887362065375</v>
      </c>
      <c r="DC90">
        <f t="shared" si="87"/>
        <v>4.5690270146620282</v>
      </c>
      <c r="DD90">
        <f t="shared" si="88"/>
        <v>3.5063022248144449E-2</v>
      </c>
      <c r="DE90">
        <f t="shared" si="89"/>
        <v>0.16293330834083161</v>
      </c>
      <c r="DF90">
        <f t="shared" si="90"/>
        <v>0.80200366941102397</v>
      </c>
      <c r="DG90">
        <f t="shared" si="91"/>
        <v>0.44668554313693948</v>
      </c>
      <c r="DH90">
        <f t="shared" si="92"/>
        <v>0.35865028167780733</v>
      </c>
      <c r="DI90">
        <f t="shared" si="93"/>
        <v>0.64134971832219267</v>
      </c>
      <c r="DJ90">
        <f t="shared" si="94"/>
        <v>0</v>
      </c>
      <c r="DK90" s="64">
        <f t="shared" si="95"/>
        <v>-3.717582804360994</v>
      </c>
      <c r="DL90" s="64">
        <f t="shared" si="96"/>
        <v>0.40475866716409464</v>
      </c>
      <c r="DM90" s="64">
        <f t="shared" si="97"/>
        <v>-3.7174915121015069</v>
      </c>
      <c r="DN90" s="64">
        <f t="shared" si="98"/>
        <v>0.4048499594235821</v>
      </c>
      <c r="DO90" t="str">
        <f t="shared" si="99"/>
        <v>Sufficient Capacity</v>
      </c>
      <c r="DP90" t="str">
        <f t="shared" si="100"/>
        <v>Insufficient Capacity</v>
      </c>
    </row>
    <row r="91" spans="1:120" ht="15.75" x14ac:dyDescent="0.25">
      <c r="A91" s="5" t="s">
        <v>144</v>
      </c>
      <c r="B91" s="5" t="s">
        <v>144</v>
      </c>
      <c r="C91" s="2" t="s">
        <v>875</v>
      </c>
      <c r="D91" s="2" t="s">
        <v>533</v>
      </c>
      <c r="E91" s="2" t="s">
        <v>533</v>
      </c>
      <c r="F91" s="2">
        <v>90</v>
      </c>
      <c r="G91" s="2" t="s">
        <v>874</v>
      </c>
      <c r="H91" s="10" t="s">
        <v>656</v>
      </c>
      <c r="I91" s="2">
        <v>150</v>
      </c>
      <c r="J91" s="2">
        <v>65</v>
      </c>
      <c r="K91" s="13">
        <v>4.75</v>
      </c>
      <c r="L91" t="s">
        <v>317</v>
      </c>
      <c r="M91" s="2" t="s">
        <v>1120</v>
      </c>
      <c r="N91" s="2" t="s">
        <v>436</v>
      </c>
      <c r="O91" s="2" t="s">
        <v>673</v>
      </c>
      <c r="P91" s="2" t="s">
        <v>1128</v>
      </c>
      <c r="Q91" s="9" t="s">
        <v>728</v>
      </c>
      <c r="R91" s="2" t="str">
        <f t="shared" si="50"/>
        <v>CW_2_Section_3</v>
      </c>
      <c r="S91" s="2" t="str">
        <f t="shared" si="51"/>
        <v>CW_2_MF10</v>
      </c>
      <c r="T91" s="11" t="s">
        <v>845</v>
      </c>
      <c r="U91" s="1">
        <v>45706</v>
      </c>
      <c r="V91" s="2" t="s">
        <v>799</v>
      </c>
      <c r="W91" s="2" t="s">
        <v>663</v>
      </c>
      <c r="X91" s="2" t="s">
        <v>844</v>
      </c>
      <c r="Y91" s="2" t="str">
        <f t="shared" si="52"/>
        <v>T3_0.60-0.80</v>
      </c>
      <c r="Z91" t="s">
        <v>47</v>
      </c>
      <c r="AA91">
        <v>13</v>
      </c>
      <c r="AB91">
        <v>13</v>
      </c>
      <c r="AC91">
        <v>920</v>
      </c>
      <c r="AD91" s="32">
        <f t="shared" si="53"/>
        <v>0.35334784278581488</v>
      </c>
      <c r="AE91">
        <v>8.6999999999999993</v>
      </c>
      <c r="AF91" s="32">
        <f t="shared" si="54"/>
        <v>3.3991751682222703E-3</v>
      </c>
      <c r="AG91">
        <v>860</v>
      </c>
      <c r="AH91" s="32">
        <f t="shared" si="55"/>
        <v>0.34020909861542808</v>
      </c>
      <c r="AI91">
        <v>280</v>
      </c>
      <c r="AJ91" s="32">
        <f t="shared" si="56"/>
        <v>0.11076575303758124</v>
      </c>
      <c r="AK91">
        <v>290</v>
      </c>
      <c r="AL91" s="32">
        <f t="shared" si="57"/>
        <v>0.11472167278892344</v>
      </c>
      <c r="AM91">
        <v>570</v>
      </c>
      <c r="AO91" s="49">
        <v>2358.6999999999998</v>
      </c>
      <c r="AP91" s="49">
        <f t="shared" si="58"/>
        <v>0.69695611656946521</v>
      </c>
      <c r="AQ91">
        <v>4000</v>
      </c>
      <c r="AR91" s="32">
        <f t="shared" si="59"/>
        <v>1.4980104548646329</v>
      </c>
      <c r="AS91" s="48">
        <v>2900</v>
      </c>
      <c r="AT91" s="27">
        <f t="shared" si="60"/>
        <v>1.0860575797768588</v>
      </c>
      <c r="AU91" s="48">
        <v>290</v>
      </c>
      <c r="AV91" s="27">
        <f t="shared" si="61"/>
        <v>0.10670871936395296</v>
      </c>
      <c r="AW91" s="48">
        <v>170</v>
      </c>
      <c r="AX91" s="27">
        <f t="shared" si="62"/>
        <v>6.3938784774009466E-2</v>
      </c>
      <c r="AY91" s="48">
        <v>71</v>
      </c>
      <c r="AZ91" s="27">
        <f t="shared" si="63"/>
        <v>2.6482974371315127E-2</v>
      </c>
      <c r="BA91" s="48">
        <v>24</v>
      </c>
      <c r="BB91" s="27">
        <f t="shared" si="64"/>
        <v>8.8873926948325205E-3</v>
      </c>
      <c r="BC91" s="48">
        <v>1.6</v>
      </c>
      <c r="BD91" s="27">
        <f t="shared" si="65"/>
        <v>5.9249284632216796E-4</v>
      </c>
      <c r="BE91" s="48">
        <v>0.12</v>
      </c>
      <c r="BF91" s="27">
        <f t="shared" si="66"/>
        <v>4.3906056860321379E-5</v>
      </c>
      <c r="BG91" s="48">
        <v>0.06</v>
      </c>
      <c r="BH91" s="27">
        <f t="shared" si="67"/>
        <v>2.1953028430160689E-5</v>
      </c>
      <c r="BI91" s="52">
        <f t="shared" si="68"/>
        <v>3456.7799999999997</v>
      </c>
      <c r="BJ91" s="52">
        <f t="shared" si="69"/>
        <v>556.78</v>
      </c>
      <c r="BK91" s="27">
        <f t="shared" si="70"/>
        <v>1.2927338029125812</v>
      </c>
      <c r="BL91" s="27">
        <f t="shared" si="71"/>
        <v>0.20667622313572276</v>
      </c>
      <c r="BM91">
        <v>5000</v>
      </c>
      <c r="BN91">
        <v>1200</v>
      </c>
      <c r="BO91" t="s">
        <v>19</v>
      </c>
      <c r="BP91">
        <v>6300</v>
      </c>
      <c r="BQ91">
        <v>70</v>
      </c>
      <c r="BR91">
        <v>25</v>
      </c>
      <c r="BS91">
        <v>1.3</v>
      </c>
      <c r="BT91">
        <v>0.61</v>
      </c>
      <c r="BU91">
        <v>7.4</v>
      </c>
      <c r="BV91">
        <v>-130</v>
      </c>
      <c r="BW91">
        <v>7.09</v>
      </c>
      <c r="BX91">
        <v>509</v>
      </c>
      <c r="BY91">
        <v>0.2</v>
      </c>
      <c r="BZ91">
        <v>0.01</v>
      </c>
      <c r="CA91" s="32">
        <v>1.4</v>
      </c>
      <c r="CB91" s="32">
        <f t="shared" si="72"/>
        <v>2.506714413607878E-2</v>
      </c>
      <c r="CC91" s="32">
        <f t="shared" si="73"/>
        <v>2.506714413607878E-2</v>
      </c>
      <c r="CD91" s="32">
        <v>1.5</v>
      </c>
      <c r="CE91" s="32">
        <f t="shared" si="74"/>
        <v>2.7307482250136537E-2</v>
      </c>
      <c r="CF91" s="32">
        <f t="shared" si="75"/>
        <v>5.4614964500273075E-2</v>
      </c>
      <c r="CG91" s="27">
        <v>57</v>
      </c>
      <c r="CH91" s="27">
        <f t="shared" si="76"/>
        <v>0.59337913803872577</v>
      </c>
      <c r="CI91" s="27">
        <f t="shared" si="77"/>
        <v>4.7470331043098062</v>
      </c>
      <c r="CJ91" s="58">
        <v>25</v>
      </c>
      <c r="CK91" s="58">
        <v>30.487804878048781</v>
      </c>
      <c r="CL91" s="58">
        <v>2.0820320632937745</v>
      </c>
      <c r="CM91" s="58">
        <v>2.0820320632937745</v>
      </c>
      <c r="CN91" s="28">
        <v>-10</v>
      </c>
      <c r="CO91" s="28">
        <v>-21.276595744680851</v>
      </c>
      <c r="CP91" s="28">
        <v>-0.83281282531750989</v>
      </c>
      <c r="CR91" s="32">
        <f t="shared" si="78"/>
        <v>14.532583801790548</v>
      </c>
      <c r="CS91" s="32">
        <v>14.532583801790548</v>
      </c>
      <c r="CT91" s="32">
        <f t="shared" si="79"/>
        <v>15.932583801790548</v>
      </c>
      <c r="CU91" s="32">
        <f t="shared" si="80"/>
        <v>0.28527455329974122</v>
      </c>
      <c r="CV91" s="32">
        <f t="shared" si="81"/>
        <v>0.28527455329974122</v>
      </c>
      <c r="CW91" s="60">
        <f t="shared" si="82"/>
        <v>-5.8130335207162185</v>
      </c>
      <c r="CY91" s="60">
        <f t="shared" si="83"/>
        <v>1.4</v>
      </c>
      <c r="CZ91" s="60">
        <f t="shared" si="84"/>
        <v>2.506714413607878E-2</v>
      </c>
      <c r="DA91" s="60">
        <f t="shared" si="85"/>
        <v>2.506714413607878E-2</v>
      </c>
      <c r="DB91" s="32">
        <f t="shared" si="86"/>
        <v>4.7470331043098062</v>
      </c>
      <c r="DC91">
        <f t="shared" si="87"/>
        <v>2.4219215810937889</v>
      </c>
      <c r="DD91">
        <f t="shared" si="88"/>
        <v>2.2550261299380241E-2</v>
      </c>
      <c r="DE91">
        <f t="shared" si="89"/>
        <v>0.11778851781439821</v>
      </c>
      <c r="DF91">
        <f t="shared" si="90"/>
        <v>0.85966122088622154</v>
      </c>
      <c r="DG91">
        <f t="shared" si="91"/>
        <v>7.9682108636351862E-2</v>
      </c>
      <c r="DH91">
        <f t="shared" si="92"/>
        <v>0.68541063276226</v>
      </c>
      <c r="DI91">
        <f t="shared" si="93"/>
        <v>0.31458936723773989</v>
      </c>
      <c r="DJ91">
        <f t="shared" si="94"/>
        <v>0</v>
      </c>
      <c r="DK91" s="64">
        <f t="shared" si="95"/>
        <v>-0.22695500965969062</v>
      </c>
      <c r="DL91" s="64">
        <f t="shared" si="96"/>
        <v>2.1152844627977463</v>
      </c>
      <c r="DM91" s="64">
        <f t="shared" si="97"/>
        <v>-2.0278786523967973E-2</v>
      </c>
      <c r="DN91" s="64">
        <f t="shared" si="98"/>
        <v>2.3219606859334689</v>
      </c>
      <c r="DO91" t="str">
        <f t="shared" si="99"/>
        <v>Sufficient Capacity</v>
      </c>
      <c r="DP91" t="str">
        <f t="shared" si="100"/>
        <v>Insufficient Capacity</v>
      </c>
    </row>
    <row r="92" spans="1:120" ht="15.75" x14ac:dyDescent="0.25">
      <c r="A92" s="5" t="s">
        <v>145</v>
      </c>
      <c r="B92" s="5" t="s">
        <v>145</v>
      </c>
      <c r="C92" s="2" t="s">
        <v>877</v>
      </c>
      <c r="D92" s="2" t="s">
        <v>534</v>
      </c>
      <c r="E92" s="2" t="s">
        <v>534</v>
      </c>
      <c r="F92" s="2">
        <v>91</v>
      </c>
      <c r="G92" s="2" t="s">
        <v>876</v>
      </c>
      <c r="H92" s="10" t="s">
        <v>656</v>
      </c>
      <c r="I92" s="2">
        <v>150</v>
      </c>
      <c r="J92" s="14">
        <v>100</v>
      </c>
      <c r="K92" s="13">
        <v>7.15</v>
      </c>
      <c r="L92" t="s">
        <v>319</v>
      </c>
      <c r="M92" s="2" t="s">
        <v>1120</v>
      </c>
      <c r="N92" s="2" t="s">
        <v>437</v>
      </c>
      <c r="O92" s="2" t="s">
        <v>653</v>
      </c>
      <c r="P92" s="2" t="s">
        <v>1123</v>
      </c>
      <c r="Q92" s="9" t="s">
        <v>731</v>
      </c>
      <c r="R92" s="2" t="str">
        <f t="shared" si="50"/>
        <v>CW_3_Section_1</v>
      </c>
      <c r="S92" s="2" t="str">
        <f t="shared" si="51"/>
        <v>CW_3_MF01</v>
      </c>
      <c r="T92" s="11" t="s">
        <v>845</v>
      </c>
      <c r="U92" s="1">
        <v>45707</v>
      </c>
      <c r="V92" s="2" t="s">
        <v>799</v>
      </c>
      <c r="W92" s="2" t="s">
        <v>655</v>
      </c>
      <c r="X92" s="2" t="s">
        <v>844</v>
      </c>
      <c r="Y92" s="2" t="str">
        <f t="shared" si="52"/>
        <v>T3_0.15-0.30</v>
      </c>
      <c r="Z92" t="s">
        <v>51</v>
      </c>
      <c r="AA92">
        <v>8.9</v>
      </c>
      <c r="AB92">
        <v>11</v>
      </c>
      <c r="AC92">
        <v>620</v>
      </c>
      <c r="AD92" s="32">
        <f t="shared" si="53"/>
        <v>0.23812572013826652</v>
      </c>
      <c r="AE92">
        <v>10</v>
      </c>
      <c r="AF92" s="32">
        <f t="shared" si="54"/>
        <v>3.9070978945083571E-3</v>
      </c>
      <c r="AG92">
        <v>330</v>
      </c>
      <c r="AH92" s="32">
        <f t="shared" si="55"/>
        <v>0.13054535179429219</v>
      </c>
      <c r="AI92">
        <v>190</v>
      </c>
      <c r="AJ92" s="32">
        <f t="shared" si="56"/>
        <v>7.5162475275501545E-2</v>
      </c>
      <c r="AK92">
        <v>98</v>
      </c>
      <c r="AL92" s="32">
        <f t="shared" si="57"/>
        <v>3.8768013563153431E-2</v>
      </c>
      <c r="AM92">
        <v>288</v>
      </c>
      <c r="AO92" s="49">
        <v>1248</v>
      </c>
      <c r="AP92" s="49">
        <f t="shared" si="58"/>
        <v>0.37257816982706704</v>
      </c>
      <c r="AQ92">
        <v>150</v>
      </c>
      <c r="AR92" s="32">
        <f t="shared" si="59"/>
        <v>5.617539205742373E-2</v>
      </c>
      <c r="AS92" s="48">
        <v>88</v>
      </c>
      <c r="AT92" s="27">
        <f t="shared" si="60"/>
        <v>3.2956230007021921E-2</v>
      </c>
      <c r="AU92" s="48">
        <v>0.17</v>
      </c>
      <c r="AV92" s="27">
        <f t="shared" si="61"/>
        <v>6.2553387213351737E-5</v>
      </c>
      <c r="AW92" s="48">
        <v>0.11</v>
      </c>
      <c r="AX92" s="27">
        <f t="shared" si="62"/>
        <v>4.1372154853770834E-5</v>
      </c>
      <c r="AY92" s="48">
        <v>5.0000000000000001E-3</v>
      </c>
      <c r="AZ92" s="27">
        <f t="shared" si="63"/>
        <v>1.8649981951630372E-6</v>
      </c>
      <c r="BA92" s="48">
        <v>0.02</v>
      </c>
      <c r="BB92" s="27">
        <f t="shared" si="64"/>
        <v>7.4061605790270997E-6</v>
      </c>
      <c r="BC92" s="48">
        <v>1E-3</v>
      </c>
      <c r="BD92" s="27">
        <f t="shared" si="65"/>
        <v>3.7030802895135499E-7</v>
      </c>
      <c r="BE92" s="48">
        <v>1E-3</v>
      </c>
      <c r="BF92" s="27">
        <f t="shared" si="66"/>
        <v>3.6588380716934485E-7</v>
      </c>
      <c r="BG92" s="48">
        <v>2E-3</v>
      </c>
      <c r="BH92" s="27">
        <f t="shared" si="67"/>
        <v>7.3176761433868969E-7</v>
      </c>
      <c r="BI92" s="52">
        <f t="shared" si="68"/>
        <v>88.308999999999997</v>
      </c>
      <c r="BJ92" s="52">
        <f t="shared" si="69"/>
        <v>0.30900000000000005</v>
      </c>
      <c r="BK92" s="27">
        <f t="shared" si="70"/>
        <v>3.3070894667313687E-2</v>
      </c>
      <c r="BL92" s="27">
        <f t="shared" si="71"/>
        <v>1.146646602917721E-4</v>
      </c>
      <c r="BM92">
        <v>370</v>
      </c>
      <c r="BN92">
        <v>55</v>
      </c>
      <c r="BO92">
        <v>30</v>
      </c>
      <c r="BP92">
        <v>480</v>
      </c>
      <c r="BQ92">
        <v>67</v>
      </c>
      <c r="BR92">
        <v>29</v>
      </c>
      <c r="BS92">
        <v>1.6</v>
      </c>
      <c r="BT92">
        <v>5.1100000000000003</v>
      </c>
      <c r="BU92">
        <v>7.4</v>
      </c>
      <c r="BV92">
        <v>-118</v>
      </c>
      <c r="BW92">
        <v>7.11</v>
      </c>
      <c r="BX92">
        <v>940</v>
      </c>
      <c r="BY92">
        <v>0.2</v>
      </c>
      <c r="BZ92">
        <v>0.01</v>
      </c>
      <c r="CA92" s="32">
        <v>18</v>
      </c>
      <c r="CB92" s="32">
        <f t="shared" si="72"/>
        <v>0.32229185317815578</v>
      </c>
      <c r="CC92" s="32">
        <f t="shared" si="73"/>
        <v>0.32229185317815578</v>
      </c>
      <c r="CD92" s="32">
        <v>3</v>
      </c>
      <c r="CE92" s="32">
        <f t="shared" si="74"/>
        <v>5.4614964500273075E-2</v>
      </c>
      <c r="CF92" s="32">
        <f t="shared" si="75"/>
        <v>0.10922992900054615</v>
      </c>
      <c r="CG92" s="27">
        <v>16</v>
      </c>
      <c r="CH92" s="27">
        <f t="shared" si="76"/>
        <v>0.16656256506350198</v>
      </c>
      <c r="CI92" s="27">
        <f t="shared" si="77"/>
        <v>1.3325005205080158</v>
      </c>
      <c r="CJ92" s="58">
        <v>66</v>
      </c>
      <c r="CK92" s="58">
        <v>80.487804878048792</v>
      </c>
      <c r="CL92" s="58">
        <v>5.4965646470955649</v>
      </c>
      <c r="CM92" s="58">
        <v>5.4965646470955649</v>
      </c>
      <c r="CN92" s="28">
        <v>66</v>
      </c>
      <c r="CO92" s="28">
        <v>80.487804878048792</v>
      </c>
      <c r="CP92" s="28">
        <v>5.4965646470955649</v>
      </c>
      <c r="CQ92" s="28">
        <v>5.4965646470955649</v>
      </c>
      <c r="CR92" s="32">
        <f t="shared" si="78"/>
        <v>38.366021236727043</v>
      </c>
      <c r="CS92" s="32">
        <v>38.366021236727043</v>
      </c>
      <c r="CT92" s="32">
        <f t="shared" si="79"/>
        <v>56.366021236727043</v>
      </c>
      <c r="CU92" s="32">
        <f t="shared" si="80"/>
        <v>1.0092394133702245</v>
      </c>
      <c r="CV92" s="32">
        <f t="shared" si="81"/>
        <v>1.0092394133702245</v>
      </c>
      <c r="CW92" s="60">
        <f t="shared" si="82"/>
        <v>38.366021236727043</v>
      </c>
      <c r="CX92" s="60">
        <v>38.366021236727043</v>
      </c>
      <c r="CY92" s="60">
        <f t="shared" si="83"/>
        <v>56.366021236727043</v>
      </c>
      <c r="CZ92" s="60">
        <f t="shared" si="84"/>
        <v>1.0092394133702245</v>
      </c>
      <c r="DA92" s="60">
        <f t="shared" si="85"/>
        <v>1.0092394133702245</v>
      </c>
      <c r="DB92" s="32">
        <f t="shared" si="86"/>
        <v>1.3325005205080158</v>
      </c>
      <c r="DC92">
        <f t="shared" si="87"/>
        <v>6.615033989466335</v>
      </c>
      <c r="DD92">
        <f t="shared" si="88"/>
        <v>1.6512376077656137E-2</v>
      </c>
      <c r="DE92">
        <f t="shared" si="89"/>
        <v>0.15256753252928401</v>
      </c>
      <c r="DF92">
        <f t="shared" si="90"/>
        <v>0.83092009139305989</v>
      </c>
      <c r="DG92">
        <f t="shared" si="91"/>
        <v>6.615033989466335</v>
      </c>
      <c r="DH92">
        <f t="shared" si="92"/>
        <v>1.6512376077656137E-2</v>
      </c>
      <c r="DI92">
        <f t="shared" si="93"/>
        <v>0.15256753252928401</v>
      </c>
      <c r="DJ92">
        <f t="shared" si="94"/>
        <v>0.83092009139305989</v>
      </c>
      <c r="DK92" s="64">
        <f t="shared" si="95"/>
        <v>-6.1862804275818446</v>
      </c>
      <c r="DL92" s="64">
        <f t="shared" si="96"/>
        <v>-6.1862804275818446</v>
      </c>
      <c r="DM92" s="64">
        <f t="shared" si="97"/>
        <v>-6.1861657629215525</v>
      </c>
      <c r="DN92" s="64">
        <f t="shared" si="98"/>
        <v>-6.1861657629215525</v>
      </c>
      <c r="DO92" t="str">
        <f t="shared" si="99"/>
        <v>Sufficient Capacity</v>
      </c>
      <c r="DP92" t="str">
        <f t="shared" si="100"/>
        <v>Sufficient Capacity</v>
      </c>
    </row>
    <row r="93" spans="1:120" ht="15.75" x14ac:dyDescent="0.25">
      <c r="A93" s="5" t="s">
        <v>146</v>
      </c>
      <c r="B93" s="5" t="s">
        <v>146</v>
      </c>
      <c r="C93" s="2" t="s">
        <v>879</v>
      </c>
      <c r="D93" s="2" t="s">
        <v>535</v>
      </c>
      <c r="E93" s="2" t="s">
        <v>535</v>
      </c>
      <c r="F93" s="2">
        <v>92</v>
      </c>
      <c r="G93" s="2" t="s">
        <v>878</v>
      </c>
      <c r="H93" s="10" t="s">
        <v>656</v>
      </c>
      <c r="I93" s="2">
        <v>150</v>
      </c>
      <c r="J93" s="14">
        <v>100</v>
      </c>
      <c r="K93" s="13">
        <v>3.6</v>
      </c>
      <c r="L93" t="s">
        <v>320</v>
      </c>
      <c r="M93" s="2" t="s">
        <v>1120</v>
      </c>
      <c r="N93" s="2" t="s">
        <v>437</v>
      </c>
      <c r="O93" s="2" t="s">
        <v>653</v>
      </c>
      <c r="P93" s="2" t="s">
        <v>1124</v>
      </c>
      <c r="Q93" s="9" t="s">
        <v>734</v>
      </c>
      <c r="R93" s="2" t="str">
        <f t="shared" si="50"/>
        <v>CW_3_Section_1</v>
      </c>
      <c r="S93" s="2" t="str">
        <f t="shared" si="51"/>
        <v>CW_3_MF02</v>
      </c>
      <c r="T93" s="11" t="s">
        <v>845</v>
      </c>
      <c r="U93" s="1">
        <v>45707</v>
      </c>
      <c r="V93" s="2" t="s">
        <v>799</v>
      </c>
      <c r="W93" s="2" t="s">
        <v>663</v>
      </c>
      <c r="X93" s="2" t="s">
        <v>844</v>
      </c>
      <c r="Y93" s="2" t="str">
        <f t="shared" si="52"/>
        <v>T3_0.60-0.80</v>
      </c>
      <c r="Z93" t="s">
        <v>53</v>
      </c>
      <c r="AA93">
        <v>13</v>
      </c>
      <c r="AB93">
        <v>15</v>
      </c>
      <c r="AC93">
        <v>760</v>
      </c>
      <c r="AD93" s="32">
        <f t="shared" si="53"/>
        <v>0.29189604404045577</v>
      </c>
      <c r="AE93">
        <v>57</v>
      </c>
      <c r="AF93" s="32">
        <f t="shared" si="54"/>
        <v>2.2270457998697635E-2</v>
      </c>
      <c r="AG93">
        <v>630</v>
      </c>
      <c r="AH93" s="32">
        <f t="shared" si="55"/>
        <v>0.24922294433455777</v>
      </c>
      <c r="AI93">
        <v>250</v>
      </c>
      <c r="AJ93" s="32">
        <f t="shared" si="56"/>
        <v>9.8897993783554669E-2</v>
      </c>
      <c r="AK93">
        <v>330</v>
      </c>
      <c r="AL93" s="32">
        <f t="shared" si="57"/>
        <v>0.13054535179429219</v>
      </c>
      <c r="AM93">
        <v>580</v>
      </c>
      <c r="AO93" s="49">
        <v>2027</v>
      </c>
      <c r="AP93" s="49">
        <f t="shared" si="58"/>
        <v>0.56338944637371124</v>
      </c>
      <c r="AQ93">
        <v>4500</v>
      </c>
      <c r="AR93" s="32">
        <f t="shared" si="59"/>
        <v>1.6852617617227121</v>
      </c>
      <c r="AS93" s="48">
        <v>6400</v>
      </c>
      <c r="AT93" s="27">
        <f t="shared" si="60"/>
        <v>2.3968167277834125</v>
      </c>
      <c r="AU93" s="48">
        <v>120</v>
      </c>
      <c r="AV93" s="27">
        <f t="shared" si="61"/>
        <v>4.4155332150601224E-2</v>
      </c>
      <c r="AW93" s="48">
        <v>260</v>
      </c>
      <c r="AX93" s="27">
        <f t="shared" si="62"/>
        <v>9.7788729654367426E-2</v>
      </c>
      <c r="AY93" s="48">
        <v>86</v>
      </c>
      <c r="AZ93" s="27">
        <f t="shared" si="63"/>
        <v>3.2077968956804238E-2</v>
      </c>
      <c r="BA93" s="48">
        <v>47</v>
      </c>
      <c r="BB93" s="27">
        <f t="shared" si="64"/>
        <v>1.7404477360713686E-2</v>
      </c>
      <c r="BC93" s="48">
        <v>1.8</v>
      </c>
      <c r="BD93" s="27">
        <f t="shared" si="65"/>
        <v>6.6655445211243904E-4</v>
      </c>
      <c r="BE93" s="48">
        <v>0.4</v>
      </c>
      <c r="BF93" s="27">
        <f t="shared" si="66"/>
        <v>1.4635352286773798E-4</v>
      </c>
      <c r="BG93" s="48">
        <v>0.31</v>
      </c>
      <c r="BH93" s="27">
        <f t="shared" si="67"/>
        <v>1.1342398022249691E-4</v>
      </c>
      <c r="BI93" s="52">
        <f t="shared" si="68"/>
        <v>6915.51</v>
      </c>
      <c r="BJ93" s="52">
        <f t="shared" si="69"/>
        <v>515.50999999999988</v>
      </c>
      <c r="BK93" s="27">
        <f t="shared" si="70"/>
        <v>2.5891695678611018</v>
      </c>
      <c r="BL93" s="27">
        <f t="shared" si="71"/>
        <v>0.19235284007768924</v>
      </c>
      <c r="BM93">
        <v>6300</v>
      </c>
      <c r="BN93">
        <v>2100</v>
      </c>
      <c r="BO93" t="s">
        <v>19</v>
      </c>
      <c r="BP93">
        <v>8400</v>
      </c>
      <c r="BQ93">
        <v>69</v>
      </c>
      <c r="BR93">
        <v>31</v>
      </c>
      <c r="BS93">
        <v>1.3</v>
      </c>
      <c r="BT93">
        <v>0.55000000000000004</v>
      </c>
      <c r="BU93">
        <v>7.3</v>
      </c>
      <c r="BV93">
        <v>-133</v>
      </c>
      <c r="BW93">
        <v>7.08</v>
      </c>
      <c r="BX93">
        <v>740</v>
      </c>
      <c r="BY93">
        <v>0.2</v>
      </c>
      <c r="BZ93">
        <v>0.01</v>
      </c>
      <c r="CA93" s="32">
        <v>0.4</v>
      </c>
      <c r="CB93" s="32">
        <f t="shared" si="72"/>
        <v>7.162041181736795E-3</v>
      </c>
      <c r="CC93" s="32">
        <f t="shared" si="73"/>
        <v>7.162041181736795E-3</v>
      </c>
      <c r="CD93" s="32">
        <v>1</v>
      </c>
      <c r="CE93" s="32">
        <f t="shared" si="74"/>
        <v>1.8204988166757693E-2</v>
      </c>
      <c r="CF93" s="32">
        <f t="shared" si="75"/>
        <v>3.6409976333515386E-2</v>
      </c>
      <c r="CG93" s="27">
        <v>70</v>
      </c>
      <c r="CH93" s="27">
        <f t="shared" si="76"/>
        <v>0.72871122215282114</v>
      </c>
      <c r="CI93" s="27">
        <f t="shared" si="77"/>
        <v>5.8296897772225691</v>
      </c>
      <c r="CJ93" s="58">
        <v>12</v>
      </c>
      <c r="CK93" s="58">
        <v>14.634146341463413</v>
      </c>
      <c r="CL93" s="58">
        <v>0.99937539038101186</v>
      </c>
      <c r="CM93" s="58">
        <v>0.99937539038101186</v>
      </c>
      <c r="CN93" s="28">
        <v>12</v>
      </c>
      <c r="CO93" s="28">
        <v>14.634146341463413</v>
      </c>
      <c r="CP93" s="28">
        <v>0.99937539038101186</v>
      </c>
      <c r="CQ93" s="28">
        <v>0.99937539038101186</v>
      </c>
      <c r="CR93" s="32">
        <f t="shared" si="78"/>
        <v>6.9756402248594629</v>
      </c>
      <c r="CS93" s="32">
        <v>6.9756402248594629</v>
      </c>
      <c r="CT93" s="32">
        <f t="shared" si="79"/>
        <v>7.3756402248594632</v>
      </c>
      <c r="CU93" s="32">
        <f t="shared" si="80"/>
        <v>0.13206159758029476</v>
      </c>
      <c r="CV93" s="32">
        <f t="shared" si="81"/>
        <v>0.13206159758029476</v>
      </c>
      <c r="CW93" s="60">
        <f t="shared" si="82"/>
        <v>6.9756402248594629</v>
      </c>
      <c r="CX93" s="60">
        <v>6.9756402248594629</v>
      </c>
      <c r="CY93" s="60">
        <f t="shared" si="83"/>
        <v>7.3756402248594632</v>
      </c>
      <c r="CZ93" s="60">
        <f t="shared" si="84"/>
        <v>0.13206159758029476</v>
      </c>
      <c r="DA93" s="60">
        <f t="shared" si="85"/>
        <v>0.13206159758029476</v>
      </c>
      <c r="DB93" s="32">
        <f t="shared" si="86"/>
        <v>5.8296897772225691</v>
      </c>
      <c r="DC93">
        <f t="shared" si="87"/>
        <v>1.1678469642948219</v>
      </c>
      <c r="DD93">
        <f t="shared" si="88"/>
        <v>3.1177009870895823E-2</v>
      </c>
      <c r="DE93">
        <f t="shared" si="89"/>
        <v>0.11308125261089939</v>
      </c>
      <c r="DF93">
        <f t="shared" si="90"/>
        <v>0.85574173751820481</v>
      </c>
      <c r="DG93">
        <f t="shared" si="91"/>
        <v>1.1678469642948219</v>
      </c>
      <c r="DH93">
        <f t="shared" si="92"/>
        <v>3.1177009870895823E-2</v>
      </c>
      <c r="DI93">
        <f t="shared" si="93"/>
        <v>0.11308125261089939</v>
      </c>
      <c r="DJ93">
        <f t="shared" si="94"/>
        <v>0.85574173751820481</v>
      </c>
      <c r="DK93" s="64">
        <f t="shared" si="95"/>
        <v>1.0808042438016014</v>
      </c>
      <c r="DL93" s="64">
        <f t="shared" si="96"/>
        <v>1.0808042438016014</v>
      </c>
      <c r="DM93" s="64">
        <f t="shared" si="97"/>
        <v>1.2731570838792907</v>
      </c>
      <c r="DN93" s="64">
        <f t="shared" si="98"/>
        <v>1.2731570838792907</v>
      </c>
      <c r="DO93" t="str">
        <f t="shared" si="99"/>
        <v>Insufficient Capacity</v>
      </c>
      <c r="DP93" t="str">
        <f t="shared" si="100"/>
        <v>Insufficient Capacity</v>
      </c>
    </row>
    <row r="94" spans="1:120" ht="15.75" x14ac:dyDescent="0.25">
      <c r="A94" s="5" t="s">
        <v>147</v>
      </c>
      <c r="B94" s="5" t="s">
        <v>147</v>
      </c>
      <c r="C94" s="2" t="s">
        <v>881</v>
      </c>
      <c r="D94" s="2" t="s">
        <v>536</v>
      </c>
      <c r="E94" s="2" t="s">
        <v>536</v>
      </c>
      <c r="F94" s="2">
        <v>93</v>
      </c>
      <c r="G94" s="2" t="s">
        <v>880</v>
      </c>
      <c r="H94" s="10" t="s">
        <v>656</v>
      </c>
      <c r="I94" s="2">
        <v>150</v>
      </c>
      <c r="J94" s="14">
        <v>100</v>
      </c>
      <c r="K94" s="13">
        <v>6.15</v>
      </c>
      <c r="L94" t="s">
        <v>321</v>
      </c>
      <c r="M94" s="2" t="s">
        <v>1120</v>
      </c>
      <c r="N94" s="2" t="s">
        <v>437</v>
      </c>
      <c r="O94" s="2" t="s">
        <v>666</v>
      </c>
      <c r="P94" s="2" t="s">
        <v>1131</v>
      </c>
      <c r="Q94" s="9" t="s">
        <v>737</v>
      </c>
      <c r="R94" s="2" t="str">
        <f t="shared" si="50"/>
        <v>CW_3_Section_2</v>
      </c>
      <c r="S94" s="2" t="str">
        <f t="shared" si="51"/>
        <v>CW_3_MF05</v>
      </c>
      <c r="T94" s="11" t="s">
        <v>845</v>
      </c>
      <c r="U94" s="1">
        <v>45707</v>
      </c>
      <c r="V94" s="2" t="s">
        <v>799</v>
      </c>
      <c r="W94" s="2" t="s">
        <v>655</v>
      </c>
      <c r="X94" s="2" t="s">
        <v>844</v>
      </c>
      <c r="Y94" s="2" t="str">
        <f t="shared" si="52"/>
        <v>T3_0.15-0.30</v>
      </c>
      <c r="Z94" t="s">
        <v>55</v>
      </c>
      <c r="AA94">
        <v>0.05</v>
      </c>
      <c r="AB94">
        <v>0.05</v>
      </c>
      <c r="AC94">
        <v>0.76</v>
      </c>
      <c r="AD94" s="32">
        <f t="shared" si="53"/>
        <v>2.9189604404045578E-4</v>
      </c>
      <c r="AE94">
        <v>0.02</v>
      </c>
      <c r="AF94" s="32">
        <f t="shared" si="54"/>
        <v>7.8141957890167132E-6</v>
      </c>
      <c r="AG94">
        <v>1.9</v>
      </c>
      <c r="AH94" s="32">
        <f t="shared" si="55"/>
        <v>7.5162475275501544E-4</v>
      </c>
      <c r="AI94">
        <v>0.62</v>
      </c>
      <c r="AJ94" s="32">
        <f t="shared" si="56"/>
        <v>2.4526702458321558E-4</v>
      </c>
      <c r="AK94">
        <v>0.69</v>
      </c>
      <c r="AL94" s="32">
        <f t="shared" si="57"/>
        <v>2.7295846284261087E-4</v>
      </c>
      <c r="AM94">
        <v>1.31</v>
      </c>
      <c r="AO94" s="49">
        <v>4.1100000000000003</v>
      </c>
      <c r="AP94" s="49">
        <f t="shared" si="58"/>
        <v>1.0513349925844878E-3</v>
      </c>
      <c r="AQ94">
        <v>7.1</v>
      </c>
      <c r="AR94" s="32">
        <f t="shared" si="59"/>
        <v>2.6589685573847233E-3</v>
      </c>
      <c r="AS94" s="48">
        <v>4.4000000000000004</v>
      </c>
      <c r="AT94" s="27">
        <f t="shared" si="60"/>
        <v>1.6478115003510964E-3</v>
      </c>
      <c r="AU94" s="48">
        <v>0.01</v>
      </c>
      <c r="AV94" s="27">
        <f t="shared" si="61"/>
        <v>3.6796110125501018E-6</v>
      </c>
      <c r="AW94" s="48">
        <v>0.01</v>
      </c>
      <c r="AX94" s="27">
        <f t="shared" si="62"/>
        <v>3.7611049867064394E-6</v>
      </c>
      <c r="AY94" s="48">
        <v>5.0000000000000001E-3</v>
      </c>
      <c r="AZ94" s="27">
        <f t="shared" si="63"/>
        <v>1.8649981951630372E-6</v>
      </c>
      <c r="BA94" s="48">
        <v>1E-3</v>
      </c>
      <c r="BB94" s="27">
        <f t="shared" si="64"/>
        <v>3.7030802895135499E-7</v>
      </c>
      <c r="BC94" s="48">
        <v>1E-3</v>
      </c>
      <c r="BD94" s="27">
        <f t="shared" si="65"/>
        <v>3.7030802895135499E-7</v>
      </c>
      <c r="BE94" s="48">
        <v>1E-3</v>
      </c>
      <c r="BF94" s="27">
        <f t="shared" si="66"/>
        <v>3.6588380716934485E-7</v>
      </c>
      <c r="BG94" s="48">
        <v>2E-3</v>
      </c>
      <c r="BH94" s="27">
        <f t="shared" si="67"/>
        <v>7.3176761433868969E-7</v>
      </c>
      <c r="BI94" s="52">
        <f t="shared" si="68"/>
        <v>4.4300000000000006</v>
      </c>
      <c r="BJ94" s="52">
        <f t="shared" si="69"/>
        <v>3.0000000000000006E-2</v>
      </c>
      <c r="BK94" s="27">
        <f t="shared" si="70"/>
        <v>1.6589554820249269E-3</v>
      </c>
      <c r="BL94" s="27">
        <f t="shared" si="71"/>
        <v>1.1143981673830322E-5</v>
      </c>
      <c r="BM94">
        <v>2.5</v>
      </c>
      <c r="BN94">
        <v>2.5</v>
      </c>
      <c r="BO94" t="s">
        <v>19</v>
      </c>
      <c r="BP94">
        <v>5</v>
      </c>
      <c r="BQ94">
        <v>68</v>
      </c>
      <c r="BR94">
        <v>0.2</v>
      </c>
      <c r="BS94">
        <v>1</v>
      </c>
      <c r="BT94">
        <v>6.98</v>
      </c>
      <c r="BU94">
        <v>7.5</v>
      </c>
      <c r="BV94">
        <v>-78</v>
      </c>
      <c r="BW94">
        <v>6.99</v>
      </c>
      <c r="BX94">
        <v>712</v>
      </c>
      <c r="BY94">
        <v>0.2</v>
      </c>
      <c r="BZ94">
        <v>0.01</v>
      </c>
      <c r="CA94" s="32">
        <v>0.9</v>
      </c>
      <c r="CB94" s="32">
        <f t="shared" si="72"/>
        <v>1.611459265890779E-2</v>
      </c>
      <c r="CC94" s="32">
        <f t="shared" si="73"/>
        <v>1.611459265890779E-2</v>
      </c>
      <c r="CD94" s="32">
        <v>4.7</v>
      </c>
      <c r="CE94" s="32">
        <f t="shared" si="74"/>
        <v>8.556344438376115E-2</v>
      </c>
      <c r="CF94" s="32">
        <f t="shared" si="75"/>
        <v>0.1711268887675223</v>
      </c>
      <c r="CG94" s="27">
        <v>70</v>
      </c>
      <c r="CH94" s="27">
        <f t="shared" si="76"/>
        <v>0.72871122215282114</v>
      </c>
      <c r="CI94" s="27">
        <f t="shared" si="77"/>
        <v>5.8296897772225691</v>
      </c>
      <c r="CJ94" s="58">
        <v>12</v>
      </c>
      <c r="CK94" s="58">
        <v>14.634146341463413</v>
      </c>
      <c r="CL94" s="58">
        <v>0.99937539038101186</v>
      </c>
      <c r="CM94" s="58">
        <v>0.99937539038101186</v>
      </c>
      <c r="CN94" s="28">
        <v>-54</v>
      </c>
      <c r="CO94" s="28">
        <v>-337.5</v>
      </c>
      <c r="CP94" s="28">
        <v>-4.4971892567145533</v>
      </c>
      <c r="CR94" s="32">
        <f t="shared" si="78"/>
        <v>6.9756402248594629</v>
      </c>
      <c r="CS94" s="32">
        <v>6.9756402248594629</v>
      </c>
      <c r="CT94" s="32">
        <f t="shared" si="79"/>
        <v>7.8756402248594632</v>
      </c>
      <c r="CU94" s="32">
        <f t="shared" si="80"/>
        <v>0.14101414905746576</v>
      </c>
      <c r="CV94" s="32">
        <f t="shared" si="81"/>
        <v>0.14101414905746576</v>
      </c>
      <c r="CW94" s="60">
        <f t="shared" si="82"/>
        <v>-31.390381011867582</v>
      </c>
      <c r="CY94" s="60">
        <f t="shared" si="83"/>
        <v>0.9</v>
      </c>
      <c r="CZ94" s="60">
        <f t="shared" si="84"/>
        <v>1.611459265890779E-2</v>
      </c>
      <c r="DA94" s="60">
        <f t="shared" si="85"/>
        <v>1.611459265890779E-2</v>
      </c>
      <c r="DB94" s="32">
        <f t="shared" si="86"/>
        <v>5.8296897772225691</v>
      </c>
      <c r="DC94">
        <f t="shared" si="87"/>
        <v>1.3115164282059999</v>
      </c>
      <c r="DD94">
        <f t="shared" si="88"/>
        <v>0.13048017172122178</v>
      </c>
      <c r="DE94">
        <f t="shared" si="89"/>
        <v>0.1075199258085974</v>
      </c>
      <c r="DF94">
        <f t="shared" si="90"/>
        <v>0.7619999024701809</v>
      </c>
      <c r="DG94">
        <f t="shared" si="91"/>
        <v>0.1872414814264301</v>
      </c>
      <c r="DH94">
        <f t="shared" si="92"/>
        <v>0.91393684489064753</v>
      </c>
      <c r="DI94">
        <f t="shared" si="93"/>
        <v>8.6063155109352446E-2</v>
      </c>
      <c r="DJ94">
        <f t="shared" si="94"/>
        <v>0</v>
      </c>
      <c r="DK94" s="64">
        <f t="shared" si="95"/>
        <v>-1.3078061246560306</v>
      </c>
      <c r="DL94" s="64">
        <f t="shared" si="96"/>
        <v>-0.18353117787646089</v>
      </c>
      <c r="DM94" s="64">
        <f t="shared" si="97"/>
        <v>-1.307794980674357</v>
      </c>
      <c r="DN94" s="64">
        <f t="shared" si="98"/>
        <v>-0.18352003389478705</v>
      </c>
      <c r="DO94" t="str">
        <f t="shared" si="99"/>
        <v>Sufficient Capacity</v>
      </c>
      <c r="DP94" t="str">
        <f t="shared" si="100"/>
        <v>Sufficient Capacity</v>
      </c>
    </row>
    <row r="95" spans="1:120" ht="15.75" x14ac:dyDescent="0.25">
      <c r="A95" s="5" t="s">
        <v>148</v>
      </c>
      <c r="B95" s="5" t="s">
        <v>148</v>
      </c>
      <c r="C95" s="2" t="s">
        <v>883</v>
      </c>
      <c r="D95" s="2" t="s">
        <v>537</v>
      </c>
      <c r="E95" s="2" t="s">
        <v>537</v>
      </c>
      <c r="F95" s="2">
        <v>94</v>
      </c>
      <c r="G95" s="2" t="s">
        <v>882</v>
      </c>
      <c r="H95" s="10" t="s">
        <v>656</v>
      </c>
      <c r="I95" s="2">
        <v>150</v>
      </c>
      <c r="J95" s="14">
        <v>100</v>
      </c>
      <c r="K95" s="13">
        <v>5</v>
      </c>
      <c r="L95" t="s">
        <v>322</v>
      </c>
      <c r="M95" s="2" t="s">
        <v>1120</v>
      </c>
      <c r="N95" s="2" t="s">
        <v>437</v>
      </c>
      <c r="O95" s="2" t="s">
        <v>666</v>
      </c>
      <c r="P95" s="2" t="s">
        <v>1132</v>
      </c>
      <c r="Q95" s="9" t="s">
        <v>740</v>
      </c>
      <c r="R95" s="2" t="str">
        <f t="shared" si="50"/>
        <v>CW_3_Section_2</v>
      </c>
      <c r="S95" s="2" t="str">
        <f t="shared" si="51"/>
        <v>CW_3_MF06</v>
      </c>
      <c r="T95" s="11" t="s">
        <v>845</v>
      </c>
      <c r="U95" s="1">
        <v>45707</v>
      </c>
      <c r="V95" s="2" t="s">
        <v>799</v>
      </c>
      <c r="W95" s="2" t="s">
        <v>663</v>
      </c>
      <c r="X95" s="2" t="s">
        <v>844</v>
      </c>
      <c r="Y95" s="2" t="str">
        <f t="shared" si="52"/>
        <v>T3_0.60-0.80</v>
      </c>
      <c r="Z95" t="s">
        <v>57</v>
      </c>
      <c r="AA95">
        <v>9.5</v>
      </c>
      <c r="AB95">
        <v>11</v>
      </c>
      <c r="AC95">
        <v>380</v>
      </c>
      <c r="AD95" s="32">
        <f t="shared" si="53"/>
        <v>0.14594802202022789</v>
      </c>
      <c r="AE95">
        <v>54</v>
      </c>
      <c r="AF95" s="32">
        <f t="shared" si="54"/>
        <v>2.1098328630345126E-2</v>
      </c>
      <c r="AG95">
        <v>380</v>
      </c>
      <c r="AH95" s="32">
        <f t="shared" si="55"/>
        <v>0.15032495055100309</v>
      </c>
      <c r="AI95">
        <v>130</v>
      </c>
      <c r="AJ95" s="32">
        <f t="shared" si="56"/>
        <v>5.1426956767448434E-2</v>
      </c>
      <c r="AK95">
        <v>200</v>
      </c>
      <c r="AL95" s="32">
        <f t="shared" si="57"/>
        <v>7.9118395026843744E-2</v>
      </c>
      <c r="AM95">
        <v>330</v>
      </c>
      <c r="AO95" s="49">
        <v>1144</v>
      </c>
      <c r="AP95" s="49">
        <f t="shared" si="58"/>
        <v>0.31737130120157608</v>
      </c>
      <c r="AQ95">
        <v>2400</v>
      </c>
      <c r="AR95" s="32">
        <f t="shared" si="59"/>
        <v>0.89880627291877968</v>
      </c>
      <c r="AS95" s="48">
        <v>4700</v>
      </c>
      <c r="AT95" s="27">
        <f t="shared" si="60"/>
        <v>1.7601622844659439</v>
      </c>
      <c r="AU95" s="48">
        <v>110</v>
      </c>
      <c r="AV95" s="27">
        <f t="shared" si="61"/>
        <v>4.0475721138051118E-2</v>
      </c>
      <c r="AW95" s="48">
        <v>150</v>
      </c>
      <c r="AX95" s="27">
        <f t="shared" si="62"/>
        <v>5.6416574800596593E-2</v>
      </c>
      <c r="AY95" s="48">
        <v>72</v>
      </c>
      <c r="AZ95" s="27">
        <f t="shared" si="63"/>
        <v>2.6855974010347734E-2</v>
      </c>
      <c r="BA95" s="48">
        <v>50</v>
      </c>
      <c r="BB95" s="27">
        <f t="shared" si="64"/>
        <v>1.8515401447567748E-2</v>
      </c>
      <c r="BC95" s="48">
        <v>3.4</v>
      </c>
      <c r="BD95" s="27">
        <f t="shared" si="65"/>
        <v>1.259047298434607E-3</v>
      </c>
      <c r="BE95" s="48">
        <v>0.86</v>
      </c>
      <c r="BF95" s="27">
        <f t="shared" si="66"/>
        <v>3.146600741656366E-4</v>
      </c>
      <c r="BG95" s="48">
        <v>0.83</v>
      </c>
      <c r="BH95" s="27">
        <f t="shared" si="67"/>
        <v>3.0368355995055626E-4</v>
      </c>
      <c r="BI95" s="52">
        <f t="shared" si="68"/>
        <v>5087.0899999999992</v>
      </c>
      <c r="BJ95" s="52">
        <f t="shared" si="69"/>
        <v>387.09</v>
      </c>
      <c r="BK95" s="27">
        <f t="shared" si="70"/>
        <v>1.9043033467950581</v>
      </c>
      <c r="BL95" s="27">
        <f t="shared" si="71"/>
        <v>0.14414106232911397</v>
      </c>
      <c r="BM95">
        <v>4900</v>
      </c>
      <c r="BN95">
        <v>1600</v>
      </c>
      <c r="BO95" t="s">
        <v>19</v>
      </c>
      <c r="BP95">
        <v>6400</v>
      </c>
      <c r="BQ95">
        <v>69</v>
      </c>
      <c r="BR95">
        <v>27</v>
      </c>
      <c r="BS95">
        <v>1.3</v>
      </c>
      <c r="BT95">
        <v>0.51</v>
      </c>
      <c r="BU95">
        <v>7.4</v>
      </c>
      <c r="BV95">
        <v>-108</v>
      </c>
      <c r="BW95">
        <v>7.11</v>
      </c>
      <c r="BX95">
        <v>735</v>
      </c>
      <c r="BY95">
        <v>0.2</v>
      </c>
      <c r="BZ95">
        <v>0.01</v>
      </c>
      <c r="CA95" s="32">
        <v>0.2</v>
      </c>
      <c r="CB95" s="32">
        <f t="shared" si="72"/>
        <v>3.5810205908683975E-3</v>
      </c>
      <c r="CC95" s="32">
        <f t="shared" si="73"/>
        <v>3.5810205908683975E-3</v>
      </c>
      <c r="CD95" s="32">
        <v>0.9</v>
      </c>
      <c r="CE95" s="32">
        <f t="shared" si="74"/>
        <v>1.6384489350081924E-2</v>
      </c>
      <c r="CF95" s="32">
        <f t="shared" si="75"/>
        <v>3.2768978700163848E-2</v>
      </c>
      <c r="CG95" s="27">
        <v>69</v>
      </c>
      <c r="CH95" s="27">
        <f t="shared" si="76"/>
        <v>0.71830106183635223</v>
      </c>
      <c r="CI95" s="27">
        <f t="shared" si="77"/>
        <v>5.7464084946908178</v>
      </c>
      <c r="CJ95" s="58">
        <v>13</v>
      </c>
      <c r="CK95" s="58">
        <v>15.853658536585366</v>
      </c>
      <c r="CL95" s="58">
        <v>1.0826566729127629</v>
      </c>
      <c r="CM95" s="58">
        <v>1.0826566729127629</v>
      </c>
      <c r="CN95" s="28">
        <v>1</v>
      </c>
      <c r="CO95" s="28">
        <v>1.4285714285714286</v>
      </c>
      <c r="CP95" s="28">
        <v>8.3281282531750989E-2</v>
      </c>
      <c r="CQ95" s="28">
        <v>8.3281282531750989E-2</v>
      </c>
      <c r="CR95" s="32">
        <f t="shared" si="78"/>
        <v>7.5569435769310846</v>
      </c>
      <c r="CS95" s="32">
        <v>7.5569435769310846</v>
      </c>
      <c r="CT95" s="32">
        <f t="shared" si="79"/>
        <v>7.7569435769310848</v>
      </c>
      <c r="CU95" s="32">
        <f t="shared" si="80"/>
        <v>0.13888887335597286</v>
      </c>
      <c r="CV95" s="32">
        <f t="shared" si="81"/>
        <v>0.13888887335597286</v>
      </c>
      <c r="CW95" s="60">
        <f t="shared" si="82"/>
        <v>0.58130335207162187</v>
      </c>
      <c r="CX95" s="60">
        <v>0.58130335207162187</v>
      </c>
      <c r="CY95" s="60">
        <f t="shared" si="83"/>
        <v>0.78130335207162194</v>
      </c>
      <c r="CZ95" s="60">
        <f t="shared" si="84"/>
        <v>1.3989316957414896E-2</v>
      </c>
      <c r="DA95" s="60">
        <f t="shared" si="85"/>
        <v>1.3989316957414896E-2</v>
      </c>
      <c r="DB95" s="32">
        <f t="shared" si="86"/>
        <v>5.7464084946908178</v>
      </c>
      <c r="DC95">
        <f t="shared" si="87"/>
        <v>1.2543145249688996</v>
      </c>
      <c r="DD95">
        <f t="shared" si="88"/>
        <v>2.6125009355987761E-2</v>
      </c>
      <c r="DE95">
        <f t="shared" si="89"/>
        <v>0.11072890458588652</v>
      </c>
      <c r="DF95">
        <f t="shared" si="90"/>
        <v>0.86314608605812571</v>
      </c>
      <c r="DG95">
        <f t="shared" si="91"/>
        <v>0.13003957818932974</v>
      </c>
      <c r="DH95">
        <f t="shared" si="92"/>
        <v>0.25199234845605389</v>
      </c>
      <c r="DI95">
        <f t="shared" si="93"/>
        <v>0.10757737876577313</v>
      </c>
      <c r="DJ95">
        <f t="shared" si="94"/>
        <v>0.64043027277817288</v>
      </c>
      <c r="DK95" s="64">
        <f t="shared" si="95"/>
        <v>-3.8136950848543849E-2</v>
      </c>
      <c r="DL95" s="64">
        <f t="shared" si="96"/>
        <v>1.086137995931026</v>
      </c>
      <c r="DM95" s="64">
        <f t="shared" si="97"/>
        <v>0.1060041114805701</v>
      </c>
      <c r="DN95" s="64">
        <f t="shared" si="98"/>
        <v>1.2302790582601399</v>
      </c>
      <c r="DO95" t="str">
        <f t="shared" si="99"/>
        <v>Insufficient Capacity</v>
      </c>
      <c r="DP95" t="str">
        <f t="shared" si="100"/>
        <v>Insufficient Capacity</v>
      </c>
    </row>
    <row r="96" spans="1:120" ht="15.75" x14ac:dyDescent="0.25">
      <c r="A96" s="5" t="s">
        <v>149</v>
      </c>
      <c r="B96" s="5" t="s">
        <v>149</v>
      </c>
      <c r="C96" s="2" t="s">
        <v>885</v>
      </c>
      <c r="D96" s="2" t="s">
        <v>538</v>
      </c>
      <c r="E96" s="2" t="s">
        <v>538</v>
      </c>
      <c r="F96" s="2">
        <v>95</v>
      </c>
      <c r="G96" s="2" t="s">
        <v>884</v>
      </c>
      <c r="H96" s="10" t="s">
        <v>656</v>
      </c>
      <c r="I96" s="2">
        <v>150</v>
      </c>
      <c r="J96" s="14">
        <v>100</v>
      </c>
      <c r="K96" s="13">
        <v>8.6999999999999993</v>
      </c>
      <c r="L96" t="s">
        <v>323</v>
      </c>
      <c r="M96" s="2" t="s">
        <v>1120</v>
      </c>
      <c r="N96" s="2" t="s">
        <v>437</v>
      </c>
      <c r="O96" s="2" t="s">
        <v>673</v>
      </c>
      <c r="P96" s="2" t="s">
        <v>1127</v>
      </c>
      <c r="Q96" s="9" t="s">
        <v>743</v>
      </c>
      <c r="R96" s="2" t="str">
        <f t="shared" si="50"/>
        <v>CW_3_Section_3</v>
      </c>
      <c r="S96" s="2" t="str">
        <f t="shared" si="51"/>
        <v>CW_3_MF09</v>
      </c>
      <c r="T96" s="11" t="s">
        <v>845</v>
      </c>
      <c r="U96" s="1">
        <v>45707</v>
      </c>
      <c r="V96" s="2" t="s">
        <v>799</v>
      </c>
      <c r="W96" s="2" t="s">
        <v>655</v>
      </c>
      <c r="X96" s="2" t="s">
        <v>844</v>
      </c>
      <c r="Y96" s="2" t="str">
        <f t="shared" si="52"/>
        <v>T3_0.15-0.30</v>
      </c>
      <c r="Z96" t="s">
        <v>59</v>
      </c>
      <c r="AA96">
        <v>9.4</v>
      </c>
      <c r="AB96">
        <v>10</v>
      </c>
      <c r="AC96">
        <v>210</v>
      </c>
      <c r="AD96" s="32">
        <f t="shared" si="53"/>
        <v>8.0655485853283831E-2</v>
      </c>
      <c r="AE96">
        <v>1.4</v>
      </c>
      <c r="AF96" s="32">
        <f t="shared" si="54"/>
        <v>5.4699370523116997E-4</v>
      </c>
      <c r="AG96">
        <v>33</v>
      </c>
      <c r="AH96" s="32">
        <f t="shared" si="55"/>
        <v>1.3054535179429217E-2</v>
      </c>
      <c r="AI96">
        <v>17</v>
      </c>
      <c r="AJ96" s="32">
        <f t="shared" si="56"/>
        <v>6.725063577281718E-3</v>
      </c>
      <c r="AK96">
        <v>7.9</v>
      </c>
      <c r="AL96" s="32">
        <f t="shared" si="57"/>
        <v>3.1251766035603279E-3</v>
      </c>
      <c r="AM96">
        <v>24.9</v>
      </c>
      <c r="AO96" s="49">
        <v>269.3</v>
      </c>
      <c r="AP96" s="49">
        <f t="shared" si="58"/>
        <v>9.425701473794422E-2</v>
      </c>
      <c r="AQ96">
        <v>40</v>
      </c>
      <c r="AR96" s="32">
        <f t="shared" si="59"/>
        <v>1.4980104548646327E-2</v>
      </c>
      <c r="AS96" s="48">
        <v>21</v>
      </c>
      <c r="AT96" s="27">
        <f t="shared" si="60"/>
        <v>7.8645548880393219E-3</v>
      </c>
      <c r="AU96" s="48">
        <v>0.4</v>
      </c>
      <c r="AV96" s="27">
        <f t="shared" si="61"/>
        <v>1.4718444050200409E-4</v>
      </c>
      <c r="AW96" s="48">
        <v>0.22</v>
      </c>
      <c r="AX96" s="27">
        <f t="shared" si="62"/>
        <v>8.2744309707541669E-5</v>
      </c>
      <c r="AY96" s="48">
        <v>0.06</v>
      </c>
      <c r="AZ96" s="27">
        <f t="shared" si="63"/>
        <v>2.2379978341956443E-5</v>
      </c>
      <c r="BA96" s="48">
        <v>0.01</v>
      </c>
      <c r="BB96" s="27">
        <f t="shared" si="64"/>
        <v>3.7030802895135499E-6</v>
      </c>
      <c r="BC96" s="48">
        <v>1E-3</v>
      </c>
      <c r="BD96" s="27">
        <f t="shared" si="65"/>
        <v>3.7030802895135499E-7</v>
      </c>
      <c r="BE96" s="48">
        <v>1E-3</v>
      </c>
      <c r="BF96" s="27">
        <f t="shared" si="66"/>
        <v>3.6588380716934485E-7</v>
      </c>
      <c r="BG96" s="48">
        <v>2E-3</v>
      </c>
      <c r="BH96" s="27">
        <f t="shared" si="67"/>
        <v>7.3176761433868969E-7</v>
      </c>
      <c r="BI96" s="52">
        <f t="shared" si="68"/>
        <v>21.693999999999999</v>
      </c>
      <c r="BJ96" s="52">
        <f t="shared" si="69"/>
        <v>0.69399999999999995</v>
      </c>
      <c r="BK96" s="27">
        <f t="shared" si="70"/>
        <v>8.1220346563307972E-3</v>
      </c>
      <c r="BL96" s="27">
        <f t="shared" si="71"/>
        <v>2.5747976829147511E-4</v>
      </c>
      <c r="BM96">
        <v>60</v>
      </c>
      <c r="BN96">
        <v>30</v>
      </c>
      <c r="BO96" t="s">
        <v>19</v>
      </c>
      <c r="BP96">
        <v>120</v>
      </c>
      <c r="BQ96">
        <v>63</v>
      </c>
      <c r="BR96">
        <v>24</v>
      </c>
      <c r="BS96">
        <v>1.9</v>
      </c>
      <c r="BT96">
        <v>5.86</v>
      </c>
      <c r="BU96">
        <v>7.6</v>
      </c>
      <c r="BV96">
        <v>-86</v>
      </c>
      <c r="BW96">
        <v>7.02</v>
      </c>
      <c r="BX96">
        <v>822</v>
      </c>
      <c r="BY96">
        <v>0.2</v>
      </c>
      <c r="BZ96">
        <v>0.01</v>
      </c>
      <c r="CA96" s="32">
        <v>21</v>
      </c>
      <c r="CB96" s="32">
        <f t="shared" si="72"/>
        <v>0.37600716204118173</v>
      </c>
      <c r="CC96" s="32">
        <f t="shared" si="73"/>
        <v>0.37600716204118173</v>
      </c>
      <c r="CD96" s="32">
        <v>4.5999999999999996</v>
      </c>
      <c r="CE96" s="32">
        <f t="shared" si="74"/>
        <v>8.3742945567085378E-2</v>
      </c>
      <c r="CF96" s="32">
        <f t="shared" si="75"/>
        <v>0.16748589113417076</v>
      </c>
      <c r="CG96" s="27">
        <v>0.5</v>
      </c>
      <c r="CH96" s="27">
        <f t="shared" si="76"/>
        <v>5.2050801582344368E-3</v>
      </c>
      <c r="CI96" s="27">
        <f t="shared" si="77"/>
        <v>4.1640641265875494E-2</v>
      </c>
      <c r="CJ96" s="58">
        <v>81.5</v>
      </c>
      <c r="CK96" s="58">
        <v>99.390243902439025</v>
      </c>
      <c r="CL96" s="58">
        <v>6.7874245263377055</v>
      </c>
      <c r="CM96" s="58">
        <v>6.7874245263377055</v>
      </c>
      <c r="CN96" s="28">
        <v>69.5</v>
      </c>
      <c r="CO96" s="28">
        <v>99.285714285714292</v>
      </c>
      <c r="CP96" s="28">
        <v>5.7880491359566939</v>
      </c>
      <c r="CQ96" s="28">
        <v>5.7880491359566939</v>
      </c>
      <c r="CR96" s="32">
        <f t="shared" si="78"/>
        <v>47.376223193837184</v>
      </c>
      <c r="CS96" s="32">
        <v>47.376223193837184</v>
      </c>
      <c r="CT96" s="32">
        <f t="shared" si="79"/>
        <v>68.376223193837177</v>
      </c>
      <c r="CU96" s="32">
        <f t="shared" si="80"/>
        <v>1.2242833159147211</v>
      </c>
      <c r="CV96" s="32">
        <f t="shared" si="81"/>
        <v>1.2242833159147211</v>
      </c>
      <c r="CW96" s="60">
        <f t="shared" si="82"/>
        <v>40.400582968977723</v>
      </c>
      <c r="CX96" s="60">
        <v>40.400582968977723</v>
      </c>
      <c r="CY96" s="60">
        <f t="shared" si="83"/>
        <v>61.400582968977723</v>
      </c>
      <c r="CZ96" s="60">
        <f t="shared" si="84"/>
        <v>1.0993837595161633</v>
      </c>
      <c r="DA96" s="60">
        <f t="shared" si="85"/>
        <v>1.0993837595161633</v>
      </c>
      <c r="DB96" s="32">
        <f t="shared" si="86"/>
        <v>4.1640641265875494E-2</v>
      </c>
      <c r="DC96">
        <f t="shared" si="87"/>
        <v>8.1791937333865974</v>
      </c>
      <c r="DD96">
        <f t="shared" si="88"/>
        <v>2.0477066150238157E-2</v>
      </c>
      <c r="DE96">
        <f t="shared" si="89"/>
        <v>0.14968264059051775</v>
      </c>
      <c r="DF96">
        <f t="shared" si="90"/>
        <v>0.82984029325924413</v>
      </c>
      <c r="DG96">
        <f t="shared" si="91"/>
        <v>7.0549187866070282</v>
      </c>
      <c r="DH96">
        <f t="shared" si="92"/>
        <v>2.3740300377677475E-2</v>
      </c>
      <c r="DI96">
        <f t="shared" si="93"/>
        <v>0.15583223461100928</v>
      </c>
      <c r="DJ96">
        <f t="shared" si="94"/>
        <v>0.82042746501131325</v>
      </c>
      <c r="DK96" s="64">
        <f t="shared" si="95"/>
        <v>-8.0699566141000076</v>
      </c>
      <c r="DL96" s="64">
        <f t="shared" si="96"/>
        <v>-6.9456816673204376</v>
      </c>
      <c r="DM96" s="64">
        <f t="shared" si="97"/>
        <v>-8.0696991343317155</v>
      </c>
      <c r="DN96" s="64">
        <f t="shared" si="98"/>
        <v>-6.9454241875521463</v>
      </c>
      <c r="DO96" t="str">
        <f t="shared" si="99"/>
        <v>Sufficient Capacity</v>
      </c>
      <c r="DP96" t="str">
        <f t="shared" si="100"/>
        <v>Sufficient Capacity</v>
      </c>
    </row>
    <row r="97" spans="1:120" ht="15.75" x14ac:dyDescent="0.25">
      <c r="A97" s="5" t="s">
        <v>150</v>
      </c>
      <c r="B97" s="5" t="s">
        <v>150</v>
      </c>
      <c r="C97" s="2" t="s">
        <v>887</v>
      </c>
      <c r="D97" s="2" t="s">
        <v>539</v>
      </c>
      <c r="E97" s="2" t="s">
        <v>539</v>
      </c>
      <c r="F97" s="2">
        <v>96</v>
      </c>
      <c r="G97" s="2" t="s">
        <v>886</v>
      </c>
      <c r="H97" s="10" t="s">
        <v>656</v>
      </c>
      <c r="I97" s="2">
        <v>150</v>
      </c>
      <c r="J97" s="14">
        <v>100</v>
      </c>
      <c r="K97" s="13">
        <v>3.25</v>
      </c>
      <c r="L97" t="s">
        <v>324</v>
      </c>
      <c r="M97" s="2" t="s">
        <v>1120</v>
      </c>
      <c r="N97" s="2" t="s">
        <v>437</v>
      </c>
      <c r="O97" s="2" t="s">
        <v>673</v>
      </c>
      <c r="P97" s="2" t="s">
        <v>1128</v>
      </c>
      <c r="Q97" s="9" t="s">
        <v>746</v>
      </c>
      <c r="R97" s="2" t="str">
        <f t="shared" si="50"/>
        <v>CW_3_Section_3</v>
      </c>
      <c r="S97" s="2" t="str">
        <f t="shared" si="51"/>
        <v>CW_3_MF10</v>
      </c>
      <c r="T97" s="11" t="s">
        <v>845</v>
      </c>
      <c r="U97" s="1">
        <v>45707</v>
      </c>
      <c r="V97" s="2" t="s">
        <v>799</v>
      </c>
      <c r="W97" s="2" t="s">
        <v>663</v>
      </c>
      <c r="X97" s="2" t="s">
        <v>844</v>
      </c>
      <c r="Y97" s="2" t="str">
        <f t="shared" si="52"/>
        <v>T3_0.60-0.80</v>
      </c>
      <c r="Z97" t="s">
        <v>61</v>
      </c>
      <c r="AA97">
        <v>11</v>
      </c>
      <c r="AB97">
        <v>12</v>
      </c>
      <c r="AC97">
        <v>560</v>
      </c>
      <c r="AD97" s="32">
        <f t="shared" si="53"/>
        <v>0.21508129560875688</v>
      </c>
      <c r="AE97">
        <v>2</v>
      </c>
      <c r="AF97" s="32">
        <f t="shared" si="54"/>
        <v>7.8141957890167139E-4</v>
      </c>
      <c r="AG97">
        <v>390</v>
      </c>
      <c r="AH97" s="32">
        <f t="shared" si="55"/>
        <v>0.1542808703023453</v>
      </c>
      <c r="AI97">
        <v>130</v>
      </c>
      <c r="AJ97" s="32">
        <f t="shared" si="56"/>
        <v>5.1426956767448434E-2</v>
      </c>
      <c r="AK97">
        <v>150</v>
      </c>
      <c r="AL97" s="32">
        <f t="shared" si="57"/>
        <v>5.9338796270132804E-2</v>
      </c>
      <c r="AM97">
        <v>280</v>
      </c>
      <c r="AO97" s="49">
        <v>1244</v>
      </c>
      <c r="AP97" s="49">
        <f t="shared" si="58"/>
        <v>0.37014358549000387</v>
      </c>
      <c r="AQ97">
        <v>2600</v>
      </c>
      <c r="AR97" s="32">
        <f t="shared" si="59"/>
        <v>0.97370679566201146</v>
      </c>
      <c r="AS97" s="48">
        <v>2700</v>
      </c>
      <c r="AT97" s="27">
        <f t="shared" si="60"/>
        <v>1.0111570570336272</v>
      </c>
      <c r="AU97" s="48">
        <v>95</v>
      </c>
      <c r="AV97" s="27">
        <f t="shared" si="61"/>
        <v>3.495630461922597E-2</v>
      </c>
      <c r="AW97" s="48">
        <v>130</v>
      </c>
      <c r="AX97" s="27">
        <f t="shared" si="62"/>
        <v>4.8894364827183713E-2</v>
      </c>
      <c r="AY97" s="48">
        <v>40</v>
      </c>
      <c r="AZ97" s="27">
        <f t="shared" si="63"/>
        <v>1.4919985561304295E-2</v>
      </c>
      <c r="BA97" s="48">
        <v>20</v>
      </c>
      <c r="BB97" s="27">
        <f t="shared" si="64"/>
        <v>7.4061605790270999E-3</v>
      </c>
      <c r="BC97" s="48">
        <v>1.6</v>
      </c>
      <c r="BD97" s="27">
        <f t="shared" si="65"/>
        <v>5.9249284632216796E-4</v>
      </c>
      <c r="BE97" s="48">
        <v>7.0000000000000007E-2</v>
      </c>
      <c r="BF97" s="27">
        <f t="shared" si="66"/>
        <v>2.5611866501854141E-5</v>
      </c>
      <c r="BG97" s="48">
        <v>0.03</v>
      </c>
      <c r="BH97" s="27">
        <f t="shared" si="67"/>
        <v>1.0976514215080345E-5</v>
      </c>
      <c r="BI97" s="52">
        <f t="shared" si="68"/>
        <v>2986.7000000000003</v>
      </c>
      <c r="BJ97" s="52">
        <f t="shared" si="69"/>
        <v>286.7</v>
      </c>
      <c r="BK97" s="27">
        <f t="shared" si="70"/>
        <v>1.1179629538474076</v>
      </c>
      <c r="BL97" s="27">
        <f t="shared" si="71"/>
        <v>0.10680589681378017</v>
      </c>
      <c r="BM97">
        <v>5200</v>
      </c>
      <c r="BN97">
        <v>1500</v>
      </c>
      <c r="BO97" t="s">
        <v>19</v>
      </c>
      <c r="BP97">
        <v>6700</v>
      </c>
      <c r="BQ97">
        <v>68</v>
      </c>
      <c r="BR97">
        <v>32</v>
      </c>
      <c r="BS97">
        <v>1.1000000000000001</v>
      </c>
      <c r="BT97">
        <v>0.57999999999999996</v>
      </c>
      <c r="BU97">
        <v>7.5</v>
      </c>
      <c r="BV97">
        <v>-98</v>
      </c>
      <c r="BW97">
        <v>6.92</v>
      </c>
      <c r="BX97">
        <v>690</v>
      </c>
      <c r="BY97">
        <v>0.2</v>
      </c>
      <c r="BZ97">
        <v>0.01</v>
      </c>
      <c r="CA97" s="32">
        <v>0.6</v>
      </c>
      <c r="CB97" s="32">
        <f t="shared" si="72"/>
        <v>1.0743061772605192E-2</v>
      </c>
      <c r="CC97" s="32">
        <f t="shared" si="73"/>
        <v>1.0743061772605192E-2</v>
      </c>
      <c r="CD97" s="32">
        <v>1.2</v>
      </c>
      <c r="CE97" s="32">
        <f t="shared" si="74"/>
        <v>2.1845985800109231E-2</v>
      </c>
      <c r="CF97" s="32">
        <f t="shared" si="75"/>
        <v>4.3691971600218461E-2</v>
      </c>
      <c r="CG97" s="27">
        <v>65</v>
      </c>
      <c r="CH97" s="27">
        <f t="shared" si="76"/>
        <v>0.67666042057047682</v>
      </c>
      <c r="CI97" s="27">
        <f t="shared" si="77"/>
        <v>5.4132833645638145</v>
      </c>
      <c r="CJ97" s="58">
        <v>17</v>
      </c>
      <c r="CK97" s="58">
        <v>20.73170731707317</v>
      </c>
      <c r="CL97" s="58">
        <v>1.4157818030397669</v>
      </c>
      <c r="CM97" s="58">
        <v>1.4157818030397669</v>
      </c>
      <c r="CN97" s="28">
        <v>4</v>
      </c>
      <c r="CO97" s="28">
        <v>5.7971014492753623</v>
      </c>
      <c r="CP97" s="28">
        <v>0.33312513012700395</v>
      </c>
      <c r="CQ97" s="28">
        <v>0.33312513012700395</v>
      </c>
      <c r="CR97" s="32">
        <f t="shared" si="78"/>
        <v>9.8821569852175717</v>
      </c>
      <c r="CS97" s="32">
        <v>9.8821569852175717</v>
      </c>
      <c r="CT97" s="32">
        <f t="shared" si="79"/>
        <v>10.482156985217571</v>
      </c>
      <c r="CU97" s="32">
        <f t="shared" si="80"/>
        <v>0.18768410000389563</v>
      </c>
      <c r="CV97" s="32">
        <f t="shared" si="81"/>
        <v>0.18768410000389563</v>
      </c>
      <c r="CW97" s="60">
        <f t="shared" si="82"/>
        <v>2.3252134082864875</v>
      </c>
      <c r="CX97" s="60">
        <v>2.3252134082864875</v>
      </c>
      <c r="CY97" s="60">
        <f t="shared" si="83"/>
        <v>2.9252134082864876</v>
      </c>
      <c r="CZ97" s="60">
        <f t="shared" si="84"/>
        <v>5.2376247238791182E-2</v>
      </c>
      <c r="DA97" s="60">
        <f t="shared" si="85"/>
        <v>5.2376247238791182E-2</v>
      </c>
      <c r="DB97" s="32">
        <f t="shared" si="86"/>
        <v>5.4132833645638145</v>
      </c>
      <c r="DC97">
        <f t="shared" si="87"/>
        <v>1.6471578746438809</v>
      </c>
      <c r="DD97">
        <f t="shared" si="88"/>
        <v>2.6525673265936797E-2</v>
      </c>
      <c r="DE97">
        <f t="shared" si="89"/>
        <v>0.11394420831972366</v>
      </c>
      <c r="DF97">
        <f t="shared" si="90"/>
        <v>0.85953011841433957</v>
      </c>
      <c r="DG97">
        <f t="shared" si="91"/>
        <v>0.42919334896601358</v>
      </c>
      <c r="DH97">
        <f t="shared" si="92"/>
        <v>0.10180020660962825</v>
      </c>
      <c r="DI97">
        <f t="shared" si="93"/>
        <v>0.12203415398904209</v>
      </c>
      <c r="DJ97">
        <f t="shared" si="94"/>
        <v>0.77616563940132965</v>
      </c>
      <c r="DK97" s="64">
        <f t="shared" si="95"/>
        <v>-0.30330749349186559</v>
      </c>
      <c r="DL97" s="64">
        <f t="shared" si="96"/>
        <v>0.91465703218600169</v>
      </c>
      <c r="DM97" s="64">
        <f t="shared" si="97"/>
        <v>-0.19650159667808542</v>
      </c>
      <c r="DN97" s="64">
        <f t="shared" si="98"/>
        <v>1.0214629289997819</v>
      </c>
      <c r="DO97" t="str">
        <f t="shared" si="99"/>
        <v>Sufficient Capacity</v>
      </c>
      <c r="DP97" t="str">
        <f t="shared" si="100"/>
        <v>Insufficient Capacity</v>
      </c>
    </row>
    <row r="98" spans="1:120" ht="15.75" x14ac:dyDescent="0.25">
      <c r="A98" s="29" t="s">
        <v>151</v>
      </c>
      <c r="B98" s="29" t="s">
        <v>151</v>
      </c>
      <c r="C98" s="29" t="s">
        <v>889</v>
      </c>
      <c r="D98" s="29" t="s">
        <v>540</v>
      </c>
      <c r="E98" s="29" t="s">
        <v>540</v>
      </c>
      <c r="F98" s="29">
        <v>97</v>
      </c>
      <c r="G98" s="29" t="s">
        <v>888</v>
      </c>
      <c r="H98" s="30" t="s">
        <v>656</v>
      </c>
      <c r="I98" s="29">
        <v>150</v>
      </c>
      <c r="J98" s="29">
        <v>65</v>
      </c>
      <c r="K98" s="36">
        <v>4.55</v>
      </c>
      <c r="L98" s="32" t="s">
        <v>333</v>
      </c>
      <c r="M98" s="29" t="s">
        <v>1118</v>
      </c>
      <c r="N98" s="29" t="s">
        <v>688</v>
      </c>
      <c r="O98" s="29" t="s">
        <v>687</v>
      </c>
      <c r="P98" s="29" t="s">
        <v>1118</v>
      </c>
      <c r="Q98" s="29" t="s">
        <v>443</v>
      </c>
      <c r="R98" s="2" t="str">
        <f t="shared" si="50"/>
        <v>CW_0_Section_0</v>
      </c>
      <c r="S98" s="2" t="str">
        <f t="shared" si="51"/>
        <v>CW_0_INF</v>
      </c>
      <c r="T98" s="31" t="s">
        <v>891</v>
      </c>
      <c r="U98" s="33">
        <v>45762</v>
      </c>
      <c r="V98" s="29" t="s">
        <v>660</v>
      </c>
      <c r="W98" s="29" t="s">
        <v>1118</v>
      </c>
      <c r="X98" s="29" t="s">
        <v>890</v>
      </c>
      <c r="Y98" s="2" t="str">
        <f t="shared" si="52"/>
        <v>T4_INF</v>
      </c>
      <c r="Z98" s="32" t="s">
        <v>27</v>
      </c>
      <c r="AA98" s="32">
        <v>16</v>
      </c>
      <c r="AB98" s="32">
        <v>16</v>
      </c>
      <c r="AC98" s="32">
        <v>570</v>
      </c>
      <c r="AD98" s="32">
        <f t="shared" si="53"/>
        <v>0.21892203303034183</v>
      </c>
      <c r="AE98" s="32">
        <v>150</v>
      </c>
      <c r="AF98" s="32">
        <f t="shared" si="54"/>
        <v>5.8606468417625353E-2</v>
      </c>
      <c r="AG98" s="32">
        <v>660</v>
      </c>
      <c r="AH98" s="32">
        <f t="shared" si="55"/>
        <v>0.26109070358858438</v>
      </c>
      <c r="AI98" s="32">
        <v>210</v>
      </c>
      <c r="AJ98" s="32">
        <f t="shared" si="56"/>
        <v>8.3074314778185929E-2</v>
      </c>
      <c r="AK98" s="32">
        <v>390</v>
      </c>
      <c r="AL98" s="32">
        <f t="shared" si="57"/>
        <v>0.1542808703023453</v>
      </c>
      <c r="AM98" s="32">
        <v>600</v>
      </c>
      <c r="AN98" s="32"/>
      <c r="AO98" s="49">
        <v>1980</v>
      </c>
      <c r="AP98" s="49">
        <f t="shared" si="58"/>
        <v>0.53861920503655158</v>
      </c>
      <c r="AQ98" s="32">
        <v>4000</v>
      </c>
      <c r="AR98" s="32">
        <f t="shared" si="59"/>
        <v>1.4980104548646329</v>
      </c>
      <c r="AS98" s="48">
        <v>4800</v>
      </c>
      <c r="AT98" s="27">
        <f t="shared" si="60"/>
        <v>1.7976125458375594</v>
      </c>
      <c r="AU98" s="48">
        <v>160</v>
      </c>
      <c r="AV98" s="27">
        <f t="shared" si="61"/>
        <v>5.8873776200801628E-2</v>
      </c>
      <c r="AW98" s="48">
        <v>210</v>
      </c>
      <c r="AX98" s="27">
        <f t="shared" si="62"/>
        <v>7.8983204720835226E-2</v>
      </c>
      <c r="AY98" s="48">
        <v>120</v>
      </c>
      <c r="AZ98" s="27">
        <f t="shared" si="63"/>
        <v>4.4759956683912888E-2</v>
      </c>
      <c r="BA98" s="48">
        <v>120</v>
      </c>
      <c r="BB98" s="27">
        <f t="shared" si="64"/>
        <v>4.4436963474162601E-2</v>
      </c>
      <c r="BC98" s="48">
        <v>22</v>
      </c>
      <c r="BD98" s="27">
        <f t="shared" si="65"/>
        <v>8.1467766369298089E-3</v>
      </c>
      <c r="BE98" s="48">
        <v>12</v>
      </c>
      <c r="BF98" s="27">
        <f t="shared" si="66"/>
        <v>4.3906056860321388E-3</v>
      </c>
      <c r="BG98" s="48">
        <v>14</v>
      </c>
      <c r="BH98" s="27">
        <f t="shared" si="67"/>
        <v>5.1223733003708284E-3</v>
      </c>
      <c r="BI98" s="52">
        <f t="shared" si="68"/>
        <v>5458</v>
      </c>
      <c r="BJ98" s="52">
        <f t="shared" si="69"/>
        <v>658</v>
      </c>
      <c r="BK98" s="27">
        <f t="shared" si="70"/>
        <v>2.0423262025406048</v>
      </c>
      <c r="BL98" s="27">
        <f t="shared" si="71"/>
        <v>0.2447136567030451</v>
      </c>
      <c r="BM98" s="32">
        <v>7600</v>
      </c>
      <c r="BN98" s="32">
        <v>3800</v>
      </c>
      <c r="BO98" s="32" t="s">
        <v>19</v>
      </c>
      <c r="BP98" s="32">
        <v>11000</v>
      </c>
      <c r="BQ98" s="32">
        <v>71</v>
      </c>
      <c r="BR98" s="32" t="s">
        <v>443</v>
      </c>
      <c r="BS98" s="32">
        <v>0.77</v>
      </c>
      <c r="BT98" s="32" t="s">
        <v>443</v>
      </c>
      <c r="BU98" s="32" t="s">
        <v>443</v>
      </c>
      <c r="BV98" s="32" t="s">
        <v>443</v>
      </c>
      <c r="BW98" s="32" t="s">
        <v>443</v>
      </c>
      <c r="BX98" s="32" t="s">
        <v>443</v>
      </c>
      <c r="BY98" s="32" t="s">
        <v>443</v>
      </c>
      <c r="BZ98" s="32">
        <v>0.01</v>
      </c>
      <c r="CA98" s="32">
        <v>0.6</v>
      </c>
      <c r="CB98" s="32">
        <f t="shared" si="72"/>
        <v>1.0743061772605192E-2</v>
      </c>
      <c r="CC98" s="32">
        <f t="shared" si="73"/>
        <v>1.0743061772605192E-2</v>
      </c>
      <c r="CD98" s="32">
        <v>0.8</v>
      </c>
      <c r="CE98" s="32">
        <f t="shared" si="74"/>
        <v>1.4563990533406155E-2</v>
      </c>
      <c r="CF98" s="32">
        <f t="shared" si="75"/>
        <v>2.912798106681231E-2</v>
      </c>
      <c r="CG98" s="32">
        <v>87</v>
      </c>
      <c r="CH98" s="32">
        <f t="shared" si="76"/>
        <v>0.90568394753279202</v>
      </c>
      <c r="CI98" s="32">
        <f t="shared" si="77"/>
        <v>7.2454715802623362</v>
      </c>
      <c r="CJ98" s="58">
        <v>0</v>
      </c>
      <c r="CK98" s="58">
        <v>0</v>
      </c>
      <c r="CL98" s="58">
        <v>0</v>
      </c>
      <c r="CM98" s="58">
        <v>0</v>
      </c>
      <c r="CN98" s="28">
        <v>0</v>
      </c>
      <c r="CO98" s="28">
        <v>0</v>
      </c>
      <c r="CP98" s="28">
        <v>0</v>
      </c>
      <c r="CQ98" s="28">
        <v>0</v>
      </c>
      <c r="CR98" s="32">
        <f t="shared" si="78"/>
        <v>0</v>
      </c>
      <c r="CS98" s="32">
        <v>0</v>
      </c>
      <c r="CT98" s="32">
        <f t="shared" si="79"/>
        <v>0.6</v>
      </c>
      <c r="CU98" s="32">
        <f t="shared" si="80"/>
        <v>1.0743061772605192E-2</v>
      </c>
      <c r="CV98" s="32">
        <f t="shared" si="81"/>
        <v>1.0743061772605192E-2</v>
      </c>
      <c r="CW98" s="60">
        <f t="shared" si="82"/>
        <v>0</v>
      </c>
      <c r="CX98" s="60">
        <v>0</v>
      </c>
      <c r="CY98" s="60">
        <f t="shared" si="83"/>
        <v>0.6</v>
      </c>
      <c r="CZ98" s="60">
        <f t="shared" si="84"/>
        <v>1.0743061772605192E-2</v>
      </c>
      <c r="DA98" s="60">
        <f t="shared" si="85"/>
        <v>1.0743061772605192E-2</v>
      </c>
      <c r="DB98" s="32">
        <f t="shared" si="86"/>
        <v>7.2454715802623362</v>
      </c>
      <c r="DC98">
        <f t="shared" si="87"/>
        <v>3.9871042839417503E-2</v>
      </c>
      <c r="DD98">
        <f t="shared" si="88"/>
        <v>0.7305547834333459</v>
      </c>
      <c r="DE98">
        <f t="shared" si="89"/>
        <v>0.2694452165666541</v>
      </c>
      <c r="DF98">
        <f t="shared" si="90"/>
        <v>0</v>
      </c>
      <c r="DG98">
        <f t="shared" si="91"/>
        <v>3.9871042839417503E-2</v>
      </c>
      <c r="DH98">
        <f t="shared" si="92"/>
        <v>0.7305547834333459</v>
      </c>
      <c r="DI98">
        <f t="shared" si="93"/>
        <v>0.2694452165666541</v>
      </c>
      <c r="DJ98">
        <f t="shared" si="94"/>
        <v>0</v>
      </c>
      <c r="DK98" s="64">
        <f t="shared" si="95"/>
        <v>1.9967586170617668</v>
      </c>
      <c r="DL98" s="64">
        <f t="shared" si="96"/>
        <v>1.9967586170617668</v>
      </c>
      <c r="DM98" s="64">
        <f t="shared" si="97"/>
        <v>2.2414722737648121</v>
      </c>
      <c r="DN98" s="64">
        <f t="shared" si="98"/>
        <v>2.2414722737648121</v>
      </c>
      <c r="DO98" t="str">
        <f t="shared" si="99"/>
        <v>Insufficient Capacity</v>
      </c>
      <c r="DP98" t="str">
        <f t="shared" si="100"/>
        <v>Insufficient Capacity</v>
      </c>
    </row>
    <row r="99" spans="1:120" ht="15.75" x14ac:dyDescent="0.25">
      <c r="A99" s="6" t="s">
        <v>152</v>
      </c>
      <c r="B99" s="6" t="s">
        <v>152</v>
      </c>
      <c r="C99" s="2" t="s">
        <v>893</v>
      </c>
      <c r="D99" s="2" t="s">
        <v>541</v>
      </c>
      <c r="E99" s="2" t="s">
        <v>541</v>
      </c>
      <c r="F99" s="2">
        <v>98</v>
      </c>
      <c r="G99" s="2" t="s">
        <v>892</v>
      </c>
      <c r="H99" s="10" t="s">
        <v>656</v>
      </c>
      <c r="I99" s="2">
        <v>150</v>
      </c>
      <c r="J99" s="2">
        <v>65</v>
      </c>
      <c r="K99" s="15">
        <v>4.9000000000000004</v>
      </c>
      <c r="L99" t="s">
        <v>326</v>
      </c>
      <c r="M99" s="2" t="s">
        <v>1119</v>
      </c>
      <c r="N99" s="2" t="s">
        <v>435</v>
      </c>
      <c r="O99" s="2" t="s">
        <v>694</v>
      </c>
      <c r="P99" s="2" t="s">
        <v>1119</v>
      </c>
      <c r="Q99" s="2" t="s">
        <v>443</v>
      </c>
      <c r="R99" s="2" t="str">
        <f t="shared" si="50"/>
        <v>CW_1_Section_5</v>
      </c>
      <c r="S99" s="2" t="str">
        <f t="shared" si="51"/>
        <v>CW_1_EFF</v>
      </c>
      <c r="T99" s="11" t="s">
        <v>891</v>
      </c>
      <c r="U99" s="1">
        <v>45762</v>
      </c>
      <c r="V99" s="2" t="s">
        <v>660</v>
      </c>
      <c r="W99" s="2" t="s">
        <v>1119</v>
      </c>
      <c r="X99" s="2" t="s">
        <v>890</v>
      </c>
      <c r="Y99" s="2" t="str">
        <f t="shared" si="52"/>
        <v>T4_EFF</v>
      </c>
      <c r="Z99" t="s">
        <v>18</v>
      </c>
      <c r="AA99">
        <v>9.6999999999999993</v>
      </c>
      <c r="AB99">
        <v>9.8000000000000007</v>
      </c>
      <c r="AC99">
        <v>190</v>
      </c>
      <c r="AD99" s="32">
        <f t="shared" si="53"/>
        <v>7.2974011010113943E-2</v>
      </c>
      <c r="AE99">
        <v>0.5</v>
      </c>
      <c r="AF99" s="32">
        <f t="shared" si="54"/>
        <v>1.9535489472541785E-4</v>
      </c>
      <c r="AG99">
        <v>160</v>
      </c>
      <c r="AH99" s="32">
        <f t="shared" si="55"/>
        <v>6.3294716021474989E-2</v>
      </c>
      <c r="AI99">
        <v>36</v>
      </c>
      <c r="AJ99" s="32">
        <f t="shared" si="56"/>
        <v>1.4241311104831874E-2</v>
      </c>
      <c r="AK99">
        <v>31</v>
      </c>
      <c r="AL99" s="32">
        <f t="shared" si="57"/>
        <v>1.2263351229160779E-2</v>
      </c>
      <c r="AM99">
        <v>67</v>
      </c>
      <c r="AO99" s="49">
        <v>420.5</v>
      </c>
      <c r="AP99" s="49">
        <f t="shared" si="58"/>
        <v>0.13646408192631435</v>
      </c>
      <c r="AQ99">
        <v>960</v>
      </c>
      <c r="AR99" s="32">
        <f t="shared" si="59"/>
        <v>0.35952250916751188</v>
      </c>
      <c r="AS99" s="48">
        <v>730</v>
      </c>
      <c r="AT99" s="27">
        <f t="shared" si="60"/>
        <v>0.27338690801279553</v>
      </c>
      <c r="AU99" s="48">
        <v>4</v>
      </c>
      <c r="AV99" s="27">
        <f t="shared" si="61"/>
        <v>1.4718444050200407E-3</v>
      </c>
      <c r="AW99" s="48">
        <v>44</v>
      </c>
      <c r="AX99" s="27">
        <f t="shared" si="62"/>
        <v>1.6548861941508335E-2</v>
      </c>
      <c r="AY99" s="48">
        <v>2</v>
      </c>
      <c r="AZ99" s="27">
        <f t="shared" si="63"/>
        <v>7.4599927806521475E-4</v>
      </c>
      <c r="BA99" s="48">
        <v>1.9</v>
      </c>
      <c r="BB99" s="27">
        <f t="shared" si="64"/>
        <v>7.0358525500757447E-4</v>
      </c>
      <c r="BC99" s="48">
        <v>0.27</v>
      </c>
      <c r="BD99" s="27">
        <f t="shared" si="65"/>
        <v>9.9983167816865867E-5</v>
      </c>
      <c r="BE99" s="48">
        <v>0.04</v>
      </c>
      <c r="BF99" s="27">
        <f t="shared" si="66"/>
        <v>1.4635352286773795E-5</v>
      </c>
      <c r="BG99" s="48">
        <v>0.03</v>
      </c>
      <c r="BH99" s="27">
        <f t="shared" si="67"/>
        <v>1.0976514215080345E-5</v>
      </c>
      <c r="BI99" s="52">
        <f t="shared" si="68"/>
        <v>782.2399999999999</v>
      </c>
      <c r="BJ99" s="52">
        <f t="shared" si="69"/>
        <v>52.24</v>
      </c>
      <c r="BK99" s="27">
        <f t="shared" si="70"/>
        <v>0.29298279392671539</v>
      </c>
      <c r="BL99" s="27">
        <f t="shared" si="71"/>
        <v>1.9595885913919885E-2</v>
      </c>
      <c r="BM99">
        <v>1600</v>
      </c>
      <c r="BN99">
        <v>420</v>
      </c>
      <c r="BO99" t="s">
        <v>19</v>
      </c>
      <c r="BP99">
        <v>2000</v>
      </c>
      <c r="BQ99">
        <v>73</v>
      </c>
      <c r="BR99" t="s">
        <v>443</v>
      </c>
      <c r="BS99">
        <v>0.6</v>
      </c>
      <c r="BT99">
        <v>1.89</v>
      </c>
      <c r="BU99">
        <v>14.1</v>
      </c>
      <c r="BV99">
        <v>-91</v>
      </c>
      <c r="BW99">
        <v>6.88</v>
      </c>
      <c r="BX99">
        <v>866</v>
      </c>
      <c r="BY99">
        <v>0.3</v>
      </c>
      <c r="BZ99">
        <v>0.01</v>
      </c>
      <c r="CA99" s="32">
        <v>5.5</v>
      </c>
      <c r="CB99" s="32">
        <f t="shared" si="72"/>
        <v>9.8478066248880933E-2</v>
      </c>
      <c r="CC99" s="32">
        <f t="shared" si="73"/>
        <v>9.8478066248880933E-2</v>
      </c>
      <c r="CD99" s="32">
        <v>1.7</v>
      </c>
      <c r="CE99" s="32">
        <f t="shared" si="74"/>
        <v>3.0948479883488075E-2</v>
      </c>
      <c r="CF99" s="32">
        <f t="shared" si="75"/>
        <v>6.1896959766976151E-2</v>
      </c>
      <c r="CG99" s="27">
        <v>16</v>
      </c>
      <c r="CH99" s="27">
        <f t="shared" si="76"/>
        <v>0.16656256506350198</v>
      </c>
      <c r="CI99" s="27">
        <f t="shared" si="77"/>
        <v>1.3325005205080158</v>
      </c>
      <c r="CJ99" s="58">
        <v>71</v>
      </c>
      <c r="CK99" s="58">
        <v>81.609195402298852</v>
      </c>
      <c r="CL99" s="58">
        <v>5.9129710597543204</v>
      </c>
      <c r="CM99" s="58">
        <v>5.9129710597543204</v>
      </c>
      <c r="CN99" s="28">
        <v>45</v>
      </c>
      <c r="CO99" s="28">
        <v>73.770491803278688</v>
      </c>
      <c r="CP99" s="28">
        <v>3.7476577139287945</v>
      </c>
      <c r="CQ99" s="28">
        <v>3.7476577139287945</v>
      </c>
      <c r="CR99" s="32">
        <f t="shared" si="78"/>
        <v>41.272537997085152</v>
      </c>
      <c r="CS99" s="32">
        <v>41.272537997085152</v>
      </c>
      <c r="CT99" s="32">
        <f t="shared" si="79"/>
        <v>46.772537997085152</v>
      </c>
      <c r="CU99" s="32">
        <f t="shared" si="80"/>
        <v>0.8374671082736822</v>
      </c>
      <c r="CV99" s="32">
        <f t="shared" si="81"/>
        <v>0.8374671082736822</v>
      </c>
      <c r="CW99" s="60">
        <f t="shared" si="82"/>
        <v>26.158650843222983</v>
      </c>
      <c r="CX99" s="60">
        <v>26.158650843222983</v>
      </c>
      <c r="CY99" s="60">
        <f t="shared" si="83"/>
        <v>31.658650843222983</v>
      </c>
      <c r="CZ99" s="60">
        <f t="shared" si="84"/>
        <v>0.56685140274347323</v>
      </c>
      <c r="DA99" s="60">
        <f t="shared" si="85"/>
        <v>0.56685140274347323</v>
      </c>
      <c r="DB99" s="32">
        <f t="shared" si="86"/>
        <v>1.3325005205080158</v>
      </c>
      <c r="DC99">
        <f t="shared" si="87"/>
        <v>6.8123351277949791</v>
      </c>
      <c r="DD99">
        <f t="shared" si="88"/>
        <v>9.0860121538106128E-3</v>
      </c>
      <c r="DE99">
        <f t="shared" si="89"/>
        <v>0.12293392684936129</v>
      </c>
      <c r="DF99">
        <f t="shared" si="90"/>
        <v>0.86798006099682801</v>
      </c>
      <c r="DG99">
        <f t="shared" si="91"/>
        <v>4.3764060764392436</v>
      </c>
      <c r="DH99">
        <f t="shared" si="92"/>
        <v>1.4143331008565163E-2</v>
      </c>
      <c r="DI99">
        <f t="shared" si="93"/>
        <v>0.12952440720598718</v>
      </c>
      <c r="DJ99">
        <f t="shared" si="94"/>
        <v>0.85633226178544775</v>
      </c>
      <c r="DK99" s="64">
        <f t="shared" si="95"/>
        <v>-6.3163485367011525</v>
      </c>
      <c r="DL99" s="64">
        <f t="shared" si="96"/>
        <v>-3.8804194853454175</v>
      </c>
      <c r="DM99" s="64">
        <f t="shared" si="97"/>
        <v>-6.2967526507872327</v>
      </c>
      <c r="DN99" s="64">
        <f t="shared" si="98"/>
        <v>-3.8608235994314972</v>
      </c>
      <c r="DO99" t="str">
        <f t="shared" si="99"/>
        <v>Sufficient Capacity</v>
      </c>
      <c r="DP99" t="str">
        <f t="shared" si="100"/>
        <v>Sufficient Capacity</v>
      </c>
    </row>
    <row r="100" spans="1:120" ht="15.75" x14ac:dyDescent="0.25">
      <c r="A100" s="6" t="s">
        <v>153</v>
      </c>
      <c r="B100" s="6" t="s">
        <v>153</v>
      </c>
      <c r="C100" s="2" t="s">
        <v>895</v>
      </c>
      <c r="D100" s="2" t="s">
        <v>542</v>
      </c>
      <c r="E100" s="2" t="s">
        <v>542</v>
      </c>
      <c r="F100" s="2">
        <v>99</v>
      </c>
      <c r="G100" s="2" t="s">
        <v>894</v>
      </c>
      <c r="H100" s="10" t="s">
        <v>656</v>
      </c>
      <c r="I100" s="2">
        <v>150</v>
      </c>
      <c r="J100" s="2">
        <v>65</v>
      </c>
      <c r="K100" s="15">
        <v>6.9</v>
      </c>
      <c r="L100" t="s">
        <v>334</v>
      </c>
      <c r="M100" s="2" t="s">
        <v>1119</v>
      </c>
      <c r="N100" s="2" t="s">
        <v>436</v>
      </c>
      <c r="O100" s="2" t="s">
        <v>694</v>
      </c>
      <c r="P100" s="2" t="s">
        <v>1119</v>
      </c>
      <c r="Q100" s="2" t="s">
        <v>443</v>
      </c>
      <c r="R100" s="2" t="str">
        <f t="shared" si="50"/>
        <v>CW_2_Section_5</v>
      </c>
      <c r="S100" s="2" t="str">
        <f t="shared" si="51"/>
        <v>CW_2_EFF</v>
      </c>
      <c r="T100" s="11" t="s">
        <v>891</v>
      </c>
      <c r="U100" s="1">
        <v>45762</v>
      </c>
      <c r="V100" s="2" t="s">
        <v>660</v>
      </c>
      <c r="W100" s="2" t="s">
        <v>1119</v>
      </c>
      <c r="X100" s="2" t="s">
        <v>890</v>
      </c>
      <c r="Y100" s="2" t="str">
        <f t="shared" si="52"/>
        <v>T4_EFF</v>
      </c>
      <c r="Z100" t="s">
        <v>39</v>
      </c>
      <c r="AA100">
        <v>12</v>
      </c>
      <c r="AB100">
        <v>11</v>
      </c>
      <c r="AC100">
        <v>580</v>
      </c>
      <c r="AD100" s="32">
        <f t="shared" si="53"/>
        <v>0.22276277045192677</v>
      </c>
      <c r="AE100">
        <v>0.5</v>
      </c>
      <c r="AF100" s="32">
        <f t="shared" si="54"/>
        <v>1.9535489472541785E-4</v>
      </c>
      <c r="AG100">
        <v>450</v>
      </c>
      <c r="AH100" s="32">
        <f t="shared" si="55"/>
        <v>0.17801638881039844</v>
      </c>
      <c r="AI100">
        <v>130</v>
      </c>
      <c r="AJ100" s="32">
        <f t="shared" si="56"/>
        <v>5.1426956767448434E-2</v>
      </c>
      <c r="AK100">
        <v>110</v>
      </c>
      <c r="AL100" s="32">
        <f t="shared" si="57"/>
        <v>4.3515117264764057E-2</v>
      </c>
      <c r="AM100">
        <v>240</v>
      </c>
      <c r="AO100" s="49">
        <v>1273.5</v>
      </c>
      <c r="AP100" s="49">
        <f t="shared" si="58"/>
        <v>0.40097451415705065</v>
      </c>
      <c r="AQ100">
        <v>2800</v>
      </c>
      <c r="AR100" s="32">
        <f t="shared" si="59"/>
        <v>1.0486073184052431</v>
      </c>
      <c r="AS100" s="48">
        <v>2600</v>
      </c>
      <c r="AT100" s="27">
        <f t="shared" si="60"/>
        <v>0.97370679566201146</v>
      </c>
      <c r="AU100" s="48">
        <v>130</v>
      </c>
      <c r="AV100" s="27">
        <f t="shared" si="61"/>
        <v>4.7834943163151324E-2</v>
      </c>
      <c r="AW100" s="48">
        <v>110</v>
      </c>
      <c r="AX100" s="27">
        <f t="shared" si="62"/>
        <v>4.1372154853770833E-2</v>
      </c>
      <c r="AY100" s="48">
        <v>53</v>
      </c>
      <c r="AZ100" s="27">
        <f t="shared" si="63"/>
        <v>1.9768980868728192E-2</v>
      </c>
      <c r="BA100" s="48">
        <v>22</v>
      </c>
      <c r="BB100" s="27">
        <f t="shared" si="64"/>
        <v>8.1467766369298089E-3</v>
      </c>
      <c r="BC100" s="48">
        <v>4</v>
      </c>
      <c r="BD100" s="27">
        <f t="shared" si="65"/>
        <v>1.48123211580542E-3</v>
      </c>
      <c r="BE100" s="48">
        <v>0.23</v>
      </c>
      <c r="BF100" s="27">
        <f t="shared" si="66"/>
        <v>8.4153275648949323E-5</v>
      </c>
      <c r="BG100" s="48">
        <v>0.11</v>
      </c>
      <c r="BH100" s="27">
        <f t="shared" si="67"/>
        <v>4.0247218788627937E-5</v>
      </c>
      <c r="BI100" s="52">
        <f t="shared" si="68"/>
        <v>2919.34</v>
      </c>
      <c r="BJ100" s="52">
        <f t="shared" si="69"/>
        <v>319.34000000000003</v>
      </c>
      <c r="BK100" s="27">
        <f t="shared" si="70"/>
        <v>1.092435283794835</v>
      </c>
      <c r="BL100" s="27">
        <f t="shared" si="71"/>
        <v>0.11872848813282316</v>
      </c>
      <c r="BM100">
        <v>4100</v>
      </c>
      <c r="BN100">
        <v>1600</v>
      </c>
      <c r="BO100" t="s">
        <v>19</v>
      </c>
      <c r="BP100">
        <v>5700</v>
      </c>
      <c r="BQ100">
        <v>68</v>
      </c>
      <c r="BR100" t="s">
        <v>443</v>
      </c>
      <c r="BS100">
        <v>0.94</v>
      </c>
      <c r="BT100">
        <v>0.71</v>
      </c>
      <c r="BU100">
        <v>14.2</v>
      </c>
      <c r="BV100">
        <v>-42</v>
      </c>
      <c r="BW100">
        <v>7.29</v>
      </c>
      <c r="BX100">
        <v>689</v>
      </c>
      <c r="BY100">
        <v>0.3</v>
      </c>
      <c r="BZ100">
        <v>0.01</v>
      </c>
      <c r="CA100" s="32">
        <v>0.6</v>
      </c>
      <c r="CB100" s="32">
        <f t="shared" si="72"/>
        <v>1.0743061772605192E-2</v>
      </c>
      <c r="CC100" s="32">
        <f t="shared" si="73"/>
        <v>1.0743061772605192E-2</v>
      </c>
      <c r="CD100" s="32">
        <v>1.3</v>
      </c>
      <c r="CE100" s="32">
        <f t="shared" si="74"/>
        <v>2.3666484616785E-2</v>
      </c>
      <c r="CF100" s="32">
        <f t="shared" si="75"/>
        <v>4.7332969233569999E-2</v>
      </c>
      <c r="CG100" s="27">
        <v>56</v>
      </c>
      <c r="CH100" s="27">
        <f t="shared" si="76"/>
        <v>0.58296897772225686</v>
      </c>
      <c r="CI100" s="27">
        <f t="shared" si="77"/>
        <v>4.6637518217780549</v>
      </c>
      <c r="CJ100" s="58">
        <v>31</v>
      </c>
      <c r="CK100" s="58">
        <v>35.632183908045981</v>
      </c>
      <c r="CL100" s="58">
        <v>2.5817197584842808</v>
      </c>
      <c r="CM100" s="58">
        <v>2.5817197584842808</v>
      </c>
      <c r="CN100" s="28">
        <v>-17</v>
      </c>
      <c r="CO100" s="28">
        <v>-43.589743589743591</v>
      </c>
      <c r="CP100" s="28">
        <v>-1.4157818030397669</v>
      </c>
      <c r="CR100" s="32">
        <f t="shared" si="78"/>
        <v>18.020403914220278</v>
      </c>
      <c r="CS100" s="32">
        <v>18.020403914220278</v>
      </c>
      <c r="CT100" s="32">
        <f t="shared" si="79"/>
        <v>18.62040391422028</v>
      </c>
      <c r="CU100" s="32">
        <f t="shared" si="80"/>
        <v>0.33340024913554661</v>
      </c>
      <c r="CV100" s="32">
        <f t="shared" si="81"/>
        <v>0.33340024913554661</v>
      </c>
      <c r="CW100" s="60">
        <f t="shared" si="82"/>
        <v>-9.8821569852175717</v>
      </c>
      <c r="CY100" s="60">
        <f t="shared" si="83"/>
        <v>0.6</v>
      </c>
      <c r="CZ100" s="60">
        <f t="shared" si="84"/>
        <v>1.0743061772605192E-2</v>
      </c>
      <c r="DA100" s="60">
        <f t="shared" si="85"/>
        <v>1.0743061772605192E-2</v>
      </c>
      <c r="DB100" s="32">
        <f t="shared" si="86"/>
        <v>4.6637518217780549</v>
      </c>
      <c r="DC100">
        <f t="shared" si="87"/>
        <v>2.9624529768533976</v>
      </c>
      <c r="DD100">
        <f t="shared" si="88"/>
        <v>1.5977627190506577E-2</v>
      </c>
      <c r="DE100">
        <f t="shared" si="89"/>
        <v>0.11254195483962463</v>
      </c>
      <c r="DF100">
        <f t="shared" si="90"/>
        <v>0.87148041796986875</v>
      </c>
      <c r="DG100">
        <f t="shared" si="91"/>
        <v>5.8076031006175192E-2</v>
      </c>
      <c r="DH100">
        <f t="shared" si="92"/>
        <v>0.8150172870549145</v>
      </c>
      <c r="DI100">
        <f t="shared" si="93"/>
        <v>0.1849827129450855</v>
      </c>
      <c r="DJ100">
        <f t="shared" si="94"/>
        <v>0</v>
      </c>
      <c r="DK100" s="64">
        <f t="shared" si="95"/>
        <v>-1.5128711442911038</v>
      </c>
      <c r="DL100" s="64">
        <f t="shared" si="96"/>
        <v>1.3915058015561186</v>
      </c>
      <c r="DM100" s="64">
        <f t="shared" si="97"/>
        <v>-1.3941426561582806</v>
      </c>
      <c r="DN100" s="64">
        <f t="shared" si="98"/>
        <v>1.5102342896889418</v>
      </c>
      <c r="DO100" t="str">
        <f t="shared" si="99"/>
        <v>Sufficient Capacity</v>
      </c>
      <c r="DP100" t="str">
        <f t="shared" si="100"/>
        <v>Insufficient Capacity</v>
      </c>
    </row>
    <row r="101" spans="1:120" ht="15.75" x14ac:dyDescent="0.25">
      <c r="A101" s="6" t="s">
        <v>154</v>
      </c>
      <c r="B101" s="6" t="s">
        <v>154</v>
      </c>
      <c r="C101" s="2" t="s">
        <v>897</v>
      </c>
      <c r="D101" s="2" t="s">
        <v>543</v>
      </c>
      <c r="E101" s="2" t="s">
        <v>543</v>
      </c>
      <c r="F101" s="2">
        <v>100</v>
      </c>
      <c r="G101" s="2" t="s">
        <v>896</v>
      </c>
      <c r="H101" s="10" t="s">
        <v>656</v>
      </c>
      <c r="I101" s="2">
        <v>150</v>
      </c>
      <c r="J101" s="2">
        <v>65</v>
      </c>
      <c r="K101" s="15">
        <v>49.15</v>
      </c>
      <c r="L101" t="s">
        <v>341</v>
      </c>
      <c r="M101" s="2" t="s">
        <v>1119</v>
      </c>
      <c r="N101" s="2" t="s">
        <v>437</v>
      </c>
      <c r="O101" s="2" t="s">
        <v>694</v>
      </c>
      <c r="P101" s="2" t="s">
        <v>1119</v>
      </c>
      <c r="Q101" s="2" t="s">
        <v>443</v>
      </c>
      <c r="R101" s="2" t="str">
        <f t="shared" si="50"/>
        <v>CW_3_Section_5</v>
      </c>
      <c r="S101" s="2" t="str">
        <f t="shared" si="51"/>
        <v>CW_3_EFF</v>
      </c>
      <c r="T101" s="11" t="s">
        <v>891</v>
      </c>
      <c r="U101" s="1">
        <v>45763</v>
      </c>
      <c r="V101" s="2" t="s">
        <v>660</v>
      </c>
      <c r="W101" s="2" t="s">
        <v>1119</v>
      </c>
      <c r="X101" s="2" t="s">
        <v>890</v>
      </c>
      <c r="Y101" s="2" t="str">
        <f t="shared" si="52"/>
        <v>T4_EFF</v>
      </c>
      <c r="Z101" t="s">
        <v>49</v>
      </c>
      <c r="AA101">
        <v>18</v>
      </c>
      <c r="AB101">
        <v>16</v>
      </c>
      <c r="AC101">
        <v>540</v>
      </c>
      <c r="AD101" s="32">
        <f t="shared" si="53"/>
        <v>0.207399820765587</v>
      </c>
      <c r="AE101">
        <v>2</v>
      </c>
      <c r="AF101" s="32">
        <f t="shared" si="54"/>
        <v>7.8141957890167139E-4</v>
      </c>
      <c r="AG101">
        <v>430</v>
      </c>
      <c r="AH101" s="32">
        <f t="shared" si="55"/>
        <v>0.17010454930771404</v>
      </c>
      <c r="AI101">
        <v>120</v>
      </c>
      <c r="AJ101" s="32">
        <f t="shared" si="56"/>
        <v>4.7471037016106249E-2</v>
      </c>
      <c r="AK101">
        <v>87</v>
      </c>
      <c r="AL101" s="32">
        <f t="shared" si="57"/>
        <v>3.4416501836677028E-2</v>
      </c>
      <c r="AM101">
        <v>207</v>
      </c>
      <c r="AO101" s="49">
        <v>1191</v>
      </c>
      <c r="AP101" s="49">
        <f t="shared" si="58"/>
        <v>0.37828578965220272</v>
      </c>
      <c r="AQ101">
        <v>3000</v>
      </c>
      <c r="AR101" s="32">
        <f t="shared" si="59"/>
        <v>1.1235078411484747</v>
      </c>
      <c r="AS101" s="48">
        <v>8300</v>
      </c>
      <c r="AT101" s="27">
        <f t="shared" si="60"/>
        <v>3.1083716938441137</v>
      </c>
      <c r="AU101" s="48">
        <v>30</v>
      </c>
      <c r="AV101" s="27">
        <f t="shared" si="61"/>
        <v>1.1038833037650306E-2</v>
      </c>
      <c r="AW101" s="48">
        <v>150</v>
      </c>
      <c r="AX101" s="27">
        <f t="shared" si="62"/>
        <v>5.6416574800596593E-2</v>
      </c>
      <c r="AY101" s="48">
        <v>39</v>
      </c>
      <c r="AZ101" s="27">
        <f t="shared" si="63"/>
        <v>1.4546985922271688E-2</v>
      </c>
      <c r="BA101" s="48">
        <v>15</v>
      </c>
      <c r="BB101" s="27">
        <f t="shared" si="64"/>
        <v>5.5546204342703251E-3</v>
      </c>
      <c r="BC101" s="48">
        <v>1.9</v>
      </c>
      <c r="BD101" s="27">
        <f t="shared" si="65"/>
        <v>7.0358525500757447E-4</v>
      </c>
      <c r="BE101" s="48">
        <v>2.5000000000000001E-2</v>
      </c>
      <c r="BF101" s="27">
        <f t="shared" si="66"/>
        <v>9.147095179233624E-6</v>
      </c>
      <c r="BG101" s="48">
        <v>0.05</v>
      </c>
      <c r="BH101" s="27">
        <f t="shared" si="67"/>
        <v>1.8294190358467248E-5</v>
      </c>
      <c r="BI101" s="52">
        <f t="shared" si="68"/>
        <v>8535.9749999999985</v>
      </c>
      <c r="BJ101" s="52">
        <f t="shared" si="69"/>
        <v>235.97500000000002</v>
      </c>
      <c r="BK101" s="27">
        <f t="shared" si="70"/>
        <v>3.1966597345794479</v>
      </c>
      <c r="BL101" s="27">
        <f t="shared" si="71"/>
        <v>8.8288040735334194E-2</v>
      </c>
      <c r="BM101">
        <v>4400</v>
      </c>
      <c r="BN101">
        <v>1400</v>
      </c>
      <c r="BO101" t="s">
        <v>19</v>
      </c>
      <c r="BP101">
        <v>5900</v>
      </c>
      <c r="BQ101">
        <v>73</v>
      </c>
      <c r="BR101" t="s">
        <v>443</v>
      </c>
      <c r="BS101">
        <v>0.75</v>
      </c>
      <c r="BT101">
        <v>0.28999999999999998</v>
      </c>
      <c r="BU101">
        <v>14.2</v>
      </c>
      <c r="BV101">
        <v>-51</v>
      </c>
      <c r="BW101">
        <v>7.19</v>
      </c>
      <c r="BX101">
        <v>742</v>
      </c>
      <c r="BY101">
        <v>0.2</v>
      </c>
      <c r="BZ101">
        <v>0.01</v>
      </c>
      <c r="CA101" s="32">
        <v>1.2</v>
      </c>
      <c r="CB101" s="32">
        <f t="shared" si="72"/>
        <v>2.1486123545210383E-2</v>
      </c>
      <c r="CC101" s="32">
        <f t="shared" si="73"/>
        <v>2.1486123545210383E-2</v>
      </c>
      <c r="CD101" s="32">
        <v>1.2</v>
      </c>
      <c r="CE101" s="32">
        <f t="shared" si="74"/>
        <v>2.1845985800109231E-2</v>
      </c>
      <c r="CF101" s="32">
        <f t="shared" si="75"/>
        <v>4.3691971600218461E-2</v>
      </c>
      <c r="CG101" s="27">
        <v>44</v>
      </c>
      <c r="CH101" s="27">
        <f t="shared" si="76"/>
        <v>0.45804705392463041</v>
      </c>
      <c r="CI101" s="27">
        <f t="shared" si="77"/>
        <v>3.6643764313970433</v>
      </c>
      <c r="CJ101" s="58">
        <v>43</v>
      </c>
      <c r="CK101" s="58">
        <v>49.425287356321839</v>
      </c>
      <c r="CL101" s="58">
        <v>3.5810951488652925</v>
      </c>
      <c r="CM101" s="58">
        <v>3.5810951488652925</v>
      </c>
      <c r="CN101" s="28">
        <v>13</v>
      </c>
      <c r="CO101" s="28">
        <v>22.807017543859647</v>
      </c>
      <c r="CP101" s="28">
        <v>1.0826566729127629</v>
      </c>
      <c r="CQ101" s="28">
        <v>1.0826566729127629</v>
      </c>
      <c r="CR101" s="32">
        <f t="shared" si="78"/>
        <v>24.996044139079739</v>
      </c>
      <c r="CS101" s="32">
        <v>24.996044139079739</v>
      </c>
      <c r="CT101" s="32">
        <f t="shared" si="79"/>
        <v>26.196044139079738</v>
      </c>
      <c r="CU101" s="32">
        <f t="shared" si="80"/>
        <v>0.46904286730670974</v>
      </c>
      <c r="CV101" s="32">
        <f t="shared" si="81"/>
        <v>0.46904286730670974</v>
      </c>
      <c r="CW101" s="60">
        <f t="shared" si="82"/>
        <v>7.5569435769310846</v>
      </c>
      <c r="CX101" s="60">
        <v>7.5569435769310846</v>
      </c>
      <c r="CY101" s="60">
        <f t="shared" si="83"/>
        <v>8.7569435769310839</v>
      </c>
      <c r="CZ101" s="60">
        <f t="shared" si="84"/>
        <v>0.15679397631031483</v>
      </c>
      <c r="DA101" s="60">
        <f t="shared" si="85"/>
        <v>0.15679397631031483</v>
      </c>
      <c r="DB101" s="32">
        <f t="shared" si="86"/>
        <v>3.6643764313970433</v>
      </c>
      <c r="DC101">
        <f t="shared" si="87"/>
        <v>4.0938299877722208</v>
      </c>
      <c r="DD101">
        <f t="shared" si="88"/>
        <v>1.0672639491801354E-2</v>
      </c>
      <c r="DE101">
        <f t="shared" si="89"/>
        <v>0.11457311825544406</v>
      </c>
      <c r="DF101">
        <f t="shared" si="90"/>
        <v>0.87475424225275455</v>
      </c>
      <c r="DG101">
        <f t="shared" si="91"/>
        <v>1.2831426208232961</v>
      </c>
      <c r="DH101">
        <f t="shared" si="92"/>
        <v>3.4050752341298278E-2</v>
      </c>
      <c r="DI101">
        <f t="shared" si="93"/>
        <v>0.12219528349055378</v>
      </c>
      <c r="DJ101">
        <f t="shared" si="94"/>
        <v>0.84375396416814796</v>
      </c>
      <c r="DK101" s="64">
        <f t="shared" si="95"/>
        <v>-2.5920363569715432</v>
      </c>
      <c r="DL101" s="64">
        <f t="shared" si="96"/>
        <v>0.21865100997738129</v>
      </c>
      <c r="DM101" s="64">
        <f t="shared" si="97"/>
        <v>-2.5037483162362095</v>
      </c>
      <c r="DN101" s="64">
        <f t="shared" si="98"/>
        <v>0.30693905071271543</v>
      </c>
      <c r="DO101" t="str">
        <f t="shared" si="99"/>
        <v>Sufficient Capacity</v>
      </c>
      <c r="DP101" t="str">
        <f t="shared" si="100"/>
        <v>Insufficient Capacity</v>
      </c>
    </row>
    <row r="102" spans="1:120" ht="15.75" x14ac:dyDescent="0.25">
      <c r="A102" s="6" t="s">
        <v>155</v>
      </c>
      <c r="B102" s="6" t="s">
        <v>155</v>
      </c>
      <c r="C102" s="2" t="s">
        <v>899</v>
      </c>
      <c r="D102" s="2" t="s">
        <v>544</v>
      </c>
      <c r="E102" s="2" t="s">
        <v>544</v>
      </c>
      <c r="F102" s="2">
        <v>101</v>
      </c>
      <c r="G102" s="2" t="s">
        <v>898</v>
      </c>
      <c r="H102" s="10" t="s">
        <v>656</v>
      </c>
      <c r="I102" s="2">
        <v>150</v>
      </c>
      <c r="J102" s="2">
        <v>65</v>
      </c>
      <c r="K102" s="15">
        <v>4.95</v>
      </c>
      <c r="L102" t="s">
        <v>327</v>
      </c>
      <c r="M102" s="2" t="s">
        <v>1120</v>
      </c>
      <c r="N102" s="2" t="s">
        <v>435</v>
      </c>
      <c r="O102" s="2" t="s">
        <v>653</v>
      </c>
      <c r="P102" s="2" t="s">
        <v>1123</v>
      </c>
      <c r="Q102" s="9" t="s">
        <v>654</v>
      </c>
      <c r="R102" s="2" t="str">
        <f t="shared" si="50"/>
        <v>CW_1_Section_1</v>
      </c>
      <c r="S102" s="2" t="str">
        <f t="shared" si="51"/>
        <v>CW_1_MF01</v>
      </c>
      <c r="T102" s="11" t="s">
        <v>891</v>
      </c>
      <c r="U102" s="1">
        <v>45762</v>
      </c>
      <c r="V102" s="2" t="s">
        <v>660</v>
      </c>
      <c r="W102" s="2" t="s">
        <v>655</v>
      </c>
      <c r="X102" s="2" t="s">
        <v>890</v>
      </c>
      <c r="Y102" s="2" t="str">
        <f t="shared" si="52"/>
        <v>T4_0.15-0.30</v>
      </c>
      <c r="Z102" t="s">
        <v>29</v>
      </c>
      <c r="AA102">
        <v>12</v>
      </c>
      <c r="AB102">
        <v>12</v>
      </c>
      <c r="AC102">
        <v>350</v>
      </c>
      <c r="AD102" s="32">
        <f t="shared" si="53"/>
        <v>0.13442580975547305</v>
      </c>
      <c r="AE102">
        <v>2</v>
      </c>
      <c r="AF102" s="32">
        <f t="shared" si="54"/>
        <v>7.8141957890167139E-4</v>
      </c>
      <c r="AG102">
        <v>340</v>
      </c>
      <c r="AH102" s="32">
        <f t="shared" si="55"/>
        <v>0.13450127154563435</v>
      </c>
      <c r="AI102">
        <v>130</v>
      </c>
      <c r="AJ102" s="32">
        <f t="shared" si="56"/>
        <v>5.1426956767448434E-2</v>
      </c>
      <c r="AK102">
        <v>130</v>
      </c>
      <c r="AL102" s="32">
        <f t="shared" si="57"/>
        <v>5.1426956767448434E-2</v>
      </c>
      <c r="AM102">
        <v>260</v>
      </c>
      <c r="AO102" s="49">
        <v>964</v>
      </c>
      <c r="AP102" s="49">
        <f t="shared" si="58"/>
        <v>0.26970850088000908</v>
      </c>
      <c r="AQ102">
        <v>2600</v>
      </c>
      <c r="AR102" s="32">
        <f t="shared" si="59"/>
        <v>0.97370679566201146</v>
      </c>
      <c r="AS102" s="48">
        <v>3400</v>
      </c>
      <c r="AT102" s="27">
        <f t="shared" si="60"/>
        <v>1.273308886634938</v>
      </c>
      <c r="AU102" s="48">
        <v>3.8</v>
      </c>
      <c r="AV102" s="27">
        <f t="shared" si="61"/>
        <v>1.3982521847690386E-3</v>
      </c>
      <c r="AW102" s="48">
        <v>1.2</v>
      </c>
      <c r="AX102" s="27">
        <f t="shared" si="62"/>
        <v>4.5133259840477265E-4</v>
      </c>
      <c r="AY102" s="48">
        <v>0.22</v>
      </c>
      <c r="AZ102" s="27">
        <f t="shared" si="63"/>
        <v>8.2059920587173625E-5</v>
      </c>
      <c r="BA102" s="48">
        <v>0.23</v>
      </c>
      <c r="BB102" s="27">
        <f t="shared" si="64"/>
        <v>8.5170846658811649E-5</v>
      </c>
      <c r="BC102" s="48">
        <v>0.05</v>
      </c>
      <c r="BD102" s="27">
        <f t="shared" si="65"/>
        <v>1.8515401447567749E-5</v>
      </c>
      <c r="BE102" s="48">
        <v>0.03</v>
      </c>
      <c r="BF102" s="27">
        <f t="shared" si="66"/>
        <v>1.0976514215080345E-5</v>
      </c>
      <c r="BG102" s="48">
        <v>0.03</v>
      </c>
      <c r="BH102" s="27">
        <f t="shared" si="67"/>
        <v>1.0976514215080345E-5</v>
      </c>
      <c r="BI102" s="52">
        <f t="shared" si="68"/>
        <v>3405.5600000000004</v>
      </c>
      <c r="BJ102" s="52">
        <f t="shared" si="69"/>
        <v>5.5600000000000005</v>
      </c>
      <c r="BK102" s="27">
        <f t="shared" si="70"/>
        <v>1.2753661706152355</v>
      </c>
      <c r="BL102" s="27">
        <f t="shared" si="71"/>
        <v>2.057283980297525E-3</v>
      </c>
      <c r="BM102">
        <v>4400</v>
      </c>
      <c r="BN102">
        <v>170</v>
      </c>
      <c r="BO102" t="s">
        <v>19</v>
      </c>
      <c r="BP102">
        <v>4600</v>
      </c>
      <c r="BQ102">
        <v>67</v>
      </c>
      <c r="BR102" t="s">
        <v>443</v>
      </c>
      <c r="BS102">
        <v>0.99</v>
      </c>
      <c r="BT102">
        <v>3.7</v>
      </c>
      <c r="BU102">
        <v>13.8</v>
      </c>
      <c r="BV102">
        <v>-108</v>
      </c>
      <c r="BW102">
        <v>6.92</v>
      </c>
      <c r="BX102">
        <v>815</v>
      </c>
      <c r="BY102">
        <v>0.2</v>
      </c>
      <c r="BZ102">
        <v>0.01</v>
      </c>
      <c r="CA102" s="32">
        <v>5.6</v>
      </c>
      <c r="CB102" s="32">
        <f t="shared" si="72"/>
        <v>0.10026857654431512</v>
      </c>
      <c r="CC102" s="32">
        <f t="shared" si="73"/>
        <v>0.10026857654431512</v>
      </c>
      <c r="CD102" s="32">
        <v>1.5</v>
      </c>
      <c r="CE102" s="32">
        <f t="shared" si="74"/>
        <v>2.7307482250136537E-2</v>
      </c>
      <c r="CF102" s="32">
        <f t="shared" si="75"/>
        <v>5.4614964500273075E-2</v>
      </c>
      <c r="CG102" s="27">
        <v>47</v>
      </c>
      <c r="CH102" s="27">
        <f t="shared" si="76"/>
        <v>0.48927753487403702</v>
      </c>
      <c r="CI102" s="27">
        <f t="shared" si="77"/>
        <v>3.9142202789922962</v>
      </c>
      <c r="CJ102" s="58">
        <v>40</v>
      </c>
      <c r="CK102" s="58">
        <v>45.977011494252871</v>
      </c>
      <c r="CL102" s="58">
        <v>3.3312513012700395</v>
      </c>
      <c r="CM102" s="58">
        <v>3.3312513012700395</v>
      </c>
      <c r="CN102" s="28">
        <v>40</v>
      </c>
      <c r="CO102" s="28">
        <v>45.977011494252871</v>
      </c>
      <c r="CP102" s="28">
        <v>3.3312513012700395</v>
      </c>
      <c r="CQ102" s="28">
        <v>3.3312513012700395</v>
      </c>
      <c r="CR102" s="32">
        <f t="shared" si="78"/>
        <v>23.252134082864874</v>
      </c>
      <c r="CS102" s="32">
        <v>23.252134082864874</v>
      </c>
      <c r="CT102" s="32">
        <f t="shared" si="79"/>
        <v>28.852134082864872</v>
      </c>
      <c r="CU102" s="32">
        <f t="shared" si="80"/>
        <v>0.51660043120617494</v>
      </c>
      <c r="CV102" s="32">
        <f t="shared" si="81"/>
        <v>0.51660043120617494</v>
      </c>
      <c r="CW102" s="60">
        <f t="shared" si="82"/>
        <v>23.252134082864874</v>
      </c>
      <c r="CX102" s="60">
        <v>23.252134082864874</v>
      </c>
      <c r="CY102" s="60">
        <f t="shared" si="83"/>
        <v>28.852134082864872</v>
      </c>
      <c r="CZ102" s="60">
        <f t="shared" si="84"/>
        <v>0.51660043120617494</v>
      </c>
      <c r="DA102" s="60">
        <f t="shared" si="85"/>
        <v>0.51660043120617494</v>
      </c>
      <c r="DB102" s="32">
        <f t="shared" si="86"/>
        <v>3.9142202789922962</v>
      </c>
      <c r="DC102">
        <f t="shared" si="87"/>
        <v>3.9024666969764876</v>
      </c>
      <c r="DD102">
        <f t="shared" si="88"/>
        <v>1.3994985413350763E-2</v>
      </c>
      <c r="DE102">
        <f t="shared" si="89"/>
        <v>0.13237792179147134</v>
      </c>
      <c r="DF102">
        <f t="shared" si="90"/>
        <v>0.8536270927951779</v>
      </c>
      <c r="DG102">
        <f t="shared" si="91"/>
        <v>3.9024666969764876</v>
      </c>
      <c r="DH102">
        <f t="shared" si="92"/>
        <v>1.3994985413350763E-2</v>
      </c>
      <c r="DI102">
        <f t="shared" si="93"/>
        <v>0.13237792179147134</v>
      </c>
      <c r="DJ102">
        <f t="shared" si="94"/>
        <v>0.8536270927951779</v>
      </c>
      <c r="DK102" s="64">
        <f t="shared" si="95"/>
        <v>-2.6590514004344672</v>
      </c>
      <c r="DL102" s="64">
        <f t="shared" si="96"/>
        <v>-2.6590514004344672</v>
      </c>
      <c r="DM102" s="64">
        <f t="shared" si="97"/>
        <v>-2.6569941164541699</v>
      </c>
      <c r="DN102" s="64">
        <f t="shared" si="98"/>
        <v>-2.6569941164541699</v>
      </c>
      <c r="DO102" t="str">
        <f t="shared" si="99"/>
        <v>Sufficient Capacity</v>
      </c>
      <c r="DP102" t="str">
        <f t="shared" si="100"/>
        <v>Sufficient Capacity</v>
      </c>
    </row>
    <row r="103" spans="1:120" ht="15.75" x14ac:dyDescent="0.25">
      <c r="A103" s="6" t="s">
        <v>156</v>
      </c>
      <c r="B103" s="6" t="s">
        <v>156</v>
      </c>
      <c r="C103" s="2" t="s">
        <v>901</v>
      </c>
      <c r="D103" s="2" t="s">
        <v>545</v>
      </c>
      <c r="E103" s="2" t="s">
        <v>545</v>
      </c>
      <c r="F103" s="2">
        <v>102</v>
      </c>
      <c r="G103" s="2" t="s">
        <v>900</v>
      </c>
      <c r="H103" s="10" t="s">
        <v>656</v>
      </c>
      <c r="I103" s="2">
        <v>150</v>
      </c>
      <c r="J103" s="2">
        <v>65</v>
      </c>
      <c r="K103" s="15">
        <v>6.85</v>
      </c>
      <c r="L103" t="s">
        <v>328</v>
      </c>
      <c r="M103" s="2" t="s">
        <v>1120</v>
      </c>
      <c r="N103" s="2" t="s">
        <v>435</v>
      </c>
      <c r="O103" s="2" t="s">
        <v>653</v>
      </c>
      <c r="P103" s="2" t="s">
        <v>1124</v>
      </c>
      <c r="Q103" s="9" t="s">
        <v>662</v>
      </c>
      <c r="R103" s="2" t="str">
        <f t="shared" si="50"/>
        <v>CW_1_Section_1</v>
      </c>
      <c r="S103" s="2" t="str">
        <f t="shared" si="51"/>
        <v>CW_1_MF02</v>
      </c>
      <c r="T103" s="11" t="s">
        <v>891</v>
      </c>
      <c r="U103" s="1">
        <v>45762</v>
      </c>
      <c r="V103" s="2" t="s">
        <v>660</v>
      </c>
      <c r="W103" s="2" t="s">
        <v>663</v>
      </c>
      <c r="X103" s="2" t="s">
        <v>890</v>
      </c>
      <c r="Y103" s="2" t="str">
        <f t="shared" si="52"/>
        <v>T4_0.60-0.80</v>
      </c>
      <c r="Z103" t="s">
        <v>31</v>
      </c>
      <c r="AA103">
        <v>12</v>
      </c>
      <c r="AB103">
        <v>13</v>
      </c>
      <c r="AC103">
        <v>210</v>
      </c>
      <c r="AD103" s="32">
        <f t="shared" si="53"/>
        <v>8.0655485853283831E-2</v>
      </c>
      <c r="AE103">
        <v>1</v>
      </c>
      <c r="AF103" s="32">
        <f t="shared" si="54"/>
        <v>3.9070978945083569E-4</v>
      </c>
      <c r="AG103">
        <v>200</v>
      </c>
      <c r="AH103" s="32">
        <f t="shared" si="55"/>
        <v>7.9118395026843744E-2</v>
      </c>
      <c r="AI103">
        <v>88</v>
      </c>
      <c r="AJ103" s="32">
        <f t="shared" si="56"/>
        <v>3.4812093811811246E-2</v>
      </c>
      <c r="AK103">
        <v>99</v>
      </c>
      <c r="AL103" s="32">
        <f t="shared" si="57"/>
        <v>3.9163605538287648E-2</v>
      </c>
      <c r="AM103">
        <v>187</v>
      </c>
      <c r="AO103" s="49">
        <v>604</v>
      </c>
      <c r="AP103" s="49">
        <f t="shared" si="58"/>
        <v>0.16016459066957842</v>
      </c>
      <c r="AQ103">
        <v>1400</v>
      </c>
      <c r="AR103" s="32">
        <f t="shared" si="59"/>
        <v>0.52430365920262156</v>
      </c>
      <c r="AS103" s="48">
        <v>3100</v>
      </c>
      <c r="AT103" s="27">
        <f t="shared" si="60"/>
        <v>1.1609581025200906</v>
      </c>
      <c r="AU103" s="48">
        <v>43</v>
      </c>
      <c r="AV103" s="27">
        <f t="shared" si="61"/>
        <v>1.5822327353965437E-2</v>
      </c>
      <c r="AW103" s="48">
        <v>260</v>
      </c>
      <c r="AX103" s="27">
        <f t="shared" si="62"/>
        <v>9.7788729654367426E-2</v>
      </c>
      <c r="AY103" s="48">
        <v>69</v>
      </c>
      <c r="AZ103" s="27">
        <f t="shared" si="63"/>
        <v>2.573697509324991E-2</v>
      </c>
      <c r="BA103" s="48">
        <v>32</v>
      </c>
      <c r="BB103" s="27">
        <f t="shared" si="64"/>
        <v>1.184985692644336E-2</v>
      </c>
      <c r="BC103" s="48">
        <v>5.0999999999999996</v>
      </c>
      <c r="BD103" s="27">
        <f t="shared" si="65"/>
        <v>1.8885709476519103E-3</v>
      </c>
      <c r="BE103" s="48">
        <v>0.82</v>
      </c>
      <c r="BF103" s="27">
        <f t="shared" si="66"/>
        <v>3.0002472187886276E-4</v>
      </c>
      <c r="BG103" s="48">
        <v>0.71</v>
      </c>
      <c r="BH103" s="27">
        <f t="shared" si="67"/>
        <v>2.5977750309023483E-4</v>
      </c>
      <c r="BI103" s="52">
        <f t="shared" si="68"/>
        <v>3510.63</v>
      </c>
      <c r="BJ103" s="52">
        <f t="shared" si="69"/>
        <v>410.63</v>
      </c>
      <c r="BK103" s="27">
        <f t="shared" si="70"/>
        <v>1.3146043647207377</v>
      </c>
      <c r="BL103" s="27">
        <f t="shared" si="71"/>
        <v>0.15364626220064714</v>
      </c>
      <c r="BM103">
        <v>5100</v>
      </c>
      <c r="BN103">
        <v>2100</v>
      </c>
      <c r="BO103" t="s">
        <v>19</v>
      </c>
      <c r="BP103">
        <v>7200</v>
      </c>
      <c r="BQ103">
        <v>70</v>
      </c>
      <c r="BR103" t="s">
        <v>443</v>
      </c>
      <c r="BS103">
        <v>0.77</v>
      </c>
      <c r="BT103">
        <v>0.44</v>
      </c>
      <c r="BU103">
        <v>14.2</v>
      </c>
      <c r="BV103">
        <v>-145</v>
      </c>
      <c r="BW103">
        <v>7.08</v>
      </c>
      <c r="BX103">
        <v>855</v>
      </c>
      <c r="BY103">
        <v>0.2</v>
      </c>
      <c r="BZ103">
        <v>0.01</v>
      </c>
      <c r="CA103" s="32">
        <v>0.4</v>
      </c>
      <c r="CB103" s="32">
        <f t="shared" si="72"/>
        <v>7.162041181736795E-3</v>
      </c>
      <c r="CC103" s="32">
        <f t="shared" si="73"/>
        <v>7.162041181736795E-3</v>
      </c>
      <c r="CD103" s="32">
        <v>0.8</v>
      </c>
      <c r="CE103" s="32">
        <f t="shared" si="74"/>
        <v>1.4563990533406155E-2</v>
      </c>
      <c r="CF103" s="32">
        <f t="shared" si="75"/>
        <v>2.912798106681231E-2</v>
      </c>
      <c r="CG103" s="27">
        <v>77</v>
      </c>
      <c r="CH103" s="27">
        <f t="shared" si="76"/>
        <v>0.80158234436810327</v>
      </c>
      <c r="CI103" s="27">
        <f t="shared" si="77"/>
        <v>6.4126587549448262</v>
      </c>
      <c r="CJ103" s="58">
        <v>10</v>
      </c>
      <c r="CK103" s="58">
        <v>11.494252873563218</v>
      </c>
      <c r="CL103" s="58">
        <v>0.83281282531750989</v>
      </c>
      <c r="CM103" s="58">
        <v>0.83281282531750989</v>
      </c>
      <c r="CN103" s="28">
        <v>10</v>
      </c>
      <c r="CO103" s="28">
        <v>11.494252873563218</v>
      </c>
      <c r="CP103" s="28">
        <v>0.83281282531750989</v>
      </c>
      <c r="CQ103" s="28">
        <v>0.83281282531750989</v>
      </c>
      <c r="CR103" s="32">
        <f t="shared" si="78"/>
        <v>5.8130335207162185</v>
      </c>
      <c r="CS103" s="32">
        <v>5.8130335207162185</v>
      </c>
      <c r="CT103" s="32">
        <f t="shared" si="79"/>
        <v>6.2130335207162188</v>
      </c>
      <c r="CU103" s="32">
        <f t="shared" si="80"/>
        <v>0.11124500484720176</v>
      </c>
      <c r="CV103" s="32">
        <f t="shared" si="81"/>
        <v>0.11124500484720176</v>
      </c>
      <c r="CW103" s="60">
        <f t="shared" si="82"/>
        <v>5.8130335207162185</v>
      </c>
      <c r="CX103" s="60">
        <v>5.8130335207162185</v>
      </c>
      <c r="CY103" s="60">
        <f t="shared" si="83"/>
        <v>6.2130335207162188</v>
      </c>
      <c r="CZ103" s="60">
        <f t="shared" si="84"/>
        <v>0.11124500484720176</v>
      </c>
      <c r="DA103" s="60">
        <f t="shared" si="85"/>
        <v>0.11124500484720176</v>
      </c>
      <c r="DB103" s="32">
        <f t="shared" si="86"/>
        <v>6.4126587549448262</v>
      </c>
      <c r="DC103">
        <f t="shared" si="87"/>
        <v>0.97318581123152392</v>
      </c>
      <c r="DD103">
        <f t="shared" si="88"/>
        <v>2.9930544332486854E-2</v>
      </c>
      <c r="DE103">
        <f t="shared" si="89"/>
        <v>0.11431013847851532</v>
      </c>
      <c r="DF103">
        <f t="shared" si="90"/>
        <v>0.85575931718899789</v>
      </c>
      <c r="DG103">
        <f t="shared" si="91"/>
        <v>0.97318581123152392</v>
      </c>
      <c r="DH103">
        <f t="shared" si="92"/>
        <v>2.9930544332486854E-2</v>
      </c>
      <c r="DI103">
        <f t="shared" si="93"/>
        <v>0.11431013847851532</v>
      </c>
      <c r="DJ103">
        <f t="shared" si="94"/>
        <v>0.85575931718899789</v>
      </c>
      <c r="DK103" s="64">
        <f t="shared" si="95"/>
        <v>-0.28871756135932392</v>
      </c>
      <c r="DL103" s="64">
        <f t="shared" si="96"/>
        <v>-0.28871756135932392</v>
      </c>
      <c r="DM103" s="64">
        <f t="shared" si="97"/>
        <v>-0.13507129915867677</v>
      </c>
      <c r="DN103" s="64">
        <f t="shared" si="98"/>
        <v>-0.13507129915867677</v>
      </c>
      <c r="DO103" t="str">
        <f t="shared" si="99"/>
        <v>Sufficient Capacity</v>
      </c>
      <c r="DP103" t="str">
        <f t="shared" si="100"/>
        <v>Sufficient Capacity</v>
      </c>
    </row>
    <row r="104" spans="1:120" ht="15.75" x14ac:dyDescent="0.25">
      <c r="A104" s="6" t="s">
        <v>157</v>
      </c>
      <c r="B104" s="6" t="s">
        <v>157</v>
      </c>
      <c r="C104" s="2" t="s">
        <v>903</v>
      </c>
      <c r="D104" s="2" t="s">
        <v>546</v>
      </c>
      <c r="E104" s="2" t="s">
        <v>546</v>
      </c>
      <c r="F104" s="2">
        <v>103</v>
      </c>
      <c r="G104" s="2" t="s">
        <v>902</v>
      </c>
      <c r="H104" s="10" t="s">
        <v>656</v>
      </c>
      <c r="I104" s="2">
        <v>150</v>
      </c>
      <c r="J104" s="2">
        <v>65</v>
      </c>
      <c r="K104" s="15">
        <v>6.25</v>
      </c>
      <c r="L104" t="s">
        <v>329</v>
      </c>
      <c r="M104" s="2" t="s">
        <v>1120</v>
      </c>
      <c r="N104" s="2" t="s">
        <v>435</v>
      </c>
      <c r="O104" s="2" t="s">
        <v>666</v>
      </c>
      <c r="P104" s="2" t="s">
        <v>1131</v>
      </c>
      <c r="Q104" s="9" t="s">
        <v>667</v>
      </c>
      <c r="R104" s="2" t="str">
        <f t="shared" si="50"/>
        <v>CW_1_Section_2</v>
      </c>
      <c r="S104" s="2" t="str">
        <f t="shared" si="51"/>
        <v>CW_1_MF05</v>
      </c>
      <c r="T104" s="11" t="s">
        <v>891</v>
      </c>
      <c r="U104" s="1">
        <v>45762</v>
      </c>
      <c r="V104" s="2" t="s">
        <v>660</v>
      </c>
      <c r="W104" s="2" t="s">
        <v>655</v>
      </c>
      <c r="X104" s="2" t="s">
        <v>890</v>
      </c>
      <c r="Y104" s="2" t="str">
        <f t="shared" si="52"/>
        <v>T4_0.15-0.30</v>
      </c>
      <c r="Z104" t="s">
        <v>33</v>
      </c>
      <c r="AA104">
        <v>11</v>
      </c>
      <c r="AB104">
        <v>12</v>
      </c>
      <c r="AC104">
        <v>380</v>
      </c>
      <c r="AD104" s="32">
        <f t="shared" si="53"/>
        <v>0.14594802202022789</v>
      </c>
      <c r="AE104">
        <v>1</v>
      </c>
      <c r="AF104" s="32">
        <f t="shared" si="54"/>
        <v>3.9070978945083569E-4</v>
      </c>
      <c r="AG104">
        <v>300</v>
      </c>
      <c r="AH104" s="32">
        <f t="shared" si="55"/>
        <v>0.11867759254026561</v>
      </c>
      <c r="AI104">
        <v>110</v>
      </c>
      <c r="AJ104" s="32">
        <f t="shared" si="56"/>
        <v>4.3515117264764057E-2</v>
      </c>
      <c r="AK104">
        <v>85</v>
      </c>
      <c r="AL104" s="32">
        <f t="shared" si="57"/>
        <v>3.3625317886408587E-2</v>
      </c>
      <c r="AM104">
        <v>195</v>
      </c>
      <c r="AO104" s="49">
        <v>882</v>
      </c>
      <c r="AP104" s="49">
        <f t="shared" si="58"/>
        <v>0.26501632434994432</v>
      </c>
      <c r="AQ104">
        <v>2400</v>
      </c>
      <c r="AR104" s="32">
        <f t="shared" si="59"/>
        <v>0.89880627291877968</v>
      </c>
      <c r="AS104" s="48">
        <v>16</v>
      </c>
      <c r="AT104" s="27">
        <f t="shared" si="60"/>
        <v>5.9920418194585306E-3</v>
      </c>
      <c r="AU104" s="48">
        <v>0.1</v>
      </c>
      <c r="AV104" s="27">
        <f t="shared" si="61"/>
        <v>3.6796110125501022E-5</v>
      </c>
      <c r="AW104" s="48">
        <v>0.11</v>
      </c>
      <c r="AX104" s="27">
        <f t="shared" si="62"/>
        <v>4.1372154853770834E-5</v>
      </c>
      <c r="AY104" s="48">
        <v>0.08</v>
      </c>
      <c r="AZ104" s="27">
        <f t="shared" si="63"/>
        <v>2.9839971122608595E-5</v>
      </c>
      <c r="BA104" s="48">
        <v>0.04</v>
      </c>
      <c r="BB104" s="27">
        <f t="shared" si="64"/>
        <v>1.4812321158054199E-5</v>
      </c>
      <c r="BC104" s="48">
        <v>0.01</v>
      </c>
      <c r="BD104" s="27">
        <f t="shared" si="65"/>
        <v>3.7030802895135499E-6</v>
      </c>
      <c r="BE104" s="48">
        <v>0.01</v>
      </c>
      <c r="BF104" s="27">
        <f t="shared" si="66"/>
        <v>3.6588380716934487E-6</v>
      </c>
      <c r="BG104" s="48">
        <v>2E-3</v>
      </c>
      <c r="BH104" s="27">
        <f t="shared" si="67"/>
        <v>7.3176761433868969E-7</v>
      </c>
      <c r="BI104" s="52">
        <f t="shared" si="68"/>
        <v>16.352</v>
      </c>
      <c r="BJ104" s="52">
        <f t="shared" si="69"/>
        <v>0.35200000000000004</v>
      </c>
      <c r="BK104" s="27">
        <f t="shared" si="70"/>
        <v>6.122956062694012E-3</v>
      </c>
      <c r="BL104" s="27">
        <f t="shared" si="71"/>
        <v>1.3091424323548033E-4</v>
      </c>
      <c r="BM104">
        <v>3300</v>
      </c>
      <c r="BN104">
        <v>40</v>
      </c>
      <c r="BO104" t="s">
        <v>19</v>
      </c>
      <c r="BP104">
        <v>3400</v>
      </c>
      <c r="BQ104">
        <v>67</v>
      </c>
      <c r="BR104" t="s">
        <v>443</v>
      </c>
      <c r="BS104">
        <v>1.2</v>
      </c>
      <c r="BT104">
        <v>5.5</v>
      </c>
      <c r="BU104">
        <v>13.9</v>
      </c>
      <c r="BV104">
        <v>-108</v>
      </c>
      <c r="BW104">
        <v>7.18</v>
      </c>
      <c r="BX104">
        <v>435</v>
      </c>
      <c r="BY104">
        <v>0.2</v>
      </c>
      <c r="BZ104">
        <v>0.01</v>
      </c>
      <c r="CA104" s="32">
        <v>8.1999999999999993</v>
      </c>
      <c r="CB104" s="32">
        <f t="shared" si="72"/>
        <v>0.14682184422560429</v>
      </c>
      <c r="CC104" s="32">
        <f t="shared" si="73"/>
        <v>0.14682184422560429</v>
      </c>
      <c r="CD104" s="32">
        <v>2.5</v>
      </c>
      <c r="CE104" s="32">
        <f t="shared" si="74"/>
        <v>4.5512470416894227E-2</v>
      </c>
      <c r="CF104" s="32">
        <f t="shared" si="75"/>
        <v>9.1024940833788454E-2</v>
      </c>
      <c r="CG104" s="27">
        <v>15</v>
      </c>
      <c r="CH104" s="27">
        <f t="shared" si="76"/>
        <v>0.1561524047470331</v>
      </c>
      <c r="CI104" s="27">
        <f t="shared" si="77"/>
        <v>1.2492192379762648</v>
      </c>
      <c r="CJ104" s="58">
        <v>72</v>
      </c>
      <c r="CK104" s="58">
        <v>82.758620689655174</v>
      </c>
      <c r="CL104" s="58">
        <v>5.9962523422860707</v>
      </c>
      <c r="CM104" s="58">
        <v>5.9962523422860707</v>
      </c>
      <c r="CN104" s="28">
        <v>32</v>
      </c>
      <c r="CO104" s="28">
        <v>68.085106382978722</v>
      </c>
      <c r="CP104" s="28">
        <v>2.6650010410160316</v>
      </c>
      <c r="CQ104" s="28">
        <v>2.6650010410160316</v>
      </c>
      <c r="CR104" s="32">
        <f t="shared" si="78"/>
        <v>41.853841349156774</v>
      </c>
      <c r="CS104" s="32">
        <v>41.853841349156774</v>
      </c>
      <c r="CT104" s="32">
        <f t="shared" si="79"/>
        <v>50.05384134915677</v>
      </c>
      <c r="CU104" s="32">
        <f t="shared" si="80"/>
        <v>0.89621918261695199</v>
      </c>
      <c r="CV104" s="32">
        <f t="shared" si="81"/>
        <v>0.89621918261695199</v>
      </c>
      <c r="CW104" s="60">
        <f t="shared" si="82"/>
        <v>18.6017072662919</v>
      </c>
      <c r="CX104" s="60">
        <v>18.6017072662919</v>
      </c>
      <c r="CY104" s="60">
        <f t="shared" si="83"/>
        <v>26.801707266291899</v>
      </c>
      <c r="CZ104" s="60">
        <f t="shared" si="84"/>
        <v>0.4798873279550922</v>
      </c>
      <c r="DA104" s="60">
        <f t="shared" si="85"/>
        <v>0.4798873279550922</v>
      </c>
      <c r="DB104" s="32">
        <f t="shared" si="86"/>
        <v>1.2492192379762648</v>
      </c>
      <c r="DC104">
        <f t="shared" si="87"/>
        <v>6.9834964657368115</v>
      </c>
      <c r="DD104">
        <f t="shared" si="88"/>
        <v>1.3034293248430051E-2</v>
      </c>
      <c r="DE104">
        <f t="shared" si="89"/>
        <v>0.12833387788109865</v>
      </c>
      <c r="DF104">
        <f t="shared" si="90"/>
        <v>0.85863182887047129</v>
      </c>
      <c r="DG104">
        <f t="shared" si="91"/>
        <v>3.2359133098049124</v>
      </c>
      <c r="DH104">
        <f t="shared" si="92"/>
        <v>2.8129598082241636E-2</v>
      </c>
      <c r="DI104">
        <f t="shared" si="93"/>
        <v>0.14830042773427196</v>
      </c>
      <c r="DJ104">
        <f t="shared" si="94"/>
        <v>0.82356997418348632</v>
      </c>
      <c r="DK104" s="64">
        <f t="shared" si="95"/>
        <v>-5.8196738684680875</v>
      </c>
      <c r="DL104" s="64">
        <f t="shared" si="96"/>
        <v>-2.0720907125361885</v>
      </c>
      <c r="DM104" s="64">
        <f t="shared" si="97"/>
        <v>-5.8195429542248522</v>
      </c>
      <c r="DN104" s="64">
        <f t="shared" si="98"/>
        <v>-2.0719597982929532</v>
      </c>
      <c r="DO104" t="str">
        <f t="shared" si="99"/>
        <v>Sufficient Capacity</v>
      </c>
      <c r="DP104" t="str">
        <f t="shared" si="100"/>
        <v>Sufficient Capacity</v>
      </c>
    </row>
    <row r="105" spans="1:120" ht="15.75" x14ac:dyDescent="0.25">
      <c r="A105" s="6" t="s">
        <v>158</v>
      </c>
      <c r="B105" s="6" t="s">
        <v>158</v>
      </c>
      <c r="C105" s="2" t="s">
        <v>905</v>
      </c>
      <c r="D105" s="2" t="s">
        <v>547</v>
      </c>
      <c r="E105" s="2" t="s">
        <v>547</v>
      </c>
      <c r="F105" s="2">
        <v>104</v>
      </c>
      <c r="G105" s="2" t="s">
        <v>904</v>
      </c>
      <c r="H105" s="10" t="s">
        <v>656</v>
      </c>
      <c r="I105" s="2">
        <v>150</v>
      </c>
      <c r="J105" s="2">
        <v>65</v>
      </c>
      <c r="K105" s="15">
        <v>5.5</v>
      </c>
      <c r="L105" t="s">
        <v>330</v>
      </c>
      <c r="M105" s="2" t="s">
        <v>1120</v>
      </c>
      <c r="N105" s="2" t="s">
        <v>435</v>
      </c>
      <c r="O105" s="2" t="s">
        <v>666</v>
      </c>
      <c r="P105" s="2" t="s">
        <v>1132</v>
      </c>
      <c r="Q105" s="9" t="s">
        <v>670</v>
      </c>
      <c r="R105" s="2" t="str">
        <f t="shared" si="50"/>
        <v>CW_1_Section_2</v>
      </c>
      <c r="S105" s="2" t="str">
        <f t="shared" si="51"/>
        <v>CW_1_MF06</v>
      </c>
      <c r="T105" s="11" t="s">
        <v>891</v>
      </c>
      <c r="U105" s="1">
        <v>45762</v>
      </c>
      <c r="V105" s="2" t="s">
        <v>660</v>
      </c>
      <c r="W105" s="2" t="s">
        <v>663</v>
      </c>
      <c r="X105" s="2" t="s">
        <v>890</v>
      </c>
      <c r="Y105" s="2" t="str">
        <f t="shared" si="52"/>
        <v>T4_0.60-0.80</v>
      </c>
      <c r="Z105" t="s">
        <v>25</v>
      </c>
      <c r="AA105">
        <v>11</v>
      </c>
      <c r="AB105">
        <v>12</v>
      </c>
      <c r="AC105">
        <v>290</v>
      </c>
      <c r="AD105" s="32">
        <f t="shared" si="53"/>
        <v>0.11138138522596339</v>
      </c>
      <c r="AE105">
        <v>1</v>
      </c>
      <c r="AF105" s="32">
        <f t="shared" si="54"/>
        <v>3.9070978945083569E-4</v>
      </c>
      <c r="AG105">
        <v>280</v>
      </c>
      <c r="AH105" s="32">
        <f t="shared" si="55"/>
        <v>0.11076575303758124</v>
      </c>
      <c r="AI105">
        <v>75</v>
      </c>
      <c r="AJ105" s="32">
        <f t="shared" si="56"/>
        <v>2.9669398135066402E-2</v>
      </c>
      <c r="AK105">
        <v>60</v>
      </c>
      <c r="AL105" s="32">
        <f t="shared" si="57"/>
        <v>2.3735518508053124E-2</v>
      </c>
      <c r="AM105">
        <v>135</v>
      </c>
      <c r="AO105" s="49">
        <v>712</v>
      </c>
      <c r="AP105" s="49">
        <f t="shared" si="58"/>
        <v>0.22253784805299548</v>
      </c>
      <c r="AQ105">
        <v>1400</v>
      </c>
      <c r="AR105" s="32">
        <f t="shared" si="59"/>
        <v>0.52430365920262156</v>
      </c>
      <c r="AS105" s="48">
        <v>2800</v>
      </c>
      <c r="AT105" s="27">
        <f t="shared" si="60"/>
        <v>1.0486073184052431</v>
      </c>
      <c r="AU105" s="48">
        <v>63</v>
      </c>
      <c r="AV105" s="27">
        <f t="shared" si="61"/>
        <v>2.3181549379065643E-2</v>
      </c>
      <c r="AW105" s="48">
        <v>210</v>
      </c>
      <c r="AX105" s="27">
        <f t="shared" si="62"/>
        <v>7.8983204720835226E-2</v>
      </c>
      <c r="AY105" s="48">
        <v>53</v>
      </c>
      <c r="AZ105" s="27">
        <f t="shared" si="63"/>
        <v>1.9768980868728192E-2</v>
      </c>
      <c r="BA105" s="48">
        <v>13</v>
      </c>
      <c r="BB105" s="27">
        <f t="shared" si="64"/>
        <v>4.8140043763676144E-3</v>
      </c>
      <c r="BC105" s="48">
        <v>1.4</v>
      </c>
      <c r="BD105" s="27">
        <f t="shared" si="65"/>
        <v>5.1843124053189689E-4</v>
      </c>
      <c r="BE105" s="48">
        <v>0.06</v>
      </c>
      <c r="BF105" s="27">
        <f t="shared" si="66"/>
        <v>2.1953028430160689E-5</v>
      </c>
      <c r="BG105" s="48">
        <v>0.04</v>
      </c>
      <c r="BH105" s="27">
        <f t="shared" si="67"/>
        <v>1.4635352286773795E-5</v>
      </c>
      <c r="BI105" s="52">
        <f t="shared" si="68"/>
        <v>3140.5</v>
      </c>
      <c r="BJ105" s="52">
        <f t="shared" si="69"/>
        <v>340.5</v>
      </c>
      <c r="BK105" s="27">
        <f t="shared" si="70"/>
        <v>1.1759100773714888</v>
      </c>
      <c r="BL105" s="27">
        <f t="shared" si="71"/>
        <v>0.12730275896624549</v>
      </c>
      <c r="BM105">
        <v>3800</v>
      </c>
      <c r="BN105">
        <v>1300</v>
      </c>
      <c r="BO105" t="s">
        <v>19</v>
      </c>
      <c r="BP105">
        <v>5100</v>
      </c>
      <c r="BQ105">
        <v>69</v>
      </c>
      <c r="BR105" t="s">
        <v>443</v>
      </c>
      <c r="BS105">
        <v>0.85</v>
      </c>
      <c r="BT105">
        <v>0.56000000000000005</v>
      </c>
      <c r="BU105">
        <v>14</v>
      </c>
      <c r="BV105">
        <v>-137</v>
      </c>
      <c r="BW105">
        <v>7.29</v>
      </c>
      <c r="BX105">
        <v>1080</v>
      </c>
      <c r="BY105">
        <v>0.2</v>
      </c>
      <c r="BZ105">
        <v>0.01</v>
      </c>
      <c r="CA105" s="32">
        <v>0.5</v>
      </c>
      <c r="CB105" s="32">
        <f t="shared" si="72"/>
        <v>8.9525514771709933E-3</v>
      </c>
      <c r="CC105" s="32">
        <f t="shared" si="73"/>
        <v>8.9525514771709933E-3</v>
      </c>
      <c r="CD105" s="32">
        <v>0.9</v>
      </c>
      <c r="CE105" s="32">
        <f t="shared" si="74"/>
        <v>1.6384489350081924E-2</v>
      </c>
      <c r="CF105" s="32">
        <f t="shared" si="75"/>
        <v>3.2768978700163848E-2</v>
      </c>
      <c r="CG105" s="27">
        <v>58</v>
      </c>
      <c r="CH105" s="27">
        <f t="shared" si="76"/>
        <v>0.60378929835519468</v>
      </c>
      <c r="CI105" s="27">
        <f t="shared" si="77"/>
        <v>4.8303143868415575</v>
      </c>
      <c r="CJ105" s="58">
        <v>29</v>
      </c>
      <c r="CK105" s="58">
        <v>33.333333333333329</v>
      </c>
      <c r="CL105" s="58">
        <v>2.4151571934207787</v>
      </c>
      <c r="CM105" s="58">
        <v>2.4151571934207787</v>
      </c>
      <c r="CN105" s="28">
        <v>19</v>
      </c>
      <c r="CO105" s="28">
        <v>24.675324675324674</v>
      </c>
      <c r="CP105" s="28">
        <v>1.5823443681032687</v>
      </c>
      <c r="CQ105" s="28">
        <v>1.5823443681032687</v>
      </c>
      <c r="CR105" s="32">
        <f t="shared" si="78"/>
        <v>16.857797210077035</v>
      </c>
      <c r="CS105" s="32">
        <v>16.857797210077035</v>
      </c>
      <c r="CT105" s="32">
        <f t="shared" si="79"/>
        <v>17.357797210077035</v>
      </c>
      <c r="CU105" s="32">
        <f t="shared" si="80"/>
        <v>0.31079314610701941</v>
      </c>
      <c r="CV105" s="32">
        <f t="shared" si="81"/>
        <v>0.31079314610701941</v>
      </c>
      <c r="CW105" s="60">
        <f t="shared" si="82"/>
        <v>11.044763689360815</v>
      </c>
      <c r="CX105" s="60">
        <v>11.044763689360815</v>
      </c>
      <c r="CY105" s="60">
        <f t="shared" si="83"/>
        <v>11.544763689360815</v>
      </c>
      <c r="CZ105" s="60">
        <f t="shared" si="84"/>
        <v>0.20671018244155442</v>
      </c>
      <c r="DA105" s="60">
        <f t="shared" si="85"/>
        <v>0.20671018244155442</v>
      </c>
      <c r="DB105" s="32">
        <f t="shared" si="86"/>
        <v>4.8303143868415575</v>
      </c>
      <c r="DC105">
        <f t="shared" si="87"/>
        <v>2.7587193182279619</v>
      </c>
      <c r="DD105">
        <f t="shared" si="88"/>
        <v>1.1878330094564567E-2</v>
      </c>
      <c r="DE105">
        <f t="shared" si="89"/>
        <v>0.11265848760092584</v>
      </c>
      <c r="DF105">
        <f t="shared" si="90"/>
        <v>0.87546318230450959</v>
      </c>
      <c r="DG105">
        <f t="shared" si="91"/>
        <v>1.8218235292449869</v>
      </c>
      <c r="DH105">
        <f t="shared" si="92"/>
        <v>1.7986911560937079E-2</v>
      </c>
      <c r="DI105">
        <f t="shared" si="93"/>
        <v>0.11346333995764163</v>
      </c>
      <c r="DJ105">
        <f t="shared" si="94"/>
        <v>0.8685497484814213</v>
      </c>
      <c r="DK105" s="64">
        <f t="shared" si="95"/>
        <v>-2.011877810972345</v>
      </c>
      <c r="DL105" s="64">
        <f t="shared" si="96"/>
        <v>-1.0749820219893698</v>
      </c>
      <c r="DM105" s="64">
        <f t="shared" si="97"/>
        <v>-1.8845750520060993</v>
      </c>
      <c r="DN105" s="64">
        <f t="shared" si="98"/>
        <v>-0.94767926302312433</v>
      </c>
      <c r="DO105" t="str">
        <f t="shared" si="99"/>
        <v>Sufficient Capacity</v>
      </c>
      <c r="DP105" t="str">
        <f t="shared" si="100"/>
        <v>Sufficient Capacity</v>
      </c>
    </row>
    <row r="106" spans="1:120" ht="15.75" x14ac:dyDescent="0.25">
      <c r="A106" s="6" t="s">
        <v>159</v>
      </c>
      <c r="B106" s="6" t="s">
        <v>159</v>
      </c>
      <c r="C106" s="2" t="s">
        <v>907</v>
      </c>
      <c r="D106" s="2" t="s">
        <v>548</v>
      </c>
      <c r="E106" s="2" t="s">
        <v>548</v>
      </c>
      <c r="F106" s="2">
        <v>105</v>
      </c>
      <c r="G106" s="2" t="s">
        <v>906</v>
      </c>
      <c r="H106" s="10" t="s">
        <v>656</v>
      </c>
      <c r="I106" s="2">
        <v>150</v>
      </c>
      <c r="J106" s="2">
        <v>65</v>
      </c>
      <c r="K106" s="15">
        <v>6.9</v>
      </c>
      <c r="L106" t="s">
        <v>331</v>
      </c>
      <c r="M106" s="2" t="s">
        <v>1120</v>
      </c>
      <c r="N106" s="2" t="s">
        <v>435</v>
      </c>
      <c r="O106" s="2" t="s">
        <v>673</v>
      </c>
      <c r="P106" s="2" t="s">
        <v>1127</v>
      </c>
      <c r="Q106" s="9" t="s">
        <v>674</v>
      </c>
      <c r="R106" s="2" t="str">
        <f t="shared" si="50"/>
        <v>CW_1_Section_3</v>
      </c>
      <c r="S106" s="2" t="str">
        <f t="shared" si="51"/>
        <v>CW_1_MF09</v>
      </c>
      <c r="T106" s="11" t="s">
        <v>891</v>
      </c>
      <c r="U106" s="1">
        <v>45762</v>
      </c>
      <c r="V106" s="2" t="s">
        <v>660</v>
      </c>
      <c r="W106" s="2" t="s">
        <v>655</v>
      </c>
      <c r="X106" s="2" t="s">
        <v>890</v>
      </c>
      <c r="Y106" s="2" t="str">
        <f t="shared" si="52"/>
        <v>T4_0.15-0.30</v>
      </c>
      <c r="Z106" t="s">
        <v>21</v>
      </c>
      <c r="AA106">
        <v>11</v>
      </c>
      <c r="AB106">
        <v>11</v>
      </c>
      <c r="AC106">
        <v>270</v>
      </c>
      <c r="AD106" s="32">
        <f t="shared" si="53"/>
        <v>0.1036999103827935</v>
      </c>
      <c r="AE106">
        <v>0.5</v>
      </c>
      <c r="AF106" s="32">
        <f t="shared" si="54"/>
        <v>1.9535489472541785E-4</v>
      </c>
      <c r="AG106">
        <v>290</v>
      </c>
      <c r="AH106" s="32">
        <f t="shared" si="55"/>
        <v>0.11472167278892344</v>
      </c>
      <c r="AI106">
        <v>110</v>
      </c>
      <c r="AJ106" s="32">
        <f t="shared" si="56"/>
        <v>4.3515117264764057E-2</v>
      </c>
      <c r="AK106">
        <v>100</v>
      </c>
      <c r="AL106" s="32">
        <f t="shared" si="57"/>
        <v>3.9559197513421872E-2</v>
      </c>
      <c r="AM106">
        <v>210</v>
      </c>
      <c r="AO106" s="49">
        <v>773.5</v>
      </c>
      <c r="AP106" s="49">
        <f t="shared" si="58"/>
        <v>0.21861693806644233</v>
      </c>
      <c r="AQ106">
        <v>1300</v>
      </c>
      <c r="AR106" s="32">
        <f t="shared" si="59"/>
        <v>0.48685339783100573</v>
      </c>
      <c r="AS106" s="48">
        <v>980</v>
      </c>
      <c r="AT106" s="27">
        <f t="shared" si="60"/>
        <v>0.36701256144183508</v>
      </c>
      <c r="AU106" s="48">
        <v>0.31</v>
      </c>
      <c r="AV106" s="27">
        <f t="shared" si="61"/>
        <v>1.1406794138905315E-4</v>
      </c>
      <c r="AW106" s="48">
        <v>0.79</v>
      </c>
      <c r="AX106" s="27">
        <f t="shared" si="62"/>
        <v>2.9712729394980872E-4</v>
      </c>
      <c r="AY106" s="48">
        <v>0.28999999999999998</v>
      </c>
      <c r="AZ106" s="27">
        <f t="shared" si="63"/>
        <v>1.0816989531945613E-4</v>
      </c>
      <c r="BA106" s="48">
        <v>0.18</v>
      </c>
      <c r="BB106" s="27">
        <f t="shared" si="64"/>
        <v>6.6655445211243893E-5</v>
      </c>
      <c r="BC106" s="48">
        <v>0.03</v>
      </c>
      <c r="BD106" s="27">
        <f t="shared" si="65"/>
        <v>1.110924086854065E-5</v>
      </c>
      <c r="BE106" s="48">
        <v>0.01</v>
      </c>
      <c r="BF106" s="27">
        <f t="shared" si="66"/>
        <v>3.6588380716934487E-6</v>
      </c>
      <c r="BG106" s="48">
        <v>2E-3</v>
      </c>
      <c r="BH106" s="27">
        <f t="shared" si="67"/>
        <v>7.3176761433868969E-7</v>
      </c>
      <c r="BI106" s="52">
        <f t="shared" si="68"/>
        <v>981.61199999999974</v>
      </c>
      <c r="BJ106" s="52">
        <f t="shared" si="69"/>
        <v>1.6120000000000001</v>
      </c>
      <c r="BK106" s="27">
        <f t="shared" si="70"/>
        <v>0.36761408186425926</v>
      </c>
      <c r="BL106" s="27">
        <f t="shared" si="71"/>
        <v>6.0152042242413465E-4</v>
      </c>
      <c r="BM106">
        <v>2000</v>
      </c>
      <c r="BN106">
        <v>25</v>
      </c>
      <c r="BO106" t="s">
        <v>19</v>
      </c>
      <c r="BP106">
        <v>2000</v>
      </c>
      <c r="BQ106">
        <v>62</v>
      </c>
      <c r="BR106" t="s">
        <v>443</v>
      </c>
      <c r="BS106">
        <v>1.1000000000000001</v>
      </c>
      <c r="BT106">
        <v>4.63</v>
      </c>
      <c r="BU106">
        <v>13.8</v>
      </c>
      <c r="BV106">
        <v>-101</v>
      </c>
      <c r="BW106">
        <v>7.01</v>
      </c>
      <c r="BX106">
        <v>749</v>
      </c>
      <c r="BY106">
        <v>0.2</v>
      </c>
      <c r="BZ106">
        <v>0.01</v>
      </c>
      <c r="CA106" s="32">
        <v>8.6999999999999993</v>
      </c>
      <c r="CB106" s="32">
        <f t="shared" si="72"/>
        <v>0.15577439570277526</v>
      </c>
      <c r="CC106" s="32">
        <f t="shared" si="73"/>
        <v>0.15577439570277526</v>
      </c>
      <c r="CD106" s="32">
        <v>1.2</v>
      </c>
      <c r="CE106" s="32">
        <f t="shared" si="74"/>
        <v>2.1845985800109231E-2</v>
      </c>
      <c r="CF106" s="32">
        <f t="shared" si="75"/>
        <v>4.3691971600218461E-2</v>
      </c>
      <c r="CG106" s="27">
        <v>23</v>
      </c>
      <c r="CH106" s="27">
        <f t="shared" si="76"/>
        <v>0.23943368727878409</v>
      </c>
      <c r="CI106" s="27">
        <f t="shared" si="77"/>
        <v>1.9154694982302727</v>
      </c>
      <c r="CJ106" s="58">
        <v>64</v>
      </c>
      <c r="CK106" s="58">
        <v>73.563218390804593</v>
      </c>
      <c r="CL106" s="58">
        <v>5.3300020820320633</v>
      </c>
      <c r="CM106" s="58">
        <v>5.3300020820320633</v>
      </c>
      <c r="CN106" s="28">
        <v>-8</v>
      </c>
      <c r="CO106" s="28">
        <v>-53.333333333333336</v>
      </c>
      <c r="CP106" s="28">
        <v>-0.66625026025400791</v>
      </c>
      <c r="CR106" s="32">
        <f t="shared" si="78"/>
        <v>37.2034145325838</v>
      </c>
      <c r="CS106" s="32">
        <v>37.2034145325838</v>
      </c>
      <c r="CT106" s="32">
        <f t="shared" si="79"/>
        <v>45.903414532583795</v>
      </c>
      <c r="CU106" s="32">
        <f t="shared" si="80"/>
        <v>0.821905363161751</v>
      </c>
      <c r="CV106" s="32">
        <f t="shared" si="81"/>
        <v>0.821905363161751</v>
      </c>
      <c r="CW106" s="60">
        <f t="shared" si="82"/>
        <v>-4.650426816572975</v>
      </c>
      <c r="CY106" s="60">
        <f t="shared" si="83"/>
        <v>8.6999999999999993</v>
      </c>
      <c r="CZ106" s="60">
        <f t="shared" si="84"/>
        <v>0.15577439570277526</v>
      </c>
      <c r="DA106" s="60">
        <f t="shared" si="85"/>
        <v>0.15577439570277526</v>
      </c>
      <c r="DB106" s="32">
        <f t="shared" si="86"/>
        <v>1.9154694982302727</v>
      </c>
      <c r="DC106">
        <f t="shared" si="87"/>
        <v>6.1955994167940327</v>
      </c>
      <c r="DD106">
        <f t="shared" si="88"/>
        <v>7.052097571348029E-3</v>
      </c>
      <c r="DE106">
        <f t="shared" si="89"/>
        <v>0.1326595391131748</v>
      </c>
      <c r="DF106">
        <f t="shared" si="90"/>
        <v>0.8602883633154772</v>
      </c>
      <c r="DG106">
        <f t="shared" si="91"/>
        <v>0.19946636730299372</v>
      </c>
      <c r="DH106">
        <f t="shared" si="92"/>
        <v>0.21904430401466837</v>
      </c>
      <c r="DI106">
        <f t="shared" si="93"/>
        <v>0.78095569598533165</v>
      </c>
      <c r="DJ106">
        <f t="shared" si="94"/>
        <v>0</v>
      </c>
      <c r="DK106" s="64">
        <f t="shared" si="95"/>
        <v>-5.490129080896585</v>
      </c>
      <c r="DL106" s="64">
        <f t="shared" si="96"/>
        <v>0.5060039685944544</v>
      </c>
      <c r="DM106" s="64">
        <f t="shared" si="97"/>
        <v>-5.4895275604741602</v>
      </c>
      <c r="DN106" s="64">
        <f t="shared" si="98"/>
        <v>0.50660548901687852</v>
      </c>
      <c r="DO106" t="str">
        <f t="shared" si="99"/>
        <v>Sufficient Capacity</v>
      </c>
      <c r="DP106" t="str">
        <f t="shared" si="100"/>
        <v>Insufficient Capacity</v>
      </c>
    </row>
    <row r="107" spans="1:120" ht="15.75" x14ac:dyDescent="0.25">
      <c r="A107" s="6" t="s">
        <v>160</v>
      </c>
      <c r="B107" s="6" t="s">
        <v>160</v>
      </c>
      <c r="C107" s="2" t="s">
        <v>909</v>
      </c>
      <c r="D107" s="2" t="s">
        <v>549</v>
      </c>
      <c r="E107" s="2" t="s">
        <v>549</v>
      </c>
      <c r="F107" s="2">
        <v>106</v>
      </c>
      <c r="G107" s="2" t="s">
        <v>908</v>
      </c>
      <c r="H107" s="10" t="s">
        <v>656</v>
      </c>
      <c r="I107" s="2">
        <v>150</v>
      </c>
      <c r="J107" s="2">
        <v>65</v>
      </c>
      <c r="K107" s="15">
        <v>4</v>
      </c>
      <c r="L107" t="s">
        <v>332</v>
      </c>
      <c r="M107" s="2" t="s">
        <v>1120</v>
      </c>
      <c r="N107" s="2" t="s">
        <v>435</v>
      </c>
      <c r="O107" s="2" t="s">
        <v>673</v>
      </c>
      <c r="P107" s="2" t="s">
        <v>1128</v>
      </c>
      <c r="Q107" s="9" t="s">
        <v>677</v>
      </c>
      <c r="R107" s="2" t="str">
        <f t="shared" si="50"/>
        <v>CW_1_Section_3</v>
      </c>
      <c r="S107" s="2" t="str">
        <f t="shared" si="51"/>
        <v>CW_1_MF10</v>
      </c>
      <c r="T107" s="11" t="s">
        <v>891</v>
      </c>
      <c r="U107" s="1">
        <v>45762</v>
      </c>
      <c r="V107" s="2" t="s">
        <v>660</v>
      </c>
      <c r="W107" s="2" t="s">
        <v>663</v>
      </c>
      <c r="X107" s="2" t="s">
        <v>890</v>
      </c>
      <c r="Y107" s="2" t="str">
        <f t="shared" si="52"/>
        <v>T4_0.60-0.80</v>
      </c>
      <c r="Z107" t="s">
        <v>23</v>
      </c>
      <c r="AA107">
        <v>11</v>
      </c>
      <c r="AB107">
        <v>12</v>
      </c>
      <c r="AC107">
        <v>260</v>
      </c>
      <c r="AD107" s="32">
        <f t="shared" si="53"/>
        <v>9.9859172961208553E-2</v>
      </c>
      <c r="AE107">
        <v>1</v>
      </c>
      <c r="AF107" s="32">
        <f t="shared" si="54"/>
        <v>3.9070978945083569E-4</v>
      </c>
      <c r="AG107">
        <v>230</v>
      </c>
      <c r="AH107" s="32">
        <f t="shared" si="55"/>
        <v>9.0986154280870299E-2</v>
      </c>
      <c r="AI107">
        <v>70</v>
      </c>
      <c r="AJ107" s="32">
        <f t="shared" si="56"/>
        <v>2.769143825939531E-2</v>
      </c>
      <c r="AK107">
        <v>62</v>
      </c>
      <c r="AL107" s="32">
        <f t="shared" si="57"/>
        <v>2.4526702458321559E-2</v>
      </c>
      <c r="AM107">
        <v>132</v>
      </c>
      <c r="AO107" s="49">
        <v>629</v>
      </c>
      <c r="AP107" s="49">
        <f t="shared" si="58"/>
        <v>0.19123603703152969</v>
      </c>
      <c r="AQ107">
        <v>1800</v>
      </c>
      <c r="AR107" s="32">
        <f t="shared" si="59"/>
        <v>0.6741047046890849</v>
      </c>
      <c r="AS107" s="48">
        <v>2400</v>
      </c>
      <c r="AT107" s="27">
        <f t="shared" si="60"/>
        <v>0.89880627291877968</v>
      </c>
      <c r="AU107" s="48">
        <v>89</v>
      </c>
      <c r="AV107" s="27">
        <f t="shared" si="61"/>
        <v>3.2748538011695909E-2</v>
      </c>
      <c r="AW107" s="48">
        <v>120</v>
      </c>
      <c r="AX107" s="27">
        <f t="shared" si="62"/>
        <v>4.5133259840477273E-2</v>
      </c>
      <c r="AY107" s="48">
        <v>30</v>
      </c>
      <c r="AZ107" s="27">
        <f t="shared" si="63"/>
        <v>1.1189989170978222E-2</v>
      </c>
      <c r="BA107" s="48">
        <v>0.72</v>
      </c>
      <c r="BB107" s="27">
        <f t="shared" si="64"/>
        <v>2.6662178084497557E-4</v>
      </c>
      <c r="BC107" s="48">
        <v>0.52</v>
      </c>
      <c r="BD107" s="27">
        <f t="shared" si="65"/>
        <v>1.925601750547046E-4</v>
      </c>
      <c r="BE107" s="48">
        <v>0.03</v>
      </c>
      <c r="BF107" s="27">
        <f t="shared" si="66"/>
        <v>1.0976514215080345E-5</v>
      </c>
      <c r="BG107" s="48">
        <v>2E-3</v>
      </c>
      <c r="BH107" s="27">
        <f t="shared" si="67"/>
        <v>7.3176761433868969E-7</v>
      </c>
      <c r="BI107" s="52">
        <f t="shared" si="68"/>
        <v>2640.2719999999999</v>
      </c>
      <c r="BJ107" s="52">
        <f t="shared" si="69"/>
        <v>240.27200000000002</v>
      </c>
      <c r="BK107" s="27">
        <f t="shared" si="70"/>
        <v>0.98834895017966029</v>
      </c>
      <c r="BL107" s="27">
        <f t="shared" si="71"/>
        <v>8.9542677260880513E-2</v>
      </c>
      <c r="BM107">
        <v>4200</v>
      </c>
      <c r="BN107">
        <v>1300</v>
      </c>
      <c r="BO107" t="s">
        <v>19</v>
      </c>
      <c r="BP107">
        <v>5500</v>
      </c>
      <c r="BQ107">
        <v>69</v>
      </c>
      <c r="BR107" t="s">
        <v>443</v>
      </c>
      <c r="BS107">
        <v>0.56999999999999995</v>
      </c>
      <c r="BT107">
        <v>0.22</v>
      </c>
      <c r="BU107">
        <v>14.1</v>
      </c>
      <c r="BV107">
        <v>-148</v>
      </c>
      <c r="BW107">
        <v>7.08</v>
      </c>
      <c r="BX107">
        <v>802</v>
      </c>
      <c r="BY107">
        <v>0.2</v>
      </c>
      <c r="BZ107">
        <v>0.01</v>
      </c>
      <c r="CA107" s="32">
        <v>0.8</v>
      </c>
      <c r="CB107" s="32">
        <f t="shared" si="72"/>
        <v>1.432408236347359E-2</v>
      </c>
      <c r="CC107" s="32">
        <f t="shared" si="73"/>
        <v>1.432408236347359E-2</v>
      </c>
      <c r="CD107" s="32">
        <v>1.1000000000000001</v>
      </c>
      <c r="CE107" s="32">
        <f t="shared" si="74"/>
        <v>2.0025486983433462E-2</v>
      </c>
      <c r="CF107" s="32">
        <f t="shared" si="75"/>
        <v>4.0050973966866923E-2</v>
      </c>
      <c r="CG107" s="27">
        <v>61</v>
      </c>
      <c r="CH107" s="27">
        <f t="shared" si="76"/>
        <v>0.6350197793046013</v>
      </c>
      <c r="CI107" s="27">
        <f t="shared" si="77"/>
        <v>5.0801582344368104</v>
      </c>
      <c r="CJ107" s="58">
        <v>26</v>
      </c>
      <c r="CK107" s="58">
        <v>29.885057471264371</v>
      </c>
      <c r="CL107" s="58">
        <v>2.1653133458255258</v>
      </c>
      <c r="CM107" s="58">
        <v>2.1653133458255258</v>
      </c>
      <c r="CN107" s="28">
        <v>-3</v>
      </c>
      <c r="CO107" s="28">
        <v>-5.1724137931034484</v>
      </c>
      <c r="CP107" s="28">
        <v>-0.24984384759525297</v>
      </c>
      <c r="CR107" s="32">
        <f t="shared" si="78"/>
        <v>15.113887153862169</v>
      </c>
      <c r="CS107" s="32">
        <v>15.113887153862169</v>
      </c>
      <c r="CT107" s="32">
        <f t="shared" si="79"/>
        <v>15.91388715386217</v>
      </c>
      <c r="CU107" s="32">
        <f t="shared" si="80"/>
        <v>0.28493978789368252</v>
      </c>
      <c r="CV107" s="32">
        <f t="shared" si="81"/>
        <v>0.28493978789368252</v>
      </c>
      <c r="CW107" s="60">
        <f t="shared" si="82"/>
        <v>-1.7439100562148657</v>
      </c>
      <c r="CY107" s="60">
        <f t="shared" si="83"/>
        <v>0.8</v>
      </c>
      <c r="CZ107" s="60">
        <f t="shared" si="84"/>
        <v>1.432408236347359E-2</v>
      </c>
      <c r="DA107" s="60">
        <f t="shared" si="85"/>
        <v>1.432408236347359E-2</v>
      </c>
      <c r="DB107" s="32">
        <f t="shared" si="86"/>
        <v>5.0801582344368104</v>
      </c>
      <c r="DC107">
        <f t="shared" si="87"/>
        <v>2.4903041076860752</v>
      </c>
      <c r="DD107">
        <f t="shared" si="88"/>
        <v>1.6082764287001571E-2</v>
      </c>
      <c r="DE107">
        <f t="shared" si="89"/>
        <v>0.11441967549836354</v>
      </c>
      <c r="DF107">
        <f t="shared" si="90"/>
        <v>0.86949756021463487</v>
      </c>
      <c r="DG107">
        <f t="shared" si="91"/>
        <v>5.437505633034051E-2</v>
      </c>
      <c r="DH107">
        <f t="shared" si="92"/>
        <v>0.73656887311616537</v>
      </c>
      <c r="DI107">
        <f t="shared" si="93"/>
        <v>0.26343112688383469</v>
      </c>
      <c r="DJ107">
        <f t="shared" si="94"/>
        <v>0</v>
      </c>
      <c r="DK107" s="64">
        <f t="shared" si="95"/>
        <v>-1.6249633659654608</v>
      </c>
      <c r="DL107" s="64">
        <f t="shared" si="96"/>
        <v>0.81096568539027403</v>
      </c>
      <c r="DM107" s="64">
        <f t="shared" si="97"/>
        <v>-1.5354206887045803</v>
      </c>
      <c r="DN107" s="64">
        <f t="shared" si="98"/>
        <v>0.90050836265115453</v>
      </c>
      <c r="DO107" t="str">
        <f t="shared" si="99"/>
        <v>Sufficient Capacity</v>
      </c>
      <c r="DP107" t="str">
        <f t="shared" si="100"/>
        <v>Insufficient Capacity</v>
      </c>
    </row>
    <row r="108" spans="1:120" ht="15.75" x14ac:dyDescent="0.25">
      <c r="A108" s="6" t="s">
        <v>161</v>
      </c>
      <c r="B108" s="6" t="s">
        <v>161</v>
      </c>
      <c r="C108" s="2" t="s">
        <v>911</v>
      </c>
      <c r="D108" s="2" t="s">
        <v>550</v>
      </c>
      <c r="E108" s="2" t="s">
        <v>550</v>
      </c>
      <c r="F108" s="2">
        <v>107</v>
      </c>
      <c r="G108" s="2" t="s">
        <v>910</v>
      </c>
      <c r="H108" s="10" t="s">
        <v>656</v>
      </c>
      <c r="I108" s="2">
        <v>150</v>
      </c>
      <c r="J108" s="2">
        <v>65</v>
      </c>
      <c r="K108" s="15">
        <v>5.2</v>
      </c>
      <c r="L108" t="s">
        <v>335</v>
      </c>
      <c r="M108" s="2" t="s">
        <v>1120</v>
      </c>
      <c r="N108" s="2" t="s">
        <v>436</v>
      </c>
      <c r="O108" s="2" t="s">
        <v>653</v>
      </c>
      <c r="P108" s="2" t="s">
        <v>1123</v>
      </c>
      <c r="Q108" s="9" t="s">
        <v>713</v>
      </c>
      <c r="R108" s="2" t="str">
        <f t="shared" si="50"/>
        <v>CW_2_Section_1</v>
      </c>
      <c r="S108" s="2" t="str">
        <f t="shared" si="51"/>
        <v>CW_2_MF01</v>
      </c>
      <c r="T108" s="11" t="s">
        <v>891</v>
      </c>
      <c r="U108" s="1">
        <v>45762</v>
      </c>
      <c r="V108" s="2" t="s">
        <v>660</v>
      </c>
      <c r="W108" s="2" t="s">
        <v>655</v>
      </c>
      <c r="X108" s="2" t="s">
        <v>890</v>
      </c>
      <c r="Y108" s="2" t="str">
        <f t="shared" si="52"/>
        <v>T4_0.15-0.30</v>
      </c>
      <c r="Z108" t="s">
        <v>41</v>
      </c>
      <c r="AA108">
        <v>11</v>
      </c>
      <c r="AB108">
        <v>11</v>
      </c>
      <c r="AC108">
        <v>390</v>
      </c>
      <c r="AD108" s="32">
        <f t="shared" si="53"/>
        <v>0.14978875944181283</v>
      </c>
      <c r="AE108">
        <v>2</v>
      </c>
      <c r="AF108" s="32">
        <f t="shared" si="54"/>
        <v>7.8141957890167139E-4</v>
      </c>
      <c r="AG108">
        <v>240</v>
      </c>
      <c r="AH108" s="32">
        <f t="shared" si="55"/>
        <v>9.4942074032212498E-2</v>
      </c>
      <c r="AI108">
        <v>62</v>
      </c>
      <c r="AJ108" s="32">
        <f t="shared" si="56"/>
        <v>2.4526702458321559E-2</v>
      </c>
      <c r="AK108">
        <v>68</v>
      </c>
      <c r="AL108" s="32">
        <f t="shared" si="57"/>
        <v>2.6900254309126872E-2</v>
      </c>
      <c r="AM108">
        <v>130</v>
      </c>
      <c r="AO108" s="49">
        <v>774</v>
      </c>
      <c r="AP108" s="49">
        <f t="shared" si="58"/>
        <v>0.24551225305292701</v>
      </c>
      <c r="AQ108">
        <v>2800</v>
      </c>
      <c r="AR108" s="32">
        <f t="shared" si="59"/>
        <v>1.0486073184052431</v>
      </c>
      <c r="AS108" s="48">
        <v>600</v>
      </c>
      <c r="AT108" s="27">
        <f t="shared" si="60"/>
        <v>0.22470156822969492</v>
      </c>
      <c r="AU108" s="48">
        <v>4</v>
      </c>
      <c r="AV108" s="27">
        <f t="shared" si="61"/>
        <v>1.4718444050200407E-3</v>
      </c>
      <c r="AW108" s="48">
        <v>5</v>
      </c>
      <c r="AX108" s="27">
        <f t="shared" si="62"/>
        <v>1.8805524933532196E-3</v>
      </c>
      <c r="AY108" s="48">
        <v>7.0000000000000007E-2</v>
      </c>
      <c r="AZ108" s="27">
        <f t="shared" si="63"/>
        <v>2.6109974732282519E-5</v>
      </c>
      <c r="BA108" s="48">
        <v>0.05</v>
      </c>
      <c r="BB108" s="27">
        <f t="shared" si="64"/>
        <v>1.8515401447567749E-5</v>
      </c>
      <c r="BC108" s="48">
        <v>0.01</v>
      </c>
      <c r="BD108" s="27">
        <f t="shared" si="65"/>
        <v>3.7030802895135499E-6</v>
      </c>
      <c r="BE108" s="48">
        <v>1E-3</v>
      </c>
      <c r="BF108" s="27">
        <f t="shared" si="66"/>
        <v>3.6588380716934485E-7</v>
      </c>
      <c r="BG108" s="48">
        <v>2E-3</v>
      </c>
      <c r="BH108" s="27">
        <f t="shared" si="67"/>
        <v>7.3176761433868969E-7</v>
      </c>
      <c r="BI108" s="52">
        <f t="shared" si="68"/>
        <v>609.13299999999992</v>
      </c>
      <c r="BJ108" s="52">
        <f t="shared" si="69"/>
        <v>9.1330000000000009</v>
      </c>
      <c r="BK108" s="27">
        <f t="shared" si="70"/>
        <v>0.22810339123595907</v>
      </c>
      <c r="BL108" s="27">
        <f t="shared" si="71"/>
        <v>3.401823006264132E-3</v>
      </c>
      <c r="BM108">
        <v>5300</v>
      </c>
      <c r="BN108">
        <v>570</v>
      </c>
      <c r="BO108" t="s">
        <v>19</v>
      </c>
      <c r="BP108">
        <v>5900</v>
      </c>
      <c r="BQ108">
        <v>67</v>
      </c>
      <c r="BR108" t="s">
        <v>443</v>
      </c>
      <c r="BS108">
        <v>0.89</v>
      </c>
      <c r="BT108">
        <v>4.4400000000000004</v>
      </c>
      <c r="BU108">
        <v>14.1</v>
      </c>
      <c r="BV108">
        <v>-65</v>
      </c>
      <c r="BW108">
        <v>7.18</v>
      </c>
      <c r="BX108">
        <v>708</v>
      </c>
      <c r="BY108">
        <v>0.2</v>
      </c>
      <c r="BZ108">
        <v>0.01</v>
      </c>
      <c r="CA108" s="32">
        <v>3.3</v>
      </c>
      <c r="CB108" s="32">
        <f t="shared" si="72"/>
        <v>5.9086839749328553E-2</v>
      </c>
      <c r="CC108" s="32">
        <f t="shared" si="73"/>
        <v>5.9086839749328553E-2</v>
      </c>
      <c r="CD108" s="32">
        <v>1.2</v>
      </c>
      <c r="CE108" s="32">
        <f t="shared" si="74"/>
        <v>2.1845985800109231E-2</v>
      </c>
      <c r="CF108" s="32">
        <f t="shared" si="75"/>
        <v>4.3691971600218461E-2</v>
      </c>
      <c r="CG108" s="27">
        <v>54</v>
      </c>
      <c r="CH108" s="27">
        <f t="shared" si="76"/>
        <v>0.56214865708931916</v>
      </c>
      <c r="CI108" s="27">
        <f t="shared" si="77"/>
        <v>4.4971892567145533</v>
      </c>
      <c r="CJ108" s="58">
        <v>33</v>
      </c>
      <c r="CK108" s="58">
        <v>37.931034482758619</v>
      </c>
      <c r="CL108" s="58">
        <v>2.7482823235477825</v>
      </c>
      <c r="CM108" s="58">
        <v>2.7482823235477825</v>
      </c>
      <c r="CN108" s="28">
        <v>33</v>
      </c>
      <c r="CO108" s="28">
        <v>37.931034482758619</v>
      </c>
      <c r="CP108" s="28">
        <v>2.7482823235477825</v>
      </c>
      <c r="CQ108" s="28">
        <v>2.7482823235477825</v>
      </c>
      <c r="CR108" s="32">
        <f t="shared" si="78"/>
        <v>19.183010618363522</v>
      </c>
      <c r="CS108" s="32">
        <v>19.183010618363522</v>
      </c>
      <c r="CT108" s="32">
        <f t="shared" si="79"/>
        <v>22.483010618363522</v>
      </c>
      <c r="CU108" s="32">
        <f t="shared" si="80"/>
        <v>0.40256061984536295</v>
      </c>
      <c r="CV108" s="32">
        <f t="shared" si="81"/>
        <v>0.40256061984536295</v>
      </c>
      <c r="CW108" s="60">
        <f t="shared" si="82"/>
        <v>19.183010618363522</v>
      </c>
      <c r="CX108" s="60">
        <v>19.183010618363522</v>
      </c>
      <c r="CY108" s="60">
        <f t="shared" si="83"/>
        <v>22.483010618363522</v>
      </c>
      <c r="CZ108" s="60">
        <f t="shared" si="84"/>
        <v>0.40256061984536295</v>
      </c>
      <c r="DA108" s="60">
        <f t="shared" si="85"/>
        <v>0.40256061984536295</v>
      </c>
      <c r="DB108" s="32">
        <f t="shared" si="86"/>
        <v>4.4971892567145533</v>
      </c>
      <c r="DC108">
        <f t="shared" si="87"/>
        <v>3.1945349149933637</v>
      </c>
      <c r="DD108">
        <f t="shared" si="88"/>
        <v>1.3677099409730267E-2</v>
      </c>
      <c r="DE108">
        <f t="shared" si="89"/>
        <v>0.12601540773774866</v>
      </c>
      <c r="DF108">
        <f t="shared" si="90"/>
        <v>0.86030749285252117</v>
      </c>
      <c r="DG108">
        <f t="shared" si="91"/>
        <v>3.1945349149933637</v>
      </c>
      <c r="DH108">
        <f t="shared" si="92"/>
        <v>1.3677099409730267E-2</v>
      </c>
      <c r="DI108">
        <f t="shared" si="93"/>
        <v>0.12601540773774866</v>
      </c>
      <c r="DJ108">
        <f t="shared" si="94"/>
        <v>0.86030749285252117</v>
      </c>
      <c r="DK108" s="64">
        <f t="shared" si="95"/>
        <v>-1.9004153435351936</v>
      </c>
      <c r="DL108" s="64">
        <f t="shared" si="96"/>
        <v>-1.9004153435351936</v>
      </c>
      <c r="DM108" s="64">
        <f t="shared" si="97"/>
        <v>-1.8970135205289294</v>
      </c>
      <c r="DN108" s="64">
        <f t="shared" si="98"/>
        <v>-1.8970135205289294</v>
      </c>
      <c r="DO108" t="str">
        <f t="shared" si="99"/>
        <v>Sufficient Capacity</v>
      </c>
      <c r="DP108" t="str">
        <f t="shared" si="100"/>
        <v>Sufficient Capacity</v>
      </c>
    </row>
    <row r="109" spans="1:120" ht="15.75" x14ac:dyDescent="0.25">
      <c r="A109" s="6" t="s">
        <v>162</v>
      </c>
      <c r="B109" s="6" t="s">
        <v>162</v>
      </c>
      <c r="C109" s="2" t="s">
        <v>913</v>
      </c>
      <c r="D109" s="2" t="s">
        <v>551</v>
      </c>
      <c r="E109" s="2" t="s">
        <v>551</v>
      </c>
      <c r="F109" s="2">
        <v>108</v>
      </c>
      <c r="G109" s="2" t="s">
        <v>912</v>
      </c>
      <c r="H109" s="10" t="s">
        <v>656</v>
      </c>
      <c r="I109" s="2">
        <v>150</v>
      </c>
      <c r="J109" s="2">
        <v>65</v>
      </c>
      <c r="K109" s="15">
        <v>5.75</v>
      </c>
      <c r="L109" t="s">
        <v>336</v>
      </c>
      <c r="M109" s="2" t="s">
        <v>1120</v>
      </c>
      <c r="N109" s="2" t="s">
        <v>436</v>
      </c>
      <c r="O109" s="2" t="s">
        <v>653</v>
      </c>
      <c r="P109" s="2" t="s">
        <v>1124</v>
      </c>
      <c r="Q109" s="9" t="s">
        <v>716</v>
      </c>
      <c r="R109" s="2" t="str">
        <f t="shared" si="50"/>
        <v>CW_2_Section_1</v>
      </c>
      <c r="S109" s="2" t="str">
        <f t="shared" si="51"/>
        <v>CW_2_MF02</v>
      </c>
      <c r="T109" s="11" t="s">
        <v>891</v>
      </c>
      <c r="U109" s="1">
        <v>45762</v>
      </c>
      <c r="V109" s="2" t="s">
        <v>660</v>
      </c>
      <c r="W109" s="2" t="s">
        <v>663</v>
      </c>
      <c r="X109" s="2" t="s">
        <v>890</v>
      </c>
      <c r="Y109" s="2" t="str">
        <f t="shared" si="52"/>
        <v>T4_0.60-0.80</v>
      </c>
      <c r="Z109" t="s">
        <v>43</v>
      </c>
      <c r="AA109">
        <v>10</v>
      </c>
      <c r="AB109">
        <v>11</v>
      </c>
      <c r="AC109">
        <v>220</v>
      </c>
      <c r="AD109" s="32">
        <f t="shared" si="53"/>
        <v>8.4496223274868776E-2</v>
      </c>
      <c r="AE109">
        <v>13</v>
      </c>
      <c r="AF109" s="32">
        <f t="shared" si="54"/>
        <v>5.0792272628608645E-3</v>
      </c>
      <c r="AG109">
        <v>190</v>
      </c>
      <c r="AH109" s="32">
        <f t="shared" si="55"/>
        <v>7.5162475275501545E-2</v>
      </c>
      <c r="AI109">
        <v>69</v>
      </c>
      <c r="AJ109" s="32">
        <f t="shared" si="56"/>
        <v>2.7295846284261092E-2</v>
      </c>
      <c r="AK109">
        <v>96</v>
      </c>
      <c r="AL109" s="32">
        <f t="shared" si="57"/>
        <v>3.7976829612884996E-2</v>
      </c>
      <c r="AM109">
        <v>165</v>
      </c>
      <c r="AO109" s="49">
        <v>588</v>
      </c>
      <c r="AP109" s="49">
        <f t="shared" si="58"/>
        <v>0.16473792581323118</v>
      </c>
      <c r="AQ109">
        <v>1400</v>
      </c>
      <c r="AR109" s="32">
        <f t="shared" si="59"/>
        <v>0.52430365920262156</v>
      </c>
      <c r="AS109" s="48">
        <v>3800</v>
      </c>
      <c r="AT109" s="27">
        <f t="shared" si="60"/>
        <v>1.4231099321214014</v>
      </c>
      <c r="AU109" s="48">
        <v>130</v>
      </c>
      <c r="AV109" s="27">
        <f t="shared" si="61"/>
        <v>4.7834943163151324E-2</v>
      </c>
      <c r="AW109" s="48">
        <v>140</v>
      </c>
      <c r="AX109" s="27">
        <f t="shared" si="62"/>
        <v>5.2655469813890153E-2</v>
      </c>
      <c r="AY109" s="48">
        <v>65</v>
      </c>
      <c r="AZ109" s="27">
        <f t="shared" si="63"/>
        <v>2.4244976537119479E-2</v>
      </c>
      <c r="BA109" s="48">
        <v>35</v>
      </c>
      <c r="BB109" s="27">
        <f t="shared" si="64"/>
        <v>1.2960781013297425E-2</v>
      </c>
      <c r="BC109" s="48">
        <v>5.3</v>
      </c>
      <c r="BD109" s="27">
        <f t="shared" si="65"/>
        <v>1.9626325534421812E-3</v>
      </c>
      <c r="BE109" s="48">
        <v>1.2</v>
      </c>
      <c r="BF109" s="27">
        <f t="shared" si="66"/>
        <v>4.3906056860321384E-4</v>
      </c>
      <c r="BG109" s="48">
        <v>1</v>
      </c>
      <c r="BH109" s="27">
        <f t="shared" si="67"/>
        <v>3.6588380716934482E-4</v>
      </c>
      <c r="BI109" s="52">
        <f t="shared" si="68"/>
        <v>4177.5</v>
      </c>
      <c r="BJ109" s="52">
        <f t="shared" si="69"/>
        <v>377.5</v>
      </c>
      <c r="BK109" s="27">
        <f t="shared" si="70"/>
        <v>1.5635736795780746</v>
      </c>
      <c r="BL109" s="27">
        <f t="shared" si="71"/>
        <v>0.14046374745667312</v>
      </c>
      <c r="BM109">
        <v>5600</v>
      </c>
      <c r="BN109">
        <v>2100</v>
      </c>
      <c r="BO109" t="s">
        <v>19</v>
      </c>
      <c r="BP109">
        <v>7700</v>
      </c>
      <c r="BQ109">
        <v>66</v>
      </c>
      <c r="BR109" t="s">
        <v>443</v>
      </c>
      <c r="BS109">
        <v>0.71</v>
      </c>
      <c r="BT109">
        <v>0.41</v>
      </c>
      <c r="BU109">
        <v>14.2</v>
      </c>
      <c r="BV109">
        <v>-85</v>
      </c>
      <c r="BW109">
        <v>7.33</v>
      </c>
      <c r="BX109">
        <v>890</v>
      </c>
      <c r="BY109">
        <v>0.2</v>
      </c>
      <c r="BZ109">
        <v>0.01</v>
      </c>
      <c r="CA109" s="32">
        <v>0.3</v>
      </c>
      <c r="CB109" s="32">
        <f t="shared" si="72"/>
        <v>5.3715308863025958E-3</v>
      </c>
      <c r="CC109" s="32">
        <f t="shared" si="73"/>
        <v>5.3715308863025958E-3</v>
      </c>
      <c r="CD109" s="32">
        <v>0.7</v>
      </c>
      <c r="CE109" s="32">
        <f t="shared" si="74"/>
        <v>1.2743491716730383E-2</v>
      </c>
      <c r="CF109" s="32">
        <f t="shared" si="75"/>
        <v>2.5486983433460765E-2</v>
      </c>
      <c r="CG109" s="27">
        <v>76</v>
      </c>
      <c r="CH109" s="27">
        <f t="shared" si="76"/>
        <v>0.79117218405163436</v>
      </c>
      <c r="CI109" s="27">
        <f t="shared" si="77"/>
        <v>6.3293774724130749</v>
      </c>
      <c r="CJ109" s="58">
        <v>11</v>
      </c>
      <c r="CK109" s="58">
        <v>12.643678160919542</v>
      </c>
      <c r="CL109" s="58">
        <v>0.91609410784926082</v>
      </c>
      <c r="CM109" s="58">
        <v>0.91609410784926082</v>
      </c>
      <c r="CN109" s="28">
        <v>11</v>
      </c>
      <c r="CO109" s="28">
        <v>12.643678160919542</v>
      </c>
      <c r="CP109" s="28">
        <v>0.91609410784926082</v>
      </c>
      <c r="CQ109" s="28">
        <v>0.91609410784926082</v>
      </c>
      <c r="CR109" s="32">
        <f t="shared" si="78"/>
        <v>6.3943368727878402</v>
      </c>
      <c r="CS109" s="32">
        <v>6.3943368727878402</v>
      </c>
      <c r="CT109" s="32">
        <f t="shared" si="79"/>
        <v>6.6943368727878401</v>
      </c>
      <c r="CU109" s="32">
        <f t="shared" si="80"/>
        <v>0.11986279091831406</v>
      </c>
      <c r="CV109" s="32">
        <f t="shared" si="81"/>
        <v>0.11986279091831406</v>
      </c>
      <c r="CW109" s="60">
        <f t="shared" si="82"/>
        <v>6.3943368727878402</v>
      </c>
      <c r="CX109" s="60">
        <v>6.3943368727878402</v>
      </c>
      <c r="CY109" s="60">
        <f t="shared" si="83"/>
        <v>6.6943368727878401</v>
      </c>
      <c r="CZ109" s="60">
        <f t="shared" si="84"/>
        <v>0.11986279091831406</v>
      </c>
      <c r="DA109" s="60">
        <f t="shared" si="85"/>
        <v>0.11986279091831406</v>
      </c>
      <c r="DB109" s="32">
        <f t="shared" si="86"/>
        <v>6.3293774724130749</v>
      </c>
      <c r="DC109">
        <f t="shared" si="87"/>
        <v>1.0614438822010357</v>
      </c>
      <c r="DD109">
        <f t="shared" si="88"/>
        <v>2.4011616497906927E-2</v>
      </c>
      <c r="DE109">
        <f t="shared" si="89"/>
        <v>0.11292428448479412</v>
      </c>
      <c r="DF109">
        <f t="shared" si="90"/>
        <v>0.86306409901729886</v>
      </c>
      <c r="DG109">
        <f t="shared" si="91"/>
        <v>1.0614438822010357</v>
      </c>
      <c r="DH109">
        <f t="shared" si="92"/>
        <v>2.4011616497906927E-2</v>
      </c>
      <c r="DI109">
        <f t="shared" si="93"/>
        <v>0.11292428448479412</v>
      </c>
      <c r="DJ109">
        <f t="shared" si="94"/>
        <v>0.86306409901729886</v>
      </c>
      <c r="DK109" s="64">
        <f t="shared" si="95"/>
        <v>-0.37240229718518292</v>
      </c>
      <c r="DL109" s="64">
        <f t="shared" si="96"/>
        <v>-0.37240229718518292</v>
      </c>
      <c r="DM109" s="64">
        <f t="shared" si="97"/>
        <v>-0.2319385497285098</v>
      </c>
      <c r="DN109" s="64">
        <f t="shared" si="98"/>
        <v>-0.2319385497285098</v>
      </c>
      <c r="DO109" t="str">
        <f t="shared" si="99"/>
        <v>Sufficient Capacity</v>
      </c>
      <c r="DP109" t="str">
        <f t="shared" si="100"/>
        <v>Sufficient Capacity</v>
      </c>
    </row>
    <row r="110" spans="1:120" ht="15.75" x14ac:dyDescent="0.25">
      <c r="A110" s="6" t="s">
        <v>163</v>
      </c>
      <c r="B110" s="6" t="s">
        <v>163</v>
      </c>
      <c r="C110" s="2" t="s">
        <v>915</v>
      </c>
      <c r="D110" s="2" t="s">
        <v>552</v>
      </c>
      <c r="E110" s="2" t="s">
        <v>552</v>
      </c>
      <c r="F110" s="2">
        <v>109</v>
      </c>
      <c r="G110" s="2" t="s">
        <v>914</v>
      </c>
      <c r="H110" s="10" t="s">
        <v>656</v>
      </c>
      <c r="I110" s="2">
        <v>150</v>
      </c>
      <c r="J110" s="2">
        <v>65</v>
      </c>
      <c r="K110" s="15">
        <v>19.850000000000001</v>
      </c>
      <c r="L110" t="s">
        <v>337</v>
      </c>
      <c r="M110" s="2" t="s">
        <v>1120</v>
      </c>
      <c r="N110" s="2" t="s">
        <v>436</v>
      </c>
      <c r="O110" s="2" t="s">
        <v>666</v>
      </c>
      <c r="P110" s="2" t="s">
        <v>1131</v>
      </c>
      <c r="Q110" s="9" t="s">
        <v>719</v>
      </c>
      <c r="R110" s="2" t="str">
        <f t="shared" si="50"/>
        <v>CW_2_Section_2</v>
      </c>
      <c r="S110" s="2" t="str">
        <f t="shared" si="51"/>
        <v>CW_2_MF05</v>
      </c>
      <c r="T110" s="11" t="s">
        <v>891</v>
      </c>
      <c r="U110" s="1">
        <v>45762</v>
      </c>
      <c r="V110" s="2" t="s">
        <v>660</v>
      </c>
      <c r="W110" s="2" t="s">
        <v>655</v>
      </c>
      <c r="X110" s="2" t="s">
        <v>890</v>
      </c>
      <c r="Y110" s="2" t="str">
        <f t="shared" si="52"/>
        <v>T4_0.15-0.30</v>
      </c>
      <c r="Z110" t="s">
        <v>35</v>
      </c>
      <c r="AA110">
        <v>18</v>
      </c>
      <c r="AB110">
        <v>18</v>
      </c>
      <c r="AC110">
        <v>61</v>
      </c>
      <c r="AD110" s="32">
        <f t="shared" si="53"/>
        <v>2.3428498271668159E-2</v>
      </c>
      <c r="AE110">
        <v>0.83</v>
      </c>
      <c r="AF110" s="32">
        <f t="shared" si="54"/>
        <v>3.2428912524419361E-4</v>
      </c>
      <c r="AG110">
        <v>12</v>
      </c>
      <c r="AH110" s="32">
        <f t="shared" si="55"/>
        <v>4.7471037016106245E-3</v>
      </c>
      <c r="AI110">
        <v>5.4</v>
      </c>
      <c r="AJ110" s="32">
        <f t="shared" si="56"/>
        <v>2.1361966657247812E-3</v>
      </c>
      <c r="AK110">
        <v>3.4</v>
      </c>
      <c r="AL110" s="32">
        <f t="shared" si="57"/>
        <v>1.3450127154563435E-3</v>
      </c>
      <c r="AM110">
        <v>8.8000000000000007</v>
      </c>
      <c r="AO110" s="49">
        <v>82.63</v>
      </c>
      <c r="AP110" s="49">
        <f t="shared" si="58"/>
        <v>2.8499891098522974E-2</v>
      </c>
      <c r="AQ110">
        <v>15</v>
      </c>
      <c r="AR110" s="32">
        <f t="shared" si="59"/>
        <v>5.6175392057423732E-3</v>
      </c>
      <c r="AS110" s="48">
        <v>5.6</v>
      </c>
      <c r="AT110" s="27">
        <f t="shared" si="60"/>
        <v>2.0972146368104859E-3</v>
      </c>
      <c r="AU110" s="48">
        <v>0.01</v>
      </c>
      <c r="AV110" s="27">
        <f t="shared" si="61"/>
        <v>3.6796110125501018E-6</v>
      </c>
      <c r="AW110" s="48">
        <v>0.01</v>
      </c>
      <c r="AX110" s="27">
        <f t="shared" si="62"/>
        <v>3.7611049867064394E-6</v>
      </c>
      <c r="AY110" s="48">
        <v>5.0000000000000001E-3</v>
      </c>
      <c r="AZ110" s="27">
        <f t="shared" si="63"/>
        <v>1.8649981951630372E-6</v>
      </c>
      <c r="BA110" s="48">
        <v>1E-3</v>
      </c>
      <c r="BB110" s="27">
        <f t="shared" si="64"/>
        <v>3.7030802895135499E-7</v>
      </c>
      <c r="BC110" s="48">
        <v>1E-3</v>
      </c>
      <c r="BD110" s="27">
        <f t="shared" si="65"/>
        <v>3.7030802895135499E-7</v>
      </c>
      <c r="BE110" s="48">
        <v>1E-3</v>
      </c>
      <c r="BF110" s="27">
        <f t="shared" si="66"/>
        <v>3.6588380716934485E-7</v>
      </c>
      <c r="BG110" s="48">
        <v>2E-3</v>
      </c>
      <c r="BH110" s="27">
        <f t="shared" si="67"/>
        <v>7.3176761433868969E-7</v>
      </c>
      <c r="BI110" s="52">
        <f t="shared" si="68"/>
        <v>5.63</v>
      </c>
      <c r="BJ110" s="52">
        <f t="shared" si="69"/>
        <v>3.0000000000000006E-2</v>
      </c>
      <c r="BK110" s="27">
        <f t="shared" si="70"/>
        <v>2.1083586184843161E-3</v>
      </c>
      <c r="BL110" s="27">
        <f t="shared" si="71"/>
        <v>1.1143981673830322E-5</v>
      </c>
      <c r="BM110">
        <v>2.5</v>
      </c>
      <c r="BN110">
        <v>2.5</v>
      </c>
      <c r="BO110" t="s">
        <v>19</v>
      </c>
      <c r="BP110">
        <v>50</v>
      </c>
      <c r="BQ110">
        <v>63</v>
      </c>
      <c r="BR110" t="s">
        <v>443</v>
      </c>
      <c r="BS110">
        <v>1.6</v>
      </c>
      <c r="BT110">
        <v>5.88</v>
      </c>
      <c r="BU110">
        <v>14.2</v>
      </c>
      <c r="BV110">
        <v>-29</v>
      </c>
      <c r="BW110">
        <v>7.08</v>
      </c>
      <c r="BX110">
        <v>436</v>
      </c>
      <c r="BY110">
        <v>0.1</v>
      </c>
      <c r="BZ110">
        <v>0.01</v>
      </c>
      <c r="CA110" s="32">
        <v>10</v>
      </c>
      <c r="CB110" s="32">
        <f t="shared" si="72"/>
        <v>0.17905102954341987</v>
      </c>
      <c r="CC110" s="32">
        <f t="shared" si="73"/>
        <v>0.17905102954341987</v>
      </c>
      <c r="CD110" s="32">
        <v>8.6</v>
      </c>
      <c r="CE110" s="32">
        <f t="shared" si="74"/>
        <v>0.15656289823411615</v>
      </c>
      <c r="CF110" s="32">
        <f t="shared" si="75"/>
        <v>0.3131257964682323</v>
      </c>
      <c r="CG110" s="27">
        <v>6.2</v>
      </c>
      <c r="CH110" s="27">
        <f t="shared" si="76"/>
        <v>6.4542993962107012E-2</v>
      </c>
      <c r="CI110" s="27">
        <f t="shared" si="77"/>
        <v>0.5163439516968561</v>
      </c>
      <c r="CJ110" s="58">
        <v>80.8</v>
      </c>
      <c r="CK110" s="58">
        <v>92.8735632183908</v>
      </c>
      <c r="CL110" s="58">
        <v>6.7291276285654797</v>
      </c>
      <c r="CM110" s="58">
        <v>6.7291276285654797</v>
      </c>
      <c r="CN110" s="28">
        <v>47.8</v>
      </c>
      <c r="CO110" s="28">
        <v>88.518518518518519</v>
      </c>
      <c r="CP110" s="28">
        <v>3.9808453050176968</v>
      </c>
      <c r="CQ110" s="28">
        <v>3.9808453050176968</v>
      </c>
      <c r="CR110" s="32">
        <f t="shared" si="78"/>
        <v>46.969310847387042</v>
      </c>
      <c r="CS110" s="32">
        <v>46.969310847387042</v>
      </c>
      <c r="CT110" s="32">
        <f t="shared" si="79"/>
        <v>56.969310847387042</v>
      </c>
      <c r="CU110" s="32">
        <f t="shared" si="80"/>
        <v>1.0200413759603768</v>
      </c>
      <c r="CV110" s="32">
        <f t="shared" si="81"/>
        <v>1.0200413759603768</v>
      </c>
      <c r="CW110" s="60">
        <f t="shared" si="82"/>
        <v>27.786300229023524</v>
      </c>
      <c r="CX110" s="60">
        <v>27.786300229023524</v>
      </c>
      <c r="CY110" s="60">
        <f t="shared" si="83"/>
        <v>37.786300229023524</v>
      </c>
      <c r="CZ110" s="60">
        <f t="shared" si="84"/>
        <v>0.67656759586434245</v>
      </c>
      <c r="DA110" s="60">
        <f t="shared" si="85"/>
        <v>0.67656759586434245</v>
      </c>
      <c r="DB110" s="32">
        <f t="shared" si="86"/>
        <v>0.5163439516968561</v>
      </c>
      <c r="DC110">
        <f t="shared" si="87"/>
        <v>8.0622948009940885</v>
      </c>
      <c r="DD110">
        <f t="shared" si="88"/>
        <v>3.8838296564102766E-2</v>
      </c>
      <c r="DE110">
        <f t="shared" si="89"/>
        <v>0.1265199798740434</v>
      </c>
      <c r="DF110">
        <f t="shared" si="90"/>
        <v>0.83464172356185384</v>
      </c>
      <c r="DG110">
        <f t="shared" si="91"/>
        <v>4.9705386973502712</v>
      </c>
      <c r="DH110">
        <f t="shared" si="92"/>
        <v>6.2996350201469223E-2</v>
      </c>
      <c r="DI110">
        <f t="shared" si="93"/>
        <v>0.13611554744056448</v>
      </c>
      <c r="DJ110">
        <f t="shared" si="94"/>
        <v>0.80088810235796637</v>
      </c>
      <c r="DK110" s="64">
        <f t="shared" si="95"/>
        <v>-8.0281773706898232</v>
      </c>
      <c r="DL110" s="64">
        <f t="shared" si="96"/>
        <v>-4.9364212670460059</v>
      </c>
      <c r="DM110" s="64">
        <f t="shared" si="97"/>
        <v>-8.0281662267081497</v>
      </c>
      <c r="DN110" s="64">
        <f t="shared" si="98"/>
        <v>-4.9364101230643325</v>
      </c>
      <c r="DO110" t="str">
        <f t="shared" si="99"/>
        <v>Sufficient Capacity</v>
      </c>
      <c r="DP110" t="str">
        <f t="shared" si="100"/>
        <v>Sufficient Capacity</v>
      </c>
    </row>
    <row r="111" spans="1:120" ht="15.75" x14ac:dyDescent="0.25">
      <c r="A111" s="6" t="s">
        <v>164</v>
      </c>
      <c r="B111" s="6" t="s">
        <v>164</v>
      </c>
      <c r="C111" s="2" t="s">
        <v>917</v>
      </c>
      <c r="D111" s="2" t="s">
        <v>553</v>
      </c>
      <c r="E111" s="2" t="s">
        <v>553</v>
      </c>
      <c r="F111" s="2">
        <v>110</v>
      </c>
      <c r="G111" s="2" t="s">
        <v>916</v>
      </c>
      <c r="H111" s="10" t="s">
        <v>656</v>
      </c>
      <c r="I111" s="2">
        <v>150</v>
      </c>
      <c r="J111" s="2">
        <v>65</v>
      </c>
      <c r="K111" s="15">
        <v>6.5</v>
      </c>
      <c r="L111" t="s">
        <v>338</v>
      </c>
      <c r="M111" s="2" t="s">
        <v>1120</v>
      </c>
      <c r="N111" s="2" t="s">
        <v>436</v>
      </c>
      <c r="O111" s="2" t="s">
        <v>666</v>
      </c>
      <c r="P111" s="2" t="s">
        <v>1132</v>
      </c>
      <c r="Q111" s="9" t="s">
        <v>722</v>
      </c>
      <c r="R111" s="2" t="str">
        <f t="shared" si="50"/>
        <v>CW_2_Section_2</v>
      </c>
      <c r="S111" s="2" t="str">
        <f t="shared" si="51"/>
        <v>CW_2_MF06</v>
      </c>
      <c r="T111" s="11" t="s">
        <v>891</v>
      </c>
      <c r="U111" s="1">
        <v>45762</v>
      </c>
      <c r="V111" s="2" t="s">
        <v>660</v>
      </c>
      <c r="W111" s="2" t="s">
        <v>663</v>
      </c>
      <c r="X111" s="2" t="s">
        <v>890</v>
      </c>
      <c r="Y111" s="2" t="str">
        <f t="shared" si="52"/>
        <v>T4_0.60-0.80</v>
      </c>
      <c r="Z111" t="s">
        <v>37</v>
      </c>
      <c r="AA111">
        <v>11</v>
      </c>
      <c r="AB111">
        <v>11</v>
      </c>
      <c r="AC111">
        <v>350</v>
      </c>
      <c r="AD111" s="32">
        <f t="shared" si="53"/>
        <v>0.13442580975547305</v>
      </c>
      <c r="AE111">
        <v>4.3</v>
      </c>
      <c r="AF111" s="32">
        <f t="shared" si="54"/>
        <v>1.6800520946385934E-3</v>
      </c>
      <c r="AG111">
        <v>250</v>
      </c>
      <c r="AH111" s="32">
        <f t="shared" si="55"/>
        <v>9.8897993783554669E-2</v>
      </c>
      <c r="AI111">
        <v>100</v>
      </c>
      <c r="AJ111" s="32">
        <f t="shared" si="56"/>
        <v>3.9559197513421872E-2</v>
      </c>
      <c r="AK111">
        <v>81</v>
      </c>
      <c r="AL111" s="32">
        <f t="shared" si="57"/>
        <v>3.2042949985871712E-2</v>
      </c>
      <c r="AM111">
        <v>181</v>
      </c>
      <c r="AO111" s="49">
        <v>785.3</v>
      </c>
      <c r="AP111" s="49">
        <f t="shared" si="58"/>
        <v>0.23500385563366633</v>
      </c>
      <c r="AQ111">
        <v>1500</v>
      </c>
      <c r="AR111" s="32">
        <f t="shared" si="59"/>
        <v>0.56175392057423734</v>
      </c>
      <c r="AS111" s="48">
        <v>2000</v>
      </c>
      <c r="AT111" s="27">
        <f t="shared" si="60"/>
        <v>0.74900522743231646</v>
      </c>
      <c r="AU111" s="48">
        <v>74</v>
      </c>
      <c r="AV111" s="27">
        <f t="shared" si="61"/>
        <v>2.7229121492870753E-2</v>
      </c>
      <c r="AW111" s="48">
        <v>60</v>
      </c>
      <c r="AX111" s="27">
        <f t="shared" si="62"/>
        <v>2.2566629920238637E-2</v>
      </c>
      <c r="AY111" s="48">
        <v>23</v>
      </c>
      <c r="AZ111" s="27">
        <f t="shared" si="63"/>
        <v>8.57899169774997E-3</v>
      </c>
      <c r="BA111" s="48">
        <v>5.9</v>
      </c>
      <c r="BB111" s="27">
        <f t="shared" si="64"/>
        <v>2.1848173708129944E-3</v>
      </c>
      <c r="BC111" s="48">
        <v>1.2</v>
      </c>
      <c r="BD111" s="27">
        <f t="shared" si="65"/>
        <v>4.4436963474162597E-4</v>
      </c>
      <c r="BE111" s="48">
        <v>0.13</v>
      </c>
      <c r="BF111" s="27">
        <f t="shared" si="66"/>
        <v>4.7564894932014834E-5</v>
      </c>
      <c r="BG111" s="48">
        <v>0.1</v>
      </c>
      <c r="BH111" s="27">
        <f t="shared" si="67"/>
        <v>3.6588380716934496E-5</v>
      </c>
      <c r="BI111" s="52">
        <f t="shared" si="68"/>
        <v>2164.33</v>
      </c>
      <c r="BJ111" s="52">
        <f t="shared" si="69"/>
        <v>164.32999999999998</v>
      </c>
      <c r="BK111" s="27">
        <f t="shared" si="70"/>
        <v>0.8100933108243793</v>
      </c>
      <c r="BL111" s="27">
        <f t="shared" si="71"/>
        <v>6.1088083392062939E-2</v>
      </c>
      <c r="BM111">
        <v>2900</v>
      </c>
      <c r="BN111">
        <v>790</v>
      </c>
      <c r="BO111" t="s">
        <v>19</v>
      </c>
      <c r="BP111">
        <v>3700</v>
      </c>
      <c r="BQ111">
        <v>66</v>
      </c>
      <c r="BR111" t="s">
        <v>443</v>
      </c>
      <c r="BS111">
        <v>0.87</v>
      </c>
      <c r="BT111">
        <v>0.42</v>
      </c>
      <c r="BU111">
        <v>14.2</v>
      </c>
      <c r="BV111">
        <v>-55</v>
      </c>
      <c r="BW111">
        <v>7.11</v>
      </c>
      <c r="BX111">
        <v>780</v>
      </c>
      <c r="BY111">
        <v>0.2</v>
      </c>
      <c r="BZ111">
        <v>0.01</v>
      </c>
      <c r="CA111" s="32">
        <v>5.7</v>
      </c>
      <c r="CB111" s="32">
        <f t="shared" si="72"/>
        <v>0.10205908683974933</v>
      </c>
      <c r="CC111" s="32">
        <f t="shared" si="73"/>
        <v>0.10205908683974933</v>
      </c>
      <c r="CD111" s="32">
        <v>2.6</v>
      </c>
      <c r="CE111" s="32">
        <f t="shared" si="74"/>
        <v>4.7332969233569999E-2</v>
      </c>
      <c r="CF111" s="32">
        <f t="shared" si="75"/>
        <v>9.4665938467139998E-2</v>
      </c>
      <c r="CG111" s="27">
        <v>42</v>
      </c>
      <c r="CH111" s="27">
        <f t="shared" si="76"/>
        <v>0.4372267332916927</v>
      </c>
      <c r="CI111" s="27">
        <f t="shared" si="77"/>
        <v>3.4978138663335416</v>
      </c>
      <c r="CJ111" s="58">
        <v>45</v>
      </c>
      <c r="CK111" s="58">
        <v>51.724137931034484</v>
      </c>
      <c r="CL111" s="58">
        <v>3.7476577139287945</v>
      </c>
      <c r="CM111" s="58">
        <v>3.7476577139287945</v>
      </c>
      <c r="CN111" s="28">
        <v>34</v>
      </c>
      <c r="CO111" s="28">
        <v>44.736842105263158</v>
      </c>
      <c r="CP111" s="28">
        <v>2.8315636060795337</v>
      </c>
      <c r="CQ111" s="28">
        <v>2.8315636060795337</v>
      </c>
      <c r="CR111" s="32">
        <f t="shared" si="78"/>
        <v>26.158650843222983</v>
      </c>
      <c r="CS111" s="32">
        <v>26.158650843222983</v>
      </c>
      <c r="CT111" s="32">
        <f t="shared" si="79"/>
        <v>31.858650843222982</v>
      </c>
      <c r="CU111" s="32">
        <f t="shared" si="80"/>
        <v>0.57043242333434163</v>
      </c>
      <c r="CV111" s="32">
        <f t="shared" si="81"/>
        <v>0.57043242333434163</v>
      </c>
      <c r="CW111" s="60">
        <f t="shared" si="82"/>
        <v>19.764313970435143</v>
      </c>
      <c r="CX111" s="60">
        <v>19.764313970435143</v>
      </c>
      <c r="CY111" s="60">
        <f t="shared" si="83"/>
        <v>25.464313970435143</v>
      </c>
      <c r="CZ111" s="60">
        <f t="shared" si="84"/>
        <v>0.4559411633023302</v>
      </c>
      <c r="DA111" s="60">
        <f t="shared" si="85"/>
        <v>0.4559411633023302</v>
      </c>
      <c r="DB111" s="32">
        <f t="shared" si="86"/>
        <v>3.4978138663335416</v>
      </c>
      <c r="DC111">
        <f t="shared" si="87"/>
        <v>4.4127560757302762</v>
      </c>
      <c r="DD111">
        <f t="shared" si="88"/>
        <v>2.1452792051614485E-2</v>
      </c>
      <c r="DE111">
        <f t="shared" si="89"/>
        <v>0.12926896786152847</v>
      </c>
      <c r="DF111">
        <f t="shared" si="90"/>
        <v>0.84927824008685704</v>
      </c>
      <c r="DG111">
        <f t="shared" si="91"/>
        <v>3.3821707078490038</v>
      </c>
      <c r="DH111">
        <f t="shared" si="92"/>
        <v>2.7989698523332589E-2</v>
      </c>
      <c r="DI111">
        <f t="shared" si="93"/>
        <v>0.13480725920907172</v>
      </c>
      <c r="DJ111">
        <f t="shared" si="94"/>
        <v>0.83720304226759579</v>
      </c>
      <c r="DK111" s="64">
        <f t="shared" si="95"/>
        <v>-3.6159982995223725</v>
      </c>
      <c r="DL111" s="64">
        <f t="shared" si="96"/>
        <v>-2.5854129316411001</v>
      </c>
      <c r="DM111" s="64">
        <f t="shared" si="97"/>
        <v>-3.5549102161303097</v>
      </c>
      <c r="DN111" s="64">
        <f t="shared" si="98"/>
        <v>-2.5243248482490372</v>
      </c>
      <c r="DO111" t="str">
        <f t="shared" si="99"/>
        <v>Sufficient Capacity</v>
      </c>
      <c r="DP111" t="str">
        <f t="shared" si="100"/>
        <v>Sufficient Capacity</v>
      </c>
    </row>
    <row r="112" spans="1:120" ht="15.75" x14ac:dyDescent="0.25">
      <c r="A112" s="6" t="s">
        <v>165</v>
      </c>
      <c r="B112" s="6" t="s">
        <v>165</v>
      </c>
      <c r="C112" s="2" t="s">
        <v>919</v>
      </c>
      <c r="D112" s="2" t="s">
        <v>554</v>
      </c>
      <c r="E112" s="2" t="s">
        <v>554</v>
      </c>
      <c r="F112" s="2">
        <v>111</v>
      </c>
      <c r="G112" s="2" t="s">
        <v>918</v>
      </c>
      <c r="H112" s="10" t="s">
        <v>656</v>
      </c>
      <c r="I112" s="2">
        <v>150</v>
      </c>
      <c r="J112" s="2">
        <v>65</v>
      </c>
      <c r="K112" s="15">
        <v>7.8</v>
      </c>
      <c r="L112" t="s">
        <v>339</v>
      </c>
      <c r="M112" s="2" t="s">
        <v>1120</v>
      </c>
      <c r="N112" s="2" t="s">
        <v>436</v>
      </c>
      <c r="O112" s="2" t="s">
        <v>673</v>
      </c>
      <c r="P112" s="2" t="s">
        <v>1127</v>
      </c>
      <c r="Q112" s="9" t="s">
        <v>725</v>
      </c>
      <c r="R112" s="2" t="str">
        <f t="shared" si="50"/>
        <v>CW_2_Section_3</v>
      </c>
      <c r="S112" s="2" t="str">
        <f t="shared" si="51"/>
        <v>CW_2_MF09</v>
      </c>
      <c r="T112" s="11" t="s">
        <v>891</v>
      </c>
      <c r="U112" s="1">
        <v>45762</v>
      </c>
      <c r="V112" s="2" t="s">
        <v>660</v>
      </c>
      <c r="W112" s="2" t="s">
        <v>655</v>
      </c>
      <c r="X112" s="2" t="s">
        <v>890</v>
      </c>
      <c r="Y112" s="2" t="str">
        <f t="shared" si="52"/>
        <v>T4_0.15-0.30</v>
      </c>
      <c r="Z112" t="s">
        <v>45</v>
      </c>
      <c r="AA112">
        <v>11</v>
      </c>
      <c r="AB112">
        <v>12</v>
      </c>
      <c r="AC112">
        <v>470</v>
      </c>
      <c r="AD112" s="32">
        <f t="shared" si="53"/>
        <v>0.18051465881449238</v>
      </c>
      <c r="AE112">
        <v>0.5</v>
      </c>
      <c r="AF112" s="32">
        <f t="shared" si="54"/>
        <v>1.9535489472541785E-4</v>
      </c>
      <c r="AG112">
        <v>320</v>
      </c>
      <c r="AH112" s="32">
        <f t="shared" si="55"/>
        <v>0.12658943204294998</v>
      </c>
      <c r="AI112">
        <v>82</v>
      </c>
      <c r="AJ112" s="32">
        <f t="shared" si="56"/>
        <v>3.2438541961005936E-2</v>
      </c>
      <c r="AK112">
        <v>90</v>
      </c>
      <c r="AL112" s="32">
        <f t="shared" si="57"/>
        <v>3.560327776207968E-2</v>
      </c>
      <c r="AM112">
        <v>172</v>
      </c>
      <c r="AO112" s="49">
        <v>965.5</v>
      </c>
      <c r="AP112" s="49">
        <f t="shared" si="58"/>
        <v>0.30729944575216778</v>
      </c>
      <c r="AQ112">
        <v>820</v>
      </c>
      <c r="AR112" s="32">
        <f t="shared" si="59"/>
        <v>0.30709214324724976</v>
      </c>
      <c r="AS112" s="48">
        <v>930</v>
      </c>
      <c r="AT112" s="27">
        <f t="shared" si="60"/>
        <v>0.34828743075602714</v>
      </c>
      <c r="AU112" s="48">
        <v>0.15</v>
      </c>
      <c r="AV112" s="27">
        <f t="shared" si="61"/>
        <v>5.5194165188251526E-5</v>
      </c>
      <c r="AW112" s="48">
        <v>0.23</v>
      </c>
      <c r="AX112" s="27">
        <f t="shared" si="62"/>
        <v>8.6505414694248097E-5</v>
      </c>
      <c r="AY112" s="48">
        <v>0.11</v>
      </c>
      <c r="AZ112" s="27">
        <f t="shared" si="63"/>
        <v>4.1029960293586813E-5</v>
      </c>
      <c r="BA112" s="48">
        <v>7.0000000000000007E-2</v>
      </c>
      <c r="BB112" s="27">
        <f t="shared" si="64"/>
        <v>2.5921562026594851E-5</v>
      </c>
      <c r="BC112" s="48">
        <v>0.01</v>
      </c>
      <c r="BD112" s="27">
        <f t="shared" si="65"/>
        <v>3.7030802895135499E-6</v>
      </c>
      <c r="BE112" s="48">
        <v>0.01</v>
      </c>
      <c r="BF112" s="27">
        <f t="shared" si="66"/>
        <v>3.6588380716934487E-6</v>
      </c>
      <c r="BG112" s="48">
        <v>2E-3</v>
      </c>
      <c r="BH112" s="27">
        <f t="shared" si="67"/>
        <v>7.3176761433868969E-7</v>
      </c>
      <c r="BI112" s="52">
        <f t="shared" si="68"/>
        <v>930.58199999999999</v>
      </c>
      <c r="BJ112" s="52">
        <f t="shared" si="69"/>
        <v>0.58200000000000007</v>
      </c>
      <c r="BK112" s="27">
        <f t="shared" si="70"/>
        <v>0.34850417554420532</v>
      </c>
      <c r="BL112" s="27">
        <f t="shared" si="71"/>
        <v>2.1674478817822697E-4</v>
      </c>
      <c r="BM112">
        <v>1400</v>
      </c>
      <c r="BN112">
        <v>2.5</v>
      </c>
      <c r="BO112" t="s">
        <v>19</v>
      </c>
      <c r="BP112">
        <v>1400</v>
      </c>
      <c r="BQ112">
        <v>67</v>
      </c>
      <c r="BR112" t="s">
        <v>443</v>
      </c>
      <c r="BS112">
        <v>1.5</v>
      </c>
      <c r="BT112">
        <v>6.52</v>
      </c>
      <c r="BU112">
        <v>14.1</v>
      </c>
      <c r="BV112">
        <v>-25</v>
      </c>
      <c r="BW112">
        <v>6.99</v>
      </c>
      <c r="BX112">
        <v>743</v>
      </c>
      <c r="BY112">
        <v>0.1</v>
      </c>
      <c r="BZ112">
        <v>0.01</v>
      </c>
      <c r="CA112" s="32">
        <v>11</v>
      </c>
      <c r="CB112" s="32">
        <f t="shared" si="72"/>
        <v>0.19695613249776187</v>
      </c>
      <c r="CC112" s="32">
        <f t="shared" si="73"/>
        <v>0.19695613249776187</v>
      </c>
      <c r="CD112" s="32">
        <v>3.5</v>
      </c>
      <c r="CE112" s="32">
        <f t="shared" si="74"/>
        <v>6.3717458583651923E-2</v>
      </c>
      <c r="CF112" s="32">
        <f t="shared" si="75"/>
        <v>0.12743491716730385</v>
      </c>
      <c r="CG112" s="27">
        <v>0.5</v>
      </c>
      <c r="CH112" s="27">
        <f t="shared" si="76"/>
        <v>5.2050801582344368E-3</v>
      </c>
      <c r="CI112" s="27">
        <f t="shared" si="77"/>
        <v>4.1640641265875494E-2</v>
      </c>
      <c r="CJ112" s="58">
        <v>86.5</v>
      </c>
      <c r="CK112" s="58">
        <v>99.425287356321832</v>
      </c>
      <c r="CL112" s="58">
        <v>7.2038309389964601</v>
      </c>
      <c r="CM112" s="58">
        <v>7.2038309389964601</v>
      </c>
      <c r="CN112" s="28">
        <v>5.7</v>
      </c>
      <c r="CO112" s="28">
        <v>91.935483870967744</v>
      </c>
      <c r="CP112" s="28">
        <v>0.47470331043098063</v>
      </c>
      <c r="CQ112" s="28">
        <v>0.47470331043098063</v>
      </c>
      <c r="CR112" s="32">
        <f t="shared" si="78"/>
        <v>50.282739954195293</v>
      </c>
      <c r="CS112" s="32">
        <v>50.282739954195293</v>
      </c>
      <c r="CT112" s="32">
        <f t="shared" si="79"/>
        <v>61.282739954195293</v>
      </c>
      <c r="CU112" s="32">
        <f t="shared" si="80"/>
        <v>1.0972737682040339</v>
      </c>
      <c r="CV112" s="32">
        <f t="shared" si="81"/>
        <v>1.0972737682040339</v>
      </c>
      <c r="CW112" s="60">
        <f t="shared" si="82"/>
        <v>3.3134291068082447</v>
      </c>
      <c r="CX112" s="60">
        <v>3.3134291068082447</v>
      </c>
      <c r="CY112" s="60">
        <f t="shared" si="83"/>
        <v>14.313429106808245</v>
      </c>
      <c r="CZ112" s="60">
        <f t="shared" si="84"/>
        <v>0.25628342178707691</v>
      </c>
      <c r="DA112" s="60">
        <f t="shared" si="85"/>
        <v>0.25628342178707691</v>
      </c>
      <c r="DB112" s="32">
        <f t="shared" si="86"/>
        <v>4.1640641265875494E-2</v>
      </c>
      <c r="DC112">
        <f t="shared" si="87"/>
        <v>8.4285396243677972</v>
      </c>
      <c r="DD112">
        <f t="shared" si="88"/>
        <v>1.5119454003499734E-2</v>
      </c>
      <c r="DE112">
        <f t="shared" si="89"/>
        <v>0.13018551458567029</v>
      </c>
      <c r="DF112">
        <f t="shared" si="90"/>
        <v>0.85469503141083003</v>
      </c>
      <c r="DG112">
        <f t="shared" si="91"/>
        <v>0.85842164938536136</v>
      </c>
      <c r="DH112">
        <f t="shared" si="92"/>
        <v>0.14845259000463065</v>
      </c>
      <c r="DI112">
        <f t="shared" si="93"/>
        <v>0.29855190857613906</v>
      </c>
      <c r="DJ112">
        <f t="shared" si="94"/>
        <v>0.55299550141923026</v>
      </c>
      <c r="DK112" s="64">
        <f t="shared" si="95"/>
        <v>-7.8141480353683797</v>
      </c>
      <c r="DL112" s="64">
        <f t="shared" si="96"/>
        <v>-0.24403006038594377</v>
      </c>
      <c r="DM112" s="64">
        <f t="shared" si="97"/>
        <v>-7.8139312905802019</v>
      </c>
      <c r="DN112" s="64">
        <f t="shared" si="98"/>
        <v>-0.24381331559776553</v>
      </c>
      <c r="DO112" t="str">
        <f t="shared" si="99"/>
        <v>Sufficient Capacity</v>
      </c>
      <c r="DP112" t="str">
        <f t="shared" si="100"/>
        <v>Sufficient Capacity</v>
      </c>
    </row>
    <row r="113" spans="1:120" ht="15.75" x14ac:dyDescent="0.25">
      <c r="A113" s="6" t="s">
        <v>166</v>
      </c>
      <c r="B113" s="6" t="s">
        <v>166</v>
      </c>
      <c r="C113" s="2" t="s">
        <v>921</v>
      </c>
      <c r="D113" s="2" t="s">
        <v>555</v>
      </c>
      <c r="E113" s="2" t="s">
        <v>555</v>
      </c>
      <c r="F113" s="2">
        <v>112</v>
      </c>
      <c r="G113" s="2" t="s">
        <v>920</v>
      </c>
      <c r="H113" s="10" t="s">
        <v>656</v>
      </c>
      <c r="I113" s="2">
        <v>150</v>
      </c>
      <c r="J113" s="2">
        <v>65</v>
      </c>
      <c r="K113" s="15">
        <v>4.4000000000000004</v>
      </c>
      <c r="L113" t="s">
        <v>340</v>
      </c>
      <c r="M113" s="2" t="s">
        <v>1120</v>
      </c>
      <c r="N113" s="2" t="s">
        <v>436</v>
      </c>
      <c r="O113" s="2" t="s">
        <v>673</v>
      </c>
      <c r="P113" s="2" t="s">
        <v>1128</v>
      </c>
      <c r="Q113" s="9" t="s">
        <v>728</v>
      </c>
      <c r="R113" s="2" t="str">
        <f t="shared" si="50"/>
        <v>CW_2_Section_3</v>
      </c>
      <c r="S113" s="2" t="str">
        <f t="shared" si="51"/>
        <v>CW_2_MF10</v>
      </c>
      <c r="T113" s="11" t="s">
        <v>891</v>
      </c>
      <c r="U113" s="1">
        <v>45762</v>
      </c>
      <c r="V113" s="2" t="s">
        <v>660</v>
      </c>
      <c r="W113" s="2" t="s">
        <v>663</v>
      </c>
      <c r="X113" s="2" t="s">
        <v>890</v>
      </c>
      <c r="Y113" s="2" t="str">
        <f t="shared" si="52"/>
        <v>T4_0.60-0.80</v>
      </c>
      <c r="Z113" t="s">
        <v>47</v>
      </c>
      <c r="AA113">
        <v>9.9</v>
      </c>
      <c r="AB113">
        <v>10</v>
      </c>
      <c r="AC113">
        <v>290</v>
      </c>
      <c r="AD113" s="32">
        <f t="shared" si="53"/>
        <v>0.11138138522596339</v>
      </c>
      <c r="AE113">
        <v>1</v>
      </c>
      <c r="AF113" s="32">
        <f t="shared" si="54"/>
        <v>3.9070978945083569E-4</v>
      </c>
      <c r="AG113">
        <v>230</v>
      </c>
      <c r="AH113" s="32">
        <f t="shared" si="55"/>
        <v>9.0986154280870299E-2</v>
      </c>
      <c r="AI113">
        <v>50</v>
      </c>
      <c r="AJ113" s="32">
        <f t="shared" si="56"/>
        <v>1.9779598756710936E-2</v>
      </c>
      <c r="AK113">
        <v>50</v>
      </c>
      <c r="AL113" s="32">
        <f t="shared" si="57"/>
        <v>1.9779598756710936E-2</v>
      </c>
      <c r="AM113">
        <v>100</v>
      </c>
      <c r="AO113" s="49">
        <v>627</v>
      </c>
      <c r="AP113" s="49">
        <f t="shared" si="58"/>
        <v>0.20275824929628453</v>
      </c>
      <c r="AQ113">
        <v>1300</v>
      </c>
      <c r="AR113" s="32">
        <f t="shared" si="59"/>
        <v>0.48685339783100573</v>
      </c>
      <c r="AS113" s="48">
        <v>2300</v>
      </c>
      <c r="AT113" s="27">
        <f t="shared" si="60"/>
        <v>0.8613560115471639</v>
      </c>
      <c r="AU113" s="48">
        <v>130</v>
      </c>
      <c r="AV113" s="27">
        <f t="shared" si="61"/>
        <v>4.7834943163151324E-2</v>
      </c>
      <c r="AW113" s="48">
        <v>86</v>
      </c>
      <c r="AX113" s="27">
        <f t="shared" si="62"/>
        <v>3.2345502885675378E-2</v>
      </c>
      <c r="AY113" s="48">
        <v>34</v>
      </c>
      <c r="AZ113" s="27">
        <f t="shared" si="63"/>
        <v>1.2681987727108652E-2</v>
      </c>
      <c r="BA113" s="48">
        <v>2.2000000000000002</v>
      </c>
      <c r="BB113" s="27">
        <f t="shared" si="64"/>
        <v>8.1467766369298098E-4</v>
      </c>
      <c r="BC113" s="48">
        <v>1.8</v>
      </c>
      <c r="BD113" s="27">
        <f t="shared" si="65"/>
        <v>6.6655445211243904E-4</v>
      </c>
      <c r="BE113" s="48">
        <v>0.14000000000000001</v>
      </c>
      <c r="BF113" s="27">
        <f t="shared" si="66"/>
        <v>5.1223733003708282E-5</v>
      </c>
      <c r="BG113" s="48">
        <v>7.0000000000000007E-2</v>
      </c>
      <c r="BH113" s="27">
        <f t="shared" si="67"/>
        <v>2.5611866501854141E-5</v>
      </c>
      <c r="BI113" s="52">
        <f t="shared" si="68"/>
        <v>2554.21</v>
      </c>
      <c r="BJ113" s="52">
        <f t="shared" si="69"/>
        <v>254.20999999999998</v>
      </c>
      <c r="BK113" s="27">
        <f t="shared" si="70"/>
        <v>0.95577651303841016</v>
      </c>
      <c r="BL113" s="27">
        <f t="shared" si="71"/>
        <v>9.4420501491246339E-2</v>
      </c>
      <c r="BM113">
        <v>3500</v>
      </c>
      <c r="BN113">
        <v>1000</v>
      </c>
      <c r="BO113" t="s">
        <v>19</v>
      </c>
      <c r="BP113">
        <v>4500</v>
      </c>
      <c r="BQ113">
        <v>65</v>
      </c>
      <c r="BR113" t="s">
        <v>443</v>
      </c>
      <c r="BS113">
        <v>0.52</v>
      </c>
      <c r="BT113">
        <v>1.36</v>
      </c>
      <c r="BU113">
        <v>14.2</v>
      </c>
      <c r="BV113">
        <v>-27</v>
      </c>
      <c r="BW113">
        <v>7.02</v>
      </c>
      <c r="BX113">
        <v>721</v>
      </c>
      <c r="BY113">
        <v>0.2</v>
      </c>
      <c r="BZ113">
        <v>0.01</v>
      </c>
      <c r="CA113" s="32">
        <v>1.4</v>
      </c>
      <c r="CB113" s="32">
        <f t="shared" si="72"/>
        <v>2.506714413607878E-2</v>
      </c>
      <c r="CC113" s="32">
        <f t="shared" si="73"/>
        <v>2.506714413607878E-2</v>
      </c>
      <c r="CD113" s="32">
        <v>1.5</v>
      </c>
      <c r="CE113" s="32">
        <f t="shared" si="74"/>
        <v>2.7307482250136537E-2</v>
      </c>
      <c r="CF113" s="32">
        <f t="shared" si="75"/>
        <v>5.4614964500273075E-2</v>
      </c>
      <c r="CG113" s="27">
        <v>39</v>
      </c>
      <c r="CH113" s="27">
        <f t="shared" si="76"/>
        <v>0.40599625234228603</v>
      </c>
      <c r="CI113" s="27">
        <f t="shared" si="77"/>
        <v>3.2479700187382883</v>
      </c>
      <c r="CJ113" s="58">
        <v>48</v>
      </c>
      <c r="CK113" s="58">
        <v>55.172413793103445</v>
      </c>
      <c r="CL113" s="58">
        <v>3.9975015615240475</v>
      </c>
      <c r="CM113" s="58">
        <v>3.9975015615240475</v>
      </c>
      <c r="CN113" s="28">
        <v>3</v>
      </c>
      <c r="CO113" s="28">
        <v>7.1428571428571423</v>
      </c>
      <c r="CP113" s="28">
        <v>0.24984384759525297</v>
      </c>
      <c r="CQ113" s="28">
        <v>0.24984384759525297</v>
      </c>
      <c r="CR113" s="32">
        <f t="shared" si="78"/>
        <v>27.902560899437852</v>
      </c>
      <c r="CS113" s="32">
        <v>27.902560899437852</v>
      </c>
      <c r="CT113" s="32">
        <f t="shared" si="79"/>
        <v>29.30256089943785</v>
      </c>
      <c r="CU113" s="32">
        <f t="shared" si="80"/>
        <v>0.52466536973031064</v>
      </c>
      <c r="CV113" s="32">
        <f t="shared" si="81"/>
        <v>0.52466536973031064</v>
      </c>
      <c r="CW113" s="60">
        <f t="shared" si="82"/>
        <v>1.7439100562148657</v>
      </c>
      <c r="CX113" s="60">
        <v>1.7439100562148657</v>
      </c>
      <c r="CY113" s="60">
        <f t="shared" si="83"/>
        <v>3.1439100562148656</v>
      </c>
      <c r="CZ113" s="60">
        <f t="shared" si="84"/>
        <v>5.6292033235718276E-2</v>
      </c>
      <c r="DA113" s="60">
        <f t="shared" si="85"/>
        <v>5.6292033235718276E-2</v>
      </c>
      <c r="DB113" s="32">
        <f t="shared" si="86"/>
        <v>3.2479700187382883</v>
      </c>
      <c r="DC113">
        <f t="shared" si="87"/>
        <v>4.5767818957546309</v>
      </c>
      <c r="DD113">
        <f t="shared" si="88"/>
        <v>1.1933049409877555E-2</v>
      </c>
      <c r="DE113">
        <f t="shared" si="89"/>
        <v>0.11463630596358199</v>
      </c>
      <c r="DF113">
        <f t="shared" si="90"/>
        <v>0.87343064462654052</v>
      </c>
      <c r="DG113">
        <f t="shared" si="91"/>
        <v>0.36075084533124435</v>
      </c>
      <c r="DH113">
        <f t="shared" si="92"/>
        <v>0.15139247823556773</v>
      </c>
      <c r="DI113">
        <f t="shared" si="93"/>
        <v>0.15604130652564507</v>
      </c>
      <c r="DJ113">
        <f t="shared" si="94"/>
        <v>0.69256621523878714</v>
      </c>
      <c r="DK113" s="64">
        <f t="shared" si="95"/>
        <v>-3.8871702486273407</v>
      </c>
      <c r="DL113" s="64">
        <f t="shared" si="96"/>
        <v>0.32886080179604593</v>
      </c>
      <c r="DM113" s="64">
        <f t="shared" si="97"/>
        <v>-3.792749747136094</v>
      </c>
      <c r="DN113" s="64">
        <f t="shared" si="98"/>
        <v>0.4232813032872923</v>
      </c>
      <c r="DO113" t="str">
        <f t="shared" si="99"/>
        <v>Sufficient Capacity</v>
      </c>
      <c r="DP113" t="str">
        <f t="shared" si="100"/>
        <v>Insufficient Capacity</v>
      </c>
    </row>
    <row r="114" spans="1:120" ht="15.75" x14ac:dyDescent="0.25">
      <c r="A114" s="6" t="s">
        <v>167</v>
      </c>
      <c r="B114" s="6" t="s">
        <v>167</v>
      </c>
      <c r="C114" s="2" t="s">
        <v>923</v>
      </c>
      <c r="D114" s="2" t="s">
        <v>556</v>
      </c>
      <c r="E114" s="2" t="s">
        <v>556</v>
      </c>
      <c r="F114" s="2">
        <v>113</v>
      </c>
      <c r="G114" s="2" t="s">
        <v>922</v>
      </c>
      <c r="H114" s="10" t="s">
        <v>656</v>
      </c>
      <c r="I114" s="2">
        <v>150</v>
      </c>
      <c r="J114" s="2">
        <v>65</v>
      </c>
      <c r="K114" s="15">
        <v>14.1</v>
      </c>
      <c r="L114" t="s">
        <v>342</v>
      </c>
      <c r="M114" s="2" t="s">
        <v>1120</v>
      </c>
      <c r="N114" s="2" t="s">
        <v>437</v>
      </c>
      <c r="O114" s="2" t="s">
        <v>653</v>
      </c>
      <c r="P114" s="2" t="s">
        <v>1123</v>
      </c>
      <c r="Q114" s="9" t="s">
        <v>731</v>
      </c>
      <c r="R114" s="2" t="str">
        <f t="shared" si="50"/>
        <v>CW_3_Section_1</v>
      </c>
      <c r="S114" s="2" t="str">
        <f t="shared" si="51"/>
        <v>CW_3_MF01</v>
      </c>
      <c r="T114" s="11" t="s">
        <v>891</v>
      </c>
      <c r="U114" s="1">
        <v>45763</v>
      </c>
      <c r="V114" s="2" t="s">
        <v>660</v>
      </c>
      <c r="W114" s="2" t="s">
        <v>655</v>
      </c>
      <c r="X114" s="2" t="s">
        <v>890</v>
      </c>
      <c r="Y114" s="2" t="str">
        <f t="shared" si="52"/>
        <v>T4_0.15-0.30</v>
      </c>
      <c r="Z114" t="s">
        <v>51</v>
      </c>
      <c r="AA114">
        <v>13</v>
      </c>
      <c r="AB114">
        <v>14</v>
      </c>
      <c r="AC114">
        <v>490</v>
      </c>
      <c r="AD114" s="32">
        <f t="shared" si="53"/>
        <v>0.18819613365766227</v>
      </c>
      <c r="AE114">
        <v>4.2</v>
      </c>
      <c r="AF114" s="32">
        <f t="shared" si="54"/>
        <v>1.64098111569351E-3</v>
      </c>
      <c r="AG114">
        <v>410</v>
      </c>
      <c r="AH114" s="32">
        <f t="shared" si="55"/>
        <v>0.16219270980502967</v>
      </c>
      <c r="AI114">
        <v>210</v>
      </c>
      <c r="AJ114" s="32">
        <f t="shared" si="56"/>
        <v>8.3074314778185929E-2</v>
      </c>
      <c r="AK114">
        <v>130</v>
      </c>
      <c r="AL114" s="32">
        <f t="shared" si="57"/>
        <v>5.1426956767448434E-2</v>
      </c>
      <c r="AM114">
        <v>340</v>
      </c>
      <c r="AO114" s="49">
        <v>1244.2</v>
      </c>
      <c r="AP114" s="49">
        <f t="shared" si="58"/>
        <v>0.3520298245783855</v>
      </c>
      <c r="AQ114">
        <v>460</v>
      </c>
      <c r="AR114" s="32">
        <f t="shared" si="59"/>
        <v>0.17227120230943277</v>
      </c>
      <c r="AS114" s="48">
        <v>670</v>
      </c>
      <c r="AT114" s="27">
        <f t="shared" si="60"/>
        <v>0.25091675118982604</v>
      </c>
      <c r="AU114" s="48">
        <v>4</v>
      </c>
      <c r="AV114" s="27">
        <f t="shared" si="61"/>
        <v>1.4718444050200407E-3</v>
      </c>
      <c r="AW114" s="48">
        <v>4</v>
      </c>
      <c r="AX114" s="27">
        <f t="shared" si="62"/>
        <v>1.5044419946825757E-3</v>
      </c>
      <c r="AY114" s="48">
        <v>2</v>
      </c>
      <c r="AZ114" s="27">
        <f t="shared" si="63"/>
        <v>7.4599927806521475E-4</v>
      </c>
      <c r="BA114" s="48">
        <v>0.4</v>
      </c>
      <c r="BB114" s="27">
        <f t="shared" si="64"/>
        <v>1.4812321158054199E-4</v>
      </c>
      <c r="BC114" s="48">
        <v>0.4</v>
      </c>
      <c r="BD114" s="27">
        <f t="shared" si="65"/>
        <v>1.4812321158054199E-4</v>
      </c>
      <c r="BE114" s="48">
        <v>0.4</v>
      </c>
      <c r="BF114" s="27">
        <f t="shared" si="66"/>
        <v>1.4635352286773798E-4</v>
      </c>
      <c r="BG114" s="48">
        <v>0.8</v>
      </c>
      <c r="BH114" s="27">
        <f t="shared" si="67"/>
        <v>2.9270704573547597E-4</v>
      </c>
      <c r="BI114" s="52">
        <f t="shared" si="68"/>
        <v>681.99999999999989</v>
      </c>
      <c r="BJ114" s="52">
        <f t="shared" si="69"/>
        <v>12.000000000000002</v>
      </c>
      <c r="BK114" s="27">
        <f t="shared" si="70"/>
        <v>0.25537434385935814</v>
      </c>
      <c r="BL114" s="27">
        <f t="shared" si="71"/>
        <v>4.4575926695321292E-3</v>
      </c>
      <c r="BM114">
        <v>690</v>
      </c>
      <c r="BN114">
        <v>2.5</v>
      </c>
      <c r="BO114" t="s">
        <v>19</v>
      </c>
      <c r="BP114">
        <v>710</v>
      </c>
      <c r="BQ114">
        <v>68</v>
      </c>
      <c r="BR114" t="s">
        <v>443</v>
      </c>
      <c r="BS114">
        <v>1.9</v>
      </c>
      <c r="BT114">
        <v>1.06</v>
      </c>
      <c r="BU114">
        <v>14</v>
      </c>
      <c r="BV114">
        <v>-52</v>
      </c>
      <c r="BW114">
        <v>6.91</v>
      </c>
      <c r="BX114">
        <v>682</v>
      </c>
      <c r="BY114">
        <v>0.2</v>
      </c>
      <c r="BZ114">
        <v>0.01</v>
      </c>
      <c r="CA114" s="32">
        <v>14</v>
      </c>
      <c r="CB114" s="32">
        <f t="shared" si="72"/>
        <v>0.25067144136078784</v>
      </c>
      <c r="CC114" s="32">
        <f t="shared" si="73"/>
        <v>0.25067144136078784</v>
      </c>
      <c r="CD114" s="32">
        <v>4.3</v>
      </c>
      <c r="CE114" s="32">
        <f t="shared" si="74"/>
        <v>7.8281449117058075E-2</v>
      </c>
      <c r="CF114" s="32">
        <f t="shared" si="75"/>
        <v>0.15656289823411615</v>
      </c>
      <c r="CG114" s="27">
        <v>0.5</v>
      </c>
      <c r="CH114" s="27">
        <f t="shared" si="76"/>
        <v>5.2050801582344368E-3</v>
      </c>
      <c r="CI114" s="27">
        <f t="shared" si="77"/>
        <v>4.1640641265875494E-2</v>
      </c>
      <c r="CJ114" s="58">
        <v>86.5</v>
      </c>
      <c r="CK114" s="58">
        <v>99.425287356321832</v>
      </c>
      <c r="CL114" s="58">
        <v>7.2038309389964601</v>
      </c>
      <c r="CM114" s="58">
        <v>7.2038309389964601</v>
      </c>
      <c r="CN114" s="28">
        <v>86.5</v>
      </c>
      <c r="CO114" s="28">
        <v>99.425287356321832</v>
      </c>
      <c r="CP114" s="28">
        <v>7.2038309389964601</v>
      </c>
      <c r="CQ114" s="28">
        <v>7.2038309389964601</v>
      </c>
      <c r="CR114" s="32">
        <f t="shared" si="78"/>
        <v>50.282739954195293</v>
      </c>
      <c r="CS114" s="32">
        <v>50.282739954195293</v>
      </c>
      <c r="CT114" s="32">
        <f t="shared" si="79"/>
        <v>64.282739954195293</v>
      </c>
      <c r="CU114" s="32">
        <f t="shared" si="80"/>
        <v>1.1509890770670599</v>
      </c>
      <c r="CV114" s="32">
        <f t="shared" si="81"/>
        <v>1.1509890770670599</v>
      </c>
      <c r="CW114" s="60">
        <f t="shared" si="82"/>
        <v>50.282739954195293</v>
      </c>
      <c r="CX114" s="60">
        <v>50.282739954195293</v>
      </c>
      <c r="CY114" s="60">
        <f t="shared" si="83"/>
        <v>64.282739954195293</v>
      </c>
      <c r="CZ114" s="60">
        <f t="shared" si="84"/>
        <v>1.1509890770670599</v>
      </c>
      <c r="DA114" s="60">
        <f t="shared" si="85"/>
        <v>1.1509890770670599</v>
      </c>
      <c r="DB114" s="32">
        <f t="shared" si="86"/>
        <v>4.1640641265875494E-2</v>
      </c>
      <c r="DC114">
        <f t="shared" si="87"/>
        <v>8.511382914297636</v>
      </c>
      <c r="DD114">
        <f t="shared" si="88"/>
        <v>1.8394531160279233E-2</v>
      </c>
      <c r="DE114">
        <f t="shared" si="89"/>
        <v>0.13522938500788154</v>
      </c>
      <c r="DF114">
        <f t="shared" si="90"/>
        <v>0.84637608383183927</v>
      </c>
      <c r="DG114">
        <f t="shared" si="91"/>
        <v>8.511382914297636</v>
      </c>
      <c r="DH114">
        <f t="shared" si="92"/>
        <v>1.8394531160279233E-2</v>
      </c>
      <c r="DI114">
        <f t="shared" si="93"/>
        <v>0.13522938500788154</v>
      </c>
      <c r="DJ114">
        <f t="shared" si="94"/>
        <v>0.84637608383183927</v>
      </c>
      <c r="DK114" s="64">
        <f t="shared" si="95"/>
        <v>-7.9870818874098175</v>
      </c>
      <c r="DL114" s="64">
        <f t="shared" si="96"/>
        <v>-7.9870818874098175</v>
      </c>
      <c r="DM114" s="64">
        <f t="shared" si="97"/>
        <v>-7.9826242947402859</v>
      </c>
      <c r="DN114" s="64">
        <f t="shared" si="98"/>
        <v>-7.9826242947402859</v>
      </c>
      <c r="DO114" t="str">
        <f t="shared" si="99"/>
        <v>Sufficient Capacity</v>
      </c>
      <c r="DP114" t="str">
        <f t="shared" si="100"/>
        <v>Sufficient Capacity</v>
      </c>
    </row>
    <row r="115" spans="1:120" ht="15.75" x14ac:dyDescent="0.25">
      <c r="A115" s="6" t="s">
        <v>168</v>
      </c>
      <c r="B115" s="6" t="s">
        <v>168</v>
      </c>
      <c r="C115" s="2" t="s">
        <v>925</v>
      </c>
      <c r="D115" s="2" t="s">
        <v>557</v>
      </c>
      <c r="E115" s="2" t="s">
        <v>557</v>
      </c>
      <c r="F115" s="2">
        <v>114</v>
      </c>
      <c r="G115" s="2" t="s">
        <v>924</v>
      </c>
      <c r="H115" s="10" t="s">
        <v>656</v>
      </c>
      <c r="I115" s="2">
        <v>150</v>
      </c>
      <c r="J115" s="2">
        <v>65</v>
      </c>
      <c r="K115" s="15">
        <v>6.2</v>
      </c>
      <c r="L115" t="s">
        <v>343</v>
      </c>
      <c r="M115" s="2" t="s">
        <v>1120</v>
      </c>
      <c r="N115" s="2" t="s">
        <v>437</v>
      </c>
      <c r="O115" s="2" t="s">
        <v>653</v>
      </c>
      <c r="P115" s="2" t="s">
        <v>1124</v>
      </c>
      <c r="Q115" s="9" t="s">
        <v>734</v>
      </c>
      <c r="R115" s="2" t="str">
        <f t="shared" si="50"/>
        <v>CW_3_Section_1</v>
      </c>
      <c r="S115" s="2" t="str">
        <f t="shared" si="51"/>
        <v>CW_3_MF02</v>
      </c>
      <c r="T115" s="11" t="s">
        <v>891</v>
      </c>
      <c r="U115" s="1">
        <v>45763</v>
      </c>
      <c r="V115" s="2" t="s">
        <v>660</v>
      </c>
      <c r="W115" s="2" t="s">
        <v>663</v>
      </c>
      <c r="X115" s="2" t="s">
        <v>890</v>
      </c>
      <c r="Y115" s="2" t="str">
        <f t="shared" si="52"/>
        <v>T4_0.60-0.80</v>
      </c>
      <c r="Z115" t="s">
        <v>53</v>
      </c>
      <c r="AA115">
        <v>12</v>
      </c>
      <c r="AB115">
        <v>14</v>
      </c>
      <c r="AC115">
        <v>560</v>
      </c>
      <c r="AD115" s="32">
        <f t="shared" si="53"/>
        <v>0.21508129560875688</v>
      </c>
      <c r="AE115">
        <v>5</v>
      </c>
      <c r="AF115" s="32">
        <f t="shared" si="54"/>
        <v>1.9535489472541786E-3</v>
      </c>
      <c r="AG115">
        <v>520</v>
      </c>
      <c r="AH115" s="32">
        <f t="shared" si="55"/>
        <v>0.20570782706979374</v>
      </c>
      <c r="AI115">
        <v>170</v>
      </c>
      <c r="AJ115" s="32">
        <f t="shared" si="56"/>
        <v>6.7250635772817174E-2</v>
      </c>
      <c r="AK115">
        <v>180</v>
      </c>
      <c r="AL115" s="32">
        <f t="shared" si="57"/>
        <v>7.120655552415936E-2</v>
      </c>
      <c r="AM115">
        <v>350</v>
      </c>
      <c r="AO115" s="49">
        <v>1465</v>
      </c>
      <c r="AP115" s="49">
        <f t="shared" si="58"/>
        <v>0.42274267162580481</v>
      </c>
      <c r="AQ115">
        <v>4800</v>
      </c>
      <c r="AR115" s="32">
        <f t="shared" si="59"/>
        <v>1.7976125458375594</v>
      </c>
      <c r="AS115" s="48">
        <v>4300</v>
      </c>
      <c r="AT115" s="27">
        <f t="shared" si="60"/>
        <v>1.6103612389794804</v>
      </c>
      <c r="AU115" s="48">
        <v>4</v>
      </c>
      <c r="AV115" s="27">
        <f t="shared" si="61"/>
        <v>1.4718444050200407E-3</v>
      </c>
      <c r="AW115" s="48">
        <v>290</v>
      </c>
      <c r="AX115" s="27">
        <f t="shared" si="62"/>
        <v>0.10907204461448673</v>
      </c>
      <c r="AY115" s="48">
        <v>66</v>
      </c>
      <c r="AZ115" s="27">
        <f t="shared" si="63"/>
        <v>2.4617976176152086E-2</v>
      </c>
      <c r="BA115" s="48">
        <v>36</v>
      </c>
      <c r="BB115" s="27">
        <f t="shared" si="64"/>
        <v>1.333108904224878E-2</v>
      </c>
      <c r="BC115" s="48">
        <v>0.4</v>
      </c>
      <c r="BD115" s="27">
        <f t="shared" si="65"/>
        <v>1.4812321158054199E-4</v>
      </c>
      <c r="BE115" s="48">
        <v>0.4</v>
      </c>
      <c r="BF115" s="27">
        <f t="shared" si="66"/>
        <v>1.4635352286773798E-4</v>
      </c>
      <c r="BG115" s="48">
        <v>0.8</v>
      </c>
      <c r="BH115" s="27">
        <f t="shared" si="67"/>
        <v>2.9270704573547597E-4</v>
      </c>
      <c r="BI115" s="52">
        <f t="shared" si="68"/>
        <v>4697.5999999999995</v>
      </c>
      <c r="BJ115" s="52">
        <f t="shared" si="69"/>
        <v>397.59999999999997</v>
      </c>
      <c r="BK115" s="27">
        <f t="shared" si="70"/>
        <v>1.7594413769975721</v>
      </c>
      <c r="BL115" s="27">
        <f t="shared" si="71"/>
        <v>0.14908013801809139</v>
      </c>
      <c r="BM115">
        <v>6000</v>
      </c>
      <c r="BN115">
        <v>2000</v>
      </c>
      <c r="BO115" t="s">
        <v>19</v>
      </c>
      <c r="BP115">
        <v>8000</v>
      </c>
      <c r="BQ115">
        <v>70</v>
      </c>
      <c r="BR115" t="s">
        <v>443</v>
      </c>
      <c r="BS115">
        <v>0.74</v>
      </c>
      <c r="BT115">
        <v>0.6</v>
      </c>
      <c r="BU115">
        <v>13.8</v>
      </c>
      <c r="BV115">
        <v>-88</v>
      </c>
      <c r="BW115">
        <v>7.01</v>
      </c>
      <c r="BX115">
        <v>744</v>
      </c>
      <c r="BY115">
        <v>0.2</v>
      </c>
      <c r="BZ115">
        <v>0.01</v>
      </c>
      <c r="CA115" s="32">
        <v>0.3</v>
      </c>
      <c r="CB115" s="32">
        <f t="shared" si="72"/>
        <v>5.3715308863025958E-3</v>
      </c>
      <c r="CC115" s="32">
        <f t="shared" si="73"/>
        <v>5.3715308863025958E-3</v>
      </c>
      <c r="CD115" s="32">
        <v>0.9</v>
      </c>
      <c r="CE115" s="32">
        <f t="shared" si="74"/>
        <v>1.6384489350081924E-2</v>
      </c>
      <c r="CF115" s="32">
        <f t="shared" si="75"/>
        <v>3.2768978700163848E-2</v>
      </c>
      <c r="CG115" s="27">
        <v>67</v>
      </c>
      <c r="CH115" s="27">
        <f t="shared" si="76"/>
        <v>0.69748074120341452</v>
      </c>
      <c r="CI115" s="27">
        <f t="shared" si="77"/>
        <v>5.5798459296273162</v>
      </c>
      <c r="CJ115" s="58">
        <v>20</v>
      </c>
      <c r="CK115" s="58">
        <v>22.988505747126435</v>
      </c>
      <c r="CL115" s="58">
        <v>1.6656256506350198</v>
      </c>
      <c r="CM115" s="58">
        <v>1.6656256506350198</v>
      </c>
      <c r="CN115" s="28">
        <v>20</v>
      </c>
      <c r="CO115" s="28">
        <v>22.988505747126435</v>
      </c>
      <c r="CP115" s="28">
        <v>1.6656256506350198</v>
      </c>
      <c r="CQ115" s="28">
        <v>1.6656256506350198</v>
      </c>
      <c r="CR115" s="32">
        <f t="shared" si="78"/>
        <v>11.626067041432437</v>
      </c>
      <c r="CS115" s="32">
        <v>11.626067041432437</v>
      </c>
      <c r="CT115" s="32">
        <f t="shared" si="79"/>
        <v>11.926067041432438</v>
      </c>
      <c r="CU115" s="32">
        <f t="shared" si="80"/>
        <v>0.21353745821723255</v>
      </c>
      <c r="CV115" s="32">
        <f t="shared" si="81"/>
        <v>0.21353745821723255</v>
      </c>
      <c r="CW115" s="60">
        <f t="shared" si="82"/>
        <v>11.626067041432437</v>
      </c>
      <c r="CX115" s="60">
        <v>11.626067041432437</v>
      </c>
      <c r="CY115" s="60">
        <f t="shared" si="83"/>
        <v>11.926067041432438</v>
      </c>
      <c r="CZ115" s="60">
        <f t="shared" si="84"/>
        <v>0.21353745821723255</v>
      </c>
      <c r="DA115" s="60">
        <f t="shared" si="85"/>
        <v>0.21353745821723255</v>
      </c>
      <c r="DB115" s="32">
        <f t="shared" si="86"/>
        <v>5.5798459296273162</v>
      </c>
      <c r="DC115">
        <f t="shared" si="87"/>
        <v>1.9119320875524162</v>
      </c>
      <c r="DD115">
        <f t="shared" si="88"/>
        <v>1.7139195954451219E-2</v>
      </c>
      <c r="DE115">
        <f t="shared" si="89"/>
        <v>0.11168673804235128</v>
      </c>
      <c r="DF115">
        <f t="shared" si="90"/>
        <v>0.87117406600319747</v>
      </c>
      <c r="DG115">
        <f t="shared" si="91"/>
        <v>1.9119320875524162</v>
      </c>
      <c r="DH115">
        <f t="shared" si="92"/>
        <v>1.7139195954451219E-2</v>
      </c>
      <c r="DI115">
        <f t="shared" si="93"/>
        <v>0.11168673804235128</v>
      </c>
      <c r="DJ115">
        <f t="shared" si="94"/>
        <v>0.87117406600319747</v>
      </c>
      <c r="DK115" s="64">
        <f t="shared" si="95"/>
        <v>0.30842312991094811</v>
      </c>
      <c r="DL115" s="64">
        <f t="shared" si="96"/>
        <v>0.30842312991094811</v>
      </c>
      <c r="DM115" s="64">
        <f t="shared" si="97"/>
        <v>0.45750326792903939</v>
      </c>
      <c r="DN115" s="64">
        <f t="shared" si="98"/>
        <v>0.45750326792903939</v>
      </c>
      <c r="DO115" t="str">
        <f t="shared" si="99"/>
        <v>Insufficient Capacity</v>
      </c>
      <c r="DP115" t="str">
        <f t="shared" si="100"/>
        <v>Insufficient Capacity</v>
      </c>
    </row>
    <row r="116" spans="1:120" ht="15.75" x14ac:dyDescent="0.25">
      <c r="A116" s="6" t="s">
        <v>169</v>
      </c>
      <c r="B116" s="6" t="s">
        <v>169</v>
      </c>
      <c r="C116" s="2" t="s">
        <v>927</v>
      </c>
      <c r="D116" s="2" t="s">
        <v>558</v>
      </c>
      <c r="E116" s="2" t="s">
        <v>558</v>
      </c>
      <c r="F116" s="2">
        <v>115</v>
      </c>
      <c r="G116" s="2" t="s">
        <v>926</v>
      </c>
      <c r="H116" s="10" t="s">
        <v>656</v>
      </c>
      <c r="I116" s="2">
        <v>150</v>
      </c>
      <c r="J116" s="2">
        <v>65</v>
      </c>
      <c r="K116" s="15">
        <v>16.2</v>
      </c>
      <c r="L116" t="s">
        <v>344</v>
      </c>
      <c r="M116" s="2" t="s">
        <v>1120</v>
      </c>
      <c r="N116" s="2" t="s">
        <v>437</v>
      </c>
      <c r="O116" s="2" t="s">
        <v>666</v>
      </c>
      <c r="P116" s="2" t="s">
        <v>1131</v>
      </c>
      <c r="Q116" s="9" t="s">
        <v>737</v>
      </c>
      <c r="R116" s="2" t="str">
        <f t="shared" si="50"/>
        <v>CW_3_Section_2</v>
      </c>
      <c r="S116" s="2" t="str">
        <f t="shared" si="51"/>
        <v>CW_3_MF05</v>
      </c>
      <c r="T116" s="11" t="s">
        <v>891</v>
      </c>
      <c r="U116" s="1">
        <v>45763</v>
      </c>
      <c r="V116" s="2" t="s">
        <v>660</v>
      </c>
      <c r="W116" s="2" t="s">
        <v>655</v>
      </c>
      <c r="X116" s="2" t="s">
        <v>890</v>
      </c>
      <c r="Y116" s="2" t="str">
        <f t="shared" si="52"/>
        <v>T4_0.15-0.30</v>
      </c>
      <c r="Z116" t="s">
        <v>55</v>
      </c>
      <c r="AA116">
        <v>1.4</v>
      </c>
      <c r="AB116">
        <v>1.6</v>
      </c>
      <c r="AC116">
        <v>0.89</v>
      </c>
      <c r="AD116" s="32">
        <f t="shared" si="53"/>
        <v>3.4182563052106009E-4</v>
      </c>
      <c r="AE116">
        <v>0.02</v>
      </c>
      <c r="AF116" s="32">
        <f t="shared" si="54"/>
        <v>7.8141957890167132E-6</v>
      </c>
      <c r="AG116">
        <v>1.8</v>
      </c>
      <c r="AH116" s="32">
        <f t="shared" si="55"/>
        <v>7.120655552415937E-4</v>
      </c>
      <c r="AI116">
        <v>0.72</v>
      </c>
      <c r="AJ116" s="32">
        <f t="shared" si="56"/>
        <v>2.8482622209663748E-4</v>
      </c>
      <c r="AK116">
        <v>0.52</v>
      </c>
      <c r="AL116" s="32">
        <f t="shared" si="57"/>
        <v>2.0570782706979374E-4</v>
      </c>
      <c r="AM116">
        <v>1.24</v>
      </c>
      <c r="AO116" s="49">
        <v>4.07</v>
      </c>
      <c r="AP116" s="49">
        <f t="shared" si="58"/>
        <v>1.0617053815516705E-3</v>
      </c>
      <c r="AQ116">
        <v>9.6</v>
      </c>
      <c r="AR116" s="32">
        <f t="shared" si="59"/>
        <v>3.5952250916751185E-3</v>
      </c>
      <c r="AS116" s="48">
        <v>1100</v>
      </c>
      <c r="AT116" s="27">
        <f t="shared" si="60"/>
        <v>0.41195287508777401</v>
      </c>
      <c r="AU116" s="48">
        <v>4</v>
      </c>
      <c r="AV116" s="27">
        <f t="shared" si="61"/>
        <v>1.4718444050200407E-3</v>
      </c>
      <c r="AW116" s="48">
        <v>4</v>
      </c>
      <c r="AX116" s="27">
        <f t="shared" si="62"/>
        <v>1.5044419946825757E-3</v>
      </c>
      <c r="AY116" s="48">
        <v>2</v>
      </c>
      <c r="AZ116" s="27">
        <f t="shared" si="63"/>
        <v>7.4599927806521475E-4</v>
      </c>
      <c r="BA116" s="48">
        <v>0.4</v>
      </c>
      <c r="BB116" s="27">
        <f t="shared" si="64"/>
        <v>1.4812321158054199E-4</v>
      </c>
      <c r="BC116" s="48">
        <v>1E-3</v>
      </c>
      <c r="BD116" s="27">
        <f t="shared" si="65"/>
        <v>3.7030802895135499E-7</v>
      </c>
      <c r="BE116" s="48">
        <v>1E-3</v>
      </c>
      <c r="BF116" s="27">
        <f t="shared" si="66"/>
        <v>3.6588380716934485E-7</v>
      </c>
      <c r="BG116" s="48">
        <v>2E-3</v>
      </c>
      <c r="BH116" s="27">
        <f t="shared" si="67"/>
        <v>7.3176761433868969E-7</v>
      </c>
      <c r="BI116" s="52">
        <f t="shared" si="68"/>
        <v>1110.404</v>
      </c>
      <c r="BJ116" s="52">
        <f t="shared" si="69"/>
        <v>10.404</v>
      </c>
      <c r="BK116" s="27">
        <f t="shared" si="70"/>
        <v>0.41582475193657287</v>
      </c>
      <c r="BL116" s="27">
        <f t="shared" si="71"/>
        <v>3.8718768487988327E-3</v>
      </c>
      <c r="BM116">
        <v>2.5</v>
      </c>
      <c r="BN116">
        <v>2.5</v>
      </c>
      <c r="BO116" t="s">
        <v>19</v>
      </c>
      <c r="BP116">
        <v>5</v>
      </c>
      <c r="BQ116">
        <v>65</v>
      </c>
      <c r="BR116" t="s">
        <v>443</v>
      </c>
      <c r="BS116">
        <v>1.4999999999999999E-2</v>
      </c>
      <c r="BT116">
        <v>2.11</v>
      </c>
      <c r="BU116">
        <v>14.1</v>
      </c>
      <c r="BV116">
        <v>-3.8</v>
      </c>
      <c r="BW116">
        <v>6.81</v>
      </c>
      <c r="BX116">
        <v>694</v>
      </c>
      <c r="BY116">
        <v>0.2</v>
      </c>
      <c r="BZ116">
        <v>0.01</v>
      </c>
      <c r="CA116" s="32">
        <v>0.9</v>
      </c>
      <c r="CB116" s="32">
        <f t="shared" si="72"/>
        <v>1.611459265890779E-2</v>
      </c>
      <c r="CC116" s="32">
        <f t="shared" si="73"/>
        <v>1.611459265890779E-2</v>
      </c>
      <c r="CD116" s="32">
        <v>6.6</v>
      </c>
      <c r="CE116" s="32">
        <f t="shared" si="74"/>
        <v>0.12015292190060076</v>
      </c>
      <c r="CF116" s="32">
        <f t="shared" si="75"/>
        <v>0.24030584380120151</v>
      </c>
      <c r="CG116" s="27">
        <v>68</v>
      </c>
      <c r="CH116" s="27">
        <f t="shared" si="76"/>
        <v>0.70789090151988343</v>
      </c>
      <c r="CI116" s="27">
        <f t="shared" si="77"/>
        <v>5.6631272121590674</v>
      </c>
      <c r="CJ116" s="58">
        <v>19</v>
      </c>
      <c r="CK116" s="58">
        <v>21.839080459770116</v>
      </c>
      <c r="CL116" s="58">
        <v>1.5823443681032687</v>
      </c>
      <c r="CM116" s="58">
        <v>1.5823443681032687</v>
      </c>
      <c r="CN116" s="28">
        <v>-67.5</v>
      </c>
      <c r="CO116" s="28">
        <v>-13500</v>
      </c>
      <c r="CP116" s="28">
        <v>-5.6214865708931914</v>
      </c>
      <c r="CR116" s="32">
        <f t="shared" si="78"/>
        <v>11.044763689360815</v>
      </c>
      <c r="CS116" s="32">
        <v>11.044763689360815</v>
      </c>
      <c r="CT116" s="32">
        <f t="shared" si="79"/>
        <v>11.944763689360816</v>
      </c>
      <c r="CU116" s="32">
        <f t="shared" si="80"/>
        <v>0.21387222362329122</v>
      </c>
      <c r="CV116" s="32">
        <f t="shared" si="81"/>
        <v>0.21387222362329122</v>
      </c>
      <c r="CW116" s="60">
        <f t="shared" si="82"/>
        <v>-39.237976264834479</v>
      </c>
      <c r="CY116" s="60">
        <f t="shared" si="83"/>
        <v>0.9</v>
      </c>
      <c r="CZ116" s="60">
        <f t="shared" si="84"/>
        <v>1.611459265890779E-2</v>
      </c>
      <c r="DA116" s="60">
        <f t="shared" si="85"/>
        <v>1.611459265890779E-2</v>
      </c>
      <c r="DB116" s="32">
        <f t="shared" si="86"/>
        <v>5.6631272121590674</v>
      </c>
      <c r="DC116">
        <f t="shared" si="87"/>
        <v>2.0365224355277616</v>
      </c>
      <c r="DD116">
        <f t="shared" si="88"/>
        <v>0.11799813231074306</v>
      </c>
      <c r="DE116">
        <f t="shared" si="89"/>
        <v>0.10501834887366049</v>
      </c>
      <c r="DF116">
        <f t="shared" si="90"/>
        <v>0.77698351881559635</v>
      </c>
      <c r="DG116">
        <f t="shared" si="91"/>
        <v>0.25642043646010931</v>
      </c>
      <c r="DH116">
        <f t="shared" si="92"/>
        <v>0.93715558369149443</v>
      </c>
      <c r="DI116">
        <f t="shared" si="93"/>
        <v>6.2844416308505485E-2</v>
      </c>
      <c r="DJ116">
        <f t="shared" si="94"/>
        <v>0</v>
      </c>
      <c r="DK116" s="64">
        <f t="shared" si="95"/>
        <v>-2.0318655050545349</v>
      </c>
      <c r="DL116" s="64">
        <f t="shared" si="96"/>
        <v>-0.25176350598688252</v>
      </c>
      <c r="DM116" s="64">
        <f t="shared" si="97"/>
        <v>-2.0279936282057358</v>
      </c>
      <c r="DN116" s="64">
        <f t="shared" si="98"/>
        <v>-0.24789162913808369</v>
      </c>
      <c r="DO116" t="str">
        <f t="shared" si="99"/>
        <v>Sufficient Capacity</v>
      </c>
      <c r="DP116" t="str">
        <f t="shared" si="100"/>
        <v>Sufficient Capacity</v>
      </c>
    </row>
    <row r="117" spans="1:120" ht="15.75" x14ac:dyDescent="0.25">
      <c r="A117" s="6" t="s">
        <v>170</v>
      </c>
      <c r="B117" s="6" t="s">
        <v>170</v>
      </c>
      <c r="C117" s="2" t="s">
        <v>929</v>
      </c>
      <c r="D117" s="2" t="s">
        <v>559</v>
      </c>
      <c r="E117" s="2" t="s">
        <v>559</v>
      </c>
      <c r="F117" s="2">
        <v>116</v>
      </c>
      <c r="G117" s="2" t="s">
        <v>928</v>
      </c>
      <c r="H117" s="10" t="s">
        <v>656</v>
      </c>
      <c r="I117" s="2">
        <v>150</v>
      </c>
      <c r="J117" s="2">
        <v>65</v>
      </c>
      <c r="K117" s="15">
        <v>8.75</v>
      </c>
      <c r="L117" t="s">
        <v>345</v>
      </c>
      <c r="M117" s="2" t="s">
        <v>1120</v>
      </c>
      <c r="N117" s="2" t="s">
        <v>437</v>
      </c>
      <c r="O117" s="2" t="s">
        <v>666</v>
      </c>
      <c r="P117" s="2" t="s">
        <v>1132</v>
      </c>
      <c r="Q117" s="9" t="s">
        <v>740</v>
      </c>
      <c r="R117" s="2" t="str">
        <f t="shared" si="50"/>
        <v>CW_3_Section_2</v>
      </c>
      <c r="S117" s="2" t="str">
        <f t="shared" si="51"/>
        <v>CW_3_MF06</v>
      </c>
      <c r="T117" s="11" t="s">
        <v>891</v>
      </c>
      <c r="U117" s="1">
        <v>45763</v>
      </c>
      <c r="V117" s="2" t="s">
        <v>660</v>
      </c>
      <c r="W117" s="2" t="s">
        <v>663</v>
      </c>
      <c r="X117" s="2" t="s">
        <v>890</v>
      </c>
      <c r="Y117" s="2" t="str">
        <f t="shared" si="52"/>
        <v>T4_0.60-0.80</v>
      </c>
      <c r="Z117" t="s">
        <v>57</v>
      </c>
      <c r="AA117">
        <v>10</v>
      </c>
      <c r="AB117">
        <v>12</v>
      </c>
      <c r="AC117">
        <v>470</v>
      </c>
      <c r="AD117" s="32">
        <f t="shared" si="53"/>
        <v>0.18051465881449238</v>
      </c>
      <c r="AE117">
        <v>25</v>
      </c>
      <c r="AF117" s="32">
        <f t="shared" si="54"/>
        <v>9.7677447362708933E-3</v>
      </c>
      <c r="AG117">
        <v>410</v>
      </c>
      <c r="AH117" s="32">
        <f t="shared" si="55"/>
        <v>0.16219270980502967</v>
      </c>
      <c r="AI117">
        <v>140</v>
      </c>
      <c r="AJ117" s="32">
        <f t="shared" si="56"/>
        <v>5.5382876518790619E-2</v>
      </c>
      <c r="AK117">
        <v>140</v>
      </c>
      <c r="AL117" s="32">
        <f t="shared" si="57"/>
        <v>5.5382876518790619E-2</v>
      </c>
      <c r="AM117">
        <v>280</v>
      </c>
      <c r="AO117" s="49">
        <v>1185</v>
      </c>
      <c r="AP117" s="49">
        <f t="shared" si="58"/>
        <v>0.35247511335579296</v>
      </c>
      <c r="AQ117">
        <v>2700</v>
      </c>
      <c r="AR117" s="32">
        <f t="shared" si="59"/>
        <v>1.0111570570336272</v>
      </c>
      <c r="AS117" s="48">
        <v>8100</v>
      </c>
      <c r="AT117" s="27">
        <f t="shared" si="60"/>
        <v>3.0334711711008815</v>
      </c>
      <c r="AU117" s="48">
        <v>150</v>
      </c>
      <c r="AV117" s="27">
        <f t="shared" si="61"/>
        <v>5.5194165188251522E-2</v>
      </c>
      <c r="AW117" s="48">
        <v>550</v>
      </c>
      <c r="AX117" s="27">
        <f t="shared" si="62"/>
        <v>0.20686077426885416</v>
      </c>
      <c r="AY117" s="48">
        <v>180</v>
      </c>
      <c r="AZ117" s="27">
        <f t="shared" si="63"/>
        <v>6.7139935025869332E-2</v>
      </c>
      <c r="BA117" s="48">
        <v>120</v>
      </c>
      <c r="BB117" s="27">
        <f t="shared" si="64"/>
        <v>4.4436963474162601E-2</v>
      </c>
      <c r="BC117" s="48">
        <v>16</v>
      </c>
      <c r="BD117" s="27">
        <f t="shared" si="65"/>
        <v>5.9249284632216801E-3</v>
      </c>
      <c r="BE117" s="48">
        <v>5.6</v>
      </c>
      <c r="BF117" s="27">
        <f t="shared" si="66"/>
        <v>2.048949320148331E-3</v>
      </c>
      <c r="BG117" s="48">
        <v>0.8</v>
      </c>
      <c r="BH117" s="27">
        <f t="shared" si="67"/>
        <v>2.9270704573547597E-4</v>
      </c>
      <c r="BI117" s="52">
        <f t="shared" si="68"/>
        <v>9122.4</v>
      </c>
      <c r="BJ117" s="52">
        <f t="shared" si="69"/>
        <v>1022.4</v>
      </c>
      <c r="BK117" s="27">
        <f t="shared" si="70"/>
        <v>3.4153695938871254</v>
      </c>
      <c r="BL117" s="27">
        <f t="shared" si="71"/>
        <v>0.38189842278624309</v>
      </c>
      <c r="BM117">
        <v>4000</v>
      </c>
      <c r="BN117">
        <v>1500</v>
      </c>
      <c r="BO117" t="s">
        <v>19</v>
      </c>
      <c r="BP117">
        <v>5500</v>
      </c>
      <c r="BQ117">
        <v>70</v>
      </c>
      <c r="BR117" t="s">
        <v>443</v>
      </c>
      <c r="BS117">
        <v>0.98</v>
      </c>
      <c r="BT117">
        <v>0.45</v>
      </c>
      <c r="BU117">
        <v>14.1</v>
      </c>
      <c r="BV117">
        <v>-61</v>
      </c>
      <c r="BW117">
        <v>7.18</v>
      </c>
      <c r="BX117">
        <v>722</v>
      </c>
      <c r="BY117" t="s">
        <v>443</v>
      </c>
      <c r="BZ117">
        <v>0.01</v>
      </c>
      <c r="CA117" s="32">
        <v>0.3</v>
      </c>
      <c r="CB117" s="32">
        <f t="shared" si="72"/>
        <v>5.3715308863025958E-3</v>
      </c>
      <c r="CC117" s="32">
        <f t="shared" si="73"/>
        <v>5.3715308863025958E-3</v>
      </c>
      <c r="CD117" s="32">
        <v>0.8</v>
      </c>
      <c r="CE117" s="32">
        <f t="shared" si="74"/>
        <v>1.4563990533406155E-2</v>
      </c>
      <c r="CF117" s="32">
        <f t="shared" si="75"/>
        <v>2.912798106681231E-2</v>
      </c>
      <c r="CG117" s="27">
        <v>70</v>
      </c>
      <c r="CH117" s="27">
        <f t="shared" si="76"/>
        <v>0.72871122215282114</v>
      </c>
      <c r="CI117" s="27">
        <f t="shared" si="77"/>
        <v>5.8296897772225691</v>
      </c>
      <c r="CJ117" s="58">
        <v>17</v>
      </c>
      <c r="CK117" s="58">
        <v>19.540229885057471</v>
      </c>
      <c r="CL117" s="58">
        <v>1.4157818030397669</v>
      </c>
      <c r="CM117" s="58">
        <v>1.4157818030397669</v>
      </c>
      <c r="CN117" s="28">
        <v>-3</v>
      </c>
      <c r="CO117" s="28">
        <v>-4.4776119402985071</v>
      </c>
      <c r="CP117" s="28">
        <v>-0.24984384759525297</v>
      </c>
      <c r="CR117" s="32">
        <f t="shared" si="78"/>
        <v>9.8821569852175717</v>
      </c>
      <c r="CS117" s="32">
        <v>9.8821569852175717</v>
      </c>
      <c r="CT117" s="32">
        <f t="shared" si="79"/>
        <v>10.182156985217572</v>
      </c>
      <c r="CU117" s="32">
        <f t="shared" si="80"/>
        <v>0.18231256911759305</v>
      </c>
      <c r="CV117" s="32">
        <f t="shared" si="81"/>
        <v>0.18231256911759305</v>
      </c>
      <c r="CW117" s="60">
        <f t="shared" si="82"/>
        <v>-1.7439100562148657</v>
      </c>
      <c r="CY117" s="60">
        <f t="shared" si="83"/>
        <v>0.3</v>
      </c>
      <c r="CZ117" s="60">
        <f t="shared" si="84"/>
        <v>5.3715308863025958E-3</v>
      </c>
      <c r="DA117" s="60">
        <f t="shared" si="85"/>
        <v>5.3715308863025958E-3</v>
      </c>
      <c r="DB117" s="32">
        <f t="shared" si="86"/>
        <v>5.8296897772225691</v>
      </c>
      <c r="DC117">
        <f t="shared" si="87"/>
        <v>1.6272223532241723</v>
      </c>
      <c r="DD117">
        <f t="shared" si="88"/>
        <v>1.7900430761105413E-2</v>
      </c>
      <c r="DE117">
        <f t="shared" si="89"/>
        <v>0.11203912529615857</v>
      </c>
      <c r="DF117">
        <f t="shared" si="90"/>
        <v>0.87006044394273596</v>
      </c>
      <c r="DG117">
        <f t="shared" si="91"/>
        <v>3.4499511953114903E-2</v>
      </c>
      <c r="DH117">
        <f t="shared" si="92"/>
        <v>0.84430125001181044</v>
      </c>
      <c r="DI117">
        <f t="shared" si="93"/>
        <v>0.15569874998818958</v>
      </c>
      <c r="DJ117">
        <f t="shared" si="94"/>
        <v>0</v>
      </c>
      <c r="DK117" s="64">
        <f t="shared" si="95"/>
        <v>-0.263590182834752</v>
      </c>
      <c r="DL117" s="64">
        <f t="shared" si="96"/>
        <v>1.3291326584363055</v>
      </c>
      <c r="DM117" s="64">
        <f t="shared" si="97"/>
        <v>0.11830823995149098</v>
      </c>
      <c r="DN117" s="64">
        <f t="shared" si="98"/>
        <v>1.7110310812225484</v>
      </c>
      <c r="DO117" t="str">
        <f t="shared" si="99"/>
        <v>Insufficient Capacity</v>
      </c>
      <c r="DP117" t="str">
        <f t="shared" si="100"/>
        <v>Insufficient Capacity</v>
      </c>
    </row>
    <row r="118" spans="1:120" ht="15.75" x14ac:dyDescent="0.25">
      <c r="A118" s="6" t="s">
        <v>171</v>
      </c>
      <c r="B118" s="6" t="s">
        <v>171</v>
      </c>
      <c r="C118" s="2" t="s">
        <v>931</v>
      </c>
      <c r="D118" s="2" t="s">
        <v>560</v>
      </c>
      <c r="E118" s="2" t="s">
        <v>560</v>
      </c>
      <c r="F118" s="2">
        <v>117</v>
      </c>
      <c r="G118" s="2" t="s">
        <v>930</v>
      </c>
      <c r="H118" s="10" t="s">
        <v>656</v>
      </c>
      <c r="I118" s="2">
        <v>150</v>
      </c>
      <c r="J118" s="2">
        <v>65</v>
      </c>
      <c r="K118" s="15">
        <v>12.3</v>
      </c>
      <c r="L118" t="s">
        <v>346</v>
      </c>
      <c r="M118" s="2" t="s">
        <v>1120</v>
      </c>
      <c r="N118" s="2" t="s">
        <v>437</v>
      </c>
      <c r="O118" s="2" t="s">
        <v>673</v>
      </c>
      <c r="P118" s="2" t="s">
        <v>1127</v>
      </c>
      <c r="Q118" s="9" t="s">
        <v>743</v>
      </c>
      <c r="R118" s="2" t="str">
        <f t="shared" si="50"/>
        <v>CW_3_Section_3</v>
      </c>
      <c r="S118" s="2" t="str">
        <f t="shared" si="51"/>
        <v>CW_3_MF09</v>
      </c>
      <c r="T118" s="11" t="s">
        <v>891</v>
      </c>
      <c r="U118" s="1">
        <v>45763</v>
      </c>
      <c r="V118" s="2" t="s">
        <v>660</v>
      </c>
      <c r="W118" s="2" t="s">
        <v>655</v>
      </c>
      <c r="X118" s="2" t="s">
        <v>890</v>
      </c>
      <c r="Y118" s="2" t="str">
        <f t="shared" si="52"/>
        <v>T4_0.15-0.30</v>
      </c>
      <c r="Z118" t="s">
        <v>59</v>
      </c>
      <c r="AA118">
        <v>13</v>
      </c>
      <c r="AB118">
        <v>14</v>
      </c>
      <c r="AC118">
        <v>340</v>
      </c>
      <c r="AD118" s="32">
        <f t="shared" si="53"/>
        <v>0.13058507233388811</v>
      </c>
      <c r="AE118">
        <v>1.7</v>
      </c>
      <c r="AF118" s="32">
        <f t="shared" si="54"/>
        <v>6.6420664206642062E-4</v>
      </c>
      <c r="AG118">
        <v>80</v>
      </c>
      <c r="AH118" s="32">
        <f t="shared" si="55"/>
        <v>3.1647358010737495E-2</v>
      </c>
      <c r="AI118">
        <v>31</v>
      </c>
      <c r="AJ118" s="32">
        <f t="shared" si="56"/>
        <v>1.2263351229160779E-2</v>
      </c>
      <c r="AK118">
        <v>12</v>
      </c>
      <c r="AL118" s="32">
        <f t="shared" si="57"/>
        <v>4.7471037016106245E-3</v>
      </c>
      <c r="AM118">
        <v>43</v>
      </c>
      <c r="AO118" s="49">
        <v>464.7</v>
      </c>
      <c r="AP118" s="49">
        <f t="shared" si="58"/>
        <v>0.16289663698669204</v>
      </c>
      <c r="AQ118">
        <v>7.8</v>
      </c>
      <c r="AR118" s="32">
        <f t="shared" si="59"/>
        <v>2.9211203869860341E-3</v>
      </c>
      <c r="AS118" s="48">
        <v>5.3</v>
      </c>
      <c r="AT118" s="27">
        <f t="shared" si="60"/>
        <v>1.9848638526956384E-3</v>
      </c>
      <c r="AU118" s="48">
        <v>0.01</v>
      </c>
      <c r="AV118" s="27">
        <f t="shared" si="61"/>
        <v>3.6796110125501018E-6</v>
      </c>
      <c r="AW118" s="48">
        <v>0.01</v>
      </c>
      <c r="AX118" s="27">
        <f t="shared" si="62"/>
        <v>3.7611049867064394E-6</v>
      </c>
      <c r="AY118" s="48">
        <v>5.0000000000000001E-3</v>
      </c>
      <c r="AZ118" s="27">
        <f t="shared" si="63"/>
        <v>1.8649981951630372E-6</v>
      </c>
      <c r="BA118" s="48">
        <v>0.01</v>
      </c>
      <c r="BB118" s="27">
        <f t="shared" si="64"/>
        <v>3.7030802895135499E-6</v>
      </c>
      <c r="BC118" s="48">
        <v>1E-3</v>
      </c>
      <c r="BD118" s="27">
        <f t="shared" si="65"/>
        <v>3.7030802895135499E-7</v>
      </c>
      <c r="BE118" s="48">
        <v>1E-3</v>
      </c>
      <c r="BF118" s="27">
        <f t="shared" si="66"/>
        <v>3.6588380716934485E-7</v>
      </c>
      <c r="BG118" s="48">
        <v>2E-3</v>
      </c>
      <c r="BH118" s="27">
        <f t="shared" si="67"/>
        <v>7.3176761433868969E-7</v>
      </c>
      <c r="BI118" s="52">
        <f t="shared" si="68"/>
        <v>5.3389999999999995</v>
      </c>
      <c r="BJ118" s="52">
        <f t="shared" si="69"/>
        <v>3.9000000000000007E-2</v>
      </c>
      <c r="BK118" s="27">
        <f t="shared" si="70"/>
        <v>1.999340606630031E-3</v>
      </c>
      <c r="BL118" s="27">
        <f t="shared" si="71"/>
        <v>1.4476753934392517E-5</v>
      </c>
      <c r="BM118">
        <v>2.5</v>
      </c>
      <c r="BN118">
        <v>2.5</v>
      </c>
      <c r="BO118" t="s">
        <v>19</v>
      </c>
      <c r="BP118">
        <v>5</v>
      </c>
      <c r="BQ118">
        <v>66</v>
      </c>
      <c r="BR118" t="s">
        <v>443</v>
      </c>
      <c r="BS118">
        <v>1.8</v>
      </c>
      <c r="BT118">
        <v>2.3199999999999998</v>
      </c>
      <c r="BU118">
        <v>14</v>
      </c>
      <c r="BV118">
        <v>-30</v>
      </c>
      <c r="BW118">
        <v>6.91</v>
      </c>
      <c r="BX118">
        <v>705</v>
      </c>
      <c r="BY118">
        <v>0.1</v>
      </c>
      <c r="BZ118">
        <v>0.01</v>
      </c>
      <c r="CA118" s="32">
        <v>20</v>
      </c>
      <c r="CB118" s="32">
        <f t="shared" si="72"/>
        <v>0.35810205908683973</v>
      </c>
      <c r="CC118" s="32">
        <f t="shared" si="73"/>
        <v>0.35810205908683973</v>
      </c>
      <c r="CD118" s="32">
        <v>4.2</v>
      </c>
      <c r="CE118" s="32">
        <f t="shared" si="74"/>
        <v>7.6460950300382302E-2</v>
      </c>
      <c r="CF118" s="32">
        <f t="shared" si="75"/>
        <v>0.1529219006007646</v>
      </c>
      <c r="CG118" s="27">
        <v>0.5</v>
      </c>
      <c r="CH118" s="27">
        <f t="shared" si="76"/>
        <v>5.2050801582344368E-3</v>
      </c>
      <c r="CI118" s="27">
        <f t="shared" si="77"/>
        <v>4.1640641265875494E-2</v>
      </c>
      <c r="CJ118" s="58">
        <v>86.5</v>
      </c>
      <c r="CK118" s="58">
        <v>99.425287356321832</v>
      </c>
      <c r="CL118" s="58">
        <v>7.2038309389964601</v>
      </c>
      <c r="CM118" s="58">
        <v>7.2038309389964601</v>
      </c>
      <c r="CN118" s="28">
        <v>67.5</v>
      </c>
      <c r="CO118" s="28">
        <v>99.264705882352942</v>
      </c>
      <c r="CP118" s="28">
        <v>5.6214865708931914</v>
      </c>
      <c r="CQ118" s="28">
        <v>5.6214865708931914</v>
      </c>
      <c r="CR118" s="32">
        <f t="shared" si="78"/>
        <v>50.282739954195293</v>
      </c>
      <c r="CS118" s="32">
        <v>50.282739954195293</v>
      </c>
      <c r="CT118" s="32">
        <f t="shared" si="79"/>
        <v>70.282739954195293</v>
      </c>
      <c r="CU118" s="32">
        <f t="shared" si="80"/>
        <v>1.2584196947931117</v>
      </c>
      <c r="CV118" s="32">
        <f t="shared" si="81"/>
        <v>1.2584196947931117</v>
      </c>
      <c r="CW118" s="60">
        <f t="shared" si="82"/>
        <v>39.237976264834479</v>
      </c>
      <c r="CX118" s="60">
        <v>39.237976264834479</v>
      </c>
      <c r="CY118" s="60">
        <f t="shared" si="83"/>
        <v>59.237976264834479</v>
      </c>
      <c r="CZ118" s="60">
        <f t="shared" si="84"/>
        <v>1.0606620638287283</v>
      </c>
      <c r="DA118" s="60">
        <f t="shared" si="85"/>
        <v>1.0606620638287283</v>
      </c>
      <c r="DB118" s="32">
        <f t="shared" si="86"/>
        <v>4.1640641265875494E-2</v>
      </c>
      <c r="DC118">
        <f t="shared" si="87"/>
        <v>8.6151725343903358</v>
      </c>
      <c r="DD118">
        <f t="shared" si="88"/>
        <v>1.7750300413639519E-2</v>
      </c>
      <c r="DE118">
        <f t="shared" si="89"/>
        <v>0.14607016745975887</v>
      </c>
      <c r="DF118">
        <f t="shared" si="90"/>
        <v>0.83617953212660168</v>
      </c>
      <c r="DG118">
        <f t="shared" si="91"/>
        <v>6.8350705353226839</v>
      </c>
      <c r="DH118">
        <f t="shared" si="92"/>
        <v>2.2373126921000408E-2</v>
      </c>
      <c r="DI118">
        <f t="shared" si="93"/>
        <v>0.15517938817856755</v>
      </c>
      <c r="DJ118">
        <f t="shared" si="94"/>
        <v>0.82244748490043207</v>
      </c>
      <c r="DK118" s="64">
        <f t="shared" si="95"/>
        <v>-8.4493547770166586</v>
      </c>
      <c r="DL118" s="64">
        <f t="shared" si="96"/>
        <v>-6.6692527779490058</v>
      </c>
      <c r="DM118" s="64">
        <f t="shared" si="97"/>
        <v>-8.4493403002627225</v>
      </c>
      <c r="DN118" s="64">
        <f t="shared" si="98"/>
        <v>-6.6692383011950715</v>
      </c>
      <c r="DO118" t="str">
        <f t="shared" si="99"/>
        <v>Sufficient Capacity</v>
      </c>
      <c r="DP118" t="str">
        <f t="shared" si="100"/>
        <v>Sufficient Capacity</v>
      </c>
    </row>
    <row r="119" spans="1:120" ht="16.5" customHeight="1" x14ac:dyDescent="0.25">
      <c r="A119" s="6" t="s">
        <v>172</v>
      </c>
      <c r="B119" s="6" t="s">
        <v>172</v>
      </c>
      <c r="C119" s="2" t="s">
        <v>933</v>
      </c>
      <c r="D119" s="2" t="s">
        <v>561</v>
      </c>
      <c r="E119" s="2" t="s">
        <v>561</v>
      </c>
      <c r="F119" s="2">
        <v>118</v>
      </c>
      <c r="G119" s="2" t="s">
        <v>932</v>
      </c>
      <c r="H119" s="10" t="s">
        <v>656</v>
      </c>
      <c r="I119" s="2">
        <v>150</v>
      </c>
      <c r="J119" s="2">
        <v>65</v>
      </c>
      <c r="K119" s="15">
        <v>5.5</v>
      </c>
      <c r="L119" t="s">
        <v>347</v>
      </c>
      <c r="M119" s="2" t="s">
        <v>1120</v>
      </c>
      <c r="N119" s="2" t="s">
        <v>437</v>
      </c>
      <c r="O119" s="2" t="s">
        <v>673</v>
      </c>
      <c r="P119" s="2" t="s">
        <v>1128</v>
      </c>
      <c r="Q119" s="9" t="s">
        <v>746</v>
      </c>
      <c r="R119" s="2" t="str">
        <f t="shared" si="50"/>
        <v>CW_3_Section_3</v>
      </c>
      <c r="S119" s="2" t="str">
        <f t="shared" si="51"/>
        <v>CW_3_MF10</v>
      </c>
      <c r="T119" s="11" t="s">
        <v>891</v>
      </c>
      <c r="U119" s="1">
        <v>45763</v>
      </c>
      <c r="V119" s="2" t="s">
        <v>660</v>
      </c>
      <c r="W119" s="2" t="s">
        <v>663</v>
      </c>
      <c r="X119" s="2" t="s">
        <v>890</v>
      </c>
      <c r="Y119" s="2" t="str">
        <f t="shared" si="52"/>
        <v>T4_0.60-0.80</v>
      </c>
      <c r="Z119" t="s">
        <v>61</v>
      </c>
      <c r="AA119">
        <v>12</v>
      </c>
      <c r="AB119">
        <v>12</v>
      </c>
      <c r="AC119">
        <v>680</v>
      </c>
      <c r="AD119" s="32">
        <f t="shared" si="53"/>
        <v>0.26117014466777622</v>
      </c>
      <c r="AE119">
        <v>1</v>
      </c>
      <c r="AF119" s="32">
        <f t="shared" si="54"/>
        <v>3.9070978945083569E-4</v>
      </c>
      <c r="AG119">
        <v>530</v>
      </c>
      <c r="AH119" s="32">
        <f t="shared" si="55"/>
        <v>0.20966374682113592</v>
      </c>
      <c r="AI119">
        <v>130</v>
      </c>
      <c r="AJ119" s="32">
        <f t="shared" si="56"/>
        <v>5.1426956767448434E-2</v>
      </c>
      <c r="AK119">
        <v>93</v>
      </c>
      <c r="AL119" s="32">
        <f t="shared" si="57"/>
        <v>3.6790053687482338E-2</v>
      </c>
      <c r="AM119">
        <v>223</v>
      </c>
      <c r="AO119" s="49">
        <v>1440</v>
      </c>
      <c r="AP119" s="49">
        <f t="shared" si="58"/>
        <v>0.47122460127836296</v>
      </c>
      <c r="AQ119">
        <v>2800</v>
      </c>
      <c r="AR119" s="32">
        <f t="shared" si="59"/>
        <v>1.0486073184052431</v>
      </c>
      <c r="AS119" s="48">
        <v>3500</v>
      </c>
      <c r="AT119" s="27">
        <f t="shared" si="60"/>
        <v>1.3107591480065537</v>
      </c>
      <c r="AU119" s="48">
        <v>4</v>
      </c>
      <c r="AV119" s="27">
        <f t="shared" si="61"/>
        <v>1.4718444050200407E-3</v>
      </c>
      <c r="AW119" s="48">
        <v>280</v>
      </c>
      <c r="AX119" s="27">
        <f t="shared" si="62"/>
        <v>0.10531093962778031</v>
      </c>
      <c r="AY119" s="48">
        <v>60</v>
      </c>
      <c r="AZ119" s="27">
        <f t="shared" si="63"/>
        <v>2.2379978341956444E-2</v>
      </c>
      <c r="BA119" s="48">
        <v>27</v>
      </c>
      <c r="BB119" s="27">
        <f t="shared" si="64"/>
        <v>9.9983167816865854E-3</v>
      </c>
      <c r="BC119" s="48">
        <v>0.4</v>
      </c>
      <c r="BD119" s="27">
        <f t="shared" si="65"/>
        <v>1.4812321158054199E-4</v>
      </c>
      <c r="BE119" s="48">
        <v>0.4</v>
      </c>
      <c r="BF119" s="27">
        <f t="shared" si="66"/>
        <v>1.4635352286773798E-4</v>
      </c>
      <c r="BG119" s="48">
        <v>0.8</v>
      </c>
      <c r="BH119" s="27">
        <f t="shared" si="67"/>
        <v>2.9270704573547597E-4</v>
      </c>
      <c r="BI119" s="52">
        <f t="shared" si="68"/>
        <v>3872.6000000000004</v>
      </c>
      <c r="BJ119" s="52">
        <f t="shared" si="69"/>
        <v>372.59999999999997</v>
      </c>
      <c r="BK119" s="27">
        <f t="shared" si="70"/>
        <v>1.450507410943181</v>
      </c>
      <c r="BL119" s="27">
        <f t="shared" si="71"/>
        <v>0.13974826293662712</v>
      </c>
      <c r="BM119">
        <v>4100</v>
      </c>
      <c r="BN119">
        <v>1400</v>
      </c>
      <c r="BO119" t="s">
        <v>19</v>
      </c>
      <c r="BP119">
        <v>5500</v>
      </c>
      <c r="BQ119">
        <v>69</v>
      </c>
      <c r="BR119" t="s">
        <v>443</v>
      </c>
      <c r="BS119">
        <v>0.73</v>
      </c>
      <c r="BT119">
        <v>0.43</v>
      </c>
      <c r="BU119">
        <v>14</v>
      </c>
      <c r="BV119">
        <v>-47</v>
      </c>
      <c r="BW119">
        <v>7.09</v>
      </c>
      <c r="BX119">
        <v>772</v>
      </c>
      <c r="BY119">
        <v>0.2</v>
      </c>
      <c r="BZ119">
        <v>0.01</v>
      </c>
      <c r="CA119" s="32">
        <v>0.4</v>
      </c>
      <c r="CB119" s="32">
        <f t="shared" si="72"/>
        <v>7.162041181736795E-3</v>
      </c>
      <c r="CC119" s="32">
        <f t="shared" si="73"/>
        <v>7.162041181736795E-3</v>
      </c>
      <c r="CD119" s="32">
        <v>1.1000000000000001</v>
      </c>
      <c r="CE119" s="32">
        <f t="shared" si="74"/>
        <v>2.0025486983433462E-2</v>
      </c>
      <c r="CF119" s="32">
        <f t="shared" si="75"/>
        <v>4.0050973966866923E-2</v>
      </c>
      <c r="CG119" s="27">
        <v>57</v>
      </c>
      <c r="CH119" s="27">
        <f t="shared" si="76"/>
        <v>0.59337913803872577</v>
      </c>
      <c r="CI119" s="27">
        <f t="shared" si="77"/>
        <v>4.7470331043098062</v>
      </c>
      <c r="CJ119" s="58">
        <v>30</v>
      </c>
      <c r="CK119" s="58">
        <v>34.482758620689658</v>
      </c>
      <c r="CL119" s="58">
        <v>2.4984384759525295</v>
      </c>
      <c r="CM119" s="58">
        <v>2.4984384759525295</v>
      </c>
      <c r="CN119" s="28">
        <v>13</v>
      </c>
      <c r="CO119" s="28">
        <v>18.571428571428573</v>
      </c>
      <c r="CP119" s="28">
        <v>1.0826566729127629</v>
      </c>
      <c r="CQ119" s="28">
        <v>1.0826566729127629</v>
      </c>
      <c r="CR119" s="32">
        <f t="shared" si="78"/>
        <v>17.439100562148656</v>
      </c>
      <c r="CS119" s="32">
        <v>17.439100562148656</v>
      </c>
      <c r="CT119" s="32">
        <f t="shared" si="79"/>
        <v>17.839100562148655</v>
      </c>
      <c r="CU119" s="32">
        <f t="shared" si="80"/>
        <v>0.31941093217813166</v>
      </c>
      <c r="CV119" s="32">
        <f t="shared" si="81"/>
        <v>0.31941093217813166</v>
      </c>
      <c r="CW119" s="60">
        <f t="shared" si="82"/>
        <v>7.5569435769310846</v>
      </c>
      <c r="CX119" s="60">
        <v>7.5569435769310846</v>
      </c>
      <c r="CY119" s="60">
        <f t="shared" si="83"/>
        <v>7.956943576931085</v>
      </c>
      <c r="CZ119" s="60">
        <f t="shared" si="84"/>
        <v>0.14246989394684126</v>
      </c>
      <c r="DA119" s="60">
        <f t="shared" si="85"/>
        <v>0.14246989394684126</v>
      </c>
      <c r="DB119" s="32">
        <f t="shared" si="86"/>
        <v>4.7470331043098062</v>
      </c>
      <c r="DC119">
        <f t="shared" si="87"/>
        <v>2.8579003820975282</v>
      </c>
      <c r="DD119">
        <f t="shared" si="88"/>
        <v>1.4014125271039679E-2</v>
      </c>
      <c r="DE119">
        <f t="shared" si="89"/>
        <v>0.11176419380430018</v>
      </c>
      <c r="DF119">
        <f t="shared" si="90"/>
        <v>0.87422168092466013</v>
      </c>
      <c r="DG119">
        <f t="shared" si="91"/>
        <v>1.2651775408264712</v>
      </c>
      <c r="DH119">
        <f t="shared" si="92"/>
        <v>3.16564060572114E-2</v>
      </c>
      <c r="DI119">
        <f t="shared" si="93"/>
        <v>0.11260861764410826</v>
      </c>
      <c r="DJ119">
        <f t="shared" si="94"/>
        <v>0.85573497629868034</v>
      </c>
      <c r="DK119" s="64">
        <f t="shared" si="95"/>
        <v>-1.3380684624139221</v>
      </c>
      <c r="DL119" s="64">
        <f t="shared" si="96"/>
        <v>0.25465437885713493</v>
      </c>
      <c r="DM119" s="64">
        <f t="shared" si="97"/>
        <v>-1.198320199477295</v>
      </c>
      <c r="DN119" s="64">
        <f t="shared" si="98"/>
        <v>0.39440264179376205</v>
      </c>
      <c r="DO119" t="str">
        <f t="shared" si="99"/>
        <v>Sufficient Capacity</v>
      </c>
      <c r="DP119" t="str">
        <f t="shared" si="100"/>
        <v>Insufficient Capacity</v>
      </c>
    </row>
    <row r="120" spans="1:120" ht="15.75" x14ac:dyDescent="0.25">
      <c r="A120" s="29" t="s">
        <v>173</v>
      </c>
      <c r="B120" s="29" t="s">
        <v>173</v>
      </c>
      <c r="C120" s="29" t="s">
        <v>935</v>
      </c>
      <c r="D120" s="29" t="s">
        <v>562</v>
      </c>
      <c r="E120" s="29" t="s">
        <v>562</v>
      </c>
      <c r="F120" s="29">
        <v>119</v>
      </c>
      <c r="G120" s="29" t="s">
        <v>934</v>
      </c>
      <c r="H120" s="30" t="s">
        <v>656</v>
      </c>
      <c r="I120" s="29">
        <v>150</v>
      </c>
      <c r="J120" s="29">
        <v>65</v>
      </c>
      <c r="K120" s="29">
        <v>5</v>
      </c>
      <c r="L120" s="32" t="s">
        <v>348</v>
      </c>
      <c r="M120" s="29" t="s">
        <v>1118</v>
      </c>
      <c r="N120" s="29" t="s">
        <v>688</v>
      </c>
      <c r="O120" s="29" t="s">
        <v>687</v>
      </c>
      <c r="P120" s="29" t="s">
        <v>1118</v>
      </c>
      <c r="Q120" s="29" t="s">
        <v>443</v>
      </c>
      <c r="R120" s="2" t="str">
        <f t="shared" si="50"/>
        <v>CW_0_Section_0</v>
      </c>
      <c r="S120" s="2" t="str">
        <f t="shared" si="51"/>
        <v>CW_0_INF</v>
      </c>
      <c r="T120" s="31" t="s">
        <v>937</v>
      </c>
      <c r="U120" s="33">
        <v>45825</v>
      </c>
      <c r="V120" s="29" t="s">
        <v>692</v>
      </c>
      <c r="W120" s="29" t="s">
        <v>1118</v>
      </c>
      <c r="X120" s="29" t="s">
        <v>936</v>
      </c>
      <c r="Y120" s="2" t="str">
        <f t="shared" si="52"/>
        <v>T5_INF</v>
      </c>
      <c r="Z120" s="32" t="s">
        <v>27</v>
      </c>
      <c r="AA120" s="32">
        <v>18</v>
      </c>
      <c r="AB120" s="32">
        <v>88</v>
      </c>
      <c r="AC120" s="32">
        <v>650</v>
      </c>
      <c r="AD120" s="32">
        <f t="shared" si="53"/>
        <v>0.24964793240302136</v>
      </c>
      <c r="AE120" s="32">
        <v>180</v>
      </c>
      <c r="AF120" s="32">
        <f t="shared" si="54"/>
        <v>7.0327762101150423E-2</v>
      </c>
      <c r="AG120" s="32">
        <v>800</v>
      </c>
      <c r="AH120" s="32">
        <f t="shared" si="55"/>
        <v>0.31647358010737497</v>
      </c>
      <c r="AI120" s="32">
        <v>270</v>
      </c>
      <c r="AJ120" s="32">
        <f t="shared" si="56"/>
        <v>0.10680983328623904</v>
      </c>
      <c r="AK120" s="32">
        <v>450</v>
      </c>
      <c r="AL120" s="32">
        <f t="shared" si="57"/>
        <v>0.17801638881039844</v>
      </c>
      <c r="AM120" s="32">
        <v>720</v>
      </c>
      <c r="AN120" s="32"/>
      <c r="AO120" s="49">
        <v>2350</v>
      </c>
      <c r="AP120" s="49">
        <f t="shared" si="58"/>
        <v>0.63644927461154677</v>
      </c>
      <c r="AQ120" s="32">
        <v>5700</v>
      </c>
      <c r="AR120" s="32">
        <f t="shared" si="59"/>
        <v>2.1346648981821019</v>
      </c>
      <c r="AS120" s="48">
        <v>7600</v>
      </c>
      <c r="AT120" s="27">
        <f t="shared" si="60"/>
        <v>2.8462198642428027</v>
      </c>
      <c r="AU120" s="48">
        <v>1500</v>
      </c>
      <c r="AV120" s="27">
        <f t="shared" si="61"/>
        <v>0.55194165188251532</v>
      </c>
      <c r="AW120" s="48">
        <v>1700</v>
      </c>
      <c r="AX120" s="27">
        <f t="shared" si="62"/>
        <v>0.63938784774009472</v>
      </c>
      <c r="AY120" s="48">
        <v>1800</v>
      </c>
      <c r="AZ120" s="27">
        <f t="shared" si="63"/>
        <v>0.67139935025869324</v>
      </c>
      <c r="BA120" s="48">
        <v>4000</v>
      </c>
      <c r="BB120" s="27">
        <f t="shared" si="64"/>
        <v>1.4812321158054198</v>
      </c>
      <c r="BC120" s="48">
        <v>1200</v>
      </c>
      <c r="BD120" s="27">
        <f t="shared" si="65"/>
        <v>0.444369634741626</v>
      </c>
      <c r="BE120" s="48">
        <v>1300</v>
      </c>
      <c r="BF120" s="27">
        <f t="shared" si="66"/>
        <v>0.47564894932014834</v>
      </c>
      <c r="BG120" s="48">
        <v>1700</v>
      </c>
      <c r="BH120" s="27">
        <f t="shared" si="67"/>
        <v>0.62200247218788629</v>
      </c>
      <c r="BI120" s="52">
        <f t="shared" si="68"/>
        <v>20800</v>
      </c>
      <c r="BJ120" s="52">
        <f t="shared" si="69"/>
        <v>13200</v>
      </c>
      <c r="BK120" s="27">
        <f t="shared" si="70"/>
        <v>7.7322018861791868</v>
      </c>
      <c r="BL120" s="27">
        <f t="shared" si="71"/>
        <v>4.8859820219363836</v>
      </c>
      <c r="BM120" s="32">
        <v>9100</v>
      </c>
      <c r="BN120" s="32">
        <v>5600</v>
      </c>
      <c r="BO120" s="32" t="s">
        <v>19</v>
      </c>
      <c r="BP120" s="32">
        <v>15000</v>
      </c>
      <c r="BQ120" s="32">
        <v>68</v>
      </c>
      <c r="BR120" s="32" t="s">
        <v>443</v>
      </c>
      <c r="BS120" s="32">
        <v>0.78</v>
      </c>
      <c r="BT120" s="32" t="s">
        <v>443</v>
      </c>
      <c r="BU120" s="32" t="s">
        <v>443</v>
      </c>
      <c r="BV120" s="32" t="s">
        <v>443</v>
      </c>
      <c r="BW120" s="32" t="s">
        <v>443</v>
      </c>
      <c r="BX120" s="32" t="s">
        <v>443</v>
      </c>
      <c r="BY120" s="32" t="s">
        <v>443</v>
      </c>
      <c r="BZ120" s="32">
        <v>0.01</v>
      </c>
      <c r="CA120" s="32">
        <v>20</v>
      </c>
      <c r="CB120" s="32">
        <f t="shared" si="72"/>
        <v>0.35810205908683973</v>
      </c>
      <c r="CC120" s="32">
        <f t="shared" si="73"/>
        <v>0.35810205908683973</v>
      </c>
      <c r="CD120" s="32">
        <v>1.7</v>
      </c>
      <c r="CE120" s="32">
        <f t="shared" si="74"/>
        <v>3.0948479883488075E-2</v>
      </c>
      <c r="CF120" s="32">
        <f t="shared" si="75"/>
        <v>6.1896959766976151E-2</v>
      </c>
      <c r="CG120" s="32">
        <v>79</v>
      </c>
      <c r="CH120" s="32">
        <f t="shared" si="76"/>
        <v>0.82240266500104098</v>
      </c>
      <c r="CI120" s="32">
        <f t="shared" si="77"/>
        <v>6.5792213200083278</v>
      </c>
      <c r="CJ120" s="58">
        <v>0</v>
      </c>
      <c r="CK120" s="58">
        <v>0</v>
      </c>
      <c r="CL120" s="58">
        <v>0</v>
      </c>
      <c r="CM120" s="58">
        <v>0</v>
      </c>
      <c r="CN120" s="28">
        <v>0</v>
      </c>
      <c r="CO120" s="28">
        <v>0</v>
      </c>
      <c r="CP120" s="28">
        <v>0</v>
      </c>
      <c r="CQ120" s="28">
        <v>0</v>
      </c>
      <c r="CR120" s="32">
        <f t="shared" si="78"/>
        <v>0</v>
      </c>
      <c r="CS120" s="32">
        <v>0</v>
      </c>
      <c r="CT120" s="32">
        <f t="shared" si="79"/>
        <v>20</v>
      </c>
      <c r="CU120" s="32">
        <f t="shared" si="80"/>
        <v>0.35810205908683973</v>
      </c>
      <c r="CV120" s="32">
        <f t="shared" si="81"/>
        <v>0.35810205908683973</v>
      </c>
      <c r="CW120" s="60">
        <f t="shared" si="82"/>
        <v>0</v>
      </c>
      <c r="CX120" s="60">
        <v>0</v>
      </c>
      <c r="CY120" s="60">
        <f t="shared" si="83"/>
        <v>20</v>
      </c>
      <c r="CZ120" s="60">
        <f t="shared" si="84"/>
        <v>0.35810205908683973</v>
      </c>
      <c r="DA120" s="60">
        <f t="shared" si="85"/>
        <v>0.35810205908683973</v>
      </c>
      <c r="DB120" s="32">
        <f t="shared" si="86"/>
        <v>6.5792213200083278</v>
      </c>
      <c r="DC120">
        <f t="shared" si="87"/>
        <v>0.41999901885381585</v>
      </c>
      <c r="DD120">
        <f t="shared" si="88"/>
        <v>0.14737405800588288</v>
      </c>
      <c r="DE120">
        <f t="shared" si="89"/>
        <v>0.85262594199411723</v>
      </c>
      <c r="DF120">
        <f t="shared" si="90"/>
        <v>0</v>
      </c>
      <c r="DG120">
        <f t="shared" si="91"/>
        <v>0.41999901885381585</v>
      </c>
      <c r="DH120">
        <f t="shared" si="92"/>
        <v>0.14737405800588288</v>
      </c>
      <c r="DI120">
        <f t="shared" si="93"/>
        <v>0.85262594199411723</v>
      </c>
      <c r="DJ120">
        <f t="shared" si="94"/>
        <v>0</v>
      </c>
      <c r="DK120" s="64">
        <f t="shared" si="95"/>
        <v>2.3511151539398325</v>
      </c>
      <c r="DL120" s="64">
        <f t="shared" si="96"/>
        <v>2.3511151539398325</v>
      </c>
      <c r="DM120" s="64">
        <f t="shared" si="97"/>
        <v>7.2370971758762161</v>
      </c>
      <c r="DN120" s="64">
        <f t="shared" si="98"/>
        <v>7.2370971758762161</v>
      </c>
      <c r="DO120" t="str">
        <f t="shared" si="99"/>
        <v>Insufficient Capacity</v>
      </c>
      <c r="DP120" t="str">
        <f t="shared" si="100"/>
        <v>Insufficient Capacity</v>
      </c>
    </row>
    <row r="121" spans="1:120" ht="15.75" x14ac:dyDescent="0.25">
      <c r="A121" s="7" t="s">
        <v>174</v>
      </c>
      <c r="B121" s="7" t="s">
        <v>174</v>
      </c>
      <c r="C121" s="2" t="s">
        <v>939</v>
      </c>
      <c r="D121" s="2" t="s">
        <v>563</v>
      </c>
      <c r="E121" s="2" t="s">
        <v>563</v>
      </c>
      <c r="F121" s="2">
        <v>120</v>
      </c>
      <c r="G121" s="2" t="s">
        <v>938</v>
      </c>
      <c r="H121" s="10" t="s">
        <v>656</v>
      </c>
      <c r="I121" s="2">
        <v>150</v>
      </c>
      <c r="J121" s="2">
        <v>65</v>
      </c>
      <c r="K121" s="2">
        <v>5.65</v>
      </c>
      <c r="L121" t="s">
        <v>355</v>
      </c>
      <c r="M121" s="2" t="s">
        <v>1119</v>
      </c>
      <c r="N121" s="2" t="s">
        <v>435</v>
      </c>
      <c r="O121" s="2" t="s">
        <v>694</v>
      </c>
      <c r="P121" s="2" t="s">
        <v>1119</v>
      </c>
      <c r="Q121" s="2" t="s">
        <v>443</v>
      </c>
      <c r="R121" s="2" t="str">
        <f t="shared" si="50"/>
        <v>CW_1_Section_5</v>
      </c>
      <c r="S121" s="2" t="str">
        <f t="shared" si="51"/>
        <v>CW_1_EFF</v>
      </c>
      <c r="T121" s="11" t="s">
        <v>937</v>
      </c>
      <c r="U121" s="1">
        <v>45826</v>
      </c>
      <c r="V121" s="2" t="s">
        <v>692</v>
      </c>
      <c r="W121" s="2" t="s">
        <v>1119</v>
      </c>
      <c r="X121" s="2" t="s">
        <v>936</v>
      </c>
      <c r="Y121" s="2" t="str">
        <f t="shared" si="52"/>
        <v>T5_EFF</v>
      </c>
      <c r="Z121" t="s">
        <v>18</v>
      </c>
      <c r="AA121">
        <v>11</v>
      </c>
      <c r="AB121">
        <v>11</v>
      </c>
      <c r="AC121">
        <v>45</v>
      </c>
      <c r="AD121" s="32">
        <f t="shared" si="53"/>
        <v>1.728331839713225E-2</v>
      </c>
      <c r="AE121">
        <v>0.1</v>
      </c>
      <c r="AF121" s="32">
        <f t="shared" si="54"/>
        <v>3.9070978945083576E-5</v>
      </c>
      <c r="AG121">
        <v>38</v>
      </c>
      <c r="AH121" s="32">
        <f t="shared" si="55"/>
        <v>1.5032495055100311E-2</v>
      </c>
      <c r="AI121">
        <v>5.8</v>
      </c>
      <c r="AJ121" s="32">
        <f t="shared" si="56"/>
        <v>2.2944334557784686E-3</v>
      </c>
      <c r="AK121">
        <v>3.1</v>
      </c>
      <c r="AL121" s="32">
        <f t="shared" si="57"/>
        <v>1.226335122916078E-3</v>
      </c>
      <c r="AM121">
        <v>8.9</v>
      </c>
      <c r="AO121" s="49">
        <v>92.6</v>
      </c>
      <c r="AP121" s="49">
        <f t="shared" si="58"/>
        <v>3.2354884431177643E-2</v>
      </c>
      <c r="AQ121">
        <v>180</v>
      </c>
      <c r="AR121" s="32">
        <f t="shared" si="59"/>
        <v>6.7410470468908482E-2</v>
      </c>
      <c r="AS121" s="48">
        <v>2E-3</v>
      </c>
      <c r="AT121" s="27">
        <f t="shared" si="60"/>
        <v>7.4900522743231646E-7</v>
      </c>
      <c r="AU121" s="48">
        <v>0.01</v>
      </c>
      <c r="AV121" s="27">
        <f t="shared" si="61"/>
        <v>3.6796110125501018E-6</v>
      </c>
      <c r="AW121" s="48">
        <v>0.01</v>
      </c>
      <c r="AX121" s="27">
        <f t="shared" si="62"/>
        <v>3.7611049867064394E-6</v>
      </c>
      <c r="AY121" s="48">
        <v>5.0000000000000001E-3</v>
      </c>
      <c r="AZ121" s="27">
        <f t="shared" si="63"/>
        <v>1.8649981951630372E-6</v>
      </c>
      <c r="BA121" s="48">
        <v>1E-3</v>
      </c>
      <c r="BB121" s="27">
        <f t="shared" si="64"/>
        <v>3.7030802895135499E-7</v>
      </c>
      <c r="BC121" s="48">
        <v>1E-3</v>
      </c>
      <c r="BD121" s="27">
        <f t="shared" si="65"/>
        <v>3.7030802895135499E-7</v>
      </c>
      <c r="BE121" s="48">
        <v>1E-3</v>
      </c>
      <c r="BF121" s="27">
        <f t="shared" si="66"/>
        <v>3.6588380716934485E-7</v>
      </c>
      <c r="BG121" s="48">
        <v>2E-3</v>
      </c>
      <c r="BH121" s="27">
        <f t="shared" si="67"/>
        <v>7.3176761433868969E-7</v>
      </c>
      <c r="BI121" s="52">
        <f t="shared" si="68"/>
        <v>3.2000000000000001E-2</v>
      </c>
      <c r="BJ121" s="52">
        <f t="shared" si="69"/>
        <v>3.0000000000000006E-2</v>
      </c>
      <c r="BK121" s="27">
        <f t="shared" si="70"/>
        <v>1.1892986901262639E-5</v>
      </c>
      <c r="BL121" s="27">
        <f t="shared" si="71"/>
        <v>1.1143981673830322E-5</v>
      </c>
      <c r="BM121">
        <v>270</v>
      </c>
      <c r="BN121">
        <v>80</v>
      </c>
      <c r="BO121" t="s">
        <v>19</v>
      </c>
      <c r="BP121">
        <v>350</v>
      </c>
      <c r="BQ121">
        <v>46</v>
      </c>
      <c r="BR121" t="s">
        <v>443</v>
      </c>
      <c r="BS121">
        <v>0.28000000000000003</v>
      </c>
      <c r="BT121">
        <v>3.8</v>
      </c>
      <c r="BU121">
        <v>22.8</v>
      </c>
      <c r="BV121">
        <v>-78</v>
      </c>
      <c r="BW121">
        <v>7.09</v>
      </c>
      <c r="BX121">
        <v>705</v>
      </c>
      <c r="BY121">
        <v>1</v>
      </c>
      <c r="BZ121">
        <v>0.01</v>
      </c>
      <c r="CA121" s="32">
        <v>3.1</v>
      </c>
      <c r="CB121" s="32">
        <f t="shared" si="72"/>
        <v>5.550581915846016E-2</v>
      </c>
      <c r="CC121" s="32">
        <f t="shared" si="73"/>
        <v>5.550581915846016E-2</v>
      </c>
      <c r="CD121" s="32">
        <v>1.2</v>
      </c>
      <c r="CE121" s="32">
        <f t="shared" si="74"/>
        <v>2.1845985800109231E-2</v>
      </c>
      <c r="CF121" s="32">
        <f t="shared" si="75"/>
        <v>4.3691971600218461E-2</v>
      </c>
      <c r="CG121" s="27">
        <v>12</v>
      </c>
      <c r="CH121" s="27">
        <f t="shared" si="76"/>
        <v>0.12492192379762648</v>
      </c>
      <c r="CI121" s="27">
        <f t="shared" si="77"/>
        <v>0.99937539038101186</v>
      </c>
      <c r="CJ121" s="58">
        <v>67</v>
      </c>
      <c r="CK121" s="58">
        <v>84.810126582278471</v>
      </c>
      <c r="CL121" s="58">
        <v>5.5798459296273162</v>
      </c>
      <c r="CM121" s="58">
        <v>5.5798459296273162</v>
      </c>
      <c r="CN121" s="28">
        <v>36</v>
      </c>
      <c r="CO121" s="28">
        <v>75</v>
      </c>
      <c r="CP121" s="28">
        <v>2.9981261711430354</v>
      </c>
      <c r="CQ121" s="28">
        <v>2.9981261711430354</v>
      </c>
      <c r="CR121" s="32">
        <f t="shared" si="78"/>
        <v>38.947324588798665</v>
      </c>
      <c r="CS121" s="32">
        <v>38.947324588798665</v>
      </c>
      <c r="CT121" s="32">
        <f t="shared" si="79"/>
        <v>42.047324588798666</v>
      </c>
      <c r="CU121" s="32">
        <f t="shared" si="80"/>
        <v>0.75286167571707552</v>
      </c>
      <c r="CV121" s="32">
        <f t="shared" si="81"/>
        <v>0.75286167571707552</v>
      </c>
      <c r="CW121" s="60">
        <f t="shared" si="82"/>
        <v>20.926920674578387</v>
      </c>
      <c r="CX121" s="60">
        <v>20.926920674578387</v>
      </c>
      <c r="CY121" s="60">
        <f t="shared" si="83"/>
        <v>24.026920674578388</v>
      </c>
      <c r="CZ121" s="60">
        <f t="shared" si="84"/>
        <v>0.43020448835413405</v>
      </c>
      <c r="DA121" s="60">
        <f t="shared" si="85"/>
        <v>0.43020448835413405</v>
      </c>
      <c r="DB121" s="32">
        <f t="shared" si="86"/>
        <v>0.99937539038101186</v>
      </c>
      <c r="DC121">
        <f t="shared" si="87"/>
        <v>6.3763995769446105</v>
      </c>
      <c r="DD121">
        <f t="shared" si="88"/>
        <v>6.8521382753673685E-3</v>
      </c>
      <c r="DE121">
        <f t="shared" si="89"/>
        <v>0.11807002786325155</v>
      </c>
      <c r="DF121">
        <f t="shared" si="90"/>
        <v>0.87507783386138105</v>
      </c>
      <c r="DG121">
        <f t="shared" si="91"/>
        <v>3.4720226310973881</v>
      </c>
      <c r="DH121">
        <f t="shared" si="92"/>
        <v>1.2584011178063351E-2</v>
      </c>
      <c r="DI121">
        <f t="shared" si="93"/>
        <v>0.12390601504177438</v>
      </c>
      <c r="DJ121">
        <f t="shared" si="94"/>
        <v>0.86350997378016225</v>
      </c>
      <c r="DK121" s="64">
        <f t="shared" si="95"/>
        <v>-6.2766342220445246</v>
      </c>
      <c r="DL121" s="64">
        <f t="shared" si="96"/>
        <v>-3.3722572761973018</v>
      </c>
      <c r="DM121" s="64">
        <f t="shared" si="97"/>
        <v>-6.2766230780628502</v>
      </c>
      <c r="DN121" s="64">
        <f t="shared" si="98"/>
        <v>-3.3722461322156283</v>
      </c>
      <c r="DO121" t="str">
        <f t="shared" si="99"/>
        <v>Sufficient Capacity</v>
      </c>
      <c r="DP121" t="str">
        <f t="shared" si="100"/>
        <v>Sufficient Capacity</v>
      </c>
    </row>
    <row r="122" spans="1:120" ht="15.75" x14ac:dyDescent="0.25">
      <c r="A122" s="7" t="s">
        <v>175</v>
      </c>
      <c r="B122" s="7" t="s">
        <v>175</v>
      </c>
      <c r="C122" s="2" t="s">
        <v>941</v>
      </c>
      <c r="D122" s="2" t="s">
        <v>564</v>
      </c>
      <c r="E122" s="2" t="s">
        <v>564</v>
      </c>
      <c r="F122" s="2">
        <v>121</v>
      </c>
      <c r="G122" s="2" t="s">
        <v>940</v>
      </c>
      <c r="H122" s="10" t="s">
        <v>656</v>
      </c>
      <c r="I122" s="2">
        <v>150</v>
      </c>
      <c r="J122" s="2">
        <v>65</v>
      </c>
      <c r="K122" s="2">
        <v>6</v>
      </c>
      <c r="L122" t="s">
        <v>356</v>
      </c>
      <c r="M122" s="2" t="s">
        <v>1119</v>
      </c>
      <c r="N122" s="2" t="s">
        <v>436</v>
      </c>
      <c r="O122" s="2" t="s">
        <v>694</v>
      </c>
      <c r="P122" s="2" t="s">
        <v>1119</v>
      </c>
      <c r="Q122" s="2" t="s">
        <v>443</v>
      </c>
      <c r="R122" s="2" t="str">
        <f t="shared" si="50"/>
        <v>CW_2_Section_5</v>
      </c>
      <c r="S122" s="2" t="str">
        <f t="shared" si="51"/>
        <v>CW_2_EFF</v>
      </c>
      <c r="T122" s="11" t="s">
        <v>937</v>
      </c>
      <c r="U122" s="1">
        <v>45826</v>
      </c>
      <c r="V122" s="2" t="s">
        <v>692</v>
      </c>
      <c r="W122" s="2" t="s">
        <v>1119</v>
      </c>
      <c r="X122" s="2" t="s">
        <v>936</v>
      </c>
      <c r="Y122" s="2" t="str">
        <f t="shared" si="52"/>
        <v>T5_EFF</v>
      </c>
      <c r="Z122" t="s">
        <v>39</v>
      </c>
      <c r="AA122">
        <v>8.9</v>
      </c>
      <c r="AB122">
        <v>9.1999999999999993</v>
      </c>
      <c r="AC122">
        <v>29</v>
      </c>
      <c r="AD122" s="32">
        <f t="shared" si="53"/>
        <v>1.1138138522596338E-2</v>
      </c>
      <c r="AE122">
        <v>0.37</v>
      </c>
      <c r="AF122" s="32">
        <f t="shared" si="54"/>
        <v>1.445626220968092E-4</v>
      </c>
      <c r="AG122">
        <v>34</v>
      </c>
      <c r="AH122" s="32">
        <f t="shared" si="55"/>
        <v>1.3450127154563436E-2</v>
      </c>
      <c r="AI122">
        <v>7</v>
      </c>
      <c r="AJ122" s="32">
        <f t="shared" si="56"/>
        <v>2.7691438259395311E-3</v>
      </c>
      <c r="AK122">
        <v>7.8</v>
      </c>
      <c r="AL122" s="32">
        <f t="shared" si="57"/>
        <v>3.0856174060469059E-3</v>
      </c>
      <c r="AM122">
        <v>14.8</v>
      </c>
      <c r="AO122" s="49">
        <v>78.17</v>
      </c>
      <c r="AP122" s="49">
        <f t="shared" si="58"/>
        <v>2.4732828299256583E-2</v>
      </c>
      <c r="AQ122">
        <v>95</v>
      </c>
      <c r="AR122" s="32">
        <f t="shared" si="59"/>
        <v>3.5577748303035034E-2</v>
      </c>
      <c r="AS122" s="48">
        <v>2E-3</v>
      </c>
      <c r="AT122" s="27">
        <f t="shared" si="60"/>
        <v>7.4900522743231646E-7</v>
      </c>
      <c r="AU122" s="48">
        <v>0.01</v>
      </c>
      <c r="AV122" s="27">
        <f t="shared" si="61"/>
        <v>3.6796110125501018E-6</v>
      </c>
      <c r="AW122" s="48">
        <v>0.01</v>
      </c>
      <c r="AX122" s="27">
        <f t="shared" si="62"/>
        <v>3.7611049867064394E-6</v>
      </c>
      <c r="AY122" s="48">
        <v>5.0000000000000001E-3</v>
      </c>
      <c r="AZ122" s="27">
        <f t="shared" si="63"/>
        <v>1.8649981951630372E-6</v>
      </c>
      <c r="BA122" s="48">
        <v>1E-3</v>
      </c>
      <c r="BB122" s="27">
        <f t="shared" si="64"/>
        <v>3.7030802895135499E-7</v>
      </c>
      <c r="BC122" s="48">
        <v>1E-3</v>
      </c>
      <c r="BD122" s="27">
        <f t="shared" si="65"/>
        <v>3.7030802895135499E-7</v>
      </c>
      <c r="BE122" s="48">
        <v>1E-3</v>
      </c>
      <c r="BF122" s="27">
        <f t="shared" si="66"/>
        <v>3.6588380716934485E-7</v>
      </c>
      <c r="BG122" s="48">
        <v>2E-3</v>
      </c>
      <c r="BH122" s="27">
        <f t="shared" si="67"/>
        <v>7.3176761433868969E-7</v>
      </c>
      <c r="BI122" s="52">
        <f t="shared" si="68"/>
        <v>3.2000000000000001E-2</v>
      </c>
      <c r="BJ122" s="52">
        <f t="shared" si="69"/>
        <v>3.0000000000000006E-2</v>
      </c>
      <c r="BK122" s="27">
        <f t="shared" si="70"/>
        <v>1.1892986901262639E-5</v>
      </c>
      <c r="BL122" s="27">
        <f t="shared" si="71"/>
        <v>1.1143981673830322E-5</v>
      </c>
      <c r="BM122">
        <v>290</v>
      </c>
      <c r="BN122">
        <v>210</v>
      </c>
      <c r="BO122" t="s">
        <v>19</v>
      </c>
      <c r="BP122">
        <v>500</v>
      </c>
      <c r="BQ122">
        <v>44</v>
      </c>
      <c r="BR122" t="s">
        <v>443</v>
      </c>
      <c r="BS122">
        <v>0.16</v>
      </c>
      <c r="BT122">
        <v>69</v>
      </c>
      <c r="BU122">
        <v>21.5</v>
      </c>
      <c r="BV122">
        <v>-89</v>
      </c>
      <c r="BW122">
        <v>7.11</v>
      </c>
      <c r="BX122">
        <v>625</v>
      </c>
      <c r="BY122">
        <v>2</v>
      </c>
      <c r="BZ122">
        <v>0.01</v>
      </c>
      <c r="CA122" s="32">
        <v>0.9</v>
      </c>
      <c r="CB122" s="32">
        <f t="shared" si="72"/>
        <v>1.611459265890779E-2</v>
      </c>
      <c r="CC122" s="32">
        <f t="shared" si="73"/>
        <v>1.611459265890779E-2</v>
      </c>
      <c r="CD122" s="32">
        <v>1.1000000000000001</v>
      </c>
      <c r="CE122" s="32">
        <f t="shared" si="74"/>
        <v>2.0025486983433462E-2</v>
      </c>
      <c r="CF122" s="32">
        <f t="shared" si="75"/>
        <v>4.0050973966866923E-2</v>
      </c>
      <c r="CG122" s="27">
        <v>21</v>
      </c>
      <c r="CH122" s="27">
        <f t="shared" si="76"/>
        <v>0.21861336664584635</v>
      </c>
      <c r="CI122" s="27">
        <f t="shared" si="77"/>
        <v>1.7489069331667708</v>
      </c>
      <c r="CJ122" s="58">
        <v>58</v>
      </c>
      <c r="CK122" s="58">
        <v>73.417721518987349</v>
      </c>
      <c r="CL122" s="58">
        <v>4.8303143868415575</v>
      </c>
      <c r="CM122" s="58">
        <v>4.8303143868415575</v>
      </c>
      <c r="CN122" s="28">
        <v>11</v>
      </c>
      <c r="CO122" s="28">
        <v>34.375</v>
      </c>
      <c r="CP122" s="28">
        <v>0.91609410784926082</v>
      </c>
      <c r="CQ122" s="28">
        <v>0.91609410784926082</v>
      </c>
      <c r="CR122" s="32">
        <f t="shared" si="78"/>
        <v>33.715594420154069</v>
      </c>
      <c r="CS122" s="32">
        <v>33.715594420154069</v>
      </c>
      <c r="CT122" s="32">
        <f t="shared" si="79"/>
        <v>34.615594420154068</v>
      </c>
      <c r="CU122" s="32">
        <f t="shared" si="80"/>
        <v>0.61979578191860463</v>
      </c>
      <c r="CV122" s="32">
        <f t="shared" si="81"/>
        <v>0.61979578191860463</v>
      </c>
      <c r="CW122" s="60">
        <f t="shared" si="82"/>
        <v>6.3943368727878402</v>
      </c>
      <c r="CX122" s="60">
        <v>6.3943368727878402</v>
      </c>
      <c r="CY122" s="60">
        <f t="shared" si="83"/>
        <v>7.2943368727878406</v>
      </c>
      <c r="CZ122" s="60">
        <f t="shared" si="84"/>
        <v>0.13060585269091926</v>
      </c>
      <c r="DA122" s="60">
        <f t="shared" si="85"/>
        <v>0.13060585269091926</v>
      </c>
      <c r="DB122" s="32">
        <f t="shared" si="86"/>
        <v>1.7489069331667708</v>
      </c>
      <c r="DC122">
        <f t="shared" si="87"/>
        <v>5.4901611427270289</v>
      </c>
      <c r="DD122">
        <f t="shared" si="88"/>
        <v>7.2950452501605667E-3</v>
      </c>
      <c r="DE122">
        <f t="shared" si="89"/>
        <v>0.11289209292875958</v>
      </c>
      <c r="DF122">
        <f t="shared" si="90"/>
        <v>0.87981286182107987</v>
      </c>
      <c r="DG122">
        <f t="shared" si="91"/>
        <v>1.086750934507047</v>
      </c>
      <c r="DH122">
        <f t="shared" si="92"/>
        <v>3.6853866599189211E-2</v>
      </c>
      <c r="DI122">
        <f t="shared" si="93"/>
        <v>0.12018011537313507</v>
      </c>
      <c r="DJ122">
        <f t="shared" si="94"/>
        <v>0.84296601802767579</v>
      </c>
      <c r="DK122" s="64">
        <f t="shared" si="95"/>
        <v>-5.4298505661247374</v>
      </c>
      <c r="DL122" s="64">
        <f t="shared" si="96"/>
        <v>-1.0264403579047554</v>
      </c>
      <c r="DM122" s="64">
        <f t="shared" si="97"/>
        <v>-5.4298394221430639</v>
      </c>
      <c r="DN122" s="64">
        <f t="shared" si="98"/>
        <v>-1.0264292139230815</v>
      </c>
      <c r="DO122" t="str">
        <f t="shared" si="99"/>
        <v>Sufficient Capacity</v>
      </c>
      <c r="DP122" t="str">
        <f t="shared" si="100"/>
        <v>Sufficient Capacity</v>
      </c>
    </row>
    <row r="123" spans="1:120" ht="15.75" x14ac:dyDescent="0.25">
      <c r="A123" s="7" t="s">
        <v>176</v>
      </c>
      <c r="B123" s="7" t="s">
        <v>176</v>
      </c>
      <c r="C123" s="2" t="s">
        <v>943</v>
      </c>
      <c r="D123" s="2" t="s">
        <v>565</v>
      </c>
      <c r="E123" s="2" t="s">
        <v>565</v>
      </c>
      <c r="F123" s="2">
        <v>122</v>
      </c>
      <c r="G123" s="2" t="s">
        <v>942</v>
      </c>
      <c r="H123" s="10" t="s">
        <v>656</v>
      </c>
      <c r="I123" s="2">
        <v>150</v>
      </c>
      <c r="J123" s="2">
        <v>65</v>
      </c>
      <c r="K123" s="2">
        <v>4.5</v>
      </c>
      <c r="L123" t="s">
        <v>363</v>
      </c>
      <c r="M123" s="2" t="s">
        <v>1119</v>
      </c>
      <c r="N123" s="2" t="s">
        <v>437</v>
      </c>
      <c r="O123" s="2" t="s">
        <v>694</v>
      </c>
      <c r="P123" s="2" t="s">
        <v>1119</v>
      </c>
      <c r="Q123" s="2" t="s">
        <v>443</v>
      </c>
      <c r="R123" s="2" t="str">
        <f t="shared" si="50"/>
        <v>CW_3_Section_5</v>
      </c>
      <c r="S123" s="2" t="str">
        <f t="shared" si="51"/>
        <v>CW_3_EFF</v>
      </c>
      <c r="T123" s="11" t="s">
        <v>937</v>
      </c>
      <c r="U123" s="1">
        <v>45827</v>
      </c>
      <c r="V123" s="2" t="s">
        <v>692</v>
      </c>
      <c r="W123" s="2" t="s">
        <v>1119</v>
      </c>
      <c r="X123" s="2" t="s">
        <v>936</v>
      </c>
      <c r="Y123" s="2" t="str">
        <f t="shared" si="52"/>
        <v>T5_EFF</v>
      </c>
      <c r="Z123" t="s">
        <v>49</v>
      </c>
      <c r="AA123">
        <v>10</v>
      </c>
      <c r="AB123">
        <v>11</v>
      </c>
      <c r="AC123">
        <v>700</v>
      </c>
      <c r="AD123" s="32">
        <f t="shared" si="53"/>
        <v>0.2688516195109461</v>
      </c>
      <c r="AE123">
        <v>8</v>
      </c>
      <c r="AF123" s="32">
        <f t="shared" si="54"/>
        <v>3.1256783156066855E-3</v>
      </c>
      <c r="AG123">
        <v>640</v>
      </c>
      <c r="AH123" s="32">
        <f t="shared" si="55"/>
        <v>0.25317886408589996</v>
      </c>
      <c r="AI123">
        <v>120</v>
      </c>
      <c r="AJ123" s="32">
        <f t="shared" si="56"/>
        <v>4.7471037016106249E-2</v>
      </c>
      <c r="AK123">
        <v>91</v>
      </c>
      <c r="AL123" s="32">
        <f t="shared" si="57"/>
        <v>3.5998869737213904E-2</v>
      </c>
      <c r="AM123">
        <v>211</v>
      </c>
      <c r="AO123" s="49">
        <v>1559</v>
      </c>
      <c r="AP123" s="49">
        <f t="shared" si="58"/>
        <v>0.52515616191245273</v>
      </c>
      <c r="AQ123">
        <v>1800</v>
      </c>
      <c r="AR123" s="32">
        <f t="shared" si="59"/>
        <v>0.6741047046890849</v>
      </c>
      <c r="AS123" s="48">
        <v>3100</v>
      </c>
      <c r="AT123" s="27">
        <f t="shared" si="60"/>
        <v>1.1609581025200906</v>
      </c>
      <c r="AU123" s="48">
        <v>4</v>
      </c>
      <c r="AV123" s="27">
        <f t="shared" si="61"/>
        <v>1.4718444050200407E-3</v>
      </c>
      <c r="AW123" s="48">
        <v>510</v>
      </c>
      <c r="AX123" s="27">
        <f t="shared" si="62"/>
        <v>0.1918163543220284</v>
      </c>
      <c r="AY123" s="48">
        <v>100</v>
      </c>
      <c r="AZ123" s="27">
        <f t="shared" si="63"/>
        <v>3.7299963903260742E-2</v>
      </c>
      <c r="BA123" s="48">
        <v>66</v>
      </c>
      <c r="BB123" s="27">
        <f t="shared" si="64"/>
        <v>2.444032991078943E-2</v>
      </c>
      <c r="BC123" s="48">
        <v>3.7</v>
      </c>
      <c r="BD123" s="27">
        <f t="shared" si="65"/>
        <v>1.3701397071200136E-3</v>
      </c>
      <c r="BE123" s="48">
        <v>0.24</v>
      </c>
      <c r="BF123" s="27">
        <f t="shared" si="66"/>
        <v>8.7812113720642758E-5</v>
      </c>
      <c r="BG123" s="48">
        <v>0.13</v>
      </c>
      <c r="BH123" s="27">
        <f t="shared" si="67"/>
        <v>4.7564894932014834E-5</v>
      </c>
      <c r="BI123" s="52">
        <f t="shared" si="68"/>
        <v>3784.0699999999997</v>
      </c>
      <c r="BJ123" s="52">
        <f t="shared" si="69"/>
        <v>684.07</v>
      </c>
      <c r="BK123" s="27">
        <f t="shared" si="70"/>
        <v>1.4174921117769619</v>
      </c>
      <c r="BL123" s="27">
        <f t="shared" si="71"/>
        <v>0.25653400925687131</v>
      </c>
      <c r="BM123">
        <v>3000</v>
      </c>
      <c r="BN123">
        <v>1400</v>
      </c>
      <c r="BO123" t="s">
        <v>19</v>
      </c>
      <c r="BP123">
        <v>4400</v>
      </c>
      <c r="BQ123">
        <v>68</v>
      </c>
      <c r="BR123" t="s">
        <v>443</v>
      </c>
      <c r="BS123">
        <v>0.66</v>
      </c>
      <c r="BT123">
        <v>0.42</v>
      </c>
      <c r="BU123">
        <v>21.7</v>
      </c>
      <c r="BV123">
        <v>-63</v>
      </c>
      <c r="BW123">
        <v>7.12</v>
      </c>
      <c r="BX123">
        <v>809</v>
      </c>
      <c r="BY123">
        <v>0.2</v>
      </c>
      <c r="BZ123">
        <v>0.01</v>
      </c>
      <c r="CA123" s="32">
        <v>1.1000000000000001</v>
      </c>
      <c r="CB123" s="32">
        <f t="shared" si="72"/>
        <v>1.9695613249776187E-2</v>
      </c>
      <c r="CC123" s="32">
        <f t="shared" si="73"/>
        <v>1.9695613249776187E-2</v>
      </c>
      <c r="CD123" s="32">
        <v>1.1000000000000001</v>
      </c>
      <c r="CE123" s="32">
        <f t="shared" si="74"/>
        <v>2.0025486983433462E-2</v>
      </c>
      <c r="CF123" s="32">
        <f t="shared" si="75"/>
        <v>4.0050973966866923E-2</v>
      </c>
      <c r="CG123" s="27">
        <v>36</v>
      </c>
      <c r="CH123" s="27">
        <f t="shared" si="76"/>
        <v>0.37476577139287942</v>
      </c>
      <c r="CI123" s="27">
        <f t="shared" si="77"/>
        <v>2.9981261711430354</v>
      </c>
      <c r="CJ123" s="58">
        <v>43</v>
      </c>
      <c r="CK123" s="58">
        <v>54.430379746835442</v>
      </c>
      <c r="CL123" s="58">
        <v>3.5810951488652925</v>
      </c>
      <c r="CM123" s="58">
        <v>3.5810951488652925</v>
      </c>
      <c r="CN123" s="28">
        <v>6</v>
      </c>
      <c r="CO123" s="28">
        <v>14.285714285714285</v>
      </c>
      <c r="CP123" s="28">
        <v>0.49968769519050593</v>
      </c>
      <c r="CQ123" s="28">
        <v>0.49968769519050593</v>
      </c>
      <c r="CR123" s="32">
        <f t="shared" si="78"/>
        <v>24.996044139079739</v>
      </c>
      <c r="CS123" s="32">
        <v>24.996044139079739</v>
      </c>
      <c r="CT123" s="32">
        <f t="shared" si="79"/>
        <v>26.096044139079741</v>
      </c>
      <c r="CU123" s="32">
        <f t="shared" si="80"/>
        <v>0.46725235701127554</v>
      </c>
      <c r="CV123" s="32">
        <f t="shared" si="81"/>
        <v>0.46725235701127554</v>
      </c>
      <c r="CW123" s="60">
        <f t="shared" si="82"/>
        <v>3.4878201124297314</v>
      </c>
      <c r="CX123" s="60">
        <v>3.4878201124297314</v>
      </c>
      <c r="CY123" s="60">
        <f t="shared" si="83"/>
        <v>4.587820112429732</v>
      </c>
      <c r="CZ123" s="60">
        <f t="shared" si="84"/>
        <v>8.214539144905518E-2</v>
      </c>
      <c r="DA123" s="60">
        <f t="shared" si="85"/>
        <v>8.214539144905518E-2</v>
      </c>
      <c r="DB123" s="32">
        <f t="shared" si="86"/>
        <v>2.9981261711430354</v>
      </c>
      <c r="DC123">
        <f t="shared" si="87"/>
        <v>4.088398479843435</v>
      </c>
      <c r="DD123">
        <f t="shared" si="88"/>
        <v>9.7962500877362309E-3</v>
      </c>
      <c r="DE123">
        <f t="shared" si="89"/>
        <v>0.1142873815541505</v>
      </c>
      <c r="DF123">
        <f t="shared" si="90"/>
        <v>0.87591636835811326</v>
      </c>
      <c r="DG123">
        <f t="shared" si="91"/>
        <v>0.62188406060642798</v>
      </c>
      <c r="DH123">
        <f t="shared" si="92"/>
        <v>6.4402637893325912E-2</v>
      </c>
      <c r="DI123">
        <f t="shared" si="93"/>
        <v>0.13209116723292666</v>
      </c>
      <c r="DJ123">
        <f t="shared" si="94"/>
        <v>0.80350619487374753</v>
      </c>
      <c r="DK123" s="64">
        <f t="shared" si="95"/>
        <v>-2.8891376132418971</v>
      </c>
      <c r="DL123" s="64">
        <f t="shared" si="96"/>
        <v>0.57737680599510965</v>
      </c>
      <c r="DM123" s="64">
        <f t="shared" si="97"/>
        <v>-2.632603603985026</v>
      </c>
      <c r="DN123" s="64">
        <f t="shared" si="98"/>
        <v>0.83391081525198096</v>
      </c>
      <c r="DO123" t="str">
        <f t="shared" si="99"/>
        <v>Sufficient Capacity</v>
      </c>
      <c r="DP123" t="str">
        <f t="shared" si="100"/>
        <v>Insufficient Capacity</v>
      </c>
    </row>
    <row r="124" spans="1:120" ht="15.75" x14ac:dyDescent="0.25">
      <c r="A124" s="7" t="s">
        <v>177</v>
      </c>
      <c r="B124" s="7" t="s">
        <v>177</v>
      </c>
      <c r="C124" s="2" t="s">
        <v>945</v>
      </c>
      <c r="D124" s="2" t="s">
        <v>566</v>
      </c>
      <c r="E124" s="2" t="s">
        <v>566</v>
      </c>
      <c r="F124" s="2">
        <v>123</v>
      </c>
      <c r="G124" s="2" t="s">
        <v>944</v>
      </c>
      <c r="H124" s="10" t="s">
        <v>656</v>
      </c>
      <c r="I124" s="2">
        <v>150</v>
      </c>
      <c r="J124" s="2">
        <v>65</v>
      </c>
      <c r="K124" s="2">
        <v>10.95</v>
      </c>
      <c r="L124" t="s">
        <v>349</v>
      </c>
      <c r="M124" s="2" t="s">
        <v>1120</v>
      </c>
      <c r="N124" s="2" t="s">
        <v>435</v>
      </c>
      <c r="O124" s="2" t="s">
        <v>653</v>
      </c>
      <c r="P124" s="2" t="s">
        <v>1123</v>
      </c>
      <c r="Q124" s="9" t="s">
        <v>654</v>
      </c>
      <c r="R124" s="2" t="str">
        <f t="shared" si="50"/>
        <v>CW_1_Section_1</v>
      </c>
      <c r="S124" s="2" t="str">
        <f t="shared" si="51"/>
        <v>CW_1_MF01</v>
      </c>
      <c r="T124" s="11" t="s">
        <v>937</v>
      </c>
      <c r="U124" s="1">
        <v>45825</v>
      </c>
      <c r="V124" s="2" t="s">
        <v>692</v>
      </c>
      <c r="W124" s="2" t="s">
        <v>655</v>
      </c>
      <c r="X124" s="2" t="s">
        <v>936</v>
      </c>
      <c r="Y124" s="2" t="str">
        <f t="shared" si="52"/>
        <v>T5_0.15-0.30</v>
      </c>
      <c r="Z124" t="s">
        <v>29</v>
      </c>
      <c r="AA124">
        <v>12</v>
      </c>
      <c r="AB124">
        <v>12</v>
      </c>
      <c r="AC124">
        <v>500</v>
      </c>
      <c r="AD124" s="32">
        <f t="shared" si="53"/>
        <v>0.19203687107924722</v>
      </c>
      <c r="AE124">
        <v>1</v>
      </c>
      <c r="AF124" s="32">
        <f t="shared" si="54"/>
        <v>3.9070978945083569E-4</v>
      </c>
      <c r="AG124">
        <v>310</v>
      </c>
      <c r="AH124" s="32">
        <f t="shared" si="55"/>
        <v>0.12263351229160781</v>
      </c>
      <c r="AI124">
        <v>75</v>
      </c>
      <c r="AJ124" s="32">
        <f t="shared" si="56"/>
        <v>2.9669398135066402E-2</v>
      </c>
      <c r="AK124">
        <v>50</v>
      </c>
      <c r="AL124" s="32">
        <f t="shared" si="57"/>
        <v>1.9779598756710936E-2</v>
      </c>
      <c r="AM124">
        <v>125</v>
      </c>
      <c r="AO124" s="49">
        <v>942</v>
      </c>
      <c r="AP124" s="49">
        <f t="shared" si="58"/>
        <v>0.31506109316030584</v>
      </c>
      <c r="AQ124">
        <v>2300</v>
      </c>
      <c r="AR124" s="32">
        <f t="shared" si="59"/>
        <v>0.8613560115471639</v>
      </c>
      <c r="AS124" s="48">
        <v>2200</v>
      </c>
      <c r="AT124" s="27">
        <f t="shared" si="60"/>
        <v>0.82390575017554801</v>
      </c>
      <c r="AU124" s="48">
        <v>2</v>
      </c>
      <c r="AV124" s="27">
        <f t="shared" si="61"/>
        <v>7.3592220251002033E-4</v>
      </c>
      <c r="AW124" s="48">
        <v>2</v>
      </c>
      <c r="AX124" s="27">
        <f t="shared" si="62"/>
        <v>7.5222099734128785E-4</v>
      </c>
      <c r="AY124" s="48">
        <v>0.18</v>
      </c>
      <c r="AZ124" s="27">
        <f t="shared" si="63"/>
        <v>6.7139935025869335E-5</v>
      </c>
      <c r="BA124" s="48">
        <v>0.16</v>
      </c>
      <c r="BB124" s="27">
        <f t="shared" si="64"/>
        <v>5.9249284632216798E-5</v>
      </c>
      <c r="BC124" s="48">
        <v>0.03</v>
      </c>
      <c r="BD124" s="27">
        <f t="shared" si="65"/>
        <v>1.110924086854065E-5</v>
      </c>
      <c r="BE124" s="48">
        <v>0.02</v>
      </c>
      <c r="BF124" s="27">
        <f t="shared" si="66"/>
        <v>7.3176761433868973E-6</v>
      </c>
      <c r="BG124" s="48">
        <v>2E-3</v>
      </c>
      <c r="BH124" s="27">
        <f t="shared" si="67"/>
        <v>7.3176761433868969E-7</v>
      </c>
      <c r="BI124" s="52">
        <f t="shared" si="68"/>
        <v>2204.3919999999998</v>
      </c>
      <c r="BJ124" s="52">
        <f t="shared" si="69"/>
        <v>4.3919999999999995</v>
      </c>
      <c r="BK124" s="27">
        <f t="shared" si="70"/>
        <v>0.82553944127968371</v>
      </c>
      <c r="BL124" s="27">
        <f t="shared" si="71"/>
        <v>1.6336911041356606E-3</v>
      </c>
      <c r="BM124">
        <v>3100</v>
      </c>
      <c r="BN124">
        <v>230</v>
      </c>
      <c r="BO124" t="s">
        <v>19</v>
      </c>
      <c r="BP124">
        <v>3400</v>
      </c>
      <c r="BQ124">
        <v>70</v>
      </c>
      <c r="BR124" t="s">
        <v>443</v>
      </c>
      <c r="BS124">
        <v>0.49</v>
      </c>
      <c r="BT124">
        <v>3.5</v>
      </c>
      <c r="BU124">
        <v>22.1</v>
      </c>
      <c r="BV124">
        <v>-77</v>
      </c>
      <c r="BW124">
        <v>7.08</v>
      </c>
      <c r="BX124">
        <v>809</v>
      </c>
      <c r="BY124">
        <v>0.2</v>
      </c>
      <c r="BZ124">
        <v>0.01</v>
      </c>
      <c r="CA124" s="32">
        <v>5</v>
      </c>
      <c r="CB124" s="32">
        <f t="shared" si="72"/>
        <v>8.9525514771709933E-2</v>
      </c>
      <c r="CC124" s="32">
        <f t="shared" si="73"/>
        <v>8.9525514771709933E-2</v>
      </c>
      <c r="CD124" s="32">
        <v>1.8</v>
      </c>
      <c r="CE124" s="32">
        <f t="shared" si="74"/>
        <v>3.2768978700163848E-2</v>
      </c>
      <c r="CF124" s="32">
        <f t="shared" si="75"/>
        <v>6.5537957400327695E-2</v>
      </c>
      <c r="CG124" s="27">
        <v>21</v>
      </c>
      <c r="CH124" s="27">
        <f t="shared" si="76"/>
        <v>0.21861336664584635</v>
      </c>
      <c r="CI124" s="27">
        <f t="shared" si="77"/>
        <v>1.7489069331667708</v>
      </c>
      <c r="CJ124" s="58">
        <v>58</v>
      </c>
      <c r="CK124" s="58">
        <v>73.417721518987349</v>
      </c>
      <c r="CL124" s="58">
        <v>4.8303143868415575</v>
      </c>
      <c r="CM124" s="58">
        <v>4.8303143868415575</v>
      </c>
      <c r="CN124" s="28">
        <v>58</v>
      </c>
      <c r="CO124" s="28">
        <v>73.417721518987349</v>
      </c>
      <c r="CP124" s="28">
        <v>4.8303143868415575</v>
      </c>
      <c r="CQ124" s="28">
        <v>4.8303143868415575</v>
      </c>
      <c r="CR124" s="32">
        <f t="shared" si="78"/>
        <v>33.715594420154069</v>
      </c>
      <c r="CS124" s="32">
        <v>33.715594420154069</v>
      </c>
      <c r="CT124" s="32">
        <f t="shared" si="79"/>
        <v>38.715594420154069</v>
      </c>
      <c r="CU124" s="32">
        <f t="shared" si="80"/>
        <v>0.69320670403140672</v>
      </c>
      <c r="CV124" s="32">
        <f t="shared" si="81"/>
        <v>0.69320670403140672</v>
      </c>
      <c r="CW124" s="60">
        <f t="shared" si="82"/>
        <v>33.715594420154069</v>
      </c>
      <c r="CX124" s="60">
        <v>33.715594420154069</v>
      </c>
      <c r="CY124" s="60">
        <f t="shared" si="83"/>
        <v>38.715594420154069</v>
      </c>
      <c r="CZ124" s="60">
        <f t="shared" si="84"/>
        <v>0.69320670403140672</v>
      </c>
      <c r="DA124" s="60">
        <f t="shared" si="85"/>
        <v>0.69320670403140672</v>
      </c>
      <c r="DB124" s="32">
        <f t="shared" si="86"/>
        <v>1.7489069331667708</v>
      </c>
      <c r="DC124">
        <f t="shared" si="87"/>
        <v>5.5890590482732918</v>
      </c>
      <c r="DD124">
        <f t="shared" si="88"/>
        <v>1.1726116477616259E-2</v>
      </c>
      <c r="DE124">
        <f t="shared" si="89"/>
        <v>0.12402923247797301</v>
      </c>
      <c r="DF124">
        <f t="shared" si="90"/>
        <v>0.86424465104441073</v>
      </c>
      <c r="DG124">
        <f t="shared" si="91"/>
        <v>5.5890590482732918</v>
      </c>
      <c r="DH124">
        <f t="shared" si="92"/>
        <v>1.1726116477616259E-2</v>
      </c>
      <c r="DI124">
        <f t="shared" si="93"/>
        <v>0.12402923247797301</v>
      </c>
      <c r="DJ124">
        <f t="shared" si="94"/>
        <v>0.86424465104441073</v>
      </c>
      <c r="DK124" s="64">
        <f t="shared" si="95"/>
        <v>-4.4126419435658217</v>
      </c>
      <c r="DL124" s="64">
        <f t="shared" si="96"/>
        <v>-4.4126419435658217</v>
      </c>
      <c r="DM124" s="64">
        <f t="shared" si="97"/>
        <v>-4.411008252461686</v>
      </c>
      <c r="DN124" s="64">
        <f t="shared" si="98"/>
        <v>-4.411008252461686</v>
      </c>
      <c r="DO124" t="str">
        <f t="shared" si="99"/>
        <v>Sufficient Capacity</v>
      </c>
      <c r="DP124" t="str">
        <f t="shared" si="100"/>
        <v>Sufficient Capacity</v>
      </c>
    </row>
    <row r="125" spans="1:120" ht="15.75" x14ac:dyDescent="0.25">
      <c r="A125" s="7" t="s">
        <v>178</v>
      </c>
      <c r="B125" s="7" t="s">
        <v>178</v>
      </c>
      <c r="C125" s="2" t="s">
        <v>947</v>
      </c>
      <c r="D125" s="2" t="s">
        <v>567</v>
      </c>
      <c r="E125" s="2" t="s">
        <v>567</v>
      </c>
      <c r="F125" s="2">
        <v>124</v>
      </c>
      <c r="G125" s="2" t="s">
        <v>946</v>
      </c>
      <c r="H125" s="10" t="s">
        <v>656</v>
      </c>
      <c r="I125" s="2">
        <v>150</v>
      </c>
      <c r="J125" s="2">
        <v>65</v>
      </c>
      <c r="K125" s="2">
        <v>4.3</v>
      </c>
      <c r="L125" t="s">
        <v>350</v>
      </c>
      <c r="M125" s="2" t="s">
        <v>1120</v>
      </c>
      <c r="N125" s="2" t="s">
        <v>435</v>
      </c>
      <c r="O125" s="2" t="s">
        <v>653</v>
      </c>
      <c r="P125" s="2" t="s">
        <v>1124</v>
      </c>
      <c r="Q125" s="9" t="s">
        <v>662</v>
      </c>
      <c r="R125" s="2" t="str">
        <f t="shared" si="50"/>
        <v>CW_1_Section_1</v>
      </c>
      <c r="S125" s="2" t="str">
        <f t="shared" si="51"/>
        <v>CW_1_MF02</v>
      </c>
      <c r="T125" s="11" t="s">
        <v>937</v>
      </c>
      <c r="U125" s="1">
        <v>45825</v>
      </c>
      <c r="V125" s="2" t="s">
        <v>692</v>
      </c>
      <c r="W125" s="2" t="s">
        <v>663</v>
      </c>
      <c r="X125" s="2" t="s">
        <v>936</v>
      </c>
      <c r="Y125" s="2" t="str">
        <f t="shared" si="52"/>
        <v>T5_0.60-0.80</v>
      </c>
      <c r="Z125" t="s">
        <v>31</v>
      </c>
      <c r="AA125">
        <v>12</v>
      </c>
      <c r="AB125">
        <v>12</v>
      </c>
      <c r="AC125">
        <v>630</v>
      </c>
      <c r="AD125" s="32">
        <f t="shared" si="53"/>
        <v>0.24196645755985149</v>
      </c>
      <c r="AE125">
        <v>43</v>
      </c>
      <c r="AF125" s="32">
        <f t="shared" si="54"/>
        <v>1.6800520946385934E-2</v>
      </c>
      <c r="AG125">
        <v>610</v>
      </c>
      <c r="AH125" s="32">
        <f t="shared" si="55"/>
        <v>0.2413111048318734</v>
      </c>
      <c r="AI125">
        <v>210</v>
      </c>
      <c r="AJ125" s="32">
        <f t="shared" si="56"/>
        <v>8.3074314778185929E-2</v>
      </c>
      <c r="AK125">
        <v>140</v>
      </c>
      <c r="AL125" s="32">
        <f t="shared" si="57"/>
        <v>5.5382876518790619E-2</v>
      </c>
      <c r="AM125">
        <v>350</v>
      </c>
      <c r="AO125" s="49">
        <v>1633</v>
      </c>
      <c r="AP125" s="49">
        <f t="shared" si="58"/>
        <v>0.50007808333811088</v>
      </c>
      <c r="AQ125">
        <v>3400</v>
      </c>
      <c r="AR125" s="32">
        <f t="shared" si="59"/>
        <v>1.273308886634938</v>
      </c>
      <c r="AS125" s="48">
        <v>3600</v>
      </c>
      <c r="AT125" s="27">
        <f t="shared" si="60"/>
        <v>1.3482094093781698</v>
      </c>
      <c r="AU125" s="48">
        <v>4</v>
      </c>
      <c r="AV125" s="27">
        <f t="shared" si="61"/>
        <v>1.4718444050200407E-3</v>
      </c>
      <c r="AW125" s="48">
        <v>300</v>
      </c>
      <c r="AX125" s="27">
        <f t="shared" si="62"/>
        <v>0.11283314960119319</v>
      </c>
      <c r="AY125" s="48">
        <v>74</v>
      </c>
      <c r="AZ125" s="27">
        <f t="shared" si="63"/>
        <v>2.7601973288412948E-2</v>
      </c>
      <c r="BA125" s="48">
        <v>45</v>
      </c>
      <c r="BB125" s="27">
        <f t="shared" si="64"/>
        <v>1.6663861302810973E-2</v>
      </c>
      <c r="BC125" s="48">
        <v>6.3</v>
      </c>
      <c r="BD125" s="27">
        <f t="shared" si="65"/>
        <v>2.3329405823935365E-3</v>
      </c>
      <c r="BE125" s="48">
        <v>1</v>
      </c>
      <c r="BF125" s="27">
        <f t="shared" si="66"/>
        <v>3.6588380716934482E-4</v>
      </c>
      <c r="BG125" s="48">
        <v>0.89</v>
      </c>
      <c r="BH125" s="27">
        <f t="shared" si="67"/>
        <v>3.2563658838071695E-4</v>
      </c>
      <c r="BI125" s="52">
        <f t="shared" si="68"/>
        <v>4031.19</v>
      </c>
      <c r="BJ125" s="52">
        <f t="shared" si="69"/>
        <v>431.19</v>
      </c>
      <c r="BK125" s="27">
        <f t="shared" si="70"/>
        <v>1.5098046989535507</v>
      </c>
      <c r="BL125" s="27">
        <f t="shared" si="71"/>
        <v>0.16159528957538075</v>
      </c>
      <c r="BM125">
        <v>5100</v>
      </c>
      <c r="BN125">
        <v>1800</v>
      </c>
      <c r="BO125" t="s">
        <v>19</v>
      </c>
      <c r="BP125">
        <v>7000</v>
      </c>
      <c r="BQ125">
        <v>72</v>
      </c>
      <c r="BR125" t="s">
        <v>443</v>
      </c>
      <c r="BS125">
        <v>0.81</v>
      </c>
      <c r="BT125">
        <v>0.26</v>
      </c>
      <c r="BU125">
        <v>20.9</v>
      </c>
      <c r="BV125">
        <v>-11</v>
      </c>
      <c r="BW125">
        <v>7.2</v>
      </c>
      <c r="BX125">
        <v>1041</v>
      </c>
      <c r="BY125">
        <v>0.2</v>
      </c>
      <c r="BZ125">
        <v>0.01</v>
      </c>
      <c r="CA125" s="32">
        <v>0.02</v>
      </c>
      <c r="CB125" s="32">
        <f t="shared" si="72"/>
        <v>3.5810205908683976E-4</v>
      </c>
      <c r="CC125" s="32">
        <f t="shared" si="73"/>
        <v>3.5810205908683976E-4</v>
      </c>
      <c r="CD125" s="32">
        <v>0.8</v>
      </c>
      <c r="CE125" s="32">
        <f t="shared" si="74"/>
        <v>1.4563990533406155E-2</v>
      </c>
      <c r="CF125" s="32">
        <f t="shared" si="75"/>
        <v>2.912798106681231E-2</v>
      </c>
      <c r="CG125" s="27">
        <v>60</v>
      </c>
      <c r="CH125" s="27">
        <f t="shared" si="76"/>
        <v>0.62460961898813239</v>
      </c>
      <c r="CI125" s="27">
        <f t="shared" si="77"/>
        <v>4.9968769519050591</v>
      </c>
      <c r="CJ125" s="58">
        <v>19</v>
      </c>
      <c r="CK125" s="58">
        <v>24.050632911392405</v>
      </c>
      <c r="CL125" s="58">
        <v>1.5823443681032687</v>
      </c>
      <c r="CM125" s="58">
        <v>1.5823443681032687</v>
      </c>
      <c r="CN125" s="28">
        <v>19</v>
      </c>
      <c r="CO125" s="28">
        <v>24.050632911392405</v>
      </c>
      <c r="CP125" s="28">
        <v>1.5823443681032687</v>
      </c>
      <c r="CQ125" s="28">
        <v>1.5823443681032687</v>
      </c>
      <c r="CR125" s="32">
        <f t="shared" si="78"/>
        <v>11.044763689360815</v>
      </c>
      <c r="CS125" s="32">
        <v>11.044763689360815</v>
      </c>
      <c r="CT125" s="32">
        <f t="shared" si="79"/>
        <v>11.064763689360815</v>
      </c>
      <c r="CU125" s="32">
        <f t="shared" si="80"/>
        <v>0.19811573302347027</v>
      </c>
      <c r="CV125" s="32">
        <f t="shared" si="81"/>
        <v>0.19811573302347027</v>
      </c>
      <c r="CW125" s="60">
        <f t="shared" si="82"/>
        <v>11.044763689360815</v>
      </c>
      <c r="CX125" s="60">
        <v>11.044763689360815</v>
      </c>
      <c r="CY125" s="60">
        <f t="shared" si="83"/>
        <v>11.064763689360815</v>
      </c>
      <c r="CZ125" s="60">
        <f t="shared" si="84"/>
        <v>0.19811573302347027</v>
      </c>
      <c r="DA125" s="60">
        <f t="shared" si="85"/>
        <v>0.19811573302347027</v>
      </c>
      <c r="DB125" s="32">
        <f t="shared" si="86"/>
        <v>4.9968769519050591</v>
      </c>
      <c r="DC125">
        <f t="shared" si="87"/>
        <v>1.8095880821935513</v>
      </c>
      <c r="DD125">
        <f t="shared" si="88"/>
        <v>1.6096470436246395E-2</v>
      </c>
      <c r="DE125">
        <f t="shared" si="89"/>
        <v>0.10948112168340422</v>
      </c>
      <c r="DF125">
        <f t="shared" si="90"/>
        <v>0.87442240788034942</v>
      </c>
      <c r="DG125">
        <f t="shared" si="91"/>
        <v>1.8095880821935513</v>
      </c>
      <c r="DH125">
        <f t="shared" si="92"/>
        <v>1.6096470436246395E-2</v>
      </c>
      <c r="DI125">
        <f t="shared" si="93"/>
        <v>0.10948112168340422</v>
      </c>
      <c r="DJ125">
        <f t="shared" si="94"/>
        <v>0.87442240788034942</v>
      </c>
      <c r="DK125" s="64">
        <f t="shared" si="95"/>
        <v>-3.6201112220502374E-2</v>
      </c>
      <c r="DL125" s="64">
        <f t="shared" si="96"/>
        <v>-3.6201112220502374E-2</v>
      </c>
      <c r="DM125" s="64">
        <f t="shared" si="97"/>
        <v>0.12539417735487834</v>
      </c>
      <c r="DN125" s="64">
        <f t="shared" si="98"/>
        <v>0.12539417735487834</v>
      </c>
      <c r="DO125" t="str">
        <f t="shared" si="99"/>
        <v>Insufficient Capacity</v>
      </c>
      <c r="DP125" t="str">
        <f t="shared" si="100"/>
        <v>Insufficient Capacity</v>
      </c>
    </row>
    <row r="126" spans="1:120" ht="15.75" x14ac:dyDescent="0.25">
      <c r="A126" s="7" t="s">
        <v>179</v>
      </c>
      <c r="B126" s="7" t="s">
        <v>179</v>
      </c>
      <c r="C126" s="2" t="s">
        <v>949</v>
      </c>
      <c r="D126" s="2" t="s">
        <v>568</v>
      </c>
      <c r="E126" s="2" t="s">
        <v>568</v>
      </c>
      <c r="F126" s="2">
        <v>125</v>
      </c>
      <c r="G126" s="2" t="s">
        <v>948</v>
      </c>
      <c r="H126" s="10" t="s">
        <v>656</v>
      </c>
      <c r="I126" s="2">
        <v>150</v>
      </c>
      <c r="J126" s="2">
        <v>65</v>
      </c>
      <c r="K126" s="2">
        <v>7.2</v>
      </c>
      <c r="L126" t="s">
        <v>351</v>
      </c>
      <c r="M126" s="2" t="s">
        <v>1120</v>
      </c>
      <c r="N126" s="2" t="s">
        <v>435</v>
      </c>
      <c r="O126" s="2" t="s">
        <v>666</v>
      </c>
      <c r="P126" s="2" t="s">
        <v>1131</v>
      </c>
      <c r="Q126" s="9" t="s">
        <v>667</v>
      </c>
      <c r="R126" s="2" t="str">
        <f t="shared" si="50"/>
        <v>CW_1_Section_2</v>
      </c>
      <c r="S126" s="2" t="str">
        <f t="shared" si="51"/>
        <v>CW_1_MF05</v>
      </c>
      <c r="T126" s="11" t="s">
        <v>937</v>
      </c>
      <c r="U126" s="1">
        <v>45825</v>
      </c>
      <c r="V126" s="2" t="s">
        <v>692</v>
      </c>
      <c r="W126" s="2" t="s">
        <v>655</v>
      </c>
      <c r="X126" s="2" t="s">
        <v>936</v>
      </c>
      <c r="Y126" s="2" t="str">
        <f t="shared" si="52"/>
        <v>T5_0.15-0.30</v>
      </c>
      <c r="Z126" t="s">
        <v>33</v>
      </c>
      <c r="AA126">
        <v>13</v>
      </c>
      <c r="AB126">
        <v>12</v>
      </c>
      <c r="AC126">
        <v>490</v>
      </c>
      <c r="AD126" s="32">
        <f t="shared" si="53"/>
        <v>0.18819613365766227</v>
      </c>
      <c r="AE126">
        <v>1</v>
      </c>
      <c r="AF126" s="32">
        <f t="shared" si="54"/>
        <v>3.9070978945083569E-4</v>
      </c>
      <c r="AG126">
        <v>250</v>
      </c>
      <c r="AH126" s="32">
        <f t="shared" si="55"/>
        <v>9.8897993783554669E-2</v>
      </c>
      <c r="AI126">
        <v>72</v>
      </c>
      <c r="AJ126" s="32">
        <f t="shared" si="56"/>
        <v>2.8482622209663747E-2</v>
      </c>
      <c r="AK126">
        <v>54</v>
      </c>
      <c r="AL126" s="32">
        <f t="shared" si="57"/>
        <v>2.1361966657247811E-2</v>
      </c>
      <c r="AM126">
        <v>126</v>
      </c>
      <c r="AO126" s="49">
        <v>873</v>
      </c>
      <c r="AP126" s="49">
        <f t="shared" si="58"/>
        <v>0.28748483723066776</v>
      </c>
      <c r="AQ126">
        <v>2000</v>
      </c>
      <c r="AR126" s="32">
        <f t="shared" si="59"/>
        <v>0.74900522743231646</v>
      </c>
      <c r="AS126" s="48">
        <v>2100</v>
      </c>
      <c r="AT126" s="27">
        <f t="shared" si="60"/>
        <v>0.78645548880393235</v>
      </c>
      <c r="AU126" s="48">
        <v>0.74</v>
      </c>
      <c r="AV126" s="27">
        <f t="shared" si="61"/>
        <v>2.7229121492870751E-4</v>
      </c>
      <c r="AW126" s="48">
        <v>0.18</v>
      </c>
      <c r="AX126" s="27">
        <f t="shared" si="62"/>
        <v>6.7699889760715914E-5</v>
      </c>
      <c r="AY126" s="48">
        <v>0.09</v>
      </c>
      <c r="AZ126" s="27">
        <f t="shared" si="63"/>
        <v>3.3569967512934667E-5</v>
      </c>
      <c r="BA126" s="48">
        <v>0.08</v>
      </c>
      <c r="BB126" s="27">
        <f t="shared" si="64"/>
        <v>2.9624642316108399E-5</v>
      </c>
      <c r="BC126" s="48">
        <v>0.01</v>
      </c>
      <c r="BD126" s="27">
        <f t="shared" si="65"/>
        <v>3.7030802895135499E-6</v>
      </c>
      <c r="BE126" s="48">
        <v>0.01</v>
      </c>
      <c r="BF126" s="27">
        <f t="shared" si="66"/>
        <v>3.6588380716934487E-6</v>
      </c>
      <c r="BG126" s="48">
        <v>2E-3</v>
      </c>
      <c r="BH126" s="27">
        <f t="shared" si="67"/>
        <v>7.3176761433868969E-7</v>
      </c>
      <c r="BI126" s="52">
        <f t="shared" si="68"/>
        <v>2101.1120000000001</v>
      </c>
      <c r="BJ126" s="52">
        <f t="shared" si="69"/>
        <v>1.1120000000000001</v>
      </c>
      <c r="BK126" s="27">
        <f t="shared" si="70"/>
        <v>0.78686676820442647</v>
      </c>
      <c r="BL126" s="27">
        <f t="shared" si="71"/>
        <v>4.1127940049401221E-4</v>
      </c>
      <c r="BM126">
        <v>2900</v>
      </c>
      <c r="BN126">
        <v>70</v>
      </c>
      <c r="BO126" t="s">
        <v>19</v>
      </c>
      <c r="BP126">
        <v>3000</v>
      </c>
      <c r="BQ126">
        <v>68</v>
      </c>
      <c r="BR126" t="s">
        <v>443</v>
      </c>
      <c r="BS126">
        <v>1.2</v>
      </c>
      <c r="BT126">
        <v>2.9</v>
      </c>
      <c r="BU126">
        <v>21.8</v>
      </c>
      <c r="BV126">
        <v>-58</v>
      </c>
      <c r="BW126">
        <v>6.88</v>
      </c>
      <c r="BX126">
        <v>955</v>
      </c>
      <c r="BY126">
        <v>0.2</v>
      </c>
      <c r="BZ126">
        <v>0.01</v>
      </c>
      <c r="CA126" s="32">
        <v>12</v>
      </c>
      <c r="CB126" s="32">
        <f t="shared" si="72"/>
        <v>0.21486123545210384</v>
      </c>
      <c r="CC126" s="32">
        <f t="shared" si="73"/>
        <v>0.21486123545210384</v>
      </c>
      <c r="CD126" s="32">
        <v>3</v>
      </c>
      <c r="CE126" s="32">
        <f t="shared" si="74"/>
        <v>5.4614964500273075E-2</v>
      </c>
      <c r="CF126" s="32">
        <f t="shared" si="75"/>
        <v>0.10922992900054615</v>
      </c>
      <c r="CG126" s="27">
        <v>0.5</v>
      </c>
      <c r="CH126" s="27">
        <f t="shared" si="76"/>
        <v>5.2050801582344368E-3</v>
      </c>
      <c r="CI126" s="27">
        <f t="shared" si="77"/>
        <v>4.1640641265875494E-2</v>
      </c>
      <c r="CJ126" s="58">
        <v>78.5</v>
      </c>
      <c r="CK126" s="58">
        <v>99.367088607594937</v>
      </c>
      <c r="CL126" s="58">
        <v>6.5375806787424526</v>
      </c>
      <c r="CM126" s="58">
        <v>6.5375806787424526</v>
      </c>
      <c r="CN126" s="28">
        <v>20.5</v>
      </c>
      <c r="CO126" s="28">
        <v>97.61904761904762</v>
      </c>
      <c r="CP126" s="28">
        <v>1.7072662919008952</v>
      </c>
      <c r="CQ126" s="28">
        <v>1.7072662919008952</v>
      </c>
      <c r="CR126" s="32">
        <f t="shared" si="78"/>
        <v>45.632313137622319</v>
      </c>
      <c r="CS126" s="32">
        <v>45.632313137622319</v>
      </c>
      <c r="CT126" s="32">
        <f t="shared" si="79"/>
        <v>57.632313137622319</v>
      </c>
      <c r="CU126" s="32">
        <f t="shared" si="80"/>
        <v>1.0319125002260039</v>
      </c>
      <c r="CV126" s="32">
        <f t="shared" si="81"/>
        <v>1.0319125002260039</v>
      </c>
      <c r="CW126" s="60">
        <f t="shared" si="82"/>
        <v>11.916718717468248</v>
      </c>
      <c r="CX126" s="60">
        <v>11.916718717468248</v>
      </c>
      <c r="CY126" s="60">
        <f t="shared" si="83"/>
        <v>23.91671871746825</v>
      </c>
      <c r="CZ126" s="60">
        <f t="shared" si="84"/>
        <v>0.42823131096630707</v>
      </c>
      <c r="DA126" s="60">
        <f t="shared" si="85"/>
        <v>0.42823131096630707</v>
      </c>
      <c r="DB126" s="32">
        <f t="shared" si="86"/>
        <v>4.1640641265875494E-2</v>
      </c>
      <c r="DC126">
        <f t="shared" si="87"/>
        <v>7.6787231079690024</v>
      </c>
      <c r="DD126">
        <f t="shared" si="88"/>
        <v>1.4225012083999617E-2</v>
      </c>
      <c r="DE126">
        <f t="shared" si="89"/>
        <v>0.13438595007483495</v>
      </c>
      <c r="DF126">
        <f t="shared" si="90"/>
        <v>0.85138903784116549</v>
      </c>
      <c r="DG126">
        <f t="shared" si="91"/>
        <v>2.2447275318677482</v>
      </c>
      <c r="DH126">
        <f t="shared" si="92"/>
        <v>4.8660662574784873E-2</v>
      </c>
      <c r="DI126">
        <f t="shared" si="93"/>
        <v>0.19077206693767099</v>
      </c>
      <c r="DJ126">
        <f t="shared" si="94"/>
        <v>0.76056727048754424</v>
      </c>
      <c r="DK126" s="64">
        <f t="shared" si="95"/>
        <v>-6.6422330433060184</v>
      </c>
      <c r="DL126" s="64">
        <f t="shared" si="96"/>
        <v>-1.208237467204764</v>
      </c>
      <c r="DM126" s="64">
        <f t="shared" si="97"/>
        <v>-6.6418217639055239</v>
      </c>
      <c r="DN126" s="64">
        <f t="shared" si="98"/>
        <v>-1.20782618780427</v>
      </c>
      <c r="DO126" t="str">
        <f t="shared" si="99"/>
        <v>Sufficient Capacity</v>
      </c>
      <c r="DP126" t="str">
        <f t="shared" si="100"/>
        <v>Sufficient Capacity</v>
      </c>
    </row>
    <row r="127" spans="1:120" ht="15.75" x14ac:dyDescent="0.25">
      <c r="A127" s="7" t="s">
        <v>180</v>
      </c>
      <c r="B127" s="7" t="s">
        <v>180</v>
      </c>
      <c r="C127" s="2" t="s">
        <v>951</v>
      </c>
      <c r="D127" s="2" t="s">
        <v>569</v>
      </c>
      <c r="E127" s="2" t="s">
        <v>569</v>
      </c>
      <c r="F127" s="2">
        <v>126</v>
      </c>
      <c r="G127" s="2" t="s">
        <v>950</v>
      </c>
      <c r="H127" s="10" t="s">
        <v>656</v>
      </c>
      <c r="I127" s="2">
        <v>150</v>
      </c>
      <c r="J127" s="2">
        <v>65</v>
      </c>
      <c r="K127" s="2">
        <v>3.8</v>
      </c>
      <c r="L127" t="s">
        <v>352</v>
      </c>
      <c r="M127" s="2" t="s">
        <v>1120</v>
      </c>
      <c r="N127" s="2" t="s">
        <v>435</v>
      </c>
      <c r="O127" s="2" t="s">
        <v>666</v>
      </c>
      <c r="P127" s="2" t="s">
        <v>1132</v>
      </c>
      <c r="Q127" s="9" t="s">
        <v>670</v>
      </c>
      <c r="R127" s="2" t="str">
        <f t="shared" si="50"/>
        <v>CW_1_Section_2</v>
      </c>
      <c r="S127" s="2" t="str">
        <f t="shared" si="51"/>
        <v>CW_1_MF06</v>
      </c>
      <c r="T127" s="11" t="s">
        <v>937</v>
      </c>
      <c r="U127" s="1">
        <v>45825</v>
      </c>
      <c r="V127" s="2" t="s">
        <v>692</v>
      </c>
      <c r="W127" s="2" t="s">
        <v>663</v>
      </c>
      <c r="X127" s="2" t="s">
        <v>936</v>
      </c>
      <c r="Y127" s="2" t="str">
        <f t="shared" si="52"/>
        <v>T5_0.60-0.80</v>
      </c>
      <c r="Z127" t="s">
        <v>25</v>
      </c>
      <c r="AA127">
        <v>11</v>
      </c>
      <c r="AB127">
        <v>12</v>
      </c>
      <c r="AC127">
        <v>640</v>
      </c>
      <c r="AD127" s="32">
        <f t="shared" si="53"/>
        <v>0.24580719498143644</v>
      </c>
      <c r="AE127">
        <v>1</v>
      </c>
      <c r="AF127" s="32">
        <f t="shared" si="54"/>
        <v>3.9070978945083569E-4</v>
      </c>
      <c r="AG127">
        <v>550</v>
      </c>
      <c r="AH127" s="32">
        <f t="shared" si="55"/>
        <v>0.21757558632382029</v>
      </c>
      <c r="AI127">
        <v>120</v>
      </c>
      <c r="AJ127" s="32">
        <f t="shared" si="56"/>
        <v>4.7471037016106249E-2</v>
      </c>
      <c r="AK127">
        <v>63</v>
      </c>
      <c r="AL127" s="32">
        <f t="shared" si="57"/>
        <v>2.4922294433455779E-2</v>
      </c>
      <c r="AM127">
        <v>183</v>
      </c>
      <c r="AO127" s="49">
        <v>1380</v>
      </c>
      <c r="AP127" s="49">
        <f t="shared" si="58"/>
        <v>0.46377349109470756</v>
      </c>
      <c r="AQ127">
        <v>1900</v>
      </c>
      <c r="AR127" s="32">
        <f t="shared" si="59"/>
        <v>0.71155496606070068</v>
      </c>
      <c r="AS127" s="48">
        <v>1900</v>
      </c>
      <c r="AT127" s="27">
        <f t="shared" si="60"/>
        <v>0.71155496606070068</v>
      </c>
      <c r="AU127" s="48">
        <v>2</v>
      </c>
      <c r="AV127" s="27">
        <f t="shared" si="61"/>
        <v>7.3592220251002033E-4</v>
      </c>
      <c r="AW127" s="48">
        <v>200</v>
      </c>
      <c r="AX127" s="27">
        <f t="shared" si="62"/>
        <v>7.5222099734128786E-2</v>
      </c>
      <c r="AY127" s="48">
        <v>41</v>
      </c>
      <c r="AZ127" s="27">
        <f t="shared" si="63"/>
        <v>1.5292985200336905E-2</v>
      </c>
      <c r="BA127" s="48">
        <v>15</v>
      </c>
      <c r="BB127" s="27">
        <f t="shared" si="64"/>
        <v>5.5546204342703251E-3</v>
      </c>
      <c r="BC127" s="48">
        <v>1.5</v>
      </c>
      <c r="BD127" s="27">
        <f t="shared" si="65"/>
        <v>5.5546204342703253E-4</v>
      </c>
      <c r="BE127" s="48">
        <v>0.05</v>
      </c>
      <c r="BF127" s="27">
        <f t="shared" si="66"/>
        <v>1.8294190358467248E-5</v>
      </c>
      <c r="BG127" s="48">
        <v>0.02</v>
      </c>
      <c r="BH127" s="27">
        <f t="shared" si="67"/>
        <v>7.3176761433868973E-6</v>
      </c>
      <c r="BI127" s="52">
        <f t="shared" si="68"/>
        <v>2159.5700000000002</v>
      </c>
      <c r="BJ127" s="52">
        <f t="shared" si="69"/>
        <v>259.57</v>
      </c>
      <c r="BK127" s="27">
        <f t="shared" si="70"/>
        <v>0.80894166754187569</v>
      </c>
      <c r="BL127" s="27">
        <f t="shared" si="71"/>
        <v>9.7386701481174925E-2</v>
      </c>
      <c r="BM127">
        <v>3200</v>
      </c>
      <c r="BN127">
        <v>1100</v>
      </c>
      <c r="BO127" t="s">
        <v>19</v>
      </c>
      <c r="BP127">
        <v>4300</v>
      </c>
      <c r="BQ127">
        <v>69</v>
      </c>
      <c r="BR127" t="s">
        <v>443</v>
      </c>
      <c r="BS127">
        <v>0.96</v>
      </c>
      <c r="BT127">
        <v>0.91</v>
      </c>
      <c r="BU127">
        <v>21.7</v>
      </c>
      <c r="BV127">
        <v>-5.9</v>
      </c>
      <c r="BW127">
        <v>7.15</v>
      </c>
      <c r="BX127">
        <v>994</v>
      </c>
      <c r="BY127">
        <v>0.2</v>
      </c>
      <c r="BZ127">
        <v>0.01</v>
      </c>
      <c r="CA127" s="32">
        <v>0.8</v>
      </c>
      <c r="CB127" s="32">
        <f t="shared" si="72"/>
        <v>1.432408236347359E-2</v>
      </c>
      <c r="CC127" s="32">
        <f t="shared" si="73"/>
        <v>1.432408236347359E-2</v>
      </c>
      <c r="CD127" s="32">
        <v>1.1000000000000001</v>
      </c>
      <c r="CE127" s="32">
        <f t="shared" si="74"/>
        <v>2.0025486983433462E-2</v>
      </c>
      <c r="CF127" s="32">
        <f t="shared" si="75"/>
        <v>4.0050973966866923E-2</v>
      </c>
      <c r="CG127" s="27">
        <v>36</v>
      </c>
      <c r="CH127" s="27">
        <f t="shared" si="76"/>
        <v>0.37476577139287942</v>
      </c>
      <c r="CI127" s="27">
        <f t="shared" si="77"/>
        <v>2.9981261711430354</v>
      </c>
      <c r="CJ127" s="58">
        <v>43</v>
      </c>
      <c r="CK127" s="58">
        <v>54.430379746835442</v>
      </c>
      <c r="CL127" s="58">
        <v>3.5810951488652925</v>
      </c>
      <c r="CM127" s="58">
        <v>3.5810951488652925</v>
      </c>
      <c r="CN127" s="28">
        <v>24</v>
      </c>
      <c r="CO127" s="28">
        <v>40</v>
      </c>
      <c r="CP127" s="28">
        <v>1.9987507807620237</v>
      </c>
      <c r="CQ127" s="28">
        <v>1.9987507807620237</v>
      </c>
      <c r="CR127" s="32">
        <f t="shared" si="78"/>
        <v>24.996044139079739</v>
      </c>
      <c r="CS127" s="32">
        <v>24.996044139079739</v>
      </c>
      <c r="CT127" s="32">
        <f t="shared" si="79"/>
        <v>25.79604413907974</v>
      </c>
      <c r="CU127" s="32">
        <f t="shared" si="80"/>
        <v>0.46188082612497294</v>
      </c>
      <c r="CV127" s="32">
        <f t="shared" si="81"/>
        <v>0.46188082612497294</v>
      </c>
      <c r="CW127" s="60">
        <f t="shared" si="82"/>
        <v>13.951280449718926</v>
      </c>
      <c r="CX127" s="60">
        <v>13.951280449718926</v>
      </c>
      <c r="CY127" s="60">
        <f t="shared" si="83"/>
        <v>14.751280449718926</v>
      </c>
      <c r="CZ127" s="60">
        <f t="shared" si="84"/>
        <v>0.26412319516058952</v>
      </c>
      <c r="DA127" s="60">
        <f t="shared" si="85"/>
        <v>0.26412319516058952</v>
      </c>
      <c r="DB127" s="32">
        <f t="shared" si="86"/>
        <v>2.9981261711430354</v>
      </c>
      <c r="DC127">
        <f t="shared" si="87"/>
        <v>4.0830269489571327</v>
      </c>
      <c r="DD127">
        <f t="shared" si="88"/>
        <v>9.8091377959424325E-3</v>
      </c>
      <c r="DE127">
        <f t="shared" si="89"/>
        <v>0.11312215958871992</v>
      </c>
      <c r="DF127">
        <f t="shared" si="90"/>
        <v>0.87706870261533754</v>
      </c>
      <c r="DG127">
        <f t="shared" si="91"/>
        <v>2.3029249498894799</v>
      </c>
      <c r="DH127">
        <f t="shared" si="92"/>
        <v>1.7391350060621393E-2</v>
      </c>
      <c r="DI127">
        <f t="shared" si="93"/>
        <v>0.11469031814226734</v>
      </c>
      <c r="DJ127">
        <f t="shared" si="94"/>
        <v>0.86791833179711142</v>
      </c>
      <c r="DK127" s="64">
        <f t="shared" si="95"/>
        <v>-2.9076984918017246</v>
      </c>
      <c r="DL127" s="64">
        <f t="shared" si="96"/>
        <v>-1.1275964927340718</v>
      </c>
      <c r="DM127" s="64">
        <f t="shared" si="97"/>
        <v>-2.8103117903205499</v>
      </c>
      <c r="DN127" s="64">
        <f t="shared" si="98"/>
        <v>-1.0302097912528969</v>
      </c>
      <c r="DO127" t="str">
        <f t="shared" si="99"/>
        <v>Sufficient Capacity</v>
      </c>
      <c r="DP127" t="str">
        <f t="shared" si="100"/>
        <v>Sufficient Capacity</v>
      </c>
    </row>
    <row r="128" spans="1:120" ht="15.75" x14ac:dyDescent="0.25">
      <c r="A128" s="7" t="s">
        <v>181</v>
      </c>
      <c r="B128" s="7" t="s">
        <v>181</v>
      </c>
      <c r="C128" s="2" t="s">
        <v>953</v>
      </c>
      <c r="D128" s="2" t="s">
        <v>570</v>
      </c>
      <c r="E128" s="2" t="s">
        <v>570</v>
      </c>
      <c r="F128" s="2">
        <v>127</v>
      </c>
      <c r="G128" s="2" t="s">
        <v>952</v>
      </c>
      <c r="H128" s="10" t="s">
        <v>656</v>
      </c>
      <c r="I128" s="2">
        <v>150</v>
      </c>
      <c r="J128" s="2">
        <v>65</v>
      </c>
      <c r="K128" s="2">
        <v>5.8</v>
      </c>
      <c r="L128" t="s">
        <v>353</v>
      </c>
      <c r="M128" s="2" t="s">
        <v>1120</v>
      </c>
      <c r="N128" s="2" t="s">
        <v>435</v>
      </c>
      <c r="O128" s="2" t="s">
        <v>673</v>
      </c>
      <c r="P128" s="2" t="s">
        <v>1127</v>
      </c>
      <c r="Q128" s="9" t="s">
        <v>674</v>
      </c>
      <c r="R128" s="2" t="str">
        <f t="shared" si="50"/>
        <v>CW_1_Section_3</v>
      </c>
      <c r="S128" s="2" t="str">
        <f t="shared" si="51"/>
        <v>CW_1_MF09</v>
      </c>
      <c r="T128" s="11" t="s">
        <v>937</v>
      </c>
      <c r="U128" s="1">
        <v>45825</v>
      </c>
      <c r="V128" s="2" t="s">
        <v>692</v>
      </c>
      <c r="W128" s="2" t="s">
        <v>655</v>
      </c>
      <c r="X128" s="2" t="s">
        <v>936</v>
      </c>
      <c r="Y128" s="2" t="str">
        <f t="shared" si="52"/>
        <v>T5_0.15-0.30</v>
      </c>
      <c r="Z128" t="s">
        <v>21</v>
      </c>
      <c r="AA128">
        <v>12</v>
      </c>
      <c r="AB128">
        <v>12</v>
      </c>
      <c r="AC128">
        <v>420</v>
      </c>
      <c r="AD128" s="32">
        <f t="shared" si="53"/>
        <v>0.16131097170656766</v>
      </c>
      <c r="AE128">
        <v>0.5</v>
      </c>
      <c r="AF128" s="32">
        <f t="shared" si="54"/>
        <v>1.9535489472541785E-4</v>
      </c>
      <c r="AG128">
        <v>200</v>
      </c>
      <c r="AH128" s="32">
        <f t="shared" si="55"/>
        <v>7.9118395026843744E-2</v>
      </c>
      <c r="AI128">
        <v>60</v>
      </c>
      <c r="AJ128" s="32">
        <f t="shared" si="56"/>
        <v>2.3735518508053124E-2</v>
      </c>
      <c r="AK128">
        <v>46</v>
      </c>
      <c r="AL128" s="32">
        <f t="shared" si="57"/>
        <v>1.819723085617406E-2</v>
      </c>
      <c r="AM128">
        <v>106</v>
      </c>
      <c r="AO128" s="49">
        <v>729.5</v>
      </c>
      <c r="AP128" s="49">
        <f t="shared" si="58"/>
        <v>0.24062472162813681</v>
      </c>
      <c r="AQ128">
        <v>1200</v>
      </c>
      <c r="AR128" s="32">
        <f t="shared" si="59"/>
        <v>0.44940313645938984</v>
      </c>
      <c r="AS128" s="48">
        <v>1600</v>
      </c>
      <c r="AT128" s="27">
        <f t="shared" si="60"/>
        <v>0.59920418194585312</v>
      </c>
      <c r="AU128" s="48">
        <v>0.42</v>
      </c>
      <c r="AV128" s="27">
        <f t="shared" si="61"/>
        <v>1.5454366252710426E-4</v>
      </c>
      <c r="AW128" s="48">
        <v>0.17</v>
      </c>
      <c r="AX128" s="27">
        <f t="shared" si="62"/>
        <v>6.3938784774009473E-5</v>
      </c>
      <c r="AY128" s="48">
        <v>7.0000000000000007E-2</v>
      </c>
      <c r="AZ128" s="27">
        <f t="shared" si="63"/>
        <v>2.6109974732282519E-5</v>
      </c>
      <c r="BA128" s="48">
        <v>0.05</v>
      </c>
      <c r="BB128" s="27">
        <f t="shared" si="64"/>
        <v>1.8515401447567749E-5</v>
      </c>
      <c r="BC128" s="48">
        <v>0.01</v>
      </c>
      <c r="BD128" s="27">
        <f t="shared" si="65"/>
        <v>3.7030802895135499E-6</v>
      </c>
      <c r="BE128" s="48">
        <v>0.01</v>
      </c>
      <c r="BF128" s="27">
        <f t="shared" si="66"/>
        <v>3.6588380716934487E-6</v>
      </c>
      <c r="BG128" s="48">
        <v>2E-3</v>
      </c>
      <c r="BH128" s="27">
        <f t="shared" si="67"/>
        <v>7.3176761433868969E-7</v>
      </c>
      <c r="BI128" s="52">
        <f t="shared" si="68"/>
        <v>1600.732</v>
      </c>
      <c r="BJ128" s="52">
        <f t="shared" si="69"/>
        <v>0.73199999999999998</v>
      </c>
      <c r="BK128" s="27">
        <f t="shared" si="70"/>
        <v>0.59947538345530982</v>
      </c>
      <c r="BL128" s="27">
        <f t="shared" si="71"/>
        <v>2.7120150945650974E-4</v>
      </c>
      <c r="BM128">
        <v>1800</v>
      </c>
      <c r="BN128">
        <v>2.5</v>
      </c>
      <c r="BO128" t="s">
        <v>19</v>
      </c>
      <c r="BP128">
        <v>1800</v>
      </c>
      <c r="BQ128">
        <v>69</v>
      </c>
      <c r="BR128" t="s">
        <v>443</v>
      </c>
      <c r="BS128">
        <v>0.7</v>
      </c>
      <c r="BT128">
        <v>2.09</v>
      </c>
      <c r="BU128">
        <v>21.6</v>
      </c>
      <c r="BV128">
        <v>-1.7</v>
      </c>
      <c r="BW128">
        <v>6.98</v>
      </c>
      <c r="BX128">
        <v>1032</v>
      </c>
      <c r="BY128">
        <v>0.2</v>
      </c>
      <c r="BZ128">
        <v>0.01</v>
      </c>
      <c r="CA128" s="32">
        <v>13</v>
      </c>
      <c r="CB128" s="32">
        <f t="shared" si="72"/>
        <v>0.23276633840644584</v>
      </c>
      <c r="CC128" s="32">
        <f t="shared" si="73"/>
        <v>0.23276633840644584</v>
      </c>
      <c r="CD128" s="32">
        <v>4.0999999999999996</v>
      </c>
      <c r="CE128" s="32">
        <f t="shared" si="74"/>
        <v>7.464045148370653E-2</v>
      </c>
      <c r="CF128" s="32">
        <f t="shared" si="75"/>
        <v>0.14928090296741306</v>
      </c>
      <c r="CG128" s="27">
        <v>0.5</v>
      </c>
      <c r="CH128" s="27">
        <f t="shared" si="76"/>
        <v>5.2050801582344368E-3</v>
      </c>
      <c r="CI128" s="27">
        <f t="shared" si="77"/>
        <v>4.1640641265875494E-2</v>
      </c>
      <c r="CJ128" s="58">
        <v>78.5</v>
      </c>
      <c r="CK128" s="58">
        <v>99.367088607594937</v>
      </c>
      <c r="CL128" s="58">
        <v>6.5375806787424526</v>
      </c>
      <c r="CM128" s="58">
        <v>6.5375806787424526</v>
      </c>
      <c r="CN128" s="28">
        <v>0</v>
      </c>
      <c r="CO128" s="28">
        <v>0</v>
      </c>
      <c r="CP128" s="28">
        <v>0</v>
      </c>
      <c r="CQ128" s="28">
        <v>0</v>
      </c>
      <c r="CR128" s="32">
        <f t="shared" si="78"/>
        <v>45.632313137622319</v>
      </c>
      <c r="CS128" s="32">
        <v>45.632313137622319</v>
      </c>
      <c r="CT128" s="32">
        <f t="shared" si="79"/>
        <v>58.632313137622319</v>
      </c>
      <c r="CU128" s="32">
        <f t="shared" si="80"/>
        <v>1.0498176031803459</v>
      </c>
      <c r="CV128" s="32">
        <f t="shared" si="81"/>
        <v>1.0498176031803459</v>
      </c>
      <c r="CW128" s="60">
        <f t="shared" si="82"/>
        <v>0</v>
      </c>
      <c r="CX128" s="60">
        <v>0</v>
      </c>
      <c r="CY128" s="60">
        <f t="shared" si="83"/>
        <v>13</v>
      </c>
      <c r="CZ128" s="60">
        <f t="shared" si="84"/>
        <v>0.23276633840644584</v>
      </c>
      <c r="DA128" s="60">
        <f t="shared" si="85"/>
        <v>0.23276633840644584</v>
      </c>
      <c r="DB128" s="32">
        <f t="shared" si="86"/>
        <v>4.1640641265875494E-2</v>
      </c>
      <c r="DC128">
        <f t="shared" si="87"/>
        <v>7.7366791848902121</v>
      </c>
      <c r="DD128">
        <f t="shared" si="88"/>
        <v>1.9295216901194467E-2</v>
      </c>
      <c r="DE128">
        <f t="shared" si="89"/>
        <v>0.13569356801438101</v>
      </c>
      <c r="DF128">
        <f t="shared" si="90"/>
        <v>0.84501121508442445</v>
      </c>
      <c r="DG128">
        <f t="shared" si="91"/>
        <v>0.38204724137385893</v>
      </c>
      <c r="DH128">
        <f t="shared" si="92"/>
        <v>0.39073938194290392</v>
      </c>
      <c r="DI128">
        <f t="shared" si="93"/>
        <v>0.60926061805709608</v>
      </c>
      <c r="DJ128">
        <f t="shared" si="94"/>
        <v>0</v>
      </c>
      <c r="DK128" s="64">
        <f t="shared" si="95"/>
        <v>-7.0466513268026851</v>
      </c>
      <c r="DL128" s="64">
        <f t="shared" si="96"/>
        <v>0.30798061671366772</v>
      </c>
      <c r="DM128" s="64">
        <f t="shared" si="97"/>
        <v>-7.0463801252932292</v>
      </c>
      <c r="DN128" s="64">
        <f t="shared" si="98"/>
        <v>0.3082518182231242</v>
      </c>
      <c r="DO128" t="str">
        <f t="shared" si="99"/>
        <v>Sufficient Capacity</v>
      </c>
      <c r="DP128" t="str">
        <f t="shared" si="100"/>
        <v>Insufficient Capacity</v>
      </c>
    </row>
    <row r="129" spans="1:120" ht="15.75" x14ac:dyDescent="0.25">
      <c r="A129" s="7" t="s">
        <v>182</v>
      </c>
      <c r="B129" s="7" t="s">
        <v>182</v>
      </c>
      <c r="C129" s="2" t="s">
        <v>955</v>
      </c>
      <c r="D129" s="2" t="s">
        <v>571</v>
      </c>
      <c r="E129" s="2" t="s">
        <v>571</v>
      </c>
      <c r="F129" s="2">
        <v>128</v>
      </c>
      <c r="G129" s="2" t="s">
        <v>954</v>
      </c>
      <c r="H129" s="10" t="s">
        <v>656</v>
      </c>
      <c r="I129" s="2">
        <v>150</v>
      </c>
      <c r="J129" s="2">
        <v>65</v>
      </c>
      <c r="K129" s="2">
        <v>7.3</v>
      </c>
      <c r="L129" t="s">
        <v>354</v>
      </c>
      <c r="M129" s="2" t="s">
        <v>1120</v>
      </c>
      <c r="N129" s="2" t="s">
        <v>435</v>
      </c>
      <c r="O129" s="2" t="s">
        <v>673</v>
      </c>
      <c r="P129" s="2" t="s">
        <v>1128</v>
      </c>
      <c r="Q129" s="9" t="s">
        <v>677</v>
      </c>
      <c r="R129" s="2" t="str">
        <f t="shared" si="50"/>
        <v>CW_1_Section_3</v>
      </c>
      <c r="S129" s="2" t="str">
        <f t="shared" si="51"/>
        <v>CW_1_MF10</v>
      </c>
      <c r="T129" s="11" t="s">
        <v>937</v>
      </c>
      <c r="U129" s="1">
        <v>45825</v>
      </c>
      <c r="V129" s="2" t="s">
        <v>692</v>
      </c>
      <c r="W129" s="2" t="s">
        <v>663</v>
      </c>
      <c r="X129" s="2" t="s">
        <v>936</v>
      </c>
      <c r="Y129" s="2" t="str">
        <f t="shared" si="52"/>
        <v>T5_0.60-0.80</v>
      </c>
      <c r="Z129" t="s">
        <v>23</v>
      </c>
      <c r="AA129">
        <v>11</v>
      </c>
      <c r="AB129">
        <v>12</v>
      </c>
      <c r="AC129">
        <v>630</v>
      </c>
      <c r="AD129" s="32">
        <f t="shared" si="53"/>
        <v>0.24196645755985149</v>
      </c>
      <c r="AE129">
        <v>2</v>
      </c>
      <c r="AF129" s="32">
        <f t="shared" si="54"/>
        <v>7.8141957890167139E-4</v>
      </c>
      <c r="AG129">
        <v>560</v>
      </c>
      <c r="AH129" s="32">
        <f t="shared" si="55"/>
        <v>0.22153150607516248</v>
      </c>
      <c r="AI129">
        <v>160</v>
      </c>
      <c r="AJ129" s="32">
        <f t="shared" si="56"/>
        <v>6.3294716021474989E-2</v>
      </c>
      <c r="AK129">
        <v>85</v>
      </c>
      <c r="AL129" s="32">
        <f t="shared" si="57"/>
        <v>3.3625317886408587E-2</v>
      </c>
      <c r="AM129">
        <v>245</v>
      </c>
      <c r="AO129" s="49">
        <v>1449</v>
      </c>
      <c r="AP129" s="49">
        <f t="shared" si="58"/>
        <v>0.46427938321391565</v>
      </c>
      <c r="AQ129">
        <v>2700</v>
      </c>
      <c r="AR129" s="32">
        <f t="shared" si="59"/>
        <v>1.0111570570336272</v>
      </c>
      <c r="AS129" s="48">
        <v>2900</v>
      </c>
      <c r="AT129" s="27">
        <f t="shared" si="60"/>
        <v>1.0860575797768588</v>
      </c>
      <c r="AU129" s="48">
        <v>4</v>
      </c>
      <c r="AV129" s="27">
        <f t="shared" si="61"/>
        <v>1.4718444050200407E-3</v>
      </c>
      <c r="AW129" s="48">
        <v>280</v>
      </c>
      <c r="AX129" s="27">
        <f t="shared" si="62"/>
        <v>0.10531093962778031</v>
      </c>
      <c r="AY129" s="48">
        <v>63</v>
      </c>
      <c r="AZ129" s="27">
        <f t="shared" si="63"/>
        <v>2.3498977259054265E-2</v>
      </c>
      <c r="BA129" s="48">
        <v>34</v>
      </c>
      <c r="BB129" s="27">
        <f t="shared" si="64"/>
        <v>1.2590472984346068E-2</v>
      </c>
      <c r="BC129" s="48">
        <v>4.9000000000000004</v>
      </c>
      <c r="BD129" s="27">
        <f t="shared" si="65"/>
        <v>1.8145093418616396E-3</v>
      </c>
      <c r="BE129" s="48">
        <v>0.7</v>
      </c>
      <c r="BF129" s="27">
        <f t="shared" si="66"/>
        <v>2.5611866501854138E-4</v>
      </c>
      <c r="BG129" s="48">
        <v>0.62</v>
      </c>
      <c r="BH129" s="27">
        <f t="shared" si="67"/>
        <v>2.2684796044499382E-4</v>
      </c>
      <c r="BI129" s="52">
        <f t="shared" si="68"/>
        <v>3287.22</v>
      </c>
      <c r="BJ129" s="52">
        <f t="shared" si="69"/>
        <v>387.21999999999997</v>
      </c>
      <c r="BK129" s="27">
        <f t="shared" si="70"/>
        <v>1.2312272900203847</v>
      </c>
      <c r="BL129" s="27">
        <f t="shared" si="71"/>
        <v>0.14516971024352587</v>
      </c>
      <c r="BM129">
        <v>4400</v>
      </c>
      <c r="BN129">
        <v>1600</v>
      </c>
      <c r="BO129" t="s">
        <v>19</v>
      </c>
      <c r="BP129">
        <v>6000</v>
      </c>
      <c r="BQ129">
        <v>71</v>
      </c>
      <c r="BR129" t="s">
        <v>443</v>
      </c>
      <c r="BS129">
        <v>0.66</v>
      </c>
      <c r="BT129">
        <v>0.23</v>
      </c>
      <c r="BU129">
        <v>21.8</v>
      </c>
      <c r="BV129">
        <v>-51</v>
      </c>
      <c r="BW129">
        <v>7.08</v>
      </c>
      <c r="BX129">
        <v>890</v>
      </c>
      <c r="BY129">
        <v>0.2</v>
      </c>
      <c r="BZ129">
        <v>0.01</v>
      </c>
      <c r="CA129" s="32">
        <v>0.02</v>
      </c>
      <c r="CB129" s="32">
        <f t="shared" si="72"/>
        <v>3.5810205908683976E-4</v>
      </c>
      <c r="CC129" s="32">
        <f t="shared" si="73"/>
        <v>3.5810205908683976E-4</v>
      </c>
      <c r="CD129" s="32">
        <v>0.9</v>
      </c>
      <c r="CE129" s="32">
        <f t="shared" si="74"/>
        <v>1.6384489350081924E-2</v>
      </c>
      <c r="CF129" s="32">
        <f t="shared" si="75"/>
        <v>3.2768978700163848E-2</v>
      </c>
      <c r="CG129" s="27">
        <v>48</v>
      </c>
      <c r="CH129" s="27">
        <f t="shared" si="76"/>
        <v>0.49968769519050593</v>
      </c>
      <c r="CI129" s="27">
        <f t="shared" si="77"/>
        <v>3.9975015615240475</v>
      </c>
      <c r="CJ129" s="58">
        <v>31</v>
      </c>
      <c r="CK129" s="58">
        <v>39.24050632911392</v>
      </c>
      <c r="CL129" s="58">
        <v>2.5817197584842808</v>
      </c>
      <c r="CM129" s="58">
        <v>2.5817197584842808</v>
      </c>
      <c r="CN129" s="28">
        <v>-12</v>
      </c>
      <c r="CO129" s="28">
        <v>-33.333333333333329</v>
      </c>
      <c r="CP129" s="28">
        <v>-0.99937539038101186</v>
      </c>
      <c r="CR129" s="32">
        <f t="shared" si="78"/>
        <v>18.020403914220278</v>
      </c>
      <c r="CS129" s="32">
        <v>18.020403914220278</v>
      </c>
      <c r="CT129" s="32">
        <f t="shared" si="79"/>
        <v>18.040403914220278</v>
      </c>
      <c r="CU129" s="32">
        <f t="shared" si="80"/>
        <v>0.32301528942202823</v>
      </c>
      <c r="CV129" s="32">
        <f t="shared" si="81"/>
        <v>0.32301528942202823</v>
      </c>
      <c r="CW129" s="60">
        <f t="shared" si="82"/>
        <v>-6.9756402248594629</v>
      </c>
      <c r="CY129" s="60">
        <f t="shared" si="83"/>
        <v>0.02</v>
      </c>
      <c r="CZ129" s="60">
        <f t="shared" si="84"/>
        <v>3.5810205908683976E-4</v>
      </c>
      <c r="DA129" s="60">
        <f t="shared" si="85"/>
        <v>3.5810205908683976E-4</v>
      </c>
      <c r="DB129" s="32">
        <f t="shared" si="86"/>
        <v>3.9975015615240475</v>
      </c>
      <c r="DC129">
        <f t="shared" si="87"/>
        <v>2.9375040266064731</v>
      </c>
      <c r="DD129">
        <f t="shared" si="88"/>
        <v>1.1155381712963959E-2</v>
      </c>
      <c r="DE129">
        <f t="shared" si="89"/>
        <v>0.10996250098597786</v>
      </c>
      <c r="DF129">
        <f t="shared" si="90"/>
        <v>0.87888211730105814</v>
      </c>
      <c r="DG129">
        <f t="shared" si="91"/>
        <v>3.3127080759250686E-2</v>
      </c>
      <c r="DH129">
        <f t="shared" si="92"/>
        <v>0.98919005083214773</v>
      </c>
      <c r="DI129">
        <f t="shared" si="93"/>
        <v>1.0809949167852356E-2</v>
      </c>
      <c r="DJ129">
        <f t="shared" si="94"/>
        <v>0</v>
      </c>
      <c r="DK129" s="64">
        <f t="shared" si="95"/>
        <v>-1.4620675863589303</v>
      </c>
      <c r="DL129" s="64">
        <f t="shared" si="96"/>
        <v>1.4423093594882921</v>
      </c>
      <c r="DM129" s="64">
        <f t="shared" si="97"/>
        <v>-1.3168978761154044</v>
      </c>
      <c r="DN129" s="64">
        <f t="shared" si="98"/>
        <v>1.587479069731818</v>
      </c>
      <c r="DO129" t="str">
        <f t="shared" si="99"/>
        <v>Sufficient Capacity</v>
      </c>
      <c r="DP129" t="str">
        <f t="shared" si="100"/>
        <v>Insufficient Capacity</v>
      </c>
    </row>
    <row r="130" spans="1:120" ht="15.75" x14ac:dyDescent="0.25">
      <c r="A130" s="7" t="s">
        <v>183</v>
      </c>
      <c r="B130" s="7" t="s">
        <v>183</v>
      </c>
      <c r="C130" s="2" t="s">
        <v>957</v>
      </c>
      <c r="D130" s="2" t="s">
        <v>572</v>
      </c>
      <c r="E130" s="2" t="s">
        <v>572</v>
      </c>
      <c r="F130" s="2">
        <v>129</v>
      </c>
      <c r="G130" s="2" t="s">
        <v>956</v>
      </c>
      <c r="H130" s="10" t="s">
        <v>656</v>
      </c>
      <c r="I130" s="2">
        <v>150</v>
      </c>
      <c r="J130" s="2">
        <v>65</v>
      </c>
      <c r="K130" s="2">
        <v>6.9</v>
      </c>
      <c r="L130" t="s">
        <v>357</v>
      </c>
      <c r="M130" s="2" t="s">
        <v>1120</v>
      </c>
      <c r="N130" s="2" t="s">
        <v>436</v>
      </c>
      <c r="O130" s="2" t="s">
        <v>653</v>
      </c>
      <c r="P130" s="2" t="s">
        <v>1123</v>
      </c>
      <c r="Q130" s="9" t="s">
        <v>713</v>
      </c>
      <c r="R130" s="2" t="str">
        <f t="shared" si="50"/>
        <v>CW_2_Section_1</v>
      </c>
      <c r="S130" s="2" t="str">
        <f t="shared" si="51"/>
        <v>CW_2_MF01</v>
      </c>
      <c r="T130" s="11" t="s">
        <v>937</v>
      </c>
      <c r="U130" s="1">
        <v>45826</v>
      </c>
      <c r="V130" s="2" t="s">
        <v>692</v>
      </c>
      <c r="W130" s="2" t="s">
        <v>655</v>
      </c>
      <c r="X130" s="2" t="s">
        <v>936</v>
      </c>
      <c r="Y130" s="2" t="str">
        <f t="shared" si="52"/>
        <v>T5_0.15-0.30</v>
      </c>
      <c r="Z130" t="s">
        <v>41</v>
      </c>
      <c r="AA130">
        <v>6.4</v>
      </c>
      <c r="AB130">
        <v>7</v>
      </c>
      <c r="AC130">
        <v>1</v>
      </c>
      <c r="AD130" s="32">
        <f t="shared" si="53"/>
        <v>3.8407374215849446E-4</v>
      </c>
      <c r="AE130">
        <v>0.5</v>
      </c>
      <c r="AF130" s="32">
        <f t="shared" si="54"/>
        <v>1.9535489472541785E-4</v>
      </c>
      <c r="AG130">
        <v>46</v>
      </c>
      <c r="AH130" s="32">
        <f t="shared" si="55"/>
        <v>1.819723085617406E-2</v>
      </c>
      <c r="AI130">
        <v>12</v>
      </c>
      <c r="AJ130" s="32">
        <f t="shared" si="56"/>
        <v>4.7471037016106245E-3</v>
      </c>
      <c r="AK130">
        <v>12</v>
      </c>
      <c r="AL130" s="32">
        <f t="shared" si="57"/>
        <v>4.7471037016106245E-3</v>
      </c>
      <c r="AM130">
        <v>24</v>
      </c>
      <c r="AO130" s="49">
        <v>80.5</v>
      </c>
      <c r="AP130" s="49">
        <f t="shared" si="58"/>
        <v>1.8776659493057974E-2</v>
      </c>
      <c r="AQ130">
        <v>2100</v>
      </c>
      <c r="AR130" s="32">
        <f t="shared" si="59"/>
        <v>0.78645548880393235</v>
      </c>
      <c r="AS130" s="48">
        <v>3400</v>
      </c>
      <c r="AT130" s="27">
        <f t="shared" si="60"/>
        <v>1.273308886634938</v>
      </c>
      <c r="AU130" s="48">
        <v>360</v>
      </c>
      <c r="AV130" s="27">
        <f t="shared" si="61"/>
        <v>0.13246599645180368</v>
      </c>
      <c r="AW130" s="48">
        <v>210</v>
      </c>
      <c r="AX130" s="27">
        <f t="shared" si="62"/>
        <v>7.8983204720835226E-2</v>
      </c>
      <c r="AY130" s="48">
        <v>1.2</v>
      </c>
      <c r="AZ130" s="27">
        <f t="shared" si="63"/>
        <v>4.4759956683912888E-4</v>
      </c>
      <c r="BA130" s="48">
        <v>0.08</v>
      </c>
      <c r="BB130" s="27">
        <f t="shared" si="64"/>
        <v>2.9624642316108399E-5</v>
      </c>
      <c r="BC130" s="48">
        <v>0.01</v>
      </c>
      <c r="BD130" s="27">
        <f t="shared" si="65"/>
        <v>3.7030802895135499E-6</v>
      </c>
      <c r="BE130" s="48">
        <v>0.01</v>
      </c>
      <c r="BF130" s="27">
        <f t="shared" si="66"/>
        <v>3.6588380716934487E-6</v>
      </c>
      <c r="BG130" s="48">
        <v>2E-3</v>
      </c>
      <c r="BH130" s="27">
        <f t="shared" si="67"/>
        <v>7.3176761433868969E-7</v>
      </c>
      <c r="BI130" s="52">
        <f t="shared" si="68"/>
        <v>3971.3020000000001</v>
      </c>
      <c r="BJ130" s="52">
        <f t="shared" si="69"/>
        <v>571.30200000000002</v>
      </c>
      <c r="BK130" s="27">
        <f t="shared" si="70"/>
        <v>1.4852434057027075</v>
      </c>
      <c r="BL130" s="27">
        <f t="shared" si="71"/>
        <v>0.21193451906776967</v>
      </c>
      <c r="BM130">
        <v>3300</v>
      </c>
      <c r="BN130">
        <v>930</v>
      </c>
      <c r="BO130" t="s">
        <v>19</v>
      </c>
      <c r="BP130">
        <v>4200</v>
      </c>
      <c r="BQ130">
        <v>41</v>
      </c>
      <c r="BR130" t="s">
        <v>443</v>
      </c>
      <c r="BS130">
        <v>1.3</v>
      </c>
      <c r="BT130">
        <v>1.89</v>
      </c>
      <c r="BU130">
        <v>22.8</v>
      </c>
      <c r="BV130">
        <v>-69</v>
      </c>
      <c r="BW130">
        <v>7.28</v>
      </c>
      <c r="BX130">
        <v>522</v>
      </c>
      <c r="BY130">
        <v>0.2</v>
      </c>
      <c r="BZ130">
        <v>0.01</v>
      </c>
      <c r="CA130" s="32">
        <v>0.9</v>
      </c>
      <c r="CB130" s="32">
        <f t="shared" si="72"/>
        <v>1.611459265890779E-2</v>
      </c>
      <c r="CC130" s="32">
        <f t="shared" si="73"/>
        <v>1.611459265890779E-2</v>
      </c>
      <c r="CD130" s="32">
        <v>0.05</v>
      </c>
      <c r="CE130" s="32">
        <f t="shared" si="74"/>
        <v>9.1024940833788468E-4</v>
      </c>
      <c r="CF130" s="32">
        <f t="shared" si="75"/>
        <v>1.8204988166757694E-3</v>
      </c>
      <c r="CG130" s="27">
        <v>41</v>
      </c>
      <c r="CH130" s="27">
        <f t="shared" si="76"/>
        <v>0.4268165729752238</v>
      </c>
      <c r="CI130" s="27">
        <f t="shared" si="77"/>
        <v>3.4145325838017904</v>
      </c>
      <c r="CJ130" s="58">
        <v>38</v>
      </c>
      <c r="CK130" s="58">
        <v>48.101265822784811</v>
      </c>
      <c r="CL130" s="58">
        <v>3.1646887362065375</v>
      </c>
      <c r="CM130" s="58">
        <v>3.1646887362065375</v>
      </c>
      <c r="CN130" s="28">
        <v>38</v>
      </c>
      <c r="CO130" s="28">
        <v>48.101265822784811</v>
      </c>
      <c r="CP130" s="28">
        <v>3.1646887362065375</v>
      </c>
      <c r="CQ130" s="28">
        <v>3.1646887362065375</v>
      </c>
      <c r="CR130" s="32">
        <f t="shared" si="78"/>
        <v>22.08952737872163</v>
      </c>
      <c r="CS130" s="32">
        <v>22.08952737872163</v>
      </c>
      <c r="CT130" s="32">
        <f t="shared" si="79"/>
        <v>22.989527378721629</v>
      </c>
      <c r="CU130" s="32">
        <f t="shared" si="80"/>
        <v>0.41162985458767465</v>
      </c>
      <c r="CV130" s="32">
        <f t="shared" si="81"/>
        <v>0.41162985458767465</v>
      </c>
      <c r="CW130" s="60">
        <f t="shared" si="82"/>
        <v>22.08952737872163</v>
      </c>
      <c r="CX130" s="60">
        <v>22.08952737872163</v>
      </c>
      <c r="CY130" s="60">
        <f t="shared" si="83"/>
        <v>22.989527378721629</v>
      </c>
      <c r="CZ130" s="60">
        <f t="shared" si="84"/>
        <v>0.41162985458767465</v>
      </c>
      <c r="DA130" s="60">
        <f t="shared" si="85"/>
        <v>0.41162985458767465</v>
      </c>
      <c r="DB130" s="32">
        <f t="shared" si="86"/>
        <v>3.4145325838017904</v>
      </c>
      <c r="DC130">
        <f t="shared" si="87"/>
        <v>3.5781390896108878</v>
      </c>
      <c r="DD130">
        <f t="shared" si="88"/>
        <v>5.0878369204863504E-4</v>
      </c>
      <c r="DE130">
        <f t="shared" si="89"/>
        <v>0.11504020505598574</v>
      </c>
      <c r="DF130">
        <f t="shared" si="90"/>
        <v>0.88445101125196568</v>
      </c>
      <c r="DG130">
        <f t="shared" si="91"/>
        <v>3.5781390896108878</v>
      </c>
      <c r="DH130">
        <f t="shared" si="92"/>
        <v>5.0878369204863504E-4</v>
      </c>
      <c r="DI130">
        <f t="shared" si="93"/>
        <v>0.11504020505598574</v>
      </c>
      <c r="DJ130">
        <f t="shared" si="94"/>
        <v>0.88445101125196568</v>
      </c>
      <c r="DK130" s="64">
        <f t="shared" si="95"/>
        <v>-2.7729069413138974</v>
      </c>
      <c r="DL130" s="64">
        <f t="shared" si="96"/>
        <v>-2.7729069413138974</v>
      </c>
      <c r="DM130" s="64">
        <f t="shared" si="97"/>
        <v>-2.5609724222461279</v>
      </c>
      <c r="DN130" s="64">
        <f t="shared" si="98"/>
        <v>-2.5609724222461279</v>
      </c>
      <c r="DO130" t="str">
        <f t="shared" si="99"/>
        <v>Sufficient Capacity</v>
      </c>
      <c r="DP130" t="str">
        <f t="shared" si="100"/>
        <v>Sufficient Capacity</v>
      </c>
    </row>
    <row r="131" spans="1:120" ht="15.75" x14ac:dyDescent="0.25">
      <c r="A131" s="7" t="s">
        <v>184</v>
      </c>
      <c r="B131" s="7" t="s">
        <v>184</v>
      </c>
      <c r="C131" s="2" t="s">
        <v>959</v>
      </c>
      <c r="D131" s="2" t="s">
        <v>573</v>
      </c>
      <c r="E131" s="2" t="s">
        <v>573</v>
      </c>
      <c r="F131" s="2">
        <v>130</v>
      </c>
      <c r="G131" s="2" t="s">
        <v>958</v>
      </c>
      <c r="H131" s="10" t="s">
        <v>656</v>
      </c>
      <c r="I131" s="2">
        <v>150</v>
      </c>
      <c r="J131" s="2">
        <v>65</v>
      </c>
      <c r="K131" s="2">
        <v>10.6</v>
      </c>
      <c r="L131" t="s">
        <v>358</v>
      </c>
      <c r="M131" s="2" t="s">
        <v>1120</v>
      </c>
      <c r="N131" s="2" t="s">
        <v>436</v>
      </c>
      <c r="O131" s="2" t="s">
        <v>653</v>
      </c>
      <c r="P131" s="2" t="s">
        <v>1124</v>
      </c>
      <c r="Q131" s="9" t="s">
        <v>716</v>
      </c>
      <c r="R131" s="2" t="str">
        <f t="shared" ref="R131:R194" si="101">$N131&amp;"_"&amp;$O131</f>
        <v>CW_2_Section_1</v>
      </c>
      <c r="S131" s="2" t="str">
        <f t="shared" ref="S131:S194" si="102">$N131&amp;"_"&amp;$P131</f>
        <v>CW_2_MF02</v>
      </c>
      <c r="T131" s="11" t="s">
        <v>937</v>
      </c>
      <c r="U131" s="1">
        <v>45826</v>
      </c>
      <c r="V131" s="2" t="s">
        <v>692</v>
      </c>
      <c r="W131" s="2" t="s">
        <v>663</v>
      </c>
      <c r="X131" s="2" t="s">
        <v>936</v>
      </c>
      <c r="Y131" s="2" t="str">
        <f t="shared" ref="Y131:Y194" si="103">$X131&amp;"_"&amp;$W131</f>
        <v>T5_0.60-0.80</v>
      </c>
      <c r="Z131" t="s">
        <v>43</v>
      </c>
      <c r="AA131">
        <v>3.9</v>
      </c>
      <c r="AB131">
        <v>4.7</v>
      </c>
      <c r="AC131">
        <v>3.7</v>
      </c>
      <c r="AD131" s="32">
        <f t="shared" si="53"/>
        <v>1.4210728459864296E-3</v>
      </c>
      <c r="AE131">
        <v>0.41</v>
      </c>
      <c r="AF131" s="32">
        <f t="shared" si="54"/>
        <v>1.6019101367484263E-4</v>
      </c>
      <c r="AG131">
        <v>10</v>
      </c>
      <c r="AH131" s="32">
        <f t="shared" si="55"/>
        <v>3.9559197513421868E-3</v>
      </c>
      <c r="AI131">
        <v>5.8</v>
      </c>
      <c r="AJ131" s="32">
        <f t="shared" si="56"/>
        <v>2.2944334557784686E-3</v>
      </c>
      <c r="AK131">
        <v>5.2</v>
      </c>
      <c r="AL131" s="32">
        <f t="shared" si="57"/>
        <v>2.0570782706979375E-3</v>
      </c>
      <c r="AM131">
        <v>11</v>
      </c>
      <c r="AO131" s="49">
        <v>25.11</v>
      </c>
      <c r="AP131" s="49">
        <f t="shared" si="58"/>
        <v>5.537183611003459E-3</v>
      </c>
      <c r="AQ131">
        <v>39</v>
      </c>
      <c r="AR131" s="32">
        <f t="shared" si="59"/>
        <v>1.4605601934930171E-2</v>
      </c>
      <c r="AS131" s="48">
        <v>0.02</v>
      </c>
      <c r="AT131" s="27">
        <f t="shared" si="60"/>
        <v>7.4900522743231651E-6</v>
      </c>
      <c r="AU131" s="48">
        <v>0.01</v>
      </c>
      <c r="AV131" s="27">
        <f t="shared" si="61"/>
        <v>3.6796110125501018E-6</v>
      </c>
      <c r="AW131" s="48">
        <v>0.01</v>
      </c>
      <c r="AX131" s="27">
        <f t="shared" si="62"/>
        <v>3.7611049867064394E-6</v>
      </c>
      <c r="AY131" s="48">
        <v>5.0000000000000001E-3</v>
      </c>
      <c r="AZ131" s="27">
        <f t="shared" si="63"/>
        <v>1.8649981951630372E-6</v>
      </c>
      <c r="BA131" s="48">
        <v>1E-3</v>
      </c>
      <c r="BB131" s="27">
        <f t="shared" si="64"/>
        <v>3.7030802895135499E-7</v>
      </c>
      <c r="BC131" s="48">
        <v>1E-3</v>
      </c>
      <c r="BD131" s="27">
        <f t="shared" si="65"/>
        <v>3.7030802895135499E-7</v>
      </c>
      <c r="BE131" s="48">
        <v>0.01</v>
      </c>
      <c r="BF131" s="27">
        <f t="shared" si="66"/>
        <v>3.6588380716934487E-6</v>
      </c>
      <c r="BG131" s="48">
        <v>2E-3</v>
      </c>
      <c r="BH131" s="27">
        <f t="shared" si="67"/>
        <v>7.3176761433868969E-7</v>
      </c>
      <c r="BI131" s="52">
        <f t="shared" si="68"/>
        <v>5.9000000000000004E-2</v>
      </c>
      <c r="BJ131" s="52">
        <f t="shared" si="69"/>
        <v>3.9000000000000007E-2</v>
      </c>
      <c r="BK131" s="27">
        <f t="shared" si="70"/>
        <v>2.1926988212677595E-5</v>
      </c>
      <c r="BL131" s="27">
        <f t="shared" si="71"/>
        <v>1.4436935938354425E-5</v>
      </c>
      <c r="BM131">
        <v>95</v>
      </c>
      <c r="BN131">
        <v>160</v>
      </c>
      <c r="BO131" t="s">
        <v>19</v>
      </c>
      <c r="BP131">
        <v>250</v>
      </c>
      <c r="BQ131">
        <v>43</v>
      </c>
      <c r="BR131" t="s">
        <v>443</v>
      </c>
      <c r="BS131">
        <v>0.34</v>
      </c>
      <c r="BT131">
        <v>0.98</v>
      </c>
      <c r="BU131">
        <v>23.8</v>
      </c>
      <c r="BV131">
        <v>-59</v>
      </c>
      <c r="BW131">
        <v>7.14</v>
      </c>
      <c r="BX131">
        <v>811</v>
      </c>
      <c r="BY131">
        <v>0.2</v>
      </c>
      <c r="BZ131">
        <v>0.01</v>
      </c>
      <c r="CA131" s="32">
        <v>0.3</v>
      </c>
      <c r="CB131" s="32">
        <f t="shared" si="72"/>
        <v>5.3715308863025958E-3</v>
      </c>
      <c r="CC131" s="32">
        <f t="shared" si="73"/>
        <v>5.3715308863025958E-3</v>
      </c>
      <c r="CD131" s="32">
        <v>0.05</v>
      </c>
      <c r="CE131" s="32">
        <f t="shared" si="74"/>
        <v>9.1024940833788468E-4</v>
      </c>
      <c r="CF131" s="32">
        <f t="shared" si="75"/>
        <v>1.8204988166757694E-3</v>
      </c>
      <c r="CG131" s="27">
        <v>41</v>
      </c>
      <c r="CH131" s="27">
        <f t="shared" si="76"/>
        <v>0.4268165729752238</v>
      </c>
      <c r="CI131" s="27">
        <f t="shared" si="77"/>
        <v>3.4145325838017904</v>
      </c>
      <c r="CJ131" s="58">
        <v>38</v>
      </c>
      <c r="CK131" s="58">
        <v>48.101265822784811</v>
      </c>
      <c r="CL131" s="58">
        <v>3.1646887362065375</v>
      </c>
      <c r="CM131" s="58">
        <v>3.1646887362065375</v>
      </c>
      <c r="CN131" s="28">
        <v>38</v>
      </c>
      <c r="CO131" s="28">
        <v>48.101265822784811</v>
      </c>
      <c r="CP131" s="28">
        <v>3.1646887362065375</v>
      </c>
      <c r="CQ131" s="28">
        <v>3.1646887362065375</v>
      </c>
      <c r="CR131" s="32">
        <f t="shared" si="78"/>
        <v>22.08952737872163</v>
      </c>
      <c r="CS131" s="32">
        <v>22.08952737872163</v>
      </c>
      <c r="CT131" s="32">
        <f t="shared" si="79"/>
        <v>22.389527378721631</v>
      </c>
      <c r="CU131" s="32">
        <f t="shared" si="80"/>
        <v>0.4008867928150695</v>
      </c>
      <c r="CV131" s="32">
        <f t="shared" si="81"/>
        <v>0.4008867928150695</v>
      </c>
      <c r="CW131" s="60">
        <f t="shared" si="82"/>
        <v>22.08952737872163</v>
      </c>
      <c r="CX131" s="60">
        <v>22.08952737872163</v>
      </c>
      <c r="CY131" s="60">
        <f t="shared" si="83"/>
        <v>22.389527378721631</v>
      </c>
      <c r="CZ131" s="60">
        <f t="shared" si="84"/>
        <v>0.4008867928150695</v>
      </c>
      <c r="DA131" s="60">
        <f t="shared" si="85"/>
        <v>0.4008867928150695</v>
      </c>
      <c r="DB131" s="32">
        <f t="shared" si="86"/>
        <v>3.4145325838017904</v>
      </c>
      <c r="DC131">
        <f t="shared" si="87"/>
        <v>3.5673960278382828</v>
      </c>
      <c r="DD131">
        <f t="shared" si="88"/>
        <v>5.1031587254945956E-4</v>
      </c>
      <c r="DE131">
        <f t="shared" si="89"/>
        <v>0.11237518618250883</v>
      </c>
      <c r="DF131">
        <f t="shared" si="90"/>
        <v>0.88711449794494168</v>
      </c>
      <c r="DG131">
        <f t="shared" si="91"/>
        <v>3.5673960278382828</v>
      </c>
      <c r="DH131">
        <f t="shared" si="92"/>
        <v>5.1031587254945956E-4</v>
      </c>
      <c r="DI131">
        <f t="shared" si="93"/>
        <v>0.11237518618250883</v>
      </c>
      <c r="DJ131">
        <f t="shared" si="94"/>
        <v>0.88711449794494168</v>
      </c>
      <c r="DK131" s="64">
        <f t="shared" si="95"/>
        <v>-3.5472532422923493</v>
      </c>
      <c r="DL131" s="64">
        <f t="shared" si="96"/>
        <v>-3.5472532422923493</v>
      </c>
      <c r="DM131" s="64">
        <f t="shared" si="97"/>
        <v>-3.547238805356411</v>
      </c>
      <c r="DN131" s="64">
        <f t="shared" si="98"/>
        <v>-3.547238805356411</v>
      </c>
      <c r="DO131" t="str">
        <f t="shared" si="99"/>
        <v>Sufficient Capacity</v>
      </c>
      <c r="DP131" t="str">
        <f t="shared" si="100"/>
        <v>Sufficient Capacity</v>
      </c>
    </row>
    <row r="132" spans="1:120" ht="15.75" x14ac:dyDescent="0.25">
      <c r="A132" s="7" t="s">
        <v>185</v>
      </c>
      <c r="B132" s="7" t="s">
        <v>185</v>
      </c>
      <c r="C132" s="2" t="s">
        <v>961</v>
      </c>
      <c r="D132" s="2" t="s">
        <v>574</v>
      </c>
      <c r="E132" s="2" t="s">
        <v>574</v>
      </c>
      <c r="F132" s="2">
        <v>131</v>
      </c>
      <c r="G132" s="2" t="s">
        <v>960</v>
      </c>
      <c r="H132" s="10" t="s">
        <v>656</v>
      </c>
      <c r="I132" s="2">
        <v>150</v>
      </c>
      <c r="J132" s="2">
        <v>65</v>
      </c>
      <c r="K132" s="2">
        <v>18.850000000000001</v>
      </c>
      <c r="L132" t="s">
        <v>359</v>
      </c>
      <c r="M132" s="2" t="s">
        <v>1120</v>
      </c>
      <c r="N132" s="2" t="s">
        <v>436</v>
      </c>
      <c r="O132" s="2" t="s">
        <v>666</v>
      </c>
      <c r="P132" s="2" t="s">
        <v>1131</v>
      </c>
      <c r="Q132" s="9" t="s">
        <v>719</v>
      </c>
      <c r="R132" s="2" t="str">
        <f t="shared" si="101"/>
        <v>CW_2_Section_2</v>
      </c>
      <c r="S132" s="2" t="str">
        <f t="shared" si="102"/>
        <v>CW_2_MF05</v>
      </c>
      <c r="T132" s="11" t="s">
        <v>937</v>
      </c>
      <c r="U132" s="1">
        <v>45826</v>
      </c>
      <c r="V132" s="2" t="s">
        <v>692</v>
      </c>
      <c r="W132" s="2" t="s">
        <v>655</v>
      </c>
      <c r="X132" s="2" t="s">
        <v>936</v>
      </c>
      <c r="Y132" s="2" t="str">
        <f t="shared" si="103"/>
        <v>T5_0.15-0.30</v>
      </c>
      <c r="Z132" t="s">
        <v>35</v>
      </c>
      <c r="AA132">
        <v>15</v>
      </c>
      <c r="AB132">
        <v>16</v>
      </c>
      <c r="AC132">
        <v>3.2</v>
      </c>
      <c r="AD132" s="32">
        <f t="shared" si="53"/>
        <v>1.2290359749071824E-3</v>
      </c>
      <c r="AE132">
        <v>0.02</v>
      </c>
      <c r="AF132" s="32">
        <f t="shared" si="54"/>
        <v>7.8141957890167132E-6</v>
      </c>
      <c r="AG132">
        <v>1.1000000000000001</v>
      </c>
      <c r="AH132" s="32">
        <f t="shared" si="55"/>
        <v>4.3515117264764059E-4</v>
      </c>
      <c r="AI132">
        <v>2</v>
      </c>
      <c r="AJ132" s="32">
        <f t="shared" si="56"/>
        <v>7.9118395026843739E-4</v>
      </c>
      <c r="AK132">
        <v>1.3</v>
      </c>
      <c r="AL132" s="32">
        <f t="shared" si="57"/>
        <v>5.1426956767448438E-4</v>
      </c>
      <c r="AM132">
        <v>3.3</v>
      </c>
      <c r="AO132" s="49">
        <v>7.74</v>
      </c>
      <c r="AP132" s="49">
        <f t="shared" si="58"/>
        <v>1.6720013433438397E-3</v>
      </c>
      <c r="AQ132">
        <v>6.6</v>
      </c>
      <c r="AR132" s="32">
        <f t="shared" si="59"/>
        <v>2.4717172505266441E-3</v>
      </c>
      <c r="AS132" s="48">
        <v>0.08</v>
      </c>
      <c r="AT132" s="27">
        <f t="shared" si="60"/>
        <v>2.996020909729266E-5</v>
      </c>
      <c r="AU132" s="48">
        <v>0.01</v>
      </c>
      <c r="AV132" s="27">
        <f t="shared" si="61"/>
        <v>3.6796110125501018E-6</v>
      </c>
      <c r="AW132" s="48">
        <v>0.53</v>
      </c>
      <c r="AX132" s="27">
        <f t="shared" si="62"/>
        <v>1.9933856429544129E-4</v>
      </c>
      <c r="AY132" s="48">
        <v>0.1</v>
      </c>
      <c r="AZ132" s="27">
        <f t="shared" si="63"/>
        <v>3.729996390326074E-5</v>
      </c>
      <c r="BA132" s="48">
        <v>1E-3</v>
      </c>
      <c r="BB132" s="27">
        <f t="shared" si="64"/>
        <v>3.7030802895135499E-7</v>
      </c>
      <c r="BC132" s="48">
        <v>1E-3</v>
      </c>
      <c r="BD132" s="27">
        <f t="shared" si="65"/>
        <v>3.7030802895135499E-7</v>
      </c>
      <c r="BE132" s="48">
        <v>1E-3</v>
      </c>
      <c r="BF132" s="27">
        <f t="shared" si="66"/>
        <v>3.6588380716934485E-7</v>
      </c>
      <c r="BG132" s="48">
        <v>2E-3</v>
      </c>
      <c r="BH132" s="27">
        <f t="shared" si="67"/>
        <v>7.3176761433868969E-7</v>
      </c>
      <c r="BI132" s="52">
        <f t="shared" si="68"/>
        <v>0.72499999999999998</v>
      </c>
      <c r="BJ132" s="52">
        <f t="shared" si="69"/>
        <v>0.64500000000000002</v>
      </c>
      <c r="BK132" s="27">
        <f t="shared" si="70"/>
        <v>2.7211661578795549E-4</v>
      </c>
      <c r="BL132" s="27">
        <f t="shared" si="71"/>
        <v>2.4215640669066288E-4</v>
      </c>
      <c r="BM132">
        <v>2.5</v>
      </c>
      <c r="BN132">
        <v>2.5</v>
      </c>
      <c r="BO132" t="s">
        <v>19</v>
      </c>
      <c r="BP132">
        <v>5</v>
      </c>
      <c r="BQ132">
        <v>45</v>
      </c>
      <c r="BR132" t="s">
        <v>443</v>
      </c>
      <c r="BS132">
        <v>1.6</v>
      </c>
      <c r="BT132">
        <v>3.88</v>
      </c>
      <c r="BU132">
        <v>23.8</v>
      </c>
      <c r="BV132">
        <v>-78</v>
      </c>
      <c r="BW132">
        <v>7.15</v>
      </c>
      <c r="BX132">
        <v>625</v>
      </c>
      <c r="BY132">
        <v>0.1</v>
      </c>
      <c r="BZ132">
        <v>0.01</v>
      </c>
      <c r="CA132" s="32">
        <v>12</v>
      </c>
      <c r="CB132" s="32">
        <f t="shared" si="72"/>
        <v>0.21486123545210384</v>
      </c>
      <c r="CC132" s="32">
        <f t="shared" si="73"/>
        <v>0.21486123545210384</v>
      </c>
      <c r="CD132" s="32">
        <v>5.2</v>
      </c>
      <c r="CE132" s="32">
        <f t="shared" si="74"/>
        <v>9.4665938467139998E-2</v>
      </c>
      <c r="CF132" s="32">
        <f t="shared" si="75"/>
        <v>0.18933187693428</v>
      </c>
      <c r="CG132" s="27">
        <v>31</v>
      </c>
      <c r="CH132" s="27">
        <f t="shared" si="76"/>
        <v>0.3227149698105351</v>
      </c>
      <c r="CI132" s="27">
        <f t="shared" si="77"/>
        <v>2.5817197584842808</v>
      </c>
      <c r="CJ132" s="58">
        <v>48</v>
      </c>
      <c r="CK132" s="58">
        <v>60.75949367088608</v>
      </c>
      <c r="CL132" s="58">
        <v>3.9975015615240475</v>
      </c>
      <c r="CM132" s="58">
        <v>3.9975015615240475</v>
      </c>
      <c r="CN132" s="28">
        <v>10</v>
      </c>
      <c r="CO132" s="28">
        <v>24.390243902439025</v>
      </c>
      <c r="CP132" s="28">
        <v>0.83281282531750989</v>
      </c>
      <c r="CQ132" s="28">
        <v>0.83281282531750989</v>
      </c>
      <c r="CR132" s="32">
        <f t="shared" si="78"/>
        <v>27.902560899437852</v>
      </c>
      <c r="CS132" s="32">
        <v>27.902560899437852</v>
      </c>
      <c r="CT132" s="32">
        <f t="shared" si="79"/>
        <v>39.902560899437852</v>
      </c>
      <c r="CU132" s="32">
        <f t="shared" si="80"/>
        <v>0.71445946104633573</v>
      </c>
      <c r="CV132" s="32">
        <f t="shared" si="81"/>
        <v>0.71445946104633573</v>
      </c>
      <c r="CW132" s="60">
        <f t="shared" si="82"/>
        <v>5.8130335207162185</v>
      </c>
      <c r="CX132" s="60">
        <v>5.8130335207162185</v>
      </c>
      <c r="CY132" s="60">
        <f t="shared" si="83"/>
        <v>17.813033520716218</v>
      </c>
      <c r="CZ132" s="60">
        <f t="shared" si="84"/>
        <v>0.31894419911756877</v>
      </c>
      <c r="DA132" s="60">
        <f t="shared" si="85"/>
        <v>0.31894419911756877</v>
      </c>
      <c r="DB132" s="32">
        <f t="shared" si="86"/>
        <v>2.5817197584842808</v>
      </c>
      <c r="DC132">
        <f t="shared" si="87"/>
        <v>4.9012928995046634</v>
      </c>
      <c r="DD132">
        <f t="shared" si="88"/>
        <v>3.8628966033312215E-2</v>
      </c>
      <c r="DE132">
        <f t="shared" si="89"/>
        <v>0.14576959094171676</v>
      </c>
      <c r="DF132">
        <f t="shared" si="90"/>
        <v>0.81560144302497095</v>
      </c>
      <c r="DG132">
        <f t="shared" si="91"/>
        <v>1.3410889013693588</v>
      </c>
      <c r="DH132">
        <f t="shared" si="92"/>
        <v>0.14117772262596243</v>
      </c>
      <c r="DI132">
        <f t="shared" si="93"/>
        <v>0.23782479952813068</v>
      </c>
      <c r="DJ132">
        <f t="shared" si="94"/>
        <v>0.62099747784590686</v>
      </c>
      <c r="DK132" s="64">
        <f t="shared" si="95"/>
        <v>-4.8971491809107928</v>
      </c>
      <c r="DL132" s="64">
        <f t="shared" si="96"/>
        <v>-1.3369451827754883</v>
      </c>
      <c r="DM132" s="64">
        <f t="shared" si="97"/>
        <v>-4.8969070245041024</v>
      </c>
      <c r="DN132" s="64">
        <f t="shared" si="98"/>
        <v>-1.3367030263687976</v>
      </c>
      <c r="DO132" t="str">
        <f t="shared" si="99"/>
        <v>Sufficient Capacity</v>
      </c>
      <c r="DP132" t="str">
        <f t="shared" si="100"/>
        <v>Sufficient Capacity</v>
      </c>
    </row>
    <row r="133" spans="1:120" ht="15.75" x14ac:dyDescent="0.25">
      <c r="A133" s="7" t="s">
        <v>186</v>
      </c>
      <c r="B133" s="7" t="s">
        <v>186</v>
      </c>
      <c r="C133" s="2" t="s">
        <v>963</v>
      </c>
      <c r="D133" s="2" t="s">
        <v>575</v>
      </c>
      <c r="E133" s="2" t="s">
        <v>575</v>
      </c>
      <c r="F133" s="2">
        <v>132</v>
      </c>
      <c r="G133" s="2" t="s">
        <v>962</v>
      </c>
      <c r="H133" s="10" t="s">
        <v>656</v>
      </c>
      <c r="I133" s="2">
        <v>150</v>
      </c>
      <c r="J133" s="2">
        <v>65</v>
      </c>
      <c r="K133" s="2">
        <v>2.4</v>
      </c>
      <c r="L133" t="s">
        <v>360</v>
      </c>
      <c r="M133" s="2" t="s">
        <v>1120</v>
      </c>
      <c r="N133" s="2" t="s">
        <v>436</v>
      </c>
      <c r="O133" s="2" t="s">
        <v>666</v>
      </c>
      <c r="P133" s="2" t="s">
        <v>1132</v>
      </c>
      <c r="Q133" s="9" t="s">
        <v>722</v>
      </c>
      <c r="R133" s="2" t="str">
        <f t="shared" si="101"/>
        <v>CW_2_Section_2</v>
      </c>
      <c r="S133" s="2" t="str">
        <f t="shared" si="102"/>
        <v>CW_2_MF06</v>
      </c>
      <c r="T133" s="11" t="s">
        <v>937</v>
      </c>
      <c r="U133" s="1">
        <v>45826</v>
      </c>
      <c r="V133" s="2" t="s">
        <v>692</v>
      </c>
      <c r="W133" s="2" t="s">
        <v>663</v>
      </c>
      <c r="X133" s="2" t="s">
        <v>936</v>
      </c>
      <c r="Y133" s="2" t="str">
        <f t="shared" si="103"/>
        <v>T5_0.60-0.80</v>
      </c>
      <c r="Z133" t="s">
        <v>37</v>
      </c>
      <c r="AA133">
        <v>6.1</v>
      </c>
      <c r="AB133">
        <v>7.2</v>
      </c>
      <c r="AC133">
        <v>83</v>
      </c>
      <c r="AD133" s="32">
        <f t="shared" si="53"/>
        <v>3.1878120599155034E-2</v>
      </c>
      <c r="AE133">
        <v>0.5</v>
      </c>
      <c r="AF133" s="32">
        <f t="shared" si="54"/>
        <v>1.9535489472541785E-4</v>
      </c>
      <c r="AG133">
        <v>100</v>
      </c>
      <c r="AH133" s="32">
        <f t="shared" si="55"/>
        <v>3.9559197513421872E-2</v>
      </c>
      <c r="AI133">
        <v>26</v>
      </c>
      <c r="AJ133" s="32">
        <f t="shared" si="56"/>
        <v>1.0285391353489687E-2</v>
      </c>
      <c r="AK133">
        <v>19</v>
      </c>
      <c r="AL133" s="32">
        <f t="shared" si="57"/>
        <v>7.5162475275501557E-3</v>
      </c>
      <c r="AM133">
        <v>45</v>
      </c>
      <c r="AO133" s="49">
        <v>231.5</v>
      </c>
      <c r="AP133" s="49">
        <f t="shared" si="58"/>
        <v>7.1632673007302333E-2</v>
      </c>
      <c r="AQ133">
        <v>680</v>
      </c>
      <c r="AR133" s="32">
        <f t="shared" si="59"/>
        <v>0.25466177732698758</v>
      </c>
      <c r="AS133" s="48">
        <v>1900</v>
      </c>
      <c r="AT133" s="27">
        <f t="shared" si="60"/>
        <v>0.71155496606070068</v>
      </c>
      <c r="AU133" s="48">
        <v>230</v>
      </c>
      <c r="AV133" s="27">
        <f t="shared" si="61"/>
        <v>8.4631053288652336E-2</v>
      </c>
      <c r="AW133" s="48">
        <v>270</v>
      </c>
      <c r="AX133" s="27">
        <f t="shared" si="62"/>
        <v>0.10154983464107385</v>
      </c>
      <c r="AY133" s="48">
        <v>100</v>
      </c>
      <c r="AZ133" s="27">
        <f t="shared" si="63"/>
        <v>3.7299963903260742E-2</v>
      </c>
      <c r="BA133" s="48">
        <v>31</v>
      </c>
      <c r="BB133" s="27">
        <f t="shared" si="64"/>
        <v>1.1479548897492003E-2</v>
      </c>
      <c r="BC133" s="48">
        <v>1.2</v>
      </c>
      <c r="BD133" s="27">
        <f t="shared" si="65"/>
        <v>4.4436963474162597E-4</v>
      </c>
      <c r="BE133" s="48">
        <v>0.13</v>
      </c>
      <c r="BF133" s="27">
        <f t="shared" si="66"/>
        <v>4.7564894932014834E-5</v>
      </c>
      <c r="BG133" s="48">
        <v>0.1</v>
      </c>
      <c r="BH133" s="27">
        <f t="shared" si="67"/>
        <v>3.6588380716934496E-5</v>
      </c>
      <c r="BI133" s="52">
        <f t="shared" si="68"/>
        <v>2532.4299999999998</v>
      </c>
      <c r="BJ133" s="52">
        <f t="shared" si="69"/>
        <v>632.43000000000006</v>
      </c>
      <c r="BK133" s="27">
        <f t="shared" si="70"/>
        <v>0.94704388970157016</v>
      </c>
      <c r="BL133" s="27">
        <f t="shared" si="71"/>
        <v>0.23548892364086951</v>
      </c>
      <c r="BM133">
        <v>1200</v>
      </c>
      <c r="BN133">
        <v>640</v>
      </c>
      <c r="BO133" t="s">
        <v>19</v>
      </c>
      <c r="BP133">
        <v>1800</v>
      </c>
      <c r="BQ133">
        <v>45</v>
      </c>
      <c r="BR133" t="s">
        <v>443</v>
      </c>
      <c r="BS133">
        <v>0.53</v>
      </c>
      <c r="BT133">
        <v>0.98</v>
      </c>
      <c r="BU133">
        <v>22</v>
      </c>
      <c r="BV133">
        <v>-66</v>
      </c>
      <c r="BW133">
        <v>7.13</v>
      </c>
      <c r="BX133">
        <v>659</v>
      </c>
      <c r="BY133">
        <v>0.2</v>
      </c>
      <c r="BZ133">
        <v>0.01</v>
      </c>
      <c r="CA133" s="32">
        <v>0.6</v>
      </c>
      <c r="CB133" s="32">
        <f t="shared" si="72"/>
        <v>1.0743061772605192E-2</v>
      </c>
      <c r="CC133" s="32">
        <f t="shared" si="73"/>
        <v>1.0743061772605192E-2</v>
      </c>
      <c r="CD133" s="32">
        <v>0.8</v>
      </c>
      <c r="CE133" s="32">
        <f t="shared" si="74"/>
        <v>1.4563990533406155E-2</v>
      </c>
      <c r="CF133" s="32">
        <f t="shared" si="75"/>
        <v>2.912798106681231E-2</v>
      </c>
      <c r="CG133" s="27">
        <v>33</v>
      </c>
      <c r="CH133" s="27">
        <f t="shared" si="76"/>
        <v>0.34353529044347281</v>
      </c>
      <c r="CI133" s="27">
        <f t="shared" si="77"/>
        <v>2.7482823235477825</v>
      </c>
      <c r="CJ133" s="58">
        <v>46</v>
      </c>
      <c r="CK133" s="58">
        <v>58.22784810126582</v>
      </c>
      <c r="CL133" s="58">
        <v>3.8309389964605454</v>
      </c>
      <c r="CM133" s="58">
        <v>3.8309389964605454</v>
      </c>
      <c r="CN133" s="28">
        <v>8</v>
      </c>
      <c r="CO133" s="28">
        <v>19.512195121951219</v>
      </c>
      <c r="CP133" s="28">
        <v>0.66625026025400791</v>
      </c>
      <c r="CQ133" s="28">
        <v>0.66625026025400791</v>
      </c>
      <c r="CR133" s="32">
        <f t="shared" si="78"/>
        <v>26.739954195294604</v>
      </c>
      <c r="CS133" s="32">
        <v>26.739954195294604</v>
      </c>
      <c r="CT133" s="32">
        <f t="shared" si="79"/>
        <v>27.339954195294606</v>
      </c>
      <c r="CU133" s="32">
        <f t="shared" si="80"/>
        <v>0.48952469463374404</v>
      </c>
      <c r="CV133" s="32">
        <f t="shared" si="81"/>
        <v>0.48952469463374404</v>
      </c>
      <c r="CW133" s="60">
        <f t="shared" si="82"/>
        <v>4.650426816572975</v>
      </c>
      <c r="CX133" s="60">
        <v>4.650426816572975</v>
      </c>
      <c r="CY133" s="60">
        <f t="shared" si="83"/>
        <v>5.2504268165729746</v>
      </c>
      <c r="CZ133" s="60">
        <f t="shared" si="84"/>
        <v>9.4009432704977164E-2</v>
      </c>
      <c r="DA133" s="60">
        <f t="shared" si="85"/>
        <v>9.4009432704977164E-2</v>
      </c>
      <c r="DB133" s="32">
        <f t="shared" si="86"/>
        <v>2.7482823235477825</v>
      </c>
      <c r="DC133">
        <f t="shared" si="87"/>
        <v>4.3495916721611021</v>
      </c>
      <c r="DD133">
        <f t="shared" si="88"/>
        <v>6.6967162120622741E-3</v>
      </c>
      <c r="DE133">
        <f t="shared" si="89"/>
        <v>0.11254497698413213</v>
      </c>
      <c r="DF133">
        <f t="shared" si="90"/>
        <v>0.88075830680380551</v>
      </c>
      <c r="DG133">
        <f t="shared" si="91"/>
        <v>0.78938767402579735</v>
      </c>
      <c r="DH133">
        <f t="shared" si="92"/>
        <v>3.6899462742130934E-2</v>
      </c>
      <c r="DI133">
        <f t="shared" si="93"/>
        <v>0.1190915893397962</v>
      </c>
      <c r="DJ133">
        <f t="shared" si="94"/>
        <v>0.8440089479180729</v>
      </c>
      <c r="DK133" s="64">
        <f t="shared" si="95"/>
        <v>-4.0232972218268124</v>
      </c>
      <c r="DL133" s="64">
        <f t="shared" si="96"/>
        <v>-0.46309322369150741</v>
      </c>
      <c r="DM133" s="64">
        <f t="shared" si="97"/>
        <v>-3.7878082981859427</v>
      </c>
      <c r="DN133" s="64">
        <f t="shared" si="98"/>
        <v>-0.22760430005063792</v>
      </c>
      <c r="DO133" t="str">
        <f t="shared" si="99"/>
        <v>Sufficient Capacity</v>
      </c>
      <c r="DP133" t="str">
        <f t="shared" si="100"/>
        <v>Sufficient Capacity</v>
      </c>
    </row>
    <row r="134" spans="1:120" ht="15.75" x14ac:dyDescent="0.25">
      <c r="A134" s="7" t="s">
        <v>187</v>
      </c>
      <c r="B134" s="7" t="s">
        <v>187</v>
      </c>
      <c r="C134" s="2" t="s">
        <v>965</v>
      </c>
      <c r="D134" s="2" t="s">
        <v>576</v>
      </c>
      <c r="E134" s="2" t="s">
        <v>576</v>
      </c>
      <c r="F134" s="2">
        <v>133</v>
      </c>
      <c r="G134" s="2" t="s">
        <v>964</v>
      </c>
      <c r="H134" s="10" t="s">
        <v>656</v>
      </c>
      <c r="I134" s="2">
        <v>150</v>
      </c>
      <c r="J134" s="2">
        <v>65</v>
      </c>
      <c r="K134" s="2">
        <v>7.4</v>
      </c>
      <c r="L134" t="s">
        <v>361</v>
      </c>
      <c r="M134" s="2" t="s">
        <v>1120</v>
      </c>
      <c r="N134" s="2" t="s">
        <v>436</v>
      </c>
      <c r="O134" s="2" t="s">
        <v>673</v>
      </c>
      <c r="P134" s="2" t="s">
        <v>1127</v>
      </c>
      <c r="Q134" s="9" t="s">
        <v>725</v>
      </c>
      <c r="R134" s="2" t="str">
        <f t="shared" si="101"/>
        <v>CW_2_Section_3</v>
      </c>
      <c r="S134" s="2" t="str">
        <f t="shared" si="102"/>
        <v>CW_2_MF09</v>
      </c>
      <c r="T134" s="11" t="s">
        <v>937</v>
      </c>
      <c r="U134" s="1">
        <v>45826</v>
      </c>
      <c r="V134" s="2" t="s">
        <v>692</v>
      </c>
      <c r="W134" s="2" t="s">
        <v>655</v>
      </c>
      <c r="X134" s="2" t="s">
        <v>936</v>
      </c>
      <c r="Y134" s="2" t="str">
        <f t="shared" si="103"/>
        <v>T5_0.15-0.30</v>
      </c>
      <c r="Z134" t="s">
        <v>45</v>
      </c>
      <c r="AA134">
        <v>11</v>
      </c>
      <c r="AB134">
        <v>11</v>
      </c>
      <c r="AC134">
        <v>310</v>
      </c>
      <c r="AD134" s="32">
        <f t="shared" si="53"/>
        <v>0.11906286006913326</v>
      </c>
      <c r="AE134">
        <v>0.5</v>
      </c>
      <c r="AF134" s="32">
        <f t="shared" si="54"/>
        <v>1.9535489472541785E-4</v>
      </c>
      <c r="AG134">
        <v>180</v>
      </c>
      <c r="AH134" s="32">
        <f t="shared" si="55"/>
        <v>7.120655552415936E-2</v>
      </c>
      <c r="AI134">
        <v>56</v>
      </c>
      <c r="AJ134" s="32">
        <f t="shared" si="56"/>
        <v>2.2153150607516249E-2</v>
      </c>
      <c r="AK134">
        <v>56</v>
      </c>
      <c r="AL134" s="32">
        <f t="shared" si="57"/>
        <v>2.2153150607516249E-2</v>
      </c>
      <c r="AM134">
        <v>112</v>
      </c>
      <c r="AO134" s="49">
        <v>605.5</v>
      </c>
      <c r="AP134" s="49">
        <f t="shared" si="58"/>
        <v>0.19046477048801802</v>
      </c>
      <c r="AQ134">
        <v>860</v>
      </c>
      <c r="AR134" s="32">
        <f t="shared" si="59"/>
        <v>0.3220722477958961</v>
      </c>
      <c r="AS134" s="48">
        <v>2700</v>
      </c>
      <c r="AT134" s="27">
        <f t="shared" si="60"/>
        <v>1.0111570570336272</v>
      </c>
      <c r="AU134" s="48">
        <v>0.14000000000000001</v>
      </c>
      <c r="AV134" s="27">
        <f t="shared" si="61"/>
        <v>5.1514554175701431E-5</v>
      </c>
      <c r="AW134" s="48">
        <v>0.28000000000000003</v>
      </c>
      <c r="AX134" s="27">
        <f t="shared" si="62"/>
        <v>1.0531093962778031E-4</v>
      </c>
      <c r="AY134" s="48">
        <v>0.08</v>
      </c>
      <c r="AZ134" s="27">
        <f t="shared" si="63"/>
        <v>2.9839971122608595E-5</v>
      </c>
      <c r="BA134" s="48">
        <v>0.04</v>
      </c>
      <c r="BB134" s="27">
        <f t="shared" si="64"/>
        <v>1.4812321158054199E-5</v>
      </c>
      <c r="BC134" s="48">
        <v>1E-3</v>
      </c>
      <c r="BD134" s="27">
        <f t="shared" si="65"/>
        <v>3.7030802895135499E-7</v>
      </c>
      <c r="BE134" s="48">
        <v>1E-3</v>
      </c>
      <c r="BF134" s="27">
        <f t="shared" si="66"/>
        <v>3.6588380716934485E-7</v>
      </c>
      <c r="BG134" s="48">
        <v>2E-3</v>
      </c>
      <c r="BH134" s="27">
        <f t="shared" si="67"/>
        <v>7.3176761433868969E-7</v>
      </c>
      <c r="BI134" s="52">
        <f t="shared" si="68"/>
        <v>2700.5440000000003</v>
      </c>
      <c r="BJ134" s="52">
        <f t="shared" si="69"/>
        <v>0.54400000000000004</v>
      </c>
      <c r="BK134" s="27">
        <f t="shared" si="70"/>
        <v>1.011360002779162</v>
      </c>
      <c r="BL134" s="27">
        <f t="shared" si="71"/>
        <v>2.0294574553460394E-4</v>
      </c>
      <c r="BM134">
        <v>1300</v>
      </c>
      <c r="BN134">
        <v>2.5</v>
      </c>
      <c r="BO134" t="s">
        <v>19</v>
      </c>
      <c r="BP134">
        <v>1400</v>
      </c>
      <c r="BQ134">
        <v>61</v>
      </c>
      <c r="BR134" t="s">
        <v>443</v>
      </c>
      <c r="BS134">
        <v>0.7</v>
      </c>
      <c r="BT134">
        <v>4.1500000000000004</v>
      </c>
      <c r="BU134">
        <v>21.9</v>
      </c>
      <c r="BV134">
        <v>-37</v>
      </c>
      <c r="BW134">
        <v>7.12</v>
      </c>
      <c r="BX134">
        <v>1041</v>
      </c>
      <c r="BY134">
        <v>0.1</v>
      </c>
      <c r="BZ134">
        <v>0.01</v>
      </c>
      <c r="CA134" s="32">
        <v>15</v>
      </c>
      <c r="CB134" s="32">
        <f t="shared" si="72"/>
        <v>0.26857654431512978</v>
      </c>
      <c r="CC134" s="32">
        <f t="shared" si="73"/>
        <v>0.26857654431512978</v>
      </c>
      <c r="CD134" s="32">
        <v>4.2</v>
      </c>
      <c r="CE134" s="32">
        <f t="shared" si="74"/>
        <v>7.6460950300382302E-2</v>
      </c>
      <c r="CF134" s="32">
        <f t="shared" si="75"/>
        <v>0.1529219006007646</v>
      </c>
      <c r="CG134" s="27">
        <v>0.5</v>
      </c>
      <c r="CH134" s="27">
        <f t="shared" si="76"/>
        <v>5.2050801582344368E-3</v>
      </c>
      <c r="CI134" s="27">
        <f t="shared" si="77"/>
        <v>4.1640641265875494E-2</v>
      </c>
      <c r="CJ134" s="58">
        <v>78.5</v>
      </c>
      <c r="CK134" s="58">
        <v>99.367088607594937</v>
      </c>
      <c r="CL134" s="58">
        <v>6.5375806787424526</v>
      </c>
      <c r="CM134" s="58">
        <v>6.5375806787424526</v>
      </c>
      <c r="CN134" s="28">
        <v>30.5</v>
      </c>
      <c r="CO134" s="28">
        <v>98.387096774193552</v>
      </c>
      <c r="CP134" s="28">
        <v>2.5400791172184052</v>
      </c>
      <c r="CQ134" s="28">
        <v>2.5400791172184052</v>
      </c>
      <c r="CR134" s="32">
        <f t="shared" si="78"/>
        <v>45.632313137622319</v>
      </c>
      <c r="CS134" s="32">
        <v>45.632313137622319</v>
      </c>
      <c r="CT134" s="32">
        <f t="shared" si="79"/>
        <v>60.632313137622319</v>
      </c>
      <c r="CU134" s="32">
        <f t="shared" si="80"/>
        <v>1.0856278090890299</v>
      </c>
      <c r="CV134" s="32">
        <f t="shared" si="81"/>
        <v>1.0856278090890299</v>
      </c>
      <c r="CW134" s="60">
        <f t="shared" si="82"/>
        <v>17.729752238184467</v>
      </c>
      <c r="CX134" s="60">
        <v>17.729752238184467</v>
      </c>
      <c r="CY134" s="60">
        <f t="shared" si="83"/>
        <v>32.729752238184467</v>
      </c>
      <c r="CZ134" s="60">
        <f t="shared" si="84"/>
        <v>0.58602958349479795</v>
      </c>
      <c r="DA134" s="60">
        <f t="shared" si="85"/>
        <v>0.58602958349479795</v>
      </c>
      <c r="DB134" s="32">
        <f t="shared" si="86"/>
        <v>4.1640641265875494E-2</v>
      </c>
      <c r="DC134">
        <f t="shared" si="87"/>
        <v>7.7761303884322466</v>
      </c>
      <c r="DD134">
        <f t="shared" si="88"/>
        <v>1.9665552525746078E-2</v>
      </c>
      <c r="DE134">
        <f t="shared" si="89"/>
        <v>0.1396102887760225</v>
      </c>
      <c r="DF134">
        <f t="shared" si="90"/>
        <v>0.84072415869823147</v>
      </c>
      <c r="DG134">
        <f t="shared" si="91"/>
        <v>3.2790306013139676</v>
      </c>
      <c r="DH134">
        <f t="shared" si="92"/>
        <v>4.6636313957999047E-2</v>
      </c>
      <c r="DI134">
        <f t="shared" si="93"/>
        <v>0.17872037646125205</v>
      </c>
      <c r="DJ134">
        <f t="shared" si="94"/>
        <v>0.7746433095807489</v>
      </c>
      <c r="DK134" s="64">
        <f t="shared" si="95"/>
        <v>-7.2635933701483326</v>
      </c>
      <c r="DL134" s="64">
        <f t="shared" si="96"/>
        <v>-2.7664935830300532</v>
      </c>
      <c r="DM134" s="64">
        <f t="shared" si="97"/>
        <v>-7.2633904244027976</v>
      </c>
      <c r="DN134" s="64">
        <f t="shared" si="98"/>
        <v>-2.7662906372845191</v>
      </c>
      <c r="DO134" t="str">
        <f t="shared" si="99"/>
        <v>Sufficient Capacity</v>
      </c>
      <c r="DP134" t="str">
        <f t="shared" si="100"/>
        <v>Sufficient Capacity</v>
      </c>
    </row>
    <row r="135" spans="1:120" ht="15.75" x14ac:dyDescent="0.25">
      <c r="A135" s="7" t="s">
        <v>188</v>
      </c>
      <c r="B135" s="7" t="s">
        <v>188</v>
      </c>
      <c r="C135" s="2" t="s">
        <v>967</v>
      </c>
      <c r="D135" s="2" t="s">
        <v>577</v>
      </c>
      <c r="E135" s="2" t="s">
        <v>577</v>
      </c>
      <c r="F135" s="2">
        <v>134</v>
      </c>
      <c r="G135" s="2" t="s">
        <v>966</v>
      </c>
      <c r="H135" s="10" t="s">
        <v>656</v>
      </c>
      <c r="I135" s="2">
        <v>150</v>
      </c>
      <c r="J135" s="2">
        <v>65</v>
      </c>
      <c r="K135" s="2">
        <v>3.35</v>
      </c>
      <c r="L135" t="s">
        <v>362</v>
      </c>
      <c r="M135" s="2" t="s">
        <v>1120</v>
      </c>
      <c r="N135" s="2" t="s">
        <v>436</v>
      </c>
      <c r="O135" s="2" t="s">
        <v>673</v>
      </c>
      <c r="P135" s="2" t="s">
        <v>1128</v>
      </c>
      <c r="Q135" s="9" t="s">
        <v>728</v>
      </c>
      <c r="R135" s="2" t="str">
        <f t="shared" si="101"/>
        <v>CW_2_Section_3</v>
      </c>
      <c r="S135" s="2" t="str">
        <f t="shared" si="102"/>
        <v>CW_2_MF10</v>
      </c>
      <c r="T135" s="11" t="s">
        <v>937</v>
      </c>
      <c r="U135" s="1">
        <v>45826</v>
      </c>
      <c r="V135" s="2" t="s">
        <v>692</v>
      </c>
      <c r="W135" s="2" t="s">
        <v>663</v>
      </c>
      <c r="X135" s="2" t="s">
        <v>936</v>
      </c>
      <c r="Y135" s="2" t="str">
        <f t="shared" si="103"/>
        <v>T5_0.60-0.80</v>
      </c>
      <c r="Z135" t="s">
        <v>47</v>
      </c>
      <c r="AA135">
        <v>6.2</v>
      </c>
      <c r="AB135">
        <v>7.2</v>
      </c>
      <c r="AC135">
        <v>170</v>
      </c>
      <c r="AD135" s="32">
        <f t="shared" si="53"/>
        <v>6.5292536166944054E-2</v>
      </c>
      <c r="AE135">
        <v>0.5</v>
      </c>
      <c r="AF135" s="32">
        <f t="shared" si="54"/>
        <v>1.9535489472541785E-4</v>
      </c>
      <c r="AG135">
        <v>170</v>
      </c>
      <c r="AH135" s="32">
        <f t="shared" si="55"/>
        <v>6.7250635772817174E-2</v>
      </c>
      <c r="AI135">
        <v>28</v>
      </c>
      <c r="AJ135" s="32">
        <f t="shared" si="56"/>
        <v>1.1076575303758125E-2</v>
      </c>
      <c r="AK135">
        <v>30</v>
      </c>
      <c r="AL135" s="32">
        <f t="shared" si="57"/>
        <v>1.1867759254026562E-2</v>
      </c>
      <c r="AM135">
        <v>58</v>
      </c>
      <c r="AO135" s="49">
        <v>401.5</v>
      </c>
      <c r="AP135" s="49">
        <f t="shared" si="58"/>
        <v>0.13273852683448664</v>
      </c>
      <c r="AQ135">
        <v>1000</v>
      </c>
      <c r="AR135" s="32">
        <f t="shared" si="59"/>
        <v>0.37450261371615823</v>
      </c>
      <c r="AS135" s="48">
        <v>2400</v>
      </c>
      <c r="AT135" s="27">
        <f t="shared" si="60"/>
        <v>0.89880627291877968</v>
      </c>
      <c r="AU135" s="48">
        <v>390</v>
      </c>
      <c r="AV135" s="27">
        <f t="shared" si="61"/>
        <v>0.14350482948945398</v>
      </c>
      <c r="AW135" s="48">
        <v>320</v>
      </c>
      <c r="AX135" s="27">
        <f t="shared" si="62"/>
        <v>0.12035535957460605</v>
      </c>
      <c r="AY135" s="48">
        <v>130</v>
      </c>
      <c r="AZ135" s="27">
        <f t="shared" si="63"/>
        <v>4.8489953074238958E-2</v>
      </c>
      <c r="BA135" s="48">
        <v>37</v>
      </c>
      <c r="BB135" s="27">
        <f t="shared" si="64"/>
        <v>1.3701397071200133E-2</v>
      </c>
      <c r="BC135" s="48">
        <v>1.4</v>
      </c>
      <c r="BD135" s="27">
        <f t="shared" si="65"/>
        <v>5.1843124053189689E-4</v>
      </c>
      <c r="BE135" s="48">
        <v>0.1</v>
      </c>
      <c r="BF135" s="27">
        <f t="shared" si="66"/>
        <v>3.6588380716934496E-5</v>
      </c>
      <c r="BG135" s="48">
        <v>0.05</v>
      </c>
      <c r="BH135" s="27">
        <f t="shared" si="67"/>
        <v>1.8294190358467248E-5</v>
      </c>
      <c r="BI135" s="52">
        <f t="shared" si="68"/>
        <v>3278.55</v>
      </c>
      <c r="BJ135" s="52">
        <f t="shared" si="69"/>
        <v>878.55</v>
      </c>
      <c r="BK135" s="27">
        <f t="shared" si="70"/>
        <v>1.225431125939886</v>
      </c>
      <c r="BL135" s="27">
        <f t="shared" si="71"/>
        <v>0.3266248530211065</v>
      </c>
      <c r="BM135">
        <v>1800</v>
      </c>
      <c r="BN135">
        <v>880</v>
      </c>
      <c r="BO135" t="s">
        <v>19</v>
      </c>
      <c r="BP135">
        <v>2700</v>
      </c>
      <c r="BQ135">
        <v>46</v>
      </c>
      <c r="BR135" t="s">
        <v>443</v>
      </c>
      <c r="BS135">
        <v>0.41</v>
      </c>
      <c r="BT135">
        <v>0.79</v>
      </c>
      <c r="BU135">
        <v>21.7</v>
      </c>
      <c r="BV135">
        <v>-52</v>
      </c>
      <c r="BW135">
        <v>7.05</v>
      </c>
      <c r="BX135">
        <v>606</v>
      </c>
      <c r="BY135" t="s">
        <v>443</v>
      </c>
      <c r="BZ135">
        <v>0.01</v>
      </c>
      <c r="CA135" s="32">
        <v>1</v>
      </c>
      <c r="CB135" s="32">
        <f t="shared" si="72"/>
        <v>1.7905102954341987E-2</v>
      </c>
      <c r="CC135" s="32">
        <f t="shared" si="73"/>
        <v>1.7905102954341987E-2</v>
      </c>
      <c r="CD135" s="32">
        <v>1.1000000000000001</v>
      </c>
      <c r="CE135" s="32">
        <f t="shared" si="74"/>
        <v>2.0025486983433462E-2</v>
      </c>
      <c r="CF135" s="32">
        <f t="shared" si="75"/>
        <v>4.0050973966866923E-2</v>
      </c>
      <c r="CG135" s="27">
        <v>32</v>
      </c>
      <c r="CH135" s="27">
        <f t="shared" si="76"/>
        <v>0.33312513012700395</v>
      </c>
      <c r="CI135" s="27">
        <f t="shared" si="77"/>
        <v>2.6650010410160316</v>
      </c>
      <c r="CJ135" s="58">
        <v>47</v>
      </c>
      <c r="CK135" s="58">
        <v>59.493670886075947</v>
      </c>
      <c r="CL135" s="58">
        <v>3.9142202789922962</v>
      </c>
      <c r="CM135" s="58">
        <v>3.9142202789922962</v>
      </c>
      <c r="CN135" s="28">
        <v>1</v>
      </c>
      <c r="CO135" s="28">
        <v>3.0303030303030303</v>
      </c>
      <c r="CP135" s="28">
        <v>8.3281282531750989E-2</v>
      </c>
      <c r="CQ135" s="28">
        <v>8.3281282531750989E-2</v>
      </c>
      <c r="CR135" s="32">
        <f t="shared" si="78"/>
        <v>27.321257547366226</v>
      </c>
      <c r="CS135" s="32">
        <v>27.321257547366226</v>
      </c>
      <c r="CT135" s="32">
        <f t="shared" si="79"/>
        <v>28.321257547366226</v>
      </c>
      <c r="CU135" s="32">
        <f t="shared" si="80"/>
        <v>0.50709503218202734</v>
      </c>
      <c r="CV135" s="32">
        <f t="shared" si="81"/>
        <v>0.50709503218202734</v>
      </c>
      <c r="CW135" s="60">
        <f t="shared" si="82"/>
        <v>0.58130335207162187</v>
      </c>
      <c r="CX135" s="60">
        <v>0.58130335207162187</v>
      </c>
      <c r="CY135" s="60">
        <f t="shared" si="83"/>
        <v>1.5813033520716218</v>
      </c>
      <c r="CZ135" s="60">
        <f t="shared" si="84"/>
        <v>2.8313399320888482E-2</v>
      </c>
      <c r="DA135" s="60">
        <f t="shared" si="85"/>
        <v>2.8313399320888482E-2</v>
      </c>
      <c r="DB135" s="32">
        <f t="shared" si="86"/>
        <v>2.6650010410160316</v>
      </c>
      <c r="DC135">
        <f t="shared" si="87"/>
        <v>4.4613662851411906</v>
      </c>
      <c r="DD135">
        <f t="shared" si="88"/>
        <v>8.9772888857520498E-3</v>
      </c>
      <c r="DE135">
        <f t="shared" si="89"/>
        <v>0.11366361777353574</v>
      </c>
      <c r="DF135">
        <f t="shared" si="90"/>
        <v>0.87735909334071216</v>
      </c>
      <c r="DG135">
        <f t="shared" si="91"/>
        <v>0.1516456558195064</v>
      </c>
      <c r="DH135">
        <f t="shared" si="92"/>
        <v>0.26410894364515725</v>
      </c>
      <c r="DI135">
        <f t="shared" si="93"/>
        <v>0.186707618941541</v>
      </c>
      <c r="DJ135">
        <f t="shared" si="94"/>
        <v>0.54918343741330178</v>
      </c>
      <c r="DK135" s="64">
        <f t="shared" si="95"/>
        <v>-3.9541251445905456</v>
      </c>
      <c r="DL135" s="64">
        <f t="shared" si="96"/>
        <v>0.35559548473113844</v>
      </c>
      <c r="DM135" s="64">
        <f t="shared" si="97"/>
        <v>-3.6275002915694392</v>
      </c>
      <c r="DN135" s="64">
        <f t="shared" si="98"/>
        <v>0.682220337752245</v>
      </c>
      <c r="DO135" t="str">
        <f t="shared" si="99"/>
        <v>Sufficient Capacity</v>
      </c>
      <c r="DP135" t="str">
        <f t="shared" si="100"/>
        <v>Insufficient Capacity</v>
      </c>
    </row>
    <row r="136" spans="1:120" ht="15.75" x14ac:dyDescent="0.25">
      <c r="A136" s="7" t="s">
        <v>189</v>
      </c>
      <c r="B136" s="7" t="s">
        <v>189</v>
      </c>
      <c r="C136" s="2" t="s">
        <v>969</v>
      </c>
      <c r="D136" s="2" t="s">
        <v>578</v>
      </c>
      <c r="E136" s="2" t="s">
        <v>578</v>
      </c>
      <c r="F136" s="2">
        <v>135</v>
      </c>
      <c r="G136" s="2" t="s">
        <v>968</v>
      </c>
      <c r="H136" s="10" t="s">
        <v>656</v>
      </c>
      <c r="I136" s="2">
        <v>150</v>
      </c>
      <c r="J136" s="2">
        <v>65</v>
      </c>
      <c r="K136" s="2">
        <v>4.5</v>
      </c>
      <c r="L136" t="s">
        <v>364</v>
      </c>
      <c r="M136" s="2" t="s">
        <v>1120</v>
      </c>
      <c r="N136" s="2" t="s">
        <v>437</v>
      </c>
      <c r="O136" s="2" t="s">
        <v>653</v>
      </c>
      <c r="P136" s="2" t="s">
        <v>1123</v>
      </c>
      <c r="Q136" s="9" t="s">
        <v>731</v>
      </c>
      <c r="R136" s="2" t="str">
        <f t="shared" si="101"/>
        <v>CW_3_Section_1</v>
      </c>
      <c r="S136" s="2" t="str">
        <f t="shared" si="102"/>
        <v>CW_3_MF01</v>
      </c>
      <c r="T136" s="11" t="s">
        <v>937</v>
      </c>
      <c r="U136" s="1">
        <v>45827</v>
      </c>
      <c r="V136" s="2" t="s">
        <v>692</v>
      </c>
      <c r="W136" s="2" t="s">
        <v>655</v>
      </c>
      <c r="X136" s="2" t="s">
        <v>936</v>
      </c>
      <c r="Y136" s="2" t="str">
        <f t="shared" si="103"/>
        <v>T5_0.15-0.30</v>
      </c>
      <c r="Z136" t="s">
        <v>51</v>
      </c>
      <c r="AA136">
        <v>12</v>
      </c>
      <c r="AB136">
        <v>12</v>
      </c>
      <c r="AC136">
        <v>400</v>
      </c>
      <c r="AD136" s="32">
        <f t="shared" si="53"/>
        <v>0.15362949686339777</v>
      </c>
      <c r="AE136">
        <v>0.5</v>
      </c>
      <c r="AF136" s="32">
        <f t="shared" si="54"/>
        <v>1.9535489472541785E-4</v>
      </c>
      <c r="AG136">
        <v>200</v>
      </c>
      <c r="AH136" s="32">
        <f t="shared" si="55"/>
        <v>7.9118395026843744E-2</v>
      </c>
      <c r="AI136">
        <v>100</v>
      </c>
      <c r="AJ136" s="32">
        <f t="shared" si="56"/>
        <v>3.9559197513421872E-2</v>
      </c>
      <c r="AK136">
        <v>62</v>
      </c>
      <c r="AL136" s="32">
        <f t="shared" si="57"/>
        <v>2.4526702458321559E-2</v>
      </c>
      <c r="AM136">
        <v>162</v>
      </c>
      <c r="AO136" s="49">
        <v>765.5</v>
      </c>
      <c r="AP136" s="49">
        <f t="shared" si="58"/>
        <v>0.23294324678496692</v>
      </c>
      <c r="AQ136">
        <v>540</v>
      </c>
      <c r="AR136" s="32">
        <f t="shared" si="59"/>
        <v>0.20223141140672546</v>
      </c>
      <c r="AS136" s="48">
        <v>500</v>
      </c>
      <c r="AT136" s="27">
        <f t="shared" si="60"/>
        <v>0.18725130685807911</v>
      </c>
      <c r="AU136" s="48">
        <v>0.11</v>
      </c>
      <c r="AV136" s="27">
        <f t="shared" si="61"/>
        <v>4.0475721138051117E-5</v>
      </c>
      <c r="AW136" s="48">
        <v>0.01</v>
      </c>
      <c r="AX136" s="27">
        <f t="shared" si="62"/>
        <v>3.7611049867064394E-6</v>
      </c>
      <c r="AY136" s="48">
        <v>5.0000000000000001E-3</v>
      </c>
      <c r="AZ136" s="27">
        <f t="shared" si="63"/>
        <v>1.8649981951630372E-6</v>
      </c>
      <c r="BA136" s="48">
        <v>1E-3</v>
      </c>
      <c r="BB136" s="27">
        <f t="shared" si="64"/>
        <v>3.7030802895135499E-7</v>
      </c>
      <c r="BC136" s="48">
        <v>1E-3</v>
      </c>
      <c r="BD136" s="27">
        <f t="shared" si="65"/>
        <v>3.7030802895135499E-7</v>
      </c>
      <c r="BE136" s="48">
        <v>1E-3</v>
      </c>
      <c r="BF136" s="27">
        <f t="shared" si="66"/>
        <v>3.6588380716934485E-7</v>
      </c>
      <c r="BG136" s="48">
        <v>2E-3</v>
      </c>
      <c r="BH136" s="27">
        <f t="shared" si="67"/>
        <v>7.3176761433868969E-7</v>
      </c>
      <c r="BI136" s="52">
        <f t="shared" si="68"/>
        <v>500.12999999999994</v>
      </c>
      <c r="BJ136" s="52">
        <f t="shared" si="69"/>
        <v>0.13</v>
      </c>
      <c r="BK136" s="27">
        <f t="shared" si="70"/>
        <v>0.18729924694987846</v>
      </c>
      <c r="BL136" s="27">
        <f t="shared" si="71"/>
        <v>4.7940091799331339E-5</v>
      </c>
      <c r="BM136">
        <v>980</v>
      </c>
      <c r="BN136">
        <v>2.5</v>
      </c>
      <c r="BO136" t="s">
        <v>19</v>
      </c>
      <c r="BP136">
        <v>1000</v>
      </c>
      <c r="BQ136">
        <v>67</v>
      </c>
      <c r="BR136" t="s">
        <v>443</v>
      </c>
      <c r="BS136">
        <v>1.4</v>
      </c>
      <c r="BT136">
        <v>2.89</v>
      </c>
      <c r="BU136">
        <v>21.1</v>
      </c>
      <c r="BV136">
        <v>-88</v>
      </c>
      <c r="BW136">
        <v>7.08</v>
      </c>
      <c r="BX136">
        <v>744</v>
      </c>
      <c r="BY136">
        <v>1</v>
      </c>
      <c r="BZ136">
        <v>0.01</v>
      </c>
      <c r="CA136" s="32">
        <v>17</v>
      </c>
      <c r="CB136" s="32">
        <f t="shared" si="72"/>
        <v>0.30438675022381378</v>
      </c>
      <c r="CC136" s="32">
        <f t="shared" si="73"/>
        <v>0.30438675022381378</v>
      </c>
      <c r="CD136" s="32">
        <v>4.5</v>
      </c>
      <c r="CE136" s="32">
        <f t="shared" si="74"/>
        <v>8.1922446750409619E-2</v>
      </c>
      <c r="CF136" s="32">
        <f t="shared" si="75"/>
        <v>0.16384489350081924</v>
      </c>
      <c r="CG136" s="27">
        <v>6.6</v>
      </c>
      <c r="CH136" s="27">
        <f t="shared" si="76"/>
        <v>6.8707058088694567E-2</v>
      </c>
      <c r="CI136" s="27">
        <f t="shared" si="77"/>
        <v>0.54965646470955654</v>
      </c>
      <c r="CJ136" s="58">
        <v>72.400000000000006</v>
      </c>
      <c r="CK136" s="58">
        <v>91.64556962025317</v>
      </c>
      <c r="CL136" s="58">
        <v>6.029564855298772</v>
      </c>
      <c r="CM136" s="58">
        <v>6.029564855298772</v>
      </c>
      <c r="CN136" s="28">
        <v>72.400000000000006</v>
      </c>
      <c r="CO136" s="28">
        <v>91.64556962025317</v>
      </c>
      <c r="CP136" s="28">
        <v>6.029564855298772</v>
      </c>
      <c r="CQ136" s="28">
        <v>6.029564855298772</v>
      </c>
      <c r="CR136" s="32">
        <f t="shared" si="78"/>
        <v>42.086362689985428</v>
      </c>
      <c r="CS136" s="32">
        <v>42.086362689985428</v>
      </c>
      <c r="CT136" s="32">
        <f t="shared" si="79"/>
        <v>59.086362689985428</v>
      </c>
      <c r="CU136" s="32">
        <f t="shared" si="80"/>
        <v>1.0579474071617803</v>
      </c>
      <c r="CV136" s="32">
        <f t="shared" si="81"/>
        <v>1.0579474071617803</v>
      </c>
      <c r="CW136" s="60">
        <f t="shared" si="82"/>
        <v>42.086362689985428</v>
      </c>
      <c r="CX136" s="60">
        <v>42.086362689985428</v>
      </c>
      <c r="CY136" s="60">
        <f t="shared" si="83"/>
        <v>59.086362689985428</v>
      </c>
      <c r="CZ136" s="60">
        <f t="shared" si="84"/>
        <v>1.0579474071617803</v>
      </c>
      <c r="DA136" s="60">
        <f t="shared" si="85"/>
        <v>1.0579474071617803</v>
      </c>
      <c r="DB136" s="32">
        <f t="shared" si="86"/>
        <v>0.54965646470955654</v>
      </c>
      <c r="DC136">
        <f t="shared" si="87"/>
        <v>7.2513571559613714</v>
      </c>
      <c r="DD136">
        <f t="shared" si="88"/>
        <v>2.2595065996179994E-2</v>
      </c>
      <c r="DE136">
        <f t="shared" si="89"/>
        <v>0.14589646936532938</v>
      </c>
      <c r="DF136">
        <f t="shared" si="90"/>
        <v>0.8315084646384906</v>
      </c>
      <c r="DG136">
        <f t="shared" si="91"/>
        <v>7.2513571559613714</v>
      </c>
      <c r="DH136">
        <f t="shared" si="92"/>
        <v>2.2595065996179994E-2</v>
      </c>
      <c r="DI136">
        <f t="shared" si="93"/>
        <v>0.14589646936532938</v>
      </c>
      <c r="DJ136">
        <f t="shared" si="94"/>
        <v>0.8315084646384906</v>
      </c>
      <c r="DK136" s="64">
        <f t="shared" si="95"/>
        <v>-6.8161824977696792</v>
      </c>
      <c r="DL136" s="64">
        <f t="shared" si="96"/>
        <v>-6.8161824977696792</v>
      </c>
      <c r="DM136" s="64">
        <f t="shared" si="97"/>
        <v>-6.8161345576778798</v>
      </c>
      <c r="DN136" s="64">
        <f t="shared" si="98"/>
        <v>-6.8161345576778798</v>
      </c>
      <c r="DO136" t="str">
        <f t="shared" si="99"/>
        <v>Sufficient Capacity</v>
      </c>
      <c r="DP136" t="str">
        <f t="shared" si="100"/>
        <v>Sufficient Capacity</v>
      </c>
    </row>
    <row r="137" spans="1:120" ht="15.75" x14ac:dyDescent="0.25">
      <c r="A137" s="7" t="s">
        <v>190</v>
      </c>
      <c r="B137" s="7" t="s">
        <v>190</v>
      </c>
      <c r="C137" s="2" t="s">
        <v>971</v>
      </c>
      <c r="D137" s="2" t="s">
        <v>579</v>
      </c>
      <c r="E137" s="2" t="s">
        <v>579</v>
      </c>
      <c r="F137" s="2">
        <v>136</v>
      </c>
      <c r="G137" s="2" t="s">
        <v>970</v>
      </c>
      <c r="H137" s="10" t="s">
        <v>656</v>
      </c>
      <c r="I137" s="2">
        <v>150</v>
      </c>
      <c r="J137" s="2">
        <v>65</v>
      </c>
      <c r="K137" s="2">
        <v>3.1</v>
      </c>
      <c r="L137" t="s">
        <v>365</v>
      </c>
      <c r="M137" s="2" t="s">
        <v>1120</v>
      </c>
      <c r="N137" s="2" t="s">
        <v>437</v>
      </c>
      <c r="O137" s="2" t="s">
        <v>653</v>
      </c>
      <c r="P137" s="2" t="s">
        <v>1124</v>
      </c>
      <c r="Q137" s="9" t="s">
        <v>734</v>
      </c>
      <c r="R137" s="2" t="str">
        <f t="shared" si="101"/>
        <v>CW_3_Section_1</v>
      </c>
      <c r="S137" s="2" t="str">
        <f t="shared" si="102"/>
        <v>CW_3_MF02</v>
      </c>
      <c r="T137" s="11" t="s">
        <v>937</v>
      </c>
      <c r="U137" s="1">
        <v>45827</v>
      </c>
      <c r="V137" s="2" t="s">
        <v>692</v>
      </c>
      <c r="W137" s="2" t="s">
        <v>663</v>
      </c>
      <c r="X137" s="2" t="s">
        <v>936</v>
      </c>
      <c r="Y137" s="2" t="str">
        <f t="shared" si="103"/>
        <v>T5_0.60-0.80</v>
      </c>
      <c r="Z137" t="s">
        <v>53</v>
      </c>
      <c r="AA137">
        <v>9.6999999999999993</v>
      </c>
      <c r="AB137">
        <v>10</v>
      </c>
      <c r="AC137">
        <v>640</v>
      </c>
      <c r="AD137" s="32">
        <f t="shared" si="53"/>
        <v>0.24580719498143644</v>
      </c>
      <c r="AE137">
        <v>25</v>
      </c>
      <c r="AF137" s="32">
        <f t="shared" si="54"/>
        <v>9.7677447362708933E-3</v>
      </c>
      <c r="AG137">
        <v>440</v>
      </c>
      <c r="AH137" s="32">
        <f t="shared" si="55"/>
        <v>0.17406046905905623</v>
      </c>
      <c r="AI137">
        <v>150</v>
      </c>
      <c r="AJ137" s="32">
        <f t="shared" si="56"/>
        <v>5.9338796270132804E-2</v>
      </c>
      <c r="AK137">
        <v>83</v>
      </c>
      <c r="AL137" s="32">
        <f t="shared" si="57"/>
        <v>3.2834133936140153E-2</v>
      </c>
      <c r="AM137">
        <v>233</v>
      </c>
      <c r="AO137" s="49">
        <v>1338</v>
      </c>
      <c r="AP137" s="49">
        <f t="shared" si="58"/>
        <v>0.42963540877676354</v>
      </c>
      <c r="AQ137">
        <v>1800</v>
      </c>
      <c r="AR137" s="32">
        <f t="shared" si="59"/>
        <v>0.6741047046890849</v>
      </c>
      <c r="AS137" s="48">
        <v>4100</v>
      </c>
      <c r="AT137" s="27">
        <f t="shared" si="60"/>
        <v>1.5354607162362488</v>
      </c>
      <c r="AU137" s="48">
        <v>4</v>
      </c>
      <c r="AV137" s="27">
        <f t="shared" si="61"/>
        <v>1.4718444050200407E-3</v>
      </c>
      <c r="AW137" s="48">
        <v>340</v>
      </c>
      <c r="AX137" s="27">
        <f t="shared" si="62"/>
        <v>0.12787756954801893</v>
      </c>
      <c r="AY137" s="48">
        <v>64</v>
      </c>
      <c r="AZ137" s="27">
        <f t="shared" si="63"/>
        <v>2.3871976898086872E-2</v>
      </c>
      <c r="BA137" s="48">
        <v>40</v>
      </c>
      <c r="BB137" s="27">
        <f t="shared" si="64"/>
        <v>1.48123211580542E-2</v>
      </c>
      <c r="BC137" s="48">
        <v>2.1</v>
      </c>
      <c r="BD137" s="27">
        <f t="shared" si="65"/>
        <v>7.7764686079784555E-4</v>
      </c>
      <c r="BE137" s="48">
        <v>0.38</v>
      </c>
      <c r="BF137" s="27">
        <f t="shared" si="66"/>
        <v>1.3903584672435106E-4</v>
      </c>
      <c r="BG137" s="48">
        <v>0.37</v>
      </c>
      <c r="BH137" s="27">
        <f t="shared" si="67"/>
        <v>1.3537700865265761E-4</v>
      </c>
      <c r="BI137" s="52">
        <f t="shared" si="68"/>
        <v>4550.8500000000004</v>
      </c>
      <c r="BJ137" s="52">
        <f t="shared" si="69"/>
        <v>450.85</v>
      </c>
      <c r="BK137" s="27">
        <f t="shared" si="70"/>
        <v>1.7045464879616039</v>
      </c>
      <c r="BL137" s="27">
        <f t="shared" si="71"/>
        <v>0.16908577172535488</v>
      </c>
      <c r="BM137">
        <v>2900</v>
      </c>
      <c r="BN137">
        <v>870</v>
      </c>
      <c r="BO137" t="s">
        <v>19</v>
      </c>
      <c r="BP137">
        <v>3800</v>
      </c>
      <c r="BQ137">
        <v>72</v>
      </c>
      <c r="BR137" t="s">
        <v>443</v>
      </c>
      <c r="BS137">
        <v>0.74</v>
      </c>
      <c r="BT137">
        <v>0.61</v>
      </c>
      <c r="BU137">
        <v>21.8</v>
      </c>
      <c r="BV137">
        <v>-56</v>
      </c>
      <c r="BW137">
        <v>7.09</v>
      </c>
      <c r="BX137">
        <v>812</v>
      </c>
      <c r="BY137">
        <v>2</v>
      </c>
      <c r="BZ137">
        <v>0.01</v>
      </c>
      <c r="CA137" s="32">
        <v>0.02</v>
      </c>
      <c r="CB137" s="32">
        <f t="shared" si="72"/>
        <v>3.5810205908683976E-4</v>
      </c>
      <c r="CC137" s="32">
        <f t="shared" si="73"/>
        <v>3.5810205908683976E-4</v>
      </c>
      <c r="CD137" s="32">
        <v>0.9</v>
      </c>
      <c r="CE137" s="32">
        <f t="shared" si="74"/>
        <v>1.6384489350081924E-2</v>
      </c>
      <c r="CF137" s="32">
        <f t="shared" si="75"/>
        <v>3.2768978700163848E-2</v>
      </c>
      <c r="CG137" s="27">
        <v>42</v>
      </c>
      <c r="CH137" s="27">
        <f t="shared" si="76"/>
        <v>0.4372267332916927</v>
      </c>
      <c r="CI137" s="27">
        <f t="shared" si="77"/>
        <v>3.4978138663335416</v>
      </c>
      <c r="CJ137" s="58">
        <v>37</v>
      </c>
      <c r="CK137" s="58">
        <v>46.835443037974684</v>
      </c>
      <c r="CL137" s="58">
        <v>3.0814074536747866</v>
      </c>
      <c r="CM137" s="58">
        <v>3.0814074536747866</v>
      </c>
      <c r="CN137" s="28">
        <v>37</v>
      </c>
      <c r="CO137" s="28">
        <v>46.835443037974684</v>
      </c>
      <c r="CP137" s="28">
        <v>3.0814074536747866</v>
      </c>
      <c r="CQ137" s="28">
        <v>3.0814074536747866</v>
      </c>
      <c r="CR137" s="32">
        <f t="shared" si="78"/>
        <v>21.508224026650009</v>
      </c>
      <c r="CS137" s="32">
        <v>21.508224026650009</v>
      </c>
      <c r="CT137" s="32">
        <f t="shared" si="79"/>
        <v>21.528224026650008</v>
      </c>
      <c r="CU137" s="32">
        <f t="shared" si="80"/>
        <v>0.38546506762130722</v>
      </c>
      <c r="CV137" s="32">
        <f t="shared" si="81"/>
        <v>0.38546506762130722</v>
      </c>
      <c r="CW137" s="60">
        <f t="shared" si="82"/>
        <v>21.508224026650009</v>
      </c>
      <c r="CX137" s="60">
        <v>21.508224026650009</v>
      </c>
      <c r="CY137" s="60">
        <f t="shared" si="83"/>
        <v>21.528224026650008</v>
      </c>
      <c r="CZ137" s="60">
        <f t="shared" si="84"/>
        <v>0.38546506762130722</v>
      </c>
      <c r="DA137" s="60">
        <f t="shared" si="85"/>
        <v>0.38546506762130722</v>
      </c>
      <c r="DB137" s="32">
        <f t="shared" si="86"/>
        <v>3.4978138663335416</v>
      </c>
      <c r="DC137">
        <f t="shared" si="87"/>
        <v>3.4996414999962577</v>
      </c>
      <c r="DD137">
        <f t="shared" si="88"/>
        <v>9.3635244353454175E-3</v>
      </c>
      <c r="DE137">
        <f t="shared" si="89"/>
        <v>0.11014415837214167</v>
      </c>
      <c r="DF137">
        <f t="shared" si="90"/>
        <v>0.88049231719251286</v>
      </c>
      <c r="DG137">
        <f t="shared" si="91"/>
        <v>3.4996414999962577</v>
      </c>
      <c r="DH137">
        <f t="shared" si="92"/>
        <v>9.3635244353454175E-3</v>
      </c>
      <c r="DI137">
        <f t="shared" si="93"/>
        <v>0.11014415837214167</v>
      </c>
      <c r="DJ137">
        <f t="shared" si="94"/>
        <v>0.88049231719251286</v>
      </c>
      <c r="DK137" s="64">
        <f t="shared" si="95"/>
        <v>-2.3959013865304093</v>
      </c>
      <c r="DL137" s="64">
        <f t="shared" si="96"/>
        <v>-2.3959013865304093</v>
      </c>
      <c r="DM137" s="64">
        <f t="shared" si="97"/>
        <v>-2.2268156148050542</v>
      </c>
      <c r="DN137" s="64">
        <f t="shared" si="98"/>
        <v>-2.2268156148050542</v>
      </c>
      <c r="DO137" t="str">
        <f t="shared" si="99"/>
        <v>Sufficient Capacity</v>
      </c>
      <c r="DP137" t="str">
        <f t="shared" si="100"/>
        <v>Sufficient Capacity</v>
      </c>
    </row>
    <row r="138" spans="1:120" ht="15.75" x14ac:dyDescent="0.25">
      <c r="A138" s="7" t="s">
        <v>191</v>
      </c>
      <c r="B138" s="7" t="s">
        <v>191</v>
      </c>
      <c r="C138" s="2" t="s">
        <v>973</v>
      </c>
      <c r="D138" s="2" t="s">
        <v>580</v>
      </c>
      <c r="E138" s="2" t="s">
        <v>580</v>
      </c>
      <c r="F138" s="2">
        <v>137</v>
      </c>
      <c r="G138" s="2" t="s">
        <v>972</v>
      </c>
      <c r="H138" s="10" t="s">
        <v>656</v>
      </c>
      <c r="I138" s="2">
        <v>150</v>
      </c>
      <c r="J138" s="2">
        <v>65</v>
      </c>
      <c r="K138" s="2">
        <v>7.9</v>
      </c>
      <c r="L138" t="s">
        <v>366</v>
      </c>
      <c r="M138" s="2" t="s">
        <v>1120</v>
      </c>
      <c r="N138" s="2" t="s">
        <v>437</v>
      </c>
      <c r="O138" s="2" t="s">
        <v>666</v>
      </c>
      <c r="P138" s="2" t="s">
        <v>1131</v>
      </c>
      <c r="Q138" s="9" t="s">
        <v>737</v>
      </c>
      <c r="R138" s="2" t="str">
        <f t="shared" si="101"/>
        <v>CW_3_Section_2</v>
      </c>
      <c r="S138" s="2" t="str">
        <f t="shared" si="102"/>
        <v>CW_3_MF05</v>
      </c>
      <c r="T138" s="11" t="s">
        <v>937</v>
      </c>
      <c r="U138" s="1">
        <v>45827</v>
      </c>
      <c r="V138" s="2" t="s">
        <v>692</v>
      </c>
      <c r="W138" s="2" t="s">
        <v>655</v>
      </c>
      <c r="X138" s="2" t="s">
        <v>936</v>
      </c>
      <c r="Y138" s="2" t="str">
        <f t="shared" si="103"/>
        <v>T5_0.15-0.30</v>
      </c>
      <c r="Z138" t="s">
        <v>55</v>
      </c>
      <c r="AA138">
        <v>0.7</v>
      </c>
      <c r="AB138">
        <v>1.6</v>
      </c>
      <c r="AC138">
        <v>0.02</v>
      </c>
      <c r="AD138" s="32">
        <f t="shared" si="53"/>
        <v>7.6814748431698889E-6</v>
      </c>
      <c r="AE138">
        <v>0.02</v>
      </c>
      <c r="AF138" s="32">
        <f t="shared" si="54"/>
        <v>7.8141957890167132E-6</v>
      </c>
      <c r="AG138">
        <v>0.3</v>
      </c>
      <c r="AH138" s="32">
        <f t="shared" si="55"/>
        <v>1.1867759254026561E-4</v>
      </c>
      <c r="AI138">
        <v>0.01</v>
      </c>
      <c r="AJ138" s="32">
        <f t="shared" si="56"/>
        <v>3.9559197513421876E-6</v>
      </c>
      <c r="AK138">
        <v>0.02</v>
      </c>
      <c r="AL138" s="32">
        <f t="shared" si="57"/>
        <v>7.9118395026843752E-6</v>
      </c>
      <c r="AM138">
        <v>0.21</v>
      </c>
      <c r="AO138" s="49">
        <v>0.79</v>
      </c>
      <c r="AP138" s="49">
        <f t="shared" si="58"/>
        <v>1.3417326317245222E-4</v>
      </c>
      <c r="AQ138">
        <v>5.8</v>
      </c>
      <c r="AR138" s="32">
        <f t="shared" si="59"/>
        <v>2.1721151595537175E-3</v>
      </c>
      <c r="AS138" s="48">
        <v>0.8</v>
      </c>
      <c r="AT138" s="27">
        <f t="shared" si="60"/>
        <v>2.9960209097292662E-4</v>
      </c>
      <c r="AU138" s="48">
        <v>0.01</v>
      </c>
      <c r="AV138" s="27">
        <f t="shared" si="61"/>
        <v>3.6796110125501018E-6</v>
      </c>
      <c r="AW138" s="48">
        <v>0.2</v>
      </c>
      <c r="AX138" s="27">
        <f t="shared" si="62"/>
        <v>7.5222099734128785E-5</v>
      </c>
      <c r="AY138" s="48">
        <v>5.0000000000000001E-3</v>
      </c>
      <c r="AZ138" s="27">
        <f t="shared" si="63"/>
        <v>1.8649981951630372E-6</v>
      </c>
      <c r="BA138" s="48">
        <v>0.01</v>
      </c>
      <c r="BB138" s="27">
        <f t="shared" si="64"/>
        <v>3.7030802895135499E-6</v>
      </c>
      <c r="BC138" s="48">
        <v>1E-3</v>
      </c>
      <c r="BD138" s="27">
        <f t="shared" si="65"/>
        <v>3.7030802895135499E-7</v>
      </c>
      <c r="BE138" s="48">
        <v>1E-3</v>
      </c>
      <c r="BF138" s="27">
        <f t="shared" si="66"/>
        <v>3.6588380716934485E-7</v>
      </c>
      <c r="BG138" s="48">
        <v>2E-3</v>
      </c>
      <c r="BH138" s="27">
        <f t="shared" si="67"/>
        <v>7.3176761433868969E-7</v>
      </c>
      <c r="BI138" s="52">
        <f t="shared" si="68"/>
        <v>1.0289999999999997</v>
      </c>
      <c r="BJ138" s="52">
        <f t="shared" si="69"/>
        <v>0.22900000000000004</v>
      </c>
      <c r="BK138" s="27">
        <f t="shared" si="70"/>
        <v>3.8553983965474147E-4</v>
      </c>
      <c r="BL138" s="27">
        <f t="shared" si="71"/>
        <v>8.5937748681814868E-5</v>
      </c>
      <c r="BM138">
        <v>2.5</v>
      </c>
      <c r="BN138">
        <v>2.5</v>
      </c>
      <c r="BO138" t="s">
        <v>19</v>
      </c>
      <c r="BP138">
        <v>5</v>
      </c>
      <c r="BQ138">
        <v>67</v>
      </c>
      <c r="BR138" t="s">
        <v>443</v>
      </c>
      <c r="BS138">
        <v>1.4999999999999999E-2</v>
      </c>
      <c r="BT138">
        <v>3.77</v>
      </c>
      <c r="BU138">
        <v>21.9</v>
      </c>
      <c r="BV138">
        <v>-2.8</v>
      </c>
      <c r="BW138">
        <v>708</v>
      </c>
      <c r="BX138">
        <v>1090</v>
      </c>
      <c r="BY138">
        <v>0.1</v>
      </c>
      <c r="BZ138">
        <v>0.01</v>
      </c>
      <c r="CA138" s="32">
        <v>1.5</v>
      </c>
      <c r="CB138" s="32">
        <f t="shared" si="72"/>
        <v>2.685765443151298E-2</v>
      </c>
      <c r="CC138" s="32">
        <f t="shared" si="73"/>
        <v>2.685765443151298E-2</v>
      </c>
      <c r="CD138" s="32">
        <v>7.9</v>
      </c>
      <c r="CE138" s="32">
        <f t="shared" si="74"/>
        <v>0.14381940651738578</v>
      </c>
      <c r="CF138" s="32">
        <f t="shared" si="75"/>
        <v>0.28763881303477157</v>
      </c>
      <c r="CG138" s="27">
        <v>71</v>
      </c>
      <c r="CH138" s="27">
        <f t="shared" si="76"/>
        <v>0.73912138246929004</v>
      </c>
      <c r="CI138" s="27">
        <f t="shared" si="77"/>
        <v>5.9129710597543204</v>
      </c>
      <c r="CJ138" s="58">
        <v>8</v>
      </c>
      <c r="CK138" s="58">
        <v>10.126582278481013</v>
      </c>
      <c r="CL138" s="58">
        <v>0.66625026025400791</v>
      </c>
      <c r="CM138" s="58">
        <v>0.66625026025400791</v>
      </c>
      <c r="CN138" s="28">
        <v>-64.400000000000006</v>
      </c>
      <c r="CO138" s="28">
        <v>-975.75757575757598</v>
      </c>
      <c r="CP138" s="28">
        <v>-5.3633145950447636</v>
      </c>
      <c r="CR138" s="32">
        <f t="shared" si="78"/>
        <v>4.650426816572975</v>
      </c>
      <c r="CS138" s="32">
        <v>4.650426816572975</v>
      </c>
      <c r="CT138" s="32">
        <f t="shared" si="79"/>
        <v>6.150426816572975</v>
      </c>
      <c r="CU138" s="32">
        <f t="shared" si="80"/>
        <v>0.11012402536388495</v>
      </c>
      <c r="CV138" s="32">
        <f t="shared" si="81"/>
        <v>0.11012402536388495</v>
      </c>
      <c r="CW138" s="60">
        <f t="shared" si="82"/>
        <v>-37.435935873412454</v>
      </c>
      <c r="CY138" s="60">
        <f t="shared" si="83"/>
        <v>1.5</v>
      </c>
      <c r="CZ138" s="60">
        <f t="shared" si="84"/>
        <v>2.685765443151298E-2</v>
      </c>
      <c r="DA138" s="60">
        <f t="shared" si="85"/>
        <v>2.685765443151298E-2</v>
      </c>
      <c r="DB138" s="32">
        <f t="shared" si="86"/>
        <v>5.9129710597543204</v>
      </c>
      <c r="DC138">
        <f t="shared" si="87"/>
        <v>1.0640130986526644</v>
      </c>
      <c r="DD138">
        <f t="shared" si="88"/>
        <v>0.27033390227902465</v>
      </c>
      <c r="DE138">
        <f t="shared" si="89"/>
        <v>0.10349874968957855</v>
      </c>
      <c r="DF138">
        <f t="shared" si="90"/>
        <v>0.62616734803139684</v>
      </c>
      <c r="DG138">
        <f t="shared" si="91"/>
        <v>0.31449646746628457</v>
      </c>
      <c r="DH138">
        <f t="shared" si="92"/>
        <v>0.91460109346254492</v>
      </c>
      <c r="DI138">
        <f t="shared" si="93"/>
        <v>8.5398906537454952E-2</v>
      </c>
      <c r="DJ138">
        <f t="shared" si="94"/>
        <v>0</v>
      </c>
      <c r="DK138" s="64">
        <f t="shared" si="95"/>
        <v>-1.0617068102299383</v>
      </c>
      <c r="DL138" s="64">
        <f t="shared" si="96"/>
        <v>-0.31219017904355839</v>
      </c>
      <c r="DM138" s="64">
        <f t="shared" si="97"/>
        <v>-1.0616208724812564</v>
      </c>
      <c r="DN138" s="64">
        <f t="shared" si="98"/>
        <v>-0.31210424129487657</v>
      </c>
      <c r="DO138" t="str">
        <f t="shared" si="99"/>
        <v>Sufficient Capacity</v>
      </c>
      <c r="DP138" t="str">
        <f t="shared" si="100"/>
        <v>Sufficient Capacity</v>
      </c>
    </row>
    <row r="139" spans="1:120" ht="15.75" x14ac:dyDescent="0.25">
      <c r="A139" s="7" t="s">
        <v>192</v>
      </c>
      <c r="B139" s="7" t="s">
        <v>192</v>
      </c>
      <c r="C139" s="2" t="s">
        <v>975</v>
      </c>
      <c r="D139" s="2" t="s">
        <v>581</v>
      </c>
      <c r="E139" s="2" t="s">
        <v>581</v>
      </c>
      <c r="F139" s="2">
        <v>138</v>
      </c>
      <c r="G139" s="2" t="s">
        <v>974</v>
      </c>
      <c r="H139" s="10" t="s">
        <v>656</v>
      </c>
      <c r="I139" s="2">
        <v>150</v>
      </c>
      <c r="J139" s="2">
        <v>65</v>
      </c>
      <c r="K139" s="2">
        <v>2</v>
      </c>
      <c r="L139" t="s">
        <v>367</v>
      </c>
      <c r="M139" s="2" t="s">
        <v>1120</v>
      </c>
      <c r="N139" s="2" t="s">
        <v>437</v>
      </c>
      <c r="O139" s="2" t="s">
        <v>666</v>
      </c>
      <c r="P139" s="2" t="s">
        <v>1132</v>
      </c>
      <c r="Q139" s="9" t="s">
        <v>740</v>
      </c>
      <c r="R139" s="2" t="str">
        <f t="shared" si="101"/>
        <v>CW_3_Section_2</v>
      </c>
      <c r="S139" s="2" t="str">
        <f t="shared" si="102"/>
        <v>CW_3_MF06</v>
      </c>
      <c r="T139" s="11" t="s">
        <v>937</v>
      </c>
      <c r="U139" s="1">
        <v>45827</v>
      </c>
      <c r="V139" s="2" t="s">
        <v>692</v>
      </c>
      <c r="W139" s="2" t="s">
        <v>663</v>
      </c>
      <c r="X139" s="2" t="s">
        <v>936</v>
      </c>
      <c r="Y139" s="2" t="str">
        <f t="shared" si="103"/>
        <v>T5_0.60-0.80</v>
      </c>
      <c r="Z139" t="s">
        <v>57</v>
      </c>
      <c r="AA139">
        <v>8.1</v>
      </c>
      <c r="AB139">
        <v>8.4</v>
      </c>
      <c r="AC139">
        <v>580</v>
      </c>
      <c r="AD139" s="32">
        <f t="shared" ref="AD139:AD202" si="104">($AC139/78110)*30</f>
        <v>0.22276277045192677</v>
      </c>
      <c r="AE139">
        <v>33</v>
      </c>
      <c r="AF139" s="32">
        <f t="shared" ref="AF139:AF202" si="105">($AE139/92140)*36</f>
        <v>1.2893423051877576E-2</v>
      </c>
      <c r="AG139">
        <v>500</v>
      </c>
      <c r="AH139" s="32">
        <f t="shared" ref="AH139:AH202" si="106">($AG139/106170)*42</f>
        <v>0.19779598756710934</v>
      </c>
      <c r="AI139">
        <v>170</v>
      </c>
      <c r="AJ139" s="32">
        <f t="shared" ref="AJ139:AJ202" si="107">($AI139/106170)*42</f>
        <v>6.7250635772817174E-2</v>
      </c>
      <c r="AK139">
        <v>110</v>
      </c>
      <c r="AL139" s="32">
        <f t="shared" ref="AL139:AL202" si="108">($AK139/106170)*42</f>
        <v>4.3515117264764057E-2</v>
      </c>
      <c r="AM139">
        <v>280</v>
      </c>
      <c r="AO139" s="49">
        <v>1393</v>
      </c>
      <c r="AP139" s="49">
        <f t="shared" ref="AP139:AP202" si="109">$AD139+$AF139+$AH139+$AN139</f>
        <v>0.43345218107091366</v>
      </c>
      <c r="AQ139">
        <v>1800</v>
      </c>
      <c r="AR139" s="32">
        <f t="shared" ref="AR139:AR202" si="110">($AQ139/128170)*48</f>
        <v>0.6741047046890849</v>
      </c>
      <c r="AS139" s="48">
        <v>3300</v>
      </c>
      <c r="AT139" s="27">
        <f t="shared" ref="AT139:AT202" si="111">($AS139/128170)*48</f>
        <v>1.2358586252633221</v>
      </c>
      <c r="AU139" s="48">
        <v>40</v>
      </c>
      <c r="AV139" s="27">
        <f t="shared" ref="AV139:AV202" si="112">($AU139/152190)*56</f>
        <v>1.4718444050200407E-2</v>
      </c>
      <c r="AW139" s="48">
        <v>360</v>
      </c>
      <c r="AX139" s="27">
        <f t="shared" ref="AX139:AX202" si="113">($AW139/154210)*58</f>
        <v>0.13539977952143184</v>
      </c>
      <c r="AY139" s="48">
        <v>83</v>
      </c>
      <c r="AZ139" s="27">
        <f t="shared" ref="AZ139:AZ202" si="114">($AY139/166220)*62</f>
        <v>3.0958970039706414E-2</v>
      </c>
      <c r="BA139" s="48">
        <v>63</v>
      </c>
      <c r="BB139" s="27">
        <f t="shared" ref="BB139:BB202" si="115">($BA139/178230)*66</f>
        <v>2.3329405823935362E-2</v>
      </c>
      <c r="BC139" s="48">
        <v>4.0999999999999996</v>
      </c>
      <c r="BD139" s="27">
        <f t="shared" ref="BD139:BD202" si="116">($BC139/178230)*66</f>
        <v>1.5182629187005553E-3</v>
      </c>
      <c r="BE139" s="48">
        <v>0.95</v>
      </c>
      <c r="BF139" s="27">
        <f t="shared" ref="BF139:BF202" si="117">($BE139/202250)*74</f>
        <v>3.4758961681087758E-4</v>
      </c>
      <c r="BG139" s="48">
        <v>0.99</v>
      </c>
      <c r="BH139" s="27">
        <f t="shared" ref="BH139:BH202" si="118">($BG139/202250)*74</f>
        <v>3.6222496909765138E-4</v>
      </c>
      <c r="BI139" s="52">
        <f t="shared" ref="BI139:BI202" si="119">$AS139+$AU139+$AW139+$AY139+$BA139+$BC139+$BE139+$BG139</f>
        <v>3852.0399999999995</v>
      </c>
      <c r="BJ139" s="52">
        <f t="shared" ref="BJ139:BJ202" si="120">$AU139+$AW139+$AY139+$BA139+$BC139+$BE139+$BG139</f>
        <v>552.04000000000008</v>
      </c>
      <c r="BK139" s="27">
        <f t="shared" ref="BK139:BK202" si="121">$AT139+$AV139+$AX139+$AZ139+$BB139+$BD139+$BF139+$BH139</f>
        <v>1.4424933022032049</v>
      </c>
      <c r="BL139" s="27">
        <f t="shared" ref="BL139:BL202" si="122">$AV139+$AX139+$AZ139+$BB139+$BD139+$BF139+$BH139</f>
        <v>0.20663467693988311</v>
      </c>
      <c r="BM139">
        <v>2900</v>
      </c>
      <c r="BN139">
        <v>1100</v>
      </c>
      <c r="BO139" t="s">
        <v>19</v>
      </c>
      <c r="BP139">
        <v>4100</v>
      </c>
      <c r="BQ139">
        <v>75</v>
      </c>
      <c r="BR139" t="s">
        <v>443</v>
      </c>
      <c r="BS139">
        <v>0.73</v>
      </c>
      <c r="BT139">
        <v>0.18</v>
      </c>
      <c r="BU139">
        <v>21.9</v>
      </c>
      <c r="BV139">
        <v>-25</v>
      </c>
      <c r="BW139">
        <v>7.16</v>
      </c>
      <c r="BX139">
        <v>1036</v>
      </c>
      <c r="BY139">
        <v>0.2</v>
      </c>
      <c r="BZ139">
        <v>0.01</v>
      </c>
      <c r="CA139" s="32">
        <v>0.02</v>
      </c>
      <c r="CB139" s="32">
        <f t="shared" ref="CB139:CB202" si="123">$CA139/55.85</f>
        <v>3.5810205908683976E-4</v>
      </c>
      <c r="CC139" s="32">
        <f t="shared" ref="CC139:CC202" si="124">$CB139*1</f>
        <v>3.5810205908683976E-4</v>
      </c>
      <c r="CD139" s="32">
        <v>0.8</v>
      </c>
      <c r="CE139" s="32">
        <f t="shared" ref="CE139:CE202" si="125">$CD139/54.93</f>
        <v>1.4563990533406155E-2</v>
      </c>
      <c r="CF139" s="32">
        <f t="shared" ref="CF139:CF202" si="126">$CE139*2</f>
        <v>2.912798106681231E-2</v>
      </c>
      <c r="CG139" s="27">
        <v>43</v>
      </c>
      <c r="CH139" s="27">
        <f t="shared" ref="CH139:CH202" si="127">CG139/96.06</f>
        <v>0.44763689360816156</v>
      </c>
      <c r="CI139" s="27">
        <f t="shared" ref="CI139:CI202" si="128">CH139*8</f>
        <v>3.5810951488652925</v>
      </c>
      <c r="CJ139" s="58">
        <v>36</v>
      </c>
      <c r="CK139" s="58">
        <v>45.569620253164558</v>
      </c>
      <c r="CL139" s="58">
        <v>2.9981261711430354</v>
      </c>
      <c r="CM139" s="58">
        <v>2.9981261711430354</v>
      </c>
      <c r="CN139" s="28">
        <v>-1</v>
      </c>
      <c r="CO139" s="28">
        <v>-2.3809523809523809</v>
      </c>
      <c r="CP139" s="28">
        <v>-8.3281282531750989E-2</v>
      </c>
      <c r="CR139" s="32">
        <f t="shared" ref="CR139:CR202" si="129">$CJ139*(55.84/96.06)</f>
        <v>20.926920674578387</v>
      </c>
      <c r="CS139" s="32">
        <v>20.926920674578387</v>
      </c>
      <c r="CT139" s="32">
        <f t="shared" ref="CT139:CT202" si="130">$CA139+$CS139</f>
        <v>20.946920674578386</v>
      </c>
      <c r="CU139" s="32">
        <f t="shared" ref="CU139:CU202" si="131">$CT139/55.85</f>
        <v>0.37505677125476072</v>
      </c>
      <c r="CV139" s="32">
        <f t="shared" ref="CV139:CV202" si="132">$CU139*1</f>
        <v>0.37505677125476072</v>
      </c>
      <c r="CW139" s="60">
        <f t="shared" ref="CW139:CW202" si="133">$CN139*(55.84/96.06)</f>
        <v>-0.58130335207162187</v>
      </c>
      <c r="CY139" s="60">
        <f t="shared" ref="CY139:CY202" si="134">$CA139+$CX139</f>
        <v>0.02</v>
      </c>
      <c r="CZ139" s="60">
        <f t="shared" ref="CZ139:CZ202" si="135">$CY139/55.85</f>
        <v>3.5810205908683976E-4</v>
      </c>
      <c r="DA139" s="60">
        <f t="shared" ref="DA139:DA202" si="136">$CZ139*1</f>
        <v>3.5810205908683976E-4</v>
      </c>
      <c r="DB139" s="32">
        <f t="shared" ref="DB139:DB202" si="137">$CI139</f>
        <v>3.5810951488652925</v>
      </c>
      <c r="DC139">
        <f t="shared" ref="DC139:DC202" si="138">$CV139+$CF139+$CM139</f>
        <v>3.4023109234646083</v>
      </c>
      <c r="DD139">
        <f t="shared" ref="DD139:DD202" si="139">$CF139/$DC139</f>
        <v>8.5612343263298772E-3</v>
      </c>
      <c r="DE139">
        <f t="shared" ref="DE139:DE202" si="140">$CV139/$DC139</f>
        <v>0.1102358895737949</v>
      </c>
      <c r="DF139">
        <f t="shared" ref="DF139:DF202" si="141">$CM139/$DC139</f>
        <v>0.88120287609987524</v>
      </c>
      <c r="DG139">
        <f t="shared" ref="DG139:DG202" si="142">$DA139+$CF139+$CQ139</f>
        <v>2.9486083125899148E-2</v>
      </c>
      <c r="DH139">
        <f t="shared" ref="DH139:DH202" si="143">$CF139/$DG139</f>
        <v>0.9878552177460187</v>
      </c>
      <c r="DI139">
        <f t="shared" ref="DI139:DI202" si="144">$DA139/$DG139</f>
        <v>1.2144782253981379E-2</v>
      </c>
      <c r="DJ139">
        <f t="shared" ref="DJ139:DJ202" si="145">$CQ139/$DG139</f>
        <v>0</v>
      </c>
      <c r="DK139" s="64">
        <f t="shared" ref="DK139:DK202" si="146">($AP139+$AR139)-$DC139</f>
        <v>-2.2947540377046098</v>
      </c>
      <c r="DL139" s="64">
        <f t="shared" ref="DL139:DL202" si="147">($AP139+$AR139)-$DG139</f>
        <v>1.0780708026340993</v>
      </c>
      <c r="DM139" s="64">
        <f t="shared" ref="DM139:DM202" si="148">($AP139+$AR139+$BL139)-$DC139</f>
        <v>-2.0881193607647268</v>
      </c>
      <c r="DN139" s="64">
        <f t="shared" ref="DN139:DN202" si="149">($AP139+$AR139+$BL139)-$DG139</f>
        <v>1.2847054795739823</v>
      </c>
      <c r="DO139" t="str">
        <f t="shared" ref="DO139:DO202" si="150">IF(DM139&lt;0, "Sufficient Capacity", "Insufficient Capacity")</f>
        <v>Sufficient Capacity</v>
      </c>
      <c r="DP139" t="str">
        <f t="shared" ref="DP139:DP202" si="151">IF($DN139&lt;0, "Sufficient Capacity", "Insufficient Capacity")</f>
        <v>Insufficient Capacity</v>
      </c>
    </row>
    <row r="140" spans="1:120" ht="15.75" x14ac:dyDescent="0.25">
      <c r="A140" s="7" t="s">
        <v>193</v>
      </c>
      <c r="B140" s="7" t="s">
        <v>193</v>
      </c>
      <c r="C140" s="2" t="s">
        <v>977</v>
      </c>
      <c r="D140" s="2" t="s">
        <v>582</v>
      </c>
      <c r="E140" s="2" t="s">
        <v>582</v>
      </c>
      <c r="F140" s="2">
        <v>139</v>
      </c>
      <c r="G140" s="2" t="s">
        <v>976</v>
      </c>
      <c r="H140" s="10" t="s">
        <v>656</v>
      </c>
      <c r="I140" s="2">
        <v>150</v>
      </c>
      <c r="J140" s="2">
        <v>65</v>
      </c>
      <c r="K140" s="2">
        <v>11.4</v>
      </c>
      <c r="L140" t="s">
        <v>368</v>
      </c>
      <c r="M140" s="2" t="s">
        <v>1120</v>
      </c>
      <c r="N140" s="2" t="s">
        <v>437</v>
      </c>
      <c r="O140" s="2" t="s">
        <v>673</v>
      </c>
      <c r="P140" s="2" t="s">
        <v>1127</v>
      </c>
      <c r="Q140" s="9" t="s">
        <v>743</v>
      </c>
      <c r="R140" s="2" t="str">
        <f t="shared" si="101"/>
        <v>CW_3_Section_3</v>
      </c>
      <c r="S140" s="2" t="str">
        <f t="shared" si="102"/>
        <v>CW_3_MF09</v>
      </c>
      <c r="T140" s="11" t="s">
        <v>937</v>
      </c>
      <c r="U140" s="1">
        <v>45827</v>
      </c>
      <c r="V140" s="2" t="s">
        <v>692</v>
      </c>
      <c r="W140" s="2" t="s">
        <v>655</v>
      </c>
      <c r="X140" s="2" t="s">
        <v>936</v>
      </c>
      <c r="Y140" s="2" t="str">
        <f t="shared" si="103"/>
        <v>T5_0.15-0.30</v>
      </c>
      <c r="Z140" t="s">
        <v>59</v>
      </c>
      <c r="AA140">
        <v>17</v>
      </c>
      <c r="AB140">
        <v>18</v>
      </c>
      <c r="AC140">
        <v>180</v>
      </c>
      <c r="AD140" s="32">
        <f t="shared" si="104"/>
        <v>6.9133273588528998E-2</v>
      </c>
      <c r="AE140">
        <v>0.1</v>
      </c>
      <c r="AF140" s="32">
        <f t="shared" si="105"/>
        <v>3.9070978945083576E-5</v>
      </c>
      <c r="AG140">
        <v>42</v>
      </c>
      <c r="AH140" s="32">
        <f t="shared" si="106"/>
        <v>1.6614862955637185E-2</v>
      </c>
      <c r="AI140">
        <v>26</v>
      </c>
      <c r="AJ140" s="32">
        <f t="shared" si="107"/>
        <v>1.0285391353489687E-2</v>
      </c>
      <c r="AK140">
        <v>13</v>
      </c>
      <c r="AL140" s="32">
        <f t="shared" si="108"/>
        <v>5.1426956767448434E-3</v>
      </c>
      <c r="AM140">
        <v>39</v>
      </c>
      <c r="AO140" s="49">
        <v>261.7</v>
      </c>
      <c r="AP140" s="49">
        <f t="shared" si="109"/>
        <v>8.5787207523111267E-2</v>
      </c>
      <c r="AQ140">
        <v>28</v>
      </c>
      <c r="AR140" s="32">
        <f t="shared" si="110"/>
        <v>1.048607318405243E-2</v>
      </c>
      <c r="AS140" s="48">
        <v>32</v>
      </c>
      <c r="AT140" s="27">
        <f t="shared" si="111"/>
        <v>1.1984083638917061E-2</v>
      </c>
      <c r="AU140" s="48">
        <v>0.33</v>
      </c>
      <c r="AV140" s="27">
        <f t="shared" si="112"/>
        <v>1.2142716341415337E-4</v>
      </c>
      <c r="AW140" s="48">
        <v>0.7</v>
      </c>
      <c r="AX140" s="27">
        <f t="shared" si="113"/>
        <v>2.6327734906945072E-4</v>
      </c>
      <c r="AY140" s="48">
        <v>0.16</v>
      </c>
      <c r="AZ140" s="27">
        <f t="shared" si="114"/>
        <v>5.9679942245217189E-5</v>
      </c>
      <c r="BA140" s="48">
        <v>0.06</v>
      </c>
      <c r="BB140" s="27">
        <f t="shared" si="115"/>
        <v>2.22184817370813E-5</v>
      </c>
      <c r="BC140" s="48">
        <v>1E-3</v>
      </c>
      <c r="BD140" s="27">
        <f t="shared" si="116"/>
        <v>3.7030802895135499E-7</v>
      </c>
      <c r="BE140" s="48">
        <v>1E-3</v>
      </c>
      <c r="BF140" s="27">
        <f t="shared" si="117"/>
        <v>3.6588380716934485E-7</v>
      </c>
      <c r="BG140" s="48">
        <v>2E-3</v>
      </c>
      <c r="BH140" s="27">
        <f t="shared" si="118"/>
        <v>7.3176761433868969E-7</v>
      </c>
      <c r="BI140" s="52">
        <f t="shared" si="119"/>
        <v>33.253999999999998</v>
      </c>
      <c r="BJ140" s="52">
        <f t="shared" si="120"/>
        <v>1.2539999999999998</v>
      </c>
      <c r="BK140" s="27">
        <f t="shared" si="121"/>
        <v>1.2452154534833424E-2</v>
      </c>
      <c r="BL140" s="27">
        <f t="shared" si="122"/>
        <v>4.6807089591636189E-4</v>
      </c>
      <c r="BM140">
        <v>55</v>
      </c>
      <c r="BN140">
        <v>2.5</v>
      </c>
      <c r="BO140" t="s">
        <v>19</v>
      </c>
      <c r="BP140">
        <v>65</v>
      </c>
      <c r="BQ140">
        <v>61</v>
      </c>
      <c r="BR140" t="s">
        <v>443</v>
      </c>
      <c r="BS140">
        <v>1.7</v>
      </c>
      <c r="BT140">
        <v>5.21</v>
      </c>
      <c r="BU140">
        <v>20.8</v>
      </c>
      <c r="BV140">
        <v>-44</v>
      </c>
      <c r="BW140">
        <v>6.92</v>
      </c>
      <c r="BX140">
        <v>1025</v>
      </c>
      <c r="BY140">
        <v>0.1</v>
      </c>
      <c r="BZ140">
        <v>0.01</v>
      </c>
      <c r="CA140" s="32">
        <v>18</v>
      </c>
      <c r="CB140" s="32">
        <f t="shared" si="123"/>
        <v>0.32229185317815578</v>
      </c>
      <c r="CC140" s="32">
        <f t="shared" si="124"/>
        <v>0.32229185317815578</v>
      </c>
      <c r="CD140" s="32">
        <v>5.3</v>
      </c>
      <c r="CE140" s="32">
        <f t="shared" si="125"/>
        <v>9.6486437283815757E-2</v>
      </c>
      <c r="CF140" s="32">
        <f t="shared" si="126"/>
        <v>0.19297287456763151</v>
      </c>
      <c r="CG140" s="27">
        <v>0.5</v>
      </c>
      <c r="CH140" s="27">
        <f t="shared" si="127"/>
        <v>5.2050801582344368E-3</v>
      </c>
      <c r="CI140" s="27">
        <f t="shared" si="128"/>
        <v>4.1640641265875494E-2</v>
      </c>
      <c r="CJ140" s="58">
        <v>78.5</v>
      </c>
      <c r="CK140" s="58">
        <v>99.367088607594937</v>
      </c>
      <c r="CL140" s="58">
        <v>6.5375806787424526</v>
      </c>
      <c r="CM140" s="58">
        <v>6.5375806787424526</v>
      </c>
      <c r="CN140" s="28">
        <v>70.5</v>
      </c>
      <c r="CO140" s="28">
        <v>99.295774647887328</v>
      </c>
      <c r="CP140" s="28">
        <v>5.8713304184884443</v>
      </c>
      <c r="CQ140" s="28">
        <v>5.8713304184884443</v>
      </c>
      <c r="CR140" s="32">
        <f t="shared" si="129"/>
        <v>45.632313137622319</v>
      </c>
      <c r="CS140" s="32">
        <v>45.632313137622319</v>
      </c>
      <c r="CT140" s="32">
        <f t="shared" si="130"/>
        <v>63.632313137622319</v>
      </c>
      <c r="CU140" s="32">
        <f t="shared" si="131"/>
        <v>1.1393431179520559</v>
      </c>
      <c r="CV140" s="32">
        <f t="shared" si="132"/>
        <v>1.1393431179520559</v>
      </c>
      <c r="CW140" s="60">
        <f t="shared" si="133"/>
        <v>40.981886321049345</v>
      </c>
      <c r="CX140" s="60">
        <v>40.981886321049345</v>
      </c>
      <c r="CY140" s="60">
        <f t="shared" si="134"/>
        <v>58.981886321049345</v>
      </c>
      <c r="CZ140" s="60">
        <f t="shared" si="135"/>
        <v>1.0560767470196839</v>
      </c>
      <c r="DA140" s="60">
        <f t="shared" si="136"/>
        <v>1.0560767470196839</v>
      </c>
      <c r="DB140" s="32">
        <f t="shared" si="137"/>
        <v>4.1640641265875494E-2</v>
      </c>
      <c r="DC140">
        <f t="shared" si="138"/>
        <v>7.8698966712621399</v>
      </c>
      <c r="DD140">
        <f t="shared" si="139"/>
        <v>2.4520382239870419E-2</v>
      </c>
      <c r="DE140">
        <f t="shared" si="140"/>
        <v>0.14477230966862656</v>
      </c>
      <c r="DF140">
        <f t="shared" si="141"/>
        <v>0.83070730809150306</v>
      </c>
      <c r="DG140">
        <f t="shared" si="142"/>
        <v>7.1203800400757595</v>
      </c>
      <c r="DH140">
        <f t="shared" si="143"/>
        <v>2.7101485241169558E-2</v>
      </c>
      <c r="DI140">
        <f t="shared" si="144"/>
        <v>0.14831746916256558</v>
      </c>
      <c r="DJ140">
        <f t="shared" si="145"/>
        <v>0.82458104559626488</v>
      </c>
      <c r="DK140" s="64">
        <f t="shared" si="146"/>
        <v>-7.7736233905549765</v>
      </c>
      <c r="DL140" s="64">
        <f t="shared" si="147"/>
        <v>-7.0241067593685962</v>
      </c>
      <c r="DM140" s="64">
        <f t="shared" si="148"/>
        <v>-7.7731553196590601</v>
      </c>
      <c r="DN140" s="64">
        <f t="shared" si="149"/>
        <v>-7.0236386884726798</v>
      </c>
      <c r="DO140" t="str">
        <f t="shared" si="150"/>
        <v>Sufficient Capacity</v>
      </c>
      <c r="DP140" t="str">
        <f t="shared" si="151"/>
        <v>Sufficient Capacity</v>
      </c>
    </row>
    <row r="141" spans="1:120" ht="15.75" x14ac:dyDescent="0.25">
      <c r="A141" s="7" t="s">
        <v>194</v>
      </c>
      <c r="B141" s="7" t="s">
        <v>194</v>
      </c>
      <c r="C141" s="2" t="s">
        <v>979</v>
      </c>
      <c r="D141" s="2" t="s">
        <v>583</v>
      </c>
      <c r="E141" s="2" t="s">
        <v>583</v>
      </c>
      <c r="F141" s="2">
        <v>140</v>
      </c>
      <c r="G141" s="2" t="s">
        <v>978</v>
      </c>
      <c r="H141" s="10" t="s">
        <v>656</v>
      </c>
      <c r="I141" s="2">
        <v>150</v>
      </c>
      <c r="J141" s="2">
        <v>65</v>
      </c>
      <c r="K141" s="2">
        <v>3.6</v>
      </c>
      <c r="L141" t="s">
        <v>369</v>
      </c>
      <c r="M141" s="2" t="s">
        <v>1120</v>
      </c>
      <c r="N141" s="2" t="s">
        <v>437</v>
      </c>
      <c r="O141" s="2" t="s">
        <v>673</v>
      </c>
      <c r="P141" s="2" t="s">
        <v>1128</v>
      </c>
      <c r="Q141" s="9" t="s">
        <v>746</v>
      </c>
      <c r="R141" s="2" t="str">
        <f t="shared" si="101"/>
        <v>CW_3_Section_3</v>
      </c>
      <c r="S141" s="2" t="str">
        <f t="shared" si="102"/>
        <v>CW_3_MF10</v>
      </c>
      <c r="T141" s="11" t="s">
        <v>937</v>
      </c>
      <c r="U141" s="1">
        <v>45827</v>
      </c>
      <c r="V141" s="2" t="s">
        <v>692</v>
      </c>
      <c r="W141" s="2" t="s">
        <v>663</v>
      </c>
      <c r="X141" s="2" t="s">
        <v>936</v>
      </c>
      <c r="Y141" s="2" t="str">
        <f t="shared" si="103"/>
        <v>T5_0.60-0.80</v>
      </c>
      <c r="Z141" t="s">
        <v>61</v>
      </c>
      <c r="AA141">
        <v>9.6</v>
      </c>
      <c r="AB141">
        <v>9.8000000000000007</v>
      </c>
      <c r="AC141">
        <v>610</v>
      </c>
      <c r="AD141" s="32">
        <f t="shared" si="104"/>
        <v>0.23428498271668158</v>
      </c>
      <c r="AE141">
        <v>9.1</v>
      </c>
      <c r="AF141" s="32">
        <f t="shared" si="105"/>
        <v>3.5554590840026047E-3</v>
      </c>
      <c r="AG141">
        <v>480</v>
      </c>
      <c r="AH141" s="32">
        <f t="shared" si="106"/>
        <v>0.189884148064425</v>
      </c>
      <c r="AI141">
        <v>98</v>
      </c>
      <c r="AJ141" s="32">
        <f t="shared" si="107"/>
        <v>3.8768013563153431E-2</v>
      </c>
      <c r="AK141">
        <v>59</v>
      </c>
      <c r="AL141" s="32">
        <f t="shared" si="108"/>
        <v>2.3339926532918904E-2</v>
      </c>
      <c r="AM141">
        <v>157</v>
      </c>
      <c r="AO141" s="49">
        <v>1256.0999999999999</v>
      </c>
      <c r="AP141" s="49">
        <f t="shared" si="109"/>
        <v>0.42772458986510919</v>
      </c>
      <c r="AQ141">
        <v>1200</v>
      </c>
      <c r="AR141" s="32">
        <f t="shared" si="110"/>
        <v>0.44940313645938984</v>
      </c>
      <c r="AS141" s="48">
        <v>2800</v>
      </c>
      <c r="AT141" s="27">
        <f t="shared" si="111"/>
        <v>1.0486073184052431</v>
      </c>
      <c r="AU141" s="48">
        <v>3.2</v>
      </c>
      <c r="AV141" s="27">
        <f t="shared" si="112"/>
        <v>1.1774755240160327E-3</v>
      </c>
      <c r="AW141" s="48">
        <v>490</v>
      </c>
      <c r="AX141" s="27">
        <f t="shared" si="113"/>
        <v>0.18429414434861552</v>
      </c>
      <c r="AY141" s="48">
        <v>92</v>
      </c>
      <c r="AZ141" s="27">
        <f t="shared" si="114"/>
        <v>3.431596679099988E-2</v>
      </c>
      <c r="BA141" s="48">
        <v>2.2999999999999998</v>
      </c>
      <c r="BB141" s="27">
        <f t="shared" si="115"/>
        <v>8.5170846658811641E-4</v>
      </c>
      <c r="BC141" s="48">
        <v>2.5</v>
      </c>
      <c r="BD141" s="27">
        <f t="shared" si="116"/>
        <v>9.2577007237838748E-4</v>
      </c>
      <c r="BE141" s="48">
        <v>0.17</v>
      </c>
      <c r="BF141" s="27">
        <f t="shared" si="117"/>
        <v>6.2200247218788634E-5</v>
      </c>
      <c r="BG141" s="48">
        <v>0.09</v>
      </c>
      <c r="BH141" s="27">
        <f t="shared" si="118"/>
        <v>3.2929542645241034E-5</v>
      </c>
      <c r="BI141" s="52">
        <f t="shared" si="119"/>
        <v>3390.26</v>
      </c>
      <c r="BJ141" s="52">
        <f t="shared" si="120"/>
        <v>590.26</v>
      </c>
      <c r="BK141" s="27">
        <f t="shared" si="121"/>
        <v>1.2702675133977051</v>
      </c>
      <c r="BL141" s="27">
        <f t="shared" si="122"/>
        <v>0.22166019499246198</v>
      </c>
      <c r="BM141">
        <v>2200</v>
      </c>
      <c r="BN141">
        <v>1100</v>
      </c>
      <c r="BO141" t="s">
        <v>19</v>
      </c>
      <c r="BP141">
        <v>3300</v>
      </c>
      <c r="BQ141">
        <v>68</v>
      </c>
      <c r="BR141" t="s">
        <v>443</v>
      </c>
      <c r="BS141">
        <v>0.62</v>
      </c>
      <c r="BT141">
        <v>0.59</v>
      </c>
      <c r="BU141">
        <v>22</v>
      </c>
      <c r="BV141">
        <v>-51</v>
      </c>
      <c r="BW141">
        <v>7.11</v>
      </c>
      <c r="BX141">
        <v>988</v>
      </c>
      <c r="BY141">
        <v>0.2</v>
      </c>
      <c r="BZ141">
        <v>0.01</v>
      </c>
      <c r="CA141" s="32">
        <v>0.2</v>
      </c>
      <c r="CB141" s="32">
        <f t="shared" si="123"/>
        <v>3.5810205908683975E-3</v>
      </c>
      <c r="CC141" s="32">
        <f t="shared" si="124"/>
        <v>3.5810205908683975E-3</v>
      </c>
      <c r="CD141" s="32">
        <v>1</v>
      </c>
      <c r="CE141" s="32">
        <f t="shared" si="125"/>
        <v>1.8204988166757693E-2</v>
      </c>
      <c r="CF141" s="32">
        <f t="shared" si="126"/>
        <v>3.6409976333515386E-2</v>
      </c>
      <c r="CG141" s="27">
        <v>42</v>
      </c>
      <c r="CH141" s="27">
        <f t="shared" si="127"/>
        <v>0.4372267332916927</v>
      </c>
      <c r="CI141" s="27">
        <f t="shared" si="128"/>
        <v>3.4978138663335416</v>
      </c>
      <c r="CJ141" s="58">
        <v>37</v>
      </c>
      <c r="CK141" s="58">
        <v>46.835443037974684</v>
      </c>
      <c r="CL141" s="58">
        <v>3.0814074536747866</v>
      </c>
      <c r="CM141" s="58">
        <v>3.0814074536747866</v>
      </c>
      <c r="CN141" s="28">
        <v>1</v>
      </c>
      <c r="CO141" s="28">
        <v>2.3255813953488373</v>
      </c>
      <c r="CP141" s="28">
        <v>8.3281282531750989E-2</v>
      </c>
      <c r="CQ141" s="28">
        <v>8.3281282531750989E-2</v>
      </c>
      <c r="CR141" s="32">
        <f t="shared" si="129"/>
        <v>21.508224026650009</v>
      </c>
      <c r="CS141" s="32">
        <v>21.508224026650009</v>
      </c>
      <c r="CT141" s="32">
        <f t="shared" si="130"/>
        <v>21.708224026650008</v>
      </c>
      <c r="CU141" s="32">
        <f t="shared" si="131"/>
        <v>0.38868798615308875</v>
      </c>
      <c r="CV141" s="32">
        <f t="shared" si="132"/>
        <v>0.38868798615308875</v>
      </c>
      <c r="CW141" s="60">
        <f t="shared" si="133"/>
        <v>0.58130335207162187</v>
      </c>
      <c r="CX141" s="60">
        <v>0.58130335207162187</v>
      </c>
      <c r="CY141" s="60">
        <f t="shared" si="134"/>
        <v>0.78130335207162194</v>
      </c>
      <c r="CZ141" s="60">
        <f t="shared" si="135"/>
        <v>1.3989316957414896E-2</v>
      </c>
      <c r="DA141" s="60">
        <f t="shared" si="136"/>
        <v>1.3989316957414896E-2</v>
      </c>
      <c r="DB141" s="32">
        <f t="shared" si="137"/>
        <v>3.4978138663335416</v>
      </c>
      <c r="DC141">
        <f t="shared" si="138"/>
        <v>3.5065054161613909</v>
      </c>
      <c r="DD141">
        <f t="shared" si="139"/>
        <v>1.0383550575938873E-2</v>
      </c>
      <c r="DE141">
        <f t="shared" si="140"/>
        <v>0.11084767882052488</v>
      </c>
      <c r="DF141">
        <f t="shared" si="141"/>
        <v>0.8787687706035362</v>
      </c>
      <c r="DG141">
        <f t="shared" si="142"/>
        <v>0.13368057582268128</v>
      </c>
      <c r="DH141">
        <f t="shared" si="143"/>
        <v>0.27236549595515575</v>
      </c>
      <c r="DI141">
        <f t="shared" si="144"/>
        <v>0.10464734215366359</v>
      </c>
      <c r="DJ141">
        <f t="shared" si="145"/>
        <v>0.62298716189118064</v>
      </c>
      <c r="DK141" s="64">
        <f t="shared" si="146"/>
        <v>-2.6293776898368919</v>
      </c>
      <c r="DL141" s="64">
        <f t="shared" si="147"/>
        <v>0.74344715050181764</v>
      </c>
      <c r="DM141" s="64">
        <f t="shared" si="148"/>
        <v>-2.4077174948444302</v>
      </c>
      <c r="DN141" s="64">
        <f t="shared" si="149"/>
        <v>0.96510734549427957</v>
      </c>
      <c r="DO141" t="str">
        <f t="shared" si="150"/>
        <v>Sufficient Capacity</v>
      </c>
      <c r="DP141" t="str">
        <f t="shared" si="151"/>
        <v>Insufficient Capacity</v>
      </c>
    </row>
    <row r="142" spans="1:120" ht="15.75" x14ac:dyDescent="0.25">
      <c r="A142" s="29" t="s">
        <v>195</v>
      </c>
      <c r="B142" s="29" t="s">
        <v>195</v>
      </c>
      <c r="C142" s="29" t="s">
        <v>981</v>
      </c>
      <c r="D142" s="29" t="s">
        <v>584</v>
      </c>
      <c r="E142" s="29" t="s">
        <v>584</v>
      </c>
      <c r="F142" s="29">
        <v>141</v>
      </c>
      <c r="G142" s="29" t="s">
        <v>980</v>
      </c>
      <c r="H142" s="30" t="s">
        <v>656</v>
      </c>
      <c r="I142" s="29">
        <v>150</v>
      </c>
      <c r="J142" s="29">
        <v>65</v>
      </c>
      <c r="K142" s="29">
        <v>6.4</v>
      </c>
      <c r="L142" s="32" t="s">
        <v>370</v>
      </c>
      <c r="M142" s="29" t="s">
        <v>1118</v>
      </c>
      <c r="N142" s="29" t="s">
        <v>688</v>
      </c>
      <c r="O142" s="29" t="s">
        <v>687</v>
      </c>
      <c r="P142" s="29" t="s">
        <v>1118</v>
      </c>
      <c r="Q142" s="29" t="s">
        <v>443</v>
      </c>
      <c r="R142" s="2" t="str">
        <f t="shared" si="101"/>
        <v>CW_0_Section_0</v>
      </c>
      <c r="S142" s="2" t="str">
        <f t="shared" si="102"/>
        <v>CW_0_INF</v>
      </c>
      <c r="T142" s="31" t="s">
        <v>983</v>
      </c>
      <c r="U142" s="33">
        <v>45882</v>
      </c>
      <c r="V142" s="29" t="s">
        <v>692</v>
      </c>
      <c r="W142" s="29" t="s">
        <v>1118</v>
      </c>
      <c r="X142" s="29" t="s">
        <v>982</v>
      </c>
      <c r="Y142" s="2" t="str">
        <f t="shared" si="103"/>
        <v>T6_INF</v>
      </c>
      <c r="Z142" s="32" t="s">
        <v>27</v>
      </c>
      <c r="AA142" s="32">
        <v>10</v>
      </c>
      <c r="AB142" s="32">
        <v>98</v>
      </c>
      <c r="AC142" s="32">
        <v>110</v>
      </c>
      <c r="AD142" s="32">
        <f t="shared" si="104"/>
        <v>4.2248111637434388E-2</v>
      </c>
      <c r="AE142" s="32">
        <v>4.2</v>
      </c>
      <c r="AF142" s="32">
        <f t="shared" si="105"/>
        <v>1.64098111569351E-3</v>
      </c>
      <c r="AG142" s="32">
        <v>70</v>
      </c>
      <c r="AH142" s="32">
        <f t="shared" si="106"/>
        <v>2.769143825939531E-2</v>
      </c>
      <c r="AI142" s="32">
        <v>25</v>
      </c>
      <c r="AJ142" s="32">
        <f t="shared" si="107"/>
        <v>9.8897993783554679E-3</v>
      </c>
      <c r="AK142" s="32">
        <v>30</v>
      </c>
      <c r="AL142" s="32">
        <f t="shared" si="108"/>
        <v>1.1867759254026562E-2</v>
      </c>
      <c r="AM142" s="32">
        <v>55</v>
      </c>
      <c r="AN142" s="32"/>
      <c r="AO142" s="49">
        <v>239.2</v>
      </c>
      <c r="AP142" s="49">
        <f t="shared" si="109"/>
        <v>7.1580531012523207E-2</v>
      </c>
      <c r="AQ142" s="32">
        <v>410</v>
      </c>
      <c r="AR142" s="32">
        <f t="shared" si="110"/>
        <v>0.15354607162362488</v>
      </c>
      <c r="AS142" s="48">
        <v>150</v>
      </c>
      <c r="AT142" s="27">
        <f t="shared" si="111"/>
        <v>5.617539205742373E-2</v>
      </c>
      <c r="AU142" s="48">
        <v>87</v>
      </c>
      <c r="AV142" s="27">
        <f t="shared" si="112"/>
        <v>3.2012615809185886E-2</v>
      </c>
      <c r="AW142" s="48">
        <v>130</v>
      </c>
      <c r="AX142" s="27">
        <f t="shared" si="113"/>
        <v>4.8894364827183713E-2</v>
      </c>
      <c r="AY142" s="48">
        <v>85</v>
      </c>
      <c r="AZ142" s="27">
        <f t="shared" si="114"/>
        <v>3.1704969317771628E-2</v>
      </c>
      <c r="BA142" s="48">
        <v>150</v>
      </c>
      <c r="BB142" s="27">
        <f t="shared" si="115"/>
        <v>5.554620434270325E-2</v>
      </c>
      <c r="BC142" s="48">
        <v>100</v>
      </c>
      <c r="BD142" s="27">
        <f t="shared" si="116"/>
        <v>3.7030802895135495E-2</v>
      </c>
      <c r="BE142" s="48">
        <v>110</v>
      </c>
      <c r="BF142" s="27">
        <f t="shared" si="117"/>
        <v>4.0247218788627935E-2</v>
      </c>
      <c r="BG142" s="48">
        <v>160</v>
      </c>
      <c r="BH142" s="27">
        <f t="shared" si="118"/>
        <v>5.8541409147095179E-2</v>
      </c>
      <c r="BI142" s="52">
        <f t="shared" si="119"/>
        <v>972</v>
      </c>
      <c r="BJ142" s="52">
        <f t="shared" si="120"/>
        <v>822</v>
      </c>
      <c r="BK142" s="27">
        <f t="shared" si="121"/>
        <v>0.36015297718512679</v>
      </c>
      <c r="BL142" s="27">
        <f t="shared" si="122"/>
        <v>0.30397758512770306</v>
      </c>
      <c r="BM142" s="32">
        <v>1000</v>
      </c>
      <c r="BN142" s="32">
        <v>2400</v>
      </c>
      <c r="BO142" s="32" t="s">
        <v>19</v>
      </c>
      <c r="BP142" s="32">
        <v>3500</v>
      </c>
      <c r="BQ142" s="32">
        <v>66</v>
      </c>
      <c r="BR142" s="32">
        <v>28</v>
      </c>
      <c r="BS142" s="32">
        <v>0.43</v>
      </c>
      <c r="BT142" s="32" t="s">
        <v>443</v>
      </c>
      <c r="BU142" s="32" t="s">
        <v>443</v>
      </c>
      <c r="BV142" s="32" t="s">
        <v>443</v>
      </c>
      <c r="BW142" s="32" t="s">
        <v>443</v>
      </c>
      <c r="BX142" s="32" t="s">
        <v>443</v>
      </c>
      <c r="BY142" s="32" t="s">
        <v>443</v>
      </c>
      <c r="BZ142" s="32">
        <v>0.01</v>
      </c>
      <c r="CA142" s="32">
        <v>4.2</v>
      </c>
      <c r="CB142" s="32">
        <f t="shared" si="123"/>
        <v>7.5201432408236346E-2</v>
      </c>
      <c r="CC142" s="32">
        <f t="shared" si="124"/>
        <v>7.5201432408236346E-2</v>
      </c>
      <c r="CD142" s="32">
        <v>1.4</v>
      </c>
      <c r="CE142" s="32">
        <f t="shared" si="125"/>
        <v>2.5486983433460765E-2</v>
      </c>
      <c r="CF142" s="32">
        <f t="shared" si="126"/>
        <v>5.097396686692153E-2</v>
      </c>
      <c r="CG142" s="32">
        <v>140</v>
      </c>
      <c r="CH142" s="32">
        <f t="shared" si="127"/>
        <v>1.4574224443056423</v>
      </c>
      <c r="CI142" s="32">
        <f t="shared" si="128"/>
        <v>11.659379554445138</v>
      </c>
      <c r="CJ142" s="58">
        <v>0</v>
      </c>
      <c r="CK142" s="58">
        <v>0</v>
      </c>
      <c r="CL142" s="58">
        <v>0</v>
      </c>
      <c r="CM142" s="58">
        <v>0</v>
      </c>
      <c r="CN142" s="28">
        <v>0</v>
      </c>
      <c r="CO142" s="28">
        <v>0</v>
      </c>
      <c r="CP142" s="28">
        <v>0</v>
      </c>
      <c r="CQ142" s="28">
        <v>0</v>
      </c>
      <c r="CR142" s="32">
        <f t="shared" si="129"/>
        <v>0</v>
      </c>
      <c r="CS142" s="32">
        <v>0</v>
      </c>
      <c r="CT142" s="32">
        <f t="shared" si="130"/>
        <v>4.2</v>
      </c>
      <c r="CU142" s="32">
        <f t="shared" si="131"/>
        <v>7.5201432408236346E-2</v>
      </c>
      <c r="CV142" s="32">
        <f t="shared" si="132"/>
        <v>7.5201432408236346E-2</v>
      </c>
      <c r="CW142" s="60">
        <f t="shared" si="133"/>
        <v>0</v>
      </c>
      <c r="CX142" s="60">
        <v>0</v>
      </c>
      <c r="CY142" s="60">
        <f t="shared" si="134"/>
        <v>4.2</v>
      </c>
      <c r="CZ142" s="60">
        <f t="shared" si="135"/>
        <v>7.5201432408236346E-2</v>
      </c>
      <c r="DA142" s="60">
        <f t="shared" si="136"/>
        <v>7.5201432408236346E-2</v>
      </c>
      <c r="DB142" s="32">
        <f t="shared" si="137"/>
        <v>11.659379554445138</v>
      </c>
      <c r="DC142">
        <f t="shared" si="138"/>
        <v>0.12617539927515786</v>
      </c>
      <c r="DD142">
        <f t="shared" si="139"/>
        <v>0.40399291113602664</v>
      </c>
      <c r="DE142">
        <f t="shared" si="140"/>
        <v>0.59600708886397347</v>
      </c>
      <c r="DF142">
        <f t="shared" si="141"/>
        <v>0</v>
      </c>
      <c r="DG142">
        <f t="shared" si="142"/>
        <v>0.12617539927515786</v>
      </c>
      <c r="DH142">
        <f t="shared" si="143"/>
        <v>0.40399291113602664</v>
      </c>
      <c r="DI142">
        <f t="shared" si="144"/>
        <v>0.59600708886397347</v>
      </c>
      <c r="DJ142">
        <f t="shared" si="145"/>
        <v>0</v>
      </c>
      <c r="DK142" s="64">
        <f t="shared" si="146"/>
        <v>9.8951203360990225E-2</v>
      </c>
      <c r="DL142" s="64">
        <f t="shared" si="147"/>
        <v>9.8951203360990225E-2</v>
      </c>
      <c r="DM142" s="64">
        <f t="shared" si="148"/>
        <v>0.40292878848869329</v>
      </c>
      <c r="DN142" s="64">
        <f t="shared" si="149"/>
        <v>0.40292878848869329</v>
      </c>
      <c r="DO142" t="str">
        <f t="shared" si="150"/>
        <v>Insufficient Capacity</v>
      </c>
      <c r="DP142" t="str">
        <f t="shared" si="151"/>
        <v>Insufficient Capacity</v>
      </c>
    </row>
    <row r="143" spans="1:120" ht="15.75" x14ac:dyDescent="0.25">
      <c r="A143" s="6" t="s">
        <v>196</v>
      </c>
      <c r="B143" s="6" t="s">
        <v>196</v>
      </c>
      <c r="C143" s="2" t="s">
        <v>985</v>
      </c>
      <c r="D143" s="2" t="s">
        <v>585</v>
      </c>
      <c r="E143" s="2" t="s">
        <v>585</v>
      </c>
      <c r="F143" s="2">
        <v>142</v>
      </c>
      <c r="G143" s="2" t="s">
        <v>984</v>
      </c>
      <c r="H143" s="10" t="s">
        <v>656</v>
      </c>
      <c r="I143" s="2">
        <v>150</v>
      </c>
      <c r="J143" s="2">
        <v>65</v>
      </c>
      <c r="K143" s="2">
        <v>8.4</v>
      </c>
      <c r="L143" t="s">
        <v>371</v>
      </c>
      <c r="M143" s="2" t="s">
        <v>1119</v>
      </c>
      <c r="N143" s="2" t="s">
        <v>435</v>
      </c>
      <c r="O143" s="2" t="s">
        <v>694</v>
      </c>
      <c r="P143" s="2" t="s">
        <v>1119</v>
      </c>
      <c r="Q143" s="2" t="s">
        <v>443</v>
      </c>
      <c r="R143" s="2" t="str">
        <f t="shared" si="101"/>
        <v>CW_1_Section_5</v>
      </c>
      <c r="S143" s="2" t="str">
        <f t="shared" si="102"/>
        <v>CW_1_EFF</v>
      </c>
      <c r="T143" s="11" t="s">
        <v>983</v>
      </c>
      <c r="U143" s="1">
        <v>45882</v>
      </c>
      <c r="V143" s="2" t="s">
        <v>692</v>
      </c>
      <c r="W143" s="2" t="s">
        <v>1119</v>
      </c>
      <c r="X143" s="2" t="s">
        <v>982</v>
      </c>
      <c r="Y143" s="2" t="str">
        <f t="shared" si="103"/>
        <v>T6_EFF</v>
      </c>
      <c r="Z143" t="s">
        <v>18</v>
      </c>
      <c r="AA143">
        <v>8.1999999999999993</v>
      </c>
      <c r="AB143">
        <v>8.1</v>
      </c>
      <c r="AC143">
        <v>9.3000000000000007</v>
      </c>
      <c r="AD143" s="32">
        <f t="shared" si="104"/>
        <v>3.5718858020739987E-3</v>
      </c>
      <c r="AE143">
        <v>0.56000000000000005</v>
      </c>
      <c r="AF143" s="32">
        <f t="shared" si="105"/>
        <v>2.1879748209246801E-4</v>
      </c>
      <c r="AG143">
        <v>11</v>
      </c>
      <c r="AH143" s="32">
        <f t="shared" si="106"/>
        <v>4.3515117264764057E-3</v>
      </c>
      <c r="AI143">
        <v>1.5</v>
      </c>
      <c r="AJ143" s="32">
        <f t="shared" si="107"/>
        <v>5.9338796270132807E-4</v>
      </c>
      <c r="AK143">
        <v>0.45</v>
      </c>
      <c r="AL143" s="32">
        <f t="shared" si="108"/>
        <v>1.7801638881039843E-4</v>
      </c>
      <c r="AM143">
        <v>1.95</v>
      </c>
      <c r="AO143" s="49">
        <v>22.81</v>
      </c>
      <c r="AP143" s="49">
        <f t="shared" si="109"/>
        <v>8.1421950106428734E-3</v>
      </c>
      <c r="AQ143">
        <v>37</v>
      </c>
      <c r="AR143" s="32">
        <f t="shared" si="110"/>
        <v>1.3856596707497854E-2</v>
      </c>
      <c r="AS143" s="48">
        <v>2E-3</v>
      </c>
      <c r="AT143" s="27">
        <f t="shared" si="111"/>
        <v>7.4900522743231646E-7</v>
      </c>
      <c r="AU143" s="48">
        <v>0.01</v>
      </c>
      <c r="AV143" s="27">
        <f t="shared" si="112"/>
        <v>3.6796110125501018E-6</v>
      </c>
      <c r="AW143" s="48">
        <v>0.01</v>
      </c>
      <c r="AX143" s="27">
        <f t="shared" si="113"/>
        <v>3.7611049867064394E-6</v>
      </c>
      <c r="AY143" s="48">
        <v>5.0000000000000001E-3</v>
      </c>
      <c r="AZ143" s="27">
        <f t="shared" si="114"/>
        <v>1.8649981951630372E-6</v>
      </c>
      <c r="BA143" s="48">
        <v>1E-3</v>
      </c>
      <c r="BB143" s="27">
        <f t="shared" si="115"/>
        <v>3.7030802895135499E-7</v>
      </c>
      <c r="BC143" s="48">
        <v>1E-3</v>
      </c>
      <c r="BD143" s="27">
        <f t="shared" si="116"/>
        <v>3.7030802895135499E-7</v>
      </c>
      <c r="BE143" s="48">
        <v>1E-3</v>
      </c>
      <c r="BF143" s="27">
        <f t="shared" si="117"/>
        <v>3.6588380716934485E-7</v>
      </c>
      <c r="BG143" s="48">
        <v>2E-3</v>
      </c>
      <c r="BH143" s="27">
        <f t="shared" si="118"/>
        <v>7.3176761433868969E-7</v>
      </c>
      <c r="BI143" s="52">
        <f t="shared" si="119"/>
        <v>3.2000000000000001E-2</v>
      </c>
      <c r="BJ143" s="52">
        <f t="shared" si="120"/>
        <v>3.0000000000000006E-2</v>
      </c>
      <c r="BK143" s="27">
        <f t="shared" si="121"/>
        <v>1.1892986901262639E-5</v>
      </c>
      <c r="BL143" s="27">
        <f t="shared" si="122"/>
        <v>1.1143981673830322E-5</v>
      </c>
      <c r="BM143">
        <v>25</v>
      </c>
      <c r="BN143">
        <v>60</v>
      </c>
      <c r="BO143" t="s">
        <v>19</v>
      </c>
      <c r="BP143">
        <v>85</v>
      </c>
      <c r="BQ143">
        <v>53</v>
      </c>
      <c r="BR143">
        <v>7.8</v>
      </c>
      <c r="BS143">
        <v>1.4999999999999999E-2</v>
      </c>
      <c r="BT143">
        <v>3.51</v>
      </c>
      <c r="BU143">
        <v>22.9</v>
      </c>
      <c r="BV143">
        <v>-144</v>
      </c>
      <c r="BW143">
        <v>7.19</v>
      </c>
      <c r="BX143">
        <v>620</v>
      </c>
      <c r="BY143">
        <v>0.2</v>
      </c>
      <c r="BZ143">
        <v>0.01</v>
      </c>
      <c r="CA143" s="32">
        <v>2.2999999999999998</v>
      </c>
      <c r="CB143" s="32">
        <f t="shared" si="123"/>
        <v>4.1181736794986566E-2</v>
      </c>
      <c r="CC143" s="32">
        <f t="shared" si="124"/>
        <v>4.1181736794986566E-2</v>
      </c>
      <c r="CD143" s="32">
        <v>0.6</v>
      </c>
      <c r="CE143" s="32">
        <f t="shared" si="125"/>
        <v>1.0922992900054615E-2</v>
      </c>
      <c r="CF143" s="32">
        <f t="shared" si="126"/>
        <v>2.1845985800109231E-2</v>
      </c>
      <c r="CG143" s="27">
        <v>28</v>
      </c>
      <c r="CH143" s="27">
        <f t="shared" si="127"/>
        <v>0.29148448886112843</v>
      </c>
      <c r="CI143" s="27">
        <f t="shared" si="128"/>
        <v>2.3318759108890275</v>
      </c>
      <c r="CJ143" s="58">
        <v>112</v>
      </c>
      <c r="CK143" s="58">
        <v>80</v>
      </c>
      <c r="CL143" s="58">
        <v>9.3275036435561098</v>
      </c>
      <c r="CM143" s="58">
        <v>9.3275036435561098</v>
      </c>
      <c r="CN143" s="28">
        <v>56</v>
      </c>
      <c r="CO143" s="28">
        <v>66.666666666666657</v>
      </c>
      <c r="CP143" s="28">
        <v>4.6637518217780549</v>
      </c>
      <c r="CQ143" s="28">
        <v>4.6637518217780549</v>
      </c>
      <c r="CR143" s="32">
        <f t="shared" si="129"/>
        <v>65.105975432021651</v>
      </c>
      <c r="CS143" s="32">
        <v>65.105975432021651</v>
      </c>
      <c r="CT143" s="32">
        <f t="shared" si="130"/>
        <v>67.405975432021648</v>
      </c>
      <c r="CU143" s="32">
        <f t="shared" si="131"/>
        <v>1.2069109298481941</v>
      </c>
      <c r="CV143" s="32">
        <f t="shared" si="132"/>
        <v>1.2069109298481941</v>
      </c>
      <c r="CW143" s="60">
        <f t="shared" si="133"/>
        <v>32.552987716010826</v>
      </c>
      <c r="CX143" s="60">
        <v>32.552987716010826</v>
      </c>
      <c r="CY143" s="60">
        <f t="shared" si="134"/>
        <v>34.852987716010823</v>
      </c>
      <c r="CZ143" s="60">
        <f t="shared" si="135"/>
        <v>0.62404633332159032</v>
      </c>
      <c r="DA143" s="60">
        <f t="shared" si="136"/>
        <v>0.62404633332159032</v>
      </c>
      <c r="DB143" s="32">
        <f t="shared" si="137"/>
        <v>2.3318759108890275</v>
      </c>
      <c r="DC143">
        <f t="shared" si="138"/>
        <v>10.556260559204413</v>
      </c>
      <c r="DD143">
        <f t="shared" si="139"/>
        <v>2.0694814870840668E-3</v>
      </c>
      <c r="DE143">
        <f t="shared" si="140"/>
        <v>0.11433129402966866</v>
      </c>
      <c r="DF143">
        <f t="shared" si="141"/>
        <v>0.88359922448324735</v>
      </c>
      <c r="DG143">
        <f t="shared" si="142"/>
        <v>5.3096441408997546</v>
      </c>
      <c r="DH143">
        <f t="shared" si="143"/>
        <v>4.11439735326731E-3</v>
      </c>
      <c r="DI143">
        <f t="shared" si="144"/>
        <v>0.11753072649720768</v>
      </c>
      <c r="DJ143">
        <f t="shared" si="145"/>
        <v>0.87835487614952501</v>
      </c>
      <c r="DK143" s="64">
        <f t="shared" si="146"/>
        <v>-10.534261767486273</v>
      </c>
      <c r="DL143" s="64">
        <f t="shared" si="147"/>
        <v>-5.2876453491816138</v>
      </c>
      <c r="DM143" s="64">
        <f t="shared" si="148"/>
        <v>-10.534250623504597</v>
      </c>
      <c r="DN143" s="64">
        <f t="shared" si="149"/>
        <v>-5.2876342051999403</v>
      </c>
      <c r="DO143" t="str">
        <f t="shared" si="150"/>
        <v>Sufficient Capacity</v>
      </c>
      <c r="DP143" t="str">
        <f t="shared" si="151"/>
        <v>Sufficient Capacity</v>
      </c>
    </row>
    <row r="144" spans="1:120" ht="15.75" x14ac:dyDescent="0.25">
      <c r="A144" s="6" t="s">
        <v>197</v>
      </c>
      <c r="B144" s="6" t="s">
        <v>197</v>
      </c>
      <c r="C144" s="2" t="s">
        <v>987</v>
      </c>
      <c r="D144" s="2" t="s">
        <v>586</v>
      </c>
      <c r="E144" s="2" t="s">
        <v>586</v>
      </c>
      <c r="F144" s="2">
        <v>143</v>
      </c>
      <c r="G144" s="2" t="s">
        <v>986</v>
      </c>
      <c r="H144" s="10" t="s">
        <v>656</v>
      </c>
      <c r="I144" s="2">
        <v>150</v>
      </c>
      <c r="J144" s="2">
        <v>65</v>
      </c>
      <c r="K144" s="2">
        <v>15.65</v>
      </c>
      <c r="L144" t="s">
        <v>378</v>
      </c>
      <c r="M144" s="2" t="s">
        <v>1119</v>
      </c>
      <c r="N144" s="2" t="s">
        <v>436</v>
      </c>
      <c r="O144" s="2" t="s">
        <v>694</v>
      </c>
      <c r="P144" s="2" t="s">
        <v>1119</v>
      </c>
      <c r="Q144" s="2" t="s">
        <v>443</v>
      </c>
      <c r="R144" s="2" t="str">
        <f t="shared" si="101"/>
        <v>CW_2_Section_5</v>
      </c>
      <c r="S144" s="2" t="str">
        <f t="shared" si="102"/>
        <v>CW_2_EFF</v>
      </c>
      <c r="T144" s="11" t="s">
        <v>983</v>
      </c>
      <c r="U144" s="1">
        <v>45883</v>
      </c>
      <c r="V144" s="2" t="s">
        <v>692</v>
      </c>
      <c r="W144" s="2" t="s">
        <v>1119</v>
      </c>
      <c r="X144" s="2" t="s">
        <v>982</v>
      </c>
      <c r="Y144" s="2" t="str">
        <f t="shared" si="103"/>
        <v>T6_EFF</v>
      </c>
      <c r="Z144" t="s">
        <v>39</v>
      </c>
      <c r="AA144">
        <v>7.5</v>
      </c>
      <c r="AB144">
        <v>7.7</v>
      </c>
      <c r="AC144">
        <v>46</v>
      </c>
      <c r="AD144" s="32">
        <f t="shared" si="104"/>
        <v>1.7667392139290746E-2</v>
      </c>
      <c r="AE144">
        <v>1.3</v>
      </c>
      <c r="AF144" s="32">
        <f t="shared" si="105"/>
        <v>5.0792272628608645E-4</v>
      </c>
      <c r="AG144">
        <v>44</v>
      </c>
      <c r="AH144" s="32">
        <f t="shared" si="106"/>
        <v>1.7406046905905623E-2</v>
      </c>
      <c r="AI144">
        <v>4.9000000000000004</v>
      </c>
      <c r="AJ144" s="32">
        <f t="shared" si="107"/>
        <v>1.9384006781576718E-3</v>
      </c>
      <c r="AK144">
        <v>3.2</v>
      </c>
      <c r="AL144" s="32">
        <f t="shared" si="108"/>
        <v>1.2658943204294998E-3</v>
      </c>
      <c r="AM144">
        <v>8.1</v>
      </c>
      <c r="AO144" s="49">
        <v>99.4</v>
      </c>
      <c r="AP144" s="49">
        <f t="shared" si="109"/>
        <v>3.5581361771482453E-2</v>
      </c>
      <c r="AQ144">
        <v>73</v>
      </c>
      <c r="AR144" s="32">
        <f t="shared" si="110"/>
        <v>2.7338690801279548E-2</v>
      </c>
      <c r="AS144" s="48">
        <v>3.4</v>
      </c>
      <c r="AT144" s="27">
        <f t="shared" si="111"/>
        <v>1.2733088866349379E-3</v>
      </c>
      <c r="AU144" s="48">
        <v>13</v>
      </c>
      <c r="AV144" s="27">
        <f t="shared" si="112"/>
        <v>4.7834943163151322E-3</v>
      </c>
      <c r="AW144" s="48">
        <v>38</v>
      </c>
      <c r="AX144" s="27">
        <f t="shared" si="113"/>
        <v>1.4292198949484469E-2</v>
      </c>
      <c r="AY144" s="48">
        <v>12</v>
      </c>
      <c r="AZ144" s="27">
        <f t="shared" si="114"/>
        <v>4.4759956683912885E-3</v>
      </c>
      <c r="BA144" s="48">
        <v>5.3</v>
      </c>
      <c r="BB144" s="27">
        <f t="shared" si="115"/>
        <v>1.9626325534421812E-3</v>
      </c>
      <c r="BC144" s="48">
        <v>0.86</v>
      </c>
      <c r="BD144" s="27">
        <f t="shared" si="116"/>
        <v>3.1846490489816526E-4</v>
      </c>
      <c r="BE144" s="48">
        <v>0.09</v>
      </c>
      <c r="BF144" s="27">
        <f t="shared" si="117"/>
        <v>3.2929542645241034E-5</v>
      </c>
      <c r="BG144" s="48">
        <v>0.06</v>
      </c>
      <c r="BH144" s="27">
        <f t="shared" si="118"/>
        <v>2.1953028430160689E-5</v>
      </c>
      <c r="BI144" s="52">
        <f t="shared" si="119"/>
        <v>72.710000000000008</v>
      </c>
      <c r="BJ144" s="52">
        <f t="shared" si="120"/>
        <v>69.31</v>
      </c>
      <c r="BK144" s="27">
        <f t="shared" si="121"/>
        <v>2.7160977850241571E-2</v>
      </c>
      <c r="BL144" s="27">
        <f t="shared" si="122"/>
        <v>2.5887668963606638E-2</v>
      </c>
      <c r="BM144">
        <v>170</v>
      </c>
      <c r="BN144">
        <v>200</v>
      </c>
      <c r="BO144" t="s">
        <v>19</v>
      </c>
      <c r="BP144">
        <v>370</v>
      </c>
      <c r="BQ144">
        <v>47</v>
      </c>
      <c r="BR144">
        <v>8.6</v>
      </c>
      <c r="BS144">
        <v>1.4999999999999999E-2</v>
      </c>
      <c r="BT144">
        <v>1.1599999999999999</v>
      </c>
      <c r="BU144">
        <v>22.4</v>
      </c>
      <c r="BV144">
        <v>-190</v>
      </c>
      <c r="BW144">
        <v>7.08</v>
      </c>
      <c r="BX144">
        <v>620</v>
      </c>
      <c r="BY144">
        <v>0.2</v>
      </c>
      <c r="BZ144">
        <v>0.01</v>
      </c>
      <c r="CA144" s="32">
        <v>1.5</v>
      </c>
      <c r="CB144" s="32">
        <f t="shared" si="123"/>
        <v>2.685765443151298E-2</v>
      </c>
      <c r="CC144" s="32">
        <f t="shared" si="124"/>
        <v>2.685765443151298E-2</v>
      </c>
      <c r="CD144" s="32">
        <v>0.8</v>
      </c>
      <c r="CE144" s="32">
        <f t="shared" si="125"/>
        <v>1.4563990533406155E-2</v>
      </c>
      <c r="CF144" s="32">
        <f t="shared" si="126"/>
        <v>2.912798106681231E-2</v>
      </c>
      <c r="CG144" s="27">
        <v>29</v>
      </c>
      <c r="CH144" s="27">
        <f t="shared" si="127"/>
        <v>0.30189464917759734</v>
      </c>
      <c r="CI144" s="27">
        <f t="shared" si="128"/>
        <v>2.4151571934207787</v>
      </c>
      <c r="CJ144" s="58">
        <v>111</v>
      </c>
      <c r="CK144" s="58">
        <v>79.285714285714278</v>
      </c>
      <c r="CL144" s="58">
        <v>9.2442223610243595</v>
      </c>
      <c r="CM144" s="58">
        <v>9.2442223610243595</v>
      </c>
      <c r="CN144" s="28">
        <v>-19.100000000000001</v>
      </c>
      <c r="CO144" s="28">
        <v>-192.92929292929293</v>
      </c>
      <c r="CP144" s="28">
        <v>-1.590672496356444</v>
      </c>
      <c r="CR144" s="32">
        <f t="shared" si="129"/>
        <v>64.524672079950022</v>
      </c>
      <c r="CS144" s="32">
        <v>64.524672079950022</v>
      </c>
      <c r="CT144" s="32">
        <f t="shared" si="130"/>
        <v>66.024672079950022</v>
      </c>
      <c r="CU144" s="32">
        <f t="shared" si="131"/>
        <v>1.1821785511181742</v>
      </c>
      <c r="CV144" s="32">
        <f t="shared" si="132"/>
        <v>1.1821785511181742</v>
      </c>
      <c r="CW144" s="60">
        <f t="shared" si="133"/>
        <v>-11.102894024567979</v>
      </c>
      <c r="CY144" s="60">
        <f t="shared" si="134"/>
        <v>1.5</v>
      </c>
      <c r="CZ144" s="60">
        <f t="shared" si="135"/>
        <v>2.685765443151298E-2</v>
      </c>
      <c r="DA144" s="60">
        <f t="shared" si="136"/>
        <v>2.685765443151298E-2</v>
      </c>
      <c r="DB144" s="32">
        <f t="shared" si="137"/>
        <v>2.4151571934207787</v>
      </c>
      <c r="DC144">
        <f t="shared" si="138"/>
        <v>10.455528893209346</v>
      </c>
      <c r="DD144">
        <f t="shared" si="139"/>
        <v>2.7858926472605649E-3</v>
      </c>
      <c r="DE144">
        <f t="shared" si="140"/>
        <v>0.11306731234667385</v>
      </c>
      <c r="DF144">
        <f t="shared" si="141"/>
        <v>0.88414679500606563</v>
      </c>
      <c r="DG144">
        <f t="shared" si="142"/>
        <v>5.598563549832529E-2</v>
      </c>
      <c r="DH144">
        <f t="shared" si="143"/>
        <v>0.520275974498559</v>
      </c>
      <c r="DI144">
        <f t="shared" si="144"/>
        <v>0.47972402550144094</v>
      </c>
      <c r="DJ144">
        <f t="shared" si="145"/>
        <v>0</v>
      </c>
      <c r="DK144" s="64">
        <f t="shared" si="146"/>
        <v>-10.392608840636584</v>
      </c>
      <c r="DL144" s="64">
        <f t="shared" si="147"/>
        <v>6.934417074436719E-3</v>
      </c>
      <c r="DM144" s="64">
        <f t="shared" si="148"/>
        <v>-10.366721171672976</v>
      </c>
      <c r="DN144" s="64">
        <f t="shared" si="149"/>
        <v>3.282208603804336E-2</v>
      </c>
      <c r="DO144" t="str">
        <f t="shared" si="150"/>
        <v>Sufficient Capacity</v>
      </c>
      <c r="DP144" t="str">
        <f t="shared" si="151"/>
        <v>Insufficient Capacity</v>
      </c>
    </row>
    <row r="145" spans="1:120" ht="15.75" x14ac:dyDescent="0.25">
      <c r="A145" s="6" t="s">
        <v>198</v>
      </c>
      <c r="B145" s="6" t="s">
        <v>198</v>
      </c>
      <c r="C145" s="2" t="s">
        <v>989</v>
      </c>
      <c r="D145" s="2" t="s">
        <v>587</v>
      </c>
      <c r="E145" s="2" t="s">
        <v>587</v>
      </c>
      <c r="F145" s="2">
        <v>144</v>
      </c>
      <c r="G145" s="2" t="s">
        <v>988</v>
      </c>
      <c r="H145" s="10" t="s">
        <v>656</v>
      </c>
      <c r="I145" s="2">
        <v>150</v>
      </c>
      <c r="J145" s="2">
        <v>65</v>
      </c>
      <c r="K145" s="2">
        <v>7.45</v>
      </c>
      <c r="L145" t="s">
        <v>388</v>
      </c>
      <c r="M145" s="2" t="s">
        <v>1119</v>
      </c>
      <c r="N145" s="2" t="s">
        <v>437</v>
      </c>
      <c r="O145" s="2" t="s">
        <v>694</v>
      </c>
      <c r="P145" s="2" t="s">
        <v>1119</v>
      </c>
      <c r="Q145" s="2" t="s">
        <v>443</v>
      </c>
      <c r="R145" s="2" t="str">
        <f t="shared" si="101"/>
        <v>CW_3_Section_5</v>
      </c>
      <c r="S145" s="2" t="str">
        <f t="shared" si="102"/>
        <v>CW_3_EFF</v>
      </c>
      <c r="T145" s="11" t="s">
        <v>983</v>
      </c>
      <c r="U145" s="1">
        <v>45884</v>
      </c>
      <c r="V145" s="2" t="s">
        <v>692</v>
      </c>
      <c r="W145" s="2" t="s">
        <v>1119</v>
      </c>
      <c r="X145" s="2" t="s">
        <v>982</v>
      </c>
      <c r="Y145" s="2" t="str">
        <f t="shared" si="103"/>
        <v>T6_EFF</v>
      </c>
      <c r="Z145" t="s">
        <v>49</v>
      </c>
      <c r="AA145">
        <v>9.4</v>
      </c>
      <c r="AB145">
        <v>10</v>
      </c>
      <c r="AC145">
        <v>75</v>
      </c>
      <c r="AD145" s="32">
        <f t="shared" si="104"/>
        <v>2.8805530661887083E-2</v>
      </c>
      <c r="AE145">
        <v>2.4</v>
      </c>
      <c r="AF145" s="32">
        <f t="shared" si="105"/>
        <v>9.3770349468200566E-4</v>
      </c>
      <c r="AG145">
        <v>120</v>
      </c>
      <c r="AH145" s="32">
        <f t="shared" si="106"/>
        <v>4.7471037016106249E-2</v>
      </c>
      <c r="AI145">
        <v>13</v>
      </c>
      <c r="AJ145" s="32">
        <f t="shared" si="107"/>
        <v>5.1426956767448434E-3</v>
      </c>
      <c r="AK145">
        <v>5</v>
      </c>
      <c r="AL145" s="32">
        <f t="shared" si="108"/>
        <v>1.9779598756710934E-3</v>
      </c>
      <c r="AM145">
        <v>18</v>
      </c>
      <c r="AO145" s="49">
        <v>215.4</v>
      </c>
      <c r="AP145" s="49">
        <f t="shared" si="109"/>
        <v>7.7214271172675333E-2</v>
      </c>
      <c r="AQ145">
        <v>160</v>
      </c>
      <c r="AR145" s="32">
        <f t="shared" si="110"/>
        <v>5.9920418194585309E-2</v>
      </c>
      <c r="AS145" s="48">
        <v>180</v>
      </c>
      <c r="AT145" s="27">
        <f t="shared" si="111"/>
        <v>6.7410470468908482E-2</v>
      </c>
      <c r="AU145" s="48">
        <v>2.2000000000000002</v>
      </c>
      <c r="AV145" s="27">
        <f t="shared" si="112"/>
        <v>8.0951442276102248E-4</v>
      </c>
      <c r="AW145" s="48">
        <v>330</v>
      </c>
      <c r="AX145" s="27">
        <f t="shared" si="113"/>
        <v>0.12411646456131249</v>
      </c>
      <c r="AY145" s="48">
        <v>64</v>
      </c>
      <c r="AZ145" s="27">
        <f t="shared" si="114"/>
        <v>2.3871976898086872E-2</v>
      </c>
      <c r="BA145" s="48">
        <v>33</v>
      </c>
      <c r="BB145" s="27">
        <f t="shared" si="115"/>
        <v>1.2220164955394715E-2</v>
      </c>
      <c r="BC145" s="48">
        <v>2.2999999999999998</v>
      </c>
      <c r="BD145" s="27">
        <f t="shared" si="116"/>
        <v>8.5170846658811641E-4</v>
      </c>
      <c r="BE145" s="48">
        <v>0.31</v>
      </c>
      <c r="BF145" s="27">
        <f t="shared" si="117"/>
        <v>1.1342398022249691E-4</v>
      </c>
      <c r="BG145" s="48">
        <v>0.22</v>
      </c>
      <c r="BH145" s="27">
        <f t="shared" si="118"/>
        <v>8.0494437577255875E-5</v>
      </c>
      <c r="BI145" s="52">
        <f t="shared" si="119"/>
        <v>612.03</v>
      </c>
      <c r="BJ145" s="52">
        <f t="shared" si="120"/>
        <v>432.03000000000003</v>
      </c>
      <c r="BK145" s="27">
        <f t="shared" si="121"/>
        <v>0.22947421819085145</v>
      </c>
      <c r="BL145" s="27">
        <f t="shared" si="122"/>
        <v>0.16206374772194296</v>
      </c>
      <c r="BM145">
        <v>460</v>
      </c>
      <c r="BN145">
        <v>760</v>
      </c>
      <c r="BO145" t="s">
        <v>19</v>
      </c>
      <c r="BP145">
        <v>1200</v>
      </c>
      <c r="BQ145">
        <v>67</v>
      </c>
      <c r="BR145">
        <v>18</v>
      </c>
      <c r="BS145">
        <v>0.86</v>
      </c>
      <c r="BT145">
        <v>0.59</v>
      </c>
      <c r="BU145">
        <v>22.7</v>
      </c>
      <c r="BV145">
        <v>-190</v>
      </c>
      <c r="BW145">
        <v>7.41</v>
      </c>
      <c r="BX145">
        <v>918</v>
      </c>
      <c r="BY145">
        <v>0.2</v>
      </c>
      <c r="BZ145">
        <v>0.01</v>
      </c>
      <c r="CA145" s="32">
        <v>2.7</v>
      </c>
      <c r="CB145" s="32">
        <f t="shared" si="123"/>
        <v>4.8343777976723366E-2</v>
      </c>
      <c r="CC145" s="32">
        <f t="shared" si="124"/>
        <v>4.8343777976723366E-2</v>
      </c>
      <c r="CD145" s="32">
        <v>1.9</v>
      </c>
      <c r="CE145" s="32">
        <f t="shared" si="125"/>
        <v>3.4589477516839613E-2</v>
      </c>
      <c r="CF145" s="32">
        <f t="shared" si="126"/>
        <v>6.9178955033679226E-2</v>
      </c>
      <c r="CG145" s="27">
        <v>76</v>
      </c>
      <c r="CH145" s="27">
        <f t="shared" si="127"/>
        <v>0.79117218405163436</v>
      </c>
      <c r="CI145" s="27">
        <f t="shared" si="128"/>
        <v>6.3293774724130749</v>
      </c>
      <c r="CJ145" s="58">
        <v>64</v>
      </c>
      <c r="CK145" s="58">
        <v>45.714285714285715</v>
      </c>
      <c r="CL145" s="58">
        <v>5.3300020820320633</v>
      </c>
      <c r="CM145" s="58">
        <v>5.3300020820320633</v>
      </c>
      <c r="CN145" s="28">
        <v>-75.5</v>
      </c>
      <c r="CO145" s="28">
        <v>-15100</v>
      </c>
      <c r="CP145" s="28">
        <v>-6.2877368311471997</v>
      </c>
      <c r="CR145" s="32">
        <f t="shared" si="129"/>
        <v>37.2034145325838</v>
      </c>
      <c r="CS145" s="32">
        <v>37.2034145325838</v>
      </c>
      <c r="CT145" s="32">
        <f t="shared" si="130"/>
        <v>39.903414532583803</v>
      </c>
      <c r="CU145" s="32">
        <f t="shared" si="131"/>
        <v>0.71447474543569922</v>
      </c>
      <c r="CV145" s="32">
        <f t="shared" si="132"/>
        <v>0.71447474543569922</v>
      </c>
      <c r="CW145" s="60">
        <f t="shared" si="133"/>
        <v>-43.888403081407453</v>
      </c>
      <c r="CY145" s="60">
        <f t="shared" si="134"/>
        <v>2.7</v>
      </c>
      <c r="CZ145" s="60">
        <f t="shared" si="135"/>
        <v>4.8343777976723366E-2</v>
      </c>
      <c r="DA145" s="60">
        <f t="shared" si="136"/>
        <v>4.8343777976723366E-2</v>
      </c>
      <c r="DB145" s="32">
        <f t="shared" si="137"/>
        <v>6.3293774724130749</v>
      </c>
      <c r="DC145">
        <f t="shared" si="138"/>
        <v>6.1136557825014419</v>
      </c>
      <c r="DD145">
        <f t="shared" si="139"/>
        <v>1.1315480866895357E-2</v>
      </c>
      <c r="DE145">
        <f t="shared" si="140"/>
        <v>0.11686538641587819</v>
      </c>
      <c r="DF145">
        <f t="shared" si="141"/>
        <v>0.87181913271722644</v>
      </c>
      <c r="DG145">
        <f t="shared" si="142"/>
        <v>0.11752273301040259</v>
      </c>
      <c r="DH145">
        <f t="shared" si="143"/>
        <v>0.58864317789100273</v>
      </c>
      <c r="DI145">
        <f t="shared" si="144"/>
        <v>0.41135682210899732</v>
      </c>
      <c r="DJ145">
        <f t="shared" si="145"/>
        <v>0</v>
      </c>
      <c r="DK145" s="64">
        <f t="shared" si="146"/>
        <v>-5.9765210931341812</v>
      </c>
      <c r="DL145" s="64">
        <f t="shared" si="147"/>
        <v>1.9611956356858057E-2</v>
      </c>
      <c r="DM145" s="64">
        <f t="shared" si="148"/>
        <v>-5.8144573454122384</v>
      </c>
      <c r="DN145" s="64">
        <f t="shared" si="149"/>
        <v>0.18167570407880099</v>
      </c>
      <c r="DO145" t="str">
        <f t="shared" si="150"/>
        <v>Sufficient Capacity</v>
      </c>
      <c r="DP145" t="str">
        <f t="shared" si="151"/>
        <v>Insufficient Capacity</v>
      </c>
    </row>
    <row r="146" spans="1:120" ht="15.75" x14ac:dyDescent="0.25">
      <c r="A146" s="6" t="s">
        <v>199</v>
      </c>
      <c r="B146" s="6" t="s">
        <v>199</v>
      </c>
      <c r="C146" s="2" t="s">
        <v>991</v>
      </c>
      <c r="D146" s="2" t="s">
        <v>588</v>
      </c>
      <c r="E146" s="2" t="s">
        <v>588</v>
      </c>
      <c r="F146" s="2">
        <v>145</v>
      </c>
      <c r="G146" s="2" t="s">
        <v>990</v>
      </c>
      <c r="H146" s="10" t="s">
        <v>656</v>
      </c>
      <c r="I146" s="2">
        <v>150</v>
      </c>
      <c r="J146" s="2">
        <v>65</v>
      </c>
      <c r="K146" s="2">
        <v>6.55</v>
      </c>
      <c r="L146" t="s">
        <v>372</v>
      </c>
      <c r="M146" s="2" t="s">
        <v>1120</v>
      </c>
      <c r="N146" s="2" t="s">
        <v>435</v>
      </c>
      <c r="O146" s="2" t="s">
        <v>653</v>
      </c>
      <c r="P146" s="2" t="s">
        <v>1123</v>
      </c>
      <c r="Q146" s="9" t="s">
        <v>654</v>
      </c>
      <c r="R146" s="2" t="str">
        <f t="shared" si="101"/>
        <v>CW_1_Section_1</v>
      </c>
      <c r="S146" s="2" t="str">
        <f t="shared" si="102"/>
        <v>CW_1_MF01</v>
      </c>
      <c r="T146" s="11" t="s">
        <v>983</v>
      </c>
      <c r="U146" s="1">
        <v>45882</v>
      </c>
      <c r="V146" s="2" t="s">
        <v>692</v>
      </c>
      <c r="W146" s="2" t="s">
        <v>655</v>
      </c>
      <c r="X146" s="2" t="s">
        <v>982</v>
      </c>
      <c r="Y146" s="2" t="str">
        <f t="shared" si="103"/>
        <v>T6_0.15-0.30</v>
      </c>
      <c r="Z146" t="s">
        <v>29</v>
      </c>
      <c r="AA146">
        <v>13</v>
      </c>
      <c r="AB146">
        <v>13</v>
      </c>
      <c r="AC146">
        <v>41</v>
      </c>
      <c r="AD146" s="32">
        <f t="shared" si="104"/>
        <v>1.5747023428498274E-2</v>
      </c>
      <c r="AE146">
        <v>0.1</v>
      </c>
      <c r="AF146" s="32">
        <f t="shared" si="105"/>
        <v>3.9070978945083576E-5</v>
      </c>
      <c r="AG146">
        <v>280</v>
      </c>
      <c r="AH146" s="32">
        <f t="shared" si="106"/>
        <v>0.11076575303758124</v>
      </c>
      <c r="AI146">
        <v>42</v>
      </c>
      <c r="AJ146" s="32">
        <f t="shared" si="107"/>
        <v>1.6614862955637185E-2</v>
      </c>
      <c r="AK146">
        <v>15</v>
      </c>
      <c r="AL146" s="32">
        <f t="shared" si="108"/>
        <v>5.9338796270132811E-3</v>
      </c>
      <c r="AM146">
        <v>57</v>
      </c>
      <c r="AO146" s="49">
        <v>378.7</v>
      </c>
      <c r="AP146" s="49">
        <f t="shared" si="109"/>
        <v>0.1265518474450246</v>
      </c>
      <c r="AQ146">
        <v>1200</v>
      </c>
      <c r="AR146" s="32">
        <f t="shared" si="110"/>
        <v>0.44940313645938984</v>
      </c>
      <c r="AS146" s="48">
        <v>0.34</v>
      </c>
      <c r="AT146" s="27">
        <f t="shared" si="111"/>
        <v>1.273308886634938E-4</v>
      </c>
      <c r="AU146" s="48">
        <v>1.9</v>
      </c>
      <c r="AV146" s="27">
        <f t="shared" si="112"/>
        <v>6.9912609238451931E-4</v>
      </c>
      <c r="AW146" s="48">
        <v>57</v>
      </c>
      <c r="AX146" s="27">
        <f t="shared" si="113"/>
        <v>2.1438298424226704E-2</v>
      </c>
      <c r="AY146" s="48">
        <v>0.2</v>
      </c>
      <c r="AZ146" s="27">
        <f t="shared" si="114"/>
        <v>7.459992780652148E-5</v>
      </c>
      <c r="BA146" s="48">
        <v>0.04</v>
      </c>
      <c r="BB146" s="27">
        <f t="shared" si="115"/>
        <v>1.4812321158054199E-5</v>
      </c>
      <c r="BC146" s="48">
        <v>0.02</v>
      </c>
      <c r="BD146" s="27">
        <f t="shared" si="116"/>
        <v>7.4061605790270997E-6</v>
      </c>
      <c r="BE146" s="48">
        <v>0.02</v>
      </c>
      <c r="BF146" s="27">
        <f t="shared" si="117"/>
        <v>7.3176761433868973E-6</v>
      </c>
      <c r="BG146" s="48">
        <v>2E-3</v>
      </c>
      <c r="BH146" s="27">
        <f t="shared" si="118"/>
        <v>7.3176761433868969E-7</v>
      </c>
      <c r="BI146" s="52">
        <f t="shared" si="119"/>
        <v>59.522000000000013</v>
      </c>
      <c r="BJ146" s="52">
        <f t="shared" si="120"/>
        <v>59.182000000000009</v>
      </c>
      <c r="BK146" s="27">
        <f t="shared" si="121"/>
        <v>2.2369623258576044E-2</v>
      </c>
      <c r="BL146" s="27">
        <f t="shared" si="122"/>
        <v>2.2242292369912549E-2</v>
      </c>
      <c r="BM146">
        <v>2900</v>
      </c>
      <c r="BN146">
        <v>400</v>
      </c>
      <c r="BO146" t="s">
        <v>19</v>
      </c>
      <c r="BP146">
        <v>3300</v>
      </c>
      <c r="BQ146">
        <v>68</v>
      </c>
      <c r="BR146">
        <v>26</v>
      </c>
      <c r="BS146">
        <v>0.76</v>
      </c>
      <c r="BT146">
        <v>3.6</v>
      </c>
      <c r="BU146">
        <v>20.9</v>
      </c>
      <c r="BV146">
        <v>-69</v>
      </c>
      <c r="BW146">
        <v>7.11</v>
      </c>
      <c r="BX146">
        <v>900</v>
      </c>
      <c r="BY146">
        <v>0.1</v>
      </c>
      <c r="BZ146">
        <v>0.01</v>
      </c>
      <c r="CA146" s="32">
        <v>2.4</v>
      </c>
      <c r="CB146" s="32">
        <f t="shared" si="123"/>
        <v>4.2972247090420766E-2</v>
      </c>
      <c r="CC146" s="32">
        <f t="shared" si="124"/>
        <v>4.2972247090420766E-2</v>
      </c>
      <c r="CD146" s="32">
        <v>0.9</v>
      </c>
      <c r="CE146" s="32">
        <f t="shared" si="125"/>
        <v>1.6384489350081924E-2</v>
      </c>
      <c r="CF146" s="32">
        <f t="shared" si="126"/>
        <v>3.2768978700163848E-2</v>
      </c>
      <c r="CG146" s="27">
        <v>37</v>
      </c>
      <c r="CH146" s="27">
        <f t="shared" si="127"/>
        <v>0.38517593170934833</v>
      </c>
      <c r="CI146" s="27">
        <f t="shared" si="128"/>
        <v>3.0814074536747866</v>
      </c>
      <c r="CJ146" s="58">
        <v>103</v>
      </c>
      <c r="CK146" s="58">
        <v>73.571428571428584</v>
      </c>
      <c r="CL146" s="58">
        <v>8.5779721007703511</v>
      </c>
      <c r="CM146" s="58">
        <v>8.5779721007703511</v>
      </c>
      <c r="CN146" s="28">
        <v>103</v>
      </c>
      <c r="CO146" s="28">
        <v>73.571428571428584</v>
      </c>
      <c r="CP146" s="28">
        <v>8.5779721007703511</v>
      </c>
      <c r="CQ146" s="28">
        <v>8.5779721007703511</v>
      </c>
      <c r="CR146" s="32">
        <f t="shared" si="129"/>
        <v>59.874245263377055</v>
      </c>
      <c r="CS146" s="32">
        <v>59.874245263377055</v>
      </c>
      <c r="CT146" s="32">
        <f t="shared" si="130"/>
        <v>62.274245263377054</v>
      </c>
      <c r="CU146" s="32">
        <f t="shared" si="131"/>
        <v>1.1150267728447101</v>
      </c>
      <c r="CV146" s="32">
        <f t="shared" si="132"/>
        <v>1.1150267728447101</v>
      </c>
      <c r="CW146" s="60">
        <f t="shared" si="133"/>
        <v>59.874245263377055</v>
      </c>
      <c r="CX146" s="60">
        <v>59.874245263377055</v>
      </c>
      <c r="CY146" s="60">
        <f t="shared" si="134"/>
        <v>62.274245263377054</v>
      </c>
      <c r="CZ146" s="60">
        <f t="shared" si="135"/>
        <v>1.1150267728447101</v>
      </c>
      <c r="DA146" s="60">
        <f t="shared" si="136"/>
        <v>1.1150267728447101</v>
      </c>
      <c r="DB146" s="32">
        <f t="shared" si="137"/>
        <v>3.0814074536747866</v>
      </c>
      <c r="DC146">
        <f t="shared" si="138"/>
        <v>9.7257678523152258</v>
      </c>
      <c r="DD146">
        <f t="shared" si="139"/>
        <v>3.3692947639463932E-3</v>
      </c>
      <c r="DE146">
        <f t="shared" si="140"/>
        <v>0.11464665718699805</v>
      </c>
      <c r="DF146">
        <f t="shared" si="141"/>
        <v>0.8819840480490555</v>
      </c>
      <c r="DG146">
        <f t="shared" si="142"/>
        <v>9.7257678523152258</v>
      </c>
      <c r="DH146">
        <f t="shared" si="143"/>
        <v>3.3692947639463932E-3</v>
      </c>
      <c r="DI146">
        <f t="shared" si="144"/>
        <v>0.11464665718699805</v>
      </c>
      <c r="DJ146">
        <f t="shared" si="145"/>
        <v>0.8819840480490555</v>
      </c>
      <c r="DK146" s="64">
        <f t="shared" si="146"/>
        <v>-9.1498128684108107</v>
      </c>
      <c r="DL146" s="64">
        <f t="shared" si="147"/>
        <v>-9.1498128684108107</v>
      </c>
      <c r="DM146" s="64">
        <f t="shared" si="148"/>
        <v>-9.1275705760408989</v>
      </c>
      <c r="DN146" s="64">
        <f t="shared" si="149"/>
        <v>-9.1275705760408989</v>
      </c>
      <c r="DO146" t="str">
        <f t="shared" si="150"/>
        <v>Sufficient Capacity</v>
      </c>
      <c r="DP146" t="str">
        <f t="shared" si="151"/>
        <v>Sufficient Capacity</v>
      </c>
    </row>
    <row r="147" spans="1:120" ht="15.75" x14ac:dyDescent="0.25">
      <c r="A147" s="6" t="s">
        <v>200</v>
      </c>
      <c r="B147" s="6" t="s">
        <v>200</v>
      </c>
      <c r="C147" s="2" t="s">
        <v>993</v>
      </c>
      <c r="D147" s="2" t="s">
        <v>589</v>
      </c>
      <c r="E147" s="2" t="s">
        <v>589</v>
      </c>
      <c r="F147" s="2">
        <v>146</v>
      </c>
      <c r="G147" s="2" t="s">
        <v>992</v>
      </c>
      <c r="H147" s="10" t="s">
        <v>656</v>
      </c>
      <c r="I147" s="2">
        <v>150</v>
      </c>
      <c r="J147" s="2">
        <v>65</v>
      </c>
      <c r="K147" s="2">
        <v>8</v>
      </c>
      <c r="L147" t="s">
        <v>373</v>
      </c>
      <c r="M147" s="2" t="s">
        <v>1120</v>
      </c>
      <c r="N147" s="2" t="s">
        <v>435</v>
      </c>
      <c r="O147" s="2" t="s">
        <v>653</v>
      </c>
      <c r="P147" s="2" t="s">
        <v>1124</v>
      </c>
      <c r="Q147" s="9" t="s">
        <v>662</v>
      </c>
      <c r="R147" s="2" t="str">
        <f t="shared" si="101"/>
        <v>CW_1_Section_1</v>
      </c>
      <c r="S147" s="2" t="str">
        <f t="shared" si="102"/>
        <v>CW_1_MF02</v>
      </c>
      <c r="T147" s="11" t="s">
        <v>983</v>
      </c>
      <c r="U147" s="1">
        <v>45882</v>
      </c>
      <c r="V147" s="2" t="s">
        <v>692</v>
      </c>
      <c r="W147" s="2" t="s">
        <v>663</v>
      </c>
      <c r="X147" s="2" t="s">
        <v>982</v>
      </c>
      <c r="Y147" s="2" t="str">
        <f t="shared" si="103"/>
        <v>T6_0.60-0.80</v>
      </c>
      <c r="Z147" t="s">
        <v>31</v>
      </c>
      <c r="AA147">
        <v>9.4</v>
      </c>
      <c r="AB147">
        <v>10</v>
      </c>
      <c r="AC147">
        <v>96</v>
      </c>
      <c r="AD147" s="32">
        <f t="shared" si="104"/>
        <v>3.6871079247215464E-2</v>
      </c>
      <c r="AE147">
        <v>4.4000000000000004</v>
      </c>
      <c r="AF147" s="32">
        <f t="shared" si="105"/>
        <v>1.7191230735836773E-3</v>
      </c>
      <c r="AG147">
        <v>110</v>
      </c>
      <c r="AH147" s="32">
        <f t="shared" si="106"/>
        <v>4.3515117264764057E-2</v>
      </c>
      <c r="AI147">
        <v>28</v>
      </c>
      <c r="AJ147" s="32">
        <f t="shared" si="107"/>
        <v>1.1076575303758125E-2</v>
      </c>
      <c r="AK147">
        <v>15</v>
      </c>
      <c r="AL147" s="32">
        <f t="shared" si="108"/>
        <v>5.9338796270132811E-3</v>
      </c>
      <c r="AM147">
        <v>43</v>
      </c>
      <c r="AO147" s="49">
        <v>253.4</v>
      </c>
      <c r="AP147" s="49">
        <f t="shared" si="109"/>
        <v>8.2105319585563191E-2</v>
      </c>
      <c r="AQ147">
        <v>170</v>
      </c>
      <c r="AR147" s="32">
        <f t="shared" si="110"/>
        <v>6.3665444331746895E-2</v>
      </c>
      <c r="AS147" s="48">
        <v>64</v>
      </c>
      <c r="AT147" s="27">
        <f t="shared" si="111"/>
        <v>2.3968167277834122E-2</v>
      </c>
      <c r="AU147" s="48">
        <v>4.3</v>
      </c>
      <c r="AV147" s="27">
        <f t="shared" si="112"/>
        <v>1.5822327353965436E-3</v>
      </c>
      <c r="AW147" s="48">
        <v>340</v>
      </c>
      <c r="AX147" s="27">
        <f t="shared" si="113"/>
        <v>0.12787756954801893</v>
      </c>
      <c r="AY147" s="48">
        <v>61</v>
      </c>
      <c r="AZ147" s="27">
        <f t="shared" si="114"/>
        <v>2.2752977980989051E-2</v>
      </c>
      <c r="BA147" s="48">
        <v>27</v>
      </c>
      <c r="BB147" s="27">
        <f t="shared" si="115"/>
        <v>9.9983167816865854E-3</v>
      </c>
      <c r="BC147" s="48">
        <v>3.1</v>
      </c>
      <c r="BD147" s="27">
        <f t="shared" si="116"/>
        <v>1.1479548897492004E-3</v>
      </c>
      <c r="BE147" s="48">
        <v>1</v>
      </c>
      <c r="BF147" s="27">
        <f t="shared" si="117"/>
        <v>3.6588380716934482E-4</v>
      </c>
      <c r="BG147" s="48">
        <v>1</v>
      </c>
      <c r="BH147" s="27">
        <f t="shared" si="118"/>
        <v>3.6588380716934482E-4</v>
      </c>
      <c r="BI147" s="52">
        <f t="shared" si="119"/>
        <v>501.40000000000003</v>
      </c>
      <c r="BJ147" s="52">
        <f t="shared" si="120"/>
        <v>437.40000000000003</v>
      </c>
      <c r="BK147" s="27">
        <f t="shared" si="121"/>
        <v>0.18805898682801311</v>
      </c>
      <c r="BL147" s="27">
        <f t="shared" si="122"/>
        <v>0.16409081955017898</v>
      </c>
      <c r="BM147">
        <v>650</v>
      </c>
      <c r="BN147">
        <v>1300</v>
      </c>
      <c r="BO147" t="s">
        <v>19</v>
      </c>
      <c r="BP147">
        <v>2000</v>
      </c>
      <c r="BQ147">
        <v>66</v>
      </c>
      <c r="BR147">
        <v>27</v>
      </c>
      <c r="BS147">
        <v>0.74</v>
      </c>
      <c r="BT147">
        <v>0.6</v>
      </c>
      <c r="BU147">
        <v>20.2</v>
      </c>
      <c r="BV147">
        <v>-14</v>
      </c>
      <c r="BW147">
        <v>7.09</v>
      </c>
      <c r="BX147">
        <v>1010</v>
      </c>
      <c r="BY147">
        <v>0.2</v>
      </c>
      <c r="BZ147">
        <v>0.01</v>
      </c>
      <c r="CA147" s="32">
        <v>0.4</v>
      </c>
      <c r="CB147" s="32">
        <f t="shared" si="123"/>
        <v>7.162041181736795E-3</v>
      </c>
      <c r="CC147" s="32">
        <f t="shared" si="124"/>
        <v>7.162041181736795E-3</v>
      </c>
      <c r="CD147" s="32">
        <v>1.2</v>
      </c>
      <c r="CE147" s="32">
        <f t="shared" si="125"/>
        <v>2.1845985800109231E-2</v>
      </c>
      <c r="CF147" s="32">
        <f t="shared" si="126"/>
        <v>4.3691971600218461E-2</v>
      </c>
      <c r="CG147" s="27">
        <v>130</v>
      </c>
      <c r="CH147" s="27">
        <f t="shared" si="127"/>
        <v>1.3533208411409536</v>
      </c>
      <c r="CI147" s="27">
        <f t="shared" si="128"/>
        <v>10.826566729127629</v>
      </c>
      <c r="CJ147" s="58">
        <v>10</v>
      </c>
      <c r="CK147" s="58">
        <v>7.1428571428571423</v>
      </c>
      <c r="CL147" s="58">
        <v>0.83281282531750989</v>
      </c>
      <c r="CM147" s="58">
        <v>0.83281282531750989</v>
      </c>
      <c r="CN147" s="28">
        <v>10</v>
      </c>
      <c r="CO147" s="28">
        <v>7.1428571428571423</v>
      </c>
      <c r="CP147" s="28">
        <v>0.83281282531750989</v>
      </c>
      <c r="CQ147" s="28">
        <v>0.83281282531750989</v>
      </c>
      <c r="CR147" s="32">
        <f t="shared" si="129"/>
        <v>5.8130335207162185</v>
      </c>
      <c r="CS147" s="32">
        <v>5.8130335207162185</v>
      </c>
      <c r="CT147" s="32">
        <f t="shared" si="130"/>
        <v>6.2130335207162188</v>
      </c>
      <c r="CU147" s="32">
        <f t="shared" si="131"/>
        <v>0.11124500484720176</v>
      </c>
      <c r="CV147" s="32">
        <f t="shared" si="132"/>
        <v>0.11124500484720176</v>
      </c>
      <c r="CW147" s="60">
        <f t="shared" si="133"/>
        <v>5.8130335207162185</v>
      </c>
      <c r="CX147" s="60">
        <v>5.8130335207162185</v>
      </c>
      <c r="CY147" s="60">
        <f t="shared" si="134"/>
        <v>6.2130335207162188</v>
      </c>
      <c r="CZ147" s="60">
        <f t="shared" si="135"/>
        <v>0.11124500484720176</v>
      </c>
      <c r="DA147" s="60">
        <f t="shared" si="136"/>
        <v>0.11124500484720176</v>
      </c>
      <c r="DB147" s="32">
        <f t="shared" si="137"/>
        <v>10.826566729127629</v>
      </c>
      <c r="DC147">
        <f t="shared" si="138"/>
        <v>0.9877498017649301</v>
      </c>
      <c r="DD147">
        <f t="shared" si="139"/>
        <v>4.4233844969797834E-2</v>
      </c>
      <c r="DE147">
        <f t="shared" si="140"/>
        <v>0.11262467949720371</v>
      </c>
      <c r="DF147">
        <f t="shared" si="141"/>
        <v>0.84314147553299845</v>
      </c>
      <c r="DG147">
        <f t="shared" si="142"/>
        <v>0.9877498017649301</v>
      </c>
      <c r="DH147">
        <f t="shared" si="143"/>
        <v>4.4233844969797834E-2</v>
      </c>
      <c r="DI147">
        <f t="shared" si="144"/>
        <v>0.11262467949720371</v>
      </c>
      <c r="DJ147">
        <f t="shared" si="145"/>
        <v>0.84314147553299845</v>
      </c>
      <c r="DK147" s="64">
        <f t="shared" si="146"/>
        <v>-0.84197903784761996</v>
      </c>
      <c r="DL147" s="64">
        <f t="shared" si="147"/>
        <v>-0.84197903784761996</v>
      </c>
      <c r="DM147" s="64">
        <f t="shared" si="148"/>
        <v>-0.67788821829744106</v>
      </c>
      <c r="DN147" s="64">
        <f t="shared" si="149"/>
        <v>-0.67788821829744106</v>
      </c>
      <c r="DO147" t="str">
        <f t="shared" si="150"/>
        <v>Sufficient Capacity</v>
      </c>
      <c r="DP147" t="str">
        <f t="shared" si="151"/>
        <v>Sufficient Capacity</v>
      </c>
    </row>
    <row r="148" spans="1:120" ht="15.75" x14ac:dyDescent="0.25">
      <c r="A148" s="6" t="s">
        <v>201</v>
      </c>
      <c r="B148" s="6" t="s">
        <v>201</v>
      </c>
      <c r="C148" s="2" t="s">
        <v>995</v>
      </c>
      <c r="D148" s="2" t="s">
        <v>590</v>
      </c>
      <c r="E148" s="2" t="s">
        <v>590</v>
      </c>
      <c r="F148" s="2">
        <v>147</v>
      </c>
      <c r="G148" s="2" t="s">
        <v>994</v>
      </c>
      <c r="H148" s="10" t="s">
        <v>656</v>
      </c>
      <c r="I148" s="2">
        <v>150</v>
      </c>
      <c r="J148" s="2">
        <v>65</v>
      </c>
      <c r="K148" s="2">
        <v>7</v>
      </c>
      <c r="L148" t="s">
        <v>374</v>
      </c>
      <c r="M148" s="2" t="s">
        <v>1120</v>
      </c>
      <c r="N148" s="2" t="s">
        <v>435</v>
      </c>
      <c r="O148" s="2" t="s">
        <v>666</v>
      </c>
      <c r="P148" s="2" t="s">
        <v>1131</v>
      </c>
      <c r="Q148" s="9" t="s">
        <v>667</v>
      </c>
      <c r="R148" s="2" t="str">
        <f t="shared" si="101"/>
        <v>CW_1_Section_2</v>
      </c>
      <c r="S148" s="2" t="str">
        <f t="shared" si="102"/>
        <v>CW_1_MF05</v>
      </c>
      <c r="T148" s="11" t="s">
        <v>983</v>
      </c>
      <c r="U148" s="1">
        <v>45882</v>
      </c>
      <c r="V148" s="2" t="s">
        <v>692</v>
      </c>
      <c r="W148" s="2" t="s">
        <v>655</v>
      </c>
      <c r="X148" s="2" t="s">
        <v>982</v>
      </c>
      <c r="Y148" s="2" t="str">
        <f t="shared" si="103"/>
        <v>T6_0.15-0.30</v>
      </c>
      <c r="Z148" t="s">
        <v>33</v>
      </c>
      <c r="AA148">
        <v>13</v>
      </c>
      <c r="AB148">
        <v>14</v>
      </c>
      <c r="AC148">
        <v>310</v>
      </c>
      <c r="AD148" s="32">
        <f t="shared" si="104"/>
        <v>0.11906286006913326</v>
      </c>
      <c r="AE148">
        <v>1</v>
      </c>
      <c r="AF148" s="32">
        <f t="shared" si="105"/>
        <v>3.9070978945083569E-4</v>
      </c>
      <c r="AG148">
        <v>320</v>
      </c>
      <c r="AH148" s="32">
        <f t="shared" si="106"/>
        <v>0.12658943204294998</v>
      </c>
      <c r="AI148">
        <v>51</v>
      </c>
      <c r="AJ148" s="32">
        <f t="shared" si="107"/>
        <v>2.0175190731845153E-2</v>
      </c>
      <c r="AK148">
        <v>26</v>
      </c>
      <c r="AL148" s="32">
        <f t="shared" si="108"/>
        <v>1.0285391353489687E-2</v>
      </c>
      <c r="AM148">
        <v>77</v>
      </c>
      <c r="AO148" s="49">
        <v>714</v>
      </c>
      <c r="AP148" s="49">
        <f t="shared" si="109"/>
        <v>0.24604300190153408</v>
      </c>
      <c r="AQ148">
        <v>1600</v>
      </c>
      <c r="AR148" s="32">
        <f t="shared" si="110"/>
        <v>0.59920418194585312</v>
      </c>
      <c r="AS148" s="48">
        <v>0.17</v>
      </c>
      <c r="AT148" s="27">
        <f t="shared" si="111"/>
        <v>6.36654443317469E-5</v>
      </c>
      <c r="AU148" s="48">
        <v>0.78</v>
      </c>
      <c r="AV148" s="27">
        <f t="shared" si="112"/>
        <v>2.8700965897890797E-4</v>
      </c>
      <c r="AW148" s="48">
        <v>0.67</v>
      </c>
      <c r="AX148" s="27">
        <f t="shared" si="113"/>
        <v>2.5199403410933142E-4</v>
      </c>
      <c r="AY148" s="48">
        <v>7.0000000000000007E-2</v>
      </c>
      <c r="AZ148" s="27">
        <f t="shared" si="114"/>
        <v>2.6109974732282519E-5</v>
      </c>
      <c r="BA148" s="48">
        <v>0.05</v>
      </c>
      <c r="BB148" s="27">
        <f t="shared" si="115"/>
        <v>1.8515401447567749E-5</v>
      </c>
      <c r="BC148" s="48">
        <v>1E-3</v>
      </c>
      <c r="BD148" s="27">
        <f t="shared" si="116"/>
        <v>3.7030802895135499E-7</v>
      </c>
      <c r="BE148" s="48">
        <v>1E-3</v>
      </c>
      <c r="BF148" s="27">
        <f t="shared" si="117"/>
        <v>3.6588380716934485E-7</v>
      </c>
      <c r="BG148" s="48">
        <v>2E-3</v>
      </c>
      <c r="BH148" s="27">
        <f t="shared" si="118"/>
        <v>7.3176761433868969E-7</v>
      </c>
      <c r="BI148" s="52">
        <f t="shared" si="119"/>
        <v>1.744</v>
      </c>
      <c r="BJ148" s="52">
        <f t="shared" si="120"/>
        <v>1.5740000000000001</v>
      </c>
      <c r="BK148" s="27">
        <f t="shared" si="121"/>
        <v>6.4876247305029598E-4</v>
      </c>
      <c r="BL148" s="27">
        <f t="shared" si="122"/>
        <v>5.8509702871854905E-4</v>
      </c>
      <c r="BM148">
        <v>2700</v>
      </c>
      <c r="BN148">
        <v>110</v>
      </c>
      <c r="BO148" t="s">
        <v>19</v>
      </c>
      <c r="BP148">
        <v>2800</v>
      </c>
      <c r="BQ148">
        <v>69</v>
      </c>
      <c r="BR148">
        <v>27</v>
      </c>
      <c r="BS148">
        <v>0.96</v>
      </c>
      <c r="BT148">
        <v>5.21</v>
      </c>
      <c r="BU148">
        <v>20.8</v>
      </c>
      <c r="BV148">
        <v>-75</v>
      </c>
      <c r="BW148">
        <v>7.31</v>
      </c>
      <c r="BX148">
        <v>910</v>
      </c>
      <c r="BY148">
        <v>0.2</v>
      </c>
      <c r="BZ148">
        <v>0.01</v>
      </c>
      <c r="CA148" s="32">
        <v>5.9</v>
      </c>
      <c r="CB148" s="32">
        <f t="shared" si="123"/>
        <v>0.10564010743061773</v>
      </c>
      <c r="CC148" s="32">
        <f t="shared" si="124"/>
        <v>0.10564010743061773</v>
      </c>
      <c r="CD148" s="32">
        <v>1.8</v>
      </c>
      <c r="CE148" s="32">
        <f t="shared" si="125"/>
        <v>3.2768978700163848E-2</v>
      </c>
      <c r="CF148" s="32">
        <f t="shared" si="126"/>
        <v>6.5537957400327695E-2</v>
      </c>
      <c r="CG148" s="27">
        <v>8.6</v>
      </c>
      <c r="CH148" s="27">
        <f t="shared" si="127"/>
        <v>8.9527378721632314E-2</v>
      </c>
      <c r="CI148" s="27">
        <f t="shared" si="128"/>
        <v>0.71621902977305851</v>
      </c>
      <c r="CJ148" s="58">
        <v>131.4</v>
      </c>
      <c r="CK148" s="58">
        <v>93.857142857142861</v>
      </c>
      <c r="CL148" s="58">
        <v>10.943160524672081</v>
      </c>
      <c r="CM148" s="58">
        <v>10.943160524672081</v>
      </c>
      <c r="CN148" s="28">
        <v>28.4</v>
      </c>
      <c r="CO148" s="28">
        <v>76.756756756756744</v>
      </c>
      <c r="CP148" s="28">
        <v>2.3651884239017278</v>
      </c>
      <c r="CQ148" s="28">
        <v>2.3651884239017278</v>
      </c>
      <c r="CR148" s="32">
        <f t="shared" si="129"/>
        <v>76.383260462211112</v>
      </c>
      <c r="CS148" s="32">
        <v>76.383260462211112</v>
      </c>
      <c r="CT148" s="32">
        <f t="shared" si="130"/>
        <v>82.283260462211118</v>
      </c>
      <c r="CU148" s="32">
        <f t="shared" si="131"/>
        <v>1.4732902499948275</v>
      </c>
      <c r="CV148" s="32">
        <f t="shared" si="132"/>
        <v>1.4732902499948275</v>
      </c>
      <c r="CW148" s="60">
        <f t="shared" si="133"/>
        <v>16.50901519883406</v>
      </c>
      <c r="CX148" s="60">
        <v>16.50901519883406</v>
      </c>
      <c r="CY148" s="60">
        <f t="shared" si="134"/>
        <v>22.409015198834062</v>
      </c>
      <c r="CZ148" s="60">
        <f t="shared" si="135"/>
        <v>0.40123572424053827</v>
      </c>
      <c r="DA148" s="60">
        <f t="shared" si="136"/>
        <v>0.40123572424053827</v>
      </c>
      <c r="DB148" s="32">
        <f t="shared" si="137"/>
        <v>0.71621902977305851</v>
      </c>
      <c r="DC148">
        <f t="shared" si="138"/>
        <v>12.481988732067236</v>
      </c>
      <c r="DD148">
        <f t="shared" si="139"/>
        <v>5.2506021922576647E-3</v>
      </c>
      <c r="DE148">
        <f t="shared" si="140"/>
        <v>0.1180332943427377</v>
      </c>
      <c r="DF148">
        <f t="shared" si="141"/>
        <v>0.87671610346500461</v>
      </c>
      <c r="DG148">
        <f t="shared" si="142"/>
        <v>2.8319621055425936</v>
      </c>
      <c r="DH148">
        <f t="shared" si="143"/>
        <v>2.3142243772280583E-2</v>
      </c>
      <c r="DI148">
        <f t="shared" si="144"/>
        <v>0.14168117696746615</v>
      </c>
      <c r="DJ148">
        <f t="shared" si="145"/>
        <v>0.83517657926025335</v>
      </c>
      <c r="DK148" s="64">
        <f t="shared" si="146"/>
        <v>-11.636741548219849</v>
      </c>
      <c r="DL148" s="64">
        <f t="shared" si="147"/>
        <v>-1.9867149216952065</v>
      </c>
      <c r="DM148" s="64">
        <f t="shared" si="148"/>
        <v>-11.63615645119113</v>
      </c>
      <c r="DN148" s="64">
        <f t="shared" si="149"/>
        <v>-1.986129824666488</v>
      </c>
      <c r="DO148" t="str">
        <f t="shared" si="150"/>
        <v>Sufficient Capacity</v>
      </c>
      <c r="DP148" t="str">
        <f t="shared" si="151"/>
        <v>Sufficient Capacity</v>
      </c>
    </row>
    <row r="149" spans="1:120" ht="15.75" x14ac:dyDescent="0.25">
      <c r="A149" s="6" t="s">
        <v>202</v>
      </c>
      <c r="B149" s="6" t="s">
        <v>202</v>
      </c>
      <c r="C149" s="2" t="s">
        <v>997</v>
      </c>
      <c r="D149" s="2" t="s">
        <v>591</v>
      </c>
      <c r="E149" s="2" t="s">
        <v>591</v>
      </c>
      <c r="F149" s="2">
        <v>148</v>
      </c>
      <c r="G149" s="2" t="s">
        <v>996</v>
      </c>
      <c r="H149" s="10" t="s">
        <v>656</v>
      </c>
      <c r="I149" s="2">
        <v>150</v>
      </c>
      <c r="J149" s="2">
        <v>65</v>
      </c>
      <c r="K149" s="2">
        <v>3.9</v>
      </c>
      <c r="L149" t="s">
        <v>375</v>
      </c>
      <c r="M149" s="2" t="s">
        <v>1120</v>
      </c>
      <c r="N149" s="2" t="s">
        <v>435</v>
      </c>
      <c r="O149" s="2" t="s">
        <v>666</v>
      </c>
      <c r="P149" s="2" t="s">
        <v>1132</v>
      </c>
      <c r="Q149" s="9" t="s">
        <v>670</v>
      </c>
      <c r="R149" s="2" t="str">
        <f t="shared" si="101"/>
        <v>CW_1_Section_2</v>
      </c>
      <c r="S149" s="2" t="str">
        <f t="shared" si="102"/>
        <v>CW_1_MF06</v>
      </c>
      <c r="T149" s="11" t="s">
        <v>983</v>
      </c>
      <c r="U149" s="1">
        <v>45882</v>
      </c>
      <c r="V149" s="2" t="s">
        <v>692</v>
      </c>
      <c r="W149" s="2" t="s">
        <v>663</v>
      </c>
      <c r="X149" s="2" t="s">
        <v>982</v>
      </c>
      <c r="Y149" s="2" t="str">
        <f t="shared" si="103"/>
        <v>T6_0.60-0.80</v>
      </c>
      <c r="Z149" t="s">
        <v>25</v>
      </c>
      <c r="AA149">
        <v>10</v>
      </c>
      <c r="AB149">
        <v>11</v>
      </c>
      <c r="AC149">
        <v>180</v>
      </c>
      <c r="AD149" s="32">
        <f t="shared" si="104"/>
        <v>6.9133273588528998E-2</v>
      </c>
      <c r="AE149">
        <v>3</v>
      </c>
      <c r="AF149" s="32">
        <f t="shared" si="105"/>
        <v>1.172129368352507E-3</v>
      </c>
      <c r="AG149">
        <v>290</v>
      </c>
      <c r="AH149" s="32">
        <f t="shared" si="106"/>
        <v>0.11472167278892344</v>
      </c>
      <c r="AI149">
        <v>31</v>
      </c>
      <c r="AJ149" s="32">
        <f t="shared" si="107"/>
        <v>1.2263351229160779E-2</v>
      </c>
      <c r="AK149">
        <v>7.7</v>
      </c>
      <c r="AL149" s="32">
        <f t="shared" si="108"/>
        <v>3.0460582085334842E-3</v>
      </c>
      <c r="AM149">
        <v>38.700000000000003</v>
      </c>
      <c r="AO149" s="49">
        <v>511.7</v>
      </c>
      <c r="AP149" s="49">
        <f t="shared" si="109"/>
        <v>0.18502707574580496</v>
      </c>
      <c r="AQ149">
        <v>220</v>
      </c>
      <c r="AR149" s="32">
        <f t="shared" si="110"/>
        <v>8.2390575017554812E-2</v>
      </c>
      <c r="AS149" s="48">
        <v>400</v>
      </c>
      <c r="AT149" s="27">
        <f t="shared" si="111"/>
        <v>0.14980104548646328</v>
      </c>
      <c r="AU149" s="48">
        <v>3.7</v>
      </c>
      <c r="AV149" s="27">
        <f t="shared" si="112"/>
        <v>1.3614560746435377E-3</v>
      </c>
      <c r="AW149" s="48">
        <v>470</v>
      </c>
      <c r="AX149" s="27">
        <f t="shared" si="113"/>
        <v>0.17677193437520264</v>
      </c>
      <c r="AY149" s="48">
        <v>88</v>
      </c>
      <c r="AZ149" s="27">
        <f t="shared" si="114"/>
        <v>3.2823968234869452E-2</v>
      </c>
      <c r="BA149" s="48">
        <v>38</v>
      </c>
      <c r="BB149" s="27">
        <f t="shared" si="115"/>
        <v>1.407170510015149E-2</v>
      </c>
      <c r="BC149" s="48">
        <v>1.9</v>
      </c>
      <c r="BD149" s="27">
        <f t="shared" si="116"/>
        <v>7.0358525500757447E-4</v>
      </c>
      <c r="BE149" s="48">
        <v>0.08</v>
      </c>
      <c r="BF149" s="27">
        <f t="shared" si="117"/>
        <v>2.9270704573547589E-5</v>
      </c>
      <c r="BG149" s="48">
        <v>0.05</v>
      </c>
      <c r="BH149" s="27">
        <f t="shared" si="118"/>
        <v>1.8294190358467248E-5</v>
      </c>
      <c r="BI149" s="52">
        <f t="shared" si="119"/>
        <v>1001.73</v>
      </c>
      <c r="BJ149" s="52">
        <f t="shared" si="120"/>
        <v>601.73</v>
      </c>
      <c r="BK149" s="27">
        <f t="shared" si="121"/>
        <v>0.37558125942126996</v>
      </c>
      <c r="BL149" s="27">
        <f t="shared" si="122"/>
        <v>0.22578021393480668</v>
      </c>
      <c r="BM149">
        <v>800</v>
      </c>
      <c r="BN149">
        <v>1000</v>
      </c>
      <c r="BO149">
        <v>30</v>
      </c>
      <c r="BP149">
        <v>1900</v>
      </c>
      <c r="BQ149">
        <v>66</v>
      </c>
      <c r="BR149">
        <v>24</v>
      </c>
      <c r="BS149">
        <v>0.82</v>
      </c>
      <c r="BT149">
        <v>0.55000000000000004</v>
      </c>
      <c r="BU149">
        <v>21.5</v>
      </c>
      <c r="BV149">
        <v>-306</v>
      </c>
      <c r="BW149">
        <v>7.31</v>
      </c>
      <c r="BX149">
        <v>944</v>
      </c>
      <c r="BY149">
        <v>0.2</v>
      </c>
      <c r="BZ149">
        <v>0.01</v>
      </c>
      <c r="CA149" s="32">
        <v>0.4</v>
      </c>
      <c r="CB149" s="32">
        <f t="shared" si="123"/>
        <v>7.162041181736795E-3</v>
      </c>
      <c r="CC149" s="32">
        <f t="shared" si="124"/>
        <v>7.162041181736795E-3</v>
      </c>
      <c r="CD149" s="32">
        <v>1</v>
      </c>
      <c r="CE149" s="32">
        <f t="shared" si="125"/>
        <v>1.8204988166757693E-2</v>
      </c>
      <c r="CF149" s="32">
        <f t="shared" si="126"/>
        <v>3.6409976333515386E-2</v>
      </c>
      <c r="CG149" s="27">
        <v>78</v>
      </c>
      <c r="CH149" s="27">
        <f t="shared" si="127"/>
        <v>0.81199250468457207</v>
      </c>
      <c r="CI149" s="27">
        <f t="shared" si="128"/>
        <v>6.4959400374765766</v>
      </c>
      <c r="CJ149" s="58">
        <v>62</v>
      </c>
      <c r="CK149" s="58">
        <v>44.285714285714285</v>
      </c>
      <c r="CL149" s="58">
        <v>5.1634395169685616</v>
      </c>
      <c r="CM149" s="58">
        <v>5.1634395169685616</v>
      </c>
      <c r="CN149" s="28">
        <v>52</v>
      </c>
      <c r="CO149" s="28">
        <v>40</v>
      </c>
      <c r="CP149" s="28">
        <v>4.3306266916510516</v>
      </c>
      <c r="CQ149" s="28">
        <v>4.3306266916510516</v>
      </c>
      <c r="CR149" s="32">
        <f t="shared" si="129"/>
        <v>36.040807828440556</v>
      </c>
      <c r="CS149" s="32">
        <v>36.040807828440556</v>
      </c>
      <c r="CT149" s="32">
        <f t="shared" si="130"/>
        <v>36.440807828440555</v>
      </c>
      <c r="CU149" s="32">
        <f t="shared" si="131"/>
        <v>0.65247641590761962</v>
      </c>
      <c r="CV149" s="32">
        <f t="shared" si="132"/>
        <v>0.65247641590761962</v>
      </c>
      <c r="CW149" s="60">
        <f t="shared" si="133"/>
        <v>30.227774307724339</v>
      </c>
      <c r="CX149" s="60">
        <v>30.227774307724339</v>
      </c>
      <c r="CY149" s="60">
        <f t="shared" si="134"/>
        <v>30.627774307724337</v>
      </c>
      <c r="CZ149" s="60">
        <f t="shared" si="135"/>
        <v>0.54839345224215463</v>
      </c>
      <c r="DA149" s="60">
        <f t="shared" si="136"/>
        <v>0.54839345224215463</v>
      </c>
      <c r="DB149" s="32">
        <f t="shared" si="137"/>
        <v>6.4959400374765766</v>
      </c>
      <c r="DC149">
        <f t="shared" si="138"/>
        <v>5.8523259092096964</v>
      </c>
      <c r="DD149">
        <f t="shared" si="139"/>
        <v>6.2214539822906447E-3</v>
      </c>
      <c r="DE149">
        <f t="shared" si="140"/>
        <v>0.11149010257286417</v>
      </c>
      <c r="DF149">
        <f t="shared" si="141"/>
        <v>0.88228844344484525</v>
      </c>
      <c r="DG149">
        <f t="shared" si="142"/>
        <v>4.9154301202267217</v>
      </c>
      <c r="DH149">
        <f t="shared" si="143"/>
        <v>7.4072818538687708E-3</v>
      </c>
      <c r="DI149">
        <f t="shared" si="144"/>
        <v>0.11156571018791338</v>
      </c>
      <c r="DJ149">
        <f t="shared" si="145"/>
        <v>0.88102700795821787</v>
      </c>
      <c r="DK149" s="64">
        <f t="shared" si="146"/>
        <v>-5.5849082584463368</v>
      </c>
      <c r="DL149" s="64">
        <f t="shared" si="147"/>
        <v>-4.648012469463362</v>
      </c>
      <c r="DM149" s="64">
        <f t="shared" si="148"/>
        <v>-5.3591280445115297</v>
      </c>
      <c r="DN149" s="64">
        <f t="shared" si="149"/>
        <v>-4.4222322555285549</v>
      </c>
      <c r="DO149" t="str">
        <f t="shared" si="150"/>
        <v>Sufficient Capacity</v>
      </c>
      <c r="DP149" t="str">
        <f t="shared" si="151"/>
        <v>Sufficient Capacity</v>
      </c>
    </row>
    <row r="150" spans="1:120" ht="15.75" x14ac:dyDescent="0.25">
      <c r="A150" s="6" t="s">
        <v>203</v>
      </c>
      <c r="B150" s="6" t="s">
        <v>203</v>
      </c>
      <c r="C150" s="2" t="s">
        <v>999</v>
      </c>
      <c r="D150" s="2" t="s">
        <v>592</v>
      </c>
      <c r="E150" s="2" t="s">
        <v>592</v>
      </c>
      <c r="F150" s="2">
        <v>149</v>
      </c>
      <c r="G150" s="2" t="s">
        <v>998</v>
      </c>
      <c r="H150" s="10" t="s">
        <v>656</v>
      </c>
      <c r="I150" s="2">
        <v>150</v>
      </c>
      <c r="J150" s="2">
        <v>65</v>
      </c>
      <c r="K150" s="2">
        <v>19.25</v>
      </c>
      <c r="L150" t="s">
        <v>376</v>
      </c>
      <c r="M150" s="2" t="s">
        <v>1120</v>
      </c>
      <c r="N150" s="2" t="s">
        <v>435</v>
      </c>
      <c r="O150" s="2" t="s">
        <v>673</v>
      </c>
      <c r="P150" s="2" t="s">
        <v>1127</v>
      </c>
      <c r="Q150" s="9" t="s">
        <v>674</v>
      </c>
      <c r="R150" s="2" t="str">
        <f t="shared" si="101"/>
        <v>CW_1_Section_3</v>
      </c>
      <c r="S150" s="2" t="str">
        <f t="shared" si="102"/>
        <v>CW_1_MF09</v>
      </c>
      <c r="T150" s="11" t="s">
        <v>983</v>
      </c>
      <c r="U150" s="1">
        <v>45882</v>
      </c>
      <c r="V150" s="2" t="s">
        <v>692</v>
      </c>
      <c r="W150" s="2" t="s">
        <v>655</v>
      </c>
      <c r="X150" s="2" t="s">
        <v>982</v>
      </c>
      <c r="Y150" s="2" t="str">
        <f t="shared" si="103"/>
        <v>T6_0.15-0.30</v>
      </c>
      <c r="Z150" t="s">
        <v>21</v>
      </c>
      <c r="AA150">
        <v>21</v>
      </c>
      <c r="AB150">
        <v>21</v>
      </c>
      <c r="AC150">
        <v>300</v>
      </c>
      <c r="AD150" s="32">
        <f t="shared" si="104"/>
        <v>0.11522212264754833</v>
      </c>
      <c r="AE150">
        <v>1.1000000000000001</v>
      </c>
      <c r="AF150" s="32">
        <f t="shared" si="105"/>
        <v>4.2978076839591932E-4</v>
      </c>
      <c r="AG150">
        <v>140</v>
      </c>
      <c r="AH150" s="32">
        <f t="shared" si="106"/>
        <v>5.5382876518790619E-2</v>
      </c>
      <c r="AI150">
        <v>50</v>
      </c>
      <c r="AJ150" s="32">
        <f t="shared" si="107"/>
        <v>1.9779598756710936E-2</v>
      </c>
      <c r="AK150">
        <v>30</v>
      </c>
      <c r="AL150" s="32">
        <f t="shared" si="108"/>
        <v>1.1867759254026562E-2</v>
      </c>
      <c r="AM150">
        <v>80</v>
      </c>
      <c r="AO150" s="49">
        <v>521.1</v>
      </c>
      <c r="AP150" s="49">
        <f t="shared" si="109"/>
        <v>0.17103477993473487</v>
      </c>
      <c r="AQ150">
        <v>1100</v>
      </c>
      <c r="AR150" s="32">
        <f t="shared" si="110"/>
        <v>0.41195287508777401</v>
      </c>
      <c r="AS150" s="48">
        <v>540</v>
      </c>
      <c r="AT150" s="27">
        <f t="shared" si="111"/>
        <v>0.20223141140672546</v>
      </c>
      <c r="AU150" s="48">
        <v>1.3</v>
      </c>
      <c r="AV150" s="27">
        <f t="shared" si="112"/>
        <v>4.7834943163151328E-4</v>
      </c>
      <c r="AW150" s="48">
        <v>0.44</v>
      </c>
      <c r="AX150" s="27">
        <f t="shared" si="113"/>
        <v>1.6548861941508334E-4</v>
      </c>
      <c r="AY150" s="48">
        <v>7.0000000000000007E-2</v>
      </c>
      <c r="AZ150" s="27">
        <f t="shared" si="114"/>
        <v>2.6109974732282519E-5</v>
      </c>
      <c r="BA150" s="48">
        <v>0.06</v>
      </c>
      <c r="BB150" s="27">
        <f t="shared" si="115"/>
        <v>2.22184817370813E-5</v>
      </c>
      <c r="BC150" s="48">
        <v>0.01</v>
      </c>
      <c r="BD150" s="27">
        <f t="shared" si="116"/>
        <v>3.7030802895135499E-6</v>
      </c>
      <c r="BE150" s="48">
        <v>0.01</v>
      </c>
      <c r="BF150" s="27">
        <f t="shared" si="117"/>
        <v>3.6588380716934487E-6</v>
      </c>
      <c r="BG150" s="48">
        <v>2E-3</v>
      </c>
      <c r="BH150" s="27">
        <f t="shared" si="118"/>
        <v>7.3176761433868969E-7</v>
      </c>
      <c r="BI150" s="52">
        <f t="shared" si="119"/>
        <v>541.89199999999994</v>
      </c>
      <c r="BJ150" s="52">
        <f t="shared" si="120"/>
        <v>1.8920000000000001</v>
      </c>
      <c r="BK150" s="27">
        <f t="shared" si="121"/>
        <v>0.202931671600217</v>
      </c>
      <c r="BL150" s="27">
        <f t="shared" si="122"/>
        <v>7.0026019349150599E-4</v>
      </c>
      <c r="BM150">
        <v>1800</v>
      </c>
      <c r="BN150">
        <v>90</v>
      </c>
      <c r="BO150" t="s">
        <v>19</v>
      </c>
      <c r="BP150">
        <v>1800</v>
      </c>
      <c r="BQ150">
        <v>87</v>
      </c>
      <c r="BR150">
        <v>45</v>
      </c>
      <c r="BS150">
        <v>0.51</v>
      </c>
      <c r="BT150">
        <v>1.6</v>
      </c>
      <c r="BU150">
        <v>22.8</v>
      </c>
      <c r="BV150">
        <v>-155</v>
      </c>
      <c r="BW150">
        <v>7.11</v>
      </c>
      <c r="BX150">
        <v>1314</v>
      </c>
      <c r="BY150">
        <v>0.2</v>
      </c>
      <c r="BZ150">
        <v>0.01</v>
      </c>
      <c r="CA150" s="32">
        <v>23</v>
      </c>
      <c r="CB150" s="32">
        <f t="shared" si="123"/>
        <v>0.41181736794986568</v>
      </c>
      <c r="CC150" s="32">
        <f t="shared" si="124"/>
        <v>0.41181736794986568</v>
      </c>
      <c r="CD150" s="32">
        <v>3.1</v>
      </c>
      <c r="CE150" s="32">
        <f t="shared" si="125"/>
        <v>5.6435463316948847E-2</v>
      </c>
      <c r="CF150" s="32">
        <f t="shared" si="126"/>
        <v>0.11287092663389769</v>
      </c>
      <c r="CG150" s="27">
        <v>0.5</v>
      </c>
      <c r="CH150" s="27">
        <f t="shared" si="127"/>
        <v>5.2050801582344368E-3</v>
      </c>
      <c r="CI150" s="27">
        <f t="shared" si="128"/>
        <v>4.1640641265875494E-2</v>
      </c>
      <c r="CJ150" s="58">
        <v>139.5</v>
      </c>
      <c r="CK150" s="58">
        <v>99.642857142857139</v>
      </c>
      <c r="CL150" s="58">
        <v>11.617738913179263</v>
      </c>
      <c r="CM150" s="58">
        <v>11.617738913179263</v>
      </c>
      <c r="CN150" s="28">
        <v>8.1</v>
      </c>
      <c r="CO150" s="28">
        <v>94.186046511627907</v>
      </c>
      <c r="CP150" s="28">
        <v>0.67457838850718299</v>
      </c>
      <c r="CQ150" s="28">
        <v>0.67457838850718299</v>
      </c>
      <c r="CR150" s="32">
        <f t="shared" si="129"/>
        <v>81.091817613991253</v>
      </c>
      <c r="CS150" s="32">
        <v>81.091817613991253</v>
      </c>
      <c r="CT150" s="32">
        <f t="shared" si="130"/>
        <v>104.09181761399125</v>
      </c>
      <c r="CU150" s="32">
        <f t="shared" si="131"/>
        <v>1.863774711083102</v>
      </c>
      <c r="CV150" s="32">
        <f t="shared" si="132"/>
        <v>1.863774711083102</v>
      </c>
      <c r="CW150" s="60">
        <f t="shared" si="133"/>
        <v>4.7085571517801368</v>
      </c>
      <c r="CX150" s="60">
        <v>4.7085571517801368</v>
      </c>
      <c r="CY150" s="60">
        <f t="shared" si="134"/>
        <v>27.708557151780138</v>
      </c>
      <c r="CZ150" s="60">
        <f t="shared" si="135"/>
        <v>0.49612456851889236</v>
      </c>
      <c r="DA150" s="60">
        <f t="shared" si="136"/>
        <v>0.49612456851889236</v>
      </c>
      <c r="DB150" s="32">
        <f t="shared" si="137"/>
        <v>4.1640641265875494E-2</v>
      </c>
      <c r="DC150">
        <f t="shared" si="138"/>
        <v>13.594384550896262</v>
      </c>
      <c r="DD150">
        <f t="shared" si="139"/>
        <v>8.3027610563257345E-3</v>
      </c>
      <c r="DE150">
        <f t="shared" si="140"/>
        <v>0.13709886638157706</v>
      </c>
      <c r="DF150">
        <f t="shared" si="141"/>
        <v>0.85459837256209725</v>
      </c>
      <c r="DG150">
        <f t="shared" si="142"/>
        <v>1.283573883659973</v>
      </c>
      <c r="DH150">
        <f t="shared" si="143"/>
        <v>8.7934888728071009E-2</v>
      </c>
      <c r="DI150">
        <f t="shared" si="144"/>
        <v>0.38651812321410473</v>
      </c>
      <c r="DJ150">
        <f t="shared" si="145"/>
        <v>0.52554698805782429</v>
      </c>
      <c r="DK150" s="64">
        <f t="shared" si="146"/>
        <v>-13.011396895873753</v>
      </c>
      <c r="DL150" s="64">
        <f t="shared" si="147"/>
        <v>-0.70058622863746423</v>
      </c>
      <c r="DM150" s="64">
        <f t="shared" si="148"/>
        <v>-13.010696635680262</v>
      </c>
      <c r="DN150" s="64">
        <f t="shared" si="149"/>
        <v>-0.69988596844397277</v>
      </c>
      <c r="DO150" t="str">
        <f t="shared" si="150"/>
        <v>Sufficient Capacity</v>
      </c>
      <c r="DP150" t="str">
        <f t="shared" si="151"/>
        <v>Sufficient Capacity</v>
      </c>
    </row>
    <row r="151" spans="1:120" ht="15.75" x14ac:dyDescent="0.25">
      <c r="A151" s="6" t="s">
        <v>204</v>
      </c>
      <c r="B151" s="6" t="s">
        <v>204</v>
      </c>
      <c r="C151" s="2" t="s">
        <v>1001</v>
      </c>
      <c r="D151" s="2" t="s">
        <v>593</v>
      </c>
      <c r="E151" s="2" t="s">
        <v>593</v>
      </c>
      <c r="F151" s="2">
        <v>150</v>
      </c>
      <c r="G151" s="2" t="s">
        <v>1000</v>
      </c>
      <c r="H151" s="10" t="s">
        <v>656</v>
      </c>
      <c r="I151" s="2">
        <v>150</v>
      </c>
      <c r="J151" s="2">
        <v>65</v>
      </c>
      <c r="K151" s="2">
        <v>8.8000000000000007</v>
      </c>
      <c r="L151" t="s">
        <v>377</v>
      </c>
      <c r="M151" s="2" t="s">
        <v>1120</v>
      </c>
      <c r="N151" s="2" t="s">
        <v>435</v>
      </c>
      <c r="O151" s="2" t="s">
        <v>673</v>
      </c>
      <c r="P151" s="2" t="s">
        <v>1128</v>
      </c>
      <c r="Q151" s="9" t="s">
        <v>677</v>
      </c>
      <c r="R151" s="2" t="str">
        <f t="shared" si="101"/>
        <v>CW_1_Section_3</v>
      </c>
      <c r="S151" s="2" t="str">
        <f t="shared" si="102"/>
        <v>CW_1_MF10</v>
      </c>
      <c r="T151" s="11" t="s">
        <v>983</v>
      </c>
      <c r="U151" s="1">
        <v>45882</v>
      </c>
      <c r="V151" s="2" t="s">
        <v>692</v>
      </c>
      <c r="W151" s="2" t="s">
        <v>663</v>
      </c>
      <c r="X151" s="2" t="s">
        <v>982</v>
      </c>
      <c r="Y151" s="2" t="str">
        <f t="shared" si="103"/>
        <v>T6_0.60-0.80</v>
      </c>
      <c r="Z151" t="s">
        <v>23</v>
      </c>
      <c r="AA151">
        <v>10</v>
      </c>
      <c r="AB151">
        <v>11</v>
      </c>
      <c r="AC151">
        <v>160</v>
      </c>
      <c r="AD151" s="32">
        <f t="shared" si="104"/>
        <v>6.145179874535911E-2</v>
      </c>
      <c r="AE151">
        <v>1.7</v>
      </c>
      <c r="AF151" s="32">
        <f t="shared" si="105"/>
        <v>6.6420664206642062E-4</v>
      </c>
      <c r="AG151">
        <v>220</v>
      </c>
      <c r="AH151" s="32">
        <f t="shared" si="106"/>
        <v>8.7030234529528114E-2</v>
      </c>
      <c r="AI151">
        <v>25</v>
      </c>
      <c r="AJ151" s="32">
        <f t="shared" si="107"/>
        <v>9.8897993783554679E-3</v>
      </c>
      <c r="AK151">
        <v>8.6</v>
      </c>
      <c r="AL151" s="32">
        <f t="shared" si="108"/>
        <v>3.402090986154281E-3</v>
      </c>
      <c r="AM151">
        <v>33.6</v>
      </c>
      <c r="AO151" s="49">
        <v>415.3</v>
      </c>
      <c r="AP151" s="49">
        <f t="shared" si="109"/>
        <v>0.14914623991695364</v>
      </c>
      <c r="AQ151">
        <v>420</v>
      </c>
      <c r="AR151" s="32">
        <f t="shared" si="110"/>
        <v>0.15729109776078645</v>
      </c>
      <c r="AS151" s="48">
        <v>73</v>
      </c>
      <c r="AT151" s="27">
        <f t="shared" si="111"/>
        <v>2.7338690801279548E-2</v>
      </c>
      <c r="AU151" s="48">
        <v>1</v>
      </c>
      <c r="AV151" s="27">
        <f t="shared" si="112"/>
        <v>3.6796110125501016E-4</v>
      </c>
      <c r="AW151" s="48">
        <v>82</v>
      </c>
      <c r="AX151" s="27">
        <f t="shared" si="113"/>
        <v>3.08410608909928E-2</v>
      </c>
      <c r="AY151" s="48">
        <v>12</v>
      </c>
      <c r="AZ151" s="27">
        <f t="shared" si="114"/>
        <v>4.4759956683912885E-3</v>
      </c>
      <c r="BA151" s="48">
        <v>3.1</v>
      </c>
      <c r="BB151" s="27">
        <f t="shared" si="115"/>
        <v>1.1479548897492004E-3</v>
      </c>
      <c r="BC151" s="48">
        <v>0.1</v>
      </c>
      <c r="BD151" s="27">
        <f t="shared" si="116"/>
        <v>3.7030802895135498E-5</v>
      </c>
      <c r="BE151" s="48">
        <v>0.1</v>
      </c>
      <c r="BF151" s="27">
        <f t="shared" si="117"/>
        <v>3.6588380716934496E-5</v>
      </c>
      <c r="BG151" s="48">
        <v>0.2</v>
      </c>
      <c r="BH151" s="27">
        <f t="shared" si="118"/>
        <v>7.3176761433868992E-5</v>
      </c>
      <c r="BI151" s="52">
        <f t="shared" si="119"/>
        <v>171.49999999999997</v>
      </c>
      <c r="BJ151" s="52">
        <f t="shared" si="120"/>
        <v>98.499999999999986</v>
      </c>
      <c r="BK151" s="27">
        <f t="shared" si="121"/>
        <v>6.4318459296713773E-2</v>
      </c>
      <c r="BL151" s="27">
        <f t="shared" si="122"/>
        <v>3.6979768495434232E-2</v>
      </c>
      <c r="BM151">
        <v>1000</v>
      </c>
      <c r="BN151">
        <v>1200</v>
      </c>
      <c r="BO151" t="s">
        <v>19</v>
      </c>
      <c r="BP151">
        <v>2300</v>
      </c>
      <c r="BQ151">
        <v>66</v>
      </c>
      <c r="BR151">
        <v>25</v>
      </c>
      <c r="BS151">
        <v>0.61</v>
      </c>
      <c r="BT151">
        <v>0.42</v>
      </c>
      <c r="BU151">
        <v>22.5</v>
      </c>
      <c r="BV151">
        <v>-289</v>
      </c>
      <c r="BW151">
        <v>7.28</v>
      </c>
      <c r="BX151">
        <v>960</v>
      </c>
      <c r="BY151">
        <v>0.2</v>
      </c>
      <c r="BZ151">
        <v>0.01</v>
      </c>
      <c r="CA151" s="32">
        <v>0.4</v>
      </c>
      <c r="CB151" s="32">
        <f t="shared" si="123"/>
        <v>7.162041181736795E-3</v>
      </c>
      <c r="CC151" s="32">
        <f t="shared" si="124"/>
        <v>7.162041181736795E-3</v>
      </c>
      <c r="CD151" s="32">
        <v>0.9</v>
      </c>
      <c r="CE151" s="32">
        <f t="shared" si="125"/>
        <v>1.6384489350081924E-2</v>
      </c>
      <c r="CF151" s="32">
        <f t="shared" si="126"/>
        <v>3.2768978700163848E-2</v>
      </c>
      <c r="CG151" s="27">
        <v>84</v>
      </c>
      <c r="CH151" s="27">
        <f t="shared" si="127"/>
        <v>0.87445346658338541</v>
      </c>
      <c r="CI151" s="27">
        <f t="shared" si="128"/>
        <v>6.9956277326670833</v>
      </c>
      <c r="CJ151" s="58">
        <v>56</v>
      </c>
      <c r="CK151" s="58">
        <v>40</v>
      </c>
      <c r="CL151" s="58">
        <v>4.6637518217780549</v>
      </c>
      <c r="CM151" s="58">
        <v>4.6637518217780549</v>
      </c>
      <c r="CN151" s="28">
        <v>-6</v>
      </c>
      <c r="CO151" s="28">
        <v>-7.6923076923076925</v>
      </c>
      <c r="CP151" s="28">
        <v>-0.49968769519050593</v>
      </c>
      <c r="CR151" s="32">
        <f t="shared" si="129"/>
        <v>32.552987716010826</v>
      </c>
      <c r="CS151" s="32">
        <v>32.552987716010826</v>
      </c>
      <c r="CT151" s="32">
        <f t="shared" si="130"/>
        <v>32.952987716010824</v>
      </c>
      <c r="CU151" s="32">
        <f t="shared" si="131"/>
        <v>0.59002663770834063</v>
      </c>
      <c r="CV151" s="32">
        <f t="shared" si="132"/>
        <v>0.59002663770834063</v>
      </c>
      <c r="CW151" s="60">
        <f t="shared" si="133"/>
        <v>-3.4878201124297314</v>
      </c>
      <c r="CY151" s="60">
        <f t="shared" si="134"/>
        <v>0.4</v>
      </c>
      <c r="CZ151" s="60">
        <f t="shared" si="135"/>
        <v>7.162041181736795E-3</v>
      </c>
      <c r="DA151" s="60">
        <f t="shared" si="136"/>
        <v>7.162041181736795E-3</v>
      </c>
      <c r="DB151" s="32">
        <f t="shared" si="137"/>
        <v>6.9956277326670833</v>
      </c>
      <c r="DC151">
        <f t="shared" si="138"/>
        <v>5.2865474381865596</v>
      </c>
      <c r="DD151">
        <f t="shared" si="139"/>
        <v>6.1985594725703563E-3</v>
      </c>
      <c r="DE151">
        <f t="shared" si="140"/>
        <v>0.11160906898259804</v>
      </c>
      <c r="DF151">
        <f t="shared" si="141"/>
        <v>0.88219237154483154</v>
      </c>
      <c r="DG151">
        <f t="shared" si="142"/>
        <v>3.9931019881900641E-2</v>
      </c>
      <c r="DH151">
        <f t="shared" si="143"/>
        <v>0.82063966302590985</v>
      </c>
      <c r="DI151">
        <f t="shared" si="144"/>
        <v>0.17936033697409021</v>
      </c>
      <c r="DJ151">
        <f t="shared" si="145"/>
        <v>0</v>
      </c>
      <c r="DK151" s="64">
        <f t="shared" si="146"/>
        <v>-4.9801101005088197</v>
      </c>
      <c r="DL151" s="64">
        <f t="shared" si="147"/>
        <v>0.26650631779583944</v>
      </c>
      <c r="DM151" s="64">
        <f t="shared" si="148"/>
        <v>-4.9431303320133857</v>
      </c>
      <c r="DN151" s="64">
        <f t="shared" si="149"/>
        <v>0.30348608629127366</v>
      </c>
      <c r="DO151" t="str">
        <f t="shared" si="150"/>
        <v>Sufficient Capacity</v>
      </c>
      <c r="DP151" t="str">
        <f t="shared" si="151"/>
        <v>Insufficient Capacity</v>
      </c>
    </row>
    <row r="152" spans="1:120" ht="15.75" x14ac:dyDescent="0.25">
      <c r="A152" s="6" t="s">
        <v>205</v>
      </c>
      <c r="B152" s="6" t="s">
        <v>205</v>
      </c>
      <c r="C152" s="2" t="s">
        <v>1003</v>
      </c>
      <c r="D152" s="2" t="s">
        <v>594</v>
      </c>
      <c r="E152" s="2" t="s">
        <v>594</v>
      </c>
      <c r="F152" s="2">
        <v>151</v>
      </c>
      <c r="G152" s="2" t="s">
        <v>1002</v>
      </c>
      <c r="H152" s="10" t="s">
        <v>656</v>
      </c>
      <c r="I152" s="2">
        <v>150</v>
      </c>
      <c r="J152" s="2">
        <v>65</v>
      </c>
      <c r="K152" s="2">
        <v>6.65</v>
      </c>
      <c r="L152" t="s">
        <v>379</v>
      </c>
      <c r="M152" s="2" t="s">
        <v>1120</v>
      </c>
      <c r="N152" s="2" t="s">
        <v>436</v>
      </c>
      <c r="O152" s="2" t="s">
        <v>653</v>
      </c>
      <c r="P152" s="2" t="s">
        <v>1123</v>
      </c>
      <c r="Q152" s="9" t="s">
        <v>713</v>
      </c>
      <c r="R152" s="2" t="str">
        <f t="shared" si="101"/>
        <v>CW_2_Section_1</v>
      </c>
      <c r="S152" s="2" t="str">
        <f t="shared" si="102"/>
        <v>CW_2_MF01</v>
      </c>
      <c r="T152" s="11" t="s">
        <v>983</v>
      </c>
      <c r="U152" s="1">
        <v>45883</v>
      </c>
      <c r="V152" s="2" t="s">
        <v>692</v>
      </c>
      <c r="W152" s="2" t="s">
        <v>655</v>
      </c>
      <c r="X152" s="2" t="s">
        <v>982</v>
      </c>
      <c r="Y152" s="2" t="str">
        <f t="shared" si="103"/>
        <v>T6_0.15-0.30</v>
      </c>
      <c r="Z152" t="s">
        <v>41</v>
      </c>
      <c r="AA152">
        <v>3.1</v>
      </c>
      <c r="AB152">
        <v>3.8</v>
      </c>
      <c r="AC152">
        <v>1.4</v>
      </c>
      <c r="AD152" s="32">
        <f t="shared" si="104"/>
        <v>5.3770323902189218E-4</v>
      </c>
      <c r="AE152">
        <v>0.02</v>
      </c>
      <c r="AF152" s="32">
        <f t="shared" si="105"/>
        <v>7.8141957890167132E-6</v>
      </c>
      <c r="AG152">
        <v>4</v>
      </c>
      <c r="AH152" s="32">
        <f t="shared" si="106"/>
        <v>1.5823679005368748E-3</v>
      </c>
      <c r="AI152">
        <v>1</v>
      </c>
      <c r="AJ152" s="32">
        <f t="shared" si="107"/>
        <v>3.9559197513421869E-4</v>
      </c>
      <c r="AK152">
        <v>1.3</v>
      </c>
      <c r="AL152" s="32">
        <f t="shared" si="108"/>
        <v>5.1426956767448438E-4</v>
      </c>
      <c r="AM152">
        <v>2.2999999999999998</v>
      </c>
      <c r="AO152" s="49">
        <v>7.84</v>
      </c>
      <c r="AP152" s="49">
        <f t="shared" si="109"/>
        <v>2.1278853353477838E-3</v>
      </c>
      <c r="AQ152">
        <v>43</v>
      </c>
      <c r="AR152" s="32">
        <f t="shared" si="110"/>
        <v>1.6103612389794804E-2</v>
      </c>
      <c r="AS152" s="48">
        <v>2E-3</v>
      </c>
      <c r="AT152" s="27">
        <f t="shared" si="111"/>
        <v>7.4900522743231646E-7</v>
      </c>
      <c r="AU152" s="48">
        <v>0.01</v>
      </c>
      <c r="AV152" s="27">
        <f t="shared" si="112"/>
        <v>3.6796110125501018E-6</v>
      </c>
      <c r="AW152" s="48">
        <v>0.01</v>
      </c>
      <c r="AX152" s="27">
        <f t="shared" si="113"/>
        <v>3.7611049867064394E-6</v>
      </c>
      <c r="AY152" s="48">
        <v>5.0000000000000001E-3</v>
      </c>
      <c r="AZ152" s="27">
        <f t="shared" si="114"/>
        <v>1.8649981951630372E-6</v>
      </c>
      <c r="BA152" s="48">
        <v>1E-3</v>
      </c>
      <c r="BB152" s="27">
        <f t="shared" si="115"/>
        <v>3.7030802895135499E-7</v>
      </c>
      <c r="BC152" s="48">
        <v>1E-3</v>
      </c>
      <c r="BD152" s="27">
        <f t="shared" si="116"/>
        <v>3.7030802895135499E-7</v>
      </c>
      <c r="BE152" s="48">
        <v>1E-3</v>
      </c>
      <c r="BF152" s="27">
        <f t="shared" si="117"/>
        <v>3.6588380716934485E-7</v>
      </c>
      <c r="BG152" s="48">
        <v>2E-3</v>
      </c>
      <c r="BH152" s="27">
        <f t="shared" si="118"/>
        <v>7.3176761433868969E-7</v>
      </c>
      <c r="BI152" s="52">
        <f t="shared" si="119"/>
        <v>3.2000000000000001E-2</v>
      </c>
      <c r="BJ152" s="52">
        <f t="shared" si="120"/>
        <v>3.0000000000000006E-2</v>
      </c>
      <c r="BK152" s="27">
        <f t="shared" si="121"/>
        <v>1.1892986901262639E-5</v>
      </c>
      <c r="BL152" s="27">
        <f t="shared" si="122"/>
        <v>1.1143981673830322E-5</v>
      </c>
      <c r="BM152">
        <v>65</v>
      </c>
      <c r="BN152">
        <v>230</v>
      </c>
      <c r="BO152" t="s">
        <v>19</v>
      </c>
      <c r="BP152">
        <v>300</v>
      </c>
      <c r="BQ152">
        <v>44</v>
      </c>
      <c r="BR152">
        <v>6.1</v>
      </c>
      <c r="BS152">
        <v>0.16</v>
      </c>
      <c r="BT152">
        <v>1.66</v>
      </c>
      <c r="BU152">
        <v>22.8</v>
      </c>
      <c r="BV152">
        <v>-185</v>
      </c>
      <c r="BW152">
        <v>7.15</v>
      </c>
      <c r="BX152">
        <v>490</v>
      </c>
      <c r="BY152">
        <v>0.2</v>
      </c>
      <c r="BZ152">
        <v>0.01</v>
      </c>
      <c r="CA152" s="32">
        <v>0.6</v>
      </c>
      <c r="CB152" s="32">
        <f t="shared" si="123"/>
        <v>1.0743061772605192E-2</v>
      </c>
      <c r="CC152" s="32">
        <f t="shared" si="124"/>
        <v>1.0743061772605192E-2</v>
      </c>
      <c r="CD152" s="32">
        <v>0.6</v>
      </c>
      <c r="CE152" s="32">
        <f t="shared" si="125"/>
        <v>1.0922992900054615E-2</v>
      </c>
      <c r="CF152" s="32">
        <f t="shared" si="126"/>
        <v>2.1845985800109231E-2</v>
      </c>
      <c r="CG152" s="27">
        <v>61</v>
      </c>
      <c r="CH152" s="27">
        <f t="shared" si="127"/>
        <v>0.6350197793046013</v>
      </c>
      <c r="CI152" s="27">
        <f t="shared" si="128"/>
        <v>5.0801582344368104</v>
      </c>
      <c r="CJ152" s="58">
        <v>79</v>
      </c>
      <c r="CK152" s="58">
        <v>56.428571428571431</v>
      </c>
      <c r="CL152" s="58">
        <v>6.5792213200083278</v>
      </c>
      <c r="CM152" s="58">
        <v>6.5792213200083278</v>
      </c>
      <c r="CN152" s="28">
        <v>79</v>
      </c>
      <c r="CO152" s="28">
        <v>56.428571428571431</v>
      </c>
      <c r="CP152" s="28">
        <v>6.5792213200083278</v>
      </c>
      <c r="CQ152" s="28">
        <v>6.5792213200083278</v>
      </c>
      <c r="CR152" s="32">
        <f t="shared" si="129"/>
        <v>45.922964813658126</v>
      </c>
      <c r="CS152" s="32">
        <v>45.922964813658126</v>
      </c>
      <c r="CT152" s="32">
        <f t="shared" si="130"/>
        <v>46.522964813658128</v>
      </c>
      <c r="CU152" s="32">
        <f t="shared" si="131"/>
        <v>0.83299847472977839</v>
      </c>
      <c r="CV152" s="32">
        <f t="shared" si="132"/>
        <v>0.83299847472977839</v>
      </c>
      <c r="CW152" s="60">
        <f t="shared" si="133"/>
        <v>45.922964813658126</v>
      </c>
      <c r="CX152" s="60">
        <v>45.922964813658126</v>
      </c>
      <c r="CY152" s="60">
        <f t="shared" si="134"/>
        <v>46.522964813658128</v>
      </c>
      <c r="CZ152" s="60">
        <f t="shared" si="135"/>
        <v>0.83299847472977839</v>
      </c>
      <c r="DA152" s="60">
        <f t="shared" si="136"/>
        <v>0.83299847472977839</v>
      </c>
      <c r="DB152" s="32">
        <f t="shared" si="137"/>
        <v>5.0801582344368104</v>
      </c>
      <c r="DC152">
        <f t="shared" si="138"/>
        <v>7.4340657805382158</v>
      </c>
      <c r="DD152">
        <f t="shared" si="139"/>
        <v>2.9386322969189023E-3</v>
      </c>
      <c r="DE152">
        <f t="shared" si="140"/>
        <v>0.11205153402200195</v>
      </c>
      <c r="DF152">
        <f t="shared" si="141"/>
        <v>0.88500983368107911</v>
      </c>
      <c r="DG152">
        <f t="shared" si="142"/>
        <v>7.4340657805382158</v>
      </c>
      <c r="DH152">
        <f t="shared" si="143"/>
        <v>2.9386322969189023E-3</v>
      </c>
      <c r="DI152">
        <f t="shared" si="144"/>
        <v>0.11205153402200195</v>
      </c>
      <c r="DJ152">
        <f t="shared" si="145"/>
        <v>0.88500983368107911</v>
      </c>
      <c r="DK152" s="64">
        <f t="shared" si="146"/>
        <v>-7.4158342828130728</v>
      </c>
      <c r="DL152" s="64">
        <f t="shared" si="147"/>
        <v>-7.4158342828130728</v>
      </c>
      <c r="DM152" s="64">
        <f t="shared" si="148"/>
        <v>-7.4158231388313993</v>
      </c>
      <c r="DN152" s="64">
        <f t="shared" si="149"/>
        <v>-7.4158231388313993</v>
      </c>
      <c r="DO152" t="str">
        <f t="shared" si="150"/>
        <v>Sufficient Capacity</v>
      </c>
      <c r="DP152" t="str">
        <f t="shared" si="151"/>
        <v>Sufficient Capacity</v>
      </c>
    </row>
    <row r="153" spans="1:120" ht="15.75" x14ac:dyDescent="0.25">
      <c r="A153" s="6" t="s">
        <v>206</v>
      </c>
      <c r="B153" s="6" t="s">
        <v>206</v>
      </c>
      <c r="C153" s="2" t="s">
        <v>1005</v>
      </c>
      <c r="D153" s="2" t="s">
        <v>595</v>
      </c>
      <c r="E153" s="2" t="s">
        <v>595</v>
      </c>
      <c r="F153" s="2">
        <v>152</v>
      </c>
      <c r="G153" s="2" t="s">
        <v>1004</v>
      </c>
      <c r="H153" s="10" t="s">
        <v>656</v>
      </c>
      <c r="I153" s="2">
        <v>150</v>
      </c>
      <c r="J153" s="2">
        <v>65</v>
      </c>
      <c r="K153" s="2">
        <v>15.45</v>
      </c>
      <c r="L153" t="s">
        <v>380</v>
      </c>
      <c r="M153" s="2" t="s">
        <v>1120</v>
      </c>
      <c r="N153" s="2" t="s">
        <v>436</v>
      </c>
      <c r="O153" s="2" t="s">
        <v>653</v>
      </c>
      <c r="P153" s="2" t="s">
        <v>1124</v>
      </c>
      <c r="Q153" s="9" t="s">
        <v>716</v>
      </c>
      <c r="R153" s="2" t="str">
        <f t="shared" si="101"/>
        <v>CW_2_Section_1</v>
      </c>
      <c r="S153" s="2" t="str">
        <f t="shared" si="102"/>
        <v>CW_2_MF02</v>
      </c>
      <c r="T153" s="11" t="s">
        <v>983</v>
      </c>
      <c r="U153" s="1">
        <v>45883</v>
      </c>
      <c r="V153" s="2" t="s">
        <v>692</v>
      </c>
      <c r="W153" s="2" t="s">
        <v>663</v>
      </c>
      <c r="X153" s="2" t="s">
        <v>982</v>
      </c>
      <c r="Y153" s="2" t="str">
        <f t="shared" si="103"/>
        <v>T6_0.60-0.80</v>
      </c>
      <c r="Z153" t="s">
        <v>43</v>
      </c>
      <c r="AA153">
        <v>5.3</v>
      </c>
      <c r="AB153">
        <v>6</v>
      </c>
      <c r="AC153">
        <v>46</v>
      </c>
      <c r="AD153" s="32">
        <f t="shared" si="104"/>
        <v>1.7667392139290746E-2</v>
      </c>
      <c r="AE153">
        <v>2.4</v>
      </c>
      <c r="AF153" s="32">
        <f t="shared" si="105"/>
        <v>9.3770349468200566E-4</v>
      </c>
      <c r="AG153">
        <v>28</v>
      </c>
      <c r="AH153" s="32">
        <f t="shared" si="106"/>
        <v>1.1076575303758125E-2</v>
      </c>
      <c r="AI153">
        <v>11</v>
      </c>
      <c r="AJ153" s="32">
        <f t="shared" si="107"/>
        <v>4.3515117264764057E-3</v>
      </c>
      <c r="AK153">
        <v>14</v>
      </c>
      <c r="AL153" s="32">
        <f t="shared" si="108"/>
        <v>5.5382876518790623E-3</v>
      </c>
      <c r="AM153">
        <v>25</v>
      </c>
      <c r="AO153" s="49">
        <v>101.4</v>
      </c>
      <c r="AP153" s="49">
        <f t="shared" si="109"/>
        <v>2.9681670937730876E-2</v>
      </c>
      <c r="AQ153">
        <v>81</v>
      </c>
      <c r="AR153" s="32">
        <f t="shared" si="110"/>
        <v>3.0334711711008815E-2</v>
      </c>
      <c r="AS153" s="48">
        <v>2E-3</v>
      </c>
      <c r="AT153" s="27">
        <f t="shared" si="111"/>
        <v>7.4900522743231646E-7</v>
      </c>
      <c r="AU153" s="48">
        <v>0.2</v>
      </c>
      <c r="AV153" s="27">
        <f t="shared" si="112"/>
        <v>7.3592220251002044E-5</v>
      </c>
      <c r="AW153" s="48">
        <v>1.6</v>
      </c>
      <c r="AX153" s="27">
        <f t="shared" si="113"/>
        <v>6.0177679787303028E-4</v>
      </c>
      <c r="AY153" s="48">
        <v>5.0000000000000001E-3</v>
      </c>
      <c r="AZ153" s="27">
        <f t="shared" si="114"/>
        <v>1.8649981951630372E-6</v>
      </c>
      <c r="BA153" s="48">
        <v>1E-3</v>
      </c>
      <c r="BB153" s="27">
        <f t="shared" si="115"/>
        <v>3.7030802895135499E-7</v>
      </c>
      <c r="BC153" s="48">
        <v>1E-3</v>
      </c>
      <c r="BD153" s="27">
        <f t="shared" si="116"/>
        <v>3.7030802895135499E-7</v>
      </c>
      <c r="BE153" s="48">
        <v>1E-3</v>
      </c>
      <c r="BF153" s="27">
        <f t="shared" si="117"/>
        <v>3.6588380716934485E-7</v>
      </c>
      <c r="BG153" s="48">
        <v>2E-3</v>
      </c>
      <c r="BH153" s="27">
        <f t="shared" si="118"/>
        <v>7.3176761433868969E-7</v>
      </c>
      <c r="BI153" s="52">
        <f t="shared" si="119"/>
        <v>1.8119999999999996</v>
      </c>
      <c r="BJ153" s="52">
        <f t="shared" si="120"/>
        <v>1.8099999999999996</v>
      </c>
      <c r="BK153" s="27">
        <f t="shared" si="121"/>
        <v>6.798212890260384E-4</v>
      </c>
      <c r="BL153" s="27">
        <f t="shared" si="122"/>
        <v>6.7907228379860611E-4</v>
      </c>
      <c r="BM153">
        <v>130</v>
      </c>
      <c r="BN153">
        <v>130</v>
      </c>
      <c r="BO153" t="s">
        <v>19</v>
      </c>
      <c r="BP153">
        <v>260</v>
      </c>
      <c r="BQ153">
        <v>53</v>
      </c>
      <c r="BR153">
        <v>12</v>
      </c>
      <c r="BS153">
        <v>1.4999999999999999E-2</v>
      </c>
      <c r="BT153">
        <v>0.91</v>
      </c>
      <c r="BU153">
        <v>22.7</v>
      </c>
      <c r="BV153">
        <v>-0.82</v>
      </c>
      <c r="BW153">
        <v>7.28</v>
      </c>
      <c r="BX153">
        <v>756</v>
      </c>
      <c r="BY153">
        <v>0.2</v>
      </c>
      <c r="BZ153">
        <v>0.01</v>
      </c>
      <c r="CA153" s="32">
        <v>0.6</v>
      </c>
      <c r="CB153" s="32">
        <f t="shared" si="123"/>
        <v>1.0743061772605192E-2</v>
      </c>
      <c r="CC153" s="32">
        <f t="shared" si="124"/>
        <v>1.0743061772605192E-2</v>
      </c>
      <c r="CD153" s="32">
        <v>0.6</v>
      </c>
      <c r="CE153" s="32">
        <f t="shared" si="125"/>
        <v>1.0922992900054615E-2</v>
      </c>
      <c r="CF153" s="32">
        <f t="shared" si="126"/>
        <v>2.1845985800109231E-2</v>
      </c>
      <c r="CG153" s="27">
        <v>92</v>
      </c>
      <c r="CH153" s="27">
        <f t="shared" si="127"/>
        <v>0.95773474911513634</v>
      </c>
      <c r="CI153" s="27">
        <f t="shared" si="128"/>
        <v>7.6618779929210907</v>
      </c>
      <c r="CJ153" s="58">
        <v>48</v>
      </c>
      <c r="CK153" s="58">
        <v>34.285714285714285</v>
      </c>
      <c r="CL153" s="58">
        <v>3.9975015615240475</v>
      </c>
      <c r="CM153" s="58">
        <v>3.9975015615240475</v>
      </c>
      <c r="CN153" s="28">
        <v>48</v>
      </c>
      <c r="CO153" s="28">
        <v>34.285714285714285</v>
      </c>
      <c r="CP153" s="28">
        <v>3.9975015615240475</v>
      </c>
      <c r="CQ153" s="28">
        <v>3.9975015615240475</v>
      </c>
      <c r="CR153" s="32">
        <f t="shared" si="129"/>
        <v>27.902560899437852</v>
      </c>
      <c r="CS153" s="32">
        <v>27.902560899437852</v>
      </c>
      <c r="CT153" s="32">
        <f t="shared" si="130"/>
        <v>28.502560899437853</v>
      </c>
      <c r="CU153" s="32">
        <f t="shared" si="131"/>
        <v>0.51034128736683715</v>
      </c>
      <c r="CV153" s="32">
        <f t="shared" si="132"/>
        <v>0.51034128736683715</v>
      </c>
      <c r="CW153" s="60">
        <f t="shared" si="133"/>
        <v>27.902560899437852</v>
      </c>
      <c r="CX153" s="60">
        <v>27.902560899437852</v>
      </c>
      <c r="CY153" s="60">
        <f t="shared" si="134"/>
        <v>28.502560899437853</v>
      </c>
      <c r="CZ153" s="60">
        <f t="shared" si="135"/>
        <v>0.51034128736683715</v>
      </c>
      <c r="DA153" s="60">
        <f t="shared" si="136"/>
        <v>0.51034128736683715</v>
      </c>
      <c r="DB153" s="32">
        <f t="shared" si="137"/>
        <v>7.6618779929210907</v>
      </c>
      <c r="DC153">
        <f t="shared" si="138"/>
        <v>4.5296888346909938</v>
      </c>
      <c r="DD153">
        <f t="shared" si="139"/>
        <v>4.8228447024440081E-3</v>
      </c>
      <c r="DE153">
        <f t="shared" si="140"/>
        <v>0.11266585983971934</v>
      </c>
      <c r="DF153">
        <f t="shared" si="141"/>
        <v>0.88251129545783669</v>
      </c>
      <c r="DG153">
        <f t="shared" si="142"/>
        <v>4.5296888346909938</v>
      </c>
      <c r="DH153">
        <f t="shared" si="143"/>
        <v>4.8228447024440081E-3</v>
      </c>
      <c r="DI153">
        <f t="shared" si="144"/>
        <v>0.11266585983971934</v>
      </c>
      <c r="DJ153">
        <f t="shared" si="145"/>
        <v>0.88251129545783669</v>
      </c>
      <c r="DK153" s="64">
        <f t="shared" si="146"/>
        <v>-4.4696724520422544</v>
      </c>
      <c r="DL153" s="64">
        <f t="shared" si="147"/>
        <v>-4.4696724520422544</v>
      </c>
      <c r="DM153" s="64">
        <f t="shared" si="148"/>
        <v>-4.4689933797584551</v>
      </c>
      <c r="DN153" s="64">
        <f t="shared" si="149"/>
        <v>-4.4689933797584551</v>
      </c>
      <c r="DO153" t="str">
        <f t="shared" si="150"/>
        <v>Sufficient Capacity</v>
      </c>
      <c r="DP153" t="str">
        <f t="shared" si="151"/>
        <v>Sufficient Capacity</v>
      </c>
    </row>
    <row r="154" spans="1:120" ht="15.75" x14ac:dyDescent="0.25">
      <c r="A154" s="6" t="s">
        <v>207</v>
      </c>
      <c r="B154" s="6" t="s">
        <v>207</v>
      </c>
      <c r="C154" s="2" t="s">
        <v>1007</v>
      </c>
      <c r="D154" s="2" t="s">
        <v>596</v>
      </c>
      <c r="E154" s="2" t="s">
        <v>596</v>
      </c>
      <c r="F154" s="2">
        <v>153</v>
      </c>
      <c r="G154" s="2" t="s">
        <v>1006</v>
      </c>
      <c r="H154" s="10" t="s">
        <v>656</v>
      </c>
      <c r="I154" s="2">
        <v>150</v>
      </c>
      <c r="J154" s="2">
        <v>65</v>
      </c>
      <c r="K154" s="2">
        <v>47.85</v>
      </c>
      <c r="L154" t="s">
        <v>381</v>
      </c>
      <c r="M154" s="2" t="s">
        <v>1120</v>
      </c>
      <c r="N154" s="2" t="s">
        <v>436</v>
      </c>
      <c r="O154" s="2" t="s">
        <v>666</v>
      </c>
      <c r="P154" s="2" t="s">
        <v>1131</v>
      </c>
      <c r="Q154" s="9" t="s">
        <v>719</v>
      </c>
      <c r="R154" s="2" t="str">
        <f t="shared" si="101"/>
        <v>CW_2_Section_2</v>
      </c>
      <c r="S154" s="2" t="str">
        <f t="shared" si="102"/>
        <v>CW_2_MF05</v>
      </c>
      <c r="T154" s="11" t="s">
        <v>983</v>
      </c>
      <c r="U154" s="1">
        <v>45883</v>
      </c>
      <c r="V154" s="2" t="s">
        <v>692</v>
      </c>
      <c r="W154" s="2" t="s">
        <v>655</v>
      </c>
      <c r="X154" s="2" t="s">
        <v>982</v>
      </c>
      <c r="Y154" s="2" t="str">
        <f t="shared" si="103"/>
        <v>T6_0.15-0.30</v>
      </c>
      <c r="Z154" t="s">
        <v>35</v>
      </c>
      <c r="AA154">
        <v>7.1</v>
      </c>
      <c r="AB154">
        <v>8.5</v>
      </c>
      <c r="AC154">
        <v>1.1000000000000001</v>
      </c>
      <c r="AD154" s="32">
        <f t="shared" si="104"/>
        <v>4.2248111637434386E-4</v>
      </c>
      <c r="AE154">
        <v>0.02</v>
      </c>
      <c r="AF154" s="32">
        <f t="shared" si="105"/>
        <v>7.8141957890167132E-6</v>
      </c>
      <c r="AG154">
        <v>1.3</v>
      </c>
      <c r="AH154" s="32">
        <f t="shared" si="106"/>
        <v>5.1426956767448438E-4</v>
      </c>
      <c r="AI154">
        <v>0.65</v>
      </c>
      <c r="AJ154" s="32">
        <f t="shared" si="107"/>
        <v>2.5713478383724219E-4</v>
      </c>
      <c r="AK154">
        <v>0.33</v>
      </c>
      <c r="AL154" s="32">
        <f t="shared" si="108"/>
        <v>1.3054535179429216E-4</v>
      </c>
      <c r="AM154">
        <v>0.98</v>
      </c>
      <c r="AO154" s="49">
        <v>3.52</v>
      </c>
      <c r="AP154" s="49">
        <f t="shared" si="109"/>
        <v>9.4456487983784489E-4</v>
      </c>
      <c r="AQ154">
        <v>1.1000000000000001</v>
      </c>
      <c r="AR154" s="32">
        <f t="shared" si="110"/>
        <v>4.119528750877741E-4</v>
      </c>
      <c r="AS154" s="48">
        <v>2E-3</v>
      </c>
      <c r="AT154" s="27">
        <f t="shared" si="111"/>
        <v>7.4900522743231646E-7</v>
      </c>
      <c r="AU154" s="48">
        <v>0.01</v>
      </c>
      <c r="AV154" s="27">
        <f t="shared" si="112"/>
        <v>3.6796110125501018E-6</v>
      </c>
      <c r="AW154" s="48">
        <v>0.01</v>
      </c>
      <c r="AX154" s="27">
        <f t="shared" si="113"/>
        <v>3.7611049867064394E-6</v>
      </c>
      <c r="AY154" s="48">
        <v>5.0000000000000001E-3</v>
      </c>
      <c r="AZ154" s="27">
        <f t="shared" si="114"/>
        <v>1.8649981951630372E-6</v>
      </c>
      <c r="BA154" s="48">
        <v>1E-3</v>
      </c>
      <c r="BB154" s="27">
        <f t="shared" si="115"/>
        <v>3.7030802895135499E-7</v>
      </c>
      <c r="BC154" s="48">
        <v>1E-3</v>
      </c>
      <c r="BD154" s="27">
        <f t="shared" si="116"/>
        <v>3.7030802895135499E-7</v>
      </c>
      <c r="BE154" s="48">
        <v>1E-3</v>
      </c>
      <c r="BF154" s="27">
        <f t="shared" si="117"/>
        <v>3.6588380716934485E-7</v>
      </c>
      <c r="BG154" s="48">
        <v>2E-3</v>
      </c>
      <c r="BH154" s="27">
        <f t="shared" si="118"/>
        <v>7.3176761433868969E-7</v>
      </c>
      <c r="BI154" s="52">
        <f t="shared" si="119"/>
        <v>3.2000000000000001E-2</v>
      </c>
      <c r="BJ154" s="52">
        <f t="shared" si="120"/>
        <v>3.0000000000000006E-2</v>
      </c>
      <c r="BK154" s="27">
        <f t="shared" si="121"/>
        <v>1.1892986901262639E-5</v>
      </c>
      <c r="BL154" s="27">
        <f t="shared" si="122"/>
        <v>1.1143981673830322E-5</v>
      </c>
      <c r="BM154">
        <v>2.5</v>
      </c>
      <c r="BN154">
        <v>2.5</v>
      </c>
      <c r="BO154" t="s">
        <v>19</v>
      </c>
      <c r="BP154">
        <v>5</v>
      </c>
      <c r="BQ154">
        <v>47</v>
      </c>
      <c r="BR154">
        <v>6.5</v>
      </c>
      <c r="BS154">
        <v>1.1000000000000001</v>
      </c>
      <c r="BT154">
        <v>1.33</v>
      </c>
      <c r="BU154">
        <v>22.7</v>
      </c>
      <c r="BV154">
        <v>-166</v>
      </c>
      <c r="BW154">
        <v>7.48</v>
      </c>
      <c r="BX154">
        <v>527</v>
      </c>
      <c r="BY154">
        <v>0.1</v>
      </c>
      <c r="BZ154">
        <v>0.01</v>
      </c>
      <c r="CA154" s="32">
        <v>3.5</v>
      </c>
      <c r="CB154" s="32">
        <f t="shared" si="123"/>
        <v>6.266786034019696E-2</v>
      </c>
      <c r="CC154" s="32">
        <f t="shared" si="124"/>
        <v>6.266786034019696E-2</v>
      </c>
      <c r="CD154" s="32">
        <v>0.9</v>
      </c>
      <c r="CE154" s="32">
        <f t="shared" si="125"/>
        <v>1.6384489350081924E-2</v>
      </c>
      <c r="CF154" s="32">
        <f t="shared" si="126"/>
        <v>3.2768978700163848E-2</v>
      </c>
      <c r="CG154" s="27">
        <v>39</v>
      </c>
      <c r="CH154" s="27">
        <f t="shared" si="127"/>
        <v>0.40599625234228603</v>
      </c>
      <c r="CI154" s="27">
        <f t="shared" si="128"/>
        <v>3.2479700187382883</v>
      </c>
      <c r="CJ154" s="58">
        <v>101</v>
      </c>
      <c r="CK154" s="58">
        <v>72.142857142857139</v>
      </c>
      <c r="CL154" s="58">
        <v>8.4114095357068503</v>
      </c>
      <c r="CM154" s="58">
        <v>8.4114095357068503</v>
      </c>
      <c r="CN154" s="28">
        <v>22</v>
      </c>
      <c r="CO154" s="28">
        <v>36.065573770491802</v>
      </c>
      <c r="CP154" s="28">
        <v>1.8321882156985216</v>
      </c>
      <c r="CQ154" s="28">
        <v>1.8321882156985216</v>
      </c>
      <c r="CR154" s="32">
        <f t="shared" si="129"/>
        <v>58.711638559233812</v>
      </c>
      <c r="CS154" s="32">
        <v>58.711638559233812</v>
      </c>
      <c r="CT154" s="32">
        <f t="shared" si="130"/>
        <v>62.211638559233812</v>
      </c>
      <c r="CU154" s="32">
        <f t="shared" si="131"/>
        <v>1.1139057933613932</v>
      </c>
      <c r="CV154" s="32">
        <f t="shared" si="132"/>
        <v>1.1139057933613932</v>
      </c>
      <c r="CW154" s="60">
        <f t="shared" si="133"/>
        <v>12.78867374557568</v>
      </c>
      <c r="CX154" s="60">
        <v>12.78867374557568</v>
      </c>
      <c r="CY154" s="60">
        <f t="shared" si="134"/>
        <v>16.288673745575679</v>
      </c>
      <c r="CZ154" s="60">
        <f t="shared" si="135"/>
        <v>0.29165038040421987</v>
      </c>
      <c r="DA154" s="60">
        <f t="shared" si="136"/>
        <v>0.29165038040421987</v>
      </c>
      <c r="DB154" s="32">
        <f t="shared" si="137"/>
        <v>3.2479700187382883</v>
      </c>
      <c r="DC154">
        <f t="shared" si="138"/>
        <v>9.5580843077684072</v>
      </c>
      <c r="DD154">
        <f t="shared" si="139"/>
        <v>3.4284044422511115E-3</v>
      </c>
      <c r="DE154">
        <f t="shared" si="140"/>
        <v>0.11654069555089168</v>
      </c>
      <c r="DF154">
        <f t="shared" si="141"/>
        <v>0.88003090000685724</v>
      </c>
      <c r="DG154">
        <f t="shared" si="142"/>
        <v>2.1566075748029054</v>
      </c>
      <c r="DH154">
        <f t="shared" si="143"/>
        <v>1.5194687750810964E-2</v>
      </c>
      <c r="DI154">
        <f t="shared" si="144"/>
        <v>0.13523572105178852</v>
      </c>
      <c r="DJ154">
        <f t="shared" si="145"/>
        <v>0.8495695911974005</v>
      </c>
      <c r="DK154" s="64">
        <f t="shared" si="146"/>
        <v>-9.5567277900134808</v>
      </c>
      <c r="DL154" s="64">
        <f t="shared" si="147"/>
        <v>-2.1552510570479799</v>
      </c>
      <c r="DM154" s="64">
        <f t="shared" si="148"/>
        <v>-9.5567166460318074</v>
      </c>
      <c r="DN154" s="64">
        <f t="shared" si="149"/>
        <v>-2.155239913066306</v>
      </c>
      <c r="DO154" t="str">
        <f t="shared" si="150"/>
        <v>Sufficient Capacity</v>
      </c>
      <c r="DP154" t="str">
        <f t="shared" si="151"/>
        <v>Sufficient Capacity</v>
      </c>
    </row>
    <row r="155" spans="1:120" ht="15.75" x14ac:dyDescent="0.25">
      <c r="A155" s="6" t="s">
        <v>208</v>
      </c>
      <c r="B155" s="6" t="s">
        <v>208</v>
      </c>
      <c r="C155" s="2" t="s">
        <v>1009</v>
      </c>
      <c r="D155" s="2" t="s">
        <v>597</v>
      </c>
      <c r="E155" s="2" t="s">
        <v>597</v>
      </c>
      <c r="F155" s="2">
        <v>154</v>
      </c>
      <c r="G155" s="2" t="s">
        <v>1008</v>
      </c>
      <c r="H155" s="10" t="s">
        <v>656</v>
      </c>
      <c r="I155" s="2">
        <v>150</v>
      </c>
      <c r="J155" s="2">
        <v>65</v>
      </c>
      <c r="K155" s="2">
        <v>3.5</v>
      </c>
      <c r="L155" t="s">
        <v>382</v>
      </c>
      <c r="M155" s="2" t="s">
        <v>1120</v>
      </c>
      <c r="N155" s="2" t="s">
        <v>436</v>
      </c>
      <c r="O155" s="2" t="s">
        <v>666</v>
      </c>
      <c r="P155" s="2" t="s">
        <v>1132</v>
      </c>
      <c r="Q155" s="9" t="s">
        <v>722</v>
      </c>
      <c r="R155" s="2" t="str">
        <f t="shared" si="101"/>
        <v>CW_2_Section_2</v>
      </c>
      <c r="S155" s="2" t="str">
        <f t="shared" si="102"/>
        <v>CW_2_MF06</v>
      </c>
      <c r="T155" s="11" t="s">
        <v>983</v>
      </c>
      <c r="U155" s="1">
        <v>45883</v>
      </c>
      <c r="V155" s="2" t="s">
        <v>692</v>
      </c>
      <c r="W155" s="2" t="s">
        <v>663</v>
      </c>
      <c r="X155" s="2" t="s">
        <v>982</v>
      </c>
      <c r="Y155" s="2" t="str">
        <f t="shared" si="103"/>
        <v>T6_0.60-0.80</v>
      </c>
      <c r="Z155" t="s">
        <v>37</v>
      </c>
      <c r="AA155">
        <v>5</v>
      </c>
      <c r="AB155">
        <v>5.9</v>
      </c>
      <c r="AC155">
        <v>21</v>
      </c>
      <c r="AD155" s="32">
        <f t="shared" si="104"/>
        <v>8.0655485853283818E-3</v>
      </c>
      <c r="AE155">
        <v>1.2</v>
      </c>
      <c r="AF155" s="32">
        <f t="shared" si="105"/>
        <v>4.6885174734100283E-4</v>
      </c>
      <c r="AG155">
        <v>63</v>
      </c>
      <c r="AH155" s="32">
        <f t="shared" si="106"/>
        <v>2.4922294433455779E-2</v>
      </c>
      <c r="AI155">
        <v>13</v>
      </c>
      <c r="AJ155" s="32">
        <f t="shared" si="107"/>
        <v>5.1426956767448434E-3</v>
      </c>
      <c r="AK155">
        <v>7.1</v>
      </c>
      <c r="AL155" s="32">
        <f t="shared" si="108"/>
        <v>2.8087030234529523E-3</v>
      </c>
      <c r="AM155">
        <v>20.100000000000001</v>
      </c>
      <c r="AO155" s="49">
        <v>105.3</v>
      </c>
      <c r="AP155" s="49">
        <f t="shared" si="109"/>
        <v>3.3456694766125165E-2</v>
      </c>
      <c r="AQ155">
        <v>400</v>
      </c>
      <c r="AR155" s="32">
        <f t="shared" si="110"/>
        <v>0.14980104548646328</v>
      </c>
      <c r="AS155" s="48">
        <v>0.17</v>
      </c>
      <c r="AT155" s="27">
        <f t="shared" si="111"/>
        <v>6.36654443317469E-5</v>
      </c>
      <c r="AU155" s="48">
        <v>19</v>
      </c>
      <c r="AV155" s="27">
        <f t="shared" si="112"/>
        <v>6.9912609238451931E-3</v>
      </c>
      <c r="AW155" s="48">
        <v>60</v>
      </c>
      <c r="AX155" s="27">
        <f t="shared" si="113"/>
        <v>2.2566629920238637E-2</v>
      </c>
      <c r="AY155" s="48">
        <v>27</v>
      </c>
      <c r="AZ155" s="27">
        <f t="shared" si="114"/>
        <v>1.0070990253880399E-2</v>
      </c>
      <c r="BA155" s="48">
        <v>2.5</v>
      </c>
      <c r="BB155" s="27">
        <f t="shared" si="115"/>
        <v>9.2577007237838748E-4</v>
      </c>
      <c r="BC155" s="48">
        <v>0.51</v>
      </c>
      <c r="BD155" s="27">
        <f t="shared" si="116"/>
        <v>1.8885709476519107E-4</v>
      </c>
      <c r="BE155" s="48">
        <v>0.06</v>
      </c>
      <c r="BF155" s="27">
        <f t="shared" si="117"/>
        <v>2.1953028430160689E-5</v>
      </c>
      <c r="BG155" s="48">
        <v>0.04</v>
      </c>
      <c r="BH155" s="27">
        <f t="shared" si="118"/>
        <v>1.4635352286773795E-5</v>
      </c>
      <c r="BI155" s="52">
        <f t="shared" si="119"/>
        <v>109.28000000000002</v>
      </c>
      <c r="BJ155" s="52">
        <f t="shared" si="120"/>
        <v>109.11000000000001</v>
      </c>
      <c r="BK155" s="27">
        <f t="shared" si="121"/>
        <v>4.0843762090156485E-2</v>
      </c>
      <c r="BL155" s="27">
        <f t="shared" si="122"/>
        <v>4.0780096645824743E-2</v>
      </c>
      <c r="BM155">
        <v>500</v>
      </c>
      <c r="BN155">
        <v>220</v>
      </c>
      <c r="BO155" t="s">
        <v>19</v>
      </c>
      <c r="BP155">
        <v>710</v>
      </c>
      <c r="BQ155">
        <v>43</v>
      </c>
      <c r="BR155">
        <v>6</v>
      </c>
      <c r="BS155">
        <v>0.51</v>
      </c>
      <c r="BT155">
        <v>0.52</v>
      </c>
      <c r="BU155">
        <v>22.8</v>
      </c>
      <c r="BV155">
        <v>-178</v>
      </c>
      <c r="BW155">
        <v>7.31</v>
      </c>
      <c r="BX155">
        <v>508</v>
      </c>
      <c r="BY155">
        <v>0.2</v>
      </c>
      <c r="BZ155">
        <v>0.01</v>
      </c>
      <c r="CA155" s="32">
        <v>0.8</v>
      </c>
      <c r="CB155" s="32">
        <f t="shared" si="123"/>
        <v>1.432408236347359E-2</v>
      </c>
      <c r="CC155" s="32">
        <f t="shared" si="124"/>
        <v>1.432408236347359E-2</v>
      </c>
      <c r="CD155" s="32">
        <v>0.9</v>
      </c>
      <c r="CE155" s="32">
        <f t="shared" si="125"/>
        <v>1.6384489350081924E-2</v>
      </c>
      <c r="CF155" s="32">
        <f t="shared" si="126"/>
        <v>3.2768978700163848E-2</v>
      </c>
      <c r="CG155" s="27">
        <v>34</v>
      </c>
      <c r="CH155" s="27">
        <f t="shared" si="127"/>
        <v>0.35394545075994172</v>
      </c>
      <c r="CI155" s="27">
        <f t="shared" si="128"/>
        <v>2.8315636060795337</v>
      </c>
      <c r="CJ155" s="58">
        <v>106</v>
      </c>
      <c r="CK155" s="58">
        <v>75.714285714285708</v>
      </c>
      <c r="CL155" s="58">
        <v>8.827815948365604</v>
      </c>
      <c r="CM155" s="58">
        <v>8.827815948365604</v>
      </c>
      <c r="CN155" s="28">
        <v>58</v>
      </c>
      <c r="CO155" s="28">
        <v>63.04347826086957</v>
      </c>
      <c r="CP155" s="28">
        <v>4.8303143868415575</v>
      </c>
      <c r="CQ155" s="28">
        <v>4.8303143868415575</v>
      </c>
      <c r="CR155" s="32">
        <f t="shared" si="129"/>
        <v>61.618155319591921</v>
      </c>
      <c r="CS155" s="32">
        <v>61.618155319591921</v>
      </c>
      <c r="CT155" s="32">
        <f t="shared" si="130"/>
        <v>62.418155319591918</v>
      </c>
      <c r="CU155" s="32">
        <f t="shared" si="131"/>
        <v>1.1176034972174023</v>
      </c>
      <c r="CV155" s="32">
        <f t="shared" si="132"/>
        <v>1.1176034972174023</v>
      </c>
      <c r="CW155" s="60">
        <f t="shared" si="133"/>
        <v>33.715594420154069</v>
      </c>
      <c r="CX155" s="60">
        <v>33.715594420154069</v>
      </c>
      <c r="CY155" s="60">
        <f t="shared" si="134"/>
        <v>34.515594420154066</v>
      </c>
      <c r="CZ155" s="60">
        <f t="shared" si="135"/>
        <v>0.61800527162317043</v>
      </c>
      <c r="DA155" s="60">
        <f t="shared" si="136"/>
        <v>0.61800527162317043</v>
      </c>
      <c r="DB155" s="32">
        <f t="shared" si="137"/>
        <v>2.8315636060795337</v>
      </c>
      <c r="DC155">
        <f t="shared" si="138"/>
        <v>9.9781884242831698</v>
      </c>
      <c r="DD155">
        <f t="shared" si="139"/>
        <v>3.2840609243674373E-3</v>
      </c>
      <c r="DE155">
        <f t="shared" si="140"/>
        <v>0.11200464951108503</v>
      </c>
      <c r="DF155">
        <f t="shared" si="141"/>
        <v>0.88471128956454759</v>
      </c>
      <c r="DG155">
        <f t="shared" si="142"/>
        <v>5.4810886371648913</v>
      </c>
      <c r="DH155">
        <f t="shared" si="143"/>
        <v>5.9785529608062851E-3</v>
      </c>
      <c r="DI155">
        <f t="shared" si="144"/>
        <v>0.11275228563770051</v>
      </c>
      <c r="DJ155">
        <f t="shared" si="145"/>
        <v>0.88126916140149325</v>
      </c>
      <c r="DK155" s="64">
        <f t="shared" si="146"/>
        <v>-9.7949306840305805</v>
      </c>
      <c r="DL155" s="64">
        <f t="shared" si="147"/>
        <v>-5.2978308969123029</v>
      </c>
      <c r="DM155" s="64">
        <f t="shared" si="148"/>
        <v>-9.7541505873847569</v>
      </c>
      <c r="DN155" s="64">
        <f t="shared" si="149"/>
        <v>-5.2570508002664784</v>
      </c>
      <c r="DO155" t="str">
        <f t="shared" si="150"/>
        <v>Sufficient Capacity</v>
      </c>
      <c r="DP155" t="str">
        <f t="shared" si="151"/>
        <v>Sufficient Capacity</v>
      </c>
    </row>
    <row r="156" spans="1:120" ht="15.75" x14ac:dyDescent="0.25">
      <c r="A156" s="6" t="s">
        <v>209</v>
      </c>
      <c r="B156" s="6" t="s">
        <v>209</v>
      </c>
      <c r="C156" s="2" t="s">
        <v>1011</v>
      </c>
      <c r="D156" s="2" t="s">
        <v>598</v>
      </c>
      <c r="E156" s="2" t="s">
        <v>598</v>
      </c>
      <c r="F156" s="2">
        <v>155</v>
      </c>
      <c r="G156" s="2" t="s">
        <v>1010</v>
      </c>
      <c r="H156" s="10" t="s">
        <v>656</v>
      </c>
      <c r="I156" s="2">
        <v>150</v>
      </c>
      <c r="J156" s="2">
        <v>65</v>
      </c>
      <c r="K156" s="2">
        <v>5.75</v>
      </c>
      <c r="L156" t="s">
        <v>386</v>
      </c>
      <c r="M156" s="2" t="s">
        <v>1120</v>
      </c>
      <c r="N156" s="2" t="s">
        <v>436</v>
      </c>
      <c r="O156" s="2" t="s">
        <v>673</v>
      </c>
      <c r="P156" s="2" t="s">
        <v>1127</v>
      </c>
      <c r="Q156" s="9" t="s">
        <v>725</v>
      </c>
      <c r="R156" s="2" t="str">
        <f t="shared" si="101"/>
        <v>CW_2_Section_3</v>
      </c>
      <c r="S156" s="2" t="str">
        <f t="shared" si="102"/>
        <v>CW_2_MF09</v>
      </c>
      <c r="T156" s="11" t="s">
        <v>983</v>
      </c>
      <c r="U156" s="1">
        <v>45884</v>
      </c>
      <c r="V156" s="2" t="s">
        <v>692</v>
      </c>
      <c r="W156" s="2" t="s">
        <v>655</v>
      </c>
      <c r="X156" s="2" t="s">
        <v>982</v>
      </c>
      <c r="Y156" s="2" t="str">
        <f t="shared" si="103"/>
        <v>T6_0.15-0.30</v>
      </c>
      <c r="Z156" t="s">
        <v>45</v>
      </c>
      <c r="AA156">
        <v>21</v>
      </c>
      <c r="AB156">
        <v>19</v>
      </c>
      <c r="AC156">
        <v>24</v>
      </c>
      <c r="AD156" s="32">
        <f t="shared" si="104"/>
        <v>9.2177698118038661E-3</v>
      </c>
      <c r="AE156">
        <v>0.1</v>
      </c>
      <c r="AF156" s="32">
        <f t="shared" si="105"/>
        <v>3.9070978945083576E-5</v>
      </c>
      <c r="AG156">
        <v>32</v>
      </c>
      <c r="AH156" s="32">
        <f t="shared" si="106"/>
        <v>1.2658943204294998E-2</v>
      </c>
      <c r="AI156">
        <v>21</v>
      </c>
      <c r="AJ156" s="32">
        <f t="shared" si="107"/>
        <v>8.3074314778185925E-3</v>
      </c>
      <c r="AK156">
        <v>19</v>
      </c>
      <c r="AL156" s="32">
        <f t="shared" si="108"/>
        <v>7.5162475275501557E-3</v>
      </c>
      <c r="AM156">
        <v>40</v>
      </c>
      <c r="AO156" s="49">
        <v>96.7</v>
      </c>
      <c r="AP156" s="49">
        <f t="shared" si="109"/>
        <v>2.1915783995043948E-2</v>
      </c>
      <c r="AQ156">
        <v>230</v>
      </c>
      <c r="AR156" s="32">
        <f t="shared" si="110"/>
        <v>8.6135601154716385E-2</v>
      </c>
      <c r="AS156" s="48">
        <v>210</v>
      </c>
      <c r="AT156" s="27">
        <f t="shared" si="111"/>
        <v>7.8645548880393226E-2</v>
      </c>
      <c r="AU156" s="48">
        <v>0.01</v>
      </c>
      <c r="AV156" s="27">
        <f t="shared" si="112"/>
        <v>3.6796110125501018E-6</v>
      </c>
      <c r="AW156" s="48">
        <v>0.01</v>
      </c>
      <c r="AX156" s="27">
        <f t="shared" si="113"/>
        <v>3.7611049867064394E-6</v>
      </c>
      <c r="AY156" s="48">
        <v>5.0000000000000001E-3</v>
      </c>
      <c r="AZ156" s="27">
        <f t="shared" si="114"/>
        <v>1.8649981951630372E-6</v>
      </c>
      <c r="BA156" s="48">
        <v>1E-3</v>
      </c>
      <c r="BB156" s="27">
        <f t="shared" si="115"/>
        <v>3.7030802895135499E-7</v>
      </c>
      <c r="BC156" s="48">
        <v>1E-3</v>
      </c>
      <c r="BD156" s="27">
        <f t="shared" si="116"/>
        <v>3.7030802895135499E-7</v>
      </c>
      <c r="BE156" s="48">
        <v>1E-3</v>
      </c>
      <c r="BF156" s="27">
        <f t="shared" si="117"/>
        <v>3.6588380716934485E-7</v>
      </c>
      <c r="BG156" s="48">
        <v>2E-3</v>
      </c>
      <c r="BH156" s="27">
        <f t="shared" si="118"/>
        <v>7.3176761433868969E-7</v>
      </c>
      <c r="BI156" s="52">
        <f t="shared" si="119"/>
        <v>210.03</v>
      </c>
      <c r="BJ156" s="52">
        <f t="shared" si="120"/>
        <v>3.0000000000000006E-2</v>
      </c>
      <c r="BK156" s="27">
        <f t="shared" si="121"/>
        <v>7.8656692862067057E-2</v>
      </c>
      <c r="BL156" s="27">
        <f t="shared" si="122"/>
        <v>1.1143981673830322E-5</v>
      </c>
      <c r="BM156">
        <v>310</v>
      </c>
      <c r="BN156">
        <v>2.5</v>
      </c>
      <c r="BO156" t="s">
        <v>19</v>
      </c>
      <c r="BP156">
        <v>320</v>
      </c>
      <c r="BQ156">
        <v>72</v>
      </c>
      <c r="BR156">
        <v>14</v>
      </c>
      <c r="BS156">
        <v>1</v>
      </c>
      <c r="BT156">
        <v>1.27</v>
      </c>
      <c r="BU156">
        <v>21.8</v>
      </c>
      <c r="BV156">
        <v>-177</v>
      </c>
      <c r="BW156">
        <v>7.22</v>
      </c>
      <c r="BX156">
        <v>1170</v>
      </c>
      <c r="BY156">
        <v>0.2</v>
      </c>
      <c r="BZ156">
        <v>0.01</v>
      </c>
      <c r="CA156" s="32">
        <v>16</v>
      </c>
      <c r="CB156" s="32">
        <f t="shared" si="123"/>
        <v>0.28648164726947178</v>
      </c>
      <c r="CC156" s="32">
        <f t="shared" si="124"/>
        <v>0.28648164726947178</v>
      </c>
      <c r="CD156" s="32">
        <v>3.9</v>
      </c>
      <c r="CE156" s="32">
        <f t="shared" si="125"/>
        <v>7.0999453850354999E-2</v>
      </c>
      <c r="CF156" s="32">
        <f t="shared" si="126"/>
        <v>0.14199890770071</v>
      </c>
      <c r="CG156" s="27">
        <v>0.5</v>
      </c>
      <c r="CH156" s="27">
        <f t="shared" si="127"/>
        <v>5.2050801582344368E-3</v>
      </c>
      <c r="CI156" s="27">
        <f t="shared" si="128"/>
        <v>4.1640641265875494E-2</v>
      </c>
      <c r="CJ156" s="58">
        <v>139.5</v>
      </c>
      <c r="CK156" s="58">
        <v>99.642857142857139</v>
      </c>
      <c r="CL156" s="58">
        <v>11.617738913179263</v>
      </c>
      <c r="CM156" s="58">
        <v>11.617738913179263</v>
      </c>
      <c r="CN156" s="28">
        <v>38.5</v>
      </c>
      <c r="CO156" s="28">
        <v>98.71794871794873</v>
      </c>
      <c r="CP156" s="28">
        <v>3.2063293774724131</v>
      </c>
      <c r="CQ156" s="28">
        <v>3.2063293774724131</v>
      </c>
      <c r="CR156" s="32">
        <f t="shared" si="129"/>
        <v>81.091817613991253</v>
      </c>
      <c r="CS156" s="32">
        <v>81.091817613991253</v>
      </c>
      <c r="CT156" s="32">
        <f t="shared" si="130"/>
        <v>97.091817613991253</v>
      </c>
      <c r="CU156" s="32">
        <f t="shared" si="131"/>
        <v>1.7384389904027082</v>
      </c>
      <c r="CV156" s="32">
        <f t="shared" si="132"/>
        <v>1.7384389904027082</v>
      </c>
      <c r="CW156" s="60">
        <f t="shared" si="133"/>
        <v>22.380179054757441</v>
      </c>
      <c r="CX156" s="60">
        <v>22.380179054757441</v>
      </c>
      <c r="CY156" s="60">
        <f t="shared" si="134"/>
        <v>38.380179054757441</v>
      </c>
      <c r="CZ156" s="60">
        <f t="shared" si="135"/>
        <v>0.68720105738151194</v>
      </c>
      <c r="DA156" s="60">
        <f t="shared" si="136"/>
        <v>0.68720105738151194</v>
      </c>
      <c r="DB156" s="32">
        <f t="shared" si="137"/>
        <v>4.1640641265875494E-2</v>
      </c>
      <c r="DC156">
        <f t="shared" si="138"/>
        <v>13.498176811282681</v>
      </c>
      <c r="DD156">
        <f t="shared" si="139"/>
        <v>1.0519858325015997E-2</v>
      </c>
      <c r="DE156">
        <f t="shared" si="140"/>
        <v>0.1287906518567459</v>
      </c>
      <c r="DF156">
        <f t="shared" si="141"/>
        <v>0.86068948981823812</v>
      </c>
      <c r="DG156">
        <f t="shared" si="142"/>
        <v>4.0355293425546348</v>
      </c>
      <c r="DH156">
        <f t="shared" si="143"/>
        <v>3.5187182559505217E-2</v>
      </c>
      <c r="DI156">
        <f t="shared" si="144"/>
        <v>0.17028771173461199</v>
      </c>
      <c r="DJ156">
        <f t="shared" si="145"/>
        <v>0.79452510570588286</v>
      </c>
      <c r="DK156" s="64">
        <f t="shared" si="146"/>
        <v>-13.39012542613292</v>
      </c>
      <c r="DL156" s="64">
        <f t="shared" si="147"/>
        <v>-3.9274779574048746</v>
      </c>
      <c r="DM156" s="64">
        <f t="shared" si="148"/>
        <v>-13.390114282151247</v>
      </c>
      <c r="DN156" s="64">
        <f t="shared" si="149"/>
        <v>-3.9274668134232007</v>
      </c>
      <c r="DO156" t="str">
        <f t="shared" si="150"/>
        <v>Sufficient Capacity</v>
      </c>
      <c r="DP156" t="str">
        <f t="shared" si="151"/>
        <v>Sufficient Capacity</v>
      </c>
    </row>
    <row r="157" spans="1:120" ht="15.75" x14ac:dyDescent="0.25">
      <c r="A157" s="6" t="s">
        <v>210</v>
      </c>
      <c r="B157" s="6" t="s">
        <v>210</v>
      </c>
      <c r="C157" s="2" t="s">
        <v>1013</v>
      </c>
      <c r="D157" s="2" t="s">
        <v>599</v>
      </c>
      <c r="E157" s="2" t="s">
        <v>599</v>
      </c>
      <c r="F157" s="2">
        <v>156</v>
      </c>
      <c r="G157" s="2" t="s">
        <v>1012</v>
      </c>
      <c r="H157" s="10" t="s">
        <v>656</v>
      </c>
      <c r="I157" s="2">
        <v>150</v>
      </c>
      <c r="J157" s="2">
        <v>65</v>
      </c>
      <c r="K157" s="2">
        <v>4.55</v>
      </c>
      <c r="L157" t="s">
        <v>387</v>
      </c>
      <c r="M157" s="2" t="s">
        <v>1120</v>
      </c>
      <c r="N157" s="2" t="s">
        <v>436</v>
      </c>
      <c r="O157" s="2" t="s">
        <v>673</v>
      </c>
      <c r="P157" s="2" t="s">
        <v>1128</v>
      </c>
      <c r="Q157" s="9" t="s">
        <v>728</v>
      </c>
      <c r="R157" s="2" t="str">
        <f t="shared" si="101"/>
        <v>CW_2_Section_3</v>
      </c>
      <c r="S157" s="2" t="str">
        <f t="shared" si="102"/>
        <v>CW_2_MF10</v>
      </c>
      <c r="T157" s="11" t="s">
        <v>983</v>
      </c>
      <c r="U157" s="1">
        <v>45884</v>
      </c>
      <c r="V157" s="2" t="s">
        <v>692</v>
      </c>
      <c r="W157" s="2" t="s">
        <v>663</v>
      </c>
      <c r="X157" s="2" t="s">
        <v>982</v>
      </c>
      <c r="Y157" s="2" t="str">
        <f t="shared" si="103"/>
        <v>T6_0.60-0.80</v>
      </c>
      <c r="Z157" t="s">
        <v>47</v>
      </c>
      <c r="AA157">
        <v>9.5</v>
      </c>
      <c r="AB157">
        <v>10</v>
      </c>
      <c r="AC157">
        <v>180</v>
      </c>
      <c r="AD157" s="32">
        <f t="shared" si="104"/>
        <v>6.9133273588528998E-2</v>
      </c>
      <c r="AE157">
        <v>1.9</v>
      </c>
      <c r="AF157" s="32">
        <f t="shared" si="105"/>
        <v>7.4234859995658776E-4</v>
      </c>
      <c r="AG157">
        <v>210</v>
      </c>
      <c r="AH157" s="32">
        <f t="shared" si="106"/>
        <v>8.3074314778185929E-2</v>
      </c>
      <c r="AI157">
        <v>37</v>
      </c>
      <c r="AJ157" s="32">
        <f t="shared" si="107"/>
        <v>1.4636903079966092E-2</v>
      </c>
      <c r="AK157">
        <v>39</v>
      </c>
      <c r="AL157" s="32">
        <f t="shared" si="108"/>
        <v>1.5428087030234528E-2</v>
      </c>
      <c r="AM157">
        <v>76</v>
      </c>
      <c r="AO157" s="49">
        <v>467.9</v>
      </c>
      <c r="AP157" s="49">
        <f t="shared" si="109"/>
        <v>0.15294993696667153</v>
      </c>
      <c r="AQ157">
        <v>900</v>
      </c>
      <c r="AR157" s="32">
        <f t="shared" si="110"/>
        <v>0.33705235234454245</v>
      </c>
      <c r="AS157" s="48">
        <v>1400</v>
      </c>
      <c r="AT157" s="27">
        <f t="shared" si="111"/>
        <v>0.52430365920262156</v>
      </c>
      <c r="AU157" s="48">
        <v>4</v>
      </c>
      <c r="AV157" s="27">
        <f t="shared" si="112"/>
        <v>1.4718444050200407E-3</v>
      </c>
      <c r="AW157" s="48">
        <v>82</v>
      </c>
      <c r="AX157" s="27">
        <f t="shared" si="113"/>
        <v>3.08410608909928E-2</v>
      </c>
      <c r="AY157" s="48">
        <v>4.0999999999999996</v>
      </c>
      <c r="AZ157" s="27">
        <f t="shared" si="114"/>
        <v>1.5292985200336903E-3</v>
      </c>
      <c r="BA157" s="48">
        <v>0.26</v>
      </c>
      <c r="BB157" s="27">
        <f t="shared" si="115"/>
        <v>9.6280087527352302E-5</v>
      </c>
      <c r="BC157" s="48">
        <v>0.03</v>
      </c>
      <c r="BD157" s="27">
        <f t="shared" si="116"/>
        <v>1.110924086854065E-5</v>
      </c>
      <c r="BE157" s="48">
        <v>0.01</v>
      </c>
      <c r="BF157" s="27">
        <f t="shared" si="117"/>
        <v>3.6588380716934487E-6</v>
      </c>
      <c r="BG157" s="48">
        <v>2E-3</v>
      </c>
      <c r="BH157" s="27">
        <f t="shared" si="118"/>
        <v>7.3176761433868969E-7</v>
      </c>
      <c r="BI157" s="52">
        <f t="shared" si="119"/>
        <v>1490.4019999999998</v>
      </c>
      <c r="BJ157" s="52">
        <f t="shared" si="120"/>
        <v>90.402000000000001</v>
      </c>
      <c r="BK157" s="27">
        <f t="shared" si="121"/>
        <v>0.55825764295275015</v>
      </c>
      <c r="BL157" s="27">
        <f t="shared" si="122"/>
        <v>3.3953983750128452E-2</v>
      </c>
      <c r="BM157">
        <v>1300</v>
      </c>
      <c r="BN157">
        <v>360</v>
      </c>
      <c r="BO157" t="s">
        <v>19</v>
      </c>
      <c r="BP157">
        <v>1700</v>
      </c>
      <c r="BQ157">
        <v>50</v>
      </c>
      <c r="BR157">
        <v>13</v>
      </c>
      <c r="BS157">
        <v>0.41</v>
      </c>
      <c r="BT157">
        <v>0.23</v>
      </c>
      <c r="BU157">
        <v>22.4</v>
      </c>
      <c r="BV157">
        <v>-283</v>
      </c>
      <c r="BW157">
        <v>7.18</v>
      </c>
      <c r="BX157">
        <v>840</v>
      </c>
      <c r="BY157">
        <v>0.2</v>
      </c>
      <c r="BZ157">
        <v>0.01</v>
      </c>
      <c r="CA157" s="32">
        <v>8.9</v>
      </c>
      <c r="CB157" s="32">
        <f t="shared" si="123"/>
        <v>0.15935541629364369</v>
      </c>
      <c r="CC157" s="32">
        <f t="shared" si="124"/>
        <v>0.15935541629364369</v>
      </c>
      <c r="CD157" s="32">
        <v>3.1</v>
      </c>
      <c r="CE157" s="32">
        <f t="shared" si="125"/>
        <v>5.6435463316948847E-2</v>
      </c>
      <c r="CF157" s="32">
        <f t="shared" si="126"/>
        <v>0.11287092663389769</v>
      </c>
      <c r="CG157" s="27">
        <v>9.9</v>
      </c>
      <c r="CH157" s="27">
        <f t="shared" si="127"/>
        <v>0.10306058713304185</v>
      </c>
      <c r="CI157" s="27">
        <f t="shared" si="128"/>
        <v>0.8244846970643348</v>
      </c>
      <c r="CJ157" s="58">
        <v>130.1</v>
      </c>
      <c r="CK157" s="58">
        <v>92.928571428571431</v>
      </c>
      <c r="CL157" s="58">
        <v>10.834894857380803</v>
      </c>
      <c r="CM157" s="58">
        <v>10.834894857380803</v>
      </c>
      <c r="CN157" s="28">
        <v>24.1</v>
      </c>
      <c r="CO157" s="28">
        <v>70.882352941176478</v>
      </c>
      <c r="CP157" s="28">
        <v>2.007078909015199</v>
      </c>
      <c r="CQ157" s="28">
        <v>2.007078909015199</v>
      </c>
      <c r="CR157" s="32">
        <f t="shared" si="129"/>
        <v>75.627566104517996</v>
      </c>
      <c r="CS157" s="32">
        <v>75.627566104517996</v>
      </c>
      <c r="CT157" s="32">
        <f t="shared" si="130"/>
        <v>84.527566104518002</v>
      </c>
      <c r="CU157" s="32">
        <f t="shared" si="131"/>
        <v>1.513474773581343</v>
      </c>
      <c r="CV157" s="32">
        <f t="shared" si="132"/>
        <v>1.513474773581343</v>
      </c>
      <c r="CW157" s="60">
        <f t="shared" si="133"/>
        <v>14.009410784926088</v>
      </c>
      <c r="CX157" s="60">
        <v>14.009410784926088</v>
      </c>
      <c r="CY157" s="60">
        <f t="shared" si="134"/>
        <v>22.909410784926088</v>
      </c>
      <c r="CZ157" s="60">
        <f t="shared" si="135"/>
        <v>0.41019535872741425</v>
      </c>
      <c r="DA157" s="60">
        <f t="shared" si="136"/>
        <v>0.41019535872741425</v>
      </c>
      <c r="DB157" s="32">
        <f t="shared" si="137"/>
        <v>0.8244846970643348</v>
      </c>
      <c r="DC157">
        <f t="shared" si="138"/>
        <v>12.461240557596044</v>
      </c>
      <c r="DD157">
        <f t="shared" si="139"/>
        <v>9.0577600289639335E-3</v>
      </c>
      <c r="DE157">
        <f t="shared" si="140"/>
        <v>0.12145458283916753</v>
      </c>
      <c r="DF157">
        <f t="shared" si="141"/>
        <v>0.86948765713186849</v>
      </c>
      <c r="DG157">
        <f t="shared" si="142"/>
        <v>2.530145194376511</v>
      </c>
      <c r="DH157">
        <f t="shared" si="143"/>
        <v>4.4610454326796778E-2</v>
      </c>
      <c r="DI157">
        <f t="shared" si="144"/>
        <v>0.16212324875232953</v>
      </c>
      <c r="DJ157">
        <f t="shared" si="145"/>
        <v>0.79326629692087369</v>
      </c>
      <c r="DK157" s="64">
        <f t="shared" si="146"/>
        <v>-11.97123826828483</v>
      </c>
      <c r="DL157" s="64">
        <f t="shared" si="147"/>
        <v>-2.0401429050652968</v>
      </c>
      <c r="DM157" s="64">
        <f t="shared" si="148"/>
        <v>-11.937284284534702</v>
      </c>
      <c r="DN157" s="64">
        <f t="shared" si="149"/>
        <v>-2.0061889213151685</v>
      </c>
      <c r="DO157" t="str">
        <f t="shared" si="150"/>
        <v>Sufficient Capacity</v>
      </c>
      <c r="DP157" t="str">
        <f t="shared" si="151"/>
        <v>Sufficient Capacity</v>
      </c>
    </row>
    <row r="158" spans="1:120" ht="15.75" x14ac:dyDescent="0.25">
      <c r="A158" s="6" t="s">
        <v>211</v>
      </c>
      <c r="B158" s="6" t="s">
        <v>211</v>
      </c>
      <c r="C158" s="2" t="s">
        <v>1015</v>
      </c>
      <c r="D158" s="2" t="s">
        <v>600</v>
      </c>
      <c r="E158" s="2" t="s">
        <v>600</v>
      </c>
      <c r="F158" s="2">
        <v>157</v>
      </c>
      <c r="G158" s="2" t="s">
        <v>1014</v>
      </c>
      <c r="H158" s="10" t="s">
        <v>656</v>
      </c>
      <c r="I158" s="2">
        <v>150</v>
      </c>
      <c r="J158" s="2">
        <v>65</v>
      </c>
      <c r="K158" s="2">
        <v>12.75</v>
      </c>
      <c r="L158" t="s">
        <v>383</v>
      </c>
      <c r="M158" s="2" t="s">
        <v>1120</v>
      </c>
      <c r="N158" s="2" t="s">
        <v>437</v>
      </c>
      <c r="O158" s="2" t="s">
        <v>653</v>
      </c>
      <c r="P158" s="2" t="s">
        <v>1123</v>
      </c>
      <c r="Q158" s="9" t="s">
        <v>731</v>
      </c>
      <c r="R158" s="2" t="str">
        <f t="shared" si="101"/>
        <v>CW_3_Section_1</v>
      </c>
      <c r="S158" s="2" t="str">
        <f t="shared" si="102"/>
        <v>CW_3_MF01</v>
      </c>
      <c r="T158" s="11" t="s">
        <v>983</v>
      </c>
      <c r="U158" s="1">
        <v>45883</v>
      </c>
      <c r="V158" s="2" t="s">
        <v>692</v>
      </c>
      <c r="W158" s="2" t="s">
        <v>655</v>
      </c>
      <c r="X158" s="2" t="s">
        <v>982</v>
      </c>
      <c r="Y158" s="2" t="str">
        <f t="shared" si="103"/>
        <v>T6_0.15-0.30</v>
      </c>
      <c r="Z158" t="s">
        <v>51</v>
      </c>
      <c r="AA158">
        <v>17</v>
      </c>
      <c r="AB158">
        <v>17</v>
      </c>
      <c r="AC158">
        <v>400</v>
      </c>
      <c r="AD158" s="32">
        <f t="shared" si="104"/>
        <v>0.15362949686339777</v>
      </c>
      <c r="AE158">
        <v>4.7</v>
      </c>
      <c r="AF158" s="32">
        <f t="shared" si="105"/>
        <v>1.8363360104189277E-3</v>
      </c>
      <c r="AG158">
        <v>260</v>
      </c>
      <c r="AH158" s="32">
        <f t="shared" si="106"/>
        <v>0.10285391353489687</v>
      </c>
      <c r="AI158">
        <v>130</v>
      </c>
      <c r="AJ158" s="32">
        <f t="shared" si="107"/>
        <v>5.1426956767448434E-2</v>
      </c>
      <c r="AK158">
        <v>71</v>
      </c>
      <c r="AL158" s="32">
        <f t="shared" si="108"/>
        <v>2.8087030234529527E-2</v>
      </c>
      <c r="AM158">
        <v>201</v>
      </c>
      <c r="AO158" s="49">
        <v>865.7</v>
      </c>
      <c r="AP158" s="49">
        <f t="shared" si="109"/>
        <v>0.25831974640871358</v>
      </c>
      <c r="AQ158">
        <v>1100</v>
      </c>
      <c r="AR158" s="32">
        <f t="shared" si="110"/>
        <v>0.41195287508777401</v>
      </c>
      <c r="AS158" s="48">
        <v>1600</v>
      </c>
      <c r="AT158" s="27">
        <f t="shared" si="111"/>
        <v>0.59920418194585312</v>
      </c>
      <c r="AU158" s="48">
        <v>0.01</v>
      </c>
      <c r="AV158" s="27">
        <f t="shared" si="112"/>
        <v>3.6796110125501018E-6</v>
      </c>
      <c r="AW158" s="48">
        <v>0.23</v>
      </c>
      <c r="AX158" s="27">
        <f t="shared" si="113"/>
        <v>8.6505414694248097E-5</v>
      </c>
      <c r="AY158" s="48">
        <v>0.06</v>
      </c>
      <c r="AZ158" s="27">
        <f t="shared" si="114"/>
        <v>2.2379978341956443E-5</v>
      </c>
      <c r="BA158" s="48">
        <v>0.02</v>
      </c>
      <c r="BB158" s="27">
        <f t="shared" si="115"/>
        <v>7.4061605790270997E-6</v>
      </c>
      <c r="BC158" s="48">
        <v>1E-3</v>
      </c>
      <c r="BD158" s="27">
        <f t="shared" si="116"/>
        <v>3.7030802895135499E-7</v>
      </c>
      <c r="BE158" s="48">
        <v>1E-3</v>
      </c>
      <c r="BF158" s="27">
        <f t="shared" si="117"/>
        <v>3.6588380716934485E-7</v>
      </c>
      <c r="BG158" s="48">
        <v>2E-3</v>
      </c>
      <c r="BH158" s="27">
        <f t="shared" si="118"/>
        <v>7.3176761433868969E-7</v>
      </c>
      <c r="BI158" s="52">
        <f t="shared" si="119"/>
        <v>1600.3239999999998</v>
      </c>
      <c r="BJ158" s="52">
        <f t="shared" si="120"/>
        <v>0.32400000000000007</v>
      </c>
      <c r="BK158" s="27">
        <f t="shared" si="121"/>
        <v>0.59932562106993137</v>
      </c>
      <c r="BL158" s="27">
        <f t="shared" si="122"/>
        <v>1.2143912407824114E-4</v>
      </c>
      <c r="BM158">
        <v>1600</v>
      </c>
      <c r="BN158">
        <v>35</v>
      </c>
      <c r="BO158" t="s">
        <v>19</v>
      </c>
      <c r="BP158">
        <v>1600</v>
      </c>
      <c r="BQ158">
        <v>77</v>
      </c>
      <c r="BR158">
        <v>28</v>
      </c>
      <c r="BS158">
        <v>1.7</v>
      </c>
      <c r="BT158">
        <v>2.33</v>
      </c>
      <c r="BU158">
        <v>22.7</v>
      </c>
      <c r="BV158">
        <v>-122</v>
      </c>
      <c r="BW158">
        <v>7.11</v>
      </c>
      <c r="BX158">
        <v>1026</v>
      </c>
      <c r="BY158">
        <v>0.1</v>
      </c>
      <c r="BZ158">
        <v>0.01</v>
      </c>
      <c r="CA158" s="32">
        <v>24</v>
      </c>
      <c r="CB158" s="32">
        <f t="shared" si="123"/>
        <v>0.42972247090420768</v>
      </c>
      <c r="CC158" s="32">
        <f t="shared" si="124"/>
        <v>0.42972247090420768</v>
      </c>
      <c r="CD158" s="32">
        <v>4.2</v>
      </c>
      <c r="CE158" s="32">
        <f t="shared" si="125"/>
        <v>7.6460950300382302E-2</v>
      </c>
      <c r="CF158" s="32">
        <f t="shared" si="126"/>
        <v>0.1529219006007646</v>
      </c>
      <c r="CG158" s="27">
        <v>0.5</v>
      </c>
      <c r="CH158" s="27">
        <f t="shared" si="127"/>
        <v>5.2050801582344368E-3</v>
      </c>
      <c r="CI158" s="27">
        <f t="shared" si="128"/>
        <v>4.1640641265875494E-2</v>
      </c>
      <c r="CJ158" s="58">
        <v>139.5</v>
      </c>
      <c r="CK158" s="58">
        <v>99.642857142857139</v>
      </c>
      <c r="CL158" s="58">
        <v>11.617738913179263</v>
      </c>
      <c r="CM158" s="58">
        <v>11.617738913179263</v>
      </c>
      <c r="CN158" s="28">
        <v>139.5</v>
      </c>
      <c r="CO158" s="28">
        <v>99.642857142857139</v>
      </c>
      <c r="CP158" s="28">
        <v>11.617738913179263</v>
      </c>
      <c r="CQ158" s="28">
        <v>11.617738913179263</v>
      </c>
      <c r="CR158" s="32">
        <f t="shared" si="129"/>
        <v>81.091817613991253</v>
      </c>
      <c r="CS158" s="32">
        <v>81.091817613991253</v>
      </c>
      <c r="CT158" s="32">
        <f t="shared" si="130"/>
        <v>105.09181761399125</v>
      </c>
      <c r="CU158" s="32">
        <f t="shared" si="131"/>
        <v>1.881679814037444</v>
      </c>
      <c r="CV158" s="32">
        <f t="shared" si="132"/>
        <v>1.881679814037444</v>
      </c>
      <c r="CW158" s="60">
        <f t="shared" si="133"/>
        <v>81.091817613991253</v>
      </c>
      <c r="CX158" s="60">
        <v>81.091817613991253</v>
      </c>
      <c r="CY158" s="60">
        <f t="shared" si="134"/>
        <v>105.09181761399125</v>
      </c>
      <c r="CZ158" s="60">
        <f t="shared" si="135"/>
        <v>1.881679814037444</v>
      </c>
      <c r="DA158" s="60">
        <f t="shared" si="136"/>
        <v>1.881679814037444</v>
      </c>
      <c r="DB158" s="32">
        <f t="shared" si="137"/>
        <v>4.1640641265875494E-2</v>
      </c>
      <c r="DC158">
        <f t="shared" si="138"/>
        <v>13.652340627817471</v>
      </c>
      <c r="DD158">
        <f t="shared" si="139"/>
        <v>1.1201148928937282E-2</v>
      </c>
      <c r="DE158">
        <f t="shared" si="140"/>
        <v>0.13782836696906078</v>
      </c>
      <c r="DF158">
        <f t="shared" si="141"/>
        <v>0.85097048410200193</v>
      </c>
      <c r="DG158">
        <f t="shared" si="142"/>
        <v>13.652340627817471</v>
      </c>
      <c r="DH158">
        <f t="shared" si="143"/>
        <v>1.1201148928937282E-2</v>
      </c>
      <c r="DI158">
        <f t="shared" si="144"/>
        <v>0.13782836696906078</v>
      </c>
      <c r="DJ158">
        <f t="shared" si="145"/>
        <v>0.85097048410200193</v>
      </c>
      <c r="DK158" s="64">
        <f t="shared" si="146"/>
        <v>-12.982068006320985</v>
      </c>
      <c r="DL158" s="64">
        <f t="shared" si="147"/>
        <v>-12.982068006320985</v>
      </c>
      <c r="DM158" s="64">
        <f t="shared" si="148"/>
        <v>-12.981946567196905</v>
      </c>
      <c r="DN158" s="64">
        <f t="shared" si="149"/>
        <v>-12.981946567196905</v>
      </c>
      <c r="DO158" t="str">
        <f t="shared" si="150"/>
        <v>Sufficient Capacity</v>
      </c>
      <c r="DP158" t="str">
        <f t="shared" si="151"/>
        <v>Sufficient Capacity</v>
      </c>
    </row>
    <row r="159" spans="1:120" ht="15.75" x14ac:dyDescent="0.25">
      <c r="A159" s="6" t="s">
        <v>212</v>
      </c>
      <c r="B159" s="6" t="s">
        <v>212</v>
      </c>
      <c r="C159" s="2" t="s">
        <v>1017</v>
      </c>
      <c r="D159" s="2" t="s">
        <v>601</v>
      </c>
      <c r="E159" s="2" t="s">
        <v>601</v>
      </c>
      <c r="F159" s="2">
        <v>158</v>
      </c>
      <c r="G159" s="2" t="s">
        <v>1016</v>
      </c>
      <c r="H159" s="10" t="s">
        <v>656</v>
      </c>
      <c r="I159" s="2">
        <v>150</v>
      </c>
      <c r="J159" s="2">
        <v>65</v>
      </c>
      <c r="K159" s="2">
        <v>6.1</v>
      </c>
      <c r="L159" t="s">
        <v>384</v>
      </c>
      <c r="M159" s="2" t="s">
        <v>1120</v>
      </c>
      <c r="N159" s="2" t="s">
        <v>437</v>
      </c>
      <c r="O159" s="2" t="s">
        <v>653</v>
      </c>
      <c r="P159" s="2" t="s">
        <v>1124</v>
      </c>
      <c r="Q159" s="9" t="s">
        <v>734</v>
      </c>
      <c r="R159" s="2" t="str">
        <f t="shared" si="101"/>
        <v>CW_3_Section_1</v>
      </c>
      <c r="S159" s="2" t="str">
        <f t="shared" si="102"/>
        <v>CW_3_MF02</v>
      </c>
      <c r="T159" s="11" t="s">
        <v>983</v>
      </c>
      <c r="U159" s="1">
        <v>45883</v>
      </c>
      <c r="V159" s="2" t="s">
        <v>692</v>
      </c>
      <c r="W159" s="2" t="s">
        <v>663</v>
      </c>
      <c r="X159" s="2" t="s">
        <v>982</v>
      </c>
      <c r="Y159" s="2" t="str">
        <f t="shared" si="103"/>
        <v>T6_0.60-0.80</v>
      </c>
      <c r="Z159" t="s">
        <v>53</v>
      </c>
      <c r="AA159">
        <v>9.6</v>
      </c>
      <c r="AB159">
        <v>10</v>
      </c>
      <c r="AC159">
        <v>130</v>
      </c>
      <c r="AD159" s="32">
        <f t="shared" si="104"/>
        <v>4.9929586480604277E-2</v>
      </c>
      <c r="AE159">
        <v>4.9000000000000004</v>
      </c>
      <c r="AF159" s="32">
        <f t="shared" si="105"/>
        <v>1.9144779683090949E-3</v>
      </c>
      <c r="AG159">
        <v>170</v>
      </c>
      <c r="AH159" s="32">
        <f t="shared" si="106"/>
        <v>6.7250635772817174E-2</v>
      </c>
      <c r="AI159">
        <v>36</v>
      </c>
      <c r="AJ159" s="32">
        <f t="shared" si="107"/>
        <v>1.4241311104831874E-2</v>
      </c>
      <c r="AK159">
        <v>16</v>
      </c>
      <c r="AL159" s="32">
        <f t="shared" si="108"/>
        <v>6.3294716021474991E-3</v>
      </c>
      <c r="AM159">
        <v>52</v>
      </c>
      <c r="AO159" s="49">
        <v>356.9</v>
      </c>
      <c r="AP159" s="49">
        <f t="shared" si="109"/>
        <v>0.11909470022173055</v>
      </c>
      <c r="AQ159">
        <v>340</v>
      </c>
      <c r="AR159" s="32">
        <f t="shared" si="110"/>
        <v>0.12733088866349379</v>
      </c>
      <c r="AS159" s="48">
        <v>120</v>
      </c>
      <c r="AT159" s="27">
        <f t="shared" si="111"/>
        <v>4.4940313645938985E-2</v>
      </c>
      <c r="AU159" s="48">
        <v>5.5</v>
      </c>
      <c r="AV159" s="27">
        <f t="shared" si="112"/>
        <v>2.0237860569025561E-3</v>
      </c>
      <c r="AW159" s="48">
        <v>160</v>
      </c>
      <c r="AX159" s="27">
        <f t="shared" si="113"/>
        <v>6.0177679787303026E-2</v>
      </c>
      <c r="AY159" s="48">
        <v>30</v>
      </c>
      <c r="AZ159" s="27">
        <f t="shared" si="114"/>
        <v>1.1189989170978222E-2</v>
      </c>
      <c r="BA159" s="48">
        <v>18</v>
      </c>
      <c r="BB159" s="27">
        <f t="shared" si="115"/>
        <v>6.66554452112439E-3</v>
      </c>
      <c r="BC159" s="48">
        <v>4</v>
      </c>
      <c r="BD159" s="27">
        <f t="shared" si="116"/>
        <v>1.48123211580542E-3</v>
      </c>
      <c r="BE159" s="48">
        <v>1.4</v>
      </c>
      <c r="BF159" s="27">
        <f t="shared" si="117"/>
        <v>5.1223733003708275E-4</v>
      </c>
      <c r="BG159" s="48">
        <v>1.4</v>
      </c>
      <c r="BH159" s="27">
        <f t="shared" si="118"/>
        <v>5.1223733003708275E-4</v>
      </c>
      <c r="BI159" s="52">
        <f t="shared" si="119"/>
        <v>340.29999999999995</v>
      </c>
      <c r="BJ159" s="52">
        <f t="shared" si="120"/>
        <v>220.3</v>
      </c>
      <c r="BK159" s="27">
        <f t="shared" si="121"/>
        <v>0.12750301995812677</v>
      </c>
      <c r="BL159" s="27">
        <f t="shared" si="122"/>
        <v>8.2562706312187775E-2</v>
      </c>
      <c r="BM159">
        <v>850</v>
      </c>
      <c r="BN159">
        <v>1200</v>
      </c>
      <c r="BO159" t="s">
        <v>19</v>
      </c>
      <c r="BP159">
        <v>2100</v>
      </c>
      <c r="BQ159">
        <v>66</v>
      </c>
      <c r="BR159">
        <v>26</v>
      </c>
      <c r="BS159">
        <v>0.8</v>
      </c>
      <c r="BT159">
        <v>0.77</v>
      </c>
      <c r="BU159">
        <v>22.4</v>
      </c>
      <c r="BV159">
        <v>-245</v>
      </c>
      <c r="BW159">
        <v>7.44</v>
      </c>
      <c r="BX159">
        <v>988</v>
      </c>
      <c r="BY159">
        <v>0.2</v>
      </c>
      <c r="BZ159">
        <v>0.01</v>
      </c>
      <c r="CA159" s="32">
        <v>0.4</v>
      </c>
      <c r="CB159" s="32">
        <f t="shared" si="123"/>
        <v>7.162041181736795E-3</v>
      </c>
      <c r="CC159" s="32">
        <f t="shared" si="124"/>
        <v>7.162041181736795E-3</v>
      </c>
      <c r="CD159" s="32">
        <v>1.1000000000000001</v>
      </c>
      <c r="CE159" s="32">
        <f t="shared" si="125"/>
        <v>2.0025486983433462E-2</v>
      </c>
      <c r="CF159" s="32">
        <f t="shared" si="126"/>
        <v>4.0050973966866923E-2</v>
      </c>
      <c r="CG159" s="27">
        <v>110</v>
      </c>
      <c r="CH159" s="27">
        <f t="shared" si="127"/>
        <v>1.1451176348115761</v>
      </c>
      <c r="CI159" s="27">
        <f t="shared" si="128"/>
        <v>9.1609410784926091</v>
      </c>
      <c r="CJ159" s="58">
        <v>30</v>
      </c>
      <c r="CK159" s="58">
        <v>21.428571428571427</v>
      </c>
      <c r="CL159" s="58">
        <v>2.4984384759525295</v>
      </c>
      <c r="CM159" s="58">
        <v>2.4984384759525295</v>
      </c>
      <c r="CN159" s="28">
        <v>30</v>
      </c>
      <c r="CO159" s="28">
        <v>21.428571428571427</v>
      </c>
      <c r="CP159" s="28">
        <v>2.4984384759525295</v>
      </c>
      <c r="CQ159" s="28">
        <v>2.4984384759525295</v>
      </c>
      <c r="CR159" s="32">
        <f t="shared" si="129"/>
        <v>17.439100562148656</v>
      </c>
      <c r="CS159" s="32">
        <v>17.439100562148656</v>
      </c>
      <c r="CT159" s="32">
        <f t="shared" si="130"/>
        <v>17.839100562148655</v>
      </c>
      <c r="CU159" s="32">
        <f t="shared" si="131"/>
        <v>0.31941093217813166</v>
      </c>
      <c r="CV159" s="32">
        <f t="shared" si="132"/>
        <v>0.31941093217813166</v>
      </c>
      <c r="CW159" s="60">
        <f t="shared" si="133"/>
        <v>17.439100562148656</v>
      </c>
      <c r="CX159" s="60">
        <v>17.439100562148656</v>
      </c>
      <c r="CY159" s="60">
        <f t="shared" si="134"/>
        <v>17.839100562148655</v>
      </c>
      <c r="CZ159" s="60">
        <f t="shared" si="135"/>
        <v>0.31941093217813166</v>
      </c>
      <c r="DA159" s="60">
        <f t="shared" si="136"/>
        <v>0.31941093217813166</v>
      </c>
      <c r="DB159" s="32">
        <f t="shared" si="137"/>
        <v>9.1609410784926091</v>
      </c>
      <c r="DC159">
        <f t="shared" si="138"/>
        <v>2.8579003820975282</v>
      </c>
      <c r="DD159">
        <f t="shared" si="139"/>
        <v>1.4014125271039679E-2</v>
      </c>
      <c r="DE159">
        <f t="shared" si="140"/>
        <v>0.11176419380430018</v>
      </c>
      <c r="DF159">
        <f t="shared" si="141"/>
        <v>0.87422168092466013</v>
      </c>
      <c r="DG159">
        <f t="shared" si="142"/>
        <v>2.8579003820975282</v>
      </c>
      <c r="DH159">
        <f t="shared" si="143"/>
        <v>1.4014125271039679E-2</v>
      </c>
      <c r="DI159">
        <f t="shared" si="144"/>
        <v>0.11176419380430018</v>
      </c>
      <c r="DJ159">
        <f t="shared" si="145"/>
        <v>0.87422168092466013</v>
      </c>
      <c r="DK159" s="64">
        <f t="shared" si="146"/>
        <v>-2.6114747932123037</v>
      </c>
      <c r="DL159" s="64">
        <f t="shared" si="147"/>
        <v>-2.6114747932123037</v>
      </c>
      <c r="DM159" s="64">
        <f t="shared" si="148"/>
        <v>-2.528912086900116</v>
      </c>
      <c r="DN159" s="64">
        <f t="shared" si="149"/>
        <v>-2.528912086900116</v>
      </c>
      <c r="DO159" t="str">
        <f t="shared" si="150"/>
        <v>Sufficient Capacity</v>
      </c>
      <c r="DP159" t="str">
        <f t="shared" si="151"/>
        <v>Sufficient Capacity</v>
      </c>
    </row>
    <row r="160" spans="1:120" ht="15.75" x14ac:dyDescent="0.25">
      <c r="A160" s="8" t="s">
        <v>650</v>
      </c>
      <c r="B160" s="8" t="s">
        <v>650</v>
      </c>
      <c r="C160" s="8" t="s">
        <v>1019</v>
      </c>
      <c r="D160" s="8" t="s">
        <v>602</v>
      </c>
      <c r="E160" s="8" t="s">
        <v>602</v>
      </c>
      <c r="F160" s="8">
        <v>159</v>
      </c>
      <c r="G160" s="8" t="s">
        <v>1018</v>
      </c>
      <c r="H160" s="17" t="s">
        <v>656</v>
      </c>
      <c r="I160" s="8">
        <v>150</v>
      </c>
      <c r="J160" s="8">
        <v>65</v>
      </c>
      <c r="K160" s="8">
        <v>21.8</v>
      </c>
      <c r="L160" s="21" t="s">
        <v>1137</v>
      </c>
      <c r="M160" s="8" t="s">
        <v>1120</v>
      </c>
      <c r="N160" s="8" t="s">
        <v>437</v>
      </c>
      <c r="O160" s="8" t="s">
        <v>666</v>
      </c>
      <c r="P160" s="8" t="s">
        <v>1131</v>
      </c>
      <c r="Q160" s="16" t="s">
        <v>737</v>
      </c>
      <c r="R160" s="2" t="str">
        <f t="shared" si="101"/>
        <v>CW_3_Section_2</v>
      </c>
      <c r="S160" s="2" t="str">
        <f t="shared" si="102"/>
        <v>CW_3_MF05</v>
      </c>
      <c r="T160" s="18" t="s">
        <v>983</v>
      </c>
      <c r="U160" s="22">
        <v>45883</v>
      </c>
      <c r="V160" s="8" t="s">
        <v>692</v>
      </c>
      <c r="W160" s="8" t="s">
        <v>655</v>
      </c>
      <c r="X160" s="8" t="s">
        <v>982</v>
      </c>
      <c r="Y160" s="2" t="str">
        <f t="shared" si="103"/>
        <v>T6_0.15-0.30</v>
      </c>
      <c r="Z160" s="21" t="s">
        <v>1138</v>
      </c>
      <c r="AA160" s="21">
        <v>6.3</v>
      </c>
      <c r="AB160" s="21">
        <v>7.1</v>
      </c>
      <c r="AC160" s="21">
        <v>300</v>
      </c>
      <c r="AD160" s="32">
        <f t="shared" si="104"/>
        <v>0.11522212264754833</v>
      </c>
      <c r="AE160" s="21">
        <v>2.9</v>
      </c>
      <c r="AF160" s="32">
        <f t="shared" si="105"/>
        <v>1.1330583894074233E-3</v>
      </c>
      <c r="AG160" s="21">
        <v>57</v>
      </c>
      <c r="AH160" s="32">
        <f t="shared" si="106"/>
        <v>2.2548742582650466E-2</v>
      </c>
      <c r="AI160" s="21">
        <v>17</v>
      </c>
      <c r="AJ160" s="32">
        <f t="shared" si="107"/>
        <v>6.725063577281718E-3</v>
      </c>
      <c r="AK160" s="21">
        <v>5.6</v>
      </c>
      <c r="AL160" s="32">
        <f t="shared" si="108"/>
        <v>2.2153150607516245E-3</v>
      </c>
      <c r="AM160" s="21">
        <v>22.6</v>
      </c>
      <c r="AN160" s="21"/>
      <c r="AO160" s="49">
        <v>382.5</v>
      </c>
      <c r="AP160" s="49">
        <f t="shared" si="109"/>
        <v>0.13890392361960624</v>
      </c>
      <c r="AQ160" s="21">
        <v>57</v>
      </c>
      <c r="AR160" s="32">
        <f t="shared" si="110"/>
        <v>2.134664898182102E-2</v>
      </c>
      <c r="AS160" s="48">
        <v>7.6</v>
      </c>
      <c r="AT160" s="27">
        <f t="shared" si="111"/>
        <v>2.8462198642428024E-3</v>
      </c>
      <c r="AU160" s="48">
        <v>0.01</v>
      </c>
      <c r="AV160" s="27">
        <f t="shared" si="112"/>
        <v>3.6796110125501018E-6</v>
      </c>
      <c r="AW160" s="48">
        <v>19</v>
      </c>
      <c r="AX160" s="27">
        <f t="shared" si="113"/>
        <v>7.1460994747422346E-3</v>
      </c>
      <c r="AY160" s="48">
        <v>4.9000000000000004</v>
      </c>
      <c r="AZ160" s="27">
        <f t="shared" si="114"/>
        <v>1.8276982312597765E-3</v>
      </c>
      <c r="BA160" s="48">
        <v>2.6</v>
      </c>
      <c r="BB160" s="27">
        <f t="shared" si="115"/>
        <v>9.6280087527352302E-4</v>
      </c>
      <c r="BC160" s="48">
        <v>2.2000000000000002</v>
      </c>
      <c r="BD160" s="27">
        <f t="shared" si="116"/>
        <v>8.1467766369298098E-4</v>
      </c>
      <c r="BE160" s="48">
        <v>1.1000000000000001</v>
      </c>
      <c r="BF160" s="27">
        <f t="shared" si="117"/>
        <v>4.0247218788627936E-4</v>
      </c>
      <c r="BG160" s="48">
        <v>0.97</v>
      </c>
      <c r="BH160" s="27">
        <f t="shared" si="118"/>
        <v>3.5490729295426448E-4</v>
      </c>
      <c r="BI160" s="52">
        <f t="shared" si="119"/>
        <v>38.380000000000003</v>
      </c>
      <c r="BJ160" s="52">
        <f t="shared" si="120"/>
        <v>30.780000000000005</v>
      </c>
      <c r="BK160" s="27">
        <f t="shared" si="121"/>
        <v>1.435855520106441E-2</v>
      </c>
      <c r="BL160" s="27">
        <f t="shared" si="122"/>
        <v>1.1512335336821609E-2</v>
      </c>
      <c r="BM160" s="21">
        <v>180</v>
      </c>
      <c r="BN160" s="21">
        <v>340</v>
      </c>
      <c r="BO160" s="21" t="s">
        <v>19</v>
      </c>
      <c r="BP160" s="21">
        <v>520</v>
      </c>
      <c r="BQ160" s="21">
        <v>79</v>
      </c>
      <c r="BR160" s="21">
        <v>34</v>
      </c>
      <c r="BS160" s="21">
        <v>0.41</v>
      </c>
      <c r="BT160" s="23">
        <v>4.6100000000000003</v>
      </c>
      <c r="BU160" s="23">
        <v>12.2</v>
      </c>
      <c r="BV160" s="21">
        <v>-4.9000000000000004</v>
      </c>
      <c r="BW160" s="21">
        <v>6.91</v>
      </c>
      <c r="BX160" s="21">
        <v>688</v>
      </c>
      <c r="BY160" s="21">
        <v>0.1</v>
      </c>
      <c r="BZ160" s="21">
        <v>0.01</v>
      </c>
      <c r="CA160" s="32">
        <v>1.6</v>
      </c>
      <c r="CB160" s="32">
        <f t="shared" si="123"/>
        <v>2.864816472694718E-2</v>
      </c>
      <c r="CC160" s="32">
        <f t="shared" si="124"/>
        <v>2.864816472694718E-2</v>
      </c>
      <c r="CD160" s="32">
        <v>1.5</v>
      </c>
      <c r="CE160" s="32">
        <f t="shared" si="125"/>
        <v>2.7307482250136537E-2</v>
      </c>
      <c r="CF160" s="32">
        <f t="shared" si="126"/>
        <v>5.4614964500273075E-2</v>
      </c>
      <c r="CG160" s="27">
        <v>66</v>
      </c>
      <c r="CH160" s="27">
        <f t="shared" si="127"/>
        <v>0.68707058088694561</v>
      </c>
      <c r="CI160" s="27">
        <f t="shared" si="128"/>
        <v>5.4965646470955649</v>
      </c>
      <c r="CJ160" s="58">
        <v>74</v>
      </c>
      <c r="CK160" s="58">
        <v>52.857142857142861</v>
      </c>
      <c r="CL160" s="58">
        <v>6.1628149073495733</v>
      </c>
      <c r="CM160" s="58">
        <v>6.1628149073495733</v>
      </c>
      <c r="CN160" s="28">
        <v>-65.5</v>
      </c>
      <c r="CO160" s="28">
        <v>-13100</v>
      </c>
      <c r="CP160" s="28">
        <v>-5.4549240058296897</v>
      </c>
      <c r="CR160" s="32">
        <f t="shared" si="129"/>
        <v>43.016448053300017</v>
      </c>
      <c r="CS160" s="32">
        <v>43.016448053300017</v>
      </c>
      <c r="CT160" s="32">
        <f t="shared" si="130"/>
        <v>44.616448053300019</v>
      </c>
      <c r="CU160" s="32">
        <f t="shared" si="131"/>
        <v>0.79886209585138801</v>
      </c>
      <c r="CV160" s="32">
        <f t="shared" si="132"/>
        <v>0.79886209585138801</v>
      </c>
      <c r="CW160" s="60">
        <f t="shared" si="133"/>
        <v>-38.075369560691236</v>
      </c>
      <c r="CY160" s="60">
        <f t="shared" si="134"/>
        <v>1.6</v>
      </c>
      <c r="CZ160" s="60">
        <f t="shared" si="135"/>
        <v>2.864816472694718E-2</v>
      </c>
      <c r="DA160" s="60">
        <f t="shared" si="136"/>
        <v>2.864816472694718E-2</v>
      </c>
      <c r="DB160" s="32">
        <f t="shared" si="137"/>
        <v>5.4965646470955649</v>
      </c>
      <c r="DC160">
        <f t="shared" si="138"/>
        <v>7.0162919677012345</v>
      </c>
      <c r="DD160">
        <f t="shared" si="139"/>
        <v>7.7840210686338802E-3</v>
      </c>
      <c r="DE160">
        <f t="shared" si="140"/>
        <v>0.11385816034008647</v>
      </c>
      <c r="DF160">
        <f t="shared" si="141"/>
        <v>0.87835781859127959</v>
      </c>
      <c r="DG160">
        <f t="shared" si="142"/>
        <v>8.3263129227220262E-2</v>
      </c>
      <c r="DH160">
        <f t="shared" si="143"/>
        <v>0.65593216357785444</v>
      </c>
      <c r="DI160">
        <f t="shared" si="144"/>
        <v>0.34406783642214545</v>
      </c>
      <c r="DJ160">
        <f t="shared" si="145"/>
        <v>0</v>
      </c>
      <c r="DK160" s="64">
        <f t="shared" si="146"/>
        <v>-6.8560413950998074</v>
      </c>
      <c r="DL160" s="64">
        <f t="shared" si="147"/>
        <v>7.6987443374206987E-2</v>
      </c>
      <c r="DM160" s="64">
        <f t="shared" si="148"/>
        <v>-6.8445290597629853</v>
      </c>
      <c r="DN160" s="64">
        <f t="shared" si="149"/>
        <v>8.8499778711028598E-2</v>
      </c>
      <c r="DO160" t="str">
        <f t="shared" si="150"/>
        <v>Sufficient Capacity</v>
      </c>
      <c r="DP160" t="str">
        <f t="shared" si="151"/>
        <v>Insufficient Capacity</v>
      </c>
    </row>
    <row r="161" spans="1:120" ht="15.75" x14ac:dyDescent="0.25">
      <c r="A161" s="6" t="s">
        <v>213</v>
      </c>
      <c r="B161" s="6" t="s">
        <v>213</v>
      </c>
      <c r="C161" s="2" t="s">
        <v>1021</v>
      </c>
      <c r="D161" s="2" t="s">
        <v>603</v>
      </c>
      <c r="E161" s="2" t="s">
        <v>603</v>
      </c>
      <c r="F161" s="2">
        <v>160</v>
      </c>
      <c r="G161" s="2" t="s">
        <v>1020</v>
      </c>
      <c r="H161" s="10" t="s">
        <v>656</v>
      </c>
      <c r="I161" s="2">
        <v>150</v>
      </c>
      <c r="J161" s="2">
        <v>65</v>
      </c>
      <c r="K161" s="2">
        <v>6.7</v>
      </c>
      <c r="L161" t="s">
        <v>385</v>
      </c>
      <c r="M161" s="2" t="s">
        <v>1120</v>
      </c>
      <c r="N161" s="2" t="s">
        <v>437</v>
      </c>
      <c r="O161" s="2" t="s">
        <v>666</v>
      </c>
      <c r="P161" s="2" t="s">
        <v>1132</v>
      </c>
      <c r="Q161" s="9" t="s">
        <v>740</v>
      </c>
      <c r="R161" s="2" t="str">
        <f t="shared" si="101"/>
        <v>CW_3_Section_2</v>
      </c>
      <c r="S161" s="2" t="str">
        <f t="shared" si="102"/>
        <v>CW_3_MF06</v>
      </c>
      <c r="T161" s="11" t="s">
        <v>983</v>
      </c>
      <c r="U161" s="1">
        <v>45883</v>
      </c>
      <c r="V161" s="2" t="s">
        <v>692</v>
      </c>
      <c r="W161" s="2" t="s">
        <v>663</v>
      </c>
      <c r="X161" s="2" t="s">
        <v>982</v>
      </c>
      <c r="Y161" s="2" t="str">
        <f t="shared" si="103"/>
        <v>T6_0.60-0.80</v>
      </c>
      <c r="Z161" t="s">
        <v>57</v>
      </c>
      <c r="AA161">
        <v>0.8</v>
      </c>
      <c r="AB161">
        <v>1.1000000000000001</v>
      </c>
      <c r="AC161">
        <v>4.5999999999999996</v>
      </c>
      <c r="AD161" s="32">
        <f t="shared" si="104"/>
        <v>1.7667392139290744E-3</v>
      </c>
      <c r="AE161">
        <v>0.02</v>
      </c>
      <c r="AF161" s="32">
        <f t="shared" si="105"/>
        <v>7.8141957890167132E-6</v>
      </c>
      <c r="AG161">
        <v>3.8</v>
      </c>
      <c r="AH161" s="32">
        <f t="shared" si="106"/>
        <v>1.5032495055100309E-3</v>
      </c>
      <c r="AI161">
        <v>1.5</v>
      </c>
      <c r="AJ161" s="32">
        <f t="shared" si="107"/>
        <v>5.9338796270132807E-4</v>
      </c>
      <c r="AK161">
        <v>0.8</v>
      </c>
      <c r="AL161" s="32">
        <f t="shared" si="108"/>
        <v>3.1647358010737496E-4</v>
      </c>
      <c r="AM161">
        <v>2.2999999999999998</v>
      </c>
      <c r="AO161" s="49">
        <v>10.84</v>
      </c>
      <c r="AP161" s="49">
        <f t="shared" si="109"/>
        <v>3.2778029152281223E-3</v>
      </c>
      <c r="AQ161">
        <v>11</v>
      </c>
      <c r="AR161" s="32">
        <f t="shared" si="110"/>
        <v>4.1195287508777401E-3</v>
      </c>
      <c r="AS161" s="48">
        <v>2.9</v>
      </c>
      <c r="AT161" s="27">
        <f t="shared" si="111"/>
        <v>1.0860575797768588E-3</v>
      </c>
      <c r="AU161" s="48">
        <v>0.01</v>
      </c>
      <c r="AV161" s="27">
        <f t="shared" si="112"/>
        <v>3.6796110125501018E-6</v>
      </c>
      <c r="AW161" s="48">
        <v>0.11</v>
      </c>
      <c r="AX161" s="27">
        <f t="shared" si="113"/>
        <v>4.1372154853770834E-5</v>
      </c>
      <c r="AY161" s="48">
        <v>5.0000000000000001E-3</v>
      </c>
      <c r="AZ161" s="27">
        <f t="shared" si="114"/>
        <v>1.8649981951630372E-6</v>
      </c>
      <c r="BA161" s="48">
        <v>1E-3</v>
      </c>
      <c r="BB161" s="27">
        <f t="shared" si="115"/>
        <v>3.7030802895135499E-7</v>
      </c>
      <c r="BC161" s="48">
        <v>1E-3</v>
      </c>
      <c r="BD161" s="27">
        <f t="shared" si="116"/>
        <v>3.7030802895135499E-7</v>
      </c>
      <c r="BE161" s="48">
        <v>1E-3</v>
      </c>
      <c r="BF161" s="27">
        <f t="shared" si="117"/>
        <v>3.6588380716934485E-7</v>
      </c>
      <c r="BG161" s="48">
        <v>2E-3</v>
      </c>
      <c r="BH161" s="27">
        <f t="shared" si="118"/>
        <v>7.3176761433868969E-7</v>
      </c>
      <c r="BI161" s="52">
        <f t="shared" si="119"/>
        <v>3.0299999999999989</v>
      </c>
      <c r="BJ161" s="52">
        <f t="shared" si="120"/>
        <v>0.13</v>
      </c>
      <c r="BK161" s="27">
        <f t="shared" si="121"/>
        <v>1.1348126113177536E-3</v>
      </c>
      <c r="BL161" s="27">
        <f t="shared" si="122"/>
        <v>4.8755031540894716E-5</v>
      </c>
      <c r="BM161">
        <v>2.5</v>
      </c>
      <c r="BN161">
        <v>2.5</v>
      </c>
      <c r="BO161" t="s">
        <v>19</v>
      </c>
      <c r="BP161">
        <v>5</v>
      </c>
      <c r="BQ161">
        <v>76</v>
      </c>
      <c r="BR161">
        <v>0.2</v>
      </c>
      <c r="BS161">
        <v>1.4999999999999999E-2</v>
      </c>
      <c r="BT161">
        <v>3.89</v>
      </c>
      <c r="BU161">
        <v>22.8</v>
      </c>
      <c r="BV161">
        <v>-144</v>
      </c>
      <c r="BW161">
        <v>7.08</v>
      </c>
      <c r="BX161">
        <v>1088</v>
      </c>
      <c r="BY161">
        <v>0.2</v>
      </c>
      <c r="BZ161">
        <v>0.01</v>
      </c>
      <c r="CA161" s="32">
        <v>3.8</v>
      </c>
      <c r="CB161" s="32">
        <f t="shared" si="123"/>
        <v>6.8039391226499546E-2</v>
      </c>
      <c r="CC161" s="32">
        <f t="shared" si="124"/>
        <v>6.8039391226499546E-2</v>
      </c>
      <c r="CD161" s="32">
        <v>5.9</v>
      </c>
      <c r="CE161" s="32">
        <f t="shared" si="125"/>
        <v>0.10740943018387039</v>
      </c>
      <c r="CF161" s="32">
        <f t="shared" si="126"/>
        <v>0.21481886036774078</v>
      </c>
      <c r="CG161" s="27">
        <v>46</v>
      </c>
      <c r="CH161" s="27">
        <f t="shared" si="127"/>
        <v>0.47886737455756817</v>
      </c>
      <c r="CI161" s="27">
        <f t="shared" si="128"/>
        <v>3.8309389964605454</v>
      </c>
      <c r="CJ161" s="58">
        <v>94</v>
      </c>
      <c r="CK161" s="58">
        <v>67.142857142857139</v>
      </c>
      <c r="CL161" s="58">
        <v>7.8284405579845924</v>
      </c>
      <c r="CM161" s="58">
        <v>7.8284405579845924</v>
      </c>
      <c r="CN161" s="28">
        <v>64</v>
      </c>
      <c r="CO161" s="28">
        <v>58.18181818181818</v>
      </c>
      <c r="CP161" s="28">
        <v>5.3300020820320633</v>
      </c>
      <c r="CQ161" s="28">
        <v>5.3300020820320633</v>
      </c>
      <c r="CR161" s="32">
        <f t="shared" si="129"/>
        <v>54.642515094732452</v>
      </c>
      <c r="CS161" s="32">
        <v>54.642515094732452</v>
      </c>
      <c r="CT161" s="32">
        <f t="shared" si="130"/>
        <v>58.44251509473245</v>
      </c>
      <c r="CU161" s="32">
        <f t="shared" si="131"/>
        <v>1.0464192496818701</v>
      </c>
      <c r="CV161" s="32">
        <f t="shared" si="132"/>
        <v>1.0464192496818701</v>
      </c>
      <c r="CW161" s="60">
        <f t="shared" si="133"/>
        <v>37.2034145325838</v>
      </c>
      <c r="CX161" s="60">
        <v>37.2034145325838</v>
      </c>
      <c r="CY161" s="60">
        <f t="shared" si="134"/>
        <v>41.003414532583797</v>
      </c>
      <c r="CZ161" s="60">
        <f t="shared" si="135"/>
        <v>0.73417035868547531</v>
      </c>
      <c r="DA161" s="60">
        <f t="shared" si="136"/>
        <v>0.73417035868547531</v>
      </c>
      <c r="DB161" s="32">
        <f t="shared" si="137"/>
        <v>3.8309389964605454</v>
      </c>
      <c r="DC161">
        <f t="shared" si="138"/>
        <v>9.0896786680342032</v>
      </c>
      <c r="DD161">
        <f t="shared" si="139"/>
        <v>2.3633273321662866E-2</v>
      </c>
      <c r="DE161">
        <f t="shared" si="140"/>
        <v>0.11512169878587973</v>
      </c>
      <c r="DF161">
        <f t="shared" si="141"/>
        <v>0.86124502789245738</v>
      </c>
      <c r="DG161">
        <f t="shared" si="142"/>
        <v>6.2789913010852789</v>
      </c>
      <c r="DH161">
        <f t="shared" si="143"/>
        <v>3.4212320111131685E-2</v>
      </c>
      <c r="DI161">
        <f t="shared" si="144"/>
        <v>0.11692488864550253</v>
      </c>
      <c r="DJ161">
        <f t="shared" si="145"/>
        <v>0.84886279124336583</v>
      </c>
      <c r="DK161" s="64">
        <f t="shared" si="146"/>
        <v>-9.0822813363680979</v>
      </c>
      <c r="DL161" s="64">
        <f t="shared" si="147"/>
        <v>-6.2715939694191727</v>
      </c>
      <c r="DM161" s="64">
        <f t="shared" si="148"/>
        <v>-9.082232581336557</v>
      </c>
      <c r="DN161" s="64">
        <f t="shared" si="149"/>
        <v>-6.2715452143876318</v>
      </c>
      <c r="DO161" t="str">
        <f t="shared" si="150"/>
        <v>Sufficient Capacity</v>
      </c>
      <c r="DP161" t="str">
        <f t="shared" si="151"/>
        <v>Sufficient Capacity</v>
      </c>
    </row>
    <row r="162" spans="1:120" ht="15.75" x14ac:dyDescent="0.25">
      <c r="A162" s="6" t="s">
        <v>214</v>
      </c>
      <c r="B162" s="6" t="s">
        <v>214</v>
      </c>
      <c r="C162" s="2" t="s">
        <v>1023</v>
      </c>
      <c r="D162" s="2" t="s">
        <v>604</v>
      </c>
      <c r="E162" s="2" t="s">
        <v>604</v>
      </c>
      <c r="F162" s="2">
        <v>161</v>
      </c>
      <c r="G162" s="2" t="s">
        <v>1022</v>
      </c>
      <c r="H162" s="10" t="s">
        <v>656</v>
      </c>
      <c r="I162" s="2">
        <v>150</v>
      </c>
      <c r="J162" s="2">
        <v>65</v>
      </c>
      <c r="K162" s="2">
        <v>5.5</v>
      </c>
      <c r="L162" t="s">
        <v>389</v>
      </c>
      <c r="M162" s="2" t="s">
        <v>1120</v>
      </c>
      <c r="N162" s="2" t="s">
        <v>437</v>
      </c>
      <c r="O162" s="2" t="s">
        <v>673</v>
      </c>
      <c r="P162" s="2" t="s">
        <v>1127</v>
      </c>
      <c r="Q162" s="9" t="s">
        <v>743</v>
      </c>
      <c r="R162" s="2" t="str">
        <f t="shared" si="101"/>
        <v>CW_3_Section_3</v>
      </c>
      <c r="S162" s="2" t="str">
        <f t="shared" si="102"/>
        <v>CW_3_MF09</v>
      </c>
      <c r="T162" s="11" t="s">
        <v>983</v>
      </c>
      <c r="U162" s="1">
        <v>45884</v>
      </c>
      <c r="V162" s="2" t="s">
        <v>692</v>
      </c>
      <c r="W162" s="2" t="s">
        <v>655</v>
      </c>
      <c r="X162" s="2" t="s">
        <v>982</v>
      </c>
      <c r="Y162" s="2" t="str">
        <f t="shared" si="103"/>
        <v>T6_0.15-0.30</v>
      </c>
      <c r="Z162" t="s">
        <v>59</v>
      </c>
      <c r="AA162">
        <v>9.1999999999999993</v>
      </c>
      <c r="AB162">
        <v>9.6999999999999993</v>
      </c>
      <c r="AC162">
        <v>130</v>
      </c>
      <c r="AD162" s="32">
        <f t="shared" si="104"/>
        <v>4.9929586480604277E-2</v>
      </c>
      <c r="AE162">
        <v>3.7</v>
      </c>
      <c r="AF162" s="32">
        <f t="shared" si="105"/>
        <v>1.4456262209680921E-3</v>
      </c>
      <c r="AG162">
        <v>180</v>
      </c>
      <c r="AH162" s="32">
        <f t="shared" si="106"/>
        <v>7.120655552415936E-2</v>
      </c>
      <c r="AI162">
        <v>22</v>
      </c>
      <c r="AJ162" s="32">
        <f t="shared" si="107"/>
        <v>8.7030234529528114E-3</v>
      </c>
      <c r="AK162">
        <v>2.5</v>
      </c>
      <c r="AL162" s="32">
        <f t="shared" si="108"/>
        <v>9.8897993783554671E-4</v>
      </c>
      <c r="AM162">
        <v>24.5</v>
      </c>
      <c r="AO162" s="49">
        <v>338.2</v>
      </c>
      <c r="AP162" s="49">
        <f t="shared" si="109"/>
        <v>0.12258176822573172</v>
      </c>
      <c r="AQ162">
        <v>170</v>
      </c>
      <c r="AR162" s="32">
        <f t="shared" si="110"/>
        <v>6.3665444331746895E-2</v>
      </c>
      <c r="AS162" s="48">
        <v>210</v>
      </c>
      <c r="AT162" s="27">
        <f t="shared" si="111"/>
        <v>7.8645548880393226E-2</v>
      </c>
      <c r="AU162" s="48">
        <v>1.9</v>
      </c>
      <c r="AV162" s="27">
        <f t="shared" si="112"/>
        <v>6.9912609238451931E-4</v>
      </c>
      <c r="AW162" s="48">
        <v>360</v>
      </c>
      <c r="AX162" s="27">
        <f t="shared" si="113"/>
        <v>0.13539977952143184</v>
      </c>
      <c r="AY162" s="48">
        <v>74</v>
      </c>
      <c r="AZ162" s="27">
        <f t="shared" si="114"/>
        <v>2.7601973288412948E-2</v>
      </c>
      <c r="BA162" s="48">
        <v>52</v>
      </c>
      <c r="BB162" s="27">
        <f t="shared" si="115"/>
        <v>1.9256017505470457E-2</v>
      </c>
      <c r="BC162" s="48">
        <v>3.4</v>
      </c>
      <c r="BD162" s="27">
        <f t="shared" si="116"/>
        <v>1.259047298434607E-3</v>
      </c>
      <c r="BE162" s="48">
        <v>0.56000000000000005</v>
      </c>
      <c r="BF162" s="27">
        <f t="shared" si="117"/>
        <v>2.0489493201483313E-4</v>
      </c>
      <c r="BG162" s="48">
        <v>0.41</v>
      </c>
      <c r="BH162" s="27">
        <f t="shared" si="118"/>
        <v>1.5001236093943138E-4</v>
      </c>
      <c r="BI162" s="52">
        <f t="shared" si="119"/>
        <v>702.26999999999987</v>
      </c>
      <c r="BJ162" s="52">
        <f t="shared" si="120"/>
        <v>492.27</v>
      </c>
      <c r="BK162" s="27">
        <f t="shared" si="121"/>
        <v>0.26321639987948187</v>
      </c>
      <c r="BL162" s="27">
        <f t="shared" si="122"/>
        <v>0.1845708509990886</v>
      </c>
      <c r="BM162">
        <v>500</v>
      </c>
      <c r="BN162">
        <v>960</v>
      </c>
      <c r="BO162" t="s">
        <v>19</v>
      </c>
      <c r="BP162">
        <v>1500</v>
      </c>
      <c r="BQ162">
        <v>68</v>
      </c>
      <c r="BR162">
        <v>24</v>
      </c>
      <c r="BS162">
        <v>0.81</v>
      </c>
      <c r="BT162">
        <v>1.89</v>
      </c>
      <c r="BU162">
        <v>22.7</v>
      </c>
      <c r="BV162">
        <v>-114</v>
      </c>
      <c r="BW162">
        <v>7.22</v>
      </c>
      <c r="BX162">
        <v>1614</v>
      </c>
      <c r="BY162">
        <v>0.2</v>
      </c>
      <c r="BZ162">
        <v>0.01</v>
      </c>
      <c r="CA162" s="32">
        <v>0.3</v>
      </c>
      <c r="CB162" s="32">
        <f t="shared" si="123"/>
        <v>5.3715308863025958E-3</v>
      </c>
      <c r="CC162" s="32">
        <f t="shared" si="124"/>
        <v>5.3715308863025958E-3</v>
      </c>
      <c r="CD162" s="32">
        <v>1.1000000000000001</v>
      </c>
      <c r="CE162" s="32">
        <f t="shared" si="125"/>
        <v>2.0025486983433462E-2</v>
      </c>
      <c r="CF162" s="32">
        <f t="shared" si="126"/>
        <v>4.0050973966866923E-2</v>
      </c>
      <c r="CG162" s="27">
        <v>110</v>
      </c>
      <c r="CH162" s="27">
        <f t="shared" si="127"/>
        <v>1.1451176348115761</v>
      </c>
      <c r="CI162" s="27">
        <f t="shared" si="128"/>
        <v>9.1609410784926091</v>
      </c>
      <c r="CJ162" s="58">
        <v>30</v>
      </c>
      <c r="CK162" s="58">
        <v>21.428571428571427</v>
      </c>
      <c r="CL162" s="58">
        <v>2.4984384759525295</v>
      </c>
      <c r="CM162" s="58">
        <v>2.4984384759525295</v>
      </c>
      <c r="CN162" s="28">
        <v>-44</v>
      </c>
      <c r="CO162" s="28">
        <v>-66.666666666666657</v>
      </c>
      <c r="CP162" s="28">
        <v>-3.6643764313970433</v>
      </c>
      <c r="CR162" s="32">
        <f t="shared" si="129"/>
        <v>17.439100562148656</v>
      </c>
      <c r="CS162" s="32">
        <v>17.439100562148656</v>
      </c>
      <c r="CT162" s="32">
        <f t="shared" si="130"/>
        <v>17.739100562148657</v>
      </c>
      <c r="CU162" s="32">
        <f t="shared" si="131"/>
        <v>0.31762042188269751</v>
      </c>
      <c r="CV162" s="32">
        <f t="shared" si="132"/>
        <v>0.31762042188269751</v>
      </c>
      <c r="CW162" s="60">
        <f t="shared" si="133"/>
        <v>-25.577347491151361</v>
      </c>
      <c r="CY162" s="60">
        <f t="shared" si="134"/>
        <v>0.3</v>
      </c>
      <c r="CZ162" s="60">
        <f t="shared" si="135"/>
        <v>5.3715308863025958E-3</v>
      </c>
      <c r="DA162" s="60">
        <f t="shared" si="136"/>
        <v>5.3715308863025958E-3</v>
      </c>
      <c r="DB162" s="32">
        <f t="shared" si="137"/>
        <v>9.1609410784926091</v>
      </c>
      <c r="DC162">
        <f t="shared" si="138"/>
        <v>2.8561098718020941</v>
      </c>
      <c r="DD162">
        <f t="shared" si="139"/>
        <v>1.4022910799855301E-2</v>
      </c>
      <c r="DE162">
        <f t="shared" si="140"/>
        <v>0.11120735410724637</v>
      </c>
      <c r="DF162">
        <f t="shared" si="141"/>
        <v>0.87476973509289835</v>
      </c>
      <c r="DG162">
        <f t="shared" si="142"/>
        <v>4.5422504853169517E-2</v>
      </c>
      <c r="DH162">
        <f t="shared" si="143"/>
        <v>0.88174296191576551</v>
      </c>
      <c r="DI162">
        <f t="shared" si="144"/>
        <v>0.11825703808423454</v>
      </c>
      <c r="DJ162">
        <f t="shared" si="145"/>
        <v>0</v>
      </c>
      <c r="DK162" s="64">
        <f t="shared" si="146"/>
        <v>-2.6698626592446155</v>
      </c>
      <c r="DL162" s="64">
        <f t="shared" si="147"/>
        <v>0.1408247077043091</v>
      </c>
      <c r="DM162" s="64">
        <f t="shared" si="148"/>
        <v>-2.4852918082455266</v>
      </c>
      <c r="DN162" s="64">
        <f t="shared" si="149"/>
        <v>0.3253955587033977</v>
      </c>
      <c r="DO162" t="str">
        <f t="shared" si="150"/>
        <v>Sufficient Capacity</v>
      </c>
      <c r="DP162" t="str">
        <f t="shared" si="151"/>
        <v>Insufficient Capacity</v>
      </c>
    </row>
    <row r="163" spans="1:120" ht="15.75" x14ac:dyDescent="0.25">
      <c r="A163" s="6" t="s">
        <v>215</v>
      </c>
      <c r="B163" s="6" t="s">
        <v>215</v>
      </c>
      <c r="C163" s="2" t="s">
        <v>1025</v>
      </c>
      <c r="D163" s="2" t="s">
        <v>605</v>
      </c>
      <c r="E163" s="2" t="s">
        <v>605</v>
      </c>
      <c r="F163" s="2">
        <v>162</v>
      </c>
      <c r="G163" s="2" t="s">
        <v>1024</v>
      </c>
      <c r="H163" s="10" t="s">
        <v>656</v>
      </c>
      <c r="I163" s="2">
        <v>150</v>
      </c>
      <c r="J163" s="2">
        <v>65</v>
      </c>
      <c r="K163" s="2">
        <v>20.5</v>
      </c>
      <c r="L163" t="s">
        <v>390</v>
      </c>
      <c r="M163" s="2" t="s">
        <v>1120</v>
      </c>
      <c r="N163" s="2" t="s">
        <v>437</v>
      </c>
      <c r="O163" s="2" t="s">
        <v>673</v>
      </c>
      <c r="P163" s="2" t="s">
        <v>1128</v>
      </c>
      <c r="Q163" s="9" t="s">
        <v>746</v>
      </c>
      <c r="R163" s="2" t="str">
        <f t="shared" si="101"/>
        <v>CW_3_Section_3</v>
      </c>
      <c r="S163" s="2" t="str">
        <f t="shared" si="102"/>
        <v>CW_3_MF10</v>
      </c>
      <c r="T163" s="11" t="s">
        <v>983</v>
      </c>
      <c r="U163" s="1">
        <v>45884</v>
      </c>
      <c r="V163" s="2" t="s">
        <v>692</v>
      </c>
      <c r="W163" s="2" t="s">
        <v>663</v>
      </c>
      <c r="X163" s="2" t="s">
        <v>982</v>
      </c>
      <c r="Y163" s="2" t="str">
        <f t="shared" si="103"/>
        <v>T6_0.60-0.80</v>
      </c>
      <c r="Z163" t="s">
        <v>61</v>
      </c>
      <c r="AA163">
        <v>30</v>
      </c>
      <c r="AB163">
        <v>29</v>
      </c>
      <c r="AC163">
        <v>240</v>
      </c>
      <c r="AD163" s="32">
        <f t="shared" si="104"/>
        <v>9.2177698118038665E-2</v>
      </c>
      <c r="AE163">
        <v>3.1</v>
      </c>
      <c r="AF163" s="32">
        <f t="shared" si="105"/>
        <v>1.2112003472975908E-3</v>
      </c>
      <c r="AG163">
        <v>43</v>
      </c>
      <c r="AH163" s="32">
        <f t="shared" si="106"/>
        <v>1.7010454930771402E-2</v>
      </c>
      <c r="AI163">
        <v>37</v>
      </c>
      <c r="AJ163" s="32">
        <f t="shared" si="107"/>
        <v>1.4636903079966092E-2</v>
      </c>
      <c r="AK163">
        <v>17</v>
      </c>
      <c r="AL163" s="32">
        <f t="shared" si="108"/>
        <v>6.725063577281718E-3</v>
      </c>
      <c r="AM163">
        <v>54</v>
      </c>
      <c r="AO163" s="49">
        <v>340.1</v>
      </c>
      <c r="AP163" s="49">
        <f t="shared" si="109"/>
        <v>0.11039935339610765</v>
      </c>
      <c r="AQ163">
        <v>47</v>
      </c>
      <c r="AR163" s="32">
        <f t="shared" si="110"/>
        <v>1.7601622844659437E-2</v>
      </c>
      <c r="AS163" s="48">
        <v>75</v>
      </c>
      <c r="AT163" s="27">
        <f t="shared" si="111"/>
        <v>2.8087696028711865E-2</v>
      </c>
      <c r="AU163" s="48">
        <v>0.01</v>
      </c>
      <c r="AV163" s="27">
        <f t="shared" si="112"/>
        <v>3.6796110125501018E-6</v>
      </c>
      <c r="AW163" s="48">
        <v>0.01</v>
      </c>
      <c r="AX163" s="27">
        <f t="shared" si="113"/>
        <v>3.7611049867064394E-6</v>
      </c>
      <c r="AY163" s="48">
        <v>5.0000000000000001E-3</v>
      </c>
      <c r="AZ163" s="27">
        <f t="shared" si="114"/>
        <v>1.8649981951630372E-6</v>
      </c>
      <c r="BA163" s="48">
        <v>1E-3</v>
      </c>
      <c r="BB163" s="27">
        <f t="shared" si="115"/>
        <v>3.7030802895135499E-7</v>
      </c>
      <c r="BC163" s="48">
        <v>1E-3</v>
      </c>
      <c r="BD163" s="27">
        <f t="shared" si="116"/>
        <v>3.7030802895135499E-7</v>
      </c>
      <c r="BE163" s="48">
        <v>1E-3</v>
      </c>
      <c r="BF163" s="27">
        <f t="shared" si="117"/>
        <v>3.6588380716934485E-7</v>
      </c>
      <c r="BG163" s="48">
        <v>2E-3</v>
      </c>
      <c r="BH163" s="27">
        <f t="shared" si="118"/>
        <v>7.3176761433868969E-7</v>
      </c>
      <c r="BI163" s="52">
        <f t="shared" si="119"/>
        <v>75.030000000000015</v>
      </c>
      <c r="BJ163" s="52">
        <f t="shared" si="120"/>
        <v>3.0000000000000006E-2</v>
      </c>
      <c r="BK163" s="27">
        <f t="shared" si="121"/>
        <v>2.8098840010385692E-2</v>
      </c>
      <c r="BL163" s="27">
        <f t="shared" si="122"/>
        <v>1.1143981673830322E-5</v>
      </c>
      <c r="BM163">
        <v>65</v>
      </c>
      <c r="BN163">
        <v>2.5</v>
      </c>
      <c r="BO163" t="s">
        <v>19</v>
      </c>
      <c r="BP163">
        <v>75</v>
      </c>
      <c r="BQ163">
        <v>81</v>
      </c>
      <c r="BR163">
        <v>46</v>
      </c>
      <c r="BS163">
        <v>1.2</v>
      </c>
      <c r="BT163">
        <v>1.89</v>
      </c>
      <c r="BU163">
        <v>22.8</v>
      </c>
      <c r="BV163">
        <v>-189</v>
      </c>
      <c r="BW163">
        <v>7.33</v>
      </c>
      <c r="BX163">
        <v>965</v>
      </c>
      <c r="BY163">
        <v>0.2</v>
      </c>
      <c r="BZ163">
        <v>0.01</v>
      </c>
      <c r="CA163" s="32">
        <v>30</v>
      </c>
      <c r="CB163" s="32">
        <f t="shared" si="123"/>
        <v>0.53715308863025957</v>
      </c>
      <c r="CC163" s="32">
        <f t="shared" si="124"/>
        <v>0.53715308863025957</v>
      </c>
      <c r="CD163" s="32">
        <v>7.9</v>
      </c>
      <c r="CE163" s="32">
        <f t="shared" si="125"/>
        <v>0.14381940651738578</v>
      </c>
      <c r="CF163" s="32">
        <f t="shared" si="126"/>
        <v>0.28763881303477157</v>
      </c>
      <c r="CG163" s="27">
        <v>0.5</v>
      </c>
      <c r="CH163" s="27">
        <f t="shared" si="127"/>
        <v>5.2050801582344368E-3</v>
      </c>
      <c r="CI163" s="27">
        <f t="shared" si="128"/>
        <v>4.1640641265875494E-2</v>
      </c>
      <c r="CJ163" s="58">
        <v>139.5</v>
      </c>
      <c r="CK163" s="58">
        <v>99.642857142857139</v>
      </c>
      <c r="CL163" s="58">
        <v>11.617738913179263</v>
      </c>
      <c r="CM163" s="58">
        <v>11.617738913179263</v>
      </c>
      <c r="CN163" s="28">
        <v>45.5</v>
      </c>
      <c r="CO163" s="28">
        <v>98.91304347826086</v>
      </c>
      <c r="CP163" s="28">
        <v>3.7892983551946697</v>
      </c>
      <c r="CQ163" s="28">
        <v>3.7892983551946697</v>
      </c>
      <c r="CR163" s="32">
        <f t="shared" si="129"/>
        <v>81.091817613991253</v>
      </c>
      <c r="CS163" s="32">
        <v>81.091817613991253</v>
      </c>
      <c r="CT163" s="32">
        <f t="shared" si="130"/>
        <v>111.09181761399125</v>
      </c>
      <c r="CU163" s="32">
        <f t="shared" si="131"/>
        <v>1.989110431763496</v>
      </c>
      <c r="CV163" s="32">
        <f t="shared" si="132"/>
        <v>1.989110431763496</v>
      </c>
      <c r="CW163" s="60">
        <f t="shared" si="133"/>
        <v>26.449302519258794</v>
      </c>
      <c r="CX163" s="60">
        <v>26.449302519258794</v>
      </c>
      <c r="CY163" s="60">
        <f t="shared" si="134"/>
        <v>56.449302519258794</v>
      </c>
      <c r="CZ163" s="60">
        <f t="shared" si="135"/>
        <v>1.0107305733081251</v>
      </c>
      <c r="DA163" s="60">
        <f t="shared" si="136"/>
        <v>1.0107305733081251</v>
      </c>
      <c r="DB163" s="32">
        <f t="shared" si="137"/>
        <v>4.1640641265875494E-2</v>
      </c>
      <c r="DC163">
        <f t="shared" si="138"/>
        <v>13.894488157977531</v>
      </c>
      <c r="DD163">
        <f t="shared" si="139"/>
        <v>2.0701648723175422E-2</v>
      </c>
      <c r="DE163">
        <f t="shared" si="140"/>
        <v>0.14315823721951548</v>
      </c>
      <c r="DF163">
        <f t="shared" si="141"/>
        <v>0.83614011405730915</v>
      </c>
      <c r="DG163">
        <f t="shared" si="142"/>
        <v>5.0876677415375662</v>
      </c>
      <c r="DH163">
        <f t="shared" si="143"/>
        <v>5.6536477546751708E-2</v>
      </c>
      <c r="DI163">
        <f t="shared" si="144"/>
        <v>0.19866284998451331</v>
      </c>
      <c r="DJ163">
        <f t="shared" si="145"/>
        <v>0.74480067246873505</v>
      </c>
      <c r="DK163" s="64">
        <f t="shared" si="146"/>
        <v>-13.766487181736764</v>
      </c>
      <c r="DL163" s="64">
        <f t="shared" si="147"/>
        <v>-4.9596667652967987</v>
      </c>
      <c r="DM163" s="64">
        <f t="shared" si="148"/>
        <v>-13.766476037755091</v>
      </c>
      <c r="DN163" s="64">
        <f t="shared" si="149"/>
        <v>-4.9596556213151253</v>
      </c>
      <c r="DO163" t="str">
        <f t="shared" si="150"/>
        <v>Sufficient Capacity</v>
      </c>
      <c r="DP163" t="str">
        <f t="shared" si="151"/>
        <v>Sufficient Capacity</v>
      </c>
    </row>
    <row r="164" spans="1:120" ht="15.75" x14ac:dyDescent="0.25">
      <c r="A164" s="29" t="s">
        <v>216</v>
      </c>
      <c r="B164" s="29" t="s">
        <v>216</v>
      </c>
      <c r="C164" s="29" t="s">
        <v>1027</v>
      </c>
      <c r="D164" s="29" t="s">
        <v>606</v>
      </c>
      <c r="E164" s="29" t="s">
        <v>606</v>
      </c>
      <c r="F164" s="29">
        <v>163</v>
      </c>
      <c r="G164" s="29" t="s">
        <v>1026</v>
      </c>
      <c r="H164" s="30" t="s">
        <v>656</v>
      </c>
      <c r="I164" s="29">
        <v>150</v>
      </c>
      <c r="J164" s="29">
        <v>65</v>
      </c>
      <c r="K164" s="29">
        <v>9.85</v>
      </c>
      <c r="L164" s="32" t="s">
        <v>391</v>
      </c>
      <c r="M164" s="29" t="s">
        <v>1118</v>
      </c>
      <c r="N164" s="29" t="s">
        <v>688</v>
      </c>
      <c r="O164" s="29" t="s">
        <v>687</v>
      </c>
      <c r="P164" s="29" t="s">
        <v>1118</v>
      </c>
      <c r="Q164" s="29" t="s">
        <v>443</v>
      </c>
      <c r="R164" s="2" t="str">
        <f t="shared" si="101"/>
        <v>CW_0_Section_0</v>
      </c>
      <c r="S164" s="2" t="str">
        <f t="shared" si="102"/>
        <v>CW_0_INF</v>
      </c>
      <c r="T164" s="31" t="s">
        <v>1029</v>
      </c>
      <c r="U164" s="33">
        <v>45957</v>
      </c>
      <c r="V164" s="29" t="s">
        <v>752</v>
      </c>
      <c r="W164" s="29" t="s">
        <v>1118</v>
      </c>
      <c r="X164" s="29" t="s">
        <v>1028</v>
      </c>
      <c r="Y164" s="2" t="str">
        <f t="shared" si="103"/>
        <v>T7_INF</v>
      </c>
      <c r="Z164" s="32" t="s">
        <v>27</v>
      </c>
      <c r="AA164" s="32">
        <v>12</v>
      </c>
      <c r="AB164" s="32">
        <v>14</v>
      </c>
      <c r="AC164" s="32">
        <v>520</v>
      </c>
      <c r="AD164" s="32">
        <f t="shared" si="104"/>
        <v>0.19971834592241711</v>
      </c>
      <c r="AE164" s="32">
        <v>81</v>
      </c>
      <c r="AF164" s="32">
        <f t="shared" si="105"/>
        <v>3.1647492945517691E-2</v>
      </c>
      <c r="AG164" s="32">
        <v>660</v>
      </c>
      <c r="AH164" s="32">
        <f t="shared" si="106"/>
        <v>0.26109070358858438</v>
      </c>
      <c r="AI164" s="32">
        <v>260</v>
      </c>
      <c r="AJ164" s="32">
        <f t="shared" si="107"/>
        <v>0.10285391353489687</v>
      </c>
      <c r="AK164" s="32">
        <v>440</v>
      </c>
      <c r="AL164" s="32">
        <f t="shared" si="108"/>
        <v>0.17406046905905623</v>
      </c>
      <c r="AM164" s="32">
        <v>700</v>
      </c>
      <c r="AN164" s="32"/>
      <c r="AO164" s="49">
        <v>1961</v>
      </c>
      <c r="AP164" s="49">
        <f t="shared" si="109"/>
        <v>0.49245654245651915</v>
      </c>
      <c r="AQ164" s="32">
        <v>3700</v>
      </c>
      <c r="AR164" s="32">
        <f t="shared" si="110"/>
        <v>1.3856596707497855</v>
      </c>
      <c r="AS164" s="48">
        <v>8200</v>
      </c>
      <c r="AT164" s="27">
        <f t="shared" si="111"/>
        <v>3.0709214324724976</v>
      </c>
      <c r="AU164" s="48">
        <v>68</v>
      </c>
      <c r="AV164" s="27">
        <f t="shared" si="112"/>
        <v>2.5021354885340692E-2</v>
      </c>
      <c r="AW164" s="48">
        <v>400</v>
      </c>
      <c r="AX164" s="27">
        <f t="shared" si="113"/>
        <v>0.15044419946825757</v>
      </c>
      <c r="AY164" s="48">
        <v>120</v>
      </c>
      <c r="AZ164" s="27">
        <f t="shared" si="114"/>
        <v>4.4759956683912888E-2</v>
      </c>
      <c r="BA164" s="48">
        <v>120</v>
      </c>
      <c r="BB164" s="27">
        <f t="shared" si="115"/>
        <v>4.4436963474162601E-2</v>
      </c>
      <c r="BC164" s="48">
        <v>21</v>
      </c>
      <c r="BD164" s="27">
        <f t="shared" si="116"/>
        <v>7.7764686079784548E-3</v>
      </c>
      <c r="BE164" s="48">
        <v>13</v>
      </c>
      <c r="BF164" s="27">
        <f t="shared" si="117"/>
        <v>4.756489493201484E-3</v>
      </c>
      <c r="BG164" s="48">
        <v>14</v>
      </c>
      <c r="BH164" s="27">
        <f t="shared" si="118"/>
        <v>5.1223733003708284E-3</v>
      </c>
      <c r="BI164" s="52">
        <f t="shared" si="119"/>
        <v>8956</v>
      </c>
      <c r="BJ164" s="52">
        <f t="shared" si="120"/>
        <v>756</v>
      </c>
      <c r="BK164" s="27">
        <f t="shared" si="121"/>
        <v>3.3532392383857226</v>
      </c>
      <c r="BL164" s="27">
        <f t="shared" si="122"/>
        <v>0.28231780591322458</v>
      </c>
      <c r="BM164" s="32">
        <v>8200</v>
      </c>
      <c r="BN164" s="32">
        <v>2500</v>
      </c>
      <c r="BO164" s="32" t="s">
        <v>19</v>
      </c>
      <c r="BP164" s="32">
        <v>11000</v>
      </c>
      <c r="BQ164" s="32">
        <v>76</v>
      </c>
      <c r="BR164" s="32" t="s">
        <v>443</v>
      </c>
      <c r="BS164" s="32">
        <v>0.9</v>
      </c>
      <c r="BT164" s="32" t="s">
        <v>443</v>
      </c>
      <c r="BU164" s="32" t="s">
        <v>443</v>
      </c>
      <c r="BV164" s="32" t="s">
        <v>443</v>
      </c>
      <c r="BW164" s="32" t="s">
        <v>443</v>
      </c>
      <c r="BX164" s="32" t="s">
        <v>443</v>
      </c>
      <c r="BY164" s="32" t="s">
        <v>443</v>
      </c>
      <c r="BZ164" s="32">
        <v>0.1</v>
      </c>
      <c r="CA164" s="32">
        <v>0.02</v>
      </c>
      <c r="CB164" s="32">
        <f t="shared" si="123"/>
        <v>3.5810205908683976E-4</v>
      </c>
      <c r="CC164" s="32">
        <f t="shared" si="124"/>
        <v>3.5810205908683976E-4</v>
      </c>
      <c r="CD164" s="32">
        <v>0.05</v>
      </c>
      <c r="CE164" s="32">
        <f t="shared" si="125"/>
        <v>9.1024940833788468E-4</v>
      </c>
      <c r="CF164" s="32">
        <f t="shared" si="126"/>
        <v>1.8204988166757694E-3</v>
      </c>
      <c r="CG164" s="32">
        <v>25</v>
      </c>
      <c r="CH164" s="32">
        <f t="shared" si="127"/>
        <v>0.26025400791172182</v>
      </c>
      <c r="CI164" s="32">
        <f t="shared" si="128"/>
        <v>2.0820320632937745</v>
      </c>
      <c r="CJ164" s="58">
        <v>0</v>
      </c>
      <c r="CK164" s="58">
        <v>0</v>
      </c>
      <c r="CL164" s="58">
        <v>0</v>
      </c>
      <c r="CM164" s="58">
        <v>0</v>
      </c>
      <c r="CN164" s="28">
        <v>0</v>
      </c>
      <c r="CO164" s="28">
        <v>0</v>
      </c>
      <c r="CP164" s="28">
        <v>0</v>
      </c>
      <c r="CQ164" s="28">
        <v>0</v>
      </c>
      <c r="CR164" s="32">
        <f t="shared" si="129"/>
        <v>0</v>
      </c>
      <c r="CS164" s="32">
        <v>0</v>
      </c>
      <c r="CT164" s="32">
        <f t="shared" si="130"/>
        <v>0.02</v>
      </c>
      <c r="CU164" s="32">
        <f t="shared" si="131"/>
        <v>3.5810205908683976E-4</v>
      </c>
      <c r="CV164" s="32">
        <f t="shared" si="132"/>
        <v>3.5810205908683976E-4</v>
      </c>
      <c r="CW164" s="60">
        <f t="shared" si="133"/>
        <v>0</v>
      </c>
      <c r="CX164" s="60">
        <v>0</v>
      </c>
      <c r="CY164" s="60">
        <f t="shared" si="134"/>
        <v>0.02</v>
      </c>
      <c r="CZ164" s="60">
        <f t="shared" si="135"/>
        <v>3.5810205908683976E-4</v>
      </c>
      <c r="DA164" s="60">
        <f t="shared" si="136"/>
        <v>3.5810205908683976E-4</v>
      </c>
      <c r="DB164" s="32">
        <f t="shared" si="137"/>
        <v>2.0820320632937745</v>
      </c>
      <c r="DC164">
        <f t="shared" si="138"/>
        <v>2.1786008757626093E-3</v>
      </c>
      <c r="DD164">
        <f t="shared" si="139"/>
        <v>0.8356275061344185</v>
      </c>
      <c r="DE164">
        <f t="shared" si="140"/>
        <v>0.16437249386558139</v>
      </c>
      <c r="DF164">
        <f t="shared" si="141"/>
        <v>0</v>
      </c>
      <c r="DG164">
        <f t="shared" si="142"/>
        <v>2.1786008757626093E-3</v>
      </c>
      <c r="DH164">
        <f t="shared" si="143"/>
        <v>0.8356275061344185</v>
      </c>
      <c r="DI164">
        <f t="shared" si="144"/>
        <v>0.16437249386558139</v>
      </c>
      <c r="DJ164">
        <f t="shared" si="145"/>
        <v>0</v>
      </c>
      <c r="DK164" s="64">
        <f t="shared" si="146"/>
        <v>1.8759376123305418</v>
      </c>
      <c r="DL164" s="64">
        <f t="shared" si="147"/>
        <v>1.8759376123305418</v>
      </c>
      <c r="DM164" s="64">
        <f t="shared" si="148"/>
        <v>2.1582554182437663</v>
      </c>
      <c r="DN164" s="64">
        <f t="shared" si="149"/>
        <v>2.1582554182437663</v>
      </c>
      <c r="DO164" t="str">
        <f t="shared" si="150"/>
        <v>Insufficient Capacity</v>
      </c>
      <c r="DP164" t="str">
        <f t="shared" si="151"/>
        <v>Insufficient Capacity</v>
      </c>
    </row>
    <row r="165" spans="1:120" ht="15.75" x14ac:dyDescent="0.25">
      <c r="A165" s="5" t="s">
        <v>217</v>
      </c>
      <c r="B165" s="5" t="s">
        <v>217</v>
      </c>
      <c r="C165" s="2" t="s">
        <v>1031</v>
      </c>
      <c r="D165" s="2" t="s">
        <v>607</v>
      </c>
      <c r="E165" s="2" t="s">
        <v>607</v>
      </c>
      <c r="F165" s="2">
        <v>164</v>
      </c>
      <c r="G165" s="2" t="s">
        <v>1030</v>
      </c>
      <c r="H165" s="10" t="s">
        <v>656</v>
      </c>
      <c r="I165" s="2">
        <v>150</v>
      </c>
      <c r="J165" s="2">
        <v>65</v>
      </c>
      <c r="K165" s="2">
        <v>12.25</v>
      </c>
      <c r="L165" t="s">
        <v>406</v>
      </c>
      <c r="M165" s="2" t="s">
        <v>1119</v>
      </c>
      <c r="N165" s="2" t="s">
        <v>435</v>
      </c>
      <c r="O165" s="2" t="s">
        <v>694</v>
      </c>
      <c r="P165" s="2" t="s">
        <v>1119</v>
      </c>
      <c r="Q165" s="2" t="s">
        <v>443</v>
      </c>
      <c r="R165" s="2" t="str">
        <f t="shared" si="101"/>
        <v>CW_1_Section_5</v>
      </c>
      <c r="S165" s="2" t="str">
        <f t="shared" si="102"/>
        <v>CW_1_EFF</v>
      </c>
      <c r="T165" s="11" t="s">
        <v>1029</v>
      </c>
      <c r="U165" s="1">
        <v>45959</v>
      </c>
      <c r="V165" s="2" t="s">
        <v>752</v>
      </c>
      <c r="W165" s="2" t="s">
        <v>1119</v>
      </c>
      <c r="X165" s="2" t="s">
        <v>1028</v>
      </c>
      <c r="Y165" s="2" t="str">
        <f t="shared" si="103"/>
        <v>T7_EFF</v>
      </c>
      <c r="Z165" t="s">
        <v>18</v>
      </c>
      <c r="AA165">
        <v>9.1</v>
      </c>
      <c r="AB165">
        <v>9.4</v>
      </c>
      <c r="AC165">
        <v>26</v>
      </c>
      <c r="AD165" s="32">
        <f t="shared" si="104"/>
        <v>9.9859172961208557E-3</v>
      </c>
      <c r="AE165">
        <v>0.4</v>
      </c>
      <c r="AF165" s="32">
        <f t="shared" si="105"/>
        <v>1.562839157803343E-4</v>
      </c>
      <c r="AG165">
        <v>6.3</v>
      </c>
      <c r="AH165" s="32">
        <f t="shared" si="106"/>
        <v>2.4922294433455776E-3</v>
      </c>
      <c r="AI165">
        <v>1.6</v>
      </c>
      <c r="AJ165" s="32">
        <f t="shared" si="107"/>
        <v>6.3294716021474991E-4</v>
      </c>
      <c r="AK165">
        <v>0.31</v>
      </c>
      <c r="AL165" s="32">
        <f t="shared" si="108"/>
        <v>1.2263351229160779E-4</v>
      </c>
      <c r="AM165">
        <v>1.91</v>
      </c>
      <c r="AO165" s="49">
        <v>34.61</v>
      </c>
      <c r="AP165" s="49">
        <f t="shared" si="109"/>
        <v>1.2634430655246767E-2</v>
      </c>
      <c r="AQ165">
        <v>6.5</v>
      </c>
      <c r="AR165" s="32">
        <f t="shared" si="110"/>
        <v>2.4342669891550283E-3</v>
      </c>
      <c r="AS165" s="48">
        <v>0.02</v>
      </c>
      <c r="AT165" s="27">
        <f t="shared" si="111"/>
        <v>7.4900522743231651E-6</v>
      </c>
      <c r="AU165" s="48">
        <v>0.17</v>
      </c>
      <c r="AV165" s="27">
        <f t="shared" si="112"/>
        <v>6.2553387213351737E-5</v>
      </c>
      <c r="AW165" s="48">
        <v>6.5</v>
      </c>
      <c r="AX165" s="27">
        <f t="shared" si="113"/>
        <v>2.4447182413591855E-3</v>
      </c>
      <c r="AY165" s="48">
        <v>1.4</v>
      </c>
      <c r="AZ165" s="27">
        <f t="shared" si="114"/>
        <v>5.2219949464565028E-4</v>
      </c>
      <c r="BA165" s="48">
        <v>0.42</v>
      </c>
      <c r="BB165" s="27">
        <f t="shared" si="115"/>
        <v>1.5552937215956909E-4</v>
      </c>
      <c r="BC165" s="48">
        <v>0.06</v>
      </c>
      <c r="BD165" s="27">
        <f t="shared" si="116"/>
        <v>2.22184817370813E-5</v>
      </c>
      <c r="BE165" s="48">
        <v>1E-3</v>
      </c>
      <c r="BF165" s="27">
        <f t="shared" si="117"/>
        <v>3.6588380716934485E-7</v>
      </c>
      <c r="BG165" s="48">
        <v>2E-3</v>
      </c>
      <c r="BH165" s="27">
        <f t="shared" si="118"/>
        <v>7.3176761433868969E-7</v>
      </c>
      <c r="BI165" s="52">
        <f t="shared" si="119"/>
        <v>8.5730000000000004</v>
      </c>
      <c r="BJ165" s="52">
        <f t="shared" si="120"/>
        <v>8.5530000000000008</v>
      </c>
      <c r="BK165" s="27">
        <f t="shared" si="121"/>
        <v>3.215806680810669E-3</v>
      </c>
      <c r="BL165" s="27">
        <f t="shared" si="122"/>
        <v>3.2083166285363455E-3</v>
      </c>
      <c r="BM165">
        <v>2.5</v>
      </c>
      <c r="BN165">
        <v>2.5</v>
      </c>
      <c r="BO165" t="s">
        <v>19</v>
      </c>
      <c r="BP165">
        <v>5</v>
      </c>
      <c r="BQ165">
        <v>58</v>
      </c>
      <c r="BR165" t="s">
        <v>443</v>
      </c>
      <c r="BS165">
        <v>0.23</v>
      </c>
      <c r="BT165">
        <v>4.28</v>
      </c>
      <c r="BU165">
        <v>11</v>
      </c>
      <c r="BV165">
        <v>-123</v>
      </c>
      <c r="BW165">
        <v>7.3</v>
      </c>
      <c r="BX165">
        <v>487</v>
      </c>
      <c r="BY165">
        <v>0.2</v>
      </c>
      <c r="BZ165">
        <v>0.01</v>
      </c>
      <c r="CA165" s="32">
        <v>4.8</v>
      </c>
      <c r="CB165" s="32">
        <f t="shared" si="123"/>
        <v>8.5944494180841532E-2</v>
      </c>
      <c r="CC165" s="32">
        <f t="shared" si="124"/>
        <v>8.5944494180841532E-2</v>
      </c>
      <c r="CD165" s="32">
        <v>1.5</v>
      </c>
      <c r="CE165" s="32">
        <f t="shared" si="125"/>
        <v>2.7307482250136537E-2</v>
      </c>
      <c r="CF165" s="32">
        <f t="shared" si="126"/>
        <v>5.4614964500273075E-2</v>
      </c>
      <c r="CG165" s="27">
        <v>0.5</v>
      </c>
      <c r="CH165" s="27">
        <f t="shared" si="127"/>
        <v>5.2050801582344368E-3</v>
      </c>
      <c r="CI165" s="27">
        <f t="shared" si="128"/>
        <v>4.1640641265875494E-2</v>
      </c>
      <c r="CJ165" s="58">
        <v>24.5</v>
      </c>
      <c r="CK165" s="58">
        <v>98</v>
      </c>
      <c r="CL165" s="58">
        <v>2.0403914220278994</v>
      </c>
      <c r="CM165" s="58">
        <v>2.0403914220278994</v>
      </c>
      <c r="CN165" s="28">
        <v>57.5</v>
      </c>
      <c r="CO165" s="28">
        <v>99.137931034482762</v>
      </c>
      <c r="CP165" s="28">
        <v>4.7886737455756814</v>
      </c>
      <c r="CQ165" s="28">
        <v>4.7886737455756814</v>
      </c>
      <c r="CR165" s="32">
        <f t="shared" si="129"/>
        <v>14.241932125754737</v>
      </c>
      <c r="CS165" s="32">
        <v>14.241932125754737</v>
      </c>
      <c r="CT165" s="32">
        <f t="shared" si="130"/>
        <v>19.041932125754737</v>
      </c>
      <c r="CU165" s="32">
        <f t="shared" si="131"/>
        <v>0.34094775516123071</v>
      </c>
      <c r="CV165" s="32">
        <f t="shared" si="132"/>
        <v>0.34094775516123071</v>
      </c>
      <c r="CW165" s="60">
        <f t="shared" si="133"/>
        <v>33.424942744118255</v>
      </c>
      <c r="CX165" s="60">
        <v>33.424942744118255</v>
      </c>
      <c r="CY165" s="60">
        <f t="shared" si="134"/>
        <v>38.224942744118252</v>
      </c>
      <c r="CZ165" s="60">
        <f t="shared" si="135"/>
        <v>0.68442153525726501</v>
      </c>
      <c r="DA165" s="60">
        <f t="shared" si="136"/>
        <v>0.68442153525726501</v>
      </c>
      <c r="DB165" s="32">
        <f t="shared" si="137"/>
        <v>4.1640641265875494E-2</v>
      </c>
      <c r="DC165">
        <f t="shared" si="138"/>
        <v>2.4359541416894031</v>
      </c>
      <c r="DD165">
        <f t="shared" si="139"/>
        <v>2.2420358234821306E-2</v>
      </c>
      <c r="DE165">
        <f t="shared" si="140"/>
        <v>0.13996476753243547</v>
      </c>
      <c r="DF165">
        <f t="shared" si="141"/>
        <v>0.83761487423274328</v>
      </c>
      <c r="DG165">
        <f t="shared" si="142"/>
        <v>5.5277102453332194</v>
      </c>
      <c r="DH165">
        <f t="shared" si="143"/>
        <v>9.8802147862909178E-3</v>
      </c>
      <c r="DI165">
        <f t="shared" si="144"/>
        <v>0.12381646375822418</v>
      </c>
      <c r="DJ165">
        <f t="shared" si="145"/>
        <v>0.86630332145548494</v>
      </c>
      <c r="DK165" s="64">
        <f t="shared" si="146"/>
        <v>-2.4208854440450014</v>
      </c>
      <c r="DL165" s="64">
        <f t="shared" si="147"/>
        <v>-5.5126415476888173</v>
      </c>
      <c r="DM165" s="64">
        <f t="shared" si="148"/>
        <v>-2.4176771274164648</v>
      </c>
      <c r="DN165" s="64">
        <f t="shared" si="149"/>
        <v>-5.5094332310602816</v>
      </c>
      <c r="DO165" t="str">
        <f t="shared" si="150"/>
        <v>Sufficient Capacity</v>
      </c>
      <c r="DP165" t="str">
        <f t="shared" si="151"/>
        <v>Sufficient Capacity</v>
      </c>
    </row>
    <row r="166" spans="1:120" ht="15.75" x14ac:dyDescent="0.25">
      <c r="A166" s="5" t="s">
        <v>218</v>
      </c>
      <c r="B166" s="5" t="s">
        <v>218</v>
      </c>
      <c r="C166" s="2" t="s">
        <v>1033</v>
      </c>
      <c r="D166" s="2" t="s">
        <v>608</v>
      </c>
      <c r="E166" s="2" t="s">
        <v>608</v>
      </c>
      <c r="F166" s="2">
        <v>165</v>
      </c>
      <c r="G166" s="2" t="s">
        <v>1032</v>
      </c>
      <c r="H166" s="10" t="s">
        <v>656</v>
      </c>
      <c r="I166" s="2">
        <v>150</v>
      </c>
      <c r="J166" s="2">
        <v>65</v>
      </c>
      <c r="K166" s="2">
        <v>16.399999999999999</v>
      </c>
      <c r="L166" t="s">
        <v>407</v>
      </c>
      <c r="M166" s="2" t="s">
        <v>1119</v>
      </c>
      <c r="N166" s="2" t="s">
        <v>436</v>
      </c>
      <c r="O166" s="2" t="s">
        <v>694</v>
      </c>
      <c r="P166" s="2" t="s">
        <v>1119</v>
      </c>
      <c r="Q166" s="2" t="s">
        <v>443</v>
      </c>
      <c r="R166" s="2" t="str">
        <f t="shared" si="101"/>
        <v>CW_2_Section_5</v>
      </c>
      <c r="S166" s="2" t="str">
        <f t="shared" si="102"/>
        <v>CW_2_EFF</v>
      </c>
      <c r="T166" s="11" t="s">
        <v>1029</v>
      </c>
      <c r="U166" s="1">
        <v>45959</v>
      </c>
      <c r="V166" s="2" t="s">
        <v>752</v>
      </c>
      <c r="W166" s="2" t="s">
        <v>1119</v>
      </c>
      <c r="X166" s="2" t="s">
        <v>1028</v>
      </c>
      <c r="Y166" s="2" t="str">
        <f t="shared" si="103"/>
        <v>T7_EFF</v>
      </c>
      <c r="Z166" t="s">
        <v>39</v>
      </c>
      <c r="AA166">
        <v>9.6999999999999993</v>
      </c>
      <c r="AB166">
        <v>10</v>
      </c>
      <c r="AC166">
        <v>36</v>
      </c>
      <c r="AD166" s="32">
        <f t="shared" si="104"/>
        <v>1.38266547177058E-2</v>
      </c>
      <c r="AE166">
        <v>7.2</v>
      </c>
      <c r="AF166" s="32">
        <f t="shared" si="105"/>
        <v>2.813110484046017E-3</v>
      </c>
      <c r="AG166">
        <v>43</v>
      </c>
      <c r="AH166" s="32">
        <f t="shared" si="106"/>
        <v>1.7010454930771402E-2</v>
      </c>
      <c r="AI166">
        <v>12</v>
      </c>
      <c r="AJ166" s="32">
        <f t="shared" si="107"/>
        <v>4.7471037016106245E-3</v>
      </c>
      <c r="AK166">
        <v>6.9</v>
      </c>
      <c r="AL166" s="32">
        <f t="shared" si="108"/>
        <v>2.7295846284261091E-3</v>
      </c>
      <c r="AM166">
        <v>18.899999999999999</v>
      </c>
      <c r="AO166" s="49">
        <v>105.1</v>
      </c>
      <c r="AP166" s="49">
        <f t="shared" si="109"/>
        <v>3.3650220132523223E-2</v>
      </c>
      <c r="AQ166">
        <v>370</v>
      </c>
      <c r="AR166" s="32">
        <f t="shared" si="110"/>
        <v>0.13856596707497854</v>
      </c>
      <c r="AS166" s="48">
        <v>460</v>
      </c>
      <c r="AT166" s="27">
        <f t="shared" si="111"/>
        <v>0.17227120230943277</v>
      </c>
      <c r="AU166" s="48">
        <v>2.7</v>
      </c>
      <c r="AV166" s="27">
        <f t="shared" si="112"/>
        <v>9.9349497338852748E-4</v>
      </c>
      <c r="AW166" s="48">
        <v>65</v>
      </c>
      <c r="AX166" s="27">
        <f t="shared" si="113"/>
        <v>2.4447182413591857E-2</v>
      </c>
      <c r="AY166" s="48">
        <v>14</v>
      </c>
      <c r="AZ166" s="27">
        <f t="shared" si="114"/>
        <v>5.2219949464565032E-3</v>
      </c>
      <c r="BA166" s="48">
        <v>7.4</v>
      </c>
      <c r="BB166" s="27">
        <f t="shared" si="115"/>
        <v>2.7402794142400272E-3</v>
      </c>
      <c r="BC166" s="48">
        <v>1.2</v>
      </c>
      <c r="BD166" s="27">
        <f t="shared" si="116"/>
        <v>4.4436963474162597E-4</v>
      </c>
      <c r="BE166" s="48">
        <v>0.12</v>
      </c>
      <c r="BF166" s="27">
        <f t="shared" si="117"/>
        <v>4.3906056860321379E-5</v>
      </c>
      <c r="BG166" s="48">
        <v>0.08</v>
      </c>
      <c r="BH166" s="27">
        <f t="shared" si="118"/>
        <v>2.9270704573547589E-5</v>
      </c>
      <c r="BI166" s="52">
        <f t="shared" si="119"/>
        <v>550.50000000000011</v>
      </c>
      <c r="BJ166" s="52">
        <f t="shared" si="120"/>
        <v>90.500000000000014</v>
      </c>
      <c r="BK166" s="27">
        <f t="shared" si="121"/>
        <v>0.20619170045328516</v>
      </c>
      <c r="BL166" s="27">
        <f t="shared" si="122"/>
        <v>3.3920498143852409E-2</v>
      </c>
      <c r="BM166">
        <v>2.5</v>
      </c>
      <c r="BN166">
        <v>2.5</v>
      </c>
      <c r="BO166" t="s">
        <v>19</v>
      </c>
      <c r="BP166">
        <v>5</v>
      </c>
      <c r="BQ166">
        <v>59</v>
      </c>
      <c r="BR166" t="s">
        <v>443</v>
      </c>
      <c r="BS166">
        <v>0.54</v>
      </c>
      <c r="BT166">
        <v>6.22</v>
      </c>
      <c r="BU166">
        <v>12</v>
      </c>
      <c r="BV166">
        <v>-85</v>
      </c>
      <c r="BW166">
        <v>7</v>
      </c>
      <c r="BX166">
        <v>832</v>
      </c>
      <c r="BY166">
        <v>0.2</v>
      </c>
      <c r="BZ166">
        <v>0.01</v>
      </c>
      <c r="CA166" s="32">
        <v>6.5</v>
      </c>
      <c r="CB166" s="32">
        <f t="shared" si="123"/>
        <v>0.11638316920322292</v>
      </c>
      <c r="CC166" s="32">
        <f t="shared" si="124"/>
        <v>0.11638316920322292</v>
      </c>
      <c r="CD166" s="32">
        <v>2.9</v>
      </c>
      <c r="CE166" s="32">
        <f t="shared" si="125"/>
        <v>5.2794465683597303E-2</v>
      </c>
      <c r="CF166" s="32">
        <f t="shared" si="126"/>
        <v>0.10558893136719461</v>
      </c>
      <c r="CG166" s="27">
        <v>0.5</v>
      </c>
      <c r="CH166" s="27">
        <f t="shared" si="127"/>
        <v>5.2050801582344368E-3</v>
      </c>
      <c r="CI166" s="27">
        <f t="shared" si="128"/>
        <v>4.1640641265875494E-2</v>
      </c>
      <c r="CJ166" s="58">
        <v>24.5</v>
      </c>
      <c r="CK166" s="58">
        <v>98</v>
      </c>
      <c r="CL166" s="58">
        <v>2.0403914220278994</v>
      </c>
      <c r="CM166" s="58">
        <v>2.0403914220278994</v>
      </c>
      <c r="CN166" s="28">
        <v>5.9</v>
      </c>
      <c r="CO166" s="28">
        <v>92.1875</v>
      </c>
      <c r="CP166" s="28">
        <v>0.49135956693733085</v>
      </c>
      <c r="CQ166" s="28">
        <v>0.49135956693733085</v>
      </c>
      <c r="CR166" s="32">
        <f t="shared" si="129"/>
        <v>14.241932125754737</v>
      </c>
      <c r="CS166" s="32">
        <v>14.241932125754737</v>
      </c>
      <c r="CT166" s="32">
        <f t="shared" si="130"/>
        <v>20.741932125754737</v>
      </c>
      <c r="CU166" s="32">
        <f t="shared" si="131"/>
        <v>0.37138643018361212</v>
      </c>
      <c r="CV166" s="32">
        <f t="shared" si="132"/>
        <v>0.37138643018361212</v>
      </c>
      <c r="CW166" s="60">
        <f t="shared" si="133"/>
        <v>3.4296897772225692</v>
      </c>
      <c r="CX166" s="60">
        <v>3.4296897772225692</v>
      </c>
      <c r="CY166" s="60">
        <f t="shared" si="134"/>
        <v>9.9296897772225687</v>
      </c>
      <c r="CZ166" s="60">
        <f t="shared" si="135"/>
        <v>0.17779211776584725</v>
      </c>
      <c r="DA166" s="60">
        <f t="shared" si="136"/>
        <v>0.17779211776584725</v>
      </c>
      <c r="DB166" s="32">
        <f t="shared" si="137"/>
        <v>4.1640641265875494E-2</v>
      </c>
      <c r="DC166">
        <f t="shared" si="138"/>
        <v>2.5173667835787059</v>
      </c>
      <c r="DD166">
        <f t="shared" si="139"/>
        <v>4.1944198221718271E-2</v>
      </c>
      <c r="DE166">
        <f t="shared" si="140"/>
        <v>0.14752972534882128</v>
      </c>
      <c r="DF166">
        <f t="shared" si="141"/>
        <v>0.81052607642946051</v>
      </c>
      <c r="DG166">
        <f t="shared" si="142"/>
        <v>0.7747406160703727</v>
      </c>
      <c r="DH166">
        <f t="shared" si="143"/>
        <v>0.13628939696328449</v>
      </c>
      <c r="DI166">
        <f t="shared" si="144"/>
        <v>0.22948599063728151</v>
      </c>
      <c r="DJ166">
        <f t="shared" si="145"/>
        <v>0.63422461239943406</v>
      </c>
      <c r="DK166" s="64">
        <f t="shared" si="146"/>
        <v>-2.3451505963712043</v>
      </c>
      <c r="DL166" s="64">
        <f t="shared" si="147"/>
        <v>-0.60252442886287094</v>
      </c>
      <c r="DM166" s="64">
        <f t="shared" si="148"/>
        <v>-2.3112300982273517</v>
      </c>
      <c r="DN166" s="64">
        <f t="shared" si="149"/>
        <v>-0.56860393071901849</v>
      </c>
      <c r="DO166" t="str">
        <f t="shared" si="150"/>
        <v>Sufficient Capacity</v>
      </c>
      <c r="DP166" t="str">
        <f t="shared" si="151"/>
        <v>Sufficient Capacity</v>
      </c>
    </row>
    <row r="167" spans="1:120" ht="15.75" x14ac:dyDescent="0.25">
      <c r="A167" s="5" t="s">
        <v>219</v>
      </c>
      <c r="B167" s="5" t="s">
        <v>219</v>
      </c>
      <c r="C167" s="2" t="s">
        <v>1035</v>
      </c>
      <c r="D167" s="2" t="s">
        <v>609</v>
      </c>
      <c r="E167" s="2" t="s">
        <v>609</v>
      </c>
      <c r="F167" s="2">
        <v>166</v>
      </c>
      <c r="G167" s="2" t="s">
        <v>1034</v>
      </c>
      <c r="H167" s="10" t="s">
        <v>656</v>
      </c>
      <c r="I167" s="2">
        <v>150</v>
      </c>
      <c r="J167" s="2">
        <v>65</v>
      </c>
      <c r="K167" s="2">
        <v>11.9</v>
      </c>
      <c r="L167" t="s">
        <v>410</v>
      </c>
      <c r="M167" s="2" t="s">
        <v>1119</v>
      </c>
      <c r="N167" s="2" t="s">
        <v>437</v>
      </c>
      <c r="O167" s="2" t="s">
        <v>694</v>
      </c>
      <c r="P167" s="2" t="s">
        <v>1119</v>
      </c>
      <c r="Q167" s="2" t="s">
        <v>443</v>
      </c>
      <c r="R167" s="2" t="str">
        <f t="shared" si="101"/>
        <v>CW_3_Section_5</v>
      </c>
      <c r="S167" s="2" t="str">
        <f t="shared" si="102"/>
        <v>CW_3_EFF</v>
      </c>
      <c r="T167" s="11" t="s">
        <v>1029</v>
      </c>
      <c r="U167" s="1">
        <v>45959</v>
      </c>
      <c r="V167" s="2" t="s">
        <v>752</v>
      </c>
      <c r="W167" s="2" t="s">
        <v>1119</v>
      </c>
      <c r="X167" s="2" t="s">
        <v>1028</v>
      </c>
      <c r="Y167" s="2" t="str">
        <f t="shared" si="103"/>
        <v>T7_EFF</v>
      </c>
      <c r="Z167" t="s">
        <v>49</v>
      </c>
      <c r="AA167">
        <v>7.2</v>
      </c>
      <c r="AB167">
        <v>8.1999999999999993</v>
      </c>
      <c r="AC167">
        <v>54</v>
      </c>
      <c r="AD167" s="32">
        <f t="shared" si="104"/>
        <v>2.0739982076558701E-2</v>
      </c>
      <c r="AE167">
        <v>5.8</v>
      </c>
      <c r="AF167" s="32">
        <f t="shared" si="105"/>
        <v>2.2661167788148467E-3</v>
      </c>
      <c r="AG167">
        <v>36</v>
      </c>
      <c r="AH167" s="32">
        <f t="shared" si="106"/>
        <v>1.4241311104831874E-2</v>
      </c>
      <c r="AI167">
        <v>14</v>
      </c>
      <c r="AJ167" s="32">
        <f t="shared" si="107"/>
        <v>5.5382876518790623E-3</v>
      </c>
      <c r="AK167">
        <v>17</v>
      </c>
      <c r="AL167" s="32">
        <f t="shared" si="108"/>
        <v>6.725063577281718E-3</v>
      </c>
      <c r="AM167">
        <v>31</v>
      </c>
      <c r="AO167" s="49">
        <v>126.8</v>
      </c>
      <c r="AP167" s="49">
        <f t="shared" si="109"/>
        <v>3.7247409960205424E-2</v>
      </c>
      <c r="AQ167">
        <v>52</v>
      </c>
      <c r="AR167" s="32">
        <f t="shared" si="110"/>
        <v>1.9474135913240227E-2</v>
      </c>
      <c r="AS167" s="48">
        <v>33</v>
      </c>
      <c r="AT167" s="27">
        <f t="shared" si="111"/>
        <v>1.2358586252633221E-2</v>
      </c>
      <c r="AU167" s="48">
        <v>0.35</v>
      </c>
      <c r="AV167" s="27">
        <f t="shared" si="112"/>
        <v>1.2878638543925355E-4</v>
      </c>
      <c r="AW167" s="48">
        <v>14</v>
      </c>
      <c r="AX167" s="27">
        <f t="shared" si="113"/>
        <v>5.2655469813890146E-3</v>
      </c>
      <c r="AY167" s="48">
        <v>3.5</v>
      </c>
      <c r="AZ167" s="27">
        <f t="shared" si="114"/>
        <v>1.3054987366141258E-3</v>
      </c>
      <c r="BA167" s="48">
        <v>2.7</v>
      </c>
      <c r="BB167" s="27">
        <f t="shared" si="115"/>
        <v>9.9983167816865845E-4</v>
      </c>
      <c r="BC167" s="48">
        <v>0.5</v>
      </c>
      <c r="BD167" s="27">
        <f t="shared" si="116"/>
        <v>1.851540144756775E-4</v>
      </c>
      <c r="BE167" s="48">
        <v>0.06</v>
      </c>
      <c r="BF167" s="27">
        <f t="shared" si="117"/>
        <v>2.1953028430160689E-5</v>
      </c>
      <c r="BG167" s="48">
        <v>0.04</v>
      </c>
      <c r="BH167" s="27">
        <f t="shared" si="118"/>
        <v>1.4635352286773795E-5</v>
      </c>
      <c r="BI167" s="52">
        <f t="shared" si="119"/>
        <v>54.150000000000006</v>
      </c>
      <c r="BJ167" s="52">
        <f t="shared" si="120"/>
        <v>21.15</v>
      </c>
      <c r="BK167" s="27">
        <f t="shared" si="121"/>
        <v>2.0279992429436886E-2</v>
      </c>
      <c r="BL167" s="27">
        <f t="shared" si="122"/>
        <v>7.9214061768036644E-3</v>
      </c>
      <c r="BM167">
        <v>95</v>
      </c>
      <c r="BN167">
        <v>75</v>
      </c>
      <c r="BO167" t="s">
        <v>19</v>
      </c>
      <c r="BP167">
        <v>170</v>
      </c>
      <c r="BQ167">
        <v>49</v>
      </c>
      <c r="BR167" t="s">
        <v>443</v>
      </c>
      <c r="BS167">
        <v>0.26</v>
      </c>
      <c r="BT167">
        <v>0.48</v>
      </c>
      <c r="BU167">
        <v>11</v>
      </c>
      <c r="BV167">
        <v>-121</v>
      </c>
      <c r="BW167">
        <v>7.2</v>
      </c>
      <c r="BX167">
        <v>472</v>
      </c>
      <c r="BY167">
        <v>0.2</v>
      </c>
      <c r="BZ167">
        <v>0.01</v>
      </c>
      <c r="CA167" s="32">
        <v>1</v>
      </c>
      <c r="CB167" s="32">
        <f t="shared" si="123"/>
        <v>1.7905102954341987E-2</v>
      </c>
      <c r="CC167" s="32">
        <f t="shared" si="124"/>
        <v>1.7905102954341987E-2</v>
      </c>
      <c r="CD167" s="32">
        <v>1.1000000000000001</v>
      </c>
      <c r="CE167" s="32">
        <f t="shared" si="125"/>
        <v>2.0025486983433462E-2</v>
      </c>
      <c r="CF167" s="32">
        <f t="shared" si="126"/>
        <v>4.0050973966866923E-2</v>
      </c>
      <c r="CG167" s="27">
        <v>12</v>
      </c>
      <c r="CH167" s="27">
        <f t="shared" si="127"/>
        <v>0.12492192379762648</v>
      </c>
      <c r="CI167" s="27">
        <f t="shared" si="128"/>
        <v>0.99937539038101186</v>
      </c>
      <c r="CJ167" s="58">
        <v>13</v>
      </c>
      <c r="CK167" s="58">
        <v>52</v>
      </c>
      <c r="CL167" s="58">
        <v>1.0826566729127629</v>
      </c>
      <c r="CM167" s="58">
        <v>1.0826566729127629</v>
      </c>
      <c r="CN167" s="28">
        <v>44</v>
      </c>
      <c r="CO167" s="28">
        <v>78.571428571428569</v>
      </c>
      <c r="CP167" s="28">
        <v>3.6643764313970433</v>
      </c>
      <c r="CQ167" s="28">
        <v>3.6643764313970433</v>
      </c>
      <c r="CR167" s="32">
        <f t="shared" si="129"/>
        <v>7.5569435769310846</v>
      </c>
      <c r="CS167" s="32">
        <v>7.5569435769310846</v>
      </c>
      <c r="CT167" s="32">
        <f t="shared" si="130"/>
        <v>8.5569435769310846</v>
      </c>
      <c r="CU167" s="32">
        <f t="shared" si="131"/>
        <v>0.15321295571944646</v>
      </c>
      <c r="CV167" s="32">
        <f t="shared" si="132"/>
        <v>0.15321295571944646</v>
      </c>
      <c r="CW167" s="60">
        <f t="shared" si="133"/>
        <v>25.577347491151361</v>
      </c>
      <c r="CX167" s="60">
        <v>25.577347491151361</v>
      </c>
      <c r="CY167" s="60">
        <f t="shared" si="134"/>
        <v>26.577347491151361</v>
      </c>
      <c r="CZ167" s="60">
        <f t="shared" si="135"/>
        <v>0.47587014308238784</v>
      </c>
      <c r="DA167" s="60">
        <f t="shared" si="136"/>
        <v>0.47587014308238784</v>
      </c>
      <c r="DB167" s="32">
        <f t="shared" si="137"/>
        <v>0.99937539038101186</v>
      </c>
      <c r="DC167">
        <f t="shared" si="138"/>
        <v>1.2759206025990764</v>
      </c>
      <c r="DD167">
        <f t="shared" si="139"/>
        <v>3.1389863824819716E-2</v>
      </c>
      <c r="DE167">
        <f t="shared" si="140"/>
        <v>0.12008032114799976</v>
      </c>
      <c r="DF167">
        <f t="shared" si="141"/>
        <v>0.8485298150271805</v>
      </c>
      <c r="DG167">
        <f t="shared" si="142"/>
        <v>4.1802975484462976</v>
      </c>
      <c r="DH167">
        <f t="shared" si="143"/>
        <v>9.5808907147656927E-3</v>
      </c>
      <c r="DI167">
        <f t="shared" si="144"/>
        <v>0.11383642852391113</v>
      </c>
      <c r="DJ167">
        <f t="shared" si="145"/>
        <v>0.87658268076132329</v>
      </c>
      <c r="DK167" s="64">
        <f t="shared" si="146"/>
        <v>-1.2191990567256308</v>
      </c>
      <c r="DL167" s="64">
        <f t="shared" si="147"/>
        <v>-4.1235760025728521</v>
      </c>
      <c r="DM167" s="64">
        <f t="shared" si="148"/>
        <v>-1.211277650548827</v>
      </c>
      <c r="DN167" s="64">
        <f t="shared" si="149"/>
        <v>-4.1156545963960482</v>
      </c>
      <c r="DO167" t="str">
        <f t="shared" si="150"/>
        <v>Sufficient Capacity</v>
      </c>
      <c r="DP167" t="str">
        <f t="shared" si="151"/>
        <v>Sufficient Capacity</v>
      </c>
    </row>
    <row r="168" spans="1:120" ht="15.75" x14ac:dyDescent="0.25">
      <c r="A168" s="5" t="s">
        <v>220</v>
      </c>
      <c r="B168" s="5" t="s">
        <v>220</v>
      </c>
      <c r="C168" s="2" t="s">
        <v>1037</v>
      </c>
      <c r="D168" s="2" t="s">
        <v>610</v>
      </c>
      <c r="E168" s="2" t="s">
        <v>610</v>
      </c>
      <c r="F168" s="2">
        <v>167</v>
      </c>
      <c r="G168" s="2" t="s">
        <v>1036</v>
      </c>
      <c r="H168" s="10" t="s">
        <v>656</v>
      </c>
      <c r="I168" s="2">
        <v>150</v>
      </c>
      <c r="J168" s="2">
        <v>65</v>
      </c>
      <c r="K168" s="2">
        <v>8.75</v>
      </c>
      <c r="L168" t="s">
        <v>392</v>
      </c>
      <c r="M168" s="2" t="s">
        <v>1120</v>
      </c>
      <c r="N168" s="2" t="s">
        <v>435</v>
      </c>
      <c r="O168" s="2" t="s">
        <v>653</v>
      </c>
      <c r="P168" s="2" t="s">
        <v>1123</v>
      </c>
      <c r="Q168" s="9" t="s">
        <v>654</v>
      </c>
      <c r="R168" s="2" t="str">
        <f t="shared" si="101"/>
        <v>CW_1_Section_1</v>
      </c>
      <c r="S168" s="2" t="str">
        <f t="shared" si="102"/>
        <v>CW_1_MF01</v>
      </c>
      <c r="T168" s="11" t="s">
        <v>1029</v>
      </c>
      <c r="U168" s="1">
        <v>45957</v>
      </c>
      <c r="V168" s="2" t="s">
        <v>752</v>
      </c>
      <c r="W168" s="2" t="s">
        <v>655</v>
      </c>
      <c r="X168" s="2" t="s">
        <v>1028</v>
      </c>
      <c r="Y168" s="2" t="str">
        <f t="shared" si="103"/>
        <v>T7_0.15-0.30</v>
      </c>
      <c r="Z168" t="s">
        <v>29</v>
      </c>
      <c r="AA168">
        <v>10</v>
      </c>
      <c r="AB168">
        <v>11</v>
      </c>
      <c r="AC168">
        <v>480</v>
      </c>
      <c r="AD168" s="32">
        <f t="shared" si="104"/>
        <v>0.18435539623607733</v>
      </c>
      <c r="AE168">
        <v>0.1</v>
      </c>
      <c r="AF168" s="32">
        <f t="shared" si="105"/>
        <v>3.9070978945083576E-5</v>
      </c>
      <c r="AG168">
        <v>27</v>
      </c>
      <c r="AH168" s="32">
        <f t="shared" si="106"/>
        <v>1.0680983328623906E-2</v>
      </c>
      <c r="AI168">
        <v>5.0999999999999996</v>
      </c>
      <c r="AJ168" s="32">
        <f t="shared" si="107"/>
        <v>2.017519073184515E-3</v>
      </c>
      <c r="AK168">
        <v>0.2</v>
      </c>
      <c r="AL168" s="32">
        <f t="shared" si="108"/>
        <v>7.9118395026843739E-5</v>
      </c>
      <c r="AM168">
        <v>6.5</v>
      </c>
      <c r="AO168" s="49">
        <v>514.20000000000005</v>
      </c>
      <c r="AP168" s="49">
        <f t="shared" si="109"/>
        <v>0.19507545054364633</v>
      </c>
      <c r="AQ168">
        <v>280</v>
      </c>
      <c r="AR168" s="32">
        <f t="shared" si="110"/>
        <v>0.1048607318405243</v>
      </c>
      <c r="AS168" s="48">
        <v>4</v>
      </c>
      <c r="AT168" s="27">
        <f t="shared" si="111"/>
        <v>1.4980104548646326E-3</v>
      </c>
      <c r="AU168" s="48">
        <v>2</v>
      </c>
      <c r="AV168" s="27">
        <f t="shared" si="112"/>
        <v>7.3592220251002033E-4</v>
      </c>
      <c r="AW168" s="48">
        <v>44</v>
      </c>
      <c r="AX168" s="27">
        <f t="shared" si="113"/>
        <v>1.6548861941508335E-2</v>
      </c>
      <c r="AY168" s="48">
        <v>0.43</v>
      </c>
      <c r="AZ168" s="27">
        <f t="shared" si="114"/>
        <v>1.6038984478402118E-4</v>
      </c>
      <c r="BA168" s="48">
        <v>0.11</v>
      </c>
      <c r="BB168" s="27">
        <f t="shared" si="115"/>
        <v>4.0733883184649049E-5</v>
      </c>
      <c r="BC168" s="48">
        <v>0.02</v>
      </c>
      <c r="BD168" s="27">
        <f t="shared" si="116"/>
        <v>7.4061605790270997E-6</v>
      </c>
      <c r="BE168" s="48">
        <v>0.01</v>
      </c>
      <c r="BF168" s="27">
        <f t="shared" si="117"/>
        <v>3.6588380716934487E-6</v>
      </c>
      <c r="BG168" s="48">
        <v>2E-3</v>
      </c>
      <c r="BH168" s="27">
        <f t="shared" si="118"/>
        <v>7.3176761433868969E-7</v>
      </c>
      <c r="BI168" s="52">
        <f t="shared" si="119"/>
        <v>50.572000000000003</v>
      </c>
      <c r="BJ168" s="52">
        <f t="shared" si="120"/>
        <v>46.572000000000003</v>
      </c>
      <c r="BK168" s="27">
        <f t="shared" si="121"/>
        <v>1.8995715093116712E-2</v>
      </c>
      <c r="BL168" s="27">
        <f t="shared" si="122"/>
        <v>1.7497704638252079E-2</v>
      </c>
      <c r="BM168">
        <v>730</v>
      </c>
      <c r="BN168">
        <v>310</v>
      </c>
      <c r="BO168" t="s">
        <v>19</v>
      </c>
      <c r="BP168">
        <v>1000</v>
      </c>
      <c r="BQ168">
        <v>69</v>
      </c>
      <c r="BR168" t="s">
        <v>443</v>
      </c>
      <c r="BS168">
        <v>0.56999999999999995</v>
      </c>
      <c r="BT168">
        <v>3.17</v>
      </c>
      <c r="BU168">
        <v>10</v>
      </c>
      <c r="BV168">
        <v>-192</v>
      </c>
      <c r="BW168">
        <v>7.4</v>
      </c>
      <c r="BX168">
        <v>796</v>
      </c>
      <c r="BY168">
        <v>0.1</v>
      </c>
      <c r="BZ168">
        <v>0.01</v>
      </c>
      <c r="CA168" s="32">
        <v>0.8</v>
      </c>
      <c r="CB168" s="32">
        <f t="shared" si="123"/>
        <v>1.432408236347359E-2</v>
      </c>
      <c r="CC168" s="32">
        <f t="shared" si="124"/>
        <v>1.432408236347359E-2</v>
      </c>
      <c r="CD168" s="32">
        <v>0.7</v>
      </c>
      <c r="CE168" s="32">
        <f t="shared" si="125"/>
        <v>1.2743491716730383E-2</v>
      </c>
      <c r="CF168" s="32">
        <f t="shared" si="126"/>
        <v>2.5486983433460765E-2</v>
      </c>
      <c r="CG168" s="27">
        <v>36</v>
      </c>
      <c r="CH168" s="27">
        <f t="shared" si="127"/>
        <v>0.37476577139287942</v>
      </c>
      <c r="CI168" s="27">
        <f t="shared" si="128"/>
        <v>2.9981261711430354</v>
      </c>
      <c r="CJ168" s="58">
        <v>-11</v>
      </c>
      <c r="CK168" s="58">
        <v>-44</v>
      </c>
      <c r="CL168" s="58">
        <v>-0.91609410784926082</v>
      </c>
      <c r="CN168" s="28">
        <v>-11</v>
      </c>
      <c r="CO168" s="28">
        <v>-44</v>
      </c>
      <c r="CP168" s="28">
        <v>-0.91609410784926082</v>
      </c>
      <c r="CR168" s="32">
        <f t="shared" si="129"/>
        <v>-6.3943368727878402</v>
      </c>
      <c r="CS168" s="32">
        <v>0</v>
      </c>
      <c r="CT168" s="32">
        <f t="shared" si="130"/>
        <v>0.8</v>
      </c>
      <c r="CU168" s="32">
        <f t="shared" si="131"/>
        <v>1.432408236347359E-2</v>
      </c>
      <c r="CV168" s="32">
        <f t="shared" si="132"/>
        <v>1.432408236347359E-2</v>
      </c>
      <c r="CW168" s="60">
        <f t="shared" si="133"/>
        <v>-6.3943368727878402</v>
      </c>
      <c r="CY168" s="60">
        <f t="shared" si="134"/>
        <v>0.8</v>
      </c>
      <c r="CZ168" s="60">
        <f t="shared" si="135"/>
        <v>1.432408236347359E-2</v>
      </c>
      <c r="DA168" s="60">
        <f t="shared" si="136"/>
        <v>1.432408236347359E-2</v>
      </c>
      <c r="DB168" s="32">
        <f t="shared" si="137"/>
        <v>2.9981261711430354</v>
      </c>
      <c r="DC168">
        <f t="shared" si="138"/>
        <v>3.9811065796934358E-2</v>
      </c>
      <c r="DD168">
        <f t="shared" si="139"/>
        <v>0.640198470532366</v>
      </c>
      <c r="DE168">
        <f t="shared" si="140"/>
        <v>0.35980152946763388</v>
      </c>
      <c r="DF168">
        <f t="shared" si="141"/>
        <v>0</v>
      </c>
      <c r="DG168">
        <f t="shared" si="142"/>
        <v>3.9811065796934358E-2</v>
      </c>
      <c r="DH168">
        <f t="shared" si="143"/>
        <v>0.640198470532366</v>
      </c>
      <c r="DI168">
        <f t="shared" si="144"/>
        <v>0.35980152946763388</v>
      </c>
      <c r="DJ168">
        <f t="shared" si="145"/>
        <v>0</v>
      </c>
      <c r="DK168" s="64">
        <f t="shared" si="146"/>
        <v>0.26012511658723625</v>
      </c>
      <c r="DL168" s="64">
        <f t="shared" si="147"/>
        <v>0.26012511658723625</v>
      </c>
      <c r="DM168" s="64">
        <f t="shared" si="148"/>
        <v>0.27762282122548831</v>
      </c>
      <c r="DN168" s="64">
        <f t="shared" si="149"/>
        <v>0.27762282122548831</v>
      </c>
      <c r="DO168" t="str">
        <f t="shared" si="150"/>
        <v>Insufficient Capacity</v>
      </c>
      <c r="DP168" t="str">
        <f t="shared" si="151"/>
        <v>Insufficient Capacity</v>
      </c>
    </row>
    <row r="169" spans="1:120" ht="15.75" x14ac:dyDescent="0.25">
      <c r="A169" s="5" t="s">
        <v>221</v>
      </c>
      <c r="B169" s="5" t="s">
        <v>221</v>
      </c>
      <c r="C169" s="2" t="s">
        <v>1039</v>
      </c>
      <c r="D169" s="2" t="s">
        <v>611</v>
      </c>
      <c r="E169" s="2" t="s">
        <v>611</v>
      </c>
      <c r="F169" s="2">
        <v>168</v>
      </c>
      <c r="G169" s="2" t="s">
        <v>1038</v>
      </c>
      <c r="H169" s="10" t="s">
        <v>656</v>
      </c>
      <c r="I169" s="2">
        <v>150</v>
      </c>
      <c r="J169" s="2">
        <v>65</v>
      </c>
      <c r="K169" s="2">
        <v>4.1500000000000004</v>
      </c>
      <c r="L169" t="s">
        <v>393</v>
      </c>
      <c r="M169" s="2" t="s">
        <v>1120</v>
      </c>
      <c r="N169" s="2" t="s">
        <v>435</v>
      </c>
      <c r="O169" s="2" t="s">
        <v>653</v>
      </c>
      <c r="P169" s="2" t="s">
        <v>1124</v>
      </c>
      <c r="Q169" s="9" t="s">
        <v>662</v>
      </c>
      <c r="R169" s="2" t="str">
        <f t="shared" si="101"/>
        <v>CW_1_Section_1</v>
      </c>
      <c r="S169" s="2" t="str">
        <f t="shared" si="102"/>
        <v>CW_1_MF02</v>
      </c>
      <c r="T169" s="11" t="s">
        <v>1029</v>
      </c>
      <c r="U169" s="1">
        <v>45957</v>
      </c>
      <c r="V169" s="2" t="s">
        <v>752</v>
      </c>
      <c r="W169" s="2" t="s">
        <v>663</v>
      </c>
      <c r="X169" s="2" t="s">
        <v>1028</v>
      </c>
      <c r="Y169" s="2" t="str">
        <f t="shared" si="103"/>
        <v>T7_0.60-0.80</v>
      </c>
      <c r="Z169" t="s">
        <v>31</v>
      </c>
      <c r="AA169">
        <v>10</v>
      </c>
      <c r="AB169">
        <v>11</v>
      </c>
      <c r="AC169">
        <v>750</v>
      </c>
      <c r="AD169" s="32">
        <f t="shared" si="104"/>
        <v>0.2880553066188708</v>
      </c>
      <c r="AE169">
        <v>95</v>
      </c>
      <c r="AF169" s="32">
        <f t="shared" si="105"/>
        <v>3.7117429997829396E-2</v>
      </c>
      <c r="AG169">
        <v>590</v>
      </c>
      <c r="AH169" s="32">
        <f t="shared" si="106"/>
        <v>0.23339926532918903</v>
      </c>
      <c r="AI169">
        <v>240</v>
      </c>
      <c r="AJ169" s="32">
        <f t="shared" si="107"/>
        <v>9.4942074032212498E-2</v>
      </c>
      <c r="AK169">
        <v>320</v>
      </c>
      <c r="AL169" s="32">
        <f t="shared" si="108"/>
        <v>0.12658943204294998</v>
      </c>
      <c r="AM169">
        <v>560</v>
      </c>
      <c r="AO169" s="49">
        <v>1995</v>
      </c>
      <c r="AP169" s="49">
        <f t="shared" si="109"/>
        <v>0.5585720019458893</v>
      </c>
      <c r="AQ169">
        <v>1500</v>
      </c>
      <c r="AR169" s="32">
        <f t="shared" si="110"/>
        <v>0.56175392057423734</v>
      </c>
      <c r="AS169" s="48">
        <v>1700</v>
      </c>
      <c r="AT169" s="27">
        <f t="shared" si="111"/>
        <v>0.63665444331746901</v>
      </c>
      <c r="AU169" s="48">
        <v>3.9</v>
      </c>
      <c r="AV169" s="27">
        <f t="shared" si="112"/>
        <v>1.4350482948945395E-3</v>
      </c>
      <c r="AW169" s="48">
        <v>140</v>
      </c>
      <c r="AX169" s="27">
        <f t="shared" si="113"/>
        <v>5.2655469813890153E-2</v>
      </c>
      <c r="AY169" s="48">
        <v>35</v>
      </c>
      <c r="AZ169" s="27">
        <f t="shared" si="114"/>
        <v>1.3054987366141258E-2</v>
      </c>
      <c r="BA169" s="48">
        <v>31</v>
      </c>
      <c r="BB169" s="27">
        <f t="shared" si="115"/>
        <v>1.1479548897492003E-2</v>
      </c>
      <c r="BC169" s="48">
        <v>5.4</v>
      </c>
      <c r="BD169" s="27">
        <f t="shared" si="116"/>
        <v>1.9996633563373169E-3</v>
      </c>
      <c r="BE169" s="48">
        <v>1.1000000000000001</v>
      </c>
      <c r="BF169" s="27">
        <f t="shared" si="117"/>
        <v>4.0247218788627936E-4</v>
      </c>
      <c r="BG169" s="48">
        <v>1</v>
      </c>
      <c r="BH169" s="27">
        <f t="shared" si="118"/>
        <v>3.6588380716934482E-4</v>
      </c>
      <c r="BI169" s="52">
        <f t="shared" si="119"/>
        <v>1917.4</v>
      </c>
      <c r="BJ169" s="52">
        <f t="shared" si="120"/>
        <v>217.4</v>
      </c>
      <c r="BK169" s="27">
        <f t="shared" si="121"/>
        <v>0.71804751704127989</v>
      </c>
      <c r="BL169" s="27">
        <f t="shared" si="122"/>
        <v>8.1393073723810896E-2</v>
      </c>
      <c r="BM169">
        <v>2100</v>
      </c>
      <c r="BN169">
        <v>780</v>
      </c>
      <c r="BO169" t="s">
        <v>19</v>
      </c>
      <c r="BP169">
        <v>2900</v>
      </c>
      <c r="BQ169">
        <v>74</v>
      </c>
      <c r="BR169" t="s">
        <v>443</v>
      </c>
      <c r="BS169">
        <v>0.72</v>
      </c>
      <c r="BT169">
        <v>0.72</v>
      </c>
      <c r="BU169">
        <v>11</v>
      </c>
      <c r="BV169">
        <v>-244</v>
      </c>
      <c r="BW169">
        <v>7.6</v>
      </c>
      <c r="BX169">
        <v>812</v>
      </c>
      <c r="BY169">
        <v>0.2</v>
      </c>
      <c r="BZ169">
        <v>0.3</v>
      </c>
      <c r="CA169" s="32">
        <v>0.5</v>
      </c>
      <c r="CB169" s="32">
        <f t="shared" si="123"/>
        <v>8.9525514771709933E-3</v>
      </c>
      <c r="CC169" s="32">
        <f t="shared" si="124"/>
        <v>8.9525514771709933E-3</v>
      </c>
      <c r="CD169" s="32">
        <v>1</v>
      </c>
      <c r="CE169" s="32">
        <f t="shared" si="125"/>
        <v>1.8204988166757693E-2</v>
      </c>
      <c r="CF169" s="32">
        <f t="shared" si="126"/>
        <v>3.6409976333515386E-2</v>
      </c>
      <c r="CG169" s="27">
        <v>24</v>
      </c>
      <c r="CH169" s="27">
        <f t="shared" si="127"/>
        <v>0.24984384759525297</v>
      </c>
      <c r="CI169" s="27">
        <f t="shared" si="128"/>
        <v>1.9987507807620237</v>
      </c>
      <c r="CJ169" s="58">
        <v>1</v>
      </c>
      <c r="CK169" s="58">
        <v>4</v>
      </c>
      <c r="CL169" s="58">
        <v>8.3281282531750989E-2</v>
      </c>
      <c r="CM169" s="58">
        <v>8.3281282531750989E-2</v>
      </c>
      <c r="CN169" s="28">
        <v>1</v>
      </c>
      <c r="CO169" s="28">
        <v>4</v>
      </c>
      <c r="CP169" s="28">
        <v>8.3281282531750989E-2</v>
      </c>
      <c r="CQ169" s="28">
        <v>8.3281282531750989E-2</v>
      </c>
      <c r="CR169" s="32">
        <f t="shared" si="129"/>
        <v>0.58130335207162187</v>
      </c>
      <c r="CS169" s="32">
        <v>0.58130335207162187</v>
      </c>
      <c r="CT169" s="32">
        <f t="shared" si="130"/>
        <v>1.0813033520716218</v>
      </c>
      <c r="CU169" s="32">
        <f t="shared" si="131"/>
        <v>1.9360847843717489E-2</v>
      </c>
      <c r="CV169" s="32">
        <f t="shared" si="132"/>
        <v>1.9360847843717489E-2</v>
      </c>
      <c r="CW169" s="60">
        <f t="shared" si="133"/>
        <v>0.58130335207162187</v>
      </c>
      <c r="CX169" s="60">
        <v>0.58130335207162187</v>
      </c>
      <c r="CY169" s="60">
        <f t="shared" si="134"/>
        <v>1.0813033520716218</v>
      </c>
      <c r="CZ169" s="60">
        <f t="shared" si="135"/>
        <v>1.9360847843717489E-2</v>
      </c>
      <c r="DA169" s="60">
        <f t="shared" si="136"/>
        <v>1.9360847843717489E-2</v>
      </c>
      <c r="DB169" s="32">
        <f t="shared" si="137"/>
        <v>1.9987507807620237</v>
      </c>
      <c r="DC169">
        <f t="shared" si="138"/>
        <v>0.13905210670898388</v>
      </c>
      <c r="DD169">
        <f t="shared" si="139"/>
        <v>0.26184411869225571</v>
      </c>
      <c r="DE169">
        <f t="shared" si="140"/>
        <v>0.13923448052633225</v>
      </c>
      <c r="DF169">
        <f t="shared" si="141"/>
        <v>0.59892140078141187</v>
      </c>
      <c r="DG169">
        <f t="shared" si="142"/>
        <v>0.13905210670898388</v>
      </c>
      <c r="DH169">
        <f t="shared" si="143"/>
        <v>0.26184411869225571</v>
      </c>
      <c r="DI169">
        <f t="shared" si="144"/>
        <v>0.13923448052633225</v>
      </c>
      <c r="DJ169">
        <f t="shared" si="145"/>
        <v>0.59892140078141187</v>
      </c>
      <c r="DK169" s="64">
        <f t="shared" si="146"/>
        <v>0.98127381581114292</v>
      </c>
      <c r="DL169" s="64">
        <f t="shared" si="147"/>
        <v>0.98127381581114292</v>
      </c>
      <c r="DM169" s="64">
        <f t="shared" si="148"/>
        <v>1.0626668895349538</v>
      </c>
      <c r="DN169" s="64">
        <f t="shared" si="149"/>
        <v>1.0626668895349538</v>
      </c>
      <c r="DO169" t="str">
        <f t="shared" si="150"/>
        <v>Insufficient Capacity</v>
      </c>
      <c r="DP169" t="str">
        <f t="shared" si="151"/>
        <v>Insufficient Capacity</v>
      </c>
    </row>
    <row r="170" spans="1:120" ht="15.75" x14ac:dyDescent="0.25">
      <c r="A170" s="5" t="s">
        <v>222</v>
      </c>
      <c r="B170" s="5" t="s">
        <v>222</v>
      </c>
      <c r="C170" s="2" t="s">
        <v>1041</v>
      </c>
      <c r="D170" s="2" t="s">
        <v>612</v>
      </c>
      <c r="E170" s="2" t="s">
        <v>612</v>
      </c>
      <c r="F170" s="2">
        <v>169</v>
      </c>
      <c r="G170" s="2" t="s">
        <v>1040</v>
      </c>
      <c r="H170" s="10" t="s">
        <v>656</v>
      </c>
      <c r="I170" s="2">
        <v>150</v>
      </c>
      <c r="J170" s="2">
        <v>65</v>
      </c>
      <c r="K170" s="2">
        <v>4.45</v>
      </c>
      <c r="L170" t="s">
        <v>394</v>
      </c>
      <c r="M170" s="2" t="s">
        <v>1120</v>
      </c>
      <c r="N170" s="2" t="s">
        <v>435</v>
      </c>
      <c r="O170" s="2" t="s">
        <v>666</v>
      </c>
      <c r="P170" s="2" t="s">
        <v>1131</v>
      </c>
      <c r="Q170" s="9" t="s">
        <v>667</v>
      </c>
      <c r="R170" s="2" t="str">
        <f t="shared" si="101"/>
        <v>CW_1_Section_2</v>
      </c>
      <c r="S170" s="2" t="str">
        <f t="shared" si="102"/>
        <v>CW_1_MF05</v>
      </c>
      <c r="T170" s="11" t="s">
        <v>1029</v>
      </c>
      <c r="U170" s="1">
        <v>45957</v>
      </c>
      <c r="V170" s="2" t="s">
        <v>752</v>
      </c>
      <c r="W170" s="2" t="s">
        <v>655</v>
      </c>
      <c r="X170" s="2" t="s">
        <v>1028</v>
      </c>
      <c r="Y170" s="2" t="str">
        <f t="shared" si="103"/>
        <v>T7_0.15-0.30</v>
      </c>
      <c r="Z170" t="s">
        <v>33</v>
      </c>
      <c r="AA170">
        <v>10</v>
      </c>
      <c r="AB170">
        <v>11</v>
      </c>
      <c r="AC170">
        <v>260</v>
      </c>
      <c r="AD170" s="32">
        <f t="shared" si="104"/>
        <v>9.9859172961208553E-2</v>
      </c>
      <c r="AE170">
        <v>0.5</v>
      </c>
      <c r="AF170" s="32">
        <f t="shared" si="105"/>
        <v>1.9535489472541785E-4</v>
      </c>
      <c r="AG170">
        <v>220</v>
      </c>
      <c r="AH170" s="32">
        <f t="shared" si="106"/>
        <v>8.7030234529528114E-2</v>
      </c>
      <c r="AI170">
        <v>19</v>
      </c>
      <c r="AJ170" s="32">
        <f t="shared" si="107"/>
        <v>7.5162475275501557E-3</v>
      </c>
      <c r="AK170">
        <v>1</v>
      </c>
      <c r="AL170" s="32">
        <f t="shared" si="108"/>
        <v>3.9559197513421869E-4</v>
      </c>
      <c r="AM170">
        <v>26</v>
      </c>
      <c r="AO170" s="49">
        <v>509.5</v>
      </c>
      <c r="AP170" s="49">
        <f t="shared" si="109"/>
        <v>0.18708476238546207</v>
      </c>
      <c r="AQ170">
        <v>1700</v>
      </c>
      <c r="AR170" s="32">
        <f t="shared" si="110"/>
        <v>0.63665444331746901</v>
      </c>
      <c r="AS170" s="48">
        <v>11</v>
      </c>
      <c r="AT170" s="27">
        <f t="shared" si="111"/>
        <v>4.1195287508777401E-3</v>
      </c>
      <c r="AU170" s="48">
        <v>3</v>
      </c>
      <c r="AV170" s="27">
        <f t="shared" si="112"/>
        <v>1.1038833037650307E-3</v>
      </c>
      <c r="AW170" s="48">
        <v>2.2000000000000002</v>
      </c>
      <c r="AX170" s="27">
        <f t="shared" si="113"/>
        <v>8.2744309707541669E-4</v>
      </c>
      <c r="AY170" s="48">
        <v>0.1</v>
      </c>
      <c r="AZ170" s="27">
        <f t="shared" si="114"/>
        <v>3.729996390326074E-5</v>
      </c>
      <c r="BA170" s="48">
        <v>0.09</v>
      </c>
      <c r="BB170" s="27">
        <f t="shared" si="115"/>
        <v>3.3327722605621947E-5</v>
      </c>
      <c r="BC170" s="48">
        <v>0.01</v>
      </c>
      <c r="BD170" s="27">
        <f t="shared" si="116"/>
        <v>3.7030802895135499E-6</v>
      </c>
      <c r="BE170" s="48">
        <v>0.01</v>
      </c>
      <c r="BF170" s="27">
        <f t="shared" si="117"/>
        <v>3.6588380716934487E-6</v>
      </c>
      <c r="BG170" s="48">
        <v>2E-3</v>
      </c>
      <c r="BH170" s="27">
        <f t="shared" si="118"/>
        <v>7.3176761433868969E-7</v>
      </c>
      <c r="BI170" s="52">
        <f t="shared" si="119"/>
        <v>16.412000000000003</v>
      </c>
      <c r="BJ170" s="52">
        <f t="shared" si="120"/>
        <v>5.411999999999999</v>
      </c>
      <c r="BK170" s="27">
        <f t="shared" si="121"/>
        <v>6.1295765242026156E-3</v>
      </c>
      <c r="BL170" s="27">
        <f t="shared" si="122"/>
        <v>2.010047773324876E-3</v>
      </c>
      <c r="BM170">
        <v>2300</v>
      </c>
      <c r="BN170">
        <v>130</v>
      </c>
      <c r="BO170" t="s">
        <v>19</v>
      </c>
      <c r="BP170">
        <v>2500</v>
      </c>
      <c r="BQ170">
        <v>74</v>
      </c>
      <c r="BR170" t="s">
        <v>443</v>
      </c>
      <c r="BS170">
        <v>1.1000000000000001</v>
      </c>
      <c r="BT170">
        <v>4.4000000000000004</v>
      </c>
      <c r="BU170">
        <v>10</v>
      </c>
      <c r="BV170">
        <v>-178</v>
      </c>
      <c r="BW170">
        <v>7.4</v>
      </c>
      <c r="BX170">
        <v>718</v>
      </c>
      <c r="BY170">
        <v>0.1</v>
      </c>
      <c r="BZ170">
        <v>0.01</v>
      </c>
      <c r="CA170" s="32">
        <v>4.5</v>
      </c>
      <c r="CB170" s="32">
        <f t="shared" si="123"/>
        <v>8.0572963294538946E-2</v>
      </c>
      <c r="CC170" s="32">
        <f t="shared" si="124"/>
        <v>8.0572963294538946E-2</v>
      </c>
      <c r="CD170" s="32">
        <v>1.6</v>
      </c>
      <c r="CE170" s="32">
        <f t="shared" si="125"/>
        <v>2.912798106681231E-2</v>
      </c>
      <c r="CF170" s="32">
        <f t="shared" si="126"/>
        <v>5.825596213362462E-2</v>
      </c>
      <c r="CG170" s="27">
        <v>20</v>
      </c>
      <c r="CH170" s="27">
        <f t="shared" si="127"/>
        <v>0.20820320632937747</v>
      </c>
      <c r="CI170" s="27">
        <f t="shared" si="128"/>
        <v>1.6656256506350198</v>
      </c>
      <c r="CJ170" s="58">
        <v>5</v>
      </c>
      <c r="CK170" s="58">
        <v>20</v>
      </c>
      <c r="CL170" s="58">
        <v>0.41640641265875494</v>
      </c>
      <c r="CM170" s="58">
        <v>0.41640641265875494</v>
      </c>
      <c r="CN170" s="28">
        <v>16</v>
      </c>
      <c r="CO170" s="28">
        <v>44.444444444444443</v>
      </c>
      <c r="CP170" s="28">
        <v>1.3325005205080158</v>
      </c>
      <c r="CQ170" s="28">
        <v>1.3325005205080158</v>
      </c>
      <c r="CR170" s="32">
        <f t="shared" si="129"/>
        <v>2.9065167603581092</v>
      </c>
      <c r="CS170" s="32">
        <v>2.9065167603581092</v>
      </c>
      <c r="CT170" s="32">
        <f t="shared" si="130"/>
        <v>7.4065167603581088</v>
      </c>
      <c r="CU170" s="32">
        <f t="shared" si="131"/>
        <v>0.13261444512727141</v>
      </c>
      <c r="CV170" s="32">
        <f t="shared" si="132"/>
        <v>0.13261444512727141</v>
      </c>
      <c r="CW170" s="60">
        <f t="shared" si="133"/>
        <v>9.3008536331459499</v>
      </c>
      <c r="CX170" s="60">
        <v>9.3008536331459499</v>
      </c>
      <c r="CY170" s="60">
        <f t="shared" si="134"/>
        <v>13.80085363314595</v>
      </c>
      <c r="CZ170" s="60">
        <f t="shared" si="135"/>
        <v>0.2471057051592829</v>
      </c>
      <c r="DA170" s="60">
        <f t="shared" si="136"/>
        <v>0.2471057051592829</v>
      </c>
      <c r="DB170" s="32">
        <f t="shared" si="137"/>
        <v>1.6656256506350198</v>
      </c>
      <c r="DC170">
        <f t="shared" si="138"/>
        <v>0.60727681991965099</v>
      </c>
      <c r="DD170">
        <f t="shared" si="139"/>
        <v>9.5929830058938334E-2</v>
      </c>
      <c r="DE170">
        <f t="shared" si="140"/>
        <v>0.21837560858130181</v>
      </c>
      <c r="DF170">
        <f t="shared" si="141"/>
        <v>0.68569456135975981</v>
      </c>
      <c r="DG170">
        <f t="shared" si="142"/>
        <v>1.6378621878009234</v>
      </c>
      <c r="DH170">
        <f t="shared" si="143"/>
        <v>3.5568292965992468E-2</v>
      </c>
      <c r="DI170">
        <f t="shared" si="144"/>
        <v>0.15087087729344281</v>
      </c>
      <c r="DJ170">
        <f t="shared" si="145"/>
        <v>0.81356082974056465</v>
      </c>
      <c r="DK170" s="64">
        <f t="shared" si="146"/>
        <v>0.21646238578328014</v>
      </c>
      <c r="DL170" s="64">
        <f t="shared" si="147"/>
        <v>-0.81412298209799228</v>
      </c>
      <c r="DM170" s="64">
        <f t="shared" si="148"/>
        <v>0.21847243355660506</v>
      </c>
      <c r="DN170" s="64">
        <f t="shared" si="149"/>
        <v>-0.81211293432466736</v>
      </c>
      <c r="DO170" t="str">
        <f t="shared" si="150"/>
        <v>Insufficient Capacity</v>
      </c>
      <c r="DP170" t="str">
        <f t="shared" si="151"/>
        <v>Sufficient Capacity</v>
      </c>
    </row>
    <row r="171" spans="1:120" ht="15.75" x14ac:dyDescent="0.25">
      <c r="A171" s="5" t="s">
        <v>223</v>
      </c>
      <c r="B171" s="5" t="s">
        <v>223</v>
      </c>
      <c r="C171" s="2" t="s">
        <v>1043</v>
      </c>
      <c r="D171" s="2" t="s">
        <v>613</v>
      </c>
      <c r="E171" s="2" t="s">
        <v>613</v>
      </c>
      <c r="F171" s="2">
        <v>170</v>
      </c>
      <c r="G171" s="2" t="s">
        <v>1042</v>
      </c>
      <c r="H171" s="10" t="s">
        <v>656</v>
      </c>
      <c r="I171" s="2">
        <v>150</v>
      </c>
      <c r="J171" s="2">
        <v>65</v>
      </c>
      <c r="K171" s="2">
        <v>4.45</v>
      </c>
      <c r="L171" t="s">
        <v>395</v>
      </c>
      <c r="M171" s="2" t="s">
        <v>1120</v>
      </c>
      <c r="N171" s="2" t="s">
        <v>435</v>
      </c>
      <c r="O171" s="2" t="s">
        <v>666</v>
      </c>
      <c r="P171" s="2" t="s">
        <v>1132</v>
      </c>
      <c r="Q171" s="9" t="s">
        <v>670</v>
      </c>
      <c r="R171" s="2" t="str">
        <f t="shared" si="101"/>
        <v>CW_1_Section_2</v>
      </c>
      <c r="S171" s="2" t="str">
        <f t="shared" si="102"/>
        <v>CW_1_MF06</v>
      </c>
      <c r="T171" s="11" t="s">
        <v>1029</v>
      </c>
      <c r="U171" s="1">
        <v>45957</v>
      </c>
      <c r="V171" s="2" t="s">
        <v>752</v>
      </c>
      <c r="W171" s="2" t="s">
        <v>663</v>
      </c>
      <c r="X171" s="2" t="s">
        <v>1028</v>
      </c>
      <c r="Y171" s="2" t="str">
        <f t="shared" si="103"/>
        <v>T7_0.60-0.80</v>
      </c>
      <c r="Z171" t="s">
        <v>25</v>
      </c>
      <c r="AA171">
        <v>11</v>
      </c>
      <c r="AB171">
        <v>11</v>
      </c>
      <c r="AC171">
        <v>610</v>
      </c>
      <c r="AD171" s="32">
        <f t="shared" si="104"/>
        <v>0.23428498271668158</v>
      </c>
      <c r="AE171">
        <v>41</v>
      </c>
      <c r="AF171" s="32">
        <f t="shared" si="105"/>
        <v>1.6019101367484263E-2</v>
      </c>
      <c r="AG171">
        <v>230</v>
      </c>
      <c r="AH171" s="32">
        <f t="shared" si="106"/>
        <v>9.0986154280870299E-2</v>
      </c>
      <c r="AI171">
        <v>82</v>
      </c>
      <c r="AJ171" s="32">
        <f t="shared" si="107"/>
        <v>3.2438541961005936E-2</v>
      </c>
      <c r="AK171">
        <v>94</v>
      </c>
      <c r="AL171" s="32">
        <f t="shared" si="108"/>
        <v>3.7185645662616555E-2</v>
      </c>
      <c r="AM171">
        <v>176</v>
      </c>
      <c r="AO171" s="49">
        <v>1057</v>
      </c>
      <c r="AP171" s="49">
        <f t="shared" si="109"/>
        <v>0.34129023836503614</v>
      </c>
      <c r="AQ171">
        <v>200</v>
      </c>
      <c r="AR171" s="32">
        <f t="shared" si="110"/>
        <v>7.490052274323164E-2</v>
      </c>
      <c r="AS171" s="48">
        <v>56</v>
      </c>
      <c r="AT171" s="27">
        <f t="shared" si="111"/>
        <v>2.097214636810486E-2</v>
      </c>
      <c r="AU171" s="48">
        <v>3.2</v>
      </c>
      <c r="AV171" s="27">
        <f t="shared" si="112"/>
        <v>1.1774755240160327E-3</v>
      </c>
      <c r="AW171" s="48">
        <v>52</v>
      </c>
      <c r="AX171" s="27">
        <f t="shared" si="113"/>
        <v>1.9557745930873484E-2</v>
      </c>
      <c r="AY171" s="48">
        <v>11</v>
      </c>
      <c r="AZ171" s="27">
        <f t="shared" si="114"/>
        <v>4.1029960293586815E-3</v>
      </c>
      <c r="BA171" s="48">
        <v>6.5</v>
      </c>
      <c r="BB171" s="27">
        <f t="shared" si="115"/>
        <v>2.4070021881838072E-3</v>
      </c>
      <c r="BC171" s="48">
        <v>2.6</v>
      </c>
      <c r="BD171" s="27">
        <f t="shared" si="116"/>
        <v>9.6280087527352302E-4</v>
      </c>
      <c r="BE171" s="48">
        <v>0.08</v>
      </c>
      <c r="BF171" s="27">
        <f t="shared" si="117"/>
        <v>2.9270704573547589E-5</v>
      </c>
      <c r="BG171" s="48">
        <v>0.04</v>
      </c>
      <c r="BH171" s="27">
        <f t="shared" si="118"/>
        <v>1.4635352286773795E-5</v>
      </c>
      <c r="BI171" s="52">
        <f t="shared" si="119"/>
        <v>131.41999999999999</v>
      </c>
      <c r="BJ171" s="52">
        <f t="shared" si="120"/>
        <v>75.42</v>
      </c>
      <c r="BK171" s="27">
        <f t="shared" si="121"/>
        <v>4.9224072972670709E-2</v>
      </c>
      <c r="BL171" s="27">
        <f t="shared" si="122"/>
        <v>2.8251926604565852E-2</v>
      </c>
      <c r="BM171">
        <v>600</v>
      </c>
      <c r="BN171">
        <v>690</v>
      </c>
      <c r="BO171" t="s">
        <v>19</v>
      </c>
      <c r="BP171">
        <v>1300</v>
      </c>
      <c r="BQ171">
        <v>72</v>
      </c>
      <c r="BR171" t="s">
        <v>443</v>
      </c>
      <c r="BS171">
        <v>0.74</v>
      </c>
      <c r="BT171">
        <v>0.87</v>
      </c>
      <c r="BU171">
        <v>11</v>
      </c>
      <c r="BV171">
        <v>-220</v>
      </c>
      <c r="BW171">
        <v>7.5</v>
      </c>
      <c r="BX171">
        <v>761</v>
      </c>
      <c r="BY171">
        <v>0.2</v>
      </c>
      <c r="BZ171">
        <v>0.01</v>
      </c>
      <c r="CA171" s="32">
        <v>0.8</v>
      </c>
      <c r="CB171" s="32">
        <f t="shared" si="123"/>
        <v>1.432408236347359E-2</v>
      </c>
      <c r="CC171" s="32">
        <f t="shared" si="124"/>
        <v>1.432408236347359E-2</v>
      </c>
      <c r="CD171" s="32">
        <v>1.5</v>
      </c>
      <c r="CE171" s="32">
        <f t="shared" si="125"/>
        <v>2.7307482250136537E-2</v>
      </c>
      <c r="CF171" s="32">
        <f t="shared" si="126"/>
        <v>5.4614964500273075E-2</v>
      </c>
      <c r="CG171" s="27">
        <v>32</v>
      </c>
      <c r="CH171" s="27">
        <f t="shared" si="127"/>
        <v>0.33312513012700395</v>
      </c>
      <c r="CI171" s="27">
        <f t="shared" si="128"/>
        <v>2.6650010410160316</v>
      </c>
      <c r="CJ171" s="58">
        <v>-7</v>
      </c>
      <c r="CK171" s="58">
        <v>-28.000000000000004</v>
      </c>
      <c r="CL171" s="58">
        <v>-0.58296897772225686</v>
      </c>
      <c r="CN171" s="28">
        <v>-8</v>
      </c>
      <c r="CO171" s="28">
        <v>-33.333333333333329</v>
      </c>
      <c r="CP171" s="28">
        <v>-0.66625026025400791</v>
      </c>
      <c r="CR171" s="32">
        <f t="shared" si="129"/>
        <v>-4.0691234645013532</v>
      </c>
      <c r="CS171" s="32">
        <v>0</v>
      </c>
      <c r="CT171" s="32">
        <f t="shared" si="130"/>
        <v>0.8</v>
      </c>
      <c r="CU171" s="32">
        <f t="shared" si="131"/>
        <v>1.432408236347359E-2</v>
      </c>
      <c r="CV171" s="32">
        <f t="shared" si="132"/>
        <v>1.432408236347359E-2</v>
      </c>
      <c r="CW171" s="60">
        <f t="shared" si="133"/>
        <v>-4.650426816572975</v>
      </c>
      <c r="CY171" s="60">
        <f t="shared" si="134"/>
        <v>0.8</v>
      </c>
      <c r="CZ171" s="60">
        <f t="shared" si="135"/>
        <v>1.432408236347359E-2</v>
      </c>
      <c r="DA171" s="60">
        <f t="shared" si="136"/>
        <v>1.432408236347359E-2</v>
      </c>
      <c r="DB171" s="32">
        <f t="shared" si="137"/>
        <v>2.6650010410160316</v>
      </c>
      <c r="DC171">
        <f t="shared" si="138"/>
        <v>6.8939046863746661E-2</v>
      </c>
      <c r="DD171">
        <f t="shared" si="139"/>
        <v>0.79222105591647995</v>
      </c>
      <c r="DE171">
        <f t="shared" si="140"/>
        <v>0.2077789440835201</v>
      </c>
      <c r="DF171">
        <f t="shared" si="141"/>
        <v>0</v>
      </c>
      <c r="DG171">
        <f t="shared" si="142"/>
        <v>6.8939046863746661E-2</v>
      </c>
      <c r="DH171">
        <f t="shared" si="143"/>
        <v>0.79222105591647995</v>
      </c>
      <c r="DI171">
        <f t="shared" si="144"/>
        <v>0.2077789440835201</v>
      </c>
      <c r="DJ171">
        <f t="shared" si="145"/>
        <v>0</v>
      </c>
      <c r="DK171" s="64">
        <f t="shared" si="146"/>
        <v>0.34725171424452117</v>
      </c>
      <c r="DL171" s="64">
        <f t="shared" si="147"/>
        <v>0.34725171424452117</v>
      </c>
      <c r="DM171" s="64">
        <f t="shared" si="148"/>
        <v>0.37550364084908705</v>
      </c>
      <c r="DN171" s="64">
        <f t="shared" si="149"/>
        <v>0.37550364084908705</v>
      </c>
      <c r="DO171" t="str">
        <f t="shared" si="150"/>
        <v>Insufficient Capacity</v>
      </c>
      <c r="DP171" t="str">
        <f t="shared" si="151"/>
        <v>Insufficient Capacity</v>
      </c>
    </row>
    <row r="172" spans="1:120" ht="15.75" x14ac:dyDescent="0.25">
      <c r="A172" s="5" t="s">
        <v>224</v>
      </c>
      <c r="B172" s="5" t="s">
        <v>224</v>
      </c>
      <c r="C172" s="2" t="s">
        <v>1045</v>
      </c>
      <c r="D172" s="2" t="s">
        <v>614</v>
      </c>
      <c r="E172" s="2" t="s">
        <v>614</v>
      </c>
      <c r="F172" s="2">
        <v>171</v>
      </c>
      <c r="G172" s="2" t="s">
        <v>1044</v>
      </c>
      <c r="H172" s="10" t="s">
        <v>656</v>
      </c>
      <c r="I172" s="2">
        <v>150</v>
      </c>
      <c r="J172" s="2">
        <v>65</v>
      </c>
      <c r="K172" s="2">
        <v>5.75</v>
      </c>
      <c r="L172" t="s">
        <v>396</v>
      </c>
      <c r="M172" s="2" t="s">
        <v>1120</v>
      </c>
      <c r="N172" s="2" t="s">
        <v>435</v>
      </c>
      <c r="O172" s="2" t="s">
        <v>673</v>
      </c>
      <c r="P172" s="2" t="s">
        <v>1127</v>
      </c>
      <c r="Q172" s="9" t="s">
        <v>674</v>
      </c>
      <c r="R172" s="2" t="str">
        <f t="shared" si="101"/>
        <v>CW_1_Section_3</v>
      </c>
      <c r="S172" s="2" t="str">
        <f t="shared" si="102"/>
        <v>CW_1_MF09</v>
      </c>
      <c r="T172" s="11" t="s">
        <v>1029</v>
      </c>
      <c r="U172" s="1">
        <v>45957</v>
      </c>
      <c r="V172" s="2" t="s">
        <v>752</v>
      </c>
      <c r="W172" s="2" t="s">
        <v>655</v>
      </c>
      <c r="X172" s="2" t="s">
        <v>1028</v>
      </c>
      <c r="Y172" s="2" t="str">
        <f t="shared" si="103"/>
        <v>T7_0.15-0.30</v>
      </c>
      <c r="Z172" t="s">
        <v>21</v>
      </c>
      <c r="AA172">
        <v>11</v>
      </c>
      <c r="AB172">
        <v>12</v>
      </c>
      <c r="AC172">
        <v>74</v>
      </c>
      <c r="AD172" s="32">
        <f t="shared" si="104"/>
        <v>2.8421456919728586E-2</v>
      </c>
      <c r="AE172">
        <v>0.5</v>
      </c>
      <c r="AF172" s="32">
        <f t="shared" si="105"/>
        <v>1.9535489472541785E-4</v>
      </c>
      <c r="AG172">
        <v>240</v>
      </c>
      <c r="AH172" s="32">
        <f t="shared" si="106"/>
        <v>9.4942074032212498E-2</v>
      </c>
      <c r="AI172">
        <v>37</v>
      </c>
      <c r="AJ172" s="32">
        <f t="shared" si="107"/>
        <v>1.4636903079966092E-2</v>
      </c>
      <c r="AK172">
        <v>13</v>
      </c>
      <c r="AL172" s="32">
        <f t="shared" si="108"/>
        <v>5.1426956767448434E-3</v>
      </c>
      <c r="AM172">
        <v>50</v>
      </c>
      <c r="AO172" s="49">
        <v>367.5</v>
      </c>
      <c r="AP172" s="49">
        <f t="shared" si="109"/>
        <v>0.12355888584666649</v>
      </c>
      <c r="AQ172">
        <v>1800</v>
      </c>
      <c r="AR172" s="32">
        <f t="shared" si="110"/>
        <v>0.6741047046890849</v>
      </c>
      <c r="AS172" s="48">
        <v>1700</v>
      </c>
      <c r="AT172" s="27">
        <f t="shared" si="111"/>
        <v>0.63665444331746901</v>
      </c>
      <c r="AU172" s="48">
        <v>2.4</v>
      </c>
      <c r="AV172" s="27">
        <f t="shared" si="112"/>
        <v>8.8310664301202442E-4</v>
      </c>
      <c r="AW172" s="48">
        <v>3.4</v>
      </c>
      <c r="AX172" s="27">
        <f t="shared" si="113"/>
        <v>1.2787756954801893E-3</v>
      </c>
      <c r="AY172" s="48">
        <v>0.2</v>
      </c>
      <c r="AZ172" s="27">
        <f t="shared" si="114"/>
        <v>7.459992780652148E-5</v>
      </c>
      <c r="BA172" s="48">
        <v>0.12</v>
      </c>
      <c r="BB172" s="27">
        <f t="shared" si="115"/>
        <v>4.44369634741626E-5</v>
      </c>
      <c r="BC172" s="48">
        <v>0.02</v>
      </c>
      <c r="BD172" s="27">
        <f t="shared" si="116"/>
        <v>7.4061605790270997E-6</v>
      </c>
      <c r="BE172" s="48">
        <v>0.01</v>
      </c>
      <c r="BF172" s="27">
        <f t="shared" si="117"/>
        <v>3.6588380716934487E-6</v>
      </c>
      <c r="BG172" s="48">
        <v>2E-3</v>
      </c>
      <c r="BH172" s="27">
        <f t="shared" si="118"/>
        <v>7.3176761433868969E-7</v>
      </c>
      <c r="BI172" s="52">
        <f t="shared" si="119"/>
        <v>1706.152</v>
      </c>
      <c r="BJ172" s="52">
        <f t="shared" si="120"/>
        <v>6.1519999999999992</v>
      </c>
      <c r="BK172" s="27">
        <f t="shared" si="121"/>
        <v>0.6389471593135071</v>
      </c>
      <c r="BL172" s="27">
        <f t="shared" si="122"/>
        <v>2.2927159960379573E-3</v>
      </c>
      <c r="BM172">
        <v>2500</v>
      </c>
      <c r="BN172">
        <v>100</v>
      </c>
      <c r="BO172" t="s">
        <v>19</v>
      </c>
      <c r="BP172">
        <v>2600</v>
      </c>
      <c r="BQ172">
        <v>66</v>
      </c>
      <c r="BR172" t="s">
        <v>443</v>
      </c>
      <c r="BS172">
        <v>0.66</v>
      </c>
      <c r="BT172">
        <v>5.35</v>
      </c>
      <c r="BU172">
        <v>12</v>
      </c>
      <c r="BV172">
        <v>-116</v>
      </c>
      <c r="BW172">
        <v>7.3</v>
      </c>
      <c r="BX172" s="21">
        <v>66</v>
      </c>
      <c r="BY172">
        <v>0.1</v>
      </c>
      <c r="BZ172">
        <v>0.01</v>
      </c>
      <c r="CA172" s="32">
        <v>9.6999999999999993</v>
      </c>
      <c r="CB172" s="32">
        <f t="shared" si="123"/>
        <v>0.17367949865711726</v>
      </c>
      <c r="CC172" s="32">
        <f t="shared" si="124"/>
        <v>0.17367949865711726</v>
      </c>
      <c r="CD172" s="32">
        <v>2.2000000000000002</v>
      </c>
      <c r="CE172" s="32">
        <f t="shared" si="125"/>
        <v>4.0050973966866923E-2</v>
      </c>
      <c r="CF172" s="32">
        <f t="shared" si="126"/>
        <v>8.0101947933733847E-2</v>
      </c>
      <c r="CG172" s="27">
        <v>5</v>
      </c>
      <c r="CH172" s="27">
        <f t="shared" si="127"/>
        <v>5.2050801582344368E-2</v>
      </c>
      <c r="CI172" s="27">
        <f t="shared" si="128"/>
        <v>0.41640641265875494</v>
      </c>
      <c r="CJ172" s="58">
        <v>20</v>
      </c>
      <c r="CK172" s="58">
        <v>80</v>
      </c>
      <c r="CL172" s="58">
        <v>1.6656256506350198</v>
      </c>
      <c r="CM172" s="58">
        <v>1.6656256506350198</v>
      </c>
      <c r="CN172" s="28">
        <v>15</v>
      </c>
      <c r="CO172" s="28">
        <v>75</v>
      </c>
      <c r="CP172" s="28">
        <v>1.2492192379762648</v>
      </c>
      <c r="CQ172" s="28">
        <v>1.2492192379762648</v>
      </c>
      <c r="CR172" s="32">
        <f t="shared" si="129"/>
        <v>11.626067041432437</v>
      </c>
      <c r="CS172" s="32">
        <v>11.626067041432437</v>
      </c>
      <c r="CT172" s="32">
        <f t="shared" si="130"/>
        <v>21.326067041432438</v>
      </c>
      <c r="CU172" s="32">
        <f t="shared" si="131"/>
        <v>0.38184542598804722</v>
      </c>
      <c r="CV172" s="32">
        <f t="shared" si="132"/>
        <v>0.38184542598804722</v>
      </c>
      <c r="CW172" s="60">
        <f t="shared" si="133"/>
        <v>8.7195502810743282</v>
      </c>
      <c r="CX172" s="60">
        <v>8.7195502810743282</v>
      </c>
      <c r="CY172" s="60">
        <f t="shared" si="134"/>
        <v>18.419550281074329</v>
      </c>
      <c r="CZ172" s="60">
        <f t="shared" si="135"/>
        <v>0.32980394415531478</v>
      </c>
      <c r="DA172" s="60">
        <f t="shared" si="136"/>
        <v>0.32980394415531478</v>
      </c>
      <c r="DB172" s="32">
        <f t="shared" si="137"/>
        <v>0.41640641265875494</v>
      </c>
      <c r="DC172">
        <f t="shared" si="138"/>
        <v>2.127573024556801</v>
      </c>
      <c r="DD172">
        <f t="shared" si="139"/>
        <v>3.7649447050316899E-2</v>
      </c>
      <c r="DE172">
        <f t="shared" si="140"/>
        <v>0.17947465096648807</v>
      </c>
      <c r="DF172">
        <f t="shared" si="141"/>
        <v>0.78287590198319501</v>
      </c>
      <c r="DG172">
        <f t="shared" si="142"/>
        <v>1.6591251300653134</v>
      </c>
      <c r="DH172">
        <f t="shared" si="143"/>
        <v>4.8279630319733959E-2</v>
      </c>
      <c r="DI172">
        <f t="shared" si="144"/>
        <v>0.19878183880099004</v>
      </c>
      <c r="DJ172">
        <f t="shared" si="145"/>
        <v>0.75293853087927598</v>
      </c>
      <c r="DK172" s="64">
        <f t="shared" si="146"/>
        <v>-1.3299094340210496</v>
      </c>
      <c r="DL172" s="64">
        <f t="shared" si="147"/>
        <v>-0.86146153952956195</v>
      </c>
      <c r="DM172" s="64">
        <f t="shared" si="148"/>
        <v>-1.3276167180250116</v>
      </c>
      <c r="DN172" s="64">
        <f t="shared" si="149"/>
        <v>-0.85916882353352397</v>
      </c>
      <c r="DO172" t="str">
        <f t="shared" si="150"/>
        <v>Sufficient Capacity</v>
      </c>
      <c r="DP172" t="str">
        <f t="shared" si="151"/>
        <v>Sufficient Capacity</v>
      </c>
    </row>
    <row r="173" spans="1:120" ht="15.75" x14ac:dyDescent="0.25">
      <c r="A173" s="5" t="s">
        <v>225</v>
      </c>
      <c r="B173" s="5" t="s">
        <v>225</v>
      </c>
      <c r="C173" s="2" t="s">
        <v>1047</v>
      </c>
      <c r="D173" s="2" t="s">
        <v>615</v>
      </c>
      <c r="E173" s="2" t="s">
        <v>615</v>
      </c>
      <c r="F173" s="2">
        <v>172</v>
      </c>
      <c r="G173" s="2" t="s">
        <v>1046</v>
      </c>
      <c r="H173" s="10" t="s">
        <v>656</v>
      </c>
      <c r="I173" s="2">
        <v>150</v>
      </c>
      <c r="J173" s="2">
        <v>65</v>
      </c>
      <c r="K173" s="2">
        <v>5.7</v>
      </c>
      <c r="L173" t="s">
        <v>397</v>
      </c>
      <c r="M173" s="2" t="s">
        <v>1120</v>
      </c>
      <c r="N173" s="2" t="s">
        <v>435</v>
      </c>
      <c r="O173" s="2" t="s">
        <v>673</v>
      </c>
      <c r="P173" s="2" t="s">
        <v>1128</v>
      </c>
      <c r="Q173" s="9" t="s">
        <v>677</v>
      </c>
      <c r="R173" s="2" t="str">
        <f t="shared" si="101"/>
        <v>CW_1_Section_3</v>
      </c>
      <c r="S173" s="2" t="str">
        <f t="shared" si="102"/>
        <v>CW_1_MF10</v>
      </c>
      <c r="T173" s="11" t="s">
        <v>1029</v>
      </c>
      <c r="U173" s="1">
        <v>45957</v>
      </c>
      <c r="V173" s="2" t="s">
        <v>752</v>
      </c>
      <c r="W173" s="2" t="s">
        <v>663</v>
      </c>
      <c r="X173" s="2" t="s">
        <v>1028</v>
      </c>
      <c r="Y173" s="2" t="str">
        <f t="shared" si="103"/>
        <v>T7_0.60-0.80</v>
      </c>
      <c r="Z173" t="s">
        <v>23</v>
      </c>
      <c r="AA173">
        <v>9.9</v>
      </c>
      <c r="AB173">
        <v>11</v>
      </c>
      <c r="AC173">
        <v>600</v>
      </c>
      <c r="AD173" s="32">
        <f t="shared" si="104"/>
        <v>0.23044424529509666</v>
      </c>
      <c r="AE173">
        <v>1.9</v>
      </c>
      <c r="AF173" s="32">
        <f t="shared" si="105"/>
        <v>7.4234859995658776E-4</v>
      </c>
      <c r="AG173">
        <v>59</v>
      </c>
      <c r="AH173" s="32">
        <f t="shared" si="106"/>
        <v>2.3339926532918904E-2</v>
      </c>
      <c r="AI173">
        <v>9.6</v>
      </c>
      <c r="AJ173" s="32">
        <f t="shared" si="107"/>
        <v>3.7976829612884995E-3</v>
      </c>
      <c r="AK173">
        <v>2.7</v>
      </c>
      <c r="AL173" s="32">
        <f t="shared" si="108"/>
        <v>1.0680983328623906E-3</v>
      </c>
      <c r="AM173">
        <v>12.3</v>
      </c>
      <c r="AO173" s="49">
        <v>673.2</v>
      </c>
      <c r="AP173" s="49">
        <f t="shared" si="109"/>
        <v>0.25452652042797214</v>
      </c>
      <c r="AQ173">
        <v>48</v>
      </c>
      <c r="AR173" s="32">
        <f t="shared" si="110"/>
        <v>1.7976125458375593E-2</v>
      </c>
      <c r="AS173" s="48">
        <v>17</v>
      </c>
      <c r="AT173" s="27">
        <f t="shared" si="111"/>
        <v>6.3665444331746888E-3</v>
      </c>
      <c r="AU173" s="48">
        <v>2.1</v>
      </c>
      <c r="AV173" s="27">
        <f t="shared" si="112"/>
        <v>7.7271831263552146E-4</v>
      </c>
      <c r="AW173" s="48">
        <v>57</v>
      </c>
      <c r="AX173" s="27">
        <f t="shared" si="113"/>
        <v>2.1438298424226704E-2</v>
      </c>
      <c r="AY173" s="48">
        <v>13</v>
      </c>
      <c r="AZ173" s="27">
        <f t="shared" si="114"/>
        <v>4.8489953074238963E-3</v>
      </c>
      <c r="BA173" s="48">
        <v>4.3</v>
      </c>
      <c r="BB173" s="27">
        <f t="shared" si="115"/>
        <v>1.5923245244908264E-3</v>
      </c>
      <c r="BC173" s="48">
        <v>1.8</v>
      </c>
      <c r="BD173" s="27">
        <f t="shared" si="116"/>
        <v>6.6655445211243904E-4</v>
      </c>
      <c r="BE173" s="48">
        <v>0.06</v>
      </c>
      <c r="BF173" s="27">
        <f t="shared" si="117"/>
        <v>2.1953028430160689E-5</v>
      </c>
      <c r="BG173" s="48">
        <v>0.03</v>
      </c>
      <c r="BH173" s="27">
        <f t="shared" si="118"/>
        <v>1.0976514215080345E-5</v>
      </c>
      <c r="BI173" s="52">
        <f t="shared" si="119"/>
        <v>95.289999999999992</v>
      </c>
      <c r="BJ173" s="52">
        <f t="shared" si="120"/>
        <v>78.289999999999992</v>
      </c>
      <c r="BK173" s="27">
        <f t="shared" si="121"/>
        <v>3.5718364996709315E-2</v>
      </c>
      <c r="BL173" s="27">
        <f t="shared" si="122"/>
        <v>2.9351820563534622E-2</v>
      </c>
      <c r="BM173">
        <v>380</v>
      </c>
      <c r="BN173">
        <v>790</v>
      </c>
      <c r="BO173" t="s">
        <v>19</v>
      </c>
      <c r="BP173">
        <v>1200</v>
      </c>
      <c r="BQ173">
        <v>70</v>
      </c>
      <c r="BR173" t="s">
        <v>443</v>
      </c>
      <c r="BS173">
        <v>0.41</v>
      </c>
      <c r="BT173">
        <v>1.1299999999999999</v>
      </c>
      <c r="BU173">
        <v>12</v>
      </c>
      <c r="BV173">
        <v>-224</v>
      </c>
      <c r="BW173">
        <v>7.7</v>
      </c>
      <c r="BX173">
        <v>703</v>
      </c>
      <c r="BY173">
        <v>0.2</v>
      </c>
      <c r="BZ173">
        <v>0.01</v>
      </c>
      <c r="CA173" s="32">
        <v>0.7</v>
      </c>
      <c r="CB173" s="32">
        <f t="shared" si="123"/>
        <v>1.253357206803939E-2</v>
      </c>
      <c r="CC173" s="32">
        <f t="shared" si="124"/>
        <v>1.253357206803939E-2</v>
      </c>
      <c r="CD173" s="32">
        <v>1.6</v>
      </c>
      <c r="CE173" s="32">
        <f t="shared" si="125"/>
        <v>2.912798106681231E-2</v>
      </c>
      <c r="CF173" s="32">
        <f t="shared" si="126"/>
        <v>5.825596213362462E-2</v>
      </c>
      <c r="CG173" s="27">
        <v>58</v>
      </c>
      <c r="CH173" s="27">
        <f t="shared" si="127"/>
        <v>0.60378929835519468</v>
      </c>
      <c r="CI173" s="27">
        <f t="shared" si="128"/>
        <v>4.8303143868415575</v>
      </c>
      <c r="CJ173" s="58">
        <v>-33</v>
      </c>
      <c r="CK173" s="58">
        <v>-132</v>
      </c>
      <c r="CL173" s="58">
        <v>-2.7482823235477825</v>
      </c>
      <c r="CN173" s="28">
        <v>-26</v>
      </c>
      <c r="CO173" s="28">
        <v>-81.25</v>
      </c>
      <c r="CP173" s="28">
        <v>-2.1653133458255258</v>
      </c>
      <c r="CR173" s="32">
        <f t="shared" si="129"/>
        <v>-19.183010618363522</v>
      </c>
      <c r="CS173" s="32">
        <v>0</v>
      </c>
      <c r="CT173" s="32">
        <f t="shared" si="130"/>
        <v>0.7</v>
      </c>
      <c r="CU173" s="32">
        <f t="shared" si="131"/>
        <v>1.253357206803939E-2</v>
      </c>
      <c r="CV173" s="32">
        <f t="shared" si="132"/>
        <v>1.253357206803939E-2</v>
      </c>
      <c r="CW173" s="60">
        <f t="shared" si="133"/>
        <v>-15.113887153862169</v>
      </c>
      <c r="CY173" s="60">
        <f t="shared" si="134"/>
        <v>0.7</v>
      </c>
      <c r="CZ173" s="60">
        <f t="shared" si="135"/>
        <v>1.253357206803939E-2</v>
      </c>
      <c r="DA173" s="60">
        <f t="shared" si="136"/>
        <v>1.253357206803939E-2</v>
      </c>
      <c r="DB173" s="32">
        <f t="shared" si="137"/>
        <v>4.8303143868415575</v>
      </c>
      <c r="DC173">
        <f t="shared" si="138"/>
        <v>7.0789534201664006E-2</v>
      </c>
      <c r="DD173">
        <f t="shared" si="139"/>
        <v>0.82294597344949383</v>
      </c>
      <c r="DE173">
        <f t="shared" si="140"/>
        <v>0.17705402655050625</v>
      </c>
      <c r="DF173">
        <f t="shared" si="141"/>
        <v>0</v>
      </c>
      <c r="DG173">
        <f t="shared" si="142"/>
        <v>7.0789534201664006E-2</v>
      </c>
      <c r="DH173">
        <f t="shared" si="143"/>
        <v>0.82294597344949383</v>
      </c>
      <c r="DI173">
        <f t="shared" si="144"/>
        <v>0.17705402655050625</v>
      </c>
      <c r="DJ173">
        <f t="shared" si="145"/>
        <v>0</v>
      </c>
      <c r="DK173" s="64">
        <f t="shared" si="146"/>
        <v>0.2017131116846837</v>
      </c>
      <c r="DL173" s="64">
        <f t="shared" si="147"/>
        <v>0.2017131116846837</v>
      </c>
      <c r="DM173" s="64">
        <f t="shared" si="148"/>
        <v>0.23106493224821834</v>
      </c>
      <c r="DN173" s="64">
        <f t="shared" si="149"/>
        <v>0.23106493224821834</v>
      </c>
      <c r="DO173" t="str">
        <f t="shared" si="150"/>
        <v>Insufficient Capacity</v>
      </c>
      <c r="DP173" t="str">
        <f t="shared" si="151"/>
        <v>Insufficient Capacity</v>
      </c>
    </row>
    <row r="174" spans="1:120" ht="15.75" x14ac:dyDescent="0.25">
      <c r="A174" s="5" t="s">
        <v>226</v>
      </c>
      <c r="B174" s="5" t="s">
        <v>226</v>
      </c>
      <c r="C174" s="2" t="s">
        <v>1049</v>
      </c>
      <c r="D174" s="2" t="s">
        <v>616</v>
      </c>
      <c r="E174" s="2" t="s">
        <v>616</v>
      </c>
      <c r="F174" s="2">
        <v>173</v>
      </c>
      <c r="G174" s="2" t="s">
        <v>1048</v>
      </c>
      <c r="H174" s="10" t="s">
        <v>656</v>
      </c>
      <c r="I174" s="2">
        <v>150</v>
      </c>
      <c r="J174" s="2">
        <v>65</v>
      </c>
      <c r="K174" s="2">
        <v>6.7</v>
      </c>
      <c r="L174" t="s">
        <v>398</v>
      </c>
      <c r="M174" s="2" t="s">
        <v>1120</v>
      </c>
      <c r="N174" s="2" t="s">
        <v>436</v>
      </c>
      <c r="O174" s="2" t="s">
        <v>653</v>
      </c>
      <c r="P174" s="2" t="s">
        <v>1123</v>
      </c>
      <c r="Q174" s="9" t="s">
        <v>713</v>
      </c>
      <c r="R174" s="2" t="str">
        <f t="shared" si="101"/>
        <v>CW_2_Section_1</v>
      </c>
      <c r="S174" s="2" t="str">
        <f t="shared" si="102"/>
        <v>CW_2_MF01</v>
      </c>
      <c r="T174" s="11" t="s">
        <v>1029</v>
      </c>
      <c r="U174" s="1">
        <v>45958</v>
      </c>
      <c r="V174" s="2" t="s">
        <v>752</v>
      </c>
      <c r="W174" s="2" t="s">
        <v>655</v>
      </c>
      <c r="X174" s="2" t="s">
        <v>1028</v>
      </c>
      <c r="Y174" s="2" t="str">
        <f t="shared" si="103"/>
        <v>T7_0.15-0.30</v>
      </c>
      <c r="Z174" t="s">
        <v>41</v>
      </c>
      <c r="AA174">
        <v>5.4</v>
      </c>
      <c r="AB174">
        <v>5.7</v>
      </c>
      <c r="AC174">
        <v>110</v>
      </c>
      <c r="AD174" s="32">
        <f t="shared" si="104"/>
        <v>4.2248111637434388E-2</v>
      </c>
      <c r="AE174">
        <v>3</v>
      </c>
      <c r="AF174" s="32">
        <f t="shared" si="105"/>
        <v>1.172129368352507E-3</v>
      </c>
      <c r="AG174">
        <v>3.3</v>
      </c>
      <c r="AH174" s="32">
        <f t="shared" si="106"/>
        <v>1.3054535179429217E-3</v>
      </c>
      <c r="AI174">
        <v>16</v>
      </c>
      <c r="AJ174" s="32">
        <f t="shared" si="107"/>
        <v>6.3294716021474991E-3</v>
      </c>
      <c r="AK174">
        <v>5.5</v>
      </c>
      <c r="AL174" s="32">
        <f t="shared" si="108"/>
        <v>2.1757558632382028E-3</v>
      </c>
      <c r="AM174">
        <v>21.5</v>
      </c>
      <c r="AO174" s="49">
        <v>137.80000000000001</v>
      </c>
      <c r="AP174" s="49">
        <f t="shared" si="109"/>
        <v>4.472569452372982E-2</v>
      </c>
      <c r="AQ174">
        <v>8.3000000000000007</v>
      </c>
      <c r="AR174" s="32">
        <f t="shared" si="110"/>
        <v>3.1083716938441136E-3</v>
      </c>
      <c r="AS174" s="48">
        <v>7.4</v>
      </c>
      <c r="AT174" s="27">
        <f t="shared" si="111"/>
        <v>2.7713193414995708E-3</v>
      </c>
      <c r="AU174" s="48">
        <v>2.2999999999999998</v>
      </c>
      <c r="AV174" s="27">
        <f t="shared" si="112"/>
        <v>8.4631053288652339E-4</v>
      </c>
      <c r="AW174" s="48">
        <v>6.1</v>
      </c>
      <c r="AX174" s="27">
        <f t="shared" si="113"/>
        <v>2.294274041890928E-3</v>
      </c>
      <c r="AY174" s="48">
        <v>6.2</v>
      </c>
      <c r="AZ174" s="27">
        <f t="shared" si="114"/>
        <v>2.3125977620021658E-3</v>
      </c>
      <c r="BA174" s="48">
        <v>0.67</v>
      </c>
      <c r="BB174" s="27">
        <f t="shared" si="115"/>
        <v>2.4810637939740786E-4</v>
      </c>
      <c r="BC174" s="48">
        <v>0.04</v>
      </c>
      <c r="BD174" s="27">
        <f t="shared" si="116"/>
        <v>1.4812321158054199E-5</v>
      </c>
      <c r="BE174" s="48">
        <v>1E-3</v>
      </c>
      <c r="BF174" s="27">
        <f t="shared" si="117"/>
        <v>3.6588380716934485E-7</v>
      </c>
      <c r="BG174" s="48">
        <v>2E-3</v>
      </c>
      <c r="BH174" s="27">
        <f t="shared" si="118"/>
        <v>7.3176761433868969E-7</v>
      </c>
      <c r="BI174" s="52">
        <f t="shared" si="119"/>
        <v>22.713000000000001</v>
      </c>
      <c r="BJ174" s="52">
        <f t="shared" si="120"/>
        <v>15.312999999999997</v>
      </c>
      <c r="BK174" s="27">
        <f t="shared" si="121"/>
        <v>8.4885180302561574E-3</v>
      </c>
      <c r="BL174" s="27">
        <f t="shared" si="122"/>
        <v>5.7171986887565879E-3</v>
      </c>
      <c r="BM174">
        <v>25</v>
      </c>
      <c r="BN174">
        <v>85</v>
      </c>
      <c r="BO174" t="s">
        <v>19</v>
      </c>
      <c r="BP174">
        <v>110</v>
      </c>
      <c r="BQ174">
        <v>55</v>
      </c>
      <c r="BR174" t="s">
        <v>443</v>
      </c>
      <c r="BS174">
        <v>1.4999999999999999E-2</v>
      </c>
      <c r="BT174">
        <v>2.56</v>
      </c>
      <c r="BU174">
        <v>12</v>
      </c>
      <c r="BV174">
        <v>-218</v>
      </c>
      <c r="BW174">
        <v>7.7</v>
      </c>
      <c r="BX174">
        <v>468</v>
      </c>
      <c r="BY174">
        <v>0.1</v>
      </c>
      <c r="BZ174">
        <v>0.01</v>
      </c>
      <c r="CA174" s="32">
        <v>0.7</v>
      </c>
      <c r="CB174" s="32">
        <f t="shared" si="123"/>
        <v>1.253357206803939E-2</v>
      </c>
      <c r="CC174" s="32">
        <f t="shared" si="124"/>
        <v>1.253357206803939E-2</v>
      </c>
      <c r="CD174" s="32">
        <v>0.05</v>
      </c>
      <c r="CE174" s="32">
        <f t="shared" si="125"/>
        <v>9.1024940833788468E-4</v>
      </c>
      <c r="CF174" s="32">
        <f t="shared" si="126"/>
        <v>1.8204988166757694E-3</v>
      </c>
      <c r="CG174" s="27">
        <v>30</v>
      </c>
      <c r="CH174" s="27">
        <f t="shared" si="127"/>
        <v>0.31230480949406619</v>
      </c>
      <c r="CI174" s="27">
        <f t="shared" si="128"/>
        <v>2.4984384759525295</v>
      </c>
      <c r="CJ174" s="58">
        <v>-5</v>
      </c>
      <c r="CK174" s="58">
        <v>-20</v>
      </c>
      <c r="CL174" s="58">
        <v>-0.41640641265875494</v>
      </c>
      <c r="CN174" s="28">
        <v>-5</v>
      </c>
      <c r="CO174" s="28">
        <v>-20</v>
      </c>
      <c r="CP174" s="28">
        <v>-0.41640641265875494</v>
      </c>
      <c r="CR174" s="32">
        <f t="shared" si="129"/>
        <v>-2.9065167603581092</v>
      </c>
      <c r="CS174" s="32">
        <v>0</v>
      </c>
      <c r="CT174" s="32">
        <f t="shared" si="130"/>
        <v>0.7</v>
      </c>
      <c r="CU174" s="32">
        <f t="shared" si="131"/>
        <v>1.253357206803939E-2</v>
      </c>
      <c r="CV174" s="32">
        <f t="shared" si="132"/>
        <v>1.253357206803939E-2</v>
      </c>
      <c r="CW174" s="60">
        <f t="shared" si="133"/>
        <v>-2.9065167603581092</v>
      </c>
      <c r="CY174" s="60">
        <f t="shared" si="134"/>
        <v>0.7</v>
      </c>
      <c r="CZ174" s="60">
        <f t="shared" si="135"/>
        <v>1.253357206803939E-2</v>
      </c>
      <c r="DA174" s="60">
        <f t="shared" si="136"/>
        <v>1.253357206803939E-2</v>
      </c>
      <c r="DB174" s="32">
        <f t="shared" si="137"/>
        <v>2.4984384759525295</v>
      </c>
      <c r="DC174">
        <f t="shared" si="138"/>
        <v>1.4354070884715159E-2</v>
      </c>
      <c r="DD174">
        <f t="shared" si="139"/>
        <v>0.12682804977745485</v>
      </c>
      <c r="DE174">
        <f t="shared" si="140"/>
        <v>0.87317195022254523</v>
      </c>
      <c r="DF174">
        <f t="shared" si="141"/>
        <v>0</v>
      </c>
      <c r="DG174">
        <f t="shared" si="142"/>
        <v>1.4354070884715159E-2</v>
      </c>
      <c r="DH174">
        <f t="shared" si="143"/>
        <v>0.12682804977745485</v>
      </c>
      <c r="DI174">
        <f t="shared" si="144"/>
        <v>0.87317195022254523</v>
      </c>
      <c r="DJ174">
        <f t="shared" si="145"/>
        <v>0</v>
      </c>
      <c r="DK174" s="64">
        <f t="shared" si="146"/>
        <v>3.3479995332858774E-2</v>
      </c>
      <c r="DL174" s="64">
        <f t="shared" si="147"/>
        <v>3.3479995332858774E-2</v>
      </c>
      <c r="DM174" s="64">
        <f t="shared" si="148"/>
        <v>3.919719402161536E-2</v>
      </c>
      <c r="DN174" s="64">
        <f t="shared" si="149"/>
        <v>3.919719402161536E-2</v>
      </c>
      <c r="DO174" t="str">
        <f t="shared" si="150"/>
        <v>Insufficient Capacity</v>
      </c>
      <c r="DP174" t="str">
        <f t="shared" si="151"/>
        <v>Insufficient Capacity</v>
      </c>
    </row>
    <row r="175" spans="1:120" ht="15.75" x14ac:dyDescent="0.25">
      <c r="A175" s="5" t="s">
        <v>227</v>
      </c>
      <c r="B175" s="5" t="s">
        <v>227</v>
      </c>
      <c r="C175" s="2" t="s">
        <v>1051</v>
      </c>
      <c r="D175" s="2" t="s">
        <v>617</v>
      </c>
      <c r="E175" s="2" t="s">
        <v>617</v>
      </c>
      <c r="F175" s="2">
        <v>174</v>
      </c>
      <c r="G175" s="2" t="s">
        <v>1050</v>
      </c>
      <c r="H175" s="10" t="s">
        <v>656</v>
      </c>
      <c r="I175" s="2">
        <v>150</v>
      </c>
      <c r="J175" s="2">
        <v>65</v>
      </c>
      <c r="K175" s="2">
        <v>6.75</v>
      </c>
      <c r="L175" t="s">
        <v>399</v>
      </c>
      <c r="M175" s="2" t="s">
        <v>1120</v>
      </c>
      <c r="N175" s="2" t="s">
        <v>436</v>
      </c>
      <c r="O175" s="2" t="s">
        <v>653</v>
      </c>
      <c r="P175" s="2" t="s">
        <v>1124</v>
      </c>
      <c r="Q175" s="9" t="s">
        <v>716</v>
      </c>
      <c r="R175" s="2" t="str">
        <f t="shared" si="101"/>
        <v>CW_2_Section_1</v>
      </c>
      <c r="S175" s="2" t="str">
        <f t="shared" si="102"/>
        <v>CW_2_MF02</v>
      </c>
      <c r="T175" s="11" t="s">
        <v>1029</v>
      </c>
      <c r="U175" s="1">
        <v>45958</v>
      </c>
      <c r="V175" s="2" t="s">
        <v>752</v>
      </c>
      <c r="W175" s="2" t="s">
        <v>663</v>
      </c>
      <c r="X175" s="2" t="s">
        <v>1028</v>
      </c>
      <c r="Y175" s="2" t="str">
        <f t="shared" si="103"/>
        <v>T7_0.60-0.80</v>
      </c>
      <c r="Z175" t="s">
        <v>43</v>
      </c>
      <c r="AA175">
        <v>8.1</v>
      </c>
      <c r="AB175">
        <v>7.7</v>
      </c>
      <c r="AC175">
        <v>350</v>
      </c>
      <c r="AD175" s="32">
        <f t="shared" si="104"/>
        <v>0.13442580975547305</v>
      </c>
      <c r="AE175">
        <v>42</v>
      </c>
      <c r="AF175" s="32">
        <f t="shared" si="105"/>
        <v>1.64098111569351E-2</v>
      </c>
      <c r="AG175">
        <v>200</v>
      </c>
      <c r="AH175" s="32">
        <f t="shared" si="106"/>
        <v>7.9118395026843744E-2</v>
      </c>
      <c r="AI175">
        <v>96</v>
      </c>
      <c r="AJ175" s="32">
        <f t="shared" si="107"/>
        <v>3.7976829612884996E-2</v>
      </c>
      <c r="AK175">
        <v>130</v>
      </c>
      <c r="AL175" s="32">
        <f t="shared" si="108"/>
        <v>5.1426956767448434E-2</v>
      </c>
      <c r="AM175">
        <v>226</v>
      </c>
      <c r="AO175" s="49">
        <v>818</v>
      </c>
      <c r="AP175" s="49">
        <f t="shared" si="109"/>
        <v>0.22995401593925191</v>
      </c>
      <c r="AQ175">
        <v>800</v>
      </c>
      <c r="AR175" s="32">
        <f t="shared" si="110"/>
        <v>0.29960209097292656</v>
      </c>
      <c r="AS175" s="48">
        <v>660</v>
      </c>
      <c r="AT175" s="27">
        <f t="shared" si="111"/>
        <v>0.24717172505266444</v>
      </c>
      <c r="AU175" s="48">
        <v>2</v>
      </c>
      <c r="AV175" s="27">
        <f t="shared" si="112"/>
        <v>7.3592220251002033E-4</v>
      </c>
      <c r="AW175" s="48">
        <v>2</v>
      </c>
      <c r="AX175" s="27">
        <f t="shared" si="113"/>
        <v>7.5222099734128785E-4</v>
      </c>
      <c r="AY175" s="48">
        <v>1</v>
      </c>
      <c r="AZ175" s="27">
        <f t="shared" si="114"/>
        <v>3.7299963903260737E-4</v>
      </c>
      <c r="BA175" s="48">
        <v>1.5</v>
      </c>
      <c r="BB175" s="27">
        <f t="shared" si="115"/>
        <v>5.5546204342703253E-4</v>
      </c>
      <c r="BC175" s="48">
        <v>0.26</v>
      </c>
      <c r="BD175" s="27">
        <f t="shared" si="116"/>
        <v>9.6280087527352302E-5</v>
      </c>
      <c r="BE175" s="48">
        <v>0.02</v>
      </c>
      <c r="BF175" s="27">
        <f t="shared" si="117"/>
        <v>7.3176761433868973E-6</v>
      </c>
      <c r="BG175" s="48">
        <v>0.02</v>
      </c>
      <c r="BH175" s="27">
        <f t="shared" si="118"/>
        <v>7.3176761433868973E-6</v>
      </c>
      <c r="BI175" s="52">
        <f t="shared" si="119"/>
        <v>666.8</v>
      </c>
      <c r="BJ175" s="52">
        <f t="shared" si="120"/>
        <v>6.7999999999999989</v>
      </c>
      <c r="BK175" s="27">
        <f t="shared" si="121"/>
        <v>0.24969924537478955</v>
      </c>
      <c r="BL175" s="27">
        <f t="shared" si="122"/>
        <v>2.5275203221250746E-3</v>
      </c>
      <c r="BM175">
        <v>1700</v>
      </c>
      <c r="BN175">
        <v>200</v>
      </c>
      <c r="BO175" t="s">
        <v>19</v>
      </c>
      <c r="BP175">
        <v>1900</v>
      </c>
      <c r="BQ175">
        <v>67</v>
      </c>
      <c r="BR175" t="s">
        <v>443</v>
      </c>
      <c r="BS175">
        <v>0.49</v>
      </c>
      <c r="BT175">
        <v>1.41</v>
      </c>
      <c r="BU175">
        <v>13</v>
      </c>
      <c r="BV175">
        <v>-129</v>
      </c>
      <c r="BW175">
        <v>7.6</v>
      </c>
      <c r="BX175">
        <v>663</v>
      </c>
      <c r="BY175">
        <v>0.2</v>
      </c>
      <c r="BZ175">
        <v>0.01</v>
      </c>
      <c r="CA175" s="32">
        <v>2</v>
      </c>
      <c r="CB175" s="32">
        <f t="shared" si="123"/>
        <v>3.5810205908683973E-2</v>
      </c>
      <c r="CC175" s="32">
        <f t="shared" si="124"/>
        <v>3.5810205908683973E-2</v>
      </c>
      <c r="CD175" s="32">
        <v>1.4</v>
      </c>
      <c r="CE175" s="32">
        <f t="shared" si="125"/>
        <v>2.5486983433460765E-2</v>
      </c>
      <c r="CF175" s="32">
        <f t="shared" si="126"/>
        <v>5.097396686692153E-2</v>
      </c>
      <c r="CG175" s="27">
        <v>23</v>
      </c>
      <c r="CH175" s="27">
        <f t="shared" si="127"/>
        <v>0.23943368727878409</v>
      </c>
      <c r="CI175" s="27">
        <f t="shared" si="128"/>
        <v>1.9154694982302727</v>
      </c>
      <c r="CJ175" s="58">
        <v>2</v>
      </c>
      <c r="CK175" s="58">
        <v>8</v>
      </c>
      <c r="CL175" s="58">
        <v>0.16656256506350198</v>
      </c>
      <c r="CM175" s="58">
        <v>0.16656256506350198</v>
      </c>
      <c r="CN175" s="28">
        <v>2</v>
      </c>
      <c r="CO175" s="28">
        <v>8</v>
      </c>
      <c r="CP175" s="28">
        <v>0.16656256506350198</v>
      </c>
      <c r="CQ175" s="28">
        <v>0.16656256506350198</v>
      </c>
      <c r="CR175" s="32">
        <f t="shared" si="129"/>
        <v>1.1626067041432437</v>
      </c>
      <c r="CS175" s="32">
        <v>1.1626067041432437</v>
      </c>
      <c r="CT175" s="32">
        <f t="shared" si="130"/>
        <v>3.1626067041432435</v>
      </c>
      <c r="CU175" s="32">
        <f t="shared" si="131"/>
        <v>5.6626798641776964E-2</v>
      </c>
      <c r="CV175" s="32">
        <f t="shared" si="132"/>
        <v>5.6626798641776964E-2</v>
      </c>
      <c r="CW175" s="60">
        <f t="shared" si="133"/>
        <v>1.1626067041432437</v>
      </c>
      <c r="CX175" s="60">
        <v>1.1626067041432437</v>
      </c>
      <c r="CY175" s="60">
        <f t="shared" si="134"/>
        <v>3.1626067041432435</v>
      </c>
      <c r="CZ175" s="60">
        <f t="shared" si="135"/>
        <v>5.6626798641776964E-2</v>
      </c>
      <c r="DA175" s="60">
        <f t="shared" si="136"/>
        <v>5.6626798641776964E-2</v>
      </c>
      <c r="DB175" s="32">
        <f t="shared" si="137"/>
        <v>1.9154694982302727</v>
      </c>
      <c r="DC175">
        <f t="shared" si="138"/>
        <v>0.27416333057220044</v>
      </c>
      <c r="DD175">
        <f t="shared" si="139"/>
        <v>0.18592554577059905</v>
      </c>
      <c r="DE175">
        <f t="shared" si="140"/>
        <v>0.20654402805653252</v>
      </c>
      <c r="DF175">
        <f t="shared" si="141"/>
        <v>0.60753042617286857</v>
      </c>
      <c r="DG175">
        <f t="shared" si="142"/>
        <v>0.27416333057220044</v>
      </c>
      <c r="DH175">
        <f t="shared" si="143"/>
        <v>0.18592554577059905</v>
      </c>
      <c r="DI175">
        <f t="shared" si="144"/>
        <v>0.20654402805653252</v>
      </c>
      <c r="DJ175">
        <f t="shared" si="145"/>
        <v>0.60753042617286857</v>
      </c>
      <c r="DK175" s="64">
        <f t="shared" si="146"/>
        <v>0.25539277633997803</v>
      </c>
      <c r="DL175" s="64">
        <f t="shared" si="147"/>
        <v>0.25539277633997803</v>
      </c>
      <c r="DM175" s="64">
        <f t="shared" si="148"/>
        <v>0.25792029666210314</v>
      </c>
      <c r="DN175" s="64">
        <f t="shared" si="149"/>
        <v>0.25792029666210314</v>
      </c>
      <c r="DO175" t="str">
        <f t="shared" si="150"/>
        <v>Insufficient Capacity</v>
      </c>
      <c r="DP175" t="str">
        <f t="shared" si="151"/>
        <v>Insufficient Capacity</v>
      </c>
    </row>
    <row r="176" spans="1:120" ht="15.75" x14ac:dyDescent="0.25">
      <c r="A176" s="5" t="s">
        <v>228</v>
      </c>
      <c r="B176" s="5" t="s">
        <v>228</v>
      </c>
      <c r="C176" s="2" t="s">
        <v>1053</v>
      </c>
      <c r="D176" s="2" t="s">
        <v>618</v>
      </c>
      <c r="E176" s="2" t="s">
        <v>618</v>
      </c>
      <c r="F176" s="2">
        <v>175</v>
      </c>
      <c r="G176" s="2" t="s">
        <v>1052</v>
      </c>
      <c r="H176" s="10" t="s">
        <v>656</v>
      </c>
      <c r="I176" s="2">
        <v>150</v>
      </c>
      <c r="J176" s="2">
        <v>65</v>
      </c>
      <c r="K176" s="2">
        <v>42.2</v>
      </c>
      <c r="L176" t="s">
        <v>400</v>
      </c>
      <c r="M176" s="2" t="s">
        <v>1120</v>
      </c>
      <c r="N176" s="2" t="s">
        <v>436</v>
      </c>
      <c r="O176" s="2" t="s">
        <v>666</v>
      </c>
      <c r="P176" s="2" t="s">
        <v>1131</v>
      </c>
      <c r="Q176" s="9" t="s">
        <v>719</v>
      </c>
      <c r="R176" s="2" t="str">
        <f t="shared" si="101"/>
        <v>CW_2_Section_2</v>
      </c>
      <c r="S176" s="2" t="str">
        <f t="shared" si="102"/>
        <v>CW_2_MF05</v>
      </c>
      <c r="T176" s="11" t="s">
        <v>1029</v>
      </c>
      <c r="U176" s="1">
        <v>45958</v>
      </c>
      <c r="V176" s="2" t="s">
        <v>752</v>
      </c>
      <c r="W176" s="2" t="s">
        <v>655</v>
      </c>
      <c r="X176" s="2" t="s">
        <v>1028</v>
      </c>
      <c r="Y176" s="2" t="str">
        <f t="shared" si="103"/>
        <v>T7_0.15-0.30</v>
      </c>
      <c r="Z176" t="s">
        <v>35</v>
      </c>
      <c r="AA176">
        <v>10</v>
      </c>
      <c r="AB176">
        <v>11</v>
      </c>
      <c r="AC176">
        <v>2.8</v>
      </c>
      <c r="AD176" s="32">
        <f t="shared" si="104"/>
        <v>1.0754064780437844E-3</v>
      </c>
      <c r="AE176">
        <v>0.59</v>
      </c>
      <c r="AF176" s="32">
        <f t="shared" si="105"/>
        <v>2.3051877577599306E-4</v>
      </c>
      <c r="AG176">
        <v>4.7</v>
      </c>
      <c r="AH176" s="32">
        <f t="shared" si="106"/>
        <v>1.8592822831308281E-3</v>
      </c>
      <c r="AI176">
        <v>1.2</v>
      </c>
      <c r="AJ176" s="32">
        <f t="shared" si="107"/>
        <v>4.7471037016106243E-4</v>
      </c>
      <c r="AK176">
        <v>0.57999999999999996</v>
      </c>
      <c r="AL176" s="32">
        <f t="shared" si="108"/>
        <v>2.2944334557784682E-4</v>
      </c>
      <c r="AM176">
        <v>1.78</v>
      </c>
      <c r="AO176" s="49">
        <v>9.8699999999999992</v>
      </c>
      <c r="AP176" s="49">
        <f t="shared" si="109"/>
        <v>3.1652075369506052E-3</v>
      </c>
      <c r="AQ176">
        <v>20</v>
      </c>
      <c r="AR176" s="32">
        <f t="shared" si="110"/>
        <v>7.4900522743231637E-3</v>
      </c>
      <c r="AS176" s="48">
        <v>19</v>
      </c>
      <c r="AT176" s="27">
        <f t="shared" si="111"/>
        <v>7.1155496606070054E-3</v>
      </c>
      <c r="AU176" s="48">
        <v>0.01</v>
      </c>
      <c r="AV176" s="27">
        <f t="shared" si="112"/>
        <v>3.6796110125501018E-6</v>
      </c>
      <c r="AW176" s="48">
        <v>0.14000000000000001</v>
      </c>
      <c r="AX176" s="27">
        <f t="shared" si="113"/>
        <v>5.2655469813890153E-5</v>
      </c>
      <c r="AY176" s="48">
        <v>5.0000000000000001E-3</v>
      </c>
      <c r="AZ176" s="27">
        <f t="shared" si="114"/>
        <v>1.8649981951630372E-6</v>
      </c>
      <c r="BA176" s="48">
        <v>1E-3</v>
      </c>
      <c r="BB176" s="27">
        <f t="shared" si="115"/>
        <v>3.7030802895135499E-7</v>
      </c>
      <c r="BC176" s="48">
        <v>1E-3</v>
      </c>
      <c r="BD176" s="27">
        <f t="shared" si="116"/>
        <v>3.7030802895135499E-7</v>
      </c>
      <c r="BE176" s="48">
        <v>1E-3</v>
      </c>
      <c r="BF176" s="27">
        <f t="shared" si="117"/>
        <v>3.6588380716934485E-7</v>
      </c>
      <c r="BG176" s="48">
        <v>2E-3</v>
      </c>
      <c r="BH176" s="27">
        <f t="shared" si="118"/>
        <v>7.3176761433868969E-7</v>
      </c>
      <c r="BI176" s="52">
        <f t="shared" si="119"/>
        <v>19.160000000000004</v>
      </c>
      <c r="BJ176" s="52">
        <f t="shared" si="120"/>
        <v>0.16000000000000003</v>
      </c>
      <c r="BK176" s="27">
        <f t="shared" si="121"/>
        <v>7.17558800710802E-3</v>
      </c>
      <c r="BL176" s="27">
        <f t="shared" si="122"/>
        <v>6.0038346501014035E-5</v>
      </c>
      <c r="BM176">
        <v>30</v>
      </c>
      <c r="BN176">
        <v>2.5</v>
      </c>
      <c r="BO176" t="s">
        <v>19</v>
      </c>
      <c r="BP176">
        <v>50</v>
      </c>
      <c r="BQ176">
        <v>42</v>
      </c>
      <c r="BR176" t="s">
        <v>443</v>
      </c>
      <c r="BS176">
        <v>1.5</v>
      </c>
      <c r="BT176">
        <v>1.99</v>
      </c>
      <c r="BU176">
        <v>12</v>
      </c>
      <c r="BV176">
        <v>-90</v>
      </c>
      <c r="BW176">
        <v>7.2</v>
      </c>
      <c r="BX176">
        <v>563</v>
      </c>
      <c r="BY176">
        <v>0.1</v>
      </c>
      <c r="BZ176">
        <v>0.01</v>
      </c>
      <c r="CA176" s="32">
        <v>8.1999999999999993</v>
      </c>
      <c r="CB176" s="32">
        <f t="shared" si="123"/>
        <v>0.14682184422560429</v>
      </c>
      <c r="CC176" s="32">
        <f t="shared" si="124"/>
        <v>0.14682184422560429</v>
      </c>
      <c r="CD176" s="32">
        <v>2.2999999999999998</v>
      </c>
      <c r="CE176" s="32">
        <f t="shared" si="125"/>
        <v>4.1871472783542689E-2</v>
      </c>
      <c r="CF176" s="32">
        <f t="shared" si="126"/>
        <v>8.3742945567085378E-2</v>
      </c>
      <c r="CG176" s="27">
        <v>7</v>
      </c>
      <c r="CH176" s="27">
        <f t="shared" si="127"/>
        <v>7.2871122215282108E-2</v>
      </c>
      <c r="CI176" s="27">
        <f t="shared" si="128"/>
        <v>0.58296897772225686</v>
      </c>
      <c r="CJ176" s="58">
        <v>18</v>
      </c>
      <c r="CK176" s="58">
        <v>72</v>
      </c>
      <c r="CL176" s="58">
        <v>1.4990630855715177</v>
      </c>
      <c r="CM176" s="58">
        <v>1.4990630855715177</v>
      </c>
      <c r="CN176" s="28">
        <v>23</v>
      </c>
      <c r="CO176" s="28">
        <v>76.666666666666671</v>
      </c>
      <c r="CP176" s="28">
        <v>1.9154694982302727</v>
      </c>
      <c r="CQ176" s="28">
        <v>1.9154694982302727</v>
      </c>
      <c r="CR176" s="32">
        <f t="shared" si="129"/>
        <v>10.463460337289193</v>
      </c>
      <c r="CS176" s="32">
        <v>10.463460337289193</v>
      </c>
      <c r="CT176" s="32">
        <f t="shared" si="130"/>
        <v>18.663460337289195</v>
      </c>
      <c r="CU176" s="32">
        <f t="shared" si="131"/>
        <v>0.33417117882344127</v>
      </c>
      <c r="CV176" s="32">
        <f t="shared" si="132"/>
        <v>0.33417117882344127</v>
      </c>
      <c r="CW176" s="60">
        <f t="shared" si="133"/>
        <v>13.369977097647302</v>
      </c>
      <c r="CX176" s="60">
        <v>13.369977097647302</v>
      </c>
      <c r="CY176" s="60">
        <f t="shared" si="134"/>
        <v>21.569977097647303</v>
      </c>
      <c r="CZ176" s="60">
        <f t="shared" si="135"/>
        <v>0.38621266065617371</v>
      </c>
      <c r="DA176" s="60">
        <f t="shared" si="136"/>
        <v>0.38621266065617371</v>
      </c>
      <c r="DB176" s="32">
        <f t="shared" si="137"/>
        <v>0.58296897772225686</v>
      </c>
      <c r="DC176">
        <f t="shared" si="138"/>
        <v>1.9169772099620443</v>
      </c>
      <c r="DD176">
        <f t="shared" si="139"/>
        <v>4.3684893660652056E-2</v>
      </c>
      <c r="DE176">
        <f t="shared" si="140"/>
        <v>0.17432193616431035</v>
      </c>
      <c r="DF176">
        <f t="shared" si="141"/>
        <v>0.78199317017503756</v>
      </c>
      <c r="DG176">
        <f t="shared" si="142"/>
        <v>2.3854251044535317</v>
      </c>
      <c r="DH176">
        <f t="shared" si="143"/>
        <v>3.510608881022477E-2</v>
      </c>
      <c r="DI176">
        <f t="shared" si="144"/>
        <v>0.16190517150805694</v>
      </c>
      <c r="DJ176">
        <f t="shared" si="145"/>
        <v>0.80298873968171836</v>
      </c>
      <c r="DK176" s="64">
        <f t="shared" si="146"/>
        <v>-1.9063219501507707</v>
      </c>
      <c r="DL176" s="64">
        <f t="shared" si="147"/>
        <v>-2.374769844642258</v>
      </c>
      <c r="DM176" s="64">
        <f t="shared" si="148"/>
        <v>-1.9062619118042696</v>
      </c>
      <c r="DN176" s="64">
        <f t="shared" si="149"/>
        <v>-2.374709806295757</v>
      </c>
      <c r="DO176" t="str">
        <f t="shared" si="150"/>
        <v>Sufficient Capacity</v>
      </c>
      <c r="DP176" t="str">
        <f t="shared" si="151"/>
        <v>Sufficient Capacity</v>
      </c>
    </row>
    <row r="177" spans="1:120" ht="15.75" x14ac:dyDescent="0.25">
      <c r="A177" s="5" t="s">
        <v>229</v>
      </c>
      <c r="B177" s="5" t="s">
        <v>229</v>
      </c>
      <c r="C177" s="2" t="s">
        <v>1055</v>
      </c>
      <c r="D177" s="2" t="s">
        <v>619</v>
      </c>
      <c r="E177" s="2" t="s">
        <v>619</v>
      </c>
      <c r="F177" s="2">
        <v>176</v>
      </c>
      <c r="G177" s="2" t="s">
        <v>1054</v>
      </c>
      <c r="H177" s="10" t="s">
        <v>656</v>
      </c>
      <c r="I177" s="2">
        <v>150</v>
      </c>
      <c r="J177" s="2">
        <v>65</v>
      </c>
      <c r="K177" s="2">
        <v>6.05</v>
      </c>
      <c r="L177" t="s">
        <v>401</v>
      </c>
      <c r="M177" s="2" t="s">
        <v>1120</v>
      </c>
      <c r="N177" s="2" t="s">
        <v>436</v>
      </c>
      <c r="O177" s="2" t="s">
        <v>666</v>
      </c>
      <c r="P177" s="2" t="s">
        <v>1132</v>
      </c>
      <c r="Q177" s="9" t="s">
        <v>722</v>
      </c>
      <c r="R177" s="2" t="str">
        <f t="shared" si="101"/>
        <v>CW_2_Section_2</v>
      </c>
      <c r="S177" s="2" t="str">
        <f t="shared" si="102"/>
        <v>CW_2_MF06</v>
      </c>
      <c r="T177" s="11" t="s">
        <v>1029</v>
      </c>
      <c r="U177" s="1">
        <v>45958</v>
      </c>
      <c r="V177" s="2" t="s">
        <v>752</v>
      </c>
      <c r="W177" s="2" t="s">
        <v>663</v>
      </c>
      <c r="X177" s="2" t="s">
        <v>1028</v>
      </c>
      <c r="Y177" s="2" t="str">
        <f t="shared" si="103"/>
        <v>T7_0.60-0.80</v>
      </c>
      <c r="Z177" t="s">
        <v>37</v>
      </c>
      <c r="AA177">
        <v>6</v>
      </c>
      <c r="AB177">
        <v>6.2</v>
      </c>
      <c r="AC177">
        <v>140</v>
      </c>
      <c r="AD177" s="32">
        <f t="shared" si="104"/>
        <v>5.3770323902189221E-2</v>
      </c>
      <c r="AE177">
        <v>14</v>
      </c>
      <c r="AF177" s="32">
        <f t="shared" si="105"/>
        <v>5.4699370523116995E-3</v>
      </c>
      <c r="AG177">
        <v>63</v>
      </c>
      <c r="AH177" s="32">
        <f t="shared" si="106"/>
        <v>2.4922294433455779E-2</v>
      </c>
      <c r="AI177">
        <v>29</v>
      </c>
      <c r="AJ177" s="32">
        <f t="shared" si="107"/>
        <v>1.1472167278892343E-2</v>
      </c>
      <c r="AK177">
        <v>22</v>
      </c>
      <c r="AL177" s="32">
        <f t="shared" si="108"/>
        <v>8.7030234529528114E-3</v>
      </c>
      <c r="AM177">
        <v>51</v>
      </c>
      <c r="AO177" s="49">
        <v>268</v>
      </c>
      <c r="AP177" s="49">
        <f t="shared" si="109"/>
        <v>8.4162555387956695E-2</v>
      </c>
      <c r="AQ177">
        <v>220</v>
      </c>
      <c r="AR177" s="32">
        <f t="shared" si="110"/>
        <v>8.2390575017554812E-2</v>
      </c>
      <c r="AS177" s="48">
        <v>59</v>
      </c>
      <c r="AT177" s="27">
        <f t="shared" si="111"/>
        <v>2.2095654209253336E-2</v>
      </c>
      <c r="AU177" s="48">
        <v>7.3</v>
      </c>
      <c r="AV177" s="27">
        <f t="shared" si="112"/>
        <v>2.6861160391615743E-3</v>
      </c>
      <c r="AW177" s="48">
        <v>3.9</v>
      </c>
      <c r="AX177" s="27">
        <f t="shared" si="113"/>
        <v>1.4668309448155113E-3</v>
      </c>
      <c r="AY177" s="48">
        <v>0.13</v>
      </c>
      <c r="AZ177" s="27">
        <f t="shared" si="114"/>
        <v>4.8489953074238965E-5</v>
      </c>
      <c r="BA177" s="48">
        <v>3.8</v>
      </c>
      <c r="BB177" s="27">
        <f t="shared" si="115"/>
        <v>1.4071705100151489E-3</v>
      </c>
      <c r="BC177" s="48">
        <v>0.51</v>
      </c>
      <c r="BD177" s="27">
        <f t="shared" si="116"/>
        <v>1.8885709476519107E-4</v>
      </c>
      <c r="BE177" s="48">
        <v>0.05</v>
      </c>
      <c r="BF177" s="27">
        <f t="shared" si="117"/>
        <v>1.8294190358467248E-5</v>
      </c>
      <c r="BG177" s="48">
        <v>0.03</v>
      </c>
      <c r="BH177" s="27">
        <f t="shared" si="118"/>
        <v>1.0976514215080345E-5</v>
      </c>
      <c r="BI177" s="52">
        <f t="shared" si="119"/>
        <v>74.72</v>
      </c>
      <c r="BJ177" s="52">
        <f t="shared" si="120"/>
        <v>15.719999999999999</v>
      </c>
      <c r="BK177" s="27">
        <f t="shared" si="121"/>
        <v>2.7922389455658548E-2</v>
      </c>
      <c r="BL177" s="27">
        <f t="shared" si="122"/>
        <v>5.8267352464052126E-3</v>
      </c>
      <c r="BM177">
        <v>410</v>
      </c>
      <c r="BN177">
        <v>160</v>
      </c>
      <c r="BO177" t="s">
        <v>19</v>
      </c>
      <c r="BP177">
        <v>570</v>
      </c>
      <c r="BQ177">
        <v>55</v>
      </c>
      <c r="BR177" t="s">
        <v>443</v>
      </c>
      <c r="BS177">
        <v>0.27</v>
      </c>
      <c r="BT177">
        <v>0.95</v>
      </c>
      <c r="BU177">
        <v>12</v>
      </c>
      <c r="BV177">
        <v>-230</v>
      </c>
      <c r="BW177">
        <v>7.2</v>
      </c>
      <c r="BX177">
        <v>500</v>
      </c>
      <c r="BY177">
        <v>0.2</v>
      </c>
      <c r="BZ177">
        <v>0.01</v>
      </c>
      <c r="CA177" s="32">
        <v>3.4</v>
      </c>
      <c r="CB177" s="32">
        <f t="shared" si="123"/>
        <v>6.0877350044762753E-2</v>
      </c>
      <c r="CC177" s="32">
        <f t="shared" si="124"/>
        <v>6.0877350044762753E-2</v>
      </c>
      <c r="CD177" s="32">
        <v>1.6</v>
      </c>
      <c r="CE177" s="32">
        <f t="shared" si="125"/>
        <v>2.912798106681231E-2</v>
      </c>
      <c r="CF177" s="32">
        <f t="shared" si="126"/>
        <v>5.825596213362462E-2</v>
      </c>
      <c r="CG177" s="27">
        <v>19</v>
      </c>
      <c r="CH177" s="27">
        <f t="shared" si="127"/>
        <v>0.19779304601290859</v>
      </c>
      <c r="CI177" s="27">
        <f t="shared" si="128"/>
        <v>1.5823443681032687</v>
      </c>
      <c r="CJ177" s="58">
        <v>6</v>
      </c>
      <c r="CK177" s="58">
        <v>24</v>
      </c>
      <c r="CL177" s="58">
        <v>0.49968769519050593</v>
      </c>
      <c r="CM177" s="58">
        <v>0.49968769519050593</v>
      </c>
      <c r="CN177" s="28">
        <v>4</v>
      </c>
      <c r="CO177" s="28">
        <v>17.391304347826086</v>
      </c>
      <c r="CP177" s="28">
        <v>0.33312513012700395</v>
      </c>
      <c r="CQ177" s="28">
        <v>0.33312513012700395</v>
      </c>
      <c r="CR177" s="32">
        <f t="shared" si="129"/>
        <v>3.4878201124297314</v>
      </c>
      <c r="CS177" s="32">
        <v>3.4878201124297314</v>
      </c>
      <c r="CT177" s="32">
        <f t="shared" si="130"/>
        <v>6.8878201124297309</v>
      </c>
      <c r="CU177" s="32">
        <f t="shared" si="131"/>
        <v>0.12332712824404173</v>
      </c>
      <c r="CV177" s="32">
        <f t="shared" si="132"/>
        <v>0.12332712824404173</v>
      </c>
      <c r="CW177" s="60">
        <f t="shared" si="133"/>
        <v>2.3252134082864875</v>
      </c>
      <c r="CX177" s="60">
        <v>2.3252134082864875</v>
      </c>
      <c r="CY177" s="60">
        <f t="shared" si="134"/>
        <v>5.7252134082864874</v>
      </c>
      <c r="CZ177" s="60">
        <f t="shared" si="135"/>
        <v>0.10251053551094874</v>
      </c>
      <c r="DA177" s="60">
        <f t="shared" si="136"/>
        <v>0.10251053551094874</v>
      </c>
      <c r="DB177" s="32">
        <f t="shared" si="137"/>
        <v>1.5823443681032687</v>
      </c>
      <c r="DC177">
        <f t="shared" si="138"/>
        <v>0.68127078556817233</v>
      </c>
      <c r="DD177">
        <f t="shared" si="139"/>
        <v>8.5510729900211108E-2</v>
      </c>
      <c r="DE177">
        <f t="shared" si="140"/>
        <v>0.1810251237196209</v>
      </c>
      <c r="DF177">
        <f t="shared" si="141"/>
        <v>0.73346414638016788</v>
      </c>
      <c r="DG177">
        <f t="shared" si="142"/>
        <v>0.4938916277715773</v>
      </c>
      <c r="DH177">
        <f t="shared" si="143"/>
        <v>0.11795292501003428</v>
      </c>
      <c r="DI177">
        <f t="shared" si="144"/>
        <v>0.2075567386583832</v>
      </c>
      <c r="DJ177">
        <f t="shared" si="145"/>
        <v>0.67449033633158251</v>
      </c>
      <c r="DK177" s="64">
        <f t="shared" si="146"/>
        <v>-0.51471765516266088</v>
      </c>
      <c r="DL177" s="64">
        <f t="shared" si="147"/>
        <v>-0.32733849736606579</v>
      </c>
      <c r="DM177" s="64">
        <f t="shared" si="148"/>
        <v>-0.50889091991625568</v>
      </c>
      <c r="DN177" s="64">
        <f t="shared" si="149"/>
        <v>-0.32151176211966059</v>
      </c>
      <c r="DO177" t="str">
        <f t="shared" si="150"/>
        <v>Sufficient Capacity</v>
      </c>
      <c r="DP177" t="str">
        <f t="shared" si="151"/>
        <v>Sufficient Capacity</v>
      </c>
    </row>
    <row r="178" spans="1:120" ht="15.75" x14ac:dyDescent="0.25">
      <c r="A178" s="5" t="s">
        <v>230</v>
      </c>
      <c r="B178" s="5" t="s">
        <v>230</v>
      </c>
      <c r="C178" s="2" t="s">
        <v>1057</v>
      </c>
      <c r="D178" s="2" t="s">
        <v>620</v>
      </c>
      <c r="E178" s="2" t="s">
        <v>620</v>
      </c>
      <c r="F178" s="2">
        <v>177</v>
      </c>
      <c r="G178" s="2" t="s">
        <v>1056</v>
      </c>
      <c r="H178" s="10" t="s">
        <v>656</v>
      </c>
      <c r="I178" s="2">
        <v>150</v>
      </c>
      <c r="J178" s="2">
        <v>65</v>
      </c>
      <c r="K178" s="2">
        <v>8.6999999999999993</v>
      </c>
      <c r="L178" t="s">
        <v>408</v>
      </c>
      <c r="M178" s="2" t="s">
        <v>1120</v>
      </c>
      <c r="N178" s="2" t="s">
        <v>436</v>
      </c>
      <c r="O178" s="2" t="s">
        <v>673</v>
      </c>
      <c r="P178" s="2" t="s">
        <v>1127</v>
      </c>
      <c r="Q178" s="9" t="s">
        <v>725</v>
      </c>
      <c r="R178" s="2" t="str">
        <f t="shared" si="101"/>
        <v>CW_2_Section_3</v>
      </c>
      <c r="S178" s="2" t="str">
        <f t="shared" si="102"/>
        <v>CW_2_MF09</v>
      </c>
      <c r="T178" s="11" t="s">
        <v>1029</v>
      </c>
      <c r="U178" s="1">
        <v>45959</v>
      </c>
      <c r="V178" s="2" t="s">
        <v>752</v>
      </c>
      <c r="W178" s="2" t="s">
        <v>655</v>
      </c>
      <c r="X178" s="2" t="s">
        <v>1028</v>
      </c>
      <c r="Y178" s="2" t="str">
        <f t="shared" si="103"/>
        <v>T7_0.15-0.30</v>
      </c>
      <c r="Z178" t="s">
        <v>45</v>
      </c>
      <c r="AA178">
        <v>8.1999999999999993</v>
      </c>
      <c r="AB178">
        <v>8.3000000000000007</v>
      </c>
      <c r="AC178">
        <v>110</v>
      </c>
      <c r="AD178" s="32">
        <f t="shared" si="104"/>
        <v>4.2248111637434388E-2</v>
      </c>
      <c r="AE178">
        <v>1.4</v>
      </c>
      <c r="AF178" s="32">
        <f t="shared" si="105"/>
        <v>5.4699370523116997E-4</v>
      </c>
      <c r="AG178">
        <v>81</v>
      </c>
      <c r="AH178" s="32">
        <f t="shared" si="106"/>
        <v>3.2042949985871712E-2</v>
      </c>
      <c r="AI178">
        <v>19</v>
      </c>
      <c r="AJ178" s="32">
        <f t="shared" si="107"/>
        <v>7.5162475275501557E-3</v>
      </c>
      <c r="AK178">
        <v>15</v>
      </c>
      <c r="AL178" s="32">
        <f t="shared" si="108"/>
        <v>5.9338796270132811E-3</v>
      </c>
      <c r="AM178">
        <v>34</v>
      </c>
      <c r="AO178" s="49">
        <v>226.4</v>
      </c>
      <c r="AP178" s="49">
        <f t="shared" si="109"/>
        <v>7.4838055328537267E-2</v>
      </c>
      <c r="AQ178">
        <v>470</v>
      </c>
      <c r="AR178" s="32">
        <f t="shared" si="110"/>
        <v>0.17601622844659437</v>
      </c>
      <c r="AS178" s="48">
        <v>55</v>
      </c>
      <c r="AT178" s="27">
        <f t="shared" si="111"/>
        <v>2.0597643754388703E-2</v>
      </c>
      <c r="AU178" s="48">
        <v>1</v>
      </c>
      <c r="AV178" s="27">
        <f t="shared" si="112"/>
        <v>3.6796110125501016E-4</v>
      </c>
      <c r="AW178" s="48">
        <v>44</v>
      </c>
      <c r="AX178" s="27">
        <f t="shared" si="113"/>
        <v>1.6548861941508335E-2</v>
      </c>
      <c r="AY178" s="48">
        <v>9.8000000000000007</v>
      </c>
      <c r="AZ178" s="27">
        <f t="shared" si="114"/>
        <v>3.655396462519553E-3</v>
      </c>
      <c r="BA178" s="48">
        <v>3.1</v>
      </c>
      <c r="BB178" s="27">
        <f t="shared" si="115"/>
        <v>1.1479548897492004E-3</v>
      </c>
      <c r="BC178" s="48">
        <v>0.1</v>
      </c>
      <c r="BD178" s="27">
        <f t="shared" si="116"/>
        <v>3.7030802895135498E-5</v>
      </c>
      <c r="BE178" s="48">
        <v>0.1</v>
      </c>
      <c r="BF178" s="27">
        <f t="shared" si="117"/>
        <v>3.6588380716934496E-5</v>
      </c>
      <c r="BG178" s="48">
        <v>0.2</v>
      </c>
      <c r="BH178" s="27">
        <f t="shared" si="118"/>
        <v>7.3176761433868992E-5</v>
      </c>
      <c r="BI178" s="52">
        <f t="shared" si="119"/>
        <v>113.29999999999998</v>
      </c>
      <c r="BJ178" s="52">
        <f t="shared" si="120"/>
        <v>58.300000000000004</v>
      </c>
      <c r="BK178" s="27">
        <f t="shared" si="121"/>
        <v>4.2464614094466738E-2</v>
      </c>
      <c r="BL178" s="27">
        <f t="shared" si="122"/>
        <v>2.1866970340078038E-2</v>
      </c>
      <c r="BM178">
        <v>870</v>
      </c>
      <c r="BN178">
        <v>370</v>
      </c>
      <c r="BO178" t="s">
        <v>19</v>
      </c>
      <c r="BP178">
        <v>1200</v>
      </c>
      <c r="BQ178">
        <v>53</v>
      </c>
      <c r="BR178" t="s">
        <v>443</v>
      </c>
      <c r="BS178">
        <v>0.25</v>
      </c>
      <c r="BT178">
        <v>0.96</v>
      </c>
      <c r="BU178">
        <v>12</v>
      </c>
      <c r="BV178">
        <v>-110</v>
      </c>
      <c r="BW178">
        <v>7.3</v>
      </c>
      <c r="BX178">
        <v>660</v>
      </c>
      <c r="BY178">
        <v>0.1</v>
      </c>
      <c r="BZ178">
        <v>0.01</v>
      </c>
      <c r="CA178" s="32">
        <v>11</v>
      </c>
      <c r="CB178" s="32">
        <f t="shared" si="123"/>
        <v>0.19695613249776187</v>
      </c>
      <c r="CC178" s="32">
        <f t="shared" si="124"/>
        <v>0.19695613249776187</v>
      </c>
      <c r="CD178" s="32">
        <v>3.1</v>
      </c>
      <c r="CE178" s="32">
        <f t="shared" si="125"/>
        <v>5.6435463316948847E-2</v>
      </c>
      <c r="CF178" s="32">
        <f t="shared" si="126"/>
        <v>0.11287092663389769</v>
      </c>
      <c r="CG178" s="27">
        <v>0.5</v>
      </c>
      <c r="CH178" s="27">
        <f t="shared" si="127"/>
        <v>5.2050801582344368E-3</v>
      </c>
      <c r="CI178" s="27">
        <f t="shared" si="128"/>
        <v>4.1640641265875494E-2</v>
      </c>
      <c r="CJ178" s="58">
        <v>24.5</v>
      </c>
      <c r="CK178" s="58">
        <v>98</v>
      </c>
      <c r="CL178" s="58">
        <v>2.0403914220278994</v>
      </c>
      <c r="CM178" s="58">
        <v>2.0403914220278994</v>
      </c>
      <c r="CN178" s="28">
        <v>6.5</v>
      </c>
      <c r="CO178" s="28">
        <v>92.857142857142861</v>
      </c>
      <c r="CP178" s="28">
        <v>0.54132833645638145</v>
      </c>
      <c r="CQ178" s="28">
        <v>0.54132833645638145</v>
      </c>
      <c r="CR178" s="32">
        <f t="shared" si="129"/>
        <v>14.241932125754737</v>
      </c>
      <c r="CS178" s="32">
        <v>14.241932125754737</v>
      </c>
      <c r="CT178" s="32">
        <f t="shared" si="130"/>
        <v>25.241932125754737</v>
      </c>
      <c r="CU178" s="32">
        <f t="shared" si="131"/>
        <v>0.45195939347815106</v>
      </c>
      <c r="CV178" s="32">
        <f t="shared" si="132"/>
        <v>0.45195939347815106</v>
      </c>
      <c r="CW178" s="60">
        <f t="shared" si="133"/>
        <v>3.7784717884655423</v>
      </c>
      <c r="CX178" s="60">
        <v>3.7784717884655423</v>
      </c>
      <c r="CY178" s="60">
        <f t="shared" si="134"/>
        <v>14.778471788465541</v>
      </c>
      <c r="CZ178" s="60">
        <f t="shared" si="135"/>
        <v>0.26461005888031408</v>
      </c>
      <c r="DA178" s="60">
        <f t="shared" si="136"/>
        <v>0.26461005888031408</v>
      </c>
      <c r="DB178" s="32">
        <f t="shared" si="137"/>
        <v>4.1640641265875494E-2</v>
      </c>
      <c r="DC178">
        <f t="shared" si="138"/>
        <v>2.6052217421399479</v>
      </c>
      <c r="DD178">
        <f t="shared" si="139"/>
        <v>4.3324882795268208E-2</v>
      </c>
      <c r="DE178">
        <f t="shared" si="140"/>
        <v>0.17348212099094043</v>
      </c>
      <c r="DF178">
        <f t="shared" si="141"/>
        <v>0.78319299621379146</v>
      </c>
      <c r="DG178">
        <f t="shared" si="142"/>
        <v>0.91880932197059328</v>
      </c>
      <c r="DH178">
        <f t="shared" si="143"/>
        <v>0.12284477740367349</v>
      </c>
      <c r="DI178">
        <f t="shared" si="144"/>
        <v>0.28799235331308815</v>
      </c>
      <c r="DJ178">
        <f t="shared" si="145"/>
        <v>0.58916286928323824</v>
      </c>
      <c r="DK178" s="64">
        <f t="shared" si="146"/>
        <v>-2.3543674583648162</v>
      </c>
      <c r="DL178" s="64">
        <f t="shared" si="147"/>
        <v>-0.66795503819546165</v>
      </c>
      <c r="DM178" s="64">
        <f t="shared" si="148"/>
        <v>-2.3325004880247384</v>
      </c>
      <c r="DN178" s="64">
        <f t="shared" si="149"/>
        <v>-0.64608806785538353</v>
      </c>
      <c r="DO178" t="str">
        <f t="shared" si="150"/>
        <v>Sufficient Capacity</v>
      </c>
      <c r="DP178" t="str">
        <f t="shared" si="151"/>
        <v>Sufficient Capacity</v>
      </c>
    </row>
    <row r="179" spans="1:120" ht="15.75" x14ac:dyDescent="0.25">
      <c r="A179" s="5" t="s">
        <v>231</v>
      </c>
      <c r="B179" s="5" t="s">
        <v>231</v>
      </c>
      <c r="C179" s="2" t="s">
        <v>1059</v>
      </c>
      <c r="D179" s="2" t="s">
        <v>621</v>
      </c>
      <c r="E179" s="2" t="s">
        <v>621</v>
      </c>
      <c r="F179" s="2">
        <v>178</v>
      </c>
      <c r="G179" s="2" t="s">
        <v>1058</v>
      </c>
      <c r="H179" s="10" t="s">
        <v>656</v>
      </c>
      <c r="I179" s="2">
        <v>150</v>
      </c>
      <c r="J179" s="2">
        <v>65</v>
      </c>
      <c r="K179" s="2">
        <v>21.55</v>
      </c>
      <c r="L179" t="s">
        <v>409</v>
      </c>
      <c r="M179" s="2" t="s">
        <v>1120</v>
      </c>
      <c r="N179" s="2" t="s">
        <v>436</v>
      </c>
      <c r="O179" s="2" t="s">
        <v>673</v>
      </c>
      <c r="P179" s="2" t="s">
        <v>1128</v>
      </c>
      <c r="Q179" s="9" t="s">
        <v>728</v>
      </c>
      <c r="R179" s="2" t="str">
        <f t="shared" si="101"/>
        <v>CW_2_Section_3</v>
      </c>
      <c r="S179" s="2" t="str">
        <f t="shared" si="102"/>
        <v>CW_2_MF10</v>
      </c>
      <c r="T179" s="11" t="s">
        <v>1029</v>
      </c>
      <c r="U179" s="1">
        <v>45959</v>
      </c>
      <c r="V179" s="2" t="s">
        <v>752</v>
      </c>
      <c r="W179" s="2" t="s">
        <v>663</v>
      </c>
      <c r="X179" s="2" t="s">
        <v>1028</v>
      </c>
      <c r="Y179" s="2" t="str">
        <f t="shared" si="103"/>
        <v>T7_0.60-0.80</v>
      </c>
      <c r="Z179" t="s">
        <v>47</v>
      </c>
      <c r="AA179">
        <v>7.5</v>
      </c>
      <c r="AB179">
        <v>9.6999999999999993</v>
      </c>
      <c r="AC179">
        <v>1.1000000000000001</v>
      </c>
      <c r="AD179" s="32">
        <f t="shared" si="104"/>
        <v>4.2248111637434386E-4</v>
      </c>
      <c r="AE179">
        <v>0.32</v>
      </c>
      <c r="AF179" s="32">
        <f t="shared" si="105"/>
        <v>1.2502713262426741E-4</v>
      </c>
      <c r="AG179">
        <v>2.4</v>
      </c>
      <c r="AH179" s="32">
        <f t="shared" si="106"/>
        <v>9.4942074032212487E-4</v>
      </c>
      <c r="AI179">
        <v>1.3</v>
      </c>
      <c r="AJ179" s="32">
        <f t="shared" si="107"/>
        <v>5.1426956767448438E-4</v>
      </c>
      <c r="AK179">
        <v>0.91</v>
      </c>
      <c r="AL179" s="32">
        <f t="shared" si="108"/>
        <v>3.5998869737213898E-4</v>
      </c>
      <c r="AM179">
        <v>2.21</v>
      </c>
      <c r="AO179" s="49">
        <v>6.03</v>
      </c>
      <c r="AP179" s="49">
        <f t="shared" si="109"/>
        <v>1.4969289893207362E-3</v>
      </c>
      <c r="AQ179">
        <v>4.2</v>
      </c>
      <c r="AR179" s="32">
        <f t="shared" si="110"/>
        <v>1.5729109776078647E-3</v>
      </c>
      <c r="AS179" s="48">
        <v>0.1</v>
      </c>
      <c r="AT179" s="27">
        <f t="shared" si="111"/>
        <v>3.7450261371615827E-5</v>
      </c>
      <c r="AU179" s="48">
        <v>0.01</v>
      </c>
      <c r="AV179" s="27">
        <f t="shared" si="112"/>
        <v>3.6796110125501018E-6</v>
      </c>
      <c r="AW179" s="48">
        <v>0.01</v>
      </c>
      <c r="AX179" s="27">
        <f t="shared" si="113"/>
        <v>3.7611049867064394E-6</v>
      </c>
      <c r="AY179" s="48">
        <v>5.0000000000000001E-3</v>
      </c>
      <c r="AZ179" s="27">
        <f t="shared" si="114"/>
        <v>1.8649981951630372E-6</v>
      </c>
      <c r="BA179" s="48">
        <v>1E-3</v>
      </c>
      <c r="BB179" s="27">
        <f t="shared" si="115"/>
        <v>3.7030802895135499E-7</v>
      </c>
      <c r="BC179" s="48">
        <v>1E-3</v>
      </c>
      <c r="BD179" s="27">
        <f t="shared" si="116"/>
        <v>3.7030802895135499E-7</v>
      </c>
      <c r="BE179" s="48">
        <v>1E-3</v>
      </c>
      <c r="BF179" s="27">
        <f t="shared" si="117"/>
        <v>3.6588380716934485E-7</v>
      </c>
      <c r="BG179" s="48">
        <v>2E-3</v>
      </c>
      <c r="BH179" s="27">
        <f t="shared" si="118"/>
        <v>7.3176761433868969E-7</v>
      </c>
      <c r="BI179" s="52">
        <f t="shared" si="119"/>
        <v>0.13</v>
      </c>
      <c r="BJ179" s="52">
        <f t="shared" si="120"/>
        <v>3.0000000000000006E-2</v>
      </c>
      <c r="BK179" s="27">
        <f t="shared" si="121"/>
        <v>4.8594243045446151E-5</v>
      </c>
      <c r="BL179" s="27">
        <f t="shared" si="122"/>
        <v>1.1143981673830322E-5</v>
      </c>
      <c r="BM179">
        <v>2.5</v>
      </c>
      <c r="BN179">
        <v>2.5</v>
      </c>
      <c r="BO179" t="s">
        <v>19</v>
      </c>
      <c r="BP179">
        <v>5</v>
      </c>
      <c r="BQ179">
        <v>42</v>
      </c>
      <c r="BR179" t="s">
        <v>443</v>
      </c>
      <c r="BS179">
        <v>0.25</v>
      </c>
      <c r="BT179">
        <v>2.14</v>
      </c>
      <c r="BU179">
        <v>12</v>
      </c>
      <c r="BV179">
        <v>-80</v>
      </c>
      <c r="BW179">
        <v>7.4</v>
      </c>
      <c r="BX179">
        <v>355</v>
      </c>
      <c r="BY179">
        <v>0.2</v>
      </c>
      <c r="BZ179">
        <v>0.01</v>
      </c>
      <c r="CA179" s="32">
        <v>2.6</v>
      </c>
      <c r="CB179" s="32">
        <f t="shared" si="123"/>
        <v>4.6553267681289166E-2</v>
      </c>
      <c r="CC179" s="32">
        <f t="shared" si="124"/>
        <v>4.6553267681289166E-2</v>
      </c>
      <c r="CD179" s="32">
        <v>1.2</v>
      </c>
      <c r="CE179" s="32">
        <f t="shared" si="125"/>
        <v>2.1845985800109231E-2</v>
      </c>
      <c r="CF179" s="32">
        <f t="shared" si="126"/>
        <v>4.3691971600218461E-2</v>
      </c>
      <c r="CG179" s="27">
        <v>6.4</v>
      </c>
      <c r="CH179" s="27">
        <f t="shared" si="127"/>
        <v>6.6625026025400796E-2</v>
      </c>
      <c r="CI179" s="27">
        <f t="shared" si="128"/>
        <v>0.53300020820320637</v>
      </c>
      <c r="CJ179" s="58">
        <v>18.600000000000001</v>
      </c>
      <c r="CK179" s="58">
        <v>74.400000000000006</v>
      </c>
      <c r="CL179" s="58">
        <v>1.5490318550905684</v>
      </c>
      <c r="CM179" s="58">
        <v>1.5490318550905684</v>
      </c>
      <c r="CN179" s="28">
        <v>12.6</v>
      </c>
      <c r="CO179" s="28">
        <v>66.315789473684205</v>
      </c>
      <c r="CP179" s="28">
        <v>1.0493441599000624</v>
      </c>
      <c r="CQ179" s="28">
        <v>1.0493441599000624</v>
      </c>
      <c r="CR179" s="32">
        <f t="shared" si="129"/>
        <v>10.812242348532168</v>
      </c>
      <c r="CS179" s="32">
        <v>10.812242348532168</v>
      </c>
      <c r="CT179" s="32">
        <f t="shared" si="130"/>
        <v>13.412242348532168</v>
      </c>
      <c r="CU179" s="32">
        <f t="shared" si="131"/>
        <v>0.24014758009905401</v>
      </c>
      <c r="CV179" s="32">
        <f t="shared" si="132"/>
        <v>0.24014758009905401</v>
      </c>
      <c r="CW179" s="60">
        <f t="shared" si="133"/>
        <v>7.3244222361024356</v>
      </c>
      <c r="CX179" s="60">
        <v>7.3244222361024356</v>
      </c>
      <c r="CY179" s="60">
        <f t="shared" si="134"/>
        <v>9.9244222361024352</v>
      </c>
      <c r="CZ179" s="60">
        <f t="shared" si="135"/>
        <v>0.17769780189977502</v>
      </c>
      <c r="DA179" s="60">
        <f t="shared" si="136"/>
        <v>0.17769780189977502</v>
      </c>
      <c r="DB179" s="32">
        <f t="shared" si="137"/>
        <v>0.53300020820320637</v>
      </c>
      <c r="DC179">
        <f t="shared" si="138"/>
        <v>1.8328714067898408</v>
      </c>
      <c r="DD179">
        <f t="shared" si="139"/>
        <v>2.3837990727752258E-2</v>
      </c>
      <c r="DE179">
        <f t="shared" si="140"/>
        <v>0.13102260159083251</v>
      </c>
      <c r="DF179">
        <f t="shared" si="141"/>
        <v>0.84513940768141527</v>
      </c>
      <c r="DG179">
        <f t="shared" si="142"/>
        <v>1.2707339334000558</v>
      </c>
      <c r="DH179">
        <f t="shared" si="143"/>
        <v>3.438325714912914E-2</v>
      </c>
      <c r="DI179">
        <f t="shared" si="144"/>
        <v>0.13983871621678945</v>
      </c>
      <c r="DJ179">
        <f t="shared" si="145"/>
        <v>0.8257780266340814</v>
      </c>
      <c r="DK179" s="64">
        <f t="shared" si="146"/>
        <v>-1.8298015668229122</v>
      </c>
      <c r="DL179" s="64">
        <f t="shared" si="147"/>
        <v>-1.2676640934331271</v>
      </c>
      <c r="DM179" s="64">
        <f t="shared" si="148"/>
        <v>-1.8297904228412385</v>
      </c>
      <c r="DN179" s="64">
        <f t="shared" si="149"/>
        <v>-1.2676529494514535</v>
      </c>
      <c r="DO179" t="str">
        <f t="shared" si="150"/>
        <v>Sufficient Capacity</v>
      </c>
      <c r="DP179" t="str">
        <f t="shared" si="151"/>
        <v>Sufficient Capacity</v>
      </c>
    </row>
    <row r="180" spans="1:120" ht="15.75" x14ac:dyDescent="0.25">
      <c r="A180" s="5" t="s">
        <v>232</v>
      </c>
      <c r="B180" s="5" t="s">
        <v>232</v>
      </c>
      <c r="C180" s="2" t="s">
        <v>1061</v>
      </c>
      <c r="D180" s="2" t="s">
        <v>622</v>
      </c>
      <c r="E180" s="2" t="s">
        <v>622</v>
      </c>
      <c r="F180" s="2">
        <v>179</v>
      </c>
      <c r="G180" s="2" t="s">
        <v>1060</v>
      </c>
      <c r="H180" s="10" t="s">
        <v>656</v>
      </c>
      <c r="I180" s="2">
        <v>150</v>
      </c>
      <c r="J180" s="2">
        <v>65</v>
      </c>
      <c r="K180" s="2">
        <v>12.5</v>
      </c>
      <c r="L180" t="s">
        <v>402</v>
      </c>
      <c r="M180" s="2" t="s">
        <v>1120</v>
      </c>
      <c r="N180" s="2" t="s">
        <v>437</v>
      </c>
      <c r="O180" s="2" t="s">
        <v>653</v>
      </c>
      <c r="P180" s="2" t="s">
        <v>1123</v>
      </c>
      <c r="Q180" s="9" t="s">
        <v>731</v>
      </c>
      <c r="R180" s="2" t="str">
        <f t="shared" si="101"/>
        <v>CW_3_Section_1</v>
      </c>
      <c r="S180" s="2" t="str">
        <f t="shared" si="102"/>
        <v>CW_3_MF01</v>
      </c>
      <c r="T180" s="11" t="s">
        <v>1029</v>
      </c>
      <c r="U180" s="1">
        <v>45958</v>
      </c>
      <c r="V180" s="2" t="s">
        <v>752</v>
      </c>
      <c r="W180" s="2" t="s">
        <v>655</v>
      </c>
      <c r="X180" s="2" t="s">
        <v>1028</v>
      </c>
      <c r="Y180" s="2" t="str">
        <f t="shared" si="103"/>
        <v>T7_0.15-0.30</v>
      </c>
      <c r="Z180" t="s">
        <v>51</v>
      </c>
      <c r="AA180">
        <v>11</v>
      </c>
      <c r="AB180">
        <v>11</v>
      </c>
      <c r="AC180">
        <v>90</v>
      </c>
      <c r="AD180" s="32">
        <f t="shared" si="104"/>
        <v>3.4566636794264499E-2</v>
      </c>
      <c r="AE180">
        <v>0.5</v>
      </c>
      <c r="AF180" s="32">
        <f t="shared" si="105"/>
        <v>1.9535489472541785E-4</v>
      </c>
      <c r="AG180">
        <v>180</v>
      </c>
      <c r="AH180" s="32">
        <f t="shared" si="106"/>
        <v>7.120655552415936E-2</v>
      </c>
      <c r="AI180">
        <v>51</v>
      </c>
      <c r="AJ180" s="32">
        <f t="shared" si="107"/>
        <v>2.0175190731845153E-2</v>
      </c>
      <c r="AK180">
        <v>22</v>
      </c>
      <c r="AL180" s="32">
        <f t="shared" si="108"/>
        <v>8.7030234529528114E-3</v>
      </c>
      <c r="AM180">
        <v>73</v>
      </c>
      <c r="AO180" s="49">
        <v>346.5</v>
      </c>
      <c r="AP180" s="49">
        <f t="shared" si="109"/>
        <v>0.10596854721314927</v>
      </c>
      <c r="AQ180">
        <v>1100</v>
      </c>
      <c r="AR180" s="32">
        <f t="shared" si="110"/>
        <v>0.41195287508777401</v>
      </c>
      <c r="AS180" s="48">
        <v>1600</v>
      </c>
      <c r="AT180" s="27">
        <f t="shared" si="111"/>
        <v>0.59920418194585312</v>
      </c>
      <c r="AU180" s="48">
        <v>0.17</v>
      </c>
      <c r="AV180" s="27">
        <f t="shared" si="112"/>
        <v>6.2553387213351737E-5</v>
      </c>
      <c r="AW180" s="48">
        <v>0.16</v>
      </c>
      <c r="AX180" s="27">
        <f t="shared" si="113"/>
        <v>6.0177679787303031E-5</v>
      </c>
      <c r="AY180" s="48">
        <v>5.0000000000000001E-3</v>
      </c>
      <c r="AZ180" s="27">
        <f t="shared" si="114"/>
        <v>1.8649981951630372E-6</v>
      </c>
      <c r="BA180" s="48">
        <v>0.03</v>
      </c>
      <c r="BB180" s="27">
        <f t="shared" si="115"/>
        <v>1.110924086854065E-5</v>
      </c>
      <c r="BC180" s="48">
        <v>1E-3</v>
      </c>
      <c r="BD180" s="27">
        <f t="shared" si="116"/>
        <v>3.7030802895135499E-7</v>
      </c>
      <c r="BE180" s="48">
        <v>1E-3</v>
      </c>
      <c r="BF180" s="27">
        <f t="shared" si="117"/>
        <v>3.6588380716934485E-7</v>
      </c>
      <c r="BG180" s="48">
        <v>2E-3</v>
      </c>
      <c r="BH180" s="27">
        <f t="shared" si="118"/>
        <v>7.3176761433868969E-7</v>
      </c>
      <c r="BI180" s="52">
        <f t="shared" si="119"/>
        <v>1600.3690000000001</v>
      </c>
      <c r="BJ180" s="52">
        <f t="shared" si="120"/>
        <v>0.36899999999999999</v>
      </c>
      <c r="BK180" s="27">
        <f t="shared" si="121"/>
        <v>0.599341355211368</v>
      </c>
      <c r="BL180" s="27">
        <f t="shared" si="122"/>
        <v>1.3717326551481785E-4</v>
      </c>
      <c r="BM180">
        <v>2200</v>
      </c>
      <c r="BN180">
        <v>2.5</v>
      </c>
      <c r="BO180" t="s">
        <v>19</v>
      </c>
      <c r="BP180">
        <v>2200</v>
      </c>
      <c r="BQ180">
        <v>64</v>
      </c>
      <c r="BR180" t="s">
        <v>443</v>
      </c>
      <c r="BS180">
        <v>1.8</v>
      </c>
      <c r="BT180">
        <v>2.4500000000000002</v>
      </c>
      <c r="BU180">
        <v>12</v>
      </c>
      <c r="BV180">
        <v>-135</v>
      </c>
      <c r="BW180">
        <v>7.4</v>
      </c>
      <c r="BX180">
        <v>660</v>
      </c>
      <c r="BY180">
        <v>0.1</v>
      </c>
      <c r="BZ180">
        <v>0.01</v>
      </c>
      <c r="CA180" s="32">
        <v>17</v>
      </c>
      <c r="CB180" s="32">
        <f t="shared" si="123"/>
        <v>0.30438675022381378</v>
      </c>
      <c r="CC180" s="32">
        <f t="shared" si="124"/>
        <v>0.30438675022381378</v>
      </c>
      <c r="CD180" s="32">
        <v>4.5</v>
      </c>
      <c r="CE180" s="32">
        <f t="shared" si="125"/>
        <v>8.1922446750409619E-2</v>
      </c>
      <c r="CF180" s="32">
        <f t="shared" si="126"/>
        <v>0.16384489350081924</v>
      </c>
      <c r="CG180" s="27">
        <v>0.5</v>
      </c>
      <c r="CH180" s="27">
        <f t="shared" si="127"/>
        <v>5.2050801582344368E-3</v>
      </c>
      <c r="CI180" s="27">
        <f t="shared" si="128"/>
        <v>4.1640641265875494E-2</v>
      </c>
      <c r="CJ180" s="58">
        <v>24.5</v>
      </c>
      <c r="CK180" s="58">
        <v>98</v>
      </c>
      <c r="CL180" s="58">
        <v>2.0403914220278994</v>
      </c>
      <c r="CM180" s="58">
        <v>2.0403914220278994</v>
      </c>
      <c r="CN180" s="28">
        <v>24.5</v>
      </c>
      <c r="CO180" s="28">
        <v>98</v>
      </c>
      <c r="CP180" s="28">
        <v>2.0403914220278994</v>
      </c>
      <c r="CQ180" s="28">
        <v>2.0403914220278994</v>
      </c>
      <c r="CR180" s="32">
        <f t="shared" si="129"/>
        <v>14.241932125754737</v>
      </c>
      <c r="CS180" s="32">
        <v>14.241932125754737</v>
      </c>
      <c r="CT180" s="32">
        <f t="shared" si="130"/>
        <v>31.241932125754737</v>
      </c>
      <c r="CU180" s="32">
        <f t="shared" si="131"/>
        <v>0.55939001120420295</v>
      </c>
      <c r="CV180" s="32">
        <f t="shared" si="132"/>
        <v>0.55939001120420295</v>
      </c>
      <c r="CW180" s="60">
        <f t="shared" si="133"/>
        <v>14.241932125754737</v>
      </c>
      <c r="CX180" s="60">
        <v>14.241932125754737</v>
      </c>
      <c r="CY180" s="60">
        <f t="shared" si="134"/>
        <v>31.241932125754737</v>
      </c>
      <c r="CZ180" s="60">
        <f t="shared" si="135"/>
        <v>0.55939001120420295</v>
      </c>
      <c r="DA180" s="60">
        <f t="shared" si="136"/>
        <v>0.55939001120420295</v>
      </c>
      <c r="DB180" s="32">
        <f t="shared" si="137"/>
        <v>4.1640641265875494E-2</v>
      </c>
      <c r="DC180">
        <f t="shared" si="138"/>
        <v>2.7636263267329215</v>
      </c>
      <c r="DD180">
        <f t="shared" si="139"/>
        <v>5.9286196515037505E-2</v>
      </c>
      <c r="DE180">
        <f t="shared" si="140"/>
        <v>0.20241159443053125</v>
      </c>
      <c r="DF180">
        <f t="shared" si="141"/>
        <v>0.73830220905443122</v>
      </c>
      <c r="DG180">
        <f t="shared" si="142"/>
        <v>2.7636263267329215</v>
      </c>
      <c r="DH180">
        <f t="shared" si="143"/>
        <v>5.9286196515037505E-2</v>
      </c>
      <c r="DI180">
        <f t="shared" si="144"/>
        <v>0.20241159443053125</v>
      </c>
      <c r="DJ180">
        <f t="shared" si="145"/>
        <v>0.73830220905443122</v>
      </c>
      <c r="DK180" s="64">
        <f t="shared" si="146"/>
        <v>-2.2457049044319981</v>
      </c>
      <c r="DL180" s="64">
        <f t="shared" si="147"/>
        <v>-2.2457049044319981</v>
      </c>
      <c r="DM180" s="64">
        <f t="shared" si="148"/>
        <v>-2.2455677311664832</v>
      </c>
      <c r="DN180" s="64">
        <f t="shared" si="149"/>
        <v>-2.2455677311664832</v>
      </c>
      <c r="DO180" t="str">
        <f t="shared" si="150"/>
        <v>Sufficient Capacity</v>
      </c>
      <c r="DP180" t="str">
        <f t="shared" si="151"/>
        <v>Sufficient Capacity</v>
      </c>
    </row>
    <row r="181" spans="1:120" ht="15.75" x14ac:dyDescent="0.25">
      <c r="A181" s="5" t="s">
        <v>233</v>
      </c>
      <c r="B181" s="5" t="s">
        <v>233</v>
      </c>
      <c r="C181" s="2" t="s">
        <v>1063</v>
      </c>
      <c r="D181" s="2" t="s">
        <v>623</v>
      </c>
      <c r="E181" s="2" t="s">
        <v>623</v>
      </c>
      <c r="F181" s="2">
        <v>180</v>
      </c>
      <c r="G181" s="2" t="s">
        <v>1062</v>
      </c>
      <c r="H181" s="10" t="s">
        <v>656</v>
      </c>
      <c r="I181" s="2">
        <v>150</v>
      </c>
      <c r="J181" s="2">
        <v>65</v>
      </c>
      <c r="K181" s="2">
        <v>6.25</v>
      </c>
      <c r="L181" t="s">
        <v>403</v>
      </c>
      <c r="M181" s="2" t="s">
        <v>1120</v>
      </c>
      <c r="N181" s="2" t="s">
        <v>437</v>
      </c>
      <c r="O181" s="2" t="s">
        <v>653</v>
      </c>
      <c r="P181" s="2" t="s">
        <v>1124</v>
      </c>
      <c r="Q181" s="9" t="s">
        <v>734</v>
      </c>
      <c r="R181" s="2" t="str">
        <f t="shared" si="101"/>
        <v>CW_3_Section_1</v>
      </c>
      <c r="S181" s="2" t="str">
        <f t="shared" si="102"/>
        <v>CW_3_MF02</v>
      </c>
      <c r="T181" s="11" t="s">
        <v>1029</v>
      </c>
      <c r="U181" s="1">
        <v>45958</v>
      </c>
      <c r="V181" s="2" t="s">
        <v>752</v>
      </c>
      <c r="W181" s="2" t="s">
        <v>663</v>
      </c>
      <c r="X181" s="2" t="s">
        <v>1028</v>
      </c>
      <c r="Y181" s="2" t="str">
        <f t="shared" si="103"/>
        <v>T7_0.60-0.80</v>
      </c>
      <c r="Z181" t="s">
        <v>53</v>
      </c>
      <c r="AA181">
        <v>9.4</v>
      </c>
      <c r="AB181">
        <v>9.8000000000000007</v>
      </c>
      <c r="AC181">
        <v>660</v>
      </c>
      <c r="AD181" s="32">
        <f t="shared" si="104"/>
        <v>0.25348866982460633</v>
      </c>
      <c r="AE181">
        <v>67</v>
      </c>
      <c r="AF181" s="32">
        <f t="shared" si="105"/>
        <v>2.6177555893205993E-2</v>
      </c>
      <c r="AG181">
        <v>410</v>
      </c>
      <c r="AH181" s="32">
        <f t="shared" si="106"/>
        <v>0.16219270980502967</v>
      </c>
      <c r="AI181">
        <v>150</v>
      </c>
      <c r="AJ181" s="32">
        <f t="shared" si="107"/>
        <v>5.9338796270132804E-2</v>
      </c>
      <c r="AK181">
        <v>200</v>
      </c>
      <c r="AL181" s="32">
        <f t="shared" si="108"/>
        <v>7.9118395026843744E-2</v>
      </c>
      <c r="AM181">
        <v>350</v>
      </c>
      <c r="AO181" s="49">
        <v>1487</v>
      </c>
      <c r="AP181" s="49">
        <f t="shared" si="109"/>
        <v>0.44185893552284194</v>
      </c>
      <c r="AQ181">
        <v>1300</v>
      </c>
      <c r="AR181" s="32">
        <f t="shared" si="110"/>
        <v>0.48685339783100573</v>
      </c>
      <c r="AS181" s="48">
        <v>2800</v>
      </c>
      <c r="AT181" s="27">
        <f t="shared" si="111"/>
        <v>1.0486073184052431</v>
      </c>
      <c r="AU181" s="48">
        <v>4</v>
      </c>
      <c r="AV181" s="27">
        <f t="shared" si="112"/>
        <v>1.4718444050200407E-3</v>
      </c>
      <c r="AW181" s="48">
        <v>270</v>
      </c>
      <c r="AX181" s="27">
        <f t="shared" si="113"/>
        <v>0.10154983464107385</v>
      </c>
      <c r="AY181" s="48">
        <v>62</v>
      </c>
      <c r="AZ181" s="27">
        <f t="shared" si="114"/>
        <v>2.3125977620021658E-2</v>
      </c>
      <c r="BA181" s="48">
        <v>50</v>
      </c>
      <c r="BB181" s="27">
        <f t="shared" si="115"/>
        <v>1.8515401447567748E-2</v>
      </c>
      <c r="BC181" s="48">
        <v>8.6</v>
      </c>
      <c r="BD181" s="27">
        <f t="shared" si="116"/>
        <v>3.1846490489816528E-3</v>
      </c>
      <c r="BE181" s="48">
        <v>1.3</v>
      </c>
      <c r="BF181" s="27">
        <f t="shared" si="117"/>
        <v>4.7564894932014833E-4</v>
      </c>
      <c r="BG181" s="48">
        <v>1.2</v>
      </c>
      <c r="BH181" s="27">
        <f t="shared" si="118"/>
        <v>4.3906056860321384E-4</v>
      </c>
      <c r="BI181" s="52">
        <f t="shared" si="119"/>
        <v>3197.1</v>
      </c>
      <c r="BJ181" s="52">
        <f t="shared" si="120"/>
        <v>397.1</v>
      </c>
      <c r="BK181" s="27">
        <f t="shared" si="121"/>
        <v>1.1973697350858317</v>
      </c>
      <c r="BL181" s="27">
        <f t="shared" si="122"/>
        <v>0.14876241668058832</v>
      </c>
      <c r="BM181">
        <v>2300</v>
      </c>
      <c r="BN181">
        <v>920</v>
      </c>
      <c r="BO181" t="s">
        <v>19</v>
      </c>
      <c r="BP181">
        <v>3300</v>
      </c>
      <c r="BQ181">
        <v>73</v>
      </c>
      <c r="BR181" t="s">
        <v>443</v>
      </c>
      <c r="BS181">
        <v>0.81</v>
      </c>
      <c r="BT181">
        <v>0.82</v>
      </c>
      <c r="BU181">
        <v>13</v>
      </c>
      <c r="BV181">
        <v>-224</v>
      </c>
      <c r="BW181">
        <v>7.6</v>
      </c>
      <c r="BX181">
        <v>700</v>
      </c>
      <c r="BY181">
        <v>0.2</v>
      </c>
      <c r="BZ181">
        <v>0.01</v>
      </c>
      <c r="CA181" s="32">
        <v>0.4</v>
      </c>
      <c r="CB181" s="32">
        <f t="shared" si="123"/>
        <v>7.162041181736795E-3</v>
      </c>
      <c r="CC181" s="32">
        <f t="shared" si="124"/>
        <v>7.162041181736795E-3</v>
      </c>
      <c r="CD181" s="32">
        <v>1.1000000000000001</v>
      </c>
      <c r="CE181" s="32">
        <f t="shared" si="125"/>
        <v>2.0025486983433462E-2</v>
      </c>
      <c r="CF181" s="32">
        <f t="shared" si="126"/>
        <v>4.0050973966866923E-2</v>
      </c>
      <c r="CG181" s="27">
        <v>22</v>
      </c>
      <c r="CH181" s="27">
        <f t="shared" si="127"/>
        <v>0.2290235269623152</v>
      </c>
      <c r="CI181" s="27">
        <f t="shared" si="128"/>
        <v>1.8321882156985216</v>
      </c>
      <c r="CJ181" s="58">
        <v>3</v>
      </c>
      <c r="CK181" s="58">
        <v>12</v>
      </c>
      <c r="CL181" s="58">
        <v>0.24984384759525297</v>
      </c>
      <c r="CM181" s="58">
        <v>0.24984384759525297</v>
      </c>
      <c r="CN181" s="28">
        <v>3</v>
      </c>
      <c r="CO181" s="28">
        <v>12</v>
      </c>
      <c r="CP181" s="28">
        <v>0.24984384759525297</v>
      </c>
      <c r="CQ181" s="28">
        <v>0.24984384759525297</v>
      </c>
      <c r="CR181" s="32">
        <f t="shared" si="129"/>
        <v>1.7439100562148657</v>
      </c>
      <c r="CS181" s="32">
        <v>1.7439100562148657</v>
      </c>
      <c r="CT181" s="32">
        <f t="shared" si="130"/>
        <v>2.1439100562148656</v>
      </c>
      <c r="CU181" s="32">
        <f t="shared" si="131"/>
        <v>3.8386930281376283E-2</v>
      </c>
      <c r="CV181" s="32">
        <f t="shared" si="132"/>
        <v>3.8386930281376283E-2</v>
      </c>
      <c r="CW181" s="60">
        <f t="shared" si="133"/>
        <v>1.7439100562148657</v>
      </c>
      <c r="CX181" s="60">
        <v>1.7439100562148657</v>
      </c>
      <c r="CY181" s="60">
        <f t="shared" si="134"/>
        <v>2.1439100562148656</v>
      </c>
      <c r="CZ181" s="60">
        <f t="shared" si="135"/>
        <v>3.8386930281376283E-2</v>
      </c>
      <c r="DA181" s="60">
        <f t="shared" si="136"/>
        <v>3.8386930281376283E-2</v>
      </c>
      <c r="DB181" s="32">
        <f t="shared" si="137"/>
        <v>1.8321882156985216</v>
      </c>
      <c r="DC181">
        <f t="shared" si="138"/>
        <v>0.32828175184349617</v>
      </c>
      <c r="DD181">
        <f t="shared" si="139"/>
        <v>0.12200182843535171</v>
      </c>
      <c r="DE181">
        <f t="shared" si="140"/>
        <v>0.11693287874154128</v>
      </c>
      <c r="DF181">
        <f t="shared" si="141"/>
        <v>0.76106529282310698</v>
      </c>
      <c r="DG181">
        <f t="shared" si="142"/>
        <v>0.32828175184349617</v>
      </c>
      <c r="DH181">
        <f t="shared" si="143"/>
        <v>0.12200182843535171</v>
      </c>
      <c r="DI181">
        <f t="shared" si="144"/>
        <v>0.11693287874154128</v>
      </c>
      <c r="DJ181">
        <f t="shared" si="145"/>
        <v>0.76106529282310698</v>
      </c>
      <c r="DK181" s="64">
        <f t="shared" si="146"/>
        <v>0.60043058151035145</v>
      </c>
      <c r="DL181" s="64">
        <f t="shared" si="147"/>
        <v>0.60043058151035145</v>
      </c>
      <c r="DM181" s="64">
        <f t="shared" si="148"/>
        <v>0.74919299819093976</v>
      </c>
      <c r="DN181" s="64">
        <f t="shared" si="149"/>
        <v>0.74919299819093976</v>
      </c>
      <c r="DO181" t="str">
        <f t="shared" si="150"/>
        <v>Insufficient Capacity</v>
      </c>
      <c r="DP181" t="str">
        <f t="shared" si="151"/>
        <v>Insufficient Capacity</v>
      </c>
    </row>
    <row r="182" spans="1:120" ht="15.75" x14ac:dyDescent="0.25">
      <c r="A182" s="5" t="s">
        <v>234</v>
      </c>
      <c r="B182" s="5" t="s">
        <v>234</v>
      </c>
      <c r="C182" s="2" t="s">
        <v>1065</v>
      </c>
      <c r="D182" s="2" t="s">
        <v>624</v>
      </c>
      <c r="E182" s="2" t="s">
        <v>624</v>
      </c>
      <c r="F182" s="2">
        <v>181</v>
      </c>
      <c r="G182" s="2" t="s">
        <v>1064</v>
      </c>
      <c r="H182" s="10" t="s">
        <v>656</v>
      </c>
      <c r="I182" s="2">
        <v>150</v>
      </c>
      <c r="J182" s="2">
        <v>65</v>
      </c>
      <c r="K182" s="2">
        <v>8.85</v>
      </c>
      <c r="L182" t="s">
        <v>404</v>
      </c>
      <c r="M182" s="2" t="s">
        <v>1120</v>
      </c>
      <c r="N182" s="2" t="s">
        <v>437</v>
      </c>
      <c r="O182" s="2" t="s">
        <v>666</v>
      </c>
      <c r="P182" s="2" t="s">
        <v>1131</v>
      </c>
      <c r="Q182" s="9" t="s">
        <v>737</v>
      </c>
      <c r="R182" s="2" t="str">
        <f t="shared" si="101"/>
        <v>CW_3_Section_2</v>
      </c>
      <c r="S182" s="2" t="str">
        <f t="shared" si="102"/>
        <v>CW_3_MF05</v>
      </c>
      <c r="T182" s="11" t="s">
        <v>1029</v>
      </c>
      <c r="U182" s="1">
        <v>45958</v>
      </c>
      <c r="V182" s="2" t="s">
        <v>752</v>
      </c>
      <c r="W182" s="2" t="s">
        <v>655</v>
      </c>
      <c r="X182" s="2" t="s">
        <v>1028</v>
      </c>
      <c r="Y182" s="2" t="str">
        <f t="shared" si="103"/>
        <v>T7_0.15-0.30</v>
      </c>
      <c r="Z182" t="s">
        <v>55</v>
      </c>
      <c r="AA182">
        <v>0.05</v>
      </c>
      <c r="AB182">
        <v>0.5</v>
      </c>
      <c r="AC182">
        <v>1.1000000000000001</v>
      </c>
      <c r="AD182" s="32">
        <f t="shared" si="104"/>
        <v>4.2248111637434386E-4</v>
      </c>
      <c r="AE182">
        <v>0.02</v>
      </c>
      <c r="AF182" s="32">
        <f t="shared" si="105"/>
        <v>7.8141957890167132E-6</v>
      </c>
      <c r="AG182">
        <v>3.5</v>
      </c>
      <c r="AH182" s="32">
        <f t="shared" si="106"/>
        <v>1.3845719129697656E-3</v>
      </c>
      <c r="AI182">
        <v>0.65</v>
      </c>
      <c r="AJ182" s="32">
        <f t="shared" si="107"/>
        <v>2.5713478383724219E-4</v>
      </c>
      <c r="AK182">
        <v>0.33</v>
      </c>
      <c r="AL182" s="32">
        <f t="shared" si="108"/>
        <v>1.3054535179429216E-4</v>
      </c>
      <c r="AM182">
        <v>0.98</v>
      </c>
      <c r="AO182" s="49">
        <v>5.72</v>
      </c>
      <c r="AP182" s="49">
        <f t="shared" si="109"/>
        <v>1.8148672251331261E-3</v>
      </c>
      <c r="AQ182">
        <v>23</v>
      </c>
      <c r="AR182" s="32">
        <f t="shared" si="110"/>
        <v>8.6135601154716385E-3</v>
      </c>
      <c r="AS182" s="48">
        <v>20</v>
      </c>
      <c r="AT182" s="27">
        <f t="shared" si="111"/>
        <v>7.4900522743231637E-3</v>
      </c>
      <c r="AU182" s="48">
        <v>0.01</v>
      </c>
      <c r="AV182" s="27">
        <f t="shared" si="112"/>
        <v>3.6796110125501018E-6</v>
      </c>
      <c r="AW182" s="48">
        <v>0.01</v>
      </c>
      <c r="AX182" s="27">
        <f t="shared" si="113"/>
        <v>3.7611049867064394E-6</v>
      </c>
      <c r="AY182" s="48">
        <v>5.0000000000000001E-3</v>
      </c>
      <c r="AZ182" s="27">
        <f t="shared" si="114"/>
        <v>1.8649981951630372E-6</v>
      </c>
      <c r="BA182" s="48">
        <v>1E-3</v>
      </c>
      <c r="BB182" s="27">
        <f t="shared" si="115"/>
        <v>3.7030802895135499E-7</v>
      </c>
      <c r="BC182" s="48">
        <v>1E-3</v>
      </c>
      <c r="BD182" s="27">
        <f t="shared" si="116"/>
        <v>3.7030802895135499E-7</v>
      </c>
      <c r="BE182" s="48">
        <v>1E-3</v>
      </c>
      <c r="BF182" s="27">
        <f t="shared" si="117"/>
        <v>3.6588380716934485E-7</v>
      </c>
      <c r="BG182" s="48">
        <v>2E-3</v>
      </c>
      <c r="BH182" s="27">
        <f t="shared" si="118"/>
        <v>7.3176761433868969E-7</v>
      </c>
      <c r="BI182" s="52">
        <f t="shared" si="119"/>
        <v>20.030000000000005</v>
      </c>
      <c r="BJ182" s="52">
        <f t="shared" si="120"/>
        <v>3.0000000000000006E-2</v>
      </c>
      <c r="BK182" s="27">
        <f t="shared" si="121"/>
        <v>7.5011962559969943E-3</v>
      </c>
      <c r="BL182" s="27">
        <f t="shared" si="122"/>
        <v>1.1143981673830322E-5</v>
      </c>
      <c r="BM182">
        <v>2.5</v>
      </c>
      <c r="BN182">
        <v>2.5</v>
      </c>
      <c r="BO182" t="s">
        <v>19</v>
      </c>
      <c r="BP182">
        <v>5</v>
      </c>
      <c r="BQ182">
        <v>70</v>
      </c>
      <c r="BR182" t="s">
        <v>443</v>
      </c>
      <c r="BS182">
        <v>1.4999999999999999E-2</v>
      </c>
      <c r="BT182">
        <v>2.54</v>
      </c>
      <c r="BU182">
        <v>12</v>
      </c>
      <c r="BV182">
        <v>-169</v>
      </c>
      <c r="BW182">
        <v>7.3</v>
      </c>
      <c r="BX182">
        <v>673</v>
      </c>
      <c r="BY182">
        <v>0.1</v>
      </c>
      <c r="BZ182">
        <v>0.01</v>
      </c>
      <c r="CA182" s="32">
        <v>3.6</v>
      </c>
      <c r="CB182" s="32">
        <f t="shared" si="123"/>
        <v>6.445837063563116E-2</v>
      </c>
      <c r="CC182" s="32">
        <f t="shared" si="124"/>
        <v>6.445837063563116E-2</v>
      </c>
      <c r="CD182" s="32">
        <v>8.6999999999999993</v>
      </c>
      <c r="CE182" s="32">
        <f t="shared" si="125"/>
        <v>0.15838339705079191</v>
      </c>
      <c r="CF182" s="32">
        <f t="shared" si="126"/>
        <v>0.31676679410158382</v>
      </c>
      <c r="CG182" s="27">
        <v>70</v>
      </c>
      <c r="CH182" s="27">
        <f t="shared" si="127"/>
        <v>0.72871122215282114</v>
      </c>
      <c r="CI182" s="27">
        <f t="shared" si="128"/>
        <v>5.8296897772225691</v>
      </c>
      <c r="CJ182" s="58">
        <v>-45</v>
      </c>
      <c r="CK182" s="58">
        <v>-180</v>
      </c>
      <c r="CL182" s="58">
        <v>-3.7476577139287945</v>
      </c>
      <c r="CN182" s="28">
        <v>-69.5</v>
      </c>
      <c r="CO182" s="28">
        <v>-13900</v>
      </c>
      <c r="CP182" s="28">
        <v>-5.7880491359566939</v>
      </c>
      <c r="CR182" s="32">
        <f t="shared" si="129"/>
        <v>-26.158650843222983</v>
      </c>
      <c r="CS182" s="32">
        <v>0</v>
      </c>
      <c r="CT182" s="32">
        <f t="shared" si="130"/>
        <v>3.6</v>
      </c>
      <c r="CU182" s="32">
        <f t="shared" si="131"/>
        <v>6.445837063563116E-2</v>
      </c>
      <c r="CV182" s="32">
        <f t="shared" si="132"/>
        <v>6.445837063563116E-2</v>
      </c>
      <c r="CW182" s="60">
        <f t="shared" si="133"/>
        <v>-40.400582968977723</v>
      </c>
      <c r="CY182" s="60">
        <f t="shared" si="134"/>
        <v>3.6</v>
      </c>
      <c r="CZ182" s="60">
        <f t="shared" si="135"/>
        <v>6.445837063563116E-2</v>
      </c>
      <c r="DA182" s="60">
        <f t="shared" si="136"/>
        <v>6.445837063563116E-2</v>
      </c>
      <c r="DB182" s="32">
        <f t="shared" si="137"/>
        <v>5.8296897772225691</v>
      </c>
      <c r="DC182">
        <f t="shared" si="138"/>
        <v>0.38122516473721496</v>
      </c>
      <c r="DD182">
        <f t="shared" si="139"/>
        <v>0.83091784961241111</v>
      </c>
      <c r="DE182">
        <f t="shared" si="140"/>
        <v>0.16908215038758898</v>
      </c>
      <c r="DF182">
        <f t="shared" si="141"/>
        <v>0</v>
      </c>
      <c r="DG182">
        <f t="shared" si="142"/>
        <v>0.38122516473721496</v>
      </c>
      <c r="DH182">
        <f t="shared" si="143"/>
        <v>0.83091784961241111</v>
      </c>
      <c r="DI182">
        <f t="shared" si="144"/>
        <v>0.16908215038758898</v>
      </c>
      <c r="DJ182">
        <f t="shared" si="145"/>
        <v>0</v>
      </c>
      <c r="DK182" s="64">
        <f t="shared" si="146"/>
        <v>-0.37079673739661018</v>
      </c>
      <c r="DL182" s="64">
        <f t="shared" si="147"/>
        <v>-0.37079673739661018</v>
      </c>
      <c r="DM182" s="64">
        <f t="shared" si="148"/>
        <v>-0.37078559341493639</v>
      </c>
      <c r="DN182" s="64">
        <f t="shared" si="149"/>
        <v>-0.37078559341493639</v>
      </c>
      <c r="DO182" t="str">
        <f t="shared" si="150"/>
        <v>Sufficient Capacity</v>
      </c>
      <c r="DP182" t="str">
        <f t="shared" si="151"/>
        <v>Sufficient Capacity</v>
      </c>
    </row>
    <row r="183" spans="1:120" ht="15.75" x14ac:dyDescent="0.25">
      <c r="A183" s="5" t="s">
        <v>235</v>
      </c>
      <c r="B183" s="5" t="s">
        <v>235</v>
      </c>
      <c r="C183" s="2" t="s">
        <v>1067</v>
      </c>
      <c r="D183" s="2" t="s">
        <v>625</v>
      </c>
      <c r="E183" s="2" t="s">
        <v>625</v>
      </c>
      <c r="F183" s="2">
        <v>182</v>
      </c>
      <c r="G183" s="2" t="s">
        <v>1066</v>
      </c>
      <c r="H183" s="10" t="s">
        <v>656</v>
      </c>
      <c r="I183" s="2">
        <v>150</v>
      </c>
      <c r="J183" s="2">
        <v>65</v>
      </c>
      <c r="K183" s="2">
        <v>8</v>
      </c>
      <c r="L183" t="s">
        <v>405</v>
      </c>
      <c r="M183" s="2" t="s">
        <v>1120</v>
      </c>
      <c r="N183" s="2" t="s">
        <v>437</v>
      </c>
      <c r="O183" s="2" t="s">
        <v>666</v>
      </c>
      <c r="P183" s="2" t="s">
        <v>1132</v>
      </c>
      <c r="Q183" s="9" t="s">
        <v>740</v>
      </c>
      <c r="R183" s="2" t="str">
        <f t="shared" si="101"/>
        <v>CW_3_Section_2</v>
      </c>
      <c r="S183" s="2" t="str">
        <f t="shared" si="102"/>
        <v>CW_3_MF06</v>
      </c>
      <c r="T183" s="11" t="s">
        <v>1029</v>
      </c>
      <c r="U183" s="1">
        <v>45958</v>
      </c>
      <c r="V183" s="2" t="s">
        <v>752</v>
      </c>
      <c r="W183" s="2" t="s">
        <v>663</v>
      </c>
      <c r="X183" s="2" t="s">
        <v>1028</v>
      </c>
      <c r="Y183" s="2" t="str">
        <f t="shared" si="103"/>
        <v>T7_0.60-0.80</v>
      </c>
      <c r="Z183" t="s">
        <v>57</v>
      </c>
      <c r="AA183">
        <v>7.9</v>
      </c>
      <c r="AB183">
        <v>8.8000000000000007</v>
      </c>
      <c r="AC183">
        <v>620</v>
      </c>
      <c r="AD183" s="32">
        <f t="shared" si="104"/>
        <v>0.23812572013826652</v>
      </c>
      <c r="AE183">
        <v>82</v>
      </c>
      <c r="AF183" s="32">
        <f t="shared" si="105"/>
        <v>3.2038202734968525E-2</v>
      </c>
      <c r="AG183">
        <v>540</v>
      </c>
      <c r="AH183" s="32">
        <f t="shared" si="106"/>
        <v>0.21361966657247808</v>
      </c>
      <c r="AI183">
        <v>230</v>
      </c>
      <c r="AJ183" s="32">
        <f t="shared" si="107"/>
        <v>9.0986154280870299E-2</v>
      </c>
      <c r="AK183">
        <v>310</v>
      </c>
      <c r="AL183" s="32">
        <f t="shared" si="108"/>
        <v>0.12263351229160781</v>
      </c>
      <c r="AM183">
        <v>540</v>
      </c>
      <c r="AO183" s="49">
        <v>1782</v>
      </c>
      <c r="AP183" s="49">
        <f t="shared" si="109"/>
        <v>0.48378358944571309</v>
      </c>
      <c r="AQ183">
        <v>1800</v>
      </c>
      <c r="AR183" s="32">
        <f t="shared" si="110"/>
        <v>0.6741047046890849</v>
      </c>
      <c r="AS183" s="48">
        <v>2200</v>
      </c>
      <c r="AT183" s="27">
        <f t="shared" si="111"/>
        <v>0.82390575017554801</v>
      </c>
      <c r="AU183" s="48">
        <v>4</v>
      </c>
      <c r="AV183" s="27">
        <f t="shared" si="112"/>
        <v>1.4718444050200407E-3</v>
      </c>
      <c r="AW183" s="48">
        <v>110</v>
      </c>
      <c r="AX183" s="27">
        <f t="shared" si="113"/>
        <v>4.1372154853770833E-2</v>
      </c>
      <c r="AY183" s="48">
        <v>28</v>
      </c>
      <c r="AZ183" s="27">
        <f t="shared" si="114"/>
        <v>1.0443989892913006E-2</v>
      </c>
      <c r="BA183" s="48">
        <v>26</v>
      </c>
      <c r="BB183" s="27">
        <f t="shared" si="115"/>
        <v>9.6280087527352287E-3</v>
      </c>
      <c r="BC183" s="48">
        <v>3.6</v>
      </c>
      <c r="BD183" s="27">
        <f t="shared" si="116"/>
        <v>1.3331089042248781E-3</v>
      </c>
      <c r="BE183" s="48">
        <v>1.3</v>
      </c>
      <c r="BF183" s="27">
        <f t="shared" si="117"/>
        <v>4.7564894932014833E-4</v>
      </c>
      <c r="BG183" s="48">
        <v>1.4</v>
      </c>
      <c r="BH183" s="27">
        <f t="shared" si="118"/>
        <v>5.1223733003708275E-4</v>
      </c>
      <c r="BI183" s="52">
        <f t="shared" si="119"/>
        <v>2374.3000000000002</v>
      </c>
      <c r="BJ183" s="52">
        <f t="shared" si="120"/>
        <v>174.3</v>
      </c>
      <c r="BK183" s="27">
        <f t="shared" si="121"/>
        <v>0.88914274326356935</v>
      </c>
      <c r="BL183" s="27">
        <f t="shared" si="122"/>
        <v>6.5236993088021208E-2</v>
      </c>
      <c r="BM183">
        <v>2100</v>
      </c>
      <c r="BN183">
        <v>540</v>
      </c>
      <c r="BO183" t="s">
        <v>19</v>
      </c>
      <c r="BP183">
        <v>2700</v>
      </c>
      <c r="BQ183">
        <v>73</v>
      </c>
      <c r="BR183" t="s">
        <v>443</v>
      </c>
      <c r="BS183">
        <v>0.69</v>
      </c>
      <c r="BT183">
        <v>0.55000000000000004</v>
      </c>
      <c r="BU183">
        <v>13</v>
      </c>
      <c r="BV183">
        <v>-250</v>
      </c>
      <c r="BW183">
        <v>7.7</v>
      </c>
      <c r="BX183">
        <v>733</v>
      </c>
      <c r="BY183">
        <v>0.2</v>
      </c>
      <c r="BZ183">
        <v>0.01</v>
      </c>
      <c r="CA183" s="32">
        <v>0.2</v>
      </c>
      <c r="CB183" s="32">
        <f t="shared" si="123"/>
        <v>3.5810205908683975E-3</v>
      </c>
      <c r="CC183" s="32">
        <f t="shared" si="124"/>
        <v>3.5810205908683975E-3</v>
      </c>
      <c r="CD183" s="32">
        <v>0.9</v>
      </c>
      <c r="CE183" s="32">
        <f t="shared" si="125"/>
        <v>1.6384489350081924E-2</v>
      </c>
      <c r="CF183" s="32">
        <f t="shared" si="126"/>
        <v>3.2768978700163848E-2</v>
      </c>
      <c r="CG183" s="27">
        <v>21</v>
      </c>
      <c r="CH183" s="27">
        <f t="shared" si="127"/>
        <v>0.21861336664584635</v>
      </c>
      <c r="CI183" s="27">
        <f t="shared" si="128"/>
        <v>1.7489069331667708</v>
      </c>
      <c r="CJ183" s="58">
        <v>4</v>
      </c>
      <c r="CK183" s="58">
        <v>16</v>
      </c>
      <c r="CL183" s="58">
        <v>0.33312513012700395</v>
      </c>
      <c r="CM183" s="58">
        <v>0.33312513012700395</v>
      </c>
      <c r="CN183" s="28">
        <v>1</v>
      </c>
      <c r="CO183" s="28">
        <v>4.5454545454545459</v>
      </c>
      <c r="CP183" s="28">
        <v>8.3281282531750989E-2</v>
      </c>
      <c r="CQ183" s="28">
        <v>8.3281282531750989E-2</v>
      </c>
      <c r="CR183" s="32">
        <f t="shared" si="129"/>
        <v>2.3252134082864875</v>
      </c>
      <c r="CS183" s="32">
        <v>2.3252134082864875</v>
      </c>
      <c r="CT183" s="32">
        <f t="shared" si="130"/>
        <v>2.5252134082864877</v>
      </c>
      <c r="CU183" s="32">
        <f t="shared" si="131"/>
        <v>4.5214206057054389E-2</v>
      </c>
      <c r="CV183" s="32">
        <f t="shared" si="132"/>
        <v>4.5214206057054389E-2</v>
      </c>
      <c r="CW183" s="60">
        <f t="shared" si="133"/>
        <v>0.58130335207162187</v>
      </c>
      <c r="CX183" s="60">
        <v>0.58130335207162187</v>
      </c>
      <c r="CY183" s="60">
        <f t="shared" si="134"/>
        <v>0.78130335207162194</v>
      </c>
      <c r="CZ183" s="60">
        <f t="shared" si="135"/>
        <v>1.3989316957414896E-2</v>
      </c>
      <c r="DA183" s="60">
        <f t="shared" si="136"/>
        <v>1.3989316957414896E-2</v>
      </c>
      <c r="DB183" s="32">
        <f t="shared" si="137"/>
        <v>1.7489069331667708</v>
      </c>
      <c r="DC183">
        <f t="shared" si="138"/>
        <v>0.41110831488422217</v>
      </c>
      <c r="DD183">
        <f t="shared" si="139"/>
        <v>7.9708868718435841E-2</v>
      </c>
      <c r="DE183">
        <f t="shared" si="140"/>
        <v>0.1099812492719535</v>
      </c>
      <c r="DF183">
        <f t="shared" si="141"/>
        <v>0.81030988200961074</v>
      </c>
      <c r="DG183">
        <f t="shared" si="142"/>
        <v>0.13003957818932974</v>
      </c>
      <c r="DH183">
        <f t="shared" si="143"/>
        <v>0.25199234845605389</v>
      </c>
      <c r="DI183">
        <f t="shared" si="144"/>
        <v>0.10757737876577313</v>
      </c>
      <c r="DJ183">
        <f t="shared" si="145"/>
        <v>0.64043027277817288</v>
      </c>
      <c r="DK183" s="64">
        <f t="shared" si="146"/>
        <v>0.74677997925057593</v>
      </c>
      <c r="DL183" s="64">
        <f t="shared" si="147"/>
        <v>1.0278487159454683</v>
      </c>
      <c r="DM183" s="64">
        <f t="shared" si="148"/>
        <v>0.81201697233859715</v>
      </c>
      <c r="DN183" s="64">
        <f t="shared" si="149"/>
        <v>1.0930857090334896</v>
      </c>
      <c r="DO183" t="str">
        <f t="shared" si="150"/>
        <v>Insufficient Capacity</v>
      </c>
      <c r="DP183" t="str">
        <f t="shared" si="151"/>
        <v>Insufficient Capacity</v>
      </c>
    </row>
    <row r="184" spans="1:120" ht="15.75" x14ac:dyDescent="0.25">
      <c r="A184" s="5" t="s">
        <v>236</v>
      </c>
      <c r="B184" s="5" t="s">
        <v>236</v>
      </c>
      <c r="C184" s="2" t="s">
        <v>1069</v>
      </c>
      <c r="D184" s="2" t="s">
        <v>626</v>
      </c>
      <c r="E184" s="2" t="s">
        <v>626</v>
      </c>
      <c r="F184" s="2">
        <v>183</v>
      </c>
      <c r="G184" s="2" t="s">
        <v>1068</v>
      </c>
      <c r="H184" s="10" t="s">
        <v>656</v>
      </c>
      <c r="I184" s="2">
        <v>150</v>
      </c>
      <c r="J184" s="2">
        <v>65</v>
      </c>
      <c r="K184" s="2">
        <v>16</v>
      </c>
      <c r="L184" t="s">
        <v>411</v>
      </c>
      <c r="M184" s="2" t="s">
        <v>1120</v>
      </c>
      <c r="N184" s="2" t="s">
        <v>437</v>
      </c>
      <c r="O184" s="2" t="s">
        <v>673</v>
      </c>
      <c r="P184" s="2" t="s">
        <v>1127</v>
      </c>
      <c r="Q184" s="9" t="s">
        <v>743</v>
      </c>
      <c r="R184" s="2" t="str">
        <f t="shared" si="101"/>
        <v>CW_3_Section_3</v>
      </c>
      <c r="S184" s="2" t="str">
        <f t="shared" si="102"/>
        <v>CW_3_MF09</v>
      </c>
      <c r="T184" s="11" t="s">
        <v>1029</v>
      </c>
      <c r="U184" s="1">
        <v>45959</v>
      </c>
      <c r="V184" s="2" t="s">
        <v>752</v>
      </c>
      <c r="W184" s="2" t="s">
        <v>655</v>
      </c>
      <c r="X184" s="2" t="s">
        <v>1028</v>
      </c>
      <c r="Y184" s="2" t="str">
        <f t="shared" si="103"/>
        <v>T7_0.15-0.30</v>
      </c>
      <c r="Z184" t="s">
        <v>59</v>
      </c>
      <c r="AA184">
        <v>21</v>
      </c>
      <c r="AB184">
        <v>21</v>
      </c>
      <c r="AC184">
        <v>110</v>
      </c>
      <c r="AD184" s="32">
        <f t="shared" si="104"/>
        <v>4.2248111637434388E-2</v>
      </c>
      <c r="AE184">
        <v>1.6</v>
      </c>
      <c r="AF184" s="32">
        <f t="shared" si="105"/>
        <v>6.2513566312133722E-4</v>
      </c>
      <c r="AG184">
        <v>35</v>
      </c>
      <c r="AH184" s="32">
        <f t="shared" si="106"/>
        <v>1.3845719129697655E-2</v>
      </c>
      <c r="AI184">
        <v>25</v>
      </c>
      <c r="AJ184" s="32">
        <f t="shared" si="107"/>
        <v>9.8897993783554679E-3</v>
      </c>
      <c r="AK184">
        <v>9.1</v>
      </c>
      <c r="AL184" s="32">
        <f t="shared" si="108"/>
        <v>3.5998869737213905E-3</v>
      </c>
      <c r="AM184">
        <v>34.1</v>
      </c>
      <c r="AO184" s="49">
        <v>180.7</v>
      </c>
      <c r="AP184" s="49">
        <f t="shared" si="109"/>
        <v>5.6718966430253377E-2</v>
      </c>
      <c r="AQ184">
        <v>100</v>
      </c>
      <c r="AR184" s="32">
        <f t="shared" si="110"/>
        <v>3.745026137161582E-2</v>
      </c>
      <c r="AS184" s="48">
        <v>120</v>
      </c>
      <c r="AT184" s="27">
        <f t="shared" si="111"/>
        <v>4.4940313645938985E-2</v>
      </c>
      <c r="AU184" s="48">
        <v>0.01</v>
      </c>
      <c r="AV184" s="27">
        <f t="shared" si="112"/>
        <v>3.6796110125501018E-6</v>
      </c>
      <c r="AW184" s="48">
        <v>0.48</v>
      </c>
      <c r="AX184" s="27">
        <f t="shared" si="113"/>
        <v>1.8053303936190908E-4</v>
      </c>
      <c r="AY184" s="48">
        <v>0.1</v>
      </c>
      <c r="AZ184" s="27">
        <f t="shared" si="114"/>
        <v>3.729996390326074E-5</v>
      </c>
      <c r="BA184" s="48">
        <v>0.02</v>
      </c>
      <c r="BB184" s="27">
        <f t="shared" si="115"/>
        <v>7.4061605790270997E-6</v>
      </c>
      <c r="BC184" s="48">
        <v>1E-3</v>
      </c>
      <c r="BD184" s="27">
        <f t="shared" si="116"/>
        <v>3.7030802895135499E-7</v>
      </c>
      <c r="BE184" s="48">
        <v>1E-3</v>
      </c>
      <c r="BF184" s="27">
        <f t="shared" si="117"/>
        <v>3.6588380716934485E-7</v>
      </c>
      <c r="BG184" s="48">
        <v>2E-3</v>
      </c>
      <c r="BH184" s="27">
        <f t="shared" si="118"/>
        <v>7.3176761433868969E-7</v>
      </c>
      <c r="BI184" s="52">
        <f t="shared" si="119"/>
        <v>120.614</v>
      </c>
      <c r="BJ184" s="52">
        <f t="shared" si="120"/>
        <v>0.61399999999999999</v>
      </c>
      <c r="BK184" s="27">
        <f t="shared" si="121"/>
        <v>4.5170700380246183E-2</v>
      </c>
      <c r="BL184" s="27">
        <f t="shared" si="122"/>
        <v>2.3038673430720644E-4</v>
      </c>
      <c r="BM184">
        <v>230</v>
      </c>
      <c r="BN184">
        <v>2.5</v>
      </c>
      <c r="BO184" t="s">
        <v>19</v>
      </c>
      <c r="BP184">
        <v>230</v>
      </c>
      <c r="BQ184">
        <v>71</v>
      </c>
      <c r="BR184" t="s">
        <v>443</v>
      </c>
      <c r="BS184">
        <v>1.1000000000000001</v>
      </c>
      <c r="BT184">
        <v>6.09</v>
      </c>
      <c r="BU184">
        <v>12</v>
      </c>
      <c r="BV184">
        <v>-113</v>
      </c>
      <c r="BW184">
        <v>7.3</v>
      </c>
      <c r="BX184">
        <v>831</v>
      </c>
      <c r="BY184">
        <v>0.1</v>
      </c>
      <c r="BZ184">
        <v>0.01</v>
      </c>
      <c r="CA184" s="32">
        <v>37</v>
      </c>
      <c r="CB184" s="32">
        <f t="shared" si="123"/>
        <v>0.66248880931065357</v>
      </c>
      <c r="CC184" s="32">
        <f t="shared" si="124"/>
        <v>0.66248880931065357</v>
      </c>
      <c r="CD184" s="32">
        <v>5.4</v>
      </c>
      <c r="CE184" s="32">
        <f t="shared" si="125"/>
        <v>9.8306936100491543E-2</v>
      </c>
      <c r="CF184" s="32">
        <f t="shared" si="126"/>
        <v>0.19661387220098309</v>
      </c>
      <c r="CG184" s="27">
        <v>0.5</v>
      </c>
      <c r="CH184" s="27">
        <f t="shared" si="127"/>
        <v>5.2050801582344368E-3</v>
      </c>
      <c r="CI184" s="27">
        <f t="shared" si="128"/>
        <v>4.1640641265875494E-2</v>
      </c>
      <c r="CJ184" s="58">
        <v>24.5</v>
      </c>
      <c r="CK184" s="58">
        <v>98</v>
      </c>
      <c r="CL184" s="58">
        <v>2.0403914220278994</v>
      </c>
      <c r="CM184" s="58">
        <v>2.0403914220278994</v>
      </c>
      <c r="CN184" s="28">
        <v>69.5</v>
      </c>
      <c r="CO184" s="28">
        <v>99.285714285714292</v>
      </c>
      <c r="CP184" s="28">
        <v>5.7880491359566939</v>
      </c>
      <c r="CQ184" s="28">
        <v>5.7880491359566939</v>
      </c>
      <c r="CR184" s="32">
        <f t="shared" si="129"/>
        <v>14.241932125754737</v>
      </c>
      <c r="CS184" s="32">
        <v>14.241932125754737</v>
      </c>
      <c r="CT184" s="32">
        <f t="shared" si="130"/>
        <v>51.241932125754737</v>
      </c>
      <c r="CU184" s="32">
        <f t="shared" si="131"/>
        <v>0.91749207029104274</v>
      </c>
      <c r="CV184" s="32">
        <f t="shared" si="132"/>
        <v>0.91749207029104274</v>
      </c>
      <c r="CW184" s="60">
        <f t="shared" si="133"/>
        <v>40.400582968977723</v>
      </c>
      <c r="CX184" s="60">
        <v>40.400582968977723</v>
      </c>
      <c r="CY184" s="60">
        <f t="shared" si="134"/>
        <v>77.400582968977716</v>
      </c>
      <c r="CZ184" s="60">
        <f t="shared" si="135"/>
        <v>1.3858654067856351</v>
      </c>
      <c r="DA184" s="60">
        <f t="shared" si="136"/>
        <v>1.3858654067856351</v>
      </c>
      <c r="DB184" s="32">
        <f t="shared" si="137"/>
        <v>4.1640641265875494E-2</v>
      </c>
      <c r="DC184">
        <f t="shared" si="138"/>
        <v>3.1544973645199255</v>
      </c>
      <c r="DD184">
        <f t="shared" si="139"/>
        <v>6.2328114270244518E-2</v>
      </c>
      <c r="DE184">
        <f t="shared" si="140"/>
        <v>0.29085206429730953</v>
      </c>
      <c r="DF184">
        <f t="shared" si="141"/>
        <v>0.64681982143244587</v>
      </c>
      <c r="DG184">
        <f t="shared" si="142"/>
        <v>7.3705284149433119</v>
      </c>
      <c r="DH184">
        <f t="shared" si="143"/>
        <v>2.667568200434043E-2</v>
      </c>
      <c r="DI184">
        <f t="shared" si="144"/>
        <v>0.18802795793797833</v>
      </c>
      <c r="DJ184">
        <f t="shared" si="145"/>
        <v>0.78529636005768122</v>
      </c>
      <c r="DK184" s="64">
        <f t="shared" si="146"/>
        <v>-3.0603281367180561</v>
      </c>
      <c r="DL184" s="64">
        <f t="shared" si="147"/>
        <v>-7.276359187141443</v>
      </c>
      <c r="DM184" s="64">
        <f t="shared" si="148"/>
        <v>-3.0600977499837492</v>
      </c>
      <c r="DN184" s="64">
        <f t="shared" si="149"/>
        <v>-7.2761288004071352</v>
      </c>
      <c r="DO184" t="str">
        <f t="shared" si="150"/>
        <v>Sufficient Capacity</v>
      </c>
      <c r="DP184" t="str">
        <f t="shared" si="151"/>
        <v>Sufficient Capacity</v>
      </c>
    </row>
    <row r="185" spans="1:120" ht="15.75" x14ac:dyDescent="0.25">
      <c r="A185" s="5" t="s">
        <v>237</v>
      </c>
      <c r="B185" s="5" t="s">
        <v>237</v>
      </c>
      <c r="C185" s="2" t="s">
        <v>1071</v>
      </c>
      <c r="D185" s="2" t="s">
        <v>627</v>
      </c>
      <c r="E185" s="2" t="s">
        <v>627</v>
      </c>
      <c r="F185" s="2">
        <v>184</v>
      </c>
      <c r="G185" s="2" t="s">
        <v>1070</v>
      </c>
      <c r="H185" s="10" t="s">
        <v>656</v>
      </c>
      <c r="I185" s="2">
        <v>150</v>
      </c>
      <c r="J185" s="2">
        <v>65</v>
      </c>
      <c r="K185" s="2">
        <v>5.5</v>
      </c>
      <c r="L185" t="s">
        <v>412</v>
      </c>
      <c r="M185" s="2" t="s">
        <v>1120</v>
      </c>
      <c r="N185" s="2" t="s">
        <v>437</v>
      </c>
      <c r="O185" s="2" t="s">
        <v>673</v>
      </c>
      <c r="P185" s="2" t="s">
        <v>1128</v>
      </c>
      <c r="Q185" s="9" t="s">
        <v>746</v>
      </c>
      <c r="R185" s="2" t="str">
        <f t="shared" si="101"/>
        <v>CW_3_Section_3</v>
      </c>
      <c r="S185" s="2" t="str">
        <f t="shared" si="102"/>
        <v>CW_3_MF10</v>
      </c>
      <c r="T185" s="11" t="s">
        <v>1029</v>
      </c>
      <c r="U185" s="1">
        <v>45959</v>
      </c>
      <c r="V185" s="2" t="s">
        <v>752</v>
      </c>
      <c r="W185" s="2" t="s">
        <v>663</v>
      </c>
      <c r="X185" s="2" t="s">
        <v>1028</v>
      </c>
      <c r="Y185" s="2" t="str">
        <f t="shared" si="103"/>
        <v>T7_0.60-0.80</v>
      </c>
      <c r="Z185" t="s">
        <v>61</v>
      </c>
      <c r="AA185">
        <v>8.6</v>
      </c>
      <c r="AB185">
        <v>8.9</v>
      </c>
      <c r="AC185">
        <v>330</v>
      </c>
      <c r="AD185" s="32">
        <f t="shared" si="104"/>
        <v>0.12674433491230316</v>
      </c>
      <c r="AE185">
        <v>3.1</v>
      </c>
      <c r="AF185" s="32">
        <f t="shared" si="105"/>
        <v>1.2112003472975908E-3</v>
      </c>
      <c r="AG185">
        <v>36</v>
      </c>
      <c r="AH185" s="32">
        <f t="shared" si="106"/>
        <v>1.4241311104831874E-2</v>
      </c>
      <c r="AI185">
        <v>10</v>
      </c>
      <c r="AJ185" s="32">
        <f t="shared" si="107"/>
        <v>3.9559197513421868E-3</v>
      </c>
      <c r="AK185">
        <v>2.6</v>
      </c>
      <c r="AL185" s="32">
        <f t="shared" si="108"/>
        <v>1.0285391353489688E-3</v>
      </c>
      <c r="AM185">
        <v>12.6</v>
      </c>
      <c r="AO185" s="49">
        <v>381.7</v>
      </c>
      <c r="AP185" s="49">
        <f t="shared" si="109"/>
        <v>0.14219684636443264</v>
      </c>
      <c r="AQ185">
        <v>52</v>
      </c>
      <c r="AR185" s="32">
        <f t="shared" si="110"/>
        <v>1.9474135913240227E-2</v>
      </c>
      <c r="AS185" s="48">
        <v>70</v>
      </c>
      <c r="AT185" s="27">
        <f t="shared" si="111"/>
        <v>2.6215182960131075E-2</v>
      </c>
      <c r="AU185" s="48">
        <v>1.6</v>
      </c>
      <c r="AV185" s="27">
        <f t="shared" si="112"/>
        <v>5.8873776200801635E-4</v>
      </c>
      <c r="AW185" s="48">
        <v>110</v>
      </c>
      <c r="AX185" s="27">
        <f t="shared" si="113"/>
        <v>4.1372154853770833E-2</v>
      </c>
      <c r="AY185" s="48">
        <v>25</v>
      </c>
      <c r="AZ185" s="27">
        <f t="shared" si="114"/>
        <v>9.3249909758151856E-3</v>
      </c>
      <c r="BA185" s="48">
        <v>19</v>
      </c>
      <c r="BB185" s="27">
        <f t="shared" si="115"/>
        <v>7.0358525500757449E-3</v>
      </c>
      <c r="BC185" s="48">
        <v>3.3</v>
      </c>
      <c r="BD185" s="27">
        <f t="shared" si="116"/>
        <v>1.2220164955394715E-3</v>
      </c>
      <c r="BE185" s="48">
        <v>0.41</v>
      </c>
      <c r="BF185" s="27">
        <f t="shared" si="117"/>
        <v>1.5001236093943138E-4</v>
      </c>
      <c r="BG185" s="48">
        <v>0.27</v>
      </c>
      <c r="BH185" s="27">
        <f t="shared" si="118"/>
        <v>9.8788627935723116E-5</v>
      </c>
      <c r="BI185" s="52">
        <f t="shared" si="119"/>
        <v>229.58</v>
      </c>
      <c r="BJ185" s="52">
        <f t="shared" si="120"/>
        <v>159.58000000000001</v>
      </c>
      <c r="BK185" s="27">
        <f t="shared" si="121"/>
        <v>8.6007736586215494E-2</v>
      </c>
      <c r="BL185" s="27">
        <f t="shared" si="122"/>
        <v>5.9792553626084398E-2</v>
      </c>
      <c r="BM185">
        <v>320</v>
      </c>
      <c r="BN185">
        <v>560</v>
      </c>
      <c r="BO185" t="s">
        <v>19</v>
      </c>
      <c r="BP185">
        <v>880</v>
      </c>
      <c r="BQ185">
        <v>65</v>
      </c>
      <c r="BR185" t="s">
        <v>443</v>
      </c>
      <c r="BS185">
        <v>0.36</v>
      </c>
      <c r="BT185">
        <v>0.71</v>
      </c>
      <c r="BU185">
        <v>12</v>
      </c>
      <c r="BV185">
        <v>-188</v>
      </c>
      <c r="BW185">
        <v>7.3</v>
      </c>
      <c r="BX185">
        <v>676</v>
      </c>
      <c r="BY185">
        <v>0.2</v>
      </c>
      <c r="BZ185">
        <v>0.01</v>
      </c>
      <c r="CA185" s="32">
        <v>1.4</v>
      </c>
      <c r="CB185" s="32">
        <f t="shared" si="123"/>
        <v>2.506714413607878E-2</v>
      </c>
      <c r="CC185" s="32">
        <f t="shared" si="124"/>
        <v>2.506714413607878E-2</v>
      </c>
      <c r="CD185" s="32">
        <v>2</v>
      </c>
      <c r="CE185" s="32">
        <f t="shared" si="125"/>
        <v>3.6409976333515386E-2</v>
      </c>
      <c r="CF185" s="32">
        <f t="shared" si="126"/>
        <v>7.2819952667030771E-2</v>
      </c>
      <c r="CG185" s="27">
        <v>56</v>
      </c>
      <c r="CH185" s="27">
        <f t="shared" si="127"/>
        <v>0.58296897772225686</v>
      </c>
      <c r="CI185" s="27">
        <f t="shared" si="128"/>
        <v>4.6637518217780549</v>
      </c>
      <c r="CJ185" s="58">
        <v>-31</v>
      </c>
      <c r="CK185" s="58">
        <v>-124</v>
      </c>
      <c r="CL185" s="58">
        <v>-2.5817197584842808</v>
      </c>
      <c r="CN185" s="28">
        <v>-35</v>
      </c>
      <c r="CO185" s="28">
        <v>-166.66666666666669</v>
      </c>
      <c r="CP185" s="28">
        <v>-2.9148448886112845</v>
      </c>
      <c r="CQ185" s="28">
        <v>0</v>
      </c>
      <c r="CR185" s="32">
        <f t="shared" si="129"/>
        <v>-18.020403914220278</v>
      </c>
      <c r="CS185" s="32">
        <v>0</v>
      </c>
      <c r="CT185" s="32">
        <f t="shared" si="130"/>
        <v>1.4</v>
      </c>
      <c r="CU185" s="32">
        <f t="shared" si="131"/>
        <v>2.506714413607878E-2</v>
      </c>
      <c r="CV185" s="32">
        <f t="shared" si="132"/>
        <v>2.506714413607878E-2</v>
      </c>
      <c r="CW185" s="60">
        <f t="shared" si="133"/>
        <v>-20.345617322506765</v>
      </c>
      <c r="CY185" s="60">
        <f t="shared" si="134"/>
        <v>1.4</v>
      </c>
      <c r="CZ185" s="60">
        <f t="shared" si="135"/>
        <v>2.506714413607878E-2</v>
      </c>
      <c r="DA185" s="60">
        <f t="shared" si="136"/>
        <v>2.506714413607878E-2</v>
      </c>
      <c r="DB185" s="32">
        <f t="shared" si="137"/>
        <v>4.6637518217780549</v>
      </c>
      <c r="DC185">
        <f t="shared" si="138"/>
        <v>9.7887096803109558E-2</v>
      </c>
      <c r="DD185">
        <f t="shared" si="139"/>
        <v>0.74391778942531184</v>
      </c>
      <c r="DE185">
        <f t="shared" si="140"/>
        <v>0.25608221057468811</v>
      </c>
      <c r="DF185">
        <f t="shared" si="141"/>
        <v>0</v>
      </c>
      <c r="DG185">
        <f t="shared" si="142"/>
        <v>9.7887096803109558E-2</v>
      </c>
      <c r="DH185">
        <f t="shared" si="143"/>
        <v>0.74391778942531184</v>
      </c>
      <c r="DI185">
        <f t="shared" si="144"/>
        <v>0.25608221057468811</v>
      </c>
      <c r="DJ185">
        <f t="shared" si="145"/>
        <v>0</v>
      </c>
      <c r="DK185" s="64">
        <f t="shared" si="146"/>
        <v>6.3783885474563318E-2</v>
      </c>
      <c r="DL185" s="64">
        <f t="shared" si="147"/>
        <v>6.3783885474563318E-2</v>
      </c>
      <c r="DM185" s="64">
        <f t="shared" si="148"/>
        <v>0.12357643910064772</v>
      </c>
      <c r="DN185" s="64">
        <f t="shared" si="149"/>
        <v>0.12357643910064772</v>
      </c>
      <c r="DO185" t="str">
        <f t="shared" si="150"/>
        <v>Insufficient Capacity</v>
      </c>
      <c r="DP185" t="str">
        <f t="shared" si="151"/>
        <v>Insufficient Capacity</v>
      </c>
    </row>
    <row r="186" spans="1:120" ht="15.75" x14ac:dyDescent="0.25">
      <c r="A186" s="29" t="s">
        <v>238</v>
      </c>
      <c r="B186" s="29" t="s">
        <v>238</v>
      </c>
      <c r="C186" s="29" t="s">
        <v>1073</v>
      </c>
      <c r="D186" s="29" t="s">
        <v>628</v>
      </c>
      <c r="E186" s="29" t="s">
        <v>628</v>
      </c>
      <c r="F186" s="29">
        <v>185</v>
      </c>
      <c r="G186" s="37" t="s">
        <v>1072</v>
      </c>
      <c r="H186" s="30" t="s">
        <v>656</v>
      </c>
      <c r="I186" s="29">
        <v>150</v>
      </c>
      <c r="J186" s="29">
        <v>65</v>
      </c>
      <c r="K186" s="34">
        <v>10.85</v>
      </c>
      <c r="L186" s="32" t="s">
        <v>413</v>
      </c>
      <c r="M186" s="29" t="s">
        <v>1118</v>
      </c>
      <c r="N186" s="29" t="s">
        <v>688</v>
      </c>
      <c r="O186" s="29" t="s">
        <v>687</v>
      </c>
      <c r="P186" s="29" t="s">
        <v>1118</v>
      </c>
      <c r="Q186" s="29" t="s">
        <v>443</v>
      </c>
      <c r="R186" s="2" t="str">
        <f t="shared" si="101"/>
        <v>CW_0_Section_0</v>
      </c>
      <c r="S186" s="2" t="str">
        <f t="shared" si="102"/>
        <v>CW_0_INF</v>
      </c>
      <c r="T186" s="31" t="s">
        <v>1075</v>
      </c>
      <c r="U186" s="33">
        <v>46007</v>
      </c>
      <c r="V186" s="29" t="s">
        <v>799</v>
      </c>
      <c r="W186" s="29" t="s">
        <v>1118</v>
      </c>
      <c r="X186" s="29" t="s">
        <v>1074</v>
      </c>
      <c r="Y186" s="2" t="str">
        <f t="shared" si="103"/>
        <v>T8_INF</v>
      </c>
      <c r="Z186" s="32" t="s">
        <v>27</v>
      </c>
      <c r="AA186" s="32">
        <v>15</v>
      </c>
      <c r="AB186" s="32">
        <v>23</v>
      </c>
      <c r="AC186" s="32">
        <v>500</v>
      </c>
      <c r="AD186" s="32">
        <f t="shared" si="104"/>
        <v>0.19203687107924722</v>
      </c>
      <c r="AE186" s="32">
        <v>210</v>
      </c>
      <c r="AF186" s="32">
        <f t="shared" si="105"/>
        <v>8.2049055784675501E-2</v>
      </c>
      <c r="AG186" s="32">
        <v>490</v>
      </c>
      <c r="AH186" s="32">
        <f t="shared" si="106"/>
        <v>0.19384006781576718</v>
      </c>
      <c r="AI186" s="32">
        <v>230</v>
      </c>
      <c r="AJ186" s="32">
        <f t="shared" si="107"/>
        <v>9.0986154280870299E-2</v>
      </c>
      <c r="AK186" s="32">
        <v>320</v>
      </c>
      <c r="AL186" s="32">
        <f t="shared" si="108"/>
        <v>0.12658943204294998</v>
      </c>
      <c r="AM186" s="32">
        <v>550</v>
      </c>
      <c r="AN186" s="32"/>
      <c r="AO186" s="49">
        <v>1750</v>
      </c>
      <c r="AP186" s="49">
        <f t="shared" si="109"/>
        <v>0.46792599467968993</v>
      </c>
      <c r="AQ186" s="32">
        <v>4700</v>
      </c>
      <c r="AR186" s="32">
        <f t="shared" si="110"/>
        <v>1.7601622844659439</v>
      </c>
      <c r="AS186" s="48">
        <v>4100</v>
      </c>
      <c r="AT186" s="27">
        <f t="shared" si="111"/>
        <v>1.5354607162362488</v>
      </c>
      <c r="AU186" s="48">
        <v>160</v>
      </c>
      <c r="AV186" s="27">
        <f t="shared" si="112"/>
        <v>5.8873776200801628E-2</v>
      </c>
      <c r="AW186" s="48">
        <v>180</v>
      </c>
      <c r="AX186" s="27">
        <f t="shared" si="113"/>
        <v>6.769988976071592E-2</v>
      </c>
      <c r="AY186" s="48">
        <v>100</v>
      </c>
      <c r="AZ186" s="27">
        <f t="shared" si="114"/>
        <v>3.7299963903260742E-2</v>
      </c>
      <c r="BA186" s="48">
        <v>94</v>
      </c>
      <c r="BB186" s="27">
        <f t="shared" si="115"/>
        <v>3.4808954721427372E-2</v>
      </c>
      <c r="BC186" s="48">
        <v>18</v>
      </c>
      <c r="BD186" s="27">
        <f t="shared" si="116"/>
        <v>6.66554452112439E-3</v>
      </c>
      <c r="BE186" s="48">
        <v>7.4</v>
      </c>
      <c r="BF186" s="27">
        <f t="shared" si="117"/>
        <v>2.7075401730531521E-3</v>
      </c>
      <c r="BG186" s="48">
        <v>8.4</v>
      </c>
      <c r="BH186" s="27">
        <f t="shared" si="118"/>
        <v>3.073423980222497E-3</v>
      </c>
      <c r="BI186" s="52">
        <f t="shared" si="119"/>
        <v>4667.7999999999993</v>
      </c>
      <c r="BJ186" s="52">
        <f t="shared" si="120"/>
        <v>567.79999999999995</v>
      </c>
      <c r="BK186" s="27">
        <f t="shared" si="121"/>
        <v>1.7465898094968546</v>
      </c>
      <c r="BL186" s="27">
        <f t="shared" si="122"/>
        <v>0.21112909326060569</v>
      </c>
      <c r="BM186" s="32">
        <v>9300</v>
      </c>
      <c r="BN186" s="32">
        <v>5700</v>
      </c>
      <c r="BO186" s="32">
        <v>95</v>
      </c>
      <c r="BP186" s="32">
        <v>16000</v>
      </c>
      <c r="BQ186" s="32">
        <v>72</v>
      </c>
      <c r="BR186" s="32" t="s">
        <v>443</v>
      </c>
      <c r="BS186" s="32">
        <v>0.75</v>
      </c>
      <c r="BT186" s="32" t="s">
        <v>443</v>
      </c>
      <c r="BU186" s="32" t="s">
        <v>443</v>
      </c>
      <c r="BV186" s="32" t="s">
        <v>443</v>
      </c>
      <c r="BW186" s="32" t="s">
        <v>443</v>
      </c>
      <c r="BX186" s="32" t="s">
        <v>443</v>
      </c>
      <c r="BY186" s="32" t="s">
        <v>443</v>
      </c>
      <c r="BZ186" s="32">
        <v>0.01</v>
      </c>
      <c r="CA186" s="32">
        <v>1.5</v>
      </c>
      <c r="CB186" s="32">
        <f t="shared" si="123"/>
        <v>2.685765443151298E-2</v>
      </c>
      <c r="CC186" s="32">
        <f t="shared" si="124"/>
        <v>2.685765443151298E-2</v>
      </c>
      <c r="CD186" s="32">
        <v>0.8</v>
      </c>
      <c r="CE186" s="32">
        <f t="shared" si="125"/>
        <v>1.4563990533406155E-2</v>
      </c>
      <c r="CF186" s="32">
        <f t="shared" si="126"/>
        <v>2.912798106681231E-2</v>
      </c>
      <c r="CG186" s="32">
        <v>72</v>
      </c>
      <c r="CH186" s="32">
        <f t="shared" si="127"/>
        <v>0.74953154278575884</v>
      </c>
      <c r="CI186" s="32">
        <f t="shared" si="128"/>
        <v>5.9962523422860707</v>
      </c>
      <c r="CJ186" s="58">
        <v>0</v>
      </c>
      <c r="CK186" s="58">
        <v>0</v>
      </c>
      <c r="CL186" s="58">
        <v>0</v>
      </c>
      <c r="CM186" s="58">
        <v>0</v>
      </c>
      <c r="CN186" s="28">
        <v>0</v>
      </c>
      <c r="CO186" s="28">
        <v>0</v>
      </c>
      <c r="CP186" s="28">
        <v>0</v>
      </c>
      <c r="CQ186" s="28">
        <v>0</v>
      </c>
      <c r="CR186" s="32">
        <f t="shared" si="129"/>
        <v>0</v>
      </c>
      <c r="CS186" s="32">
        <v>0</v>
      </c>
      <c r="CT186" s="32">
        <f t="shared" si="130"/>
        <v>1.5</v>
      </c>
      <c r="CU186" s="32">
        <f t="shared" si="131"/>
        <v>2.685765443151298E-2</v>
      </c>
      <c r="CV186" s="32">
        <f t="shared" si="132"/>
        <v>2.685765443151298E-2</v>
      </c>
      <c r="CW186" s="60">
        <f t="shared" si="133"/>
        <v>0</v>
      </c>
      <c r="CX186" s="60">
        <v>0</v>
      </c>
      <c r="CY186" s="60">
        <f t="shared" si="134"/>
        <v>1.5</v>
      </c>
      <c r="CZ186" s="60">
        <f t="shared" si="135"/>
        <v>2.685765443151298E-2</v>
      </c>
      <c r="DA186" s="60">
        <f t="shared" si="136"/>
        <v>2.685765443151298E-2</v>
      </c>
      <c r="DB186" s="32">
        <f t="shared" si="137"/>
        <v>5.9962523422860707</v>
      </c>
      <c r="DC186">
        <f t="shared" si="138"/>
        <v>5.598563549832529E-2</v>
      </c>
      <c r="DD186">
        <f t="shared" si="139"/>
        <v>0.520275974498559</v>
      </c>
      <c r="DE186">
        <f t="shared" si="140"/>
        <v>0.47972402550144094</v>
      </c>
      <c r="DF186">
        <f t="shared" si="141"/>
        <v>0</v>
      </c>
      <c r="DG186">
        <f t="shared" si="142"/>
        <v>5.598563549832529E-2</v>
      </c>
      <c r="DH186">
        <f t="shared" si="143"/>
        <v>0.520275974498559</v>
      </c>
      <c r="DI186">
        <f t="shared" si="144"/>
        <v>0.47972402550144094</v>
      </c>
      <c r="DJ186">
        <f t="shared" si="145"/>
        <v>0</v>
      </c>
      <c r="DK186" s="64">
        <f t="shared" si="146"/>
        <v>2.1721026436473085</v>
      </c>
      <c r="DL186" s="64">
        <f t="shared" si="147"/>
        <v>2.1721026436473085</v>
      </c>
      <c r="DM186" s="64">
        <f t="shared" si="148"/>
        <v>2.3832317369079141</v>
      </c>
      <c r="DN186" s="64">
        <f t="shared" si="149"/>
        <v>2.3832317369079141</v>
      </c>
      <c r="DO186" t="str">
        <f t="shared" si="150"/>
        <v>Insufficient Capacity</v>
      </c>
      <c r="DP186" t="str">
        <f t="shared" si="151"/>
        <v>Insufficient Capacity</v>
      </c>
    </row>
    <row r="187" spans="1:120" ht="15.75" x14ac:dyDescent="0.25">
      <c r="A187" s="2" t="s">
        <v>239</v>
      </c>
      <c r="B187" s="2" t="s">
        <v>239</v>
      </c>
      <c r="C187" s="2" t="s">
        <v>1077</v>
      </c>
      <c r="D187" s="2" t="s">
        <v>629</v>
      </c>
      <c r="E187" s="2" t="s">
        <v>629</v>
      </c>
      <c r="F187" s="2">
        <v>186</v>
      </c>
      <c r="G187" s="19" t="s">
        <v>1076</v>
      </c>
      <c r="H187" s="10" t="s">
        <v>656</v>
      </c>
      <c r="I187" s="2">
        <v>150</v>
      </c>
      <c r="J187" s="2">
        <v>65</v>
      </c>
      <c r="K187" s="12">
        <v>4.45</v>
      </c>
      <c r="L187" t="s">
        <v>414</v>
      </c>
      <c r="M187" s="2" t="s">
        <v>1119</v>
      </c>
      <c r="N187" s="2" t="s">
        <v>435</v>
      </c>
      <c r="O187" s="2" t="s">
        <v>694</v>
      </c>
      <c r="P187" s="2" t="s">
        <v>1119</v>
      </c>
      <c r="Q187" s="2" t="s">
        <v>443</v>
      </c>
      <c r="R187" s="2" t="str">
        <f t="shared" si="101"/>
        <v>CW_1_Section_5</v>
      </c>
      <c r="S187" s="2" t="str">
        <f t="shared" si="102"/>
        <v>CW_1_EFF</v>
      </c>
      <c r="T187" s="11" t="s">
        <v>1075</v>
      </c>
      <c r="U187" s="1">
        <v>46007</v>
      </c>
      <c r="V187" s="2" t="s">
        <v>799</v>
      </c>
      <c r="W187" s="2" t="s">
        <v>1119</v>
      </c>
      <c r="X187" s="2" t="s">
        <v>1074</v>
      </c>
      <c r="Y187" s="2" t="str">
        <f t="shared" si="103"/>
        <v>T8_EFF</v>
      </c>
      <c r="Z187" t="s">
        <v>18</v>
      </c>
      <c r="AA187">
        <v>9.6999999999999993</v>
      </c>
      <c r="AB187">
        <v>10</v>
      </c>
      <c r="AC187">
        <v>76</v>
      </c>
      <c r="AD187" s="32">
        <f t="shared" si="104"/>
        <v>2.9189604404045579E-2</v>
      </c>
      <c r="AE187">
        <v>2.1</v>
      </c>
      <c r="AF187" s="32">
        <f t="shared" si="105"/>
        <v>8.2049055784675501E-4</v>
      </c>
      <c r="AG187">
        <v>42</v>
      </c>
      <c r="AH187" s="32">
        <f t="shared" si="106"/>
        <v>1.6614862955637185E-2</v>
      </c>
      <c r="AI187">
        <v>13</v>
      </c>
      <c r="AJ187" s="32">
        <f t="shared" si="107"/>
        <v>5.1426956767448434E-3</v>
      </c>
      <c r="AK187">
        <v>6.5</v>
      </c>
      <c r="AL187" s="32">
        <f t="shared" si="108"/>
        <v>2.5713478383724217E-3</v>
      </c>
      <c r="AM187">
        <v>19.5</v>
      </c>
      <c r="AO187" s="49">
        <v>139.6</v>
      </c>
      <c r="AP187" s="49">
        <f t="shared" si="109"/>
        <v>4.6624957917529519E-2</v>
      </c>
      <c r="AQ187">
        <v>65</v>
      </c>
      <c r="AR187" s="32">
        <f t="shared" si="110"/>
        <v>2.4342669891550282E-2</v>
      </c>
      <c r="AS187" s="48">
        <v>40</v>
      </c>
      <c r="AT187" s="27">
        <f t="shared" si="111"/>
        <v>1.4980104548646327E-2</v>
      </c>
      <c r="AU187" s="48">
        <v>0.45</v>
      </c>
      <c r="AV187" s="27">
        <f t="shared" si="112"/>
        <v>1.655824955647546E-4</v>
      </c>
      <c r="AW187" s="48">
        <v>11</v>
      </c>
      <c r="AX187" s="27">
        <f t="shared" si="113"/>
        <v>4.1372154853770837E-3</v>
      </c>
      <c r="AY187" s="48">
        <v>2.8</v>
      </c>
      <c r="AZ187" s="27">
        <f t="shared" si="114"/>
        <v>1.0443989892913006E-3</v>
      </c>
      <c r="BA187" s="48">
        <v>0.84</v>
      </c>
      <c r="BB187" s="27">
        <f t="shared" si="115"/>
        <v>3.1105874431913819E-4</v>
      </c>
      <c r="BC187" s="48">
        <v>0.1</v>
      </c>
      <c r="BD187" s="27">
        <f t="shared" si="116"/>
        <v>3.7030802895135498E-5</v>
      </c>
      <c r="BE187" s="48">
        <v>0.02</v>
      </c>
      <c r="BF187" s="27">
        <f t="shared" si="117"/>
        <v>7.3176761433868973E-6</v>
      </c>
      <c r="BG187" s="48">
        <v>2E-3</v>
      </c>
      <c r="BH187" s="27">
        <f t="shared" si="118"/>
        <v>7.3176761433868969E-7</v>
      </c>
      <c r="BI187" s="52">
        <f t="shared" si="119"/>
        <v>55.21200000000001</v>
      </c>
      <c r="BJ187" s="52">
        <f t="shared" si="120"/>
        <v>15.212</v>
      </c>
      <c r="BK187" s="27">
        <f t="shared" si="121"/>
        <v>2.0683440509851464E-2</v>
      </c>
      <c r="BL187" s="27">
        <f t="shared" si="122"/>
        <v>5.7033359612051375E-3</v>
      </c>
      <c r="BM187">
        <v>110</v>
      </c>
      <c r="BN187">
        <v>60</v>
      </c>
      <c r="BO187" t="s">
        <v>19</v>
      </c>
      <c r="BP187">
        <v>170</v>
      </c>
      <c r="BQ187">
        <v>65</v>
      </c>
      <c r="BR187" t="s">
        <v>443</v>
      </c>
      <c r="BS187">
        <v>0.27</v>
      </c>
      <c r="BT187">
        <v>1.05</v>
      </c>
      <c r="BU187">
        <v>9</v>
      </c>
      <c r="BV187">
        <v>28</v>
      </c>
      <c r="BW187">
        <v>7.6</v>
      </c>
      <c r="BX187">
        <v>965</v>
      </c>
      <c r="BY187">
        <v>0.1</v>
      </c>
      <c r="BZ187">
        <v>0.01</v>
      </c>
      <c r="CA187" s="32">
        <v>9.6</v>
      </c>
      <c r="CB187" s="32">
        <f t="shared" si="123"/>
        <v>0.17188898836168306</v>
      </c>
      <c r="CC187" s="32">
        <f t="shared" si="124"/>
        <v>0.17188898836168306</v>
      </c>
      <c r="CD187" s="32">
        <v>2.4</v>
      </c>
      <c r="CE187" s="32">
        <f t="shared" si="125"/>
        <v>4.3691971600218461E-2</v>
      </c>
      <c r="CF187" s="32">
        <f t="shared" si="126"/>
        <v>8.7383943200436923E-2</v>
      </c>
      <c r="CG187" s="27">
        <v>0.5</v>
      </c>
      <c r="CH187" s="27">
        <f t="shared" si="127"/>
        <v>5.2050801582344368E-3</v>
      </c>
      <c r="CI187" s="27">
        <f t="shared" si="128"/>
        <v>4.1640641265875494E-2</v>
      </c>
      <c r="CJ187" s="58">
        <v>71.5</v>
      </c>
      <c r="CK187" s="58">
        <v>99.305555555555557</v>
      </c>
      <c r="CL187" s="58">
        <v>5.9546117010201955</v>
      </c>
      <c r="CM187" s="58">
        <v>5.9546117010201955</v>
      </c>
      <c r="CN187" s="28">
        <v>47.5</v>
      </c>
      <c r="CO187" s="28">
        <v>98.958333333333343</v>
      </c>
      <c r="CP187" s="28">
        <v>3.9558609202581718</v>
      </c>
      <c r="CQ187" s="28">
        <v>3.9558609202581718</v>
      </c>
      <c r="CR187" s="32">
        <f t="shared" si="129"/>
        <v>41.563189673120966</v>
      </c>
      <c r="CS187" s="32">
        <v>41.563189673120966</v>
      </c>
      <c r="CT187" s="32">
        <f t="shared" si="130"/>
        <v>51.163189673120968</v>
      </c>
      <c r="CU187" s="32">
        <f t="shared" si="131"/>
        <v>0.91608217856975771</v>
      </c>
      <c r="CV187" s="32">
        <f t="shared" si="132"/>
        <v>0.91608217856975771</v>
      </c>
      <c r="CW187" s="60">
        <f t="shared" si="133"/>
        <v>27.611909223402037</v>
      </c>
      <c r="CX187" s="60">
        <v>27.611909223402037</v>
      </c>
      <c r="CY187" s="60">
        <f t="shared" si="134"/>
        <v>37.211909223402039</v>
      </c>
      <c r="CZ187" s="60">
        <f t="shared" si="135"/>
        <v>0.66628306577264163</v>
      </c>
      <c r="DA187" s="60">
        <f t="shared" si="136"/>
        <v>0.66628306577264163</v>
      </c>
      <c r="DB187" s="32">
        <f t="shared" si="137"/>
        <v>4.1640641265875494E-2</v>
      </c>
      <c r="DC187">
        <f t="shared" si="138"/>
        <v>6.9580778227903899</v>
      </c>
      <c r="DD187">
        <f t="shared" si="139"/>
        <v>1.2558632631877268E-2</v>
      </c>
      <c r="DE187">
        <f t="shared" si="140"/>
        <v>0.13165736312537854</v>
      </c>
      <c r="DF187">
        <f t="shared" si="141"/>
        <v>0.85578400424274426</v>
      </c>
      <c r="DG187">
        <f t="shared" si="142"/>
        <v>4.7095279292312506</v>
      </c>
      <c r="DH187">
        <f t="shared" si="143"/>
        <v>1.8554713872288436E-2</v>
      </c>
      <c r="DI187">
        <f t="shared" si="144"/>
        <v>0.14147555249372964</v>
      </c>
      <c r="DJ187">
        <f t="shared" si="145"/>
        <v>0.83996973363398186</v>
      </c>
      <c r="DK187" s="64">
        <f t="shared" si="146"/>
        <v>-6.8871101949813101</v>
      </c>
      <c r="DL187" s="64">
        <f t="shared" si="147"/>
        <v>-4.6385603014221708</v>
      </c>
      <c r="DM187" s="64">
        <f t="shared" si="148"/>
        <v>-6.881406859020105</v>
      </c>
      <c r="DN187" s="64">
        <f t="shared" si="149"/>
        <v>-4.6328569654609657</v>
      </c>
      <c r="DO187" t="str">
        <f t="shared" si="150"/>
        <v>Sufficient Capacity</v>
      </c>
      <c r="DP187" t="str">
        <f t="shared" si="151"/>
        <v>Sufficient Capacity</v>
      </c>
    </row>
    <row r="188" spans="1:120" ht="15.75" x14ac:dyDescent="0.25">
      <c r="A188" s="2" t="s">
        <v>240</v>
      </c>
      <c r="B188" s="2" t="s">
        <v>240</v>
      </c>
      <c r="C188" s="2" t="s">
        <v>1079</v>
      </c>
      <c r="D188" s="2" t="s">
        <v>630</v>
      </c>
      <c r="E188" s="2" t="s">
        <v>630</v>
      </c>
      <c r="F188" s="2">
        <v>187</v>
      </c>
      <c r="G188" s="19" t="s">
        <v>1078</v>
      </c>
      <c r="H188" s="10" t="s">
        <v>656</v>
      </c>
      <c r="I188" s="2">
        <v>150</v>
      </c>
      <c r="J188" s="2">
        <v>65</v>
      </c>
      <c r="K188" s="12">
        <v>4.3</v>
      </c>
      <c r="L188" t="s">
        <v>421</v>
      </c>
      <c r="M188" s="2" t="s">
        <v>1119</v>
      </c>
      <c r="N188" s="2" t="s">
        <v>436</v>
      </c>
      <c r="O188" s="2" t="s">
        <v>694</v>
      </c>
      <c r="P188" s="2" t="s">
        <v>1119</v>
      </c>
      <c r="Q188" s="2" t="s">
        <v>443</v>
      </c>
      <c r="R188" s="2" t="str">
        <f t="shared" si="101"/>
        <v>CW_2_Section_5</v>
      </c>
      <c r="S188" s="2" t="str">
        <f t="shared" si="102"/>
        <v>CW_2_EFF</v>
      </c>
      <c r="T188" s="11" t="s">
        <v>1075</v>
      </c>
      <c r="U188" s="1">
        <v>46007</v>
      </c>
      <c r="V188" s="2" t="s">
        <v>799</v>
      </c>
      <c r="W188" s="2" t="s">
        <v>1119</v>
      </c>
      <c r="X188" s="2" t="s">
        <v>1074</v>
      </c>
      <c r="Y188" s="2" t="str">
        <f t="shared" si="103"/>
        <v>T8_EFF</v>
      </c>
      <c r="Z188" t="s">
        <v>39</v>
      </c>
      <c r="AA188">
        <v>5</v>
      </c>
      <c r="AB188">
        <v>5.2</v>
      </c>
      <c r="AC188">
        <v>3.1</v>
      </c>
      <c r="AD188" s="32">
        <f t="shared" si="104"/>
        <v>1.1906286006913326E-3</v>
      </c>
      <c r="AE188">
        <v>0.25</v>
      </c>
      <c r="AF188" s="32">
        <f t="shared" si="105"/>
        <v>9.7677447362708923E-5</v>
      </c>
      <c r="AG188">
        <v>4</v>
      </c>
      <c r="AH188" s="32">
        <f t="shared" si="106"/>
        <v>1.5823679005368748E-3</v>
      </c>
      <c r="AI188">
        <v>0.93</v>
      </c>
      <c r="AJ188" s="32">
        <f t="shared" si="107"/>
        <v>3.679005368748234E-4</v>
      </c>
      <c r="AK188">
        <v>0.68</v>
      </c>
      <c r="AL188" s="32">
        <f t="shared" si="108"/>
        <v>2.6900254309126874E-4</v>
      </c>
      <c r="AM188">
        <v>1.61</v>
      </c>
      <c r="AO188" s="49">
        <v>8.9600000000000009</v>
      </c>
      <c r="AP188" s="49">
        <f t="shared" si="109"/>
        <v>2.8706739485909166E-3</v>
      </c>
      <c r="AQ188">
        <v>19</v>
      </c>
      <c r="AR188" s="32">
        <f t="shared" si="110"/>
        <v>7.1155496606070054E-3</v>
      </c>
      <c r="AS188" s="48">
        <v>0.04</v>
      </c>
      <c r="AT188" s="27">
        <f t="shared" si="111"/>
        <v>1.498010454864633E-5</v>
      </c>
      <c r="AU188" s="48">
        <v>0.1</v>
      </c>
      <c r="AV188" s="27">
        <f t="shared" si="112"/>
        <v>3.6796110125501022E-5</v>
      </c>
      <c r="AW188" s="48">
        <v>1.9</v>
      </c>
      <c r="AX188" s="27">
        <f t="shared" si="113"/>
        <v>7.1460994747422348E-4</v>
      </c>
      <c r="AY188" s="48">
        <v>0.52</v>
      </c>
      <c r="AZ188" s="27">
        <f t="shared" si="114"/>
        <v>1.9395981229695586E-4</v>
      </c>
      <c r="BA188" s="48">
        <v>0.03</v>
      </c>
      <c r="BB188" s="27">
        <f t="shared" si="115"/>
        <v>1.110924086854065E-5</v>
      </c>
      <c r="BC188" s="48">
        <v>0.02</v>
      </c>
      <c r="BD188" s="27">
        <f t="shared" si="116"/>
        <v>7.4061605790270997E-6</v>
      </c>
      <c r="BE188" s="48">
        <v>1E-3</v>
      </c>
      <c r="BF188" s="27">
        <f t="shared" si="117"/>
        <v>3.6588380716934485E-7</v>
      </c>
      <c r="BG188" s="48">
        <v>2E-3</v>
      </c>
      <c r="BH188" s="27">
        <f t="shared" si="118"/>
        <v>7.3176761433868969E-7</v>
      </c>
      <c r="BI188" s="52">
        <f t="shared" si="119"/>
        <v>2.6129999999999995</v>
      </c>
      <c r="BJ188" s="52">
        <f t="shared" si="120"/>
        <v>2.5729999999999995</v>
      </c>
      <c r="BK188" s="27">
        <f t="shared" si="121"/>
        <v>9.7995902731440256E-4</v>
      </c>
      <c r="BL188" s="27">
        <f t="shared" si="122"/>
        <v>9.6497892276575618E-4</v>
      </c>
      <c r="BM188">
        <v>2.5</v>
      </c>
      <c r="BN188">
        <v>2.5</v>
      </c>
      <c r="BO188" t="s">
        <v>19</v>
      </c>
      <c r="BP188">
        <v>5</v>
      </c>
      <c r="BQ188">
        <v>49</v>
      </c>
      <c r="BR188" t="s">
        <v>443</v>
      </c>
      <c r="BS188">
        <v>1.4999999999999999E-2</v>
      </c>
      <c r="BT188">
        <v>3.46</v>
      </c>
      <c r="BU188">
        <v>9</v>
      </c>
      <c r="BV188">
        <v>99</v>
      </c>
      <c r="BW188">
        <v>7.6</v>
      </c>
      <c r="BX188">
        <v>601</v>
      </c>
      <c r="BY188">
        <v>0.1</v>
      </c>
      <c r="BZ188">
        <v>0.01</v>
      </c>
      <c r="CA188" s="32">
        <v>0.6</v>
      </c>
      <c r="CB188" s="32">
        <f t="shared" si="123"/>
        <v>1.0743061772605192E-2</v>
      </c>
      <c r="CC188" s="32">
        <f t="shared" si="124"/>
        <v>1.0743061772605192E-2</v>
      </c>
      <c r="CD188" s="32">
        <v>0.05</v>
      </c>
      <c r="CE188" s="32">
        <f t="shared" si="125"/>
        <v>9.1024940833788468E-4</v>
      </c>
      <c r="CF188" s="32">
        <f t="shared" si="126"/>
        <v>1.8204988166757694E-3</v>
      </c>
      <c r="CG188" s="27">
        <v>36</v>
      </c>
      <c r="CH188" s="27">
        <f t="shared" si="127"/>
        <v>0.37476577139287942</v>
      </c>
      <c r="CI188" s="27">
        <f t="shared" si="128"/>
        <v>2.9981261711430354</v>
      </c>
      <c r="CJ188" s="58">
        <v>36</v>
      </c>
      <c r="CK188" s="58">
        <v>50</v>
      </c>
      <c r="CL188" s="58">
        <v>2.9981261711430354</v>
      </c>
      <c r="CM188" s="58">
        <v>2.9981261711430354</v>
      </c>
      <c r="CN188" s="28">
        <v>-1</v>
      </c>
      <c r="CO188" s="28">
        <v>-2.8571428571428572</v>
      </c>
      <c r="CP188" s="28">
        <v>-8.3281282531750989E-2</v>
      </c>
      <c r="CR188" s="32">
        <f t="shared" si="129"/>
        <v>20.926920674578387</v>
      </c>
      <c r="CS188" s="32">
        <v>20.926920674578387</v>
      </c>
      <c r="CT188" s="32">
        <f t="shared" si="130"/>
        <v>21.526920674578388</v>
      </c>
      <c r="CU188" s="32">
        <f t="shared" si="131"/>
        <v>0.38544173096827911</v>
      </c>
      <c r="CV188" s="32">
        <f t="shared" si="132"/>
        <v>0.38544173096827911</v>
      </c>
      <c r="CW188" s="60">
        <f t="shared" si="133"/>
        <v>-0.58130335207162187</v>
      </c>
      <c r="CY188" s="60">
        <f t="shared" si="134"/>
        <v>0.6</v>
      </c>
      <c r="CZ188" s="60">
        <f t="shared" si="135"/>
        <v>1.0743061772605192E-2</v>
      </c>
      <c r="DA188" s="60">
        <f t="shared" si="136"/>
        <v>1.0743061772605192E-2</v>
      </c>
      <c r="DB188" s="32">
        <f t="shared" si="137"/>
        <v>2.9981261711430354</v>
      </c>
      <c r="DC188">
        <f t="shared" si="138"/>
        <v>3.3853884009279902</v>
      </c>
      <c r="DD188">
        <f t="shared" si="139"/>
        <v>5.3775183260412328E-4</v>
      </c>
      <c r="DE188">
        <f t="shared" si="140"/>
        <v>0.11385450805663044</v>
      </c>
      <c r="DF188">
        <f t="shared" si="141"/>
        <v>0.88560774011076548</v>
      </c>
      <c r="DG188">
        <f t="shared" si="142"/>
        <v>1.256356058928096E-2</v>
      </c>
      <c r="DH188">
        <f t="shared" si="143"/>
        <v>0.14490309524427267</v>
      </c>
      <c r="DI188">
        <f t="shared" si="144"/>
        <v>0.85509690475572742</v>
      </c>
      <c r="DJ188">
        <f t="shared" si="145"/>
        <v>0</v>
      </c>
      <c r="DK188" s="64">
        <f t="shared" si="146"/>
        <v>-3.3754021773187923</v>
      </c>
      <c r="DL188" s="64">
        <f t="shared" si="147"/>
        <v>-2.5773369800830385E-3</v>
      </c>
      <c r="DM188" s="64">
        <f t="shared" si="148"/>
        <v>-3.3744371983960266</v>
      </c>
      <c r="DN188" s="64">
        <f t="shared" si="149"/>
        <v>-1.6123580573172824E-3</v>
      </c>
      <c r="DO188" t="str">
        <f t="shared" si="150"/>
        <v>Sufficient Capacity</v>
      </c>
      <c r="DP188" t="str">
        <f t="shared" si="151"/>
        <v>Sufficient Capacity</v>
      </c>
    </row>
    <row r="189" spans="1:120" ht="15.75" x14ac:dyDescent="0.25">
      <c r="A189" s="2" t="s">
        <v>241</v>
      </c>
      <c r="B189" s="2" t="s">
        <v>241</v>
      </c>
      <c r="C189" s="2" t="s">
        <v>1081</v>
      </c>
      <c r="D189" s="2" t="s">
        <v>631</v>
      </c>
      <c r="E189" s="2" t="s">
        <v>631</v>
      </c>
      <c r="F189" s="2">
        <v>188</v>
      </c>
      <c r="G189" s="19" t="s">
        <v>1080</v>
      </c>
      <c r="H189" s="10" t="s">
        <v>656</v>
      </c>
      <c r="I189" s="2">
        <v>150</v>
      </c>
      <c r="J189" s="2">
        <v>65</v>
      </c>
      <c r="K189" s="12">
        <v>3.65</v>
      </c>
      <c r="L189" t="s">
        <v>432</v>
      </c>
      <c r="M189" s="2" t="s">
        <v>1119</v>
      </c>
      <c r="N189" s="2" t="s">
        <v>437</v>
      </c>
      <c r="O189" s="2" t="s">
        <v>694</v>
      </c>
      <c r="P189" s="2" t="s">
        <v>1119</v>
      </c>
      <c r="Q189" s="2" t="s">
        <v>443</v>
      </c>
      <c r="R189" s="2" t="str">
        <f t="shared" si="101"/>
        <v>CW_3_Section_5</v>
      </c>
      <c r="S189" s="2" t="str">
        <f t="shared" si="102"/>
        <v>CW_3_EFF</v>
      </c>
      <c r="T189" s="11" t="s">
        <v>1075</v>
      </c>
      <c r="U189" s="1">
        <v>46009</v>
      </c>
      <c r="V189" s="2" t="s">
        <v>799</v>
      </c>
      <c r="W189" s="2" t="s">
        <v>1119</v>
      </c>
      <c r="X189" s="2" t="s">
        <v>1074</v>
      </c>
      <c r="Y189" s="2" t="str">
        <f t="shared" si="103"/>
        <v>T8_EFF</v>
      </c>
      <c r="Z189" t="s">
        <v>49</v>
      </c>
      <c r="AA189">
        <v>13</v>
      </c>
      <c r="AB189">
        <v>14</v>
      </c>
      <c r="AC189">
        <v>5.5</v>
      </c>
      <c r="AD189" s="32">
        <f t="shared" si="104"/>
        <v>2.1124055818717196E-3</v>
      </c>
      <c r="AE189">
        <v>0.71</v>
      </c>
      <c r="AF189" s="32">
        <f t="shared" si="105"/>
        <v>2.7740395051009334E-4</v>
      </c>
      <c r="AG189">
        <v>3</v>
      </c>
      <c r="AH189" s="32">
        <f t="shared" si="106"/>
        <v>1.1867759254026561E-3</v>
      </c>
      <c r="AI189">
        <v>1.3</v>
      </c>
      <c r="AJ189" s="32">
        <f t="shared" si="107"/>
        <v>5.1426956767448438E-4</v>
      </c>
      <c r="AK189">
        <v>1.3</v>
      </c>
      <c r="AL189" s="32">
        <f t="shared" si="108"/>
        <v>5.1426956767448438E-4</v>
      </c>
      <c r="AM189">
        <v>2.6</v>
      </c>
      <c r="AO189" s="49">
        <v>11.81</v>
      </c>
      <c r="AP189" s="49">
        <f t="shared" si="109"/>
        <v>3.5765854577844689E-3</v>
      </c>
      <c r="AQ189">
        <v>21</v>
      </c>
      <c r="AR189" s="32">
        <f t="shared" si="110"/>
        <v>7.8645548880393219E-3</v>
      </c>
      <c r="AS189" s="48">
        <v>2400</v>
      </c>
      <c r="AT189" s="27">
        <f t="shared" si="111"/>
        <v>0.89880627291877968</v>
      </c>
      <c r="AU189" s="48">
        <v>2</v>
      </c>
      <c r="AV189" s="27">
        <f t="shared" si="112"/>
        <v>7.3592220251002033E-4</v>
      </c>
      <c r="AW189" s="48">
        <v>94</v>
      </c>
      <c r="AX189" s="27">
        <f t="shared" si="113"/>
        <v>3.5354386875040528E-2</v>
      </c>
      <c r="AY189" s="48">
        <v>22</v>
      </c>
      <c r="AZ189" s="27">
        <f t="shared" si="114"/>
        <v>8.2059920587173631E-3</v>
      </c>
      <c r="BA189" s="48">
        <v>13</v>
      </c>
      <c r="BB189" s="27">
        <f t="shared" si="115"/>
        <v>4.8140043763676144E-3</v>
      </c>
      <c r="BC189" s="48">
        <v>1.9</v>
      </c>
      <c r="BD189" s="27">
        <f t="shared" si="116"/>
        <v>7.0358525500757447E-4</v>
      </c>
      <c r="BE189" s="48">
        <v>0.11</v>
      </c>
      <c r="BF189" s="27">
        <f t="shared" si="117"/>
        <v>4.0247218788627937E-5</v>
      </c>
      <c r="BG189" s="48">
        <v>0.44</v>
      </c>
      <c r="BH189" s="27">
        <f t="shared" si="118"/>
        <v>1.6098887515451175E-4</v>
      </c>
      <c r="BI189" s="52">
        <f t="shared" si="119"/>
        <v>2533.4500000000003</v>
      </c>
      <c r="BJ189" s="52">
        <f t="shared" si="120"/>
        <v>133.45000000000002</v>
      </c>
      <c r="BK189" s="27">
        <f t="shared" si="121"/>
        <v>0.94882139978036595</v>
      </c>
      <c r="BL189" s="27">
        <f t="shared" si="122"/>
        <v>5.001512686158624E-2</v>
      </c>
      <c r="BM189">
        <v>3500</v>
      </c>
      <c r="BN189">
        <v>980</v>
      </c>
      <c r="BO189" t="s">
        <v>19</v>
      </c>
      <c r="BP189">
        <v>4500</v>
      </c>
      <c r="BQ189">
        <v>67</v>
      </c>
      <c r="BR189" t="s">
        <v>443</v>
      </c>
      <c r="BS189">
        <v>0.42</v>
      </c>
      <c r="BT189">
        <v>3.99</v>
      </c>
      <c r="BU189">
        <v>10</v>
      </c>
      <c r="BV189">
        <v>1120</v>
      </c>
      <c r="BW189">
        <v>7.9</v>
      </c>
      <c r="BX189">
        <v>1120</v>
      </c>
      <c r="BY189">
        <v>0.1</v>
      </c>
      <c r="BZ189">
        <v>0.01</v>
      </c>
      <c r="CA189" s="32">
        <v>1</v>
      </c>
      <c r="CB189" s="32">
        <f t="shared" si="123"/>
        <v>1.7905102954341987E-2</v>
      </c>
      <c r="CC189" s="32">
        <f t="shared" si="124"/>
        <v>1.7905102954341987E-2</v>
      </c>
      <c r="CD189" s="32">
        <v>1.1000000000000001</v>
      </c>
      <c r="CE189" s="32">
        <f t="shared" si="125"/>
        <v>2.0025486983433462E-2</v>
      </c>
      <c r="CF189" s="32">
        <f t="shared" si="126"/>
        <v>4.0050973966866923E-2</v>
      </c>
      <c r="CG189" s="27">
        <v>44</v>
      </c>
      <c r="CH189" s="27">
        <f t="shared" si="127"/>
        <v>0.45804705392463041</v>
      </c>
      <c r="CI189" s="27">
        <f t="shared" si="128"/>
        <v>3.6643764313970433</v>
      </c>
      <c r="CJ189" s="58">
        <v>28</v>
      </c>
      <c r="CK189" s="58">
        <v>38.888888888888893</v>
      </c>
      <c r="CL189" s="58">
        <v>2.3318759108890275</v>
      </c>
      <c r="CM189" s="58">
        <v>2.3318759108890275</v>
      </c>
      <c r="CN189" s="28">
        <v>5</v>
      </c>
      <c r="CO189" s="28">
        <v>10.204081632653061</v>
      </c>
      <c r="CP189" s="28">
        <v>0.41640641265875494</v>
      </c>
      <c r="CQ189" s="28">
        <v>0.41640641265875494</v>
      </c>
      <c r="CR189" s="32">
        <f t="shared" si="129"/>
        <v>16.276493858005413</v>
      </c>
      <c r="CS189" s="32">
        <v>16.276493858005413</v>
      </c>
      <c r="CT189" s="32">
        <f t="shared" si="130"/>
        <v>17.276493858005413</v>
      </c>
      <c r="CU189" s="32">
        <f t="shared" si="131"/>
        <v>0.30933740121764391</v>
      </c>
      <c r="CV189" s="32">
        <f t="shared" si="132"/>
        <v>0.30933740121764391</v>
      </c>
      <c r="CW189" s="60">
        <f t="shared" si="133"/>
        <v>2.9065167603581092</v>
      </c>
      <c r="CX189" s="60">
        <v>2.9065167603581092</v>
      </c>
      <c r="CY189" s="60">
        <f t="shared" si="134"/>
        <v>3.9065167603581092</v>
      </c>
      <c r="CZ189" s="60">
        <f t="shared" si="135"/>
        <v>6.9946584787074467E-2</v>
      </c>
      <c r="DA189" s="60">
        <f t="shared" si="136"/>
        <v>6.9946584787074467E-2</v>
      </c>
      <c r="DB189" s="32">
        <f t="shared" si="137"/>
        <v>3.6643764313970433</v>
      </c>
      <c r="DC189">
        <f t="shared" si="138"/>
        <v>2.6812642860735383</v>
      </c>
      <c r="DD189">
        <f t="shared" si="139"/>
        <v>1.4937346599845195E-2</v>
      </c>
      <c r="DE189">
        <f t="shared" si="140"/>
        <v>0.11536997782141041</v>
      </c>
      <c r="DF189">
        <f t="shared" si="141"/>
        <v>0.86969267557874441</v>
      </c>
      <c r="DG189">
        <f t="shared" si="142"/>
        <v>0.52640397141269635</v>
      </c>
      <c r="DH189">
        <f t="shared" si="143"/>
        <v>7.6084102973963494E-2</v>
      </c>
      <c r="DI189">
        <f t="shared" si="144"/>
        <v>0.13287624825352415</v>
      </c>
      <c r="DJ189">
        <f t="shared" si="145"/>
        <v>0.79103964877251232</v>
      </c>
      <c r="DK189" s="64">
        <f t="shared" si="146"/>
        <v>-2.6698231457277144</v>
      </c>
      <c r="DL189" s="64">
        <f t="shared" si="147"/>
        <v>-0.51496283106687257</v>
      </c>
      <c r="DM189" s="64">
        <f t="shared" si="148"/>
        <v>-2.6198080188661281</v>
      </c>
      <c r="DN189" s="64">
        <f t="shared" si="149"/>
        <v>-0.46494770420528631</v>
      </c>
      <c r="DO189" t="str">
        <f t="shared" si="150"/>
        <v>Sufficient Capacity</v>
      </c>
      <c r="DP189" t="str">
        <f t="shared" si="151"/>
        <v>Sufficient Capacity</v>
      </c>
    </row>
    <row r="190" spans="1:120" ht="15.75" x14ac:dyDescent="0.25">
      <c r="A190" s="2" t="s">
        <v>242</v>
      </c>
      <c r="B190" s="2" t="s">
        <v>242</v>
      </c>
      <c r="C190" s="2" t="s">
        <v>1083</v>
      </c>
      <c r="D190" s="2" t="s">
        <v>632</v>
      </c>
      <c r="E190" s="2" t="s">
        <v>632</v>
      </c>
      <c r="F190" s="2">
        <v>189</v>
      </c>
      <c r="G190" s="19" t="s">
        <v>1082</v>
      </c>
      <c r="H190" s="10" t="s">
        <v>656</v>
      </c>
      <c r="I190" s="2">
        <v>150</v>
      </c>
      <c r="J190" s="2">
        <v>65</v>
      </c>
      <c r="K190" s="12">
        <v>3.9</v>
      </c>
      <c r="L190" t="s">
        <v>415</v>
      </c>
      <c r="M190" s="2" t="s">
        <v>1120</v>
      </c>
      <c r="N190" s="2" t="s">
        <v>435</v>
      </c>
      <c r="O190" s="2" t="s">
        <v>653</v>
      </c>
      <c r="P190" s="2" t="s">
        <v>1123</v>
      </c>
      <c r="Q190" s="9" t="s">
        <v>654</v>
      </c>
      <c r="R190" s="2" t="str">
        <f t="shared" si="101"/>
        <v>CW_1_Section_1</v>
      </c>
      <c r="S190" s="2" t="str">
        <f t="shared" si="102"/>
        <v>CW_1_MF01</v>
      </c>
      <c r="T190" s="11" t="s">
        <v>1075</v>
      </c>
      <c r="U190" s="1">
        <v>46007</v>
      </c>
      <c r="V190" s="2" t="s">
        <v>799</v>
      </c>
      <c r="W190" s="2" t="s">
        <v>655</v>
      </c>
      <c r="X190" s="2" t="s">
        <v>1074</v>
      </c>
      <c r="Y190" s="2" t="str">
        <f t="shared" si="103"/>
        <v>T8_0.15-0.30</v>
      </c>
      <c r="Z190" t="s">
        <v>29</v>
      </c>
      <c r="AA190">
        <v>9.6999999999999993</v>
      </c>
      <c r="AB190">
        <v>10</v>
      </c>
      <c r="AC190">
        <v>630</v>
      </c>
      <c r="AD190" s="32">
        <f t="shared" si="104"/>
        <v>0.24196645755985149</v>
      </c>
      <c r="AE190">
        <v>47</v>
      </c>
      <c r="AF190" s="32">
        <f t="shared" si="105"/>
        <v>1.8363360104189274E-2</v>
      </c>
      <c r="AG190">
        <v>350</v>
      </c>
      <c r="AH190" s="32">
        <f t="shared" si="106"/>
        <v>0.13845719129697656</v>
      </c>
      <c r="AI190">
        <v>130</v>
      </c>
      <c r="AJ190" s="32">
        <f t="shared" si="107"/>
        <v>5.1426956767448434E-2</v>
      </c>
      <c r="AK190">
        <v>110</v>
      </c>
      <c r="AL190" s="32">
        <f t="shared" si="108"/>
        <v>4.3515117264764057E-2</v>
      </c>
      <c r="AM190">
        <v>240</v>
      </c>
      <c r="AO190" s="49">
        <v>1267</v>
      </c>
      <c r="AP190" s="49">
        <f t="shared" si="109"/>
        <v>0.39878700896101738</v>
      </c>
      <c r="AQ190">
        <v>120</v>
      </c>
      <c r="AR190" s="32">
        <f t="shared" si="110"/>
        <v>4.4940313645938985E-2</v>
      </c>
      <c r="AS190" s="48">
        <v>85</v>
      </c>
      <c r="AT190" s="27">
        <f t="shared" si="111"/>
        <v>3.1832722165873448E-2</v>
      </c>
      <c r="AU190" s="48">
        <v>2.5</v>
      </c>
      <c r="AV190" s="27">
        <f t="shared" si="112"/>
        <v>9.1990275313752544E-4</v>
      </c>
      <c r="AW190" s="48">
        <v>70</v>
      </c>
      <c r="AX190" s="27">
        <f t="shared" si="113"/>
        <v>2.6327734906945077E-2</v>
      </c>
      <c r="AY190" s="48">
        <v>1.5</v>
      </c>
      <c r="AZ190" s="27">
        <f t="shared" si="114"/>
        <v>5.5949945854891106E-4</v>
      </c>
      <c r="BA190" s="48">
        <v>0.17</v>
      </c>
      <c r="BB190" s="27">
        <f t="shared" si="115"/>
        <v>6.2952364921730342E-5</v>
      </c>
      <c r="BC190" s="48">
        <v>0.03</v>
      </c>
      <c r="BD190" s="27">
        <f t="shared" si="116"/>
        <v>1.110924086854065E-5</v>
      </c>
      <c r="BE190" s="48">
        <v>0.03</v>
      </c>
      <c r="BF190" s="27">
        <f t="shared" si="117"/>
        <v>1.0976514215080345E-5</v>
      </c>
      <c r="BG190" s="48">
        <v>2E-3</v>
      </c>
      <c r="BH190" s="27">
        <f t="shared" si="118"/>
        <v>7.3176761433868969E-7</v>
      </c>
      <c r="BI190" s="52">
        <f t="shared" si="119"/>
        <v>159.232</v>
      </c>
      <c r="BJ190" s="52">
        <f t="shared" si="120"/>
        <v>74.231999999999999</v>
      </c>
      <c r="BK190" s="27">
        <f t="shared" si="121"/>
        <v>5.9725629172124657E-2</v>
      </c>
      <c r="BL190" s="27">
        <f t="shared" si="122"/>
        <v>2.7892907006251199E-2</v>
      </c>
      <c r="BM190">
        <v>620</v>
      </c>
      <c r="BN190">
        <v>610</v>
      </c>
      <c r="BO190" t="s">
        <v>19</v>
      </c>
      <c r="BP190">
        <v>1200</v>
      </c>
      <c r="BQ190">
        <v>70</v>
      </c>
      <c r="BR190" t="s">
        <v>443</v>
      </c>
      <c r="BS190">
        <v>0.49</v>
      </c>
      <c r="BT190">
        <v>1.1299999999999999</v>
      </c>
      <c r="BU190">
        <v>9</v>
      </c>
      <c r="BV190">
        <v>-83</v>
      </c>
      <c r="BW190">
        <v>7.6</v>
      </c>
      <c r="BX190">
        <v>1131</v>
      </c>
      <c r="BY190">
        <v>0.1</v>
      </c>
      <c r="BZ190">
        <v>0.01</v>
      </c>
      <c r="CA190" s="32">
        <v>1</v>
      </c>
      <c r="CB190" s="32">
        <f t="shared" si="123"/>
        <v>1.7905102954341987E-2</v>
      </c>
      <c r="CC190" s="32">
        <f t="shared" si="124"/>
        <v>1.7905102954341987E-2</v>
      </c>
      <c r="CD190" s="32">
        <v>0.8</v>
      </c>
      <c r="CE190" s="32">
        <f t="shared" si="125"/>
        <v>1.4563990533406155E-2</v>
      </c>
      <c r="CF190" s="32">
        <f t="shared" si="126"/>
        <v>2.912798106681231E-2</v>
      </c>
      <c r="CG190" s="27">
        <v>36</v>
      </c>
      <c r="CH190" s="27">
        <f t="shared" si="127"/>
        <v>0.37476577139287942</v>
      </c>
      <c r="CI190" s="27">
        <f t="shared" si="128"/>
        <v>2.9981261711430354</v>
      </c>
      <c r="CJ190" s="58">
        <v>36</v>
      </c>
      <c r="CK190" s="58">
        <v>50</v>
      </c>
      <c r="CL190" s="58">
        <v>2.9981261711430354</v>
      </c>
      <c r="CM190" s="58">
        <v>2.9981261711430354</v>
      </c>
      <c r="CN190" s="28">
        <v>36</v>
      </c>
      <c r="CO190" s="28">
        <v>50</v>
      </c>
      <c r="CP190" s="28">
        <v>2.9981261711430354</v>
      </c>
      <c r="CQ190" s="28">
        <v>2.9981261711430354</v>
      </c>
      <c r="CR190" s="32">
        <f t="shared" si="129"/>
        <v>20.926920674578387</v>
      </c>
      <c r="CS190" s="32">
        <v>20.926920674578387</v>
      </c>
      <c r="CT190" s="32">
        <f t="shared" si="130"/>
        <v>21.926920674578387</v>
      </c>
      <c r="CU190" s="32">
        <f t="shared" si="131"/>
        <v>0.39260377215001585</v>
      </c>
      <c r="CV190" s="32">
        <f t="shared" si="132"/>
        <v>0.39260377215001585</v>
      </c>
      <c r="CW190" s="60">
        <f t="shared" si="133"/>
        <v>20.926920674578387</v>
      </c>
      <c r="CX190" s="60">
        <v>20.926920674578387</v>
      </c>
      <c r="CY190" s="60">
        <f t="shared" si="134"/>
        <v>21.926920674578387</v>
      </c>
      <c r="CZ190" s="60">
        <f t="shared" si="135"/>
        <v>0.39260377215001585</v>
      </c>
      <c r="DA190" s="60">
        <f t="shared" si="136"/>
        <v>0.39260377215001585</v>
      </c>
      <c r="DB190" s="32">
        <f t="shared" si="137"/>
        <v>2.9981261711430354</v>
      </c>
      <c r="DC190">
        <f t="shared" si="138"/>
        <v>3.4198579243598637</v>
      </c>
      <c r="DD190">
        <f t="shared" si="139"/>
        <v>8.5173073592712326E-3</v>
      </c>
      <c r="DE190">
        <f t="shared" si="140"/>
        <v>0.11480119374359807</v>
      </c>
      <c r="DF190">
        <f t="shared" si="141"/>
        <v>0.87668149889713065</v>
      </c>
      <c r="DG190">
        <f t="shared" si="142"/>
        <v>3.4198579243598637</v>
      </c>
      <c r="DH190">
        <f t="shared" si="143"/>
        <v>8.5173073592712326E-3</v>
      </c>
      <c r="DI190">
        <f t="shared" si="144"/>
        <v>0.11480119374359807</v>
      </c>
      <c r="DJ190">
        <f t="shared" si="145"/>
        <v>0.87668149889713065</v>
      </c>
      <c r="DK190" s="64">
        <f t="shared" si="146"/>
        <v>-2.9761306017529074</v>
      </c>
      <c r="DL190" s="64">
        <f t="shared" si="147"/>
        <v>-2.9761306017529074</v>
      </c>
      <c r="DM190" s="64">
        <f t="shared" si="148"/>
        <v>-2.948237694746656</v>
      </c>
      <c r="DN190" s="64">
        <f t="shared" si="149"/>
        <v>-2.948237694746656</v>
      </c>
      <c r="DO190" t="str">
        <f t="shared" si="150"/>
        <v>Sufficient Capacity</v>
      </c>
      <c r="DP190" t="str">
        <f t="shared" si="151"/>
        <v>Sufficient Capacity</v>
      </c>
    </row>
    <row r="191" spans="1:120" ht="15.75" x14ac:dyDescent="0.25">
      <c r="A191" s="2" t="s">
        <v>243</v>
      </c>
      <c r="B191" s="2" t="s">
        <v>243</v>
      </c>
      <c r="C191" s="2" t="s">
        <v>1085</v>
      </c>
      <c r="D191" s="2" t="s">
        <v>633</v>
      </c>
      <c r="E191" s="2" t="s">
        <v>633</v>
      </c>
      <c r="F191" s="2">
        <v>190</v>
      </c>
      <c r="G191" s="19" t="s">
        <v>1084</v>
      </c>
      <c r="H191" s="10" t="s">
        <v>656</v>
      </c>
      <c r="I191" s="2">
        <v>150</v>
      </c>
      <c r="J191" s="2">
        <v>65</v>
      </c>
      <c r="K191" s="12">
        <v>2.9</v>
      </c>
      <c r="L191" t="s">
        <v>416</v>
      </c>
      <c r="M191" s="2" t="s">
        <v>1120</v>
      </c>
      <c r="N191" s="2" t="s">
        <v>435</v>
      </c>
      <c r="O191" s="2" t="s">
        <v>653</v>
      </c>
      <c r="P191" s="2" t="s">
        <v>1124</v>
      </c>
      <c r="Q191" s="9" t="s">
        <v>662</v>
      </c>
      <c r="R191" s="2" t="str">
        <f t="shared" si="101"/>
        <v>CW_1_Section_1</v>
      </c>
      <c r="S191" s="2" t="str">
        <f t="shared" si="102"/>
        <v>CW_1_MF02</v>
      </c>
      <c r="T191" s="11" t="s">
        <v>1075</v>
      </c>
      <c r="U191" s="1">
        <v>46007</v>
      </c>
      <c r="V191" s="2" t="s">
        <v>799</v>
      </c>
      <c r="W191" s="2" t="s">
        <v>663</v>
      </c>
      <c r="X191" s="2" t="s">
        <v>1074</v>
      </c>
      <c r="Y191" s="2" t="str">
        <f t="shared" si="103"/>
        <v>T8_0.60-0.80</v>
      </c>
      <c r="Z191" t="s">
        <v>31</v>
      </c>
      <c r="AA191">
        <v>10</v>
      </c>
      <c r="AB191">
        <v>11</v>
      </c>
      <c r="AC191">
        <v>690</v>
      </c>
      <c r="AD191" s="32">
        <f t="shared" si="104"/>
        <v>0.26501088208936113</v>
      </c>
      <c r="AE191">
        <v>130</v>
      </c>
      <c r="AF191" s="32">
        <f t="shared" si="105"/>
        <v>5.0792272628608637E-2</v>
      </c>
      <c r="AG191">
        <v>580</v>
      </c>
      <c r="AH191" s="32">
        <f t="shared" si="106"/>
        <v>0.22944334557784687</v>
      </c>
      <c r="AI191">
        <v>210</v>
      </c>
      <c r="AJ191" s="32">
        <f t="shared" si="107"/>
        <v>8.3074314778185929E-2</v>
      </c>
      <c r="AK191">
        <v>290</v>
      </c>
      <c r="AL191" s="32">
        <f t="shared" si="108"/>
        <v>0.11472167278892344</v>
      </c>
      <c r="AM191">
        <v>500</v>
      </c>
      <c r="AO191" s="49">
        <v>1900</v>
      </c>
      <c r="AP191" s="49">
        <f t="shared" si="109"/>
        <v>0.54524650029581667</v>
      </c>
      <c r="AQ191">
        <v>3100</v>
      </c>
      <c r="AR191" s="32">
        <f t="shared" si="110"/>
        <v>1.1609581025200906</v>
      </c>
      <c r="AS191" s="48">
        <v>2900</v>
      </c>
      <c r="AT191" s="27">
        <f t="shared" si="111"/>
        <v>1.0860575797768588</v>
      </c>
      <c r="AU191" s="48">
        <v>4</v>
      </c>
      <c r="AV191" s="27">
        <f t="shared" si="112"/>
        <v>1.4718444050200407E-3</v>
      </c>
      <c r="AW191" s="48">
        <v>140</v>
      </c>
      <c r="AX191" s="27">
        <f t="shared" si="113"/>
        <v>5.2655469813890153E-2</v>
      </c>
      <c r="AY191" s="48">
        <v>38</v>
      </c>
      <c r="AZ191" s="27">
        <f t="shared" si="114"/>
        <v>1.4173986283239081E-2</v>
      </c>
      <c r="BA191" s="48">
        <v>26</v>
      </c>
      <c r="BB191" s="27">
        <f t="shared" si="115"/>
        <v>9.6280087527352287E-3</v>
      </c>
      <c r="BC191" s="48">
        <v>0.4</v>
      </c>
      <c r="BD191" s="27">
        <f t="shared" si="116"/>
        <v>1.4812321158054199E-4</v>
      </c>
      <c r="BE191" s="48">
        <v>1.1000000000000001</v>
      </c>
      <c r="BF191" s="27">
        <f t="shared" si="117"/>
        <v>4.0247218788627936E-4</v>
      </c>
      <c r="BG191" s="48">
        <v>1</v>
      </c>
      <c r="BH191" s="27">
        <f t="shared" si="118"/>
        <v>3.6588380716934482E-4</v>
      </c>
      <c r="BI191" s="52">
        <f t="shared" si="119"/>
        <v>3110.5</v>
      </c>
      <c r="BJ191" s="52">
        <f t="shared" si="120"/>
        <v>210.5</v>
      </c>
      <c r="BK191" s="27">
        <f t="shared" si="121"/>
        <v>1.1649033682383796</v>
      </c>
      <c r="BL191" s="27">
        <f t="shared" si="122"/>
        <v>7.8845788461520669E-2</v>
      </c>
      <c r="BM191">
        <v>6700</v>
      </c>
      <c r="BN191">
        <v>1700</v>
      </c>
      <c r="BO191" t="s">
        <v>19</v>
      </c>
      <c r="BP191">
        <v>8300</v>
      </c>
      <c r="BQ191">
        <v>72</v>
      </c>
      <c r="BR191" t="s">
        <v>443</v>
      </c>
      <c r="BS191">
        <v>0.72</v>
      </c>
      <c r="BT191">
        <v>1.19</v>
      </c>
      <c r="BU191">
        <v>9</v>
      </c>
      <c r="BV191">
        <v>-133</v>
      </c>
      <c r="BW191">
        <v>7.7</v>
      </c>
      <c r="BX191">
        <v>1148</v>
      </c>
      <c r="BY191">
        <v>0.1</v>
      </c>
      <c r="BZ191">
        <v>0.6</v>
      </c>
      <c r="CA191" s="32">
        <v>0.02</v>
      </c>
      <c r="CB191" s="32">
        <f t="shared" si="123"/>
        <v>3.5810205908683976E-4</v>
      </c>
      <c r="CC191" s="32">
        <f t="shared" si="124"/>
        <v>3.5810205908683976E-4</v>
      </c>
      <c r="CD191" s="32">
        <v>0.7</v>
      </c>
      <c r="CE191" s="32">
        <f t="shared" si="125"/>
        <v>1.2743491716730383E-2</v>
      </c>
      <c r="CF191" s="32">
        <f t="shared" si="126"/>
        <v>2.5486983433460765E-2</v>
      </c>
      <c r="CG191" s="27">
        <v>65</v>
      </c>
      <c r="CH191" s="27">
        <f t="shared" si="127"/>
        <v>0.67666042057047682</v>
      </c>
      <c r="CI191" s="27">
        <f t="shared" si="128"/>
        <v>5.4132833645638145</v>
      </c>
      <c r="CJ191" s="58">
        <v>7</v>
      </c>
      <c r="CK191" s="58">
        <v>9.7222222222222232</v>
      </c>
      <c r="CL191" s="58">
        <v>0.58296897772225686</v>
      </c>
      <c r="CM191" s="58">
        <v>0.58296897772225686</v>
      </c>
      <c r="CN191" s="28">
        <v>7</v>
      </c>
      <c r="CO191" s="28">
        <v>9.7222222222222232</v>
      </c>
      <c r="CP191" s="28">
        <v>0.58296897772225686</v>
      </c>
      <c r="CQ191" s="28">
        <v>0.58296897772225686</v>
      </c>
      <c r="CR191" s="32">
        <f t="shared" si="129"/>
        <v>4.0691234645013532</v>
      </c>
      <c r="CS191" s="32">
        <v>4.0691234645013532</v>
      </c>
      <c r="CT191" s="32">
        <f t="shared" si="130"/>
        <v>4.0891234645013528</v>
      </c>
      <c r="CU191" s="32">
        <f t="shared" si="131"/>
        <v>7.321617662491231E-2</v>
      </c>
      <c r="CV191" s="32">
        <f t="shared" si="132"/>
        <v>7.321617662491231E-2</v>
      </c>
      <c r="CW191" s="60">
        <f t="shared" si="133"/>
        <v>4.0691234645013532</v>
      </c>
      <c r="CX191" s="60">
        <v>4.0691234645013532</v>
      </c>
      <c r="CY191" s="60">
        <f t="shared" si="134"/>
        <v>4.0891234645013528</v>
      </c>
      <c r="CZ191" s="60">
        <f t="shared" si="135"/>
        <v>7.321617662491231E-2</v>
      </c>
      <c r="DA191" s="60">
        <f t="shared" si="136"/>
        <v>7.321617662491231E-2</v>
      </c>
      <c r="DB191" s="32">
        <f t="shared" si="137"/>
        <v>5.4132833645638145</v>
      </c>
      <c r="DC191">
        <f t="shared" si="138"/>
        <v>0.68167213778062996</v>
      </c>
      <c r="DD191">
        <f t="shared" si="139"/>
        <v>3.738891766420234E-2</v>
      </c>
      <c r="DE191">
        <f t="shared" si="140"/>
        <v>0.10740673201531692</v>
      </c>
      <c r="DF191">
        <f t="shared" si="141"/>
        <v>0.8552043503204807</v>
      </c>
      <c r="DG191">
        <f t="shared" si="142"/>
        <v>0.68167213778062996</v>
      </c>
      <c r="DH191">
        <f t="shared" si="143"/>
        <v>3.738891766420234E-2</v>
      </c>
      <c r="DI191">
        <f t="shared" si="144"/>
        <v>0.10740673201531692</v>
      </c>
      <c r="DJ191">
        <f t="shared" si="145"/>
        <v>0.8552043503204807</v>
      </c>
      <c r="DK191" s="64">
        <f t="shared" si="146"/>
        <v>1.0245324650352772</v>
      </c>
      <c r="DL191" s="64">
        <f t="shared" si="147"/>
        <v>1.0245324650352772</v>
      </c>
      <c r="DM191" s="64">
        <f t="shared" si="148"/>
        <v>1.103378253496798</v>
      </c>
      <c r="DN191" s="64">
        <f t="shared" si="149"/>
        <v>1.103378253496798</v>
      </c>
      <c r="DO191" t="str">
        <f t="shared" si="150"/>
        <v>Insufficient Capacity</v>
      </c>
      <c r="DP191" t="str">
        <f t="shared" si="151"/>
        <v>Insufficient Capacity</v>
      </c>
    </row>
    <row r="192" spans="1:120" ht="15.75" x14ac:dyDescent="0.25">
      <c r="A192" s="2" t="s">
        <v>244</v>
      </c>
      <c r="B192" s="2" t="s">
        <v>244</v>
      </c>
      <c r="C192" s="2" t="s">
        <v>1087</v>
      </c>
      <c r="D192" s="2" t="s">
        <v>634</v>
      </c>
      <c r="E192" s="2" t="s">
        <v>634</v>
      </c>
      <c r="F192" s="2">
        <v>191</v>
      </c>
      <c r="G192" s="19" t="s">
        <v>1086</v>
      </c>
      <c r="H192" s="10" t="s">
        <v>656</v>
      </c>
      <c r="I192" s="2">
        <v>150</v>
      </c>
      <c r="J192" s="2">
        <v>65</v>
      </c>
      <c r="K192" s="12">
        <v>5.25</v>
      </c>
      <c r="L192" t="s">
        <v>417</v>
      </c>
      <c r="M192" s="2" t="s">
        <v>1120</v>
      </c>
      <c r="N192" s="2" t="s">
        <v>435</v>
      </c>
      <c r="O192" s="2" t="s">
        <v>666</v>
      </c>
      <c r="P192" s="2" t="s">
        <v>1131</v>
      </c>
      <c r="Q192" s="9" t="s">
        <v>667</v>
      </c>
      <c r="R192" s="2" t="str">
        <f t="shared" si="101"/>
        <v>CW_1_Section_2</v>
      </c>
      <c r="S192" s="2" t="str">
        <f t="shared" si="102"/>
        <v>CW_1_MF05</v>
      </c>
      <c r="T192" s="11" t="s">
        <v>1075</v>
      </c>
      <c r="U192" s="1">
        <v>46007</v>
      </c>
      <c r="V192" s="2" t="s">
        <v>799</v>
      </c>
      <c r="W192" s="2" t="s">
        <v>655</v>
      </c>
      <c r="X192" s="2" t="s">
        <v>1074</v>
      </c>
      <c r="Y192" s="2" t="str">
        <f t="shared" si="103"/>
        <v>T8_0.15-0.30</v>
      </c>
      <c r="Z192" t="s">
        <v>33</v>
      </c>
      <c r="AA192">
        <v>10</v>
      </c>
      <c r="AB192">
        <v>10</v>
      </c>
      <c r="AC192">
        <v>540</v>
      </c>
      <c r="AD192" s="32">
        <f t="shared" si="104"/>
        <v>0.207399820765587</v>
      </c>
      <c r="AE192">
        <v>23</v>
      </c>
      <c r="AF192" s="32">
        <f t="shared" si="105"/>
        <v>8.98632515736922E-3</v>
      </c>
      <c r="AG192">
        <v>67</v>
      </c>
      <c r="AH192" s="32">
        <f t="shared" si="106"/>
        <v>2.6504662333992655E-2</v>
      </c>
      <c r="AI192">
        <v>14</v>
      </c>
      <c r="AJ192" s="32">
        <f t="shared" si="107"/>
        <v>5.5382876518790623E-3</v>
      </c>
      <c r="AK192">
        <v>1</v>
      </c>
      <c r="AL192" s="32">
        <f t="shared" si="108"/>
        <v>3.9559197513421869E-4</v>
      </c>
      <c r="AM192">
        <v>21</v>
      </c>
      <c r="AO192" s="49">
        <v>651</v>
      </c>
      <c r="AP192" s="49">
        <f t="shared" si="109"/>
        <v>0.24289080825694886</v>
      </c>
      <c r="AQ192">
        <v>810</v>
      </c>
      <c r="AR192" s="32">
        <f t="shared" si="110"/>
        <v>0.30334711711008816</v>
      </c>
      <c r="AS192" s="48">
        <v>1.3</v>
      </c>
      <c r="AT192" s="27">
        <f t="shared" si="111"/>
        <v>4.8685339783100575E-4</v>
      </c>
      <c r="AU192" s="48">
        <v>1.1000000000000001</v>
      </c>
      <c r="AV192" s="27">
        <f t="shared" si="112"/>
        <v>4.0475721138051124E-4</v>
      </c>
      <c r="AW192" s="48">
        <v>2.6</v>
      </c>
      <c r="AX192" s="27">
        <f t="shared" si="113"/>
        <v>9.7788729654367437E-4</v>
      </c>
      <c r="AY192" s="48">
        <v>0.06</v>
      </c>
      <c r="AZ192" s="27">
        <f t="shared" si="114"/>
        <v>2.2379978341956443E-5</v>
      </c>
      <c r="BA192" s="48">
        <v>0.03</v>
      </c>
      <c r="BB192" s="27">
        <f t="shared" si="115"/>
        <v>1.110924086854065E-5</v>
      </c>
      <c r="BC192" s="48">
        <v>1E-3</v>
      </c>
      <c r="BD192" s="27">
        <f t="shared" si="116"/>
        <v>3.7030802895135499E-7</v>
      </c>
      <c r="BE192" s="48">
        <v>1E-3</v>
      </c>
      <c r="BF192" s="27">
        <f t="shared" si="117"/>
        <v>3.6588380716934485E-7</v>
      </c>
      <c r="BG192" s="48">
        <v>2E-3</v>
      </c>
      <c r="BH192" s="27">
        <f t="shared" si="118"/>
        <v>7.3176761433868969E-7</v>
      </c>
      <c r="BI192" s="52">
        <f t="shared" si="119"/>
        <v>5.0940000000000003</v>
      </c>
      <c r="BJ192" s="52">
        <f t="shared" si="120"/>
        <v>3.7939999999999996</v>
      </c>
      <c r="BK192" s="27">
        <f t="shared" si="121"/>
        <v>1.9044550844161477E-3</v>
      </c>
      <c r="BL192" s="27">
        <f t="shared" si="122"/>
        <v>1.4176016865851419E-3</v>
      </c>
      <c r="BM192">
        <v>1500</v>
      </c>
      <c r="BN192">
        <v>150</v>
      </c>
      <c r="BO192" t="s">
        <v>19</v>
      </c>
      <c r="BP192">
        <v>1600</v>
      </c>
      <c r="BQ192">
        <v>70</v>
      </c>
      <c r="BR192" t="s">
        <v>443</v>
      </c>
      <c r="BS192">
        <v>0.86</v>
      </c>
      <c r="BT192">
        <v>0.92</v>
      </c>
      <c r="BU192">
        <v>8</v>
      </c>
      <c r="BV192">
        <v>6</v>
      </c>
      <c r="BW192">
        <v>7.7</v>
      </c>
      <c r="BX192">
        <v>1100</v>
      </c>
      <c r="BY192">
        <v>0.1</v>
      </c>
      <c r="BZ192">
        <v>0.01</v>
      </c>
      <c r="CA192" s="32">
        <v>3.8</v>
      </c>
      <c r="CB192" s="32">
        <f t="shared" si="123"/>
        <v>6.8039391226499546E-2</v>
      </c>
      <c r="CC192" s="32">
        <f t="shared" si="124"/>
        <v>6.8039391226499546E-2</v>
      </c>
      <c r="CD192" s="32">
        <v>1.1000000000000001</v>
      </c>
      <c r="CE192" s="32">
        <f t="shared" si="125"/>
        <v>2.0025486983433462E-2</v>
      </c>
      <c r="CF192" s="32">
        <f t="shared" si="126"/>
        <v>4.0050973966866923E-2</v>
      </c>
      <c r="CG192" s="27">
        <v>19</v>
      </c>
      <c r="CH192" s="27">
        <f t="shared" si="127"/>
        <v>0.19779304601290859</v>
      </c>
      <c r="CI192" s="27">
        <f t="shared" si="128"/>
        <v>1.5823443681032687</v>
      </c>
      <c r="CJ192" s="58">
        <v>53</v>
      </c>
      <c r="CK192" s="58">
        <v>73.611111111111114</v>
      </c>
      <c r="CL192" s="58">
        <v>4.413907974182802</v>
      </c>
      <c r="CM192" s="58">
        <v>4.413907974182802</v>
      </c>
      <c r="CN192" s="28">
        <v>17</v>
      </c>
      <c r="CO192" s="28">
        <v>47.222222222222221</v>
      </c>
      <c r="CP192" s="28">
        <v>1.4157818030397669</v>
      </c>
      <c r="CQ192" s="28">
        <v>1.4157818030397669</v>
      </c>
      <c r="CR192" s="32">
        <f t="shared" si="129"/>
        <v>30.80907765979596</v>
      </c>
      <c r="CS192" s="32">
        <v>30.80907765979596</v>
      </c>
      <c r="CT192" s="32">
        <f t="shared" si="130"/>
        <v>34.609077659795958</v>
      </c>
      <c r="CU192" s="32">
        <f t="shared" si="131"/>
        <v>0.61967909865346382</v>
      </c>
      <c r="CV192" s="32">
        <f t="shared" si="132"/>
        <v>0.61967909865346382</v>
      </c>
      <c r="CW192" s="60">
        <f t="shared" si="133"/>
        <v>9.8821569852175717</v>
      </c>
      <c r="CX192" s="60">
        <v>9.8821569852175717</v>
      </c>
      <c r="CY192" s="60">
        <f t="shared" si="134"/>
        <v>13.682156985217571</v>
      </c>
      <c r="CZ192" s="60">
        <f t="shared" si="135"/>
        <v>0.24498042945778997</v>
      </c>
      <c r="DA192" s="60">
        <f t="shared" si="136"/>
        <v>0.24498042945778997</v>
      </c>
      <c r="DB192" s="32">
        <f t="shared" si="137"/>
        <v>1.5823443681032687</v>
      </c>
      <c r="DC192">
        <f t="shared" si="138"/>
        <v>5.0736380468031328</v>
      </c>
      <c r="DD192">
        <f t="shared" si="139"/>
        <v>7.8939359878268788E-3</v>
      </c>
      <c r="DE192">
        <f t="shared" si="140"/>
        <v>0.12213703321700682</v>
      </c>
      <c r="DF192">
        <f t="shared" si="141"/>
        <v>0.8699690307951663</v>
      </c>
      <c r="DG192">
        <f t="shared" si="142"/>
        <v>1.7008132064644237</v>
      </c>
      <c r="DH192">
        <f t="shared" si="143"/>
        <v>2.3548132043331872E-2</v>
      </c>
      <c r="DI192">
        <f t="shared" si="144"/>
        <v>0.14403723379303046</v>
      </c>
      <c r="DJ192">
        <f t="shared" si="145"/>
        <v>0.8324146341636377</v>
      </c>
      <c r="DK192" s="64">
        <f t="shared" si="146"/>
        <v>-4.5274001214360959</v>
      </c>
      <c r="DL192" s="64">
        <f t="shared" si="147"/>
        <v>-1.1545752810973866</v>
      </c>
      <c r="DM192" s="64">
        <f t="shared" si="148"/>
        <v>-4.5259825197495109</v>
      </c>
      <c r="DN192" s="64">
        <f t="shared" si="149"/>
        <v>-1.1531576794108016</v>
      </c>
      <c r="DO192" t="str">
        <f t="shared" si="150"/>
        <v>Sufficient Capacity</v>
      </c>
      <c r="DP192" t="str">
        <f t="shared" si="151"/>
        <v>Sufficient Capacity</v>
      </c>
    </row>
    <row r="193" spans="1:120" ht="15.75" x14ac:dyDescent="0.25">
      <c r="A193" s="2" t="s">
        <v>245</v>
      </c>
      <c r="B193" s="2" t="s">
        <v>245</v>
      </c>
      <c r="C193" s="2" t="s">
        <v>1089</v>
      </c>
      <c r="D193" s="2" t="s">
        <v>635</v>
      </c>
      <c r="E193" s="2" t="s">
        <v>635</v>
      </c>
      <c r="F193" s="2">
        <v>192</v>
      </c>
      <c r="G193" s="19" t="s">
        <v>1088</v>
      </c>
      <c r="H193" s="10" t="s">
        <v>656</v>
      </c>
      <c r="I193" s="2">
        <v>150</v>
      </c>
      <c r="J193" s="2">
        <v>65</v>
      </c>
      <c r="K193" s="12">
        <v>3.75</v>
      </c>
      <c r="L193" t="s">
        <v>418</v>
      </c>
      <c r="M193" s="2" t="s">
        <v>1120</v>
      </c>
      <c r="N193" s="2" t="s">
        <v>435</v>
      </c>
      <c r="O193" s="2" t="s">
        <v>666</v>
      </c>
      <c r="P193" s="2" t="s">
        <v>1132</v>
      </c>
      <c r="Q193" s="9" t="s">
        <v>670</v>
      </c>
      <c r="R193" s="2" t="str">
        <f t="shared" si="101"/>
        <v>CW_1_Section_2</v>
      </c>
      <c r="S193" s="2" t="str">
        <f t="shared" si="102"/>
        <v>CW_1_MF06</v>
      </c>
      <c r="T193" s="11" t="s">
        <v>1075</v>
      </c>
      <c r="U193" s="1">
        <v>46007</v>
      </c>
      <c r="V193" s="2" t="s">
        <v>799</v>
      </c>
      <c r="W193" s="2" t="s">
        <v>663</v>
      </c>
      <c r="X193" s="2" t="s">
        <v>1074</v>
      </c>
      <c r="Y193" s="2" t="str">
        <f t="shared" si="103"/>
        <v>T8_0.60-0.80</v>
      </c>
      <c r="Z193" t="s">
        <v>25</v>
      </c>
      <c r="AA193">
        <v>9.6999999999999993</v>
      </c>
      <c r="AB193">
        <v>10</v>
      </c>
      <c r="AC193">
        <v>650</v>
      </c>
      <c r="AD193" s="32">
        <f t="shared" si="104"/>
        <v>0.24964793240302136</v>
      </c>
      <c r="AE193">
        <v>100</v>
      </c>
      <c r="AF193" s="32">
        <f t="shared" si="105"/>
        <v>3.9070978945083573E-2</v>
      </c>
      <c r="AG193">
        <v>410</v>
      </c>
      <c r="AH193" s="32">
        <f t="shared" si="106"/>
        <v>0.16219270980502967</v>
      </c>
      <c r="AI193">
        <v>150</v>
      </c>
      <c r="AJ193" s="32">
        <f t="shared" si="107"/>
        <v>5.9338796270132804E-2</v>
      </c>
      <c r="AK193">
        <v>180</v>
      </c>
      <c r="AL193" s="32">
        <f t="shared" si="108"/>
        <v>7.120655552415936E-2</v>
      </c>
      <c r="AM193">
        <v>330</v>
      </c>
      <c r="AO193" s="49">
        <v>1490</v>
      </c>
      <c r="AP193" s="49">
        <f t="shared" si="109"/>
        <v>0.45091162115313455</v>
      </c>
      <c r="AQ193">
        <v>1600</v>
      </c>
      <c r="AR193" s="32">
        <f t="shared" si="110"/>
        <v>0.59920418194585312</v>
      </c>
      <c r="AS193" s="48">
        <v>1500</v>
      </c>
      <c r="AT193" s="27">
        <f t="shared" si="111"/>
        <v>0.56175392057423734</v>
      </c>
      <c r="AU193" s="48">
        <v>4</v>
      </c>
      <c r="AV193" s="27">
        <f t="shared" si="112"/>
        <v>1.4718444050200407E-3</v>
      </c>
      <c r="AW193" s="48">
        <v>100</v>
      </c>
      <c r="AX193" s="27">
        <f t="shared" si="113"/>
        <v>3.7611049867064393E-2</v>
      </c>
      <c r="AY193" s="48">
        <v>23</v>
      </c>
      <c r="AZ193" s="27">
        <f t="shared" si="114"/>
        <v>8.57899169774997E-3</v>
      </c>
      <c r="BA193" s="48">
        <v>13</v>
      </c>
      <c r="BB193" s="27">
        <f t="shared" si="115"/>
        <v>4.8140043763676144E-3</v>
      </c>
      <c r="BC193" s="48">
        <v>2.2000000000000002</v>
      </c>
      <c r="BD193" s="27">
        <f t="shared" si="116"/>
        <v>8.1467766369298098E-4</v>
      </c>
      <c r="BE193" s="48">
        <v>0.12</v>
      </c>
      <c r="BF193" s="27">
        <f t="shared" si="117"/>
        <v>4.3906056860321379E-5</v>
      </c>
      <c r="BG193" s="48">
        <v>0.06</v>
      </c>
      <c r="BH193" s="27">
        <f t="shared" si="118"/>
        <v>2.1953028430160689E-5</v>
      </c>
      <c r="BI193" s="52">
        <f t="shared" si="119"/>
        <v>1642.3799999999999</v>
      </c>
      <c r="BJ193" s="52">
        <f t="shared" si="120"/>
        <v>142.38</v>
      </c>
      <c r="BK193" s="27">
        <f t="shared" si="121"/>
        <v>0.61511034766942285</v>
      </c>
      <c r="BL193" s="27">
        <f t="shared" si="122"/>
        <v>5.3356427095185475E-2</v>
      </c>
      <c r="BM193">
        <v>3400</v>
      </c>
      <c r="BN193">
        <v>980</v>
      </c>
      <c r="BO193" t="s">
        <v>19</v>
      </c>
      <c r="BP193">
        <v>4400</v>
      </c>
      <c r="BQ193">
        <v>71</v>
      </c>
      <c r="BR193" t="s">
        <v>443</v>
      </c>
      <c r="BS193">
        <v>0.71</v>
      </c>
      <c r="BT193">
        <v>0.92</v>
      </c>
      <c r="BU193">
        <v>9</v>
      </c>
      <c r="BV193">
        <v>-109</v>
      </c>
      <c r="BW193">
        <v>7.7</v>
      </c>
      <c r="BX193">
        <v>1150</v>
      </c>
      <c r="BY193">
        <v>0.1</v>
      </c>
      <c r="BZ193">
        <v>0.01</v>
      </c>
      <c r="CA193" s="32">
        <v>0.8</v>
      </c>
      <c r="CB193" s="32">
        <f t="shared" si="123"/>
        <v>1.432408236347359E-2</v>
      </c>
      <c r="CC193" s="32">
        <f t="shared" si="124"/>
        <v>1.432408236347359E-2</v>
      </c>
      <c r="CD193" s="32">
        <v>1.1000000000000001</v>
      </c>
      <c r="CE193" s="32">
        <f t="shared" si="125"/>
        <v>2.0025486983433462E-2</v>
      </c>
      <c r="CF193" s="32">
        <f t="shared" si="126"/>
        <v>4.0050973966866923E-2</v>
      </c>
      <c r="CG193" s="27">
        <v>53</v>
      </c>
      <c r="CH193" s="27">
        <f t="shared" si="127"/>
        <v>0.55173849677285025</v>
      </c>
      <c r="CI193" s="27">
        <f t="shared" si="128"/>
        <v>4.413907974182802</v>
      </c>
      <c r="CJ193" s="58">
        <v>19</v>
      </c>
      <c r="CK193" s="58">
        <v>26.388888888888889</v>
      </c>
      <c r="CL193" s="58">
        <v>1.5823443681032687</v>
      </c>
      <c r="CM193" s="58">
        <v>1.5823443681032687</v>
      </c>
      <c r="CN193" s="28">
        <v>12</v>
      </c>
      <c r="CO193" s="28">
        <v>18.461538461538463</v>
      </c>
      <c r="CP193" s="28">
        <v>0.99937539038101186</v>
      </c>
      <c r="CQ193" s="28">
        <v>0.99937539038101186</v>
      </c>
      <c r="CR193" s="32">
        <f t="shared" si="129"/>
        <v>11.044763689360815</v>
      </c>
      <c r="CS193" s="32">
        <v>11.044763689360815</v>
      </c>
      <c r="CT193" s="32">
        <f t="shared" si="130"/>
        <v>11.844763689360816</v>
      </c>
      <c r="CU193" s="32">
        <f t="shared" si="131"/>
        <v>0.21208171332785705</v>
      </c>
      <c r="CV193" s="32">
        <f t="shared" si="132"/>
        <v>0.21208171332785705</v>
      </c>
      <c r="CW193" s="60">
        <f t="shared" si="133"/>
        <v>6.9756402248594629</v>
      </c>
      <c r="CX193" s="60">
        <v>6.9756402248594629</v>
      </c>
      <c r="CY193" s="60">
        <f t="shared" si="134"/>
        <v>7.7756402248594627</v>
      </c>
      <c r="CZ193" s="60">
        <f t="shared" si="135"/>
        <v>0.13922363876203156</v>
      </c>
      <c r="DA193" s="60">
        <f t="shared" si="136"/>
        <v>0.13922363876203156</v>
      </c>
      <c r="DB193" s="32">
        <f t="shared" si="137"/>
        <v>4.413907974182802</v>
      </c>
      <c r="DC193">
        <f t="shared" si="138"/>
        <v>1.8344770553979928</v>
      </c>
      <c r="DD193">
        <f t="shared" si="139"/>
        <v>2.1832365713714417E-2</v>
      </c>
      <c r="DE193">
        <f t="shared" si="140"/>
        <v>0.11560881217009585</v>
      </c>
      <c r="DF193">
        <f t="shared" si="141"/>
        <v>0.86255882211618973</v>
      </c>
      <c r="DG193">
        <f t="shared" si="142"/>
        <v>1.1786500031099103</v>
      </c>
      <c r="DH193">
        <f t="shared" si="143"/>
        <v>3.3980379129674623E-2</v>
      </c>
      <c r="DI193">
        <f t="shared" si="144"/>
        <v>0.11812127297729182</v>
      </c>
      <c r="DJ193">
        <f t="shared" si="145"/>
        <v>0.84789834789303364</v>
      </c>
      <c r="DK193" s="64">
        <f t="shared" si="146"/>
        <v>-0.78436125229900511</v>
      </c>
      <c r="DL193" s="64">
        <f t="shared" si="147"/>
        <v>-0.12853420001092264</v>
      </c>
      <c r="DM193" s="64">
        <f t="shared" si="148"/>
        <v>-0.73100482520381971</v>
      </c>
      <c r="DN193" s="64">
        <f t="shared" si="149"/>
        <v>-7.517777291573724E-2</v>
      </c>
      <c r="DO193" t="str">
        <f t="shared" si="150"/>
        <v>Sufficient Capacity</v>
      </c>
      <c r="DP193" t="str">
        <f t="shared" si="151"/>
        <v>Sufficient Capacity</v>
      </c>
    </row>
    <row r="194" spans="1:120" ht="15.75" x14ac:dyDescent="0.25">
      <c r="A194" s="2" t="s">
        <v>246</v>
      </c>
      <c r="B194" s="2" t="s">
        <v>246</v>
      </c>
      <c r="C194" s="2" t="s">
        <v>1091</v>
      </c>
      <c r="D194" s="2" t="s">
        <v>636</v>
      </c>
      <c r="E194" s="2" t="s">
        <v>636</v>
      </c>
      <c r="F194" s="2">
        <v>193</v>
      </c>
      <c r="G194" s="19" t="s">
        <v>1090</v>
      </c>
      <c r="H194" s="10" t="s">
        <v>656</v>
      </c>
      <c r="I194" s="2">
        <v>150</v>
      </c>
      <c r="J194" s="2">
        <v>65</v>
      </c>
      <c r="K194" s="12">
        <v>6.15</v>
      </c>
      <c r="L194" t="s">
        <v>419</v>
      </c>
      <c r="M194" s="2" t="s">
        <v>1120</v>
      </c>
      <c r="N194" s="2" t="s">
        <v>435</v>
      </c>
      <c r="O194" s="2" t="s">
        <v>673</v>
      </c>
      <c r="P194" s="2" t="s">
        <v>1127</v>
      </c>
      <c r="Q194" s="9" t="s">
        <v>674</v>
      </c>
      <c r="R194" s="2" t="str">
        <f t="shared" si="101"/>
        <v>CW_1_Section_3</v>
      </c>
      <c r="S194" s="2" t="str">
        <f t="shared" si="102"/>
        <v>CW_1_MF09</v>
      </c>
      <c r="T194" s="11" t="s">
        <v>1075</v>
      </c>
      <c r="U194" s="1">
        <v>46007</v>
      </c>
      <c r="V194" s="2" t="s">
        <v>799</v>
      </c>
      <c r="W194" s="2" t="s">
        <v>655</v>
      </c>
      <c r="X194" s="2" t="s">
        <v>1074</v>
      </c>
      <c r="Y194" s="2" t="str">
        <f t="shared" si="103"/>
        <v>T8_0.15-0.30</v>
      </c>
      <c r="Z194" t="s">
        <v>21</v>
      </c>
      <c r="AA194">
        <v>9.8000000000000007</v>
      </c>
      <c r="AB194">
        <v>10</v>
      </c>
      <c r="AC194">
        <v>430</v>
      </c>
      <c r="AD194" s="32">
        <f t="shared" si="104"/>
        <v>0.16515170912815261</v>
      </c>
      <c r="AE194">
        <v>10</v>
      </c>
      <c r="AF194" s="32">
        <f t="shared" si="105"/>
        <v>3.9070978945083571E-3</v>
      </c>
      <c r="AG194">
        <v>90</v>
      </c>
      <c r="AH194" s="32">
        <f t="shared" si="106"/>
        <v>3.560327776207968E-2</v>
      </c>
      <c r="AI194">
        <v>14</v>
      </c>
      <c r="AJ194" s="32">
        <f t="shared" si="107"/>
        <v>5.5382876518790623E-3</v>
      </c>
      <c r="AK194">
        <v>1</v>
      </c>
      <c r="AL194" s="32">
        <f t="shared" si="108"/>
        <v>3.9559197513421869E-4</v>
      </c>
      <c r="AM194">
        <v>21</v>
      </c>
      <c r="AO194" s="49">
        <v>551</v>
      </c>
      <c r="AP194" s="49">
        <f t="shared" si="109"/>
        <v>0.20466208478474063</v>
      </c>
      <c r="AQ194">
        <v>1300</v>
      </c>
      <c r="AR194" s="32">
        <f t="shared" si="110"/>
        <v>0.48685339783100573</v>
      </c>
      <c r="AS194" s="48">
        <v>500</v>
      </c>
      <c r="AT194" s="27">
        <f t="shared" si="111"/>
        <v>0.18725130685807911</v>
      </c>
      <c r="AU194" s="48">
        <v>2</v>
      </c>
      <c r="AV194" s="27">
        <f t="shared" si="112"/>
        <v>7.3592220251002033E-4</v>
      </c>
      <c r="AW194" s="48">
        <v>2</v>
      </c>
      <c r="AX194" s="27">
        <f t="shared" si="113"/>
        <v>7.5222099734128785E-4</v>
      </c>
      <c r="AY194" s="48">
        <v>1</v>
      </c>
      <c r="AZ194" s="27">
        <f t="shared" si="114"/>
        <v>3.7299963903260737E-4</v>
      </c>
      <c r="BA194" s="48">
        <v>0.2</v>
      </c>
      <c r="BB194" s="27">
        <f t="shared" si="115"/>
        <v>7.4061605790270996E-5</v>
      </c>
      <c r="BC194" s="48">
        <v>0.2</v>
      </c>
      <c r="BD194" s="27">
        <f t="shared" si="116"/>
        <v>7.4061605790270996E-5</v>
      </c>
      <c r="BE194" s="48">
        <v>0.2</v>
      </c>
      <c r="BF194" s="27">
        <f t="shared" si="117"/>
        <v>7.3176761433868992E-5</v>
      </c>
      <c r="BG194" s="48">
        <v>0.4</v>
      </c>
      <c r="BH194" s="27">
        <f t="shared" si="118"/>
        <v>1.4635352286773798E-4</v>
      </c>
      <c r="BI194" s="52">
        <f t="shared" si="119"/>
        <v>505.99999999999994</v>
      </c>
      <c r="BJ194" s="52">
        <f t="shared" si="120"/>
        <v>6.0000000000000009</v>
      </c>
      <c r="BK194" s="27">
        <f t="shared" si="121"/>
        <v>0.18948010319284517</v>
      </c>
      <c r="BL194" s="27">
        <f t="shared" si="122"/>
        <v>2.2287963347660646E-3</v>
      </c>
      <c r="BM194">
        <v>2200</v>
      </c>
      <c r="BN194">
        <v>170</v>
      </c>
      <c r="BO194" t="s">
        <v>19</v>
      </c>
      <c r="BP194">
        <v>2400</v>
      </c>
      <c r="BQ194">
        <v>68</v>
      </c>
      <c r="BR194" t="s">
        <v>443</v>
      </c>
      <c r="BS194">
        <v>0.69</v>
      </c>
      <c r="BT194">
        <v>5.22</v>
      </c>
      <c r="BU194">
        <v>9</v>
      </c>
      <c r="BV194">
        <v>15.9</v>
      </c>
      <c r="BW194">
        <v>7.1</v>
      </c>
      <c r="BX194">
        <v>1087</v>
      </c>
      <c r="BY194">
        <v>0.1</v>
      </c>
      <c r="BZ194">
        <v>0.01</v>
      </c>
      <c r="CA194" s="32">
        <v>7.8</v>
      </c>
      <c r="CB194" s="32">
        <f t="shared" si="123"/>
        <v>0.13965980304386749</v>
      </c>
      <c r="CC194" s="32">
        <f t="shared" si="124"/>
        <v>0.13965980304386749</v>
      </c>
      <c r="CD194" s="32">
        <v>1.9</v>
      </c>
      <c r="CE194" s="32">
        <f t="shared" si="125"/>
        <v>3.4589477516839613E-2</v>
      </c>
      <c r="CF194" s="32">
        <f t="shared" si="126"/>
        <v>6.9178955033679226E-2</v>
      </c>
      <c r="CG194" s="27">
        <v>0.5</v>
      </c>
      <c r="CH194" s="27">
        <f t="shared" si="127"/>
        <v>5.2050801582344368E-3</v>
      </c>
      <c r="CI194" s="27">
        <f t="shared" si="128"/>
        <v>4.1640641265875494E-2</v>
      </c>
      <c r="CJ194" s="58">
        <v>71.5</v>
      </c>
      <c r="CK194" s="58">
        <v>99.305555555555557</v>
      </c>
      <c r="CL194" s="58">
        <v>5.9546117010201955</v>
      </c>
      <c r="CM194" s="58">
        <v>5.9546117010201955</v>
      </c>
      <c r="CN194" s="28">
        <v>18.5</v>
      </c>
      <c r="CO194" s="28">
        <v>97.368421052631575</v>
      </c>
      <c r="CP194" s="28">
        <v>1.5407037268373933</v>
      </c>
      <c r="CQ194" s="28">
        <v>1.5407037268373933</v>
      </c>
      <c r="CR194" s="32">
        <f t="shared" si="129"/>
        <v>41.563189673120966</v>
      </c>
      <c r="CS194" s="32">
        <v>41.563189673120966</v>
      </c>
      <c r="CT194" s="32">
        <f t="shared" si="130"/>
        <v>49.363189673120964</v>
      </c>
      <c r="CU194" s="32">
        <f t="shared" si="131"/>
        <v>0.883852993251942</v>
      </c>
      <c r="CV194" s="32">
        <f t="shared" si="132"/>
        <v>0.883852993251942</v>
      </c>
      <c r="CW194" s="60">
        <f t="shared" si="133"/>
        <v>10.754112013325004</v>
      </c>
      <c r="CX194" s="60">
        <v>10.754112013325004</v>
      </c>
      <c r="CY194" s="60">
        <f t="shared" si="134"/>
        <v>18.554112013325003</v>
      </c>
      <c r="CZ194" s="60">
        <f t="shared" si="135"/>
        <v>0.33221328582497767</v>
      </c>
      <c r="DA194" s="60">
        <f t="shared" si="136"/>
        <v>0.33221328582497767</v>
      </c>
      <c r="DB194" s="32">
        <f t="shared" si="137"/>
        <v>4.1640641265875494E-2</v>
      </c>
      <c r="DC194">
        <f t="shared" si="138"/>
        <v>6.9076436493058164</v>
      </c>
      <c r="DD194">
        <f t="shared" si="139"/>
        <v>1.0014841318664631E-2</v>
      </c>
      <c r="DE194">
        <f t="shared" si="140"/>
        <v>0.12795289365292675</v>
      </c>
      <c r="DF194">
        <f t="shared" si="141"/>
        <v>0.86203226502840868</v>
      </c>
      <c r="DG194">
        <f t="shared" si="142"/>
        <v>1.9420959676960501</v>
      </c>
      <c r="DH194">
        <f t="shared" si="143"/>
        <v>3.5620770643866637E-2</v>
      </c>
      <c r="DI194">
        <f t="shared" si="144"/>
        <v>0.1710591501917845</v>
      </c>
      <c r="DJ194">
        <f t="shared" si="145"/>
        <v>0.79332007916434899</v>
      </c>
      <c r="DK194" s="64">
        <f t="shared" si="146"/>
        <v>-6.2161281666900701</v>
      </c>
      <c r="DL194" s="64">
        <f t="shared" si="147"/>
        <v>-1.2505804850803037</v>
      </c>
      <c r="DM194" s="64">
        <f t="shared" si="148"/>
        <v>-6.2138993703553043</v>
      </c>
      <c r="DN194" s="64">
        <f t="shared" si="149"/>
        <v>-1.2483516887455377</v>
      </c>
      <c r="DO194" t="str">
        <f t="shared" si="150"/>
        <v>Sufficient Capacity</v>
      </c>
      <c r="DP194" t="str">
        <f t="shared" si="151"/>
        <v>Sufficient Capacity</v>
      </c>
    </row>
    <row r="195" spans="1:120" ht="15.75" x14ac:dyDescent="0.25">
      <c r="A195" s="2" t="s">
        <v>247</v>
      </c>
      <c r="B195" s="2" t="s">
        <v>247</v>
      </c>
      <c r="C195" s="2" t="s">
        <v>1093</v>
      </c>
      <c r="D195" s="2" t="s">
        <v>637</v>
      </c>
      <c r="E195" s="2" t="s">
        <v>637</v>
      </c>
      <c r="F195" s="2">
        <v>194</v>
      </c>
      <c r="G195" s="19" t="s">
        <v>1092</v>
      </c>
      <c r="H195" s="10" t="s">
        <v>656</v>
      </c>
      <c r="I195" s="2">
        <v>150</v>
      </c>
      <c r="J195" s="2">
        <v>65</v>
      </c>
      <c r="K195" s="12">
        <v>4.05</v>
      </c>
      <c r="L195" t="s">
        <v>420</v>
      </c>
      <c r="M195" s="2" t="s">
        <v>1120</v>
      </c>
      <c r="N195" s="2" t="s">
        <v>435</v>
      </c>
      <c r="O195" s="2" t="s">
        <v>673</v>
      </c>
      <c r="P195" s="2" t="s">
        <v>1128</v>
      </c>
      <c r="Q195" s="9" t="s">
        <v>677</v>
      </c>
      <c r="R195" s="2" t="str">
        <f t="shared" ref="R195:R207" si="152">$N195&amp;"_"&amp;$O195</f>
        <v>CW_1_Section_3</v>
      </c>
      <c r="S195" s="2" t="str">
        <f t="shared" ref="S195:S207" si="153">$N195&amp;"_"&amp;$P195</f>
        <v>CW_1_MF10</v>
      </c>
      <c r="T195" s="11" t="s">
        <v>1075</v>
      </c>
      <c r="U195" s="1">
        <v>46007</v>
      </c>
      <c r="V195" s="2" t="s">
        <v>799</v>
      </c>
      <c r="W195" s="2" t="s">
        <v>663</v>
      </c>
      <c r="X195" s="2" t="s">
        <v>1074</v>
      </c>
      <c r="Y195" s="2" t="str">
        <f t="shared" ref="Y195:Y207" si="154">$X195&amp;"_"&amp;$W195</f>
        <v>T8_0.60-0.80</v>
      </c>
      <c r="Z195" t="s">
        <v>23</v>
      </c>
      <c r="AA195">
        <v>11</v>
      </c>
      <c r="AB195">
        <v>12</v>
      </c>
      <c r="AC195">
        <v>710</v>
      </c>
      <c r="AD195" s="32">
        <f t="shared" si="104"/>
        <v>0.27269235693253108</v>
      </c>
      <c r="AE195">
        <v>31</v>
      </c>
      <c r="AF195" s="32">
        <f t="shared" si="105"/>
        <v>1.2112003472975906E-2</v>
      </c>
      <c r="AG195">
        <v>410</v>
      </c>
      <c r="AH195" s="32">
        <f t="shared" si="106"/>
        <v>0.16219270980502967</v>
      </c>
      <c r="AI195">
        <v>140</v>
      </c>
      <c r="AJ195" s="32">
        <f t="shared" si="107"/>
        <v>5.5382876518790619E-2</v>
      </c>
      <c r="AK195">
        <v>140</v>
      </c>
      <c r="AL195" s="32">
        <f t="shared" si="108"/>
        <v>5.5382876518790619E-2</v>
      </c>
      <c r="AM195">
        <v>280</v>
      </c>
      <c r="AO195" s="49">
        <v>1431</v>
      </c>
      <c r="AP195" s="49">
        <f t="shared" si="109"/>
        <v>0.4469970702105367</v>
      </c>
      <c r="AQ195">
        <v>1600</v>
      </c>
      <c r="AR195" s="32">
        <f t="shared" si="110"/>
        <v>0.59920418194585312</v>
      </c>
      <c r="AS195" s="48">
        <v>1300</v>
      </c>
      <c r="AT195" s="27">
        <f t="shared" si="111"/>
        <v>0.48685339783100573</v>
      </c>
      <c r="AU195" s="48">
        <v>3.6</v>
      </c>
      <c r="AV195" s="27">
        <f t="shared" si="112"/>
        <v>1.3246599645180368E-3</v>
      </c>
      <c r="AW195" s="48">
        <v>120</v>
      </c>
      <c r="AX195" s="27">
        <f t="shared" si="113"/>
        <v>4.5133259840477273E-2</v>
      </c>
      <c r="AY195" s="48">
        <v>27</v>
      </c>
      <c r="AZ195" s="27">
        <f t="shared" si="114"/>
        <v>1.0070990253880399E-2</v>
      </c>
      <c r="BA195" s="48">
        <v>11</v>
      </c>
      <c r="BB195" s="27">
        <f t="shared" si="115"/>
        <v>4.0733883184649045E-3</v>
      </c>
      <c r="BC195" s="48">
        <v>1.7</v>
      </c>
      <c r="BD195" s="27">
        <f t="shared" si="116"/>
        <v>6.295236492173035E-4</v>
      </c>
      <c r="BE195" s="48">
        <v>7.0000000000000007E-2</v>
      </c>
      <c r="BF195" s="27">
        <f t="shared" si="117"/>
        <v>2.5611866501854141E-5</v>
      </c>
      <c r="BG195" s="48">
        <v>0.03</v>
      </c>
      <c r="BH195" s="27">
        <f t="shared" si="118"/>
        <v>1.0976514215080345E-5</v>
      </c>
      <c r="BI195" s="52">
        <f t="shared" si="119"/>
        <v>1463.3999999999999</v>
      </c>
      <c r="BJ195" s="52">
        <f t="shared" si="120"/>
        <v>163.39999999999998</v>
      </c>
      <c r="BK195" s="27">
        <f t="shared" si="121"/>
        <v>0.54812180823828061</v>
      </c>
      <c r="BL195" s="27">
        <f t="shared" si="122"/>
        <v>6.1268410407274848E-2</v>
      </c>
      <c r="BM195">
        <v>3000</v>
      </c>
      <c r="BN195">
        <v>950</v>
      </c>
      <c r="BO195" t="s">
        <v>19</v>
      </c>
      <c r="BP195">
        <v>4000</v>
      </c>
      <c r="BQ195">
        <v>71</v>
      </c>
      <c r="BR195" t="s">
        <v>443</v>
      </c>
      <c r="BS195">
        <v>0.47</v>
      </c>
      <c r="BT195">
        <v>0.68</v>
      </c>
      <c r="BU195">
        <v>9</v>
      </c>
      <c r="BV195">
        <v>-104</v>
      </c>
      <c r="BW195">
        <v>7.6</v>
      </c>
      <c r="BX195">
        <v>1114</v>
      </c>
      <c r="BY195">
        <v>0.1</v>
      </c>
      <c r="BZ195">
        <v>0.01</v>
      </c>
      <c r="CA195" s="32">
        <v>0.4</v>
      </c>
      <c r="CB195" s="32">
        <f t="shared" si="123"/>
        <v>7.162041181736795E-3</v>
      </c>
      <c r="CC195" s="32">
        <f t="shared" si="124"/>
        <v>7.162041181736795E-3</v>
      </c>
      <c r="CD195" s="32">
        <v>1.2</v>
      </c>
      <c r="CE195" s="32">
        <f t="shared" si="125"/>
        <v>2.1845985800109231E-2</v>
      </c>
      <c r="CF195" s="32">
        <f t="shared" si="126"/>
        <v>4.3691971600218461E-2</v>
      </c>
      <c r="CG195" s="27">
        <v>48</v>
      </c>
      <c r="CH195" s="27">
        <f t="shared" si="127"/>
        <v>0.49968769519050593</v>
      </c>
      <c r="CI195" s="27">
        <f t="shared" si="128"/>
        <v>3.9975015615240475</v>
      </c>
      <c r="CJ195" s="58">
        <v>24</v>
      </c>
      <c r="CK195" s="58">
        <v>33.333333333333329</v>
      </c>
      <c r="CL195" s="58">
        <v>1.9987507807620237</v>
      </c>
      <c r="CM195" s="58">
        <v>1.9987507807620237</v>
      </c>
      <c r="CN195" s="28">
        <v>5</v>
      </c>
      <c r="CO195" s="28">
        <v>9.433962264150944</v>
      </c>
      <c r="CP195" s="28">
        <v>0.41640641265875494</v>
      </c>
      <c r="CQ195" s="28">
        <v>0.41640641265875494</v>
      </c>
      <c r="CR195" s="32">
        <f t="shared" si="129"/>
        <v>13.951280449718926</v>
      </c>
      <c r="CS195" s="32">
        <v>13.951280449718926</v>
      </c>
      <c r="CT195" s="32">
        <f t="shared" si="130"/>
        <v>14.351280449718926</v>
      </c>
      <c r="CU195" s="32">
        <f t="shared" si="131"/>
        <v>0.25696115397885272</v>
      </c>
      <c r="CV195" s="32">
        <f t="shared" si="132"/>
        <v>0.25696115397885272</v>
      </c>
      <c r="CW195" s="60">
        <f t="shared" si="133"/>
        <v>2.9065167603581092</v>
      </c>
      <c r="CX195" s="60">
        <v>2.9065167603581092</v>
      </c>
      <c r="CY195" s="60">
        <f t="shared" si="134"/>
        <v>3.3065167603581092</v>
      </c>
      <c r="CZ195" s="60">
        <f t="shared" si="135"/>
        <v>5.9203523014469274E-2</v>
      </c>
      <c r="DA195" s="60">
        <f t="shared" si="136"/>
        <v>5.9203523014469274E-2</v>
      </c>
      <c r="DB195" s="32">
        <f t="shared" si="137"/>
        <v>3.9975015615240475</v>
      </c>
      <c r="DC195">
        <f t="shared" si="138"/>
        <v>2.2994039063410949</v>
      </c>
      <c r="DD195">
        <f t="shared" si="139"/>
        <v>1.9001434015019528E-2</v>
      </c>
      <c r="DE195">
        <f t="shared" si="140"/>
        <v>0.11175120354898403</v>
      </c>
      <c r="DF195">
        <f t="shared" si="141"/>
        <v>0.86924736243599643</v>
      </c>
      <c r="DG195">
        <f t="shared" si="142"/>
        <v>0.51930190727344272</v>
      </c>
      <c r="DH195">
        <f t="shared" si="143"/>
        <v>8.4135973675929704E-2</v>
      </c>
      <c r="DI195">
        <f t="shared" si="144"/>
        <v>0.11400598030789663</v>
      </c>
      <c r="DJ195">
        <f t="shared" si="145"/>
        <v>0.80185804601617361</v>
      </c>
      <c r="DK195" s="64">
        <f t="shared" si="146"/>
        <v>-1.253202654184705</v>
      </c>
      <c r="DL195" s="64">
        <f t="shared" si="147"/>
        <v>0.52689934488294721</v>
      </c>
      <c r="DM195" s="64">
        <f t="shared" si="148"/>
        <v>-1.1919342437774301</v>
      </c>
      <c r="DN195" s="64">
        <f t="shared" si="149"/>
        <v>0.58816775529022214</v>
      </c>
      <c r="DO195" t="str">
        <f t="shared" si="150"/>
        <v>Sufficient Capacity</v>
      </c>
      <c r="DP195" t="str">
        <f t="shared" si="151"/>
        <v>Insufficient Capacity</v>
      </c>
    </row>
    <row r="196" spans="1:120" ht="15.75" x14ac:dyDescent="0.25">
      <c r="A196" s="2" t="s">
        <v>248</v>
      </c>
      <c r="B196" s="2" t="s">
        <v>248</v>
      </c>
      <c r="C196" s="2" t="s">
        <v>1095</v>
      </c>
      <c r="D196" s="2" t="s">
        <v>638</v>
      </c>
      <c r="E196" s="2" t="s">
        <v>638</v>
      </c>
      <c r="F196" s="2">
        <v>195</v>
      </c>
      <c r="G196" s="19" t="s">
        <v>1094</v>
      </c>
      <c r="H196" s="10" t="s">
        <v>656</v>
      </c>
      <c r="I196" s="2">
        <v>150</v>
      </c>
      <c r="J196" s="2">
        <v>65</v>
      </c>
      <c r="K196" s="12">
        <v>12.8</v>
      </c>
      <c r="L196" t="s">
        <v>422</v>
      </c>
      <c r="M196" s="2" t="s">
        <v>1120</v>
      </c>
      <c r="N196" s="2" t="s">
        <v>436</v>
      </c>
      <c r="O196" s="2" t="s">
        <v>653</v>
      </c>
      <c r="P196" s="2" t="s">
        <v>1123</v>
      </c>
      <c r="Q196" s="9" t="s">
        <v>713</v>
      </c>
      <c r="R196" s="2" t="str">
        <f t="shared" si="152"/>
        <v>CW_2_Section_1</v>
      </c>
      <c r="S196" s="2" t="str">
        <f t="shared" si="153"/>
        <v>CW_2_MF01</v>
      </c>
      <c r="T196" s="11" t="s">
        <v>1075</v>
      </c>
      <c r="U196" s="1">
        <v>46007</v>
      </c>
      <c r="V196" s="2" t="s">
        <v>799</v>
      </c>
      <c r="W196" s="2" t="s">
        <v>655</v>
      </c>
      <c r="X196" s="2" t="s">
        <v>1074</v>
      </c>
      <c r="Y196" s="2" t="str">
        <f t="shared" si="154"/>
        <v>T8_0.15-0.30</v>
      </c>
      <c r="Z196" t="s">
        <v>41</v>
      </c>
      <c r="AA196">
        <v>4</v>
      </c>
      <c r="AB196">
        <v>4.3</v>
      </c>
      <c r="AC196">
        <v>2</v>
      </c>
      <c r="AD196" s="32">
        <f t="shared" si="104"/>
        <v>7.6814748431698891E-4</v>
      </c>
      <c r="AE196">
        <v>0.3</v>
      </c>
      <c r="AF196" s="32">
        <f t="shared" si="105"/>
        <v>1.1721293683525071E-4</v>
      </c>
      <c r="AG196">
        <v>2.7</v>
      </c>
      <c r="AH196" s="32">
        <f t="shared" si="106"/>
        <v>1.0680983328623906E-3</v>
      </c>
      <c r="AI196">
        <v>0.97</v>
      </c>
      <c r="AJ196" s="32">
        <f t="shared" si="107"/>
        <v>3.8372421588019214E-4</v>
      </c>
      <c r="AK196">
        <v>0.9</v>
      </c>
      <c r="AL196" s="32">
        <f t="shared" si="108"/>
        <v>3.5603277762079685E-4</v>
      </c>
      <c r="AM196">
        <v>1.87</v>
      </c>
      <c r="AO196" s="49">
        <v>6.87</v>
      </c>
      <c r="AP196" s="49">
        <f t="shared" si="109"/>
        <v>1.9534587540146302E-3</v>
      </c>
      <c r="AQ196">
        <v>1.4</v>
      </c>
      <c r="AR196" s="32">
        <f t="shared" si="110"/>
        <v>5.2430365920262147E-4</v>
      </c>
      <c r="AS196" s="48">
        <v>0.02</v>
      </c>
      <c r="AT196" s="27">
        <f t="shared" si="111"/>
        <v>7.4900522743231651E-6</v>
      </c>
      <c r="AU196" s="48">
        <v>0.01</v>
      </c>
      <c r="AV196" s="27">
        <f t="shared" si="112"/>
        <v>3.6796110125501018E-6</v>
      </c>
      <c r="AW196" s="48">
        <v>0.25</v>
      </c>
      <c r="AX196" s="27">
        <f t="shared" si="113"/>
        <v>9.4027624667660981E-5</v>
      </c>
      <c r="AY196" s="48">
        <v>5.0000000000000001E-3</v>
      </c>
      <c r="AZ196" s="27">
        <f t="shared" si="114"/>
        <v>1.8649981951630372E-6</v>
      </c>
      <c r="BA196" s="48">
        <v>1E-3</v>
      </c>
      <c r="BB196" s="27">
        <f t="shared" si="115"/>
        <v>3.7030802895135499E-7</v>
      </c>
      <c r="BC196" s="48">
        <v>1E-3</v>
      </c>
      <c r="BD196" s="27">
        <f t="shared" si="116"/>
        <v>3.7030802895135499E-7</v>
      </c>
      <c r="BE196" s="48">
        <v>1E-3</v>
      </c>
      <c r="BF196" s="27">
        <f t="shared" si="117"/>
        <v>3.6588380716934485E-7</v>
      </c>
      <c r="BG196" s="48">
        <v>2E-3</v>
      </c>
      <c r="BH196" s="27">
        <f t="shared" si="118"/>
        <v>7.3176761433868969E-7</v>
      </c>
      <c r="BI196" s="52">
        <f t="shared" si="119"/>
        <v>0.29000000000000004</v>
      </c>
      <c r="BJ196" s="52">
        <f t="shared" si="120"/>
        <v>0.27</v>
      </c>
      <c r="BK196" s="27">
        <f t="shared" si="121"/>
        <v>1.0890055362910803E-4</v>
      </c>
      <c r="BL196" s="27">
        <f t="shared" si="122"/>
        <v>1.0141050135478487E-4</v>
      </c>
      <c r="BM196">
        <v>2.5</v>
      </c>
      <c r="BN196">
        <v>2.5</v>
      </c>
      <c r="BO196" t="s">
        <v>19</v>
      </c>
      <c r="BP196">
        <v>5</v>
      </c>
      <c r="BQ196">
        <v>48</v>
      </c>
      <c r="BR196" t="s">
        <v>443</v>
      </c>
      <c r="BS196">
        <v>0.28999999999999998</v>
      </c>
      <c r="BT196">
        <v>1.19</v>
      </c>
      <c r="BU196">
        <v>12</v>
      </c>
      <c r="BV196">
        <v>1.7</v>
      </c>
      <c r="BW196">
        <v>7.7</v>
      </c>
      <c r="BX196">
        <v>574</v>
      </c>
      <c r="BY196">
        <v>0.1</v>
      </c>
      <c r="BZ196">
        <v>0.01</v>
      </c>
      <c r="CA196" s="32">
        <v>0.02</v>
      </c>
      <c r="CB196" s="32">
        <f t="shared" si="123"/>
        <v>3.5810205908683976E-4</v>
      </c>
      <c r="CC196" s="32">
        <f t="shared" si="124"/>
        <v>3.5810205908683976E-4</v>
      </c>
      <c r="CD196" s="32">
        <v>0.05</v>
      </c>
      <c r="CE196" s="32">
        <f t="shared" si="125"/>
        <v>9.1024940833788468E-4</v>
      </c>
      <c r="CF196" s="32">
        <f t="shared" si="126"/>
        <v>1.8204988166757694E-3</v>
      </c>
      <c r="CG196" s="27">
        <v>42</v>
      </c>
      <c r="CH196" s="27">
        <f t="shared" si="127"/>
        <v>0.4372267332916927</v>
      </c>
      <c r="CI196" s="27">
        <f t="shared" si="128"/>
        <v>3.4978138663335416</v>
      </c>
      <c r="CJ196" s="58">
        <v>30</v>
      </c>
      <c r="CK196" s="58">
        <v>41.666666666666671</v>
      </c>
      <c r="CL196" s="58">
        <v>2.4984384759525295</v>
      </c>
      <c r="CM196" s="58">
        <v>2.4984384759525295</v>
      </c>
      <c r="CN196" s="28">
        <v>30</v>
      </c>
      <c r="CO196" s="28">
        <v>41.666666666666671</v>
      </c>
      <c r="CP196" s="28">
        <v>2.4984384759525295</v>
      </c>
      <c r="CQ196" s="28">
        <v>2.4984384759525295</v>
      </c>
      <c r="CR196" s="32">
        <f t="shared" si="129"/>
        <v>17.439100562148656</v>
      </c>
      <c r="CS196" s="32">
        <v>17.439100562148656</v>
      </c>
      <c r="CT196" s="32">
        <f t="shared" si="130"/>
        <v>17.459100562148656</v>
      </c>
      <c r="CU196" s="32">
        <f t="shared" si="131"/>
        <v>0.31260699305548173</v>
      </c>
      <c r="CV196" s="32">
        <f t="shared" si="132"/>
        <v>0.31260699305548173</v>
      </c>
      <c r="CW196" s="60">
        <f t="shared" si="133"/>
        <v>17.439100562148656</v>
      </c>
      <c r="CX196" s="60">
        <v>17.439100562148656</v>
      </c>
      <c r="CY196" s="60">
        <f t="shared" si="134"/>
        <v>17.459100562148656</v>
      </c>
      <c r="CZ196" s="60">
        <f t="shared" si="135"/>
        <v>0.31260699305548173</v>
      </c>
      <c r="DA196" s="60">
        <f t="shared" si="136"/>
        <v>0.31260699305548173</v>
      </c>
      <c r="DB196" s="32">
        <f t="shared" si="137"/>
        <v>3.4978138663335416</v>
      </c>
      <c r="DC196">
        <f t="shared" si="138"/>
        <v>2.812865967824687</v>
      </c>
      <c r="DD196">
        <f t="shared" si="139"/>
        <v>6.4720425270872088E-4</v>
      </c>
      <c r="DE196">
        <f t="shared" si="140"/>
        <v>0.11113469202986392</v>
      </c>
      <c r="DF196">
        <f t="shared" si="141"/>
        <v>0.88821810371742738</v>
      </c>
      <c r="DG196">
        <f t="shared" si="142"/>
        <v>2.812865967824687</v>
      </c>
      <c r="DH196">
        <f t="shared" si="143"/>
        <v>6.4720425270872088E-4</v>
      </c>
      <c r="DI196">
        <f t="shared" si="144"/>
        <v>0.11113469202986392</v>
      </c>
      <c r="DJ196">
        <f t="shared" si="145"/>
        <v>0.88821810371742738</v>
      </c>
      <c r="DK196" s="64">
        <f t="shared" si="146"/>
        <v>-2.8103882054114697</v>
      </c>
      <c r="DL196" s="64">
        <f t="shared" si="147"/>
        <v>-2.8103882054114697</v>
      </c>
      <c r="DM196" s="64">
        <f t="shared" si="148"/>
        <v>-2.8102867949101151</v>
      </c>
      <c r="DN196" s="64">
        <f t="shared" si="149"/>
        <v>-2.8102867949101151</v>
      </c>
      <c r="DO196" t="str">
        <f t="shared" si="150"/>
        <v>Sufficient Capacity</v>
      </c>
      <c r="DP196" t="str">
        <f t="shared" si="151"/>
        <v>Sufficient Capacity</v>
      </c>
    </row>
    <row r="197" spans="1:120" ht="15.75" x14ac:dyDescent="0.25">
      <c r="A197" s="2" t="s">
        <v>249</v>
      </c>
      <c r="B197" s="2" t="s">
        <v>249</v>
      </c>
      <c r="C197" s="2" t="s">
        <v>1097</v>
      </c>
      <c r="D197" s="2" t="s">
        <v>639</v>
      </c>
      <c r="E197" s="2" t="s">
        <v>639</v>
      </c>
      <c r="F197" s="2">
        <v>196</v>
      </c>
      <c r="G197" s="19" t="s">
        <v>1096</v>
      </c>
      <c r="H197" s="10" t="s">
        <v>656</v>
      </c>
      <c r="I197" s="2">
        <v>150</v>
      </c>
      <c r="J197" s="2">
        <v>65</v>
      </c>
      <c r="K197" s="12">
        <v>7.65</v>
      </c>
      <c r="L197" t="s">
        <v>423</v>
      </c>
      <c r="M197" s="2" t="s">
        <v>1120</v>
      </c>
      <c r="N197" s="2" t="s">
        <v>436</v>
      </c>
      <c r="O197" s="2" t="s">
        <v>653</v>
      </c>
      <c r="P197" s="2" t="s">
        <v>1124</v>
      </c>
      <c r="Q197" s="9" t="s">
        <v>716</v>
      </c>
      <c r="R197" s="2" t="str">
        <f t="shared" si="152"/>
        <v>CW_2_Section_1</v>
      </c>
      <c r="S197" s="2" t="str">
        <f t="shared" si="153"/>
        <v>CW_2_MF02</v>
      </c>
      <c r="T197" s="11" t="s">
        <v>1075</v>
      </c>
      <c r="U197" s="1">
        <v>46007</v>
      </c>
      <c r="V197" s="2" t="s">
        <v>799</v>
      </c>
      <c r="W197" s="2" t="s">
        <v>663</v>
      </c>
      <c r="X197" s="2" t="s">
        <v>1074</v>
      </c>
      <c r="Y197" s="2" t="str">
        <f t="shared" si="154"/>
        <v>T8_0.60-0.80</v>
      </c>
      <c r="Z197" t="s">
        <v>43</v>
      </c>
      <c r="AA197">
        <v>4.4000000000000004</v>
      </c>
      <c r="AB197">
        <v>4.5</v>
      </c>
      <c r="AC197">
        <v>3</v>
      </c>
      <c r="AD197" s="32">
        <f t="shared" si="104"/>
        <v>1.1522212264754833E-3</v>
      </c>
      <c r="AE197">
        <v>1</v>
      </c>
      <c r="AF197" s="32">
        <f t="shared" si="105"/>
        <v>3.9070978945083569E-4</v>
      </c>
      <c r="AG197">
        <v>4.3</v>
      </c>
      <c r="AH197" s="32">
        <f t="shared" si="106"/>
        <v>1.7010454930771405E-3</v>
      </c>
      <c r="AI197">
        <v>1.5</v>
      </c>
      <c r="AJ197" s="32">
        <f t="shared" si="107"/>
        <v>5.9338796270132807E-4</v>
      </c>
      <c r="AK197">
        <v>2.1</v>
      </c>
      <c r="AL197" s="32">
        <f t="shared" si="108"/>
        <v>8.3074314778185923E-4</v>
      </c>
      <c r="AM197">
        <v>3.6</v>
      </c>
      <c r="AO197" s="49">
        <v>11.9</v>
      </c>
      <c r="AP197" s="49">
        <f t="shared" si="109"/>
        <v>3.2439765090034592E-3</v>
      </c>
      <c r="AQ197">
        <v>19</v>
      </c>
      <c r="AR197" s="32">
        <f t="shared" si="110"/>
        <v>7.1155496606070054E-3</v>
      </c>
      <c r="AS197" s="48">
        <v>2E-3</v>
      </c>
      <c r="AT197" s="27">
        <f t="shared" si="111"/>
        <v>7.4900522743231646E-7</v>
      </c>
      <c r="AU197" s="48">
        <v>0.01</v>
      </c>
      <c r="AV197" s="27">
        <f t="shared" si="112"/>
        <v>3.6796110125501018E-6</v>
      </c>
      <c r="AW197" s="48">
        <v>0.13</v>
      </c>
      <c r="AX197" s="27">
        <f t="shared" si="113"/>
        <v>4.8894364827183712E-5</v>
      </c>
      <c r="AY197" s="48">
        <v>5.0000000000000001E-3</v>
      </c>
      <c r="AZ197" s="27">
        <f t="shared" si="114"/>
        <v>1.8649981951630372E-6</v>
      </c>
      <c r="BA197" s="48">
        <v>1E-3</v>
      </c>
      <c r="BB197" s="27">
        <f t="shared" si="115"/>
        <v>3.7030802895135499E-7</v>
      </c>
      <c r="BC197" s="48">
        <v>1E-3</v>
      </c>
      <c r="BD197" s="27">
        <f t="shared" si="116"/>
        <v>3.7030802895135499E-7</v>
      </c>
      <c r="BE197" s="48">
        <v>1E-3</v>
      </c>
      <c r="BF197" s="27">
        <f t="shared" si="117"/>
        <v>3.6588380716934485E-7</v>
      </c>
      <c r="BG197" s="48">
        <v>2E-3</v>
      </c>
      <c r="BH197" s="27">
        <f t="shared" si="118"/>
        <v>7.3176761433868969E-7</v>
      </c>
      <c r="BI197" s="52">
        <f t="shared" si="119"/>
        <v>0.15200000000000002</v>
      </c>
      <c r="BJ197" s="52">
        <f t="shared" si="120"/>
        <v>0.15000000000000002</v>
      </c>
      <c r="BK197" s="27">
        <f t="shared" si="121"/>
        <v>5.7026246741739907E-5</v>
      </c>
      <c r="BL197" s="27">
        <f t="shared" si="122"/>
        <v>5.6277241514307593E-5</v>
      </c>
      <c r="BM197">
        <v>2.5</v>
      </c>
      <c r="BN197">
        <v>2.5</v>
      </c>
      <c r="BO197" t="s">
        <v>19</v>
      </c>
      <c r="BP197">
        <v>5</v>
      </c>
      <c r="BQ197">
        <v>49</v>
      </c>
      <c r="BR197" t="s">
        <v>443</v>
      </c>
      <c r="BS197">
        <v>0.39</v>
      </c>
      <c r="BT197">
        <v>8.3000000000000007</v>
      </c>
      <c r="BU197">
        <v>12</v>
      </c>
      <c r="BV197">
        <v>58</v>
      </c>
      <c r="BW197">
        <v>7.7</v>
      </c>
      <c r="BX197">
        <v>547</v>
      </c>
      <c r="BY197">
        <v>0.1</v>
      </c>
      <c r="BZ197">
        <v>0.01</v>
      </c>
      <c r="CA197" s="32">
        <v>0.02</v>
      </c>
      <c r="CB197" s="32">
        <f t="shared" si="123"/>
        <v>3.5810205908683976E-4</v>
      </c>
      <c r="CC197" s="32">
        <f t="shared" si="124"/>
        <v>3.5810205908683976E-4</v>
      </c>
      <c r="CD197" s="32">
        <v>0.05</v>
      </c>
      <c r="CE197" s="32">
        <f t="shared" si="125"/>
        <v>9.1024940833788468E-4</v>
      </c>
      <c r="CF197" s="32">
        <f t="shared" si="126"/>
        <v>1.8204988166757694E-3</v>
      </c>
      <c r="CG197" s="27">
        <v>34</v>
      </c>
      <c r="CH197" s="27">
        <f t="shared" si="127"/>
        <v>0.35394545075994172</v>
      </c>
      <c r="CI197" s="27">
        <f t="shared" si="128"/>
        <v>2.8315636060795337</v>
      </c>
      <c r="CJ197" s="58">
        <v>38</v>
      </c>
      <c r="CK197" s="58">
        <v>52.777777777777779</v>
      </c>
      <c r="CL197" s="58">
        <v>3.1646887362065375</v>
      </c>
      <c r="CM197" s="58">
        <v>3.1646887362065375</v>
      </c>
      <c r="CN197" s="28">
        <v>38</v>
      </c>
      <c r="CO197" s="28">
        <v>52.777777777777779</v>
      </c>
      <c r="CP197" s="28">
        <v>3.1646887362065375</v>
      </c>
      <c r="CQ197" s="28">
        <v>3.1646887362065375</v>
      </c>
      <c r="CR197" s="32">
        <f t="shared" si="129"/>
        <v>22.08952737872163</v>
      </c>
      <c r="CS197" s="32">
        <v>22.08952737872163</v>
      </c>
      <c r="CT197" s="32">
        <f t="shared" si="130"/>
        <v>22.10952737872163</v>
      </c>
      <c r="CU197" s="32">
        <f t="shared" si="131"/>
        <v>0.39587336398785372</v>
      </c>
      <c r="CV197" s="32">
        <f t="shared" si="132"/>
        <v>0.39587336398785372</v>
      </c>
      <c r="CW197" s="60">
        <f t="shared" si="133"/>
        <v>22.08952737872163</v>
      </c>
      <c r="CX197" s="60">
        <v>22.08952737872163</v>
      </c>
      <c r="CY197" s="60">
        <f t="shared" si="134"/>
        <v>22.10952737872163</v>
      </c>
      <c r="CZ197" s="60">
        <f t="shared" si="135"/>
        <v>0.39587336398785372</v>
      </c>
      <c r="DA197" s="60">
        <f t="shared" si="136"/>
        <v>0.39587336398785372</v>
      </c>
      <c r="DB197" s="32">
        <f t="shared" si="137"/>
        <v>2.8315636060795337</v>
      </c>
      <c r="DC197">
        <f t="shared" si="138"/>
        <v>3.5623825990110669</v>
      </c>
      <c r="DD197">
        <f t="shared" si="139"/>
        <v>5.1103405265373462E-4</v>
      </c>
      <c r="DE197">
        <f t="shared" si="140"/>
        <v>0.11112600990633345</v>
      </c>
      <c r="DF197">
        <f t="shared" si="141"/>
        <v>0.88836295604101279</v>
      </c>
      <c r="DG197">
        <f t="shared" si="142"/>
        <v>3.5623825990110669</v>
      </c>
      <c r="DH197">
        <f t="shared" si="143"/>
        <v>5.1103405265373462E-4</v>
      </c>
      <c r="DI197">
        <f t="shared" si="144"/>
        <v>0.11112600990633345</v>
      </c>
      <c r="DJ197">
        <f t="shared" si="145"/>
        <v>0.88836295604101279</v>
      </c>
      <c r="DK197" s="64">
        <f t="shared" si="146"/>
        <v>-3.5520230728414566</v>
      </c>
      <c r="DL197" s="64">
        <f t="shared" si="147"/>
        <v>-3.5520230728414566</v>
      </c>
      <c r="DM197" s="64">
        <f t="shared" si="148"/>
        <v>-3.5519667955999421</v>
      </c>
      <c r="DN197" s="64">
        <f t="shared" si="149"/>
        <v>-3.5519667955999421</v>
      </c>
      <c r="DO197" t="str">
        <f t="shared" si="150"/>
        <v>Sufficient Capacity</v>
      </c>
      <c r="DP197" t="str">
        <f t="shared" si="151"/>
        <v>Sufficient Capacity</v>
      </c>
    </row>
    <row r="198" spans="1:120" ht="15.75" x14ac:dyDescent="0.25">
      <c r="A198" s="2" t="s">
        <v>250</v>
      </c>
      <c r="B198" s="2" t="s">
        <v>250</v>
      </c>
      <c r="C198" s="2" t="s">
        <v>1099</v>
      </c>
      <c r="D198" s="2" t="s">
        <v>640</v>
      </c>
      <c r="E198" s="2" t="s">
        <v>640</v>
      </c>
      <c r="F198" s="2">
        <v>197</v>
      </c>
      <c r="G198" s="19" t="s">
        <v>1098</v>
      </c>
      <c r="H198" s="10" t="s">
        <v>656</v>
      </c>
      <c r="I198" s="2">
        <v>150</v>
      </c>
      <c r="J198" s="2">
        <v>65</v>
      </c>
      <c r="K198" s="12">
        <v>6.7</v>
      </c>
      <c r="L198" t="s">
        <v>424</v>
      </c>
      <c r="M198" s="2" t="s">
        <v>1120</v>
      </c>
      <c r="N198" s="2" t="s">
        <v>436</v>
      </c>
      <c r="O198" s="2" t="s">
        <v>666</v>
      </c>
      <c r="P198" s="2" t="s">
        <v>1131</v>
      </c>
      <c r="Q198" s="9" t="s">
        <v>719</v>
      </c>
      <c r="R198" s="2" t="str">
        <f t="shared" si="152"/>
        <v>CW_2_Section_2</v>
      </c>
      <c r="S198" s="2" t="str">
        <f t="shared" si="153"/>
        <v>CW_2_MF05</v>
      </c>
      <c r="T198" s="11" t="s">
        <v>1075</v>
      </c>
      <c r="U198" s="1">
        <v>46008</v>
      </c>
      <c r="V198" s="2" t="s">
        <v>799</v>
      </c>
      <c r="W198" s="2" t="s">
        <v>655</v>
      </c>
      <c r="X198" s="2" t="s">
        <v>1074</v>
      </c>
      <c r="Y198" s="2" t="str">
        <f t="shared" si="154"/>
        <v>T8_0.15-0.30</v>
      </c>
      <c r="Z198" t="s">
        <v>35</v>
      </c>
      <c r="AA198">
        <v>7.3</v>
      </c>
      <c r="AB198">
        <v>7.5</v>
      </c>
      <c r="AC198">
        <v>21</v>
      </c>
      <c r="AD198" s="32">
        <f t="shared" si="104"/>
        <v>8.0655485853283818E-3</v>
      </c>
      <c r="AE198">
        <v>2.8</v>
      </c>
      <c r="AF198" s="32">
        <f t="shared" si="105"/>
        <v>1.0939874104623399E-3</v>
      </c>
      <c r="AG198">
        <v>48</v>
      </c>
      <c r="AH198" s="32">
        <f t="shared" si="106"/>
        <v>1.8988414806442498E-2</v>
      </c>
      <c r="AI198">
        <v>22</v>
      </c>
      <c r="AJ198" s="32">
        <f t="shared" si="107"/>
        <v>8.7030234529528114E-3</v>
      </c>
      <c r="AK198">
        <v>9.1999999999999993</v>
      </c>
      <c r="AL198" s="32">
        <f t="shared" si="108"/>
        <v>3.6394461712348117E-3</v>
      </c>
      <c r="AM198">
        <v>31.2</v>
      </c>
      <c r="AO198" s="49">
        <v>103</v>
      </c>
      <c r="AP198" s="49">
        <f t="shared" si="109"/>
        <v>2.8147950802233222E-2</v>
      </c>
      <c r="AQ198">
        <v>93</v>
      </c>
      <c r="AR198" s="32">
        <f t="shared" si="110"/>
        <v>3.4828743075602714E-2</v>
      </c>
      <c r="AS198" s="48">
        <v>92</v>
      </c>
      <c r="AT198" s="27">
        <f t="shared" si="111"/>
        <v>3.4454240461886554E-2</v>
      </c>
      <c r="AU198" s="48">
        <v>0.11</v>
      </c>
      <c r="AV198" s="27">
        <f t="shared" si="112"/>
        <v>4.0475721138051117E-5</v>
      </c>
      <c r="AW198" s="48">
        <v>0.34</v>
      </c>
      <c r="AX198" s="27">
        <f t="shared" si="113"/>
        <v>1.2787756954801895E-4</v>
      </c>
      <c r="AY198" s="48">
        <v>0.08</v>
      </c>
      <c r="AZ198" s="27">
        <f t="shared" si="114"/>
        <v>2.9839971122608595E-5</v>
      </c>
      <c r="BA198" s="48">
        <v>0.04</v>
      </c>
      <c r="BB198" s="27">
        <f t="shared" si="115"/>
        <v>1.4812321158054199E-5</v>
      </c>
      <c r="BC198" s="48">
        <v>1E-3</v>
      </c>
      <c r="BD198" s="27">
        <f t="shared" si="116"/>
        <v>3.7030802895135499E-7</v>
      </c>
      <c r="BE198" s="48">
        <v>1E-3</v>
      </c>
      <c r="BF198" s="27">
        <f t="shared" si="117"/>
        <v>3.6588380716934485E-7</v>
      </c>
      <c r="BG198" s="48">
        <v>2E-3</v>
      </c>
      <c r="BH198" s="27">
        <f t="shared" si="118"/>
        <v>7.3176761433868969E-7</v>
      </c>
      <c r="BI198" s="52">
        <f t="shared" si="119"/>
        <v>92.574000000000012</v>
      </c>
      <c r="BJ198" s="52">
        <f t="shared" si="120"/>
        <v>0.57400000000000007</v>
      </c>
      <c r="BK198" s="27">
        <f t="shared" si="121"/>
        <v>3.4668714004303741E-2</v>
      </c>
      <c r="BL198" s="27">
        <f t="shared" si="122"/>
        <v>2.1447354241719229E-4</v>
      </c>
      <c r="BM198">
        <v>180</v>
      </c>
      <c r="BN198">
        <v>2.5</v>
      </c>
      <c r="BO198" t="s">
        <v>19</v>
      </c>
      <c r="BP198">
        <v>200</v>
      </c>
      <c r="BQ198">
        <v>48</v>
      </c>
      <c r="BR198" t="s">
        <v>443</v>
      </c>
      <c r="BS198">
        <v>1.2</v>
      </c>
      <c r="BT198">
        <v>7.91</v>
      </c>
      <c r="BU198">
        <v>9</v>
      </c>
      <c r="BV198">
        <v>52</v>
      </c>
      <c r="BW198">
        <v>7.7</v>
      </c>
      <c r="BX198">
        <v>669</v>
      </c>
      <c r="BY198">
        <v>0.1</v>
      </c>
      <c r="BZ198">
        <v>0.01</v>
      </c>
      <c r="CA198" s="32">
        <v>17</v>
      </c>
      <c r="CB198" s="32">
        <f t="shared" si="123"/>
        <v>0.30438675022381378</v>
      </c>
      <c r="CC198" s="32">
        <f t="shared" si="124"/>
        <v>0.30438675022381378</v>
      </c>
      <c r="CD198" s="32">
        <v>1.1000000000000001</v>
      </c>
      <c r="CE198" s="32">
        <f t="shared" si="125"/>
        <v>2.0025486983433462E-2</v>
      </c>
      <c r="CF198" s="32">
        <f t="shared" si="126"/>
        <v>4.0050973966866923E-2</v>
      </c>
      <c r="CG198" s="27">
        <v>11</v>
      </c>
      <c r="CH198" s="27">
        <f t="shared" si="127"/>
        <v>0.1145117634811576</v>
      </c>
      <c r="CI198" s="27">
        <f t="shared" si="128"/>
        <v>0.91609410784926082</v>
      </c>
      <c r="CJ198" s="58">
        <v>61</v>
      </c>
      <c r="CK198" s="58">
        <v>84.722222222222214</v>
      </c>
      <c r="CL198" s="58">
        <v>5.0801582344368104</v>
      </c>
      <c r="CM198" s="58">
        <v>5.0801582344368104</v>
      </c>
      <c r="CN198" s="28">
        <v>31</v>
      </c>
      <c r="CO198" s="28">
        <v>73.80952380952381</v>
      </c>
      <c r="CP198" s="28">
        <v>2.5817197584842808</v>
      </c>
      <c r="CQ198" s="28">
        <v>2.5817197584842808</v>
      </c>
      <c r="CR198" s="32">
        <f t="shared" si="129"/>
        <v>35.459504476368934</v>
      </c>
      <c r="CS198" s="32">
        <v>35.459504476368934</v>
      </c>
      <c r="CT198" s="32">
        <f t="shared" si="130"/>
        <v>52.459504476368934</v>
      </c>
      <c r="CU198" s="32">
        <f t="shared" si="131"/>
        <v>0.93929282858315011</v>
      </c>
      <c r="CV198" s="32">
        <f t="shared" si="132"/>
        <v>0.93929282858315011</v>
      </c>
      <c r="CW198" s="60">
        <f t="shared" si="133"/>
        <v>18.020403914220278</v>
      </c>
      <c r="CX198" s="60">
        <v>18.020403914220278</v>
      </c>
      <c r="CY198" s="60">
        <f t="shared" si="134"/>
        <v>35.020403914220282</v>
      </c>
      <c r="CZ198" s="60">
        <f t="shared" si="135"/>
        <v>0.62704393758675525</v>
      </c>
      <c r="DA198" s="60">
        <f t="shared" si="136"/>
        <v>0.62704393758675525</v>
      </c>
      <c r="DB198" s="32">
        <f t="shared" si="137"/>
        <v>0.91609410784926082</v>
      </c>
      <c r="DC198">
        <f t="shared" si="138"/>
        <v>6.0595020369868271</v>
      </c>
      <c r="DD198">
        <f t="shared" si="139"/>
        <v>6.6096147377124794E-3</v>
      </c>
      <c r="DE198">
        <f t="shared" si="140"/>
        <v>0.15501155422504434</v>
      </c>
      <c r="DF198">
        <f t="shared" si="141"/>
        <v>0.8383788310372432</v>
      </c>
      <c r="DG198">
        <f t="shared" si="142"/>
        <v>3.2488146700379028</v>
      </c>
      <c r="DH198">
        <f t="shared" si="143"/>
        <v>1.2327872788877692E-2</v>
      </c>
      <c r="DI198">
        <f t="shared" si="144"/>
        <v>0.19300698909348366</v>
      </c>
      <c r="DJ198">
        <f t="shared" si="145"/>
        <v>0.79466513811763873</v>
      </c>
      <c r="DK198" s="64">
        <f t="shared" si="146"/>
        <v>-5.9965253431089911</v>
      </c>
      <c r="DL198" s="64">
        <f t="shared" si="147"/>
        <v>-3.1858379761600668</v>
      </c>
      <c r="DM198" s="64">
        <f t="shared" si="148"/>
        <v>-5.9963108695665737</v>
      </c>
      <c r="DN198" s="64">
        <f t="shared" si="149"/>
        <v>-3.1856235026176498</v>
      </c>
      <c r="DO198" t="str">
        <f t="shared" si="150"/>
        <v>Sufficient Capacity</v>
      </c>
      <c r="DP198" t="str">
        <f t="shared" si="151"/>
        <v>Sufficient Capacity</v>
      </c>
    </row>
    <row r="199" spans="1:120" ht="15.75" x14ac:dyDescent="0.25">
      <c r="A199" s="2" t="s">
        <v>251</v>
      </c>
      <c r="B199" s="2" t="s">
        <v>251</v>
      </c>
      <c r="C199" s="2" t="s">
        <v>1101</v>
      </c>
      <c r="D199" s="2" t="s">
        <v>641</v>
      </c>
      <c r="E199" s="2" t="s">
        <v>641</v>
      </c>
      <c r="F199" s="2">
        <v>198</v>
      </c>
      <c r="G199" s="19" t="s">
        <v>1100</v>
      </c>
      <c r="H199" s="10" t="s">
        <v>656</v>
      </c>
      <c r="I199" s="2">
        <v>150</v>
      </c>
      <c r="J199" s="2">
        <v>65</v>
      </c>
      <c r="K199" s="12">
        <v>4</v>
      </c>
      <c r="L199" t="s">
        <v>425</v>
      </c>
      <c r="M199" s="2" t="s">
        <v>1120</v>
      </c>
      <c r="N199" s="2" t="s">
        <v>436</v>
      </c>
      <c r="O199" s="2" t="s">
        <v>666</v>
      </c>
      <c r="P199" s="2" t="s">
        <v>1132</v>
      </c>
      <c r="Q199" s="9" t="s">
        <v>722</v>
      </c>
      <c r="R199" s="2" t="str">
        <f t="shared" si="152"/>
        <v>CW_2_Section_2</v>
      </c>
      <c r="S199" s="2" t="str">
        <f t="shared" si="153"/>
        <v>CW_2_MF06</v>
      </c>
      <c r="T199" s="11" t="s">
        <v>1075</v>
      </c>
      <c r="U199" s="1">
        <v>46008</v>
      </c>
      <c r="V199" s="2" t="s">
        <v>799</v>
      </c>
      <c r="W199" s="2" t="s">
        <v>663</v>
      </c>
      <c r="X199" s="2" t="s">
        <v>1074</v>
      </c>
      <c r="Y199" s="2" t="str">
        <f t="shared" si="154"/>
        <v>T8_0.60-0.80</v>
      </c>
      <c r="Z199" t="s">
        <v>37</v>
      </c>
      <c r="AA199">
        <v>4.7</v>
      </c>
      <c r="AB199">
        <v>4.8</v>
      </c>
      <c r="AC199">
        <v>2.2999999999999998</v>
      </c>
      <c r="AD199" s="32">
        <f t="shared" si="104"/>
        <v>8.8336960696453718E-4</v>
      </c>
      <c r="AE199">
        <v>1.3</v>
      </c>
      <c r="AF199" s="32">
        <f t="shared" si="105"/>
        <v>5.0792272628608645E-4</v>
      </c>
      <c r="AG199">
        <v>5.5</v>
      </c>
      <c r="AH199" s="32">
        <f t="shared" si="106"/>
        <v>2.1757558632382028E-3</v>
      </c>
      <c r="AI199">
        <v>2.2000000000000002</v>
      </c>
      <c r="AJ199" s="32">
        <f t="shared" si="107"/>
        <v>8.7030234529528118E-4</v>
      </c>
      <c r="AK199">
        <v>0.2</v>
      </c>
      <c r="AL199" s="32">
        <f t="shared" si="108"/>
        <v>7.9118395026843739E-5</v>
      </c>
      <c r="AM199">
        <v>3.6</v>
      </c>
      <c r="AO199" s="49">
        <v>12.7</v>
      </c>
      <c r="AP199" s="49">
        <f t="shared" si="109"/>
        <v>3.5670481964888267E-3</v>
      </c>
      <c r="AQ199">
        <v>70</v>
      </c>
      <c r="AR199" s="32">
        <f t="shared" si="110"/>
        <v>2.6215182960131075E-2</v>
      </c>
      <c r="AS199" s="48">
        <v>93</v>
      </c>
      <c r="AT199" s="27">
        <f t="shared" si="111"/>
        <v>3.4828743075602714E-2</v>
      </c>
      <c r="AU199" s="48">
        <v>3.7</v>
      </c>
      <c r="AV199" s="27">
        <f t="shared" si="112"/>
        <v>1.3614560746435377E-3</v>
      </c>
      <c r="AW199" s="48">
        <v>1</v>
      </c>
      <c r="AX199" s="27">
        <f t="shared" si="113"/>
        <v>3.7611049867064392E-4</v>
      </c>
      <c r="AY199" s="48">
        <v>2.5</v>
      </c>
      <c r="AZ199" s="27">
        <f t="shared" si="114"/>
        <v>9.3249909758151843E-4</v>
      </c>
      <c r="BA199" s="48">
        <v>1.7</v>
      </c>
      <c r="BB199" s="27">
        <f t="shared" si="115"/>
        <v>6.295236492173035E-4</v>
      </c>
      <c r="BC199" s="48">
        <v>0.25</v>
      </c>
      <c r="BD199" s="27">
        <f t="shared" si="116"/>
        <v>9.2577007237838751E-5</v>
      </c>
      <c r="BE199" s="48">
        <v>0.03</v>
      </c>
      <c r="BF199" s="27">
        <f t="shared" si="117"/>
        <v>1.0976514215080345E-5</v>
      </c>
      <c r="BG199" s="48">
        <v>0.02</v>
      </c>
      <c r="BH199" s="27">
        <f t="shared" si="118"/>
        <v>7.3176761433868973E-6</v>
      </c>
      <c r="BI199" s="52">
        <f t="shared" si="119"/>
        <v>102.2</v>
      </c>
      <c r="BJ199" s="52">
        <f t="shared" si="120"/>
        <v>9.1999999999999993</v>
      </c>
      <c r="BK199" s="27">
        <f t="shared" si="121"/>
        <v>3.8239203593312024E-2</v>
      </c>
      <c r="BL199" s="27">
        <f t="shared" si="122"/>
        <v>3.41046051770931E-3</v>
      </c>
      <c r="BM199">
        <v>140</v>
      </c>
      <c r="BN199">
        <v>60</v>
      </c>
      <c r="BO199" t="s">
        <v>19</v>
      </c>
      <c r="BP199">
        <v>190</v>
      </c>
      <c r="BQ199">
        <v>49</v>
      </c>
      <c r="BR199" t="s">
        <v>443</v>
      </c>
      <c r="BS199">
        <v>0.21</v>
      </c>
      <c r="BT199">
        <v>2.61</v>
      </c>
      <c r="BU199">
        <v>10</v>
      </c>
      <c r="BV199">
        <v>-20</v>
      </c>
      <c r="BW199">
        <v>7.8</v>
      </c>
      <c r="BX199">
        <v>594</v>
      </c>
      <c r="BY199">
        <v>0.1</v>
      </c>
      <c r="BZ199">
        <v>0.01</v>
      </c>
      <c r="CA199" s="32">
        <v>1</v>
      </c>
      <c r="CB199" s="32">
        <f t="shared" si="123"/>
        <v>1.7905102954341987E-2</v>
      </c>
      <c r="CC199" s="32">
        <f t="shared" si="124"/>
        <v>1.7905102954341987E-2</v>
      </c>
      <c r="CD199" s="32">
        <v>0.05</v>
      </c>
      <c r="CE199" s="32">
        <f t="shared" si="125"/>
        <v>9.1024940833788468E-4</v>
      </c>
      <c r="CF199" s="32">
        <f t="shared" si="126"/>
        <v>1.8204988166757694E-3</v>
      </c>
      <c r="CG199" s="27">
        <v>35</v>
      </c>
      <c r="CH199" s="27">
        <f t="shared" si="127"/>
        <v>0.36435561107641057</v>
      </c>
      <c r="CI199" s="27">
        <f t="shared" si="128"/>
        <v>2.9148448886112845</v>
      </c>
      <c r="CJ199" s="58">
        <v>37</v>
      </c>
      <c r="CK199" s="58">
        <v>51.388888888888886</v>
      </c>
      <c r="CL199" s="58">
        <v>3.0814074536747866</v>
      </c>
      <c r="CM199" s="58">
        <v>3.0814074536747866</v>
      </c>
      <c r="CN199" s="28">
        <v>-1</v>
      </c>
      <c r="CO199" s="28">
        <v>-2.9411764705882351</v>
      </c>
      <c r="CP199" s="28">
        <v>-8.3281282531750989E-2</v>
      </c>
      <c r="CR199" s="32">
        <f t="shared" si="129"/>
        <v>21.508224026650009</v>
      </c>
      <c r="CS199" s="32">
        <v>21.508224026650009</v>
      </c>
      <c r="CT199" s="32">
        <f t="shared" si="130"/>
        <v>22.508224026650009</v>
      </c>
      <c r="CU199" s="32">
        <f t="shared" si="131"/>
        <v>0.40301206851656235</v>
      </c>
      <c r="CV199" s="32">
        <f t="shared" si="132"/>
        <v>0.40301206851656235</v>
      </c>
      <c r="CW199" s="60">
        <f t="shared" si="133"/>
        <v>-0.58130335207162187</v>
      </c>
      <c r="CY199" s="60">
        <f t="shared" si="134"/>
        <v>1</v>
      </c>
      <c r="CZ199" s="60">
        <f t="shared" si="135"/>
        <v>1.7905102954341987E-2</v>
      </c>
      <c r="DA199" s="60">
        <f t="shared" si="136"/>
        <v>1.7905102954341987E-2</v>
      </c>
      <c r="DB199" s="32">
        <f t="shared" si="137"/>
        <v>2.9148448886112845</v>
      </c>
      <c r="DC199">
        <f t="shared" si="138"/>
        <v>3.4862400210080247</v>
      </c>
      <c r="DD199">
        <f t="shared" si="139"/>
        <v>5.2219549018583738E-4</v>
      </c>
      <c r="DE199">
        <f t="shared" si="140"/>
        <v>0.11560078080912911</v>
      </c>
      <c r="DF199">
        <f t="shared" si="141"/>
        <v>0.8838770237006851</v>
      </c>
      <c r="DG199">
        <f t="shared" si="142"/>
        <v>1.9725601771017755E-2</v>
      </c>
      <c r="DH199">
        <f t="shared" si="143"/>
        <v>9.2291167479137418E-2</v>
      </c>
      <c r="DI199">
        <f t="shared" si="144"/>
        <v>0.90770883252086265</v>
      </c>
      <c r="DJ199">
        <f t="shared" si="145"/>
        <v>0</v>
      </c>
      <c r="DK199" s="64">
        <f t="shared" si="146"/>
        <v>-3.4564577898514046</v>
      </c>
      <c r="DL199" s="64">
        <f t="shared" si="147"/>
        <v>1.0056629385602148E-2</v>
      </c>
      <c r="DM199" s="64">
        <f t="shared" si="148"/>
        <v>-3.4530473293336956</v>
      </c>
      <c r="DN199" s="64">
        <f t="shared" si="149"/>
        <v>1.3467089903311458E-2</v>
      </c>
      <c r="DO199" t="str">
        <f t="shared" si="150"/>
        <v>Sufficient Capacity</v>
      </c>
      <c r="DP199" t="str">
        <f t="shared" si="151"/>
        <v>Insufficient Capacity</v>
      </c>
    </row>
    <row r="200" spans="1:120" ht="15.75" x14ac:dyDescent="0.25">
      <c r="A200" s="2" t="s">
        <v>252</v>
      </c>
      <c r="B200" s="2" t="s">
        <v>252</v>
      </c>
      <c r="C200" s="2" t="s">
        <v>1103</v>
      </c>
      <c r="D200" s="2" t="s">
        <v>642</v>
      </c>
      <c r="E200" s="2" t="s">
        <v>642</v>
      </c>
      <c r="F200" s="2">
        <v>199</v>
      </c>
      <c r="G200" s="19" t="s">
        <v>1102</v>
      </c>
      <c r="H200" s="10" t="s">
        <v>656</v>
      </c>
      <c r="I200" s="2">
        <v>150</v>
      </c>
      <c r="J200" s="2">
        <v>65</v>
      </c>
      <c r="K200" s="12">
        <v>7.4</v>
      </c>
      <c r="L200" t="s">
        <v>426</v>
      </c>
      <c r="M200" s="2" t="s">
        <v>1120</v>
      </c>
      <c r="N200" s="2" t="s">
        <v>436</v>
      </c>
      <c r="O200" s="2" t="s">
        <v>673</v>
      </c>
      <c r="P200" s="2" t="s">
        <v>1127</v>
      </c>
      <c r="Q200" s="9" t="s">
        <v>725</v>
      </c>
      <c r="R200" s="2" t="str">
        <f t="shared" si="152"/>
        <v>CW_2_Section_3</v>
      </c>
      <c r="S200" s="2" t="str">
        <f t="shared" si="153"/>
        <v>CW_2_MF09</v>
      </c>
      <c r="T200" s="11" t="s">
        <v>1075</v>
      </c>
      <c r="U200" s="1">
        <v>46008</v>
      </c>
      <c r="V200" s="2" t="s">
        <v>799</v>
      </c>
      <c r="W200" s="2" t="s">
        <v>655</v>
      </c>
      <c r="X200" s="2" t="s">
        <v>1074</v>
      </c>
      <c r="Y200" s="2" t="str">
        <f t="shared" si="154"/>
        <v>T8_0.15-0.30</v>
      </c>
      <c r="Z200" t="s">
        <v>45</v>
      </c>
      <c r="AA200">
        <v>18</v>
      </c>
      <c r="AB200">
        <v>18</v>
      </c>
      <c r="AC200">
        <v>59</v>
      </c>
      <c r="AD200" s="32">
        <f t="shared" si="104"/>
        <v>2.2660350787351173E-2</v>
      </c>
      <c r="AE200">
        <v>5.7</v>
      </c>
      <c r="AF200" s="32">
        <f t="shared" si="105"/>
        <v>2.2270457998697633E-3</v>
      </c>
      <c r="AG200">
        <v>59</v>
      </c>
      <c r="AH200" s="32">
        <f t="shared" si="106"/>
        <v>2.3339926532918904E-2</v>
      </c>
      <c r="AI200">
        <v>32</v>
      </c>
      <c r="AJ200" s="32">
        <f t="shared" si="107"/>
        <v>1.2658943204294998E-2</v>
      </c>
      <c r="AK200">
        <v>24</v>
      </c>
      <c r="AL200" s="32">
        <f t="shared" si="108"/>
        <v>9.4942074032212491E-3</v>
      </c>
      <c r="AM200">
        <v>56</v>
      </c>
      <c r="AO200" s="49">
        <v>179.7</v>
      </c>
      <c r="AP200" s="49">
        <f t="shared" si="109"/>
        <v>4.8227323120139845E-2</v>
      </c>
      <c r="AQ200">
        <v>620</v>
      </c>
      <c r="AR200" s="32">
        <f t="shared" si="110"/>
        <v>0.23219162050401809</v>
      </c>
      <c r="AS200" s="48">
        <v>470</v>
      </c>
      <c r="AT200" s="27">
        <f t="shared" si="111"/>
        <v>0.17601622844659437</v>
      </c>
      <c r="AU200" s="48">
        <v>0.16</v>
      </c>
      <c r="AV200" s="27">
        <f t="shared" si="112"/>
        <v>5.8873776200801628E-5</v>
      </c>
      <c r="AW200" s="48">
        <v>0.39</v>
      </c>
      <c r="AX200" s="27">
        <f t="shared" si="113"/>
        <v>1.4668309448155113E-4</v>
      </c>
      <c r="AY200" s="48">
        <v>7.0000000000000007E-2</v>
      </c>
      <c r="AZ200" s="27">
        <f t="shared" si="114"/>
        <v>2.6109974732282519E-5</v>
      </c>
      <c r="BA200" s="48">
        <v>0.03</v>
      </c>
      <c r="BB200" s="27">
        <f t="shared" si="115"/>
        <v>1.110924086854065E-5</v>
      </c>
      <c r="BC200" s="48">
        <v>1E-3</v>
      </c>
      <c r="BD200" s="27">
        <f t="shared" si="116"/>
        <v>3.7030802895135499E-7</v>
      </c>
      <c r="BE200" s="48">
        <v>1E-3</v>
      </c>
      <c r="BF200" s="27">
        <f t="shared" si="117"/>
        <v>3.6588380716934485E-7</v>
      </c>
      <c r="BG200" s="48">
        <v>2E-3</v>
      </c>
      <c r="BH200" s="27">
        <f t="shared" si="118"/>
        <v>7.3176761433868969E-7</v>
      </c>
      <c r="BI200" s="52">
        <f t="shared" si="119"/>
        <v>470.65399999999994</v>
      </c>
      <c r="BJ200" s="52">
        <f t="shared" si="120"/>
        <v>0.65400000000000014</v>
      </c>
      <c r="BK200" s="27">
        <f t="shared" si="121"/>
        <v>0.17626047249232801</v>
      </c>
      <c r="BL200" s="27">
        <f t="shared" si="122"/>
        <v>2.4424404573363532E-4</v>
      </c>
      <c r="BM200">
        <v>1200</v>
      </c>
      <c r="BN200">
        <v>2.5</v>
      </c>
      <c r="BO200" t="s">
        <v>19</v>
      </c>
      <c r="BP200">
        <v>1200</v>
      </c>
      <c r="BQ200">
        <v>65</v>
      </c>
      <c r="BR200" t="s">
        <v>443</v>
      </c>
      <c r="BS200">
        <v>1</v>
      </c>
      <c r="BT200">
        <v>7.62</v>
      </c>
      <c r="BU200">
        <v>10</v>
      </c>
      <c r="BV200">
        <v>88</v>
      </c>
      <c r="BW200">
        <v>7.6</v>
      </c>
      <c r="BX200">
        <v>1325</v>
      </c>
      <c r="BY200">
        <v>0.1</v>
      </c>
      <c r="BZ200">
        <v>0.01</v>
      </c>
      <c r="CA200" s="32">
        <v>32</v>
      </c>
      <c r="CB200" s="32">
        <f t="shared" si="123"/>
        <v>0.57296329453894357</v>
      </c>
      <c r="CC200" s="32">
        <f t="shared" si="124"/>
        <v>0.57296329453894357</v>
      </c>
      <c r="CD200" s="32">
        <v>5.8</v>
      </c>
      <c r="CE200" s="32">
        <f t="shared" si="125"/>
        <v>0.10558893136719461</v>
      </c>
      <c r="CF200" s="32">
        <f t="shared" si="126"/>
        <v>0.21117786273438921</v>
      </c>
      <c r="CG200" s="27">
        <v>0.5</v>
      </c>
      <c r="CH200" s="27">
        <f t="shared" si="127"/>
        <v>5.2050801582344368E-3</v>
      </c>
      <c r="CI200" s="27">
        <f t="shared" si="128"/>
        <v>4.1640641265875494E-2</v>
      </c>
      <c r="CJ200" s="58">
        <v>71.5</v>
      </c>
      <c r="CK200" s="58">
        <v>99.305555555555557</v>
      </c>
      <c r="CL200" s="58">
        <v>5.9546117010201955</v>
      </c>
      <c r="CM200" s="58">
        <v>5.9546117010201955</v>
      </c>
      <c r="CN200" s="28">
        <v>10.5</v>
      </c>
      <c r="CO200" s="28">
        <v>95.454545454545453</v>
      </c>
      <c r="CP200" s="28">
        <v>0.87445346658338541</v>
      </c>
      <c r="CQ200" s="28">
        <v>0.87445346658338541</v>
      </c>
      <c r="CR200" s="32">
        <f t="shared" si="129"/>
        <v>41.563189673120966</v>
      </c>
      <c r="CS200" s="32">
        <v>41.563189673120966</v>
      </c>
      <c r="CT200" s="32">
        <f t="shared" si="130"/>
        <v>73.563189673120974</v>
      </c>
      <c r="CU200" s="32">
        <f t="shared" si="131"/>
        <v>1.3171564847470183</v>
      </c>
      <c r="CV200" s="32">
        <f t="shared" si="132"/>
        <v>1.3171564847470183</v>
      </c>
      <c r="CW200" s="60">
        <f t="shared" si="133"/>
        <v>6.1036851967520294</v>
      </c>
      <c r="CX200" s="60">
        <v>6.1036851967520294</v>
      </c>
      <c r="CY200" s="60">
        <f t="shared" si="134"/>
        <v>38.103685196752032</v>
      </c>
      <c r="CZ200" s="60">
        <f t="shared" si="135"/>
        <v>0.68225040638768186</v>
      </c>
      <c r="DA200" s="60">
        <f t="shared" si="136"/>
        <v>0.68225040638768186</v>
      </c>
      <c r="DB200" s="32">
        <f t="shared" si="137"/>
        <v>4.1640641265875494E-2</v>
      </c>
      <c r="DC200">
        <f t="shared" si="138"/>
        <v>7.4829460485016028</v>
      </c>
      <c r="DD200">
        <f t="shared" si="139"/>
        <v>2.82212194723328E-2</v>
      </c>
      <c r="DE200">
        <f t="shared" si="140"/>
        <v>0.1760211120339118</v>
      </c>
      <c r="DF200">
        <f t="shared" si="141"/>
        <v>0.7957576684937554</v>
      </c>
      <c r="DG200">
        <f t="shared" si="142"/>
        <v>1.7678817357054566</v>
      </c>
      <c r="DH200">
        <f t="shared" si="143"/>
        <v>0.11945248286086324</v>
      </c>
      <c r="DI200">
        <f t="shared" si="144"/>
        <v>0.38591405330370487</v>
      </c>
      <c r="DJ200">
        <f t="shared" si="145"/>
        <v>0.49463346383543183</v>
      </c>
      <c r="DK200" s="64">
        <f t="shared" si="146"/>
        <v>-7.2025271048774453</v>
      </c>
      <c r="DL200" s="64">
        <f t="shared" si="147"/>
        <v>-1.4874627920812986</v>
      </c>
      <c r="DM200" s="64">
        <f t="shared" si="148"/>
        <v>-7.2022828608317111</v>
      </c>
      <c r="DN200" s="64">
        <f t="shared" si="149"/>
        <v>-1.4872185480355651</v>
      </c>
      <c r="DO200" t="str">
        <f t="shared" si="150"/>
        <v>Sufficient Capacity</v>
      </c>
      <c r="DP200" t="str">
        <f t="shared" si="151"/>
        <v>Sufficient Capacity</v>
      </c>
    </row>
    <row r="201" spans="1:120" ht="15.75" x14ac:dyDescent="0.25">
      <c r="A201" s="2" t="s">
        <v>253</v>
      </c>
      <c r="B201" s="2" t="s">
        <v>253</v>
      </c>
      <c r="C201" s="2" t="s">
        <v>1105</v>
      </c>
      <c r="D201" s="2" t="s">
        <v>643</v>
      </c>
      <c r="E201" s="2" t="s">
        <v>643</v>
      </c>
      <c r="F201" s="2">
        <v>200</v>
      </c>
      <c r="G201" s="19" t="s">
        <v>1104</v>
      </c>
      <c r="H201" s="10" t="s">
        <v>656</v>
      </c>
      <c r="I201" s="2">
        <v>150</v>
      </c>
      <c r="J201" s="2">
        <v>65</v>
      </c>
      <c r="K201" s="12">
        <v>4.5</v>
      </c>
      <c r="L201" t="s">
        <v>427</v>
      </c>
      <c r="M201" s="2" t="s">
        <v>1120</v>
      </c>
      <c r="N201" s="2" t="s">
        <v>436</v>
      </c>
      <c r="O201" s="2" t="s">
        <v>673</v>
      </c>
      <c r="P201" s="2" t="s">
        <v>1128</v>
      </c>
      <c r="Q201" s="9" t="s">
        <v>728</v>
      </c>
      <c r="R201" s="2" t="str">
        <f t="shared" si="152"/>
        <v>CW_2_Section_3</v>
      </c>
      <c r="S201" s="2" t="str">
        <f t="shared" si="153"/>
        <v>CW_2_MF10</v>
      </c>
      <c r="T201" s="11" t="s">
        <v>1075</v>
      </c>
      <c r="U201" s="1">
        <v>46008</v>
      </c>
      <c r="V201" s="2" t="s">
        <v>799</v>
      </c>
      <c r="W201" s="2" t="s">
        <v>663</v>
      </c>
      <c r="X201" s="2" t="s">
        <v>1074</v>
      </c>
      <c r="Y201" s="2" t="str">
        <f t="shared" si="154"/>
        <v>T8_0.60-0.80</v>
      </c>
      <c r="Z201" t="s">
        <v>47</v>
      </c>
      <c r="AA201">
        <v>5.4</v>
      </c>
      <c r="AB201">
        <v>5.6</v>
      </c>
      <c r="AC201">
        <v>21</v>
      </c>
      <c r="AD201" s="32">
        <f t="shared" si="104"/>
        <v>8.0655485853283818E-3</v>
      </c>
      <c r="AE201">
        <v>3.6</v>
      </c>
      <c r="AF201" s="32">
        <f t="shared" si="105"/>
        <v>1.4065552420230085E-3</v>
      </c>
      <c r="AG201">
        <v>33</v>
      </c>
      <c r="AH201" s="32">
        <f t="shared" si="106"/>
        <v>1.3054535179429217E-2</v>
      </c>
      <c r="AI201">
        <v>11</v>
      </c>
      <c r="AJ201" s="32">
        <f t="shared" si="107"/>
        <v>4.3515117264764057E-3</v>
      </c>
      <c r="AK201">
        <v>9</v>
      </c>
      <c r="AL201" s="32">
        <f t="shared" si="108"/>
        <v>3.5603277762079684E-3</v>
      </c>
      <c r="AM201">
        <v>20</v>
      </c>
      <c r="AO201" s="49">
        <v>77.599999999999994</v>
      </c>
      <c r="AP201" s="49">
        <f t="shared" si="109"/>
        <v>2.2526639006780605E-2</v>
      </c>
      <c r="AQ201">
        <v>250</v>
      </c>
      <c r="AR201" s="32">
        <f t="shared" si="110"/>
        <v>9.3625653429039557E-2</v>
      </c>
      <c r="AS201" s="48">
        <v>200</v>
      </c>
      <c r="AT201" s="27">
        <f t="shared" si="111"/>
        <v>7.490052274323164E-2</v>
      </c>
      <c r="AU201" s="48">
        <v>2.6</v>
      </c>
      <c r="AV201" s="27">
        <f t="shared" si="112"/>
        <v>9.5669886326302657E-4</v>
      </c>
      <c r="AW201" s="48">
        <v>39</v>
      </c>
      <c r="AX201" s="27">
        <f t="shared" si="113"/>
        <v>1.4668309448155115E-2</v>
      </c>
      <c r="AY201" s="48">
        <v>1</v>
      </c>
      <c r="AZ201" s="27">
        <f t="shared" si="114"/>
        <v>3.7299963903260737E-4</v>
      </c>
      <c r="BA201" s="48">
        <v>4.0999999999999996</v>
      </c>
      <c r="BB201" s="27">
        <f t="shared" si="115"/>
        <v>1.5182629187005553E-3</v>
      </c>
      <c r="BC201" s="48">
        <v>0.5</v>
      </c>
      <c r="BD201" s="27">
        <f t="shared" si="116"/>
        <v>1.851540144756775E-4</v>
      </c>
      <c r="BE201" s="48">
        <v>0.04</v>
      </c>
      <c r="BF201" s="27">
        <f t="shared" si="117"/>
        <v>1.4635352286773795E-5</v>
      </c>
      <c r="BG201" s="48">
        <v>0.02</v>
      </c>
      <c r="BH201" s="27">
        <f t="shared" si="118"/>
        <v>7.3176761433868973E-6</v>
      </c>
      <c r="BI201" s="52">
        <f t="shared" si="119"/>
        <v>247.26</v>
      </c>
      <c r="BJ201" s="52">
        <f t="shared" si="120"/>
        <v>47.260000000000005</v>
      </c>
      <c r="BK201" s="27">
        <f t="shared" si="121"/>
        <v>9.2623900655288763E-2</v>
      </c>
      <c r="BL201" s="27">
        <f t="shared" si="122"/>
        <v>1.7723377912057144E-2</v>
      </c>
      <c r="BM201">
        <v>490</v>
      </c>
      <c r="BN201">
        <v>300</v>
      </c>
      <c r="BO201" t="s">
        <v>19</v>
      </c>
      <c r="BP201">
        <v>800</v>
      </c>
      <c r="BQ201">
        <v>46</v>
      </c>
      <c r="BR201" t="s">
        <v>443</v>
      </c>
      <c r="BS201">
        <v>0.24</v>
      </c>
      <c r="BT201">
        <v>0.85</v>
      </c>
      <c r="BU201">
        <v>10</v>
      </c>
      <c r="BV201">
        <v>-24</v>
      </c>
      <c r="BW201">
        <v>7.6</v>
      </c>
      <c r="BX201">
        <v>703</v>
      </c>
      <c r="BY201">
        <v>0.1</v>
      </c>
      <c r="BZ201">
        <v>0.01</v>
      </c>
      <c r="CA201" s="32">
        <v>3.4</v>
      </c>
      <c r="CB201" s="32">
        <f t="shared" si="123"/>
        <v>6.0877350044762753E-2</v>
      </c>
      <c r="CC201" s="32">
        <f t="shared" si="124"/>
        <v>6.0877350044762753E-2</v>
      </c>
      <c r="CD201" s="32">
        <v>1.8</v>
      </c>
      <c r="CE201" s="32">
        <f t="shared" si="125"/>
        <v>3.2768978700163848E-2</v>
      </c>
      <c r="CF201" s="32">
        <f t="shared" si="126"/>
        <v>6.5537957400327695E-2</v>
      </c>
      <c r="CG201" s="27">
        <v>35</v>
      </c>
      <c r="CH201" s="27">
        <f t="shared" si="127"/>
        <v>0.36435561107641057</v>
      </c>
      <c r="CI201" s="27">
        <f t="shared" si="128"/>
        <v>2.9148448886112845</v>
      </c>
      <c r="CJ201" s="58">
        <v>37</v>
      </c>
      <c r="CK201" s="58">
        <v>51.388888888888886</v>
      </c>
      <c r="CL201" s="58">
        <v>3.0814074536747866</v>
      </c>
      <c r="CM201" s="58">
        <v>3.0814074536747866</v>
      </c>
      <c r="CN201" s="28">
        <v>0</v>
      </c>
      <c r="CO201" s="28">
        <v>0</v>
      </c>
      <c r="CP201" s="28">
        <v>0</v>
      </c>
      <c r="CQ201" s="28">
        <v>0</v>
      </c>
      <c r="CR201" s="32">
        <f t="shared" si="129"/>
        <v>21.508224026650009</v>
      </c>
      <c r="CS201" s="32">
        <v>21.508224026650009</v>
      </c>
      <c r="CT201" s="32">
        <f t="shared" si="130"/>
        <v>24.908224026650007</v>
      </c>
      <c r="CU201" s="32">
        <f t="shared" si="131"/>
        <v>0.44598431560698309</v>
      </c>
      <c r="CV201" s="32">
        <f t="shared" si="132"/>
        <v>0.44598431560698309</v>
      </c>
      <c r="CW201" s="60">
        <f t="shared" si="133"/>
        <v>0</v>
      </c>
      <c r="CX201" s="60">
        <v>0</v>
      </c>
      <c r="CY201" s="60">
        <f t="shared" si="134"/>
        <v>3.4</v>
      </c>
      <c r="CZ201" s="60">
        <f t="shared" si="135"/>
        <v>6.0877350044762753E-2</v>
      </c>
      <c r="DA201" s="60">
        <f t="shared" si="136"/>
        <v>6.0877350044762753E-2</v>
      </c>
      <c r="DB201" s="32">
        <f t="shared" si="137"/>
        <v>2.9148448886112845</v>
      </c>
      <c r="DC201">
        <f t="shared" si="138"/>
        <v>3.5929297266820974</v>
      </c>
      <c r="DD201">
        <f t="shared" si="139"/>
        <v>1.8240812480585011E-2</v>
      </c>
      <c r="DE201">
        <f t="shared" si="140"/>
        <v>0.12412831575718815</v>
      </c>
      <c r="DF201">
        <f t="shared" si="141"/>
        <v>0.85763087176222685</v>
      </c>
      <c r="DG201">
        <f t="shared" si="142"/>
        <v>0.12641530744509044</v>
      </c>
      <c r="DH201">
        <f t="shared" si="143"/>
        <v>0.51843371443600417</v>
      </c>
      <c r="DI201">
        <f t="shared" si="144"/>
        <v>0.48156628556399583</v>
      </c>
      <c r="DJ201">
        <f t="shared" si="145"/>
        <v>0</v>
      </c>
      <c r="DK201" s="64">
        <f t="shared" si="146"/>
        <v>-3.4767774342462774</v>
      </c>
      <c r="DL201" s="64">
        <f t="shared" si="147"/>
        <v>-1.0263015009270279E-2</v>
      </c>
      <c r="DM201" s="64">
        <f t="shared" si="148"/>
        <v>-3.45905405633422</v>
      </c>
      <c r="DN201" s="64">
        <f t="shared" si="149"/>
        <v>7.4603629027868712E-3</v>
      </c>
      <c r="DO201" t="str">
        <f t="shared" si="150"/>
        <v>Sufficient Capacity</v>
      </c>
      <c r="DP201" t="str">
        <f t="shared" si="151"/>
        <v>Insufficient Capacity</v>
      </c>
    </row>
    <row r="202" spans="1:120" ht="15.75" x14ac:dyDescent="0.25">
      <c r="A202" s="2" t="s">
        <v>254</v>
      </c>
      <c r="B202" s="2" t="s">
        <v>254</v>
      </c>
      <c r="C202" s="2" t="s">
        <v>1107</v>
      </c>
      <c r="D202" s="2" t="s">
        <v>644</v>
      </c>
      <c r="E202" s="2" t="s">
        <v>644</v>
      </c>
      <c r="F202" s="2">
        <v>201</v>
      </c>
      <c r="G202" s="19" t="s">
        <v>1106</v>
      </c>
      <c r="H202" s="10" t="s">
        <v>656</v>
      </c>
      <c r="I202" s="2">
        <v>150</v>
      </c>
      <c r="J202" s="2">
        <v>65</v>
      </c>
      <c r="K202" s="12">
        <v>6.45</v>
      </c>
      <c r="L202" t="s">
        <v>428</v>
      </c>
      <c r="M202" s="2" t="s">
        <v>1120</v>
      </c>
      <c r="N202" s="2" t="s">
        <v>437</v>
      </c>
      <c r="O202" s="2" t="s">
        <v>653</v>
      </c>
      <c r="P202" s="2" t="s">
        <v>1123</v>
      </c>
      <c r="Q202" s="9" t="s">
        <v>731</v>
      </c>
      <c r="R202" s="2" t="str">
        <f t="shared" si="152"/>
        <v>CW_3_Section_1</v>
      </c>
      <c r="S202" s="2" t="str">
        <f t="shared" si="153"/>
        <v>CW_3_MF01</v>
      </c>
      <c r="T202" s="11" t="s">
        <v>1075</v>
      </c>
      <c r="U202" s="1">
        <v>46008</v>
      </c>
      <c r="V202" s="2" t="s">
        <v>799</v>
      </c>
      <c r="W202" s="2" t="s">
        <v>655</v>
      </c>
      <c r="X202" s="2" t="s">
        <v>1074</v>
      </c>
      <c r="Y202" s="2" t="str">
        <f t="shared" si="154"/>
        <v>T8_0.15-0.30</v>
      </c>
      <c r="Z202" t="s">
        <v>51</v>
      </c>
      <c r="AA202">
        <v>12</v>
      </c>
      <c r="AB202">
        <v>13</v>
      </c>
      <c r="AC202">
        <v>380</v>
      </c>
      <c r="AD202" s="32">
        <f t="shared" si="104"/>
        <v>0.14594802202022789</v>
      </c>
      <c r="AE202">
        <v>15</v>
      </c>
      <c r="AF202" s="32">
        <f t="shared" si="105"/>
        <v>5.8606468417625353E-3</v>
      </c>
      <c r="AG202">
        <v>150</v>
      </c>
      <c r="AH202" s="32">
        <f t="shared" si="106"/>
        <v>5.9338796270132804E-2</v>
      </c>
      <c r="AI202">
        <v>40</v>
      </c>
      <c r="AJ202" s="32">
        <f t="shared" si="107"/>
        <v>1.5823679005368747E-2</v>
      </c>
      <c r="AK202">
        <v>2</v>
      </c>
      <c r="AL202" s="32">
        <f t="shared" si="108"/>
        <v>7.9118395026843739E-4</v>
      </c>
      <c r="AM202">
        <v>54</v>
      </c>
      <c r="AO202" s="49">
        <v>599</v>
      </c>
      <c r="AP202" s="49">
        <f t="shared" si="109"/>
        <v>0.21114746513212324</v>
      </c>
      <c r="AQ202">
        <v>1400</v>
      </c>
      <c r="AR202" s="32">
        <f t="shared" si="110"/>
        <v>0.52430365920262156</v>
      </c>
      <c r="AS202" s="48">
        <v>1000</v>
      </c>
      <c r="AT202" s="27">
        <f t="shared" si="111"/>
        <v>0.37450261371615823</v>
      </c>
      <c r="AU202" s="48">
        <v>0.2</v>
      </c>
      <c r="AV202" s="27">
        <f t="shared" si="112"/>
        <v>7.3592220251002044E-5</v>
      </c>
      <c r="AW202" s="48">
        <v>0.16</v>
      </c>
      <c r="AX202" s="27">
        <f t="shared" si="113"/>
        <v>6.0177679787303031E-5</v>
      </c>
      <c r="AY202" s="48">
        <v>5.0000000000000001E-3</v>
      </c>
      <c r="AZ202" s="27">
        <f t="shared" si="114"/>
        <v>1.8649981951630372E-6</v>
      </c>
      <c r="BA202" s="48">
        <v>0.02</v>
      </c>
      <c r="BB202" s="27">
        <f t="shared" si="115"/>
        <v>7.4061605790270997E-6</v>
      </c>
      <c r="BC202" s="48">
        <v>1E-3</v>
      </c>
      <c r="BD202" s="27">
        <f t="shared" si="116"/>
        <v>3.7030802895135499E-7</v>
      </c>
      <c r="BE202" s="48">
        <v>1E-3</v>
      </c>
      <c r="BF202" s="27">
        <f t="shared" si="117"/>
        <v>3.6588380716934485E-7</v>
      </c>
      <c r="BG202" s="48">
        <v>2E-3</v>
      </c>
      <c r="BH202" s="27">
        <f t="shared" si="118"/>
        <v>7.3176761433868969E-7</v>
      </c>
      <c r="BI202" s="52">
        <f t="shared" si="119"/>
        <v>1000.3889999999999</v>
      </c>
      <c r="BJ202" s="52">
        <f t="shared" si="120"/>
        <v>0.38900000000000001</v>
      </c>
      <c r="BK202" s="27">
        <f t="shared" si="121"/>
        <v>0.37464712273442119</v>
      </c>
      <c r="BL202" s="27">
        <f t="shared" si="122"/>
        <v>1.4450901826295462E-4</v>
      </c>
      <c r="BM202">
        <v>2200</v>
      </c>
      <c r="BN202">
        <v>25</v>
      </c>
      <c r="BO202" t="s">
        <v>19</v>
      </c>
      <c r="BP202">
        <v>2200</v>
      </c>
      <c r="BQ202">
        <v>68</v>
      </c>
      <c r="BR202" t="s">
        <v>443</v>
      </c>
      <c r="BS202">
        <v>0.7</v>
      </c>
      <c r="BT202">
        <v>6.01</v>
      </c>
      <c r="BU202">
        <v>9</v>
      </c>
      <c r="BV202">
        <v>33</v>
      </c>
      <c r="BW202">
        <v>7.3</v>
      </c>
      <c r="BX202">
        <v>1081</v>
      </c>
      <c r="BY202">
        <v>0.1</v>
      </c>
      <c r="BZ202">
        <v>0.01</v>
      </c>
      <c r="CA202" s="32">
        <v>15</v>
      </c>
      <c r="CB202" s="32">
        <f t="shared" si="123"/>
        <v>0.26857654431512978</v>
      </c>
      <c r="CC202" s="32">
        <f t="shared" si="124"/>
        <v>0.26857654431512978</v>
      </c>
      <c r="CD202" s="32">
        <v>2.2000000000000002</v>
      </c>
      <c r="CE202" s="32">
        <f t="shared" si="125"/>
        <v>4.0050973966866923E-2</v>
      </c>
      <c r="CF202" s="32">
        <f t="shared" si="126"/>
        <v>8.0101947933733847E-2</v>
      </c>
      <c r="CG202" s="27">
        <v>0.5</v>
      </c>
      <c r="CH202" s="27">
        <f t="shared" si="127"/>
        <v>5.2050801582344368E-3</v>
      </c>
      <c r="CI202" s="27">
        <f t="shared" si="128"/>
        <v>4.1640641265875494E-2</v>
      </c>
      <c r="CJ202" s="58">
        <v>71.5</v>
      </c>
      <c r="CK202" s="58">
        <v>99.305555555555557</v>
      </c>
      <c r="CL202" s="58">
        <v>5.9546117010201955</v>
      </c>
      <c r="CM202" s="58">
        <v>5.9546117010201955</v>
      </c>
      <c r="CN202" s="28">
        <v>71.5</v>
      </c>
      <c r="CO202" s="28">
        <v>99.305555555555557</v>
      </c>
      <c r="CP202" s="28">
        <v>5.9546117010201955</v>
      </c>
      <c r="CQ202" s="28">
        <v>5.9546117010201955</v>
      </c>
      <c r="CR202" s="32">
        <f t="shared" si="129"/>
        <v>41.563189673120966</v>
      </c>
      <c r="CS202" s="32">
        <v>41.563189673120966</v>
      </c>
      <c r="CT202" s="32">
        <f t="shared" si="130"/>
        <v>56.563189673120966</v>
      </c>
      <c r="CU202" s="32">
        <f t="shared" si="131"/>
        <v>1.0127697345232043</v>
      </c>
      <c r="CV202" s="32">
        <f t="shared" si="132"/>
        <v>1.0127697345232043</v>
      </c>
      <c r="CW202" s="60">
        <f t="shared" si="133"/>
        <v>41.563189673120966</v>
      </c>
      <c r="CX202" s="60">
        <v>41.563189673120966</v>
      </c>
      <c r="CY202" s="60">
        <f t="shared" si="134"/>
        <v>56.563189673120966</v>
      </c>
      <c r="CZ202" s="60">
        <f t="shared" si="135"/>
        <v>1.0127697345232043</v>
      </c>
      <c r="DA202" s="60">
        <f t="shared" si="136"/>
        <v>1.0127697345232043</v>
      </c>
      <c r="DB202" s="32">
        <f t="shared" si="137"/>
        <v>4.1640641265875494E-2</v>
      </c>
      <c r="DC202">
        <f t="shared" si="138"/>
        <v>7.0474833834771342</v>
      </c>
      <c r="DD202">
        <f t="shared" si="139"/>
        <v>1.1366035728659301E-2</v>
      </c>
      <c r="DE202">
        <f t="shared" si="140"/>
        <v>0.14370657998252948</v>
      </c>
      <c r="DF202">
        <f t="shared" si="141"/>
        <v>0.84492738428881109</v>
      </c>
      <c r="DG202">
        <f t="shared" si="142"/>
        <v>7.0474833834771342</v>
      </c>
      <c r="DH202">
        <f t="shared" si="143"/>
        <v>1.1366035728659301E-2</v>
      </c>
      <c r="DI202">
        <f t="shared" si="144"/>
        <v>0.14370657998252948</v>
      </c>
      <c r="DJ202">
        <f t="shared" si="145"/>
        <v>0.84492738428881109</v>
      </c>
      <c r="DK202" s="64">
        <f t="shared" si="146"/>
        <v>-6.3120322591423896</v>
      </c>
      <c r="DL202" s="64">
        <f t="shared" si="147"/>
        <v>-6.3120322591423896</v>
      </c>
      <c r="DM202" s="64">
        <f t="shared" si="148"/>
        <v>-6.3118877501241268</v>
      </c>
      <c r="DN202" s="64">
        <f t="shared" si="149"/>
        <v>-6.3118877501241268</v>
      </c>
      <c r="DO202" t="str">
        <f t="shared" si="150"/>
        <v>Sufficient Capacity</v>
      </c>
      <c r="DP202" t="str">
        <f t="shared" si="151"/>
        <v>Sufficient Capacity</v>
      </c>
    </row>
    <row r="203" spans="1:120" ht="15.75" x14ac:dyDescent="0.25">
      <c r="A203" s="2" t="s">
        <v>255</v>
      </c>
      <c r="B203" s="2" t="s">
        <v>255</v>
      </c>
      <c r="C203" s="2" t="s">
        <v>1109</v>
      </c>
      <c r="D203" s="2" t="s">
        <v>645</v>
      </c>
      <c r="E203" s="2" t="s">
        <v>645</v>
      </c>
      <c r="F203" s="2">
        <v>202</v>
      </c>
      <c r="G203" s="19" t="s">
        <v>1108</v>
      </c>
      <c r="H203" s="10" t="s">
        <v>656</v>
      </c>
      <c r="I203" s="2">
        <v>150</v>
      </c>
      <c r="J203" s="2">
        <v>65</v>
      </c>
      <c r="K203" s="12">
        <v>4</v>
      </c>
      <c r="L203" t="s">
        <v>429</v>
      </c>
      <c r="M203" s="2" t="s">
        <v>1120</v>
      </c>
      <c r="N203" s="2" t="s">
        <v>437</v>
      </c>
      <c r="O203" s="2" t="s">
        <v>653</v>
      </c>
      <c r="P203" s="2" t="s">
        <v>1124</v>
      </c>
      <c r="Q203" s="9" t="s">
        <v>734</v>
      </c>
      <c r="R203" s="2" t="str">
        <f t="shared" si="152"/>
        <v>CW_3_Section_1</v>
      </c>
      <c r="S203" s="2" t="str">
        <f t="shared" si="153"/>
        <v>CW_3_MF02</v>
      </c>
      <c r="T203" s="11" t="s">
        <v>1075</v>
      </c>
      <c r="U203" s="1">
        <v>46008</v>
      </c>
      <c r="V203" s="2" t="s">
        <v>799</v>
      </c>
      <c r="W203" s="2" t="s">
        <v>663</v>
      </c>
      <c r="X203" s="2" t="s">
        <v>1074</v>
      </c>
      <c r="Y203" s="2" t="str">
        <f t="shared" si="154"/>
        <v>T8_0.60-0.80</v>
      </c>
      <c r="Z203" t="s">
        <v>53</v>
      </c>
      <c r="AA203">
        <v>15</v>
      </c>
      <c r="AB203">
        <v>17</v>
      </c>
      <c r="AC203">
        <v>820</v>
      </c>
      <c r="AD203" s="32">
        <f t="shared" ref="AD203:AD207" si="155">($AC203/78110)*30</f>
        <v>0.31494046856996544</v>
      </c>
      <c r="AE203">
        <v>180</v>
      </c>
      <c r="AF203" s="32">
        <f t="shared" ref="AF203:AF207" si="156">($AE203/92140)*36</f>
        <v>7.0327762101150423E-2</v>
      </c>
      <c r="AG203">
        <v>580</v>
      </c>
      <c r="AH203" s="32">
        <f t="shared" ref="AH203:AH207" si="157">($AG203/106170)*42</f>
        <v>0.22944334557784687</v>
      </c>
      <c r="AI203">
        <v>230</v>
      </c>
      <c r="AJ203" s="32">
        <f t="shared" ref="AJ203:AJ207" si="158">($AI203/106170)*42</f>
        <v>9.0986154280870299E-2</v>
      </c>
      <c r="AK203">
        <v>260</v>
      </c>
      <c r="AL203" s="32">
        <f t="shared" ref="AL203:AL207" si="159">($AK203/106170)*42</f>
        <v>0.10285391353489687</v>
      </c>
      <c r="AM203">
        <v>490</v>
      </c>
      <c r="AO203" s="49">
        <v>2070</v>
      </c>
      <c r="AP203" s="49">
        <f t="shared" ref="AP203:AP207" si="160">$AD203+$AF203+$AH203+$AN203</f>
        <v>0.61471157624896278</v>
      </c>
      <c r="AQ203">
        <v>2200</v>
      </c>
      <c r="AR203" s="32">
        <f t="shared" ref="AR203:AR207" si="161">($AQ203/128170)*48</f>
        <v>0.82390575017554801</v>
      </c>
      <c r="AS203" s="48">
        <v>2300</v>
      </c>
      <c r="AT203" s="27">
        <f t="shared" ref="AT203:AT207" si="162">($AS203/128170)*48</f>
        <v>0.8613560115471639</v>
      </c>
      <c r="AU203" s="48">
        <v>4</v>
      </c>
      <c r="AV203" s="27">
        <f t="shared" ref="AV203:AV207" si="163">($AU203/152190)*56</f>
        <v>1.4718444050200407E-3</v>
      </c>
      <c r="AW203" s="48">
        <v>130</v>
      </c>
      <c r="AX203" s="27">
        <f t="shared" ref="AX203:AX207" si="164">($AW203/154210)*58</f>
        <v>4.8894364827183713E-2</v>
      </c>
      <c r="AY203" s="48">
        <v>35</v>
      </c>
      <c r="AZ203" s="27">
        <f t="shared" ref="AZ203:AZ207" si="165">($AY203/166220)*62</f>
        <v>1.3054987366141258E-2</v>
      </c>
      <c r="BA203" s="48">
        <v>21</v>
      </c>
      <c r="BB203" s="27">
        <f t="shared" ref="BB203:BB207" si="166">($BA203/178230)*66</f>
        <v>7.7764686079784548E-3</v>
      </c>
      <c r="BC203" s="48">
        <v>0.4</v>
      </c>
      <c r="BD203" s="27">
        <f t="shared" ref="BD203:BD207" si="167">($BC203/178230)*66</f>
        <v>1.4812321158054199E-4</v>
      </c>
      <c r="BE203" s="48">
        <v>0.83</v>
      </c>
      <c r="BF203" s="27">
        <f t="shared" ref="BF203:BF207" si="168">($BE203/202250)*74</f>
        <v>3.0368355995055626E-4</v>
      </c>
      <c r="BG203" s="48">
        <v>0.86</v>
      </c>
      <c r="BH203" s="27">
        <f t="shared" ref="BH203:BH207" si="169">($BG203/202250)*74</f>
        <v>3.146600741656366E-4</v>
      </c>
      <c r="BI203" s="52">
        <f t="shared" ref="BI203:BI207" si="170">$AS203+$AU203+$AW203+$AY203+$BA203+$BC203+$BE203+$BG203</f>
        <v>2492.09</v>
      </c>
      <c r="BJ203" s="52">
        <f t="shared" ref="BJ203:BJ206" si="171">$AU203+$AW203+$AY203+$BA203+$BC203+$BE203+$BG203</f>
        <v>192.09000000000003</v>
      </c>
      <c r="BK203" s="27">
        <f t="shared" ref="BK203:BK207" si="172">$AT203+$AV203+$AX203+$AZ203+$BB203+$BD203+$BF203+$BH203</f>
        <v>0.93332014359918403</v>
      </c>
      <c r="BL203" s="27">
        <f t="shared" ref="BL203:BL207" si="173">$AV203+$AX203+$AZ203+$BB203+$BD203+$BF203+$BH203</f>
        <v>7.1964132052020208E-2</v>
      </c>
      <c r="BM203">
        <v>4900</v>
      </c>
      <c r="BN203">
        <v>1400</v>
      </c>
      <c r="BO203" t="s">
        <v>19</v>
      </c>
      <c r="BP203">
        <v>6300</v>
      </c>
      <c r="BQ203">
        <v>71</v>
      </c>
      <c r="BR203" t="s">
        <v>443</v>
      </c>
      <c r="BS203">
        <v>0.59</v>
      </c>
      <c r="BT203">
        <v>2.2200000000000002</v>
      </c>
      <c r="BU203">
        <v>10</v>
      </c>
      <c r="BV203">
        <v>-92</v>
      </c>
      <c r="BW203">
        <v>7.5</v>
      </c>
      <c r="BX203">
        <v>1138</v>
      </c>
      <c r="BY203">
        <v>0.1</v>
      </c>
      <c r="BZ203">
        <v>0.01</v>
      </c>
      <c r="CA203" s="32">
        <v>0.2</v>
      </c>
      <c r="CB203" s="32">
        <f t="shared" ref="CB203:CB207" si="174">$CA203/55.85</f>
        <v>3.5810205908683975E-3</v>
      </c>
      <c r="CC203" s="32">
        <f t="shared" ref="CC203:CC207" si="175">$CB203*1</f>
        <v>3.5810205908683975E-3</v>
      </c>
      <c r="CD203" s="32">
        <v>0.8</v>
      </c>
      <c r="CE203" s="32">
        <f t="shared" ref="CE203:CE207" si="176">$CD203/54.93</f>
        <v>1.4563990533406155E-2</v>
      </c>
      <c r="CF203" s="32">
        <f t="shared" ref="CF203:CF207" si="177">$CE203*2</f>
        <v>2.912798106681231E-2</v>
      </c>
      <c r="CG203" s="27">
        <v>54</v>
      </c>
      <c r="CH203" s="27">
        <f t="shared" ref="CH203:CH207" si="178">CG203/96.06</f>
        <v>0.56214865708931916</v>
      </c>
      <c r="CI203" s="27">
        <f t="shared" ref="CI203:CI207" si="179">CH203*8</f>
        <v>4.4971892567145533</v>
      </c>
      <c r="CJ203" s="58">
        <v>18</v>
      </c>
      <c r="CK203" s="58">
        <v>25</v>
      </c>
      <c r="CL203" s="58">
        <v>1.4990630855715177</v>
      </c>
      <c r="CM203" s="58">
        <v>1.4990630855715177</v>
      </c>
      <c r="CN203" s="28">
        <v>18</v>
      </c>
      <c r="CO203" s="28">
        <v>25</v>
      </c>
      <c r="CP203" s="28">
        <v>1.4990630855715177</v>
      </c>
      <c r="CQ203" s="28">
        <v>1.4990630855715177</v>
      </c>
      <c r="CR203" s="32">
        <f t="shared" ref="CR203:CR207" si="180">$CJ203*(55.84/96.06)</f>
        <v>10.463460337289193</v>
      </c>
      <c r="CS203" s="32">
        <v>10.463460337289193</v>
      </c>
      <c r="CT203" s="32">
        <f t="shared" ref="CT203:CT207" si="181">$CA203+$CS203</f>
        <v>10.663460337289193</v>
      </c>
      <c r="CU203" s="32">
        <f t="shared" ref="CU203:CU207" si="182">$CT203/55.85</f>
        <v>0.19093035518870533</v>
      </c>
      <c r="CV203" s="32">
        <f t="shared" ref="CV203:CV207" si="183">$CU203*1</f>
        <v>0.19093035518870533</v>
      </c>
      <c r="CW203" s="60">
        <f t="shared" ref="CW203:CW207" si="184">$CN203*(55.84/96.06)</f>
        <v>10.463460337289193</v>
      </c>
      <c r="CX203" s="60">
        <v>10.463460337289193</v>
      </c>
      <c r="CY203" s="60">
        <f t="shared" ref="CY203:CY207" si="185">$CA203+$CX203</f>
        <v>10.663460337289193</v>
      </c>
      <c r="CZ203" s="60">
        <f t="shared" ref="CZ203:CZ207" si="186">$CY203/55.85</f>
        <v>0.19093035518870533</v>
      </c>
      <c r="DA203" s="60">
        <f t="shared" ref="DA203:DA207" si="187">$CZ203*1</f>
        <v>0.19093035518870533</v>
      </c>
      <c r="DB203" s="32">
        <f t="shared" ref="DB203:DB207" si="188">$CI203</f>
        <v>4.4971892567145533</v>
      </c>
      <c r="DC203">
        <f t="shared" ref="DC203:DC207" si="189">$CV203+$CF203+$CM203</f>
        <v>1.7191214218270354</v>
      </c>
      <c r="DD203">
        <f t="shared" ref="DD203:DD207" si="190">$CF203/$DC203</f>
        <v>1.6943527488509733E-2</v>
      </c>
      <c r="DE203">
        <f t="shared" ref="DE203:DE207" si="191">$CV203/$DC203</f>
        <v>0.11106275145230274</v>
      </c>
      <c r="DF203">
        <f t="shared" ref="DF203:DF207" si="192">$CM203/$DC203</f>
        <v>0.87199372105918749</v>
      </c>
      <c r="DG203">
        <f t="shared" ref="DG203:DG207" si="193">$DA203+$CF203+$CQ203</f>
        <v>1.7191214218270354</v>
      </c>
      <c r="DH203">
        <f t="shared" ref="DH203:DH207" si="194">$CF203/$DG203</f>
        <v>1.6943527488509733E-2</v>
      </c>
      <c r="DI203">
        <f t="shared" ref="DI203:DI207" si="195">$DA203/$DG203</f>
        <v>0.11106275145230274</v>
      </c>
      <c r="DJ203">
        <f t="shared" ref="DJ203:DJ207" si="196">$CQ203/$DG203</f>
        <v>0.87199372105918749</v>
      </c>
      <c r="DK203" s="64">
        <f t="shared" ref="DK203:DK207" si="197">($AP203+$AR203)-$DC203</f>
        <v>-0.28050409540252463</v>
      </c>
      <c r="DL203" s="64">
        <f t="shared" ref="DL203:DL207" si="198">($AP203+$AR203)-$DG203</f>
        <v>-0.28050409540252463</v>
      </c>
      <c r="DM203" s="64">
        <f t="shared" ref="DM203:DM207" si="199">($AP203+$AR203+$BL203)-$DC203</f>
        <v>-0.20853996335050451</v>
      </c>
      <c r="DN203" s="64">
        <f t="shared" ref="DN203:DN207" si="200">($AP203+$AR203+$BL203)-$DG203</f>
        <v>-0.20853996335050451</v>
      </c>
      <c r="DO203" t="str">
        <f t="shared" ref="DO203:DO207" si="201">IF(DM203&lt;0, "Sufficient Capacity", "Insufficient Capacity")</f>
        <v>Sufficient Capacity</v>
      </c>
      <c r="DP203" t="str">
        <f t="shared" ref="DP203:DP207" si="202">IF($DN203&lt;0, "Sufficient Capacity", "Insufficient Capacity")</f>
        <v>Sufficient Capacity</v>
      </c>
    </row>
    <row r="204" spans="1:120" ht="15.75" x14ac:dyDescent="0.25">
      <c r="A204" s="2" t="s">
        <v>256</v>
      </c>
      <c r="B204" s="2" t="s">
        <v>256</v>
      </c>
      <c r="C204" s="2" t="s">
        <v>1111</v>
      </c>
      <c r="D204" s="2" t="s">
        <v>646</v>
      </c>
      <c r="E204" s="2" t="s">
        <v>646</v>
      </c>
      <c r="F204" s="2">
        <v>203</v>
      </c>
      <c r="G204" s="19" t="s">
        <v>1110</v>
      </c>
      <c r="H204" s="10" t="s">
        <v>656</v>
      </c>
      <c r="I204" s="2">
        <v>150</v>
      </c>
      <c r="J204" s="2">
        <v>65</v>
      </c>
      <c r="K204" s="12">
        <v>10.5</v>
      </c>
      <c r="L204" t="s">
        <v>430</v>
      </c>
      <c r="M204" s="2" t="s">
        <v>1120</v>
      </c>
      <c r="N204" s="2" t="s">
        <v>437</v>
      </c>
      <c r="O204" s="2" t="s">
        <v>666</v>
      </c>
      <c r="P204" s="2" t="s">
        <v>1131</v>
      </c>
      <c r="Q204" s="9" t="s">
        <v>737</v>
      </c>
      <c r="R204" s="2" t="str">
        <f t="shared" si="152"/>
        <v>CW_3_Section_2</v>
      </c>
      <c r="S204" s="2" t="str">
        <f t="shared" si="153"/>
        <v>CW_3_MF05</v>
      </c>
      <c r="T204" s="11" t="s">
        <v>1075</v>
      </c>
      <c r="U204" s="1">
        <v>46008</v>
      </c>
      <c r="V204" s="2" t="s">
        <v>799</v>
      </c>
      <c r="W204" s="2" t="s">
        <v>655</v>
      </c>
      <c r="X204" s="2" t="s">
        <v>1074</v>
      </c>
      <c r="Y204" s="2" t="str">
        <f t="shared" si="154"/>
        <v>T8_0.15-0.30</v>
      </c>
      <c r="Z204" t="s">
        <v>55</v>
      </c>
      <c r="AA204">
        <v>1.9</v>
      </c>
      <c r="AB204">
        <v>2.2999999999999998</v>
      </c>
      <c r="AC204">
        <v>1.4</v>
      </c>
      <c r="AD204" s="32">
        <f t="shared" si="155"/>
        <v>5.3770323902189218E-4</v>
      </c>
      <c r="AE204">
        <v>0.02</v>
      </c>
      <c r="AF204" s="32">
        <f t="shared" si="156"/>
        <v>7.8141957890167132E-6</v>
      </c>
      <c r="AG204">
        <v>1.7</v>
      </c>
      <c r="AH204" s="32">
        <f t="shared" si="157"/>
        <v>6.7250635772817175E-4</v>
      </c>
      <c r="AI204">
        <v>0.47</v>
      </c>
      <c r="AJ204" s="32">
        <f t="shared" si="158"/>
        <v>1.8592822831308279E-4</v>
      </c>
      <c r="AK204">
        <v>0.31</v>
      </c>
      <c r="AL204" s="32">
        <f t="shared" si="159"/>
        <v>1.2263351229160779E-4</v>
      </c>
      <c r="AM204">
        <v>0.78</v>
      </c>
      <c r="AO204" s="49">
        <v>4.0199999999999996</v>
      </c>
      <c r="AP204" s="49">
        <f t="shared" si="160"/>
        <v>1.2180237925390807E-3</v>
      </c>
      <c r="AQ204">
        <v>9.9</v>
      </c>
      <c r="AR204" s="32">
        <f t="shared" si="161"/>
        <v>3.7075758757899669E-3</v>
      </c>
      <c r="AS204" s="48">
        <v>8.1</v>
      </c>
      <c r="AT204" s="27">
        <f t="shared" si="162"/>
        <v>3.0334711711008811E-3</v>
      </c>
      <c r="AU204" s="48">
        <v>0.01</v>
      </c>
      <c r="AV204" s="27">
        <f t="shared" si="163"/>
        <v>3.6796110125501018E-6</v>
      </c>
      <c r="AW204" s="48">
        <v>0.01</v>
      </c>
      <c r="AX204" s="27">
        <f t="shared" si="164"/>
        <v>3.7611049867064394E-6</v>
      </c>
      <c r="AY204" s="48">
        <v>5.0000000000000001E-3</v>
      </c>
      <c r="AZ204" s="27">
        <f t="shared" si="165"/>
        <v>1.8649981951630372E-6</v>
      </c>
      <c r="BA204" s="48">
        <v>1E-3</v>
      </c>
      <c r="BB204" s="27">
        <f t="shared" si="166"/>
        <v>3.7030802895135499E-7</v>
      </c>
      <c r="BC204" s="48">
        <v>1E-3</v>
      </c>
      <c r="BD204" s="27">
        <f t="shared" si="167"/>
        <v>3.7030802895135499E-7</v>
      </c>
      <c r="BE204" s="48">
        <v>1E-3</v>
      </c>
      <c r="BF204" s="27">
        <f t="shared" si="168"/>
        <v>3.6588380716934485E-7</v>
      </c>
      <c r="BG204" s="48">
        <v>2E-3</v>
      </c>
      <c r="BH204" s="27">
        <f t="shared" si="169"/>
        <v>7.3176761433868969E-7</v>
      </c>
      <c r="BI204" s="52">
        <f t="shared" si="170"/>
        <v>8.129999999999999</v>
      </c>
      <c r="BJ204" s="52">
        <f t="shared" si="171"/>
        <v>3.0000000000000006E-2</v>
      </c>
      <c r="BK204" s="27">
        <f t="shared" si="172"/>
        <v>3.0446151527747114E-3</v>
      </c>
      <c r="BL204" s="27">
        <f t="shared" si="173"/>
        <v>1.1143981673830322E-5</v>
      </c>
      <c r="BM204">
        <v>2.5</v>
      </c>
      <c r="BN204">
        <v>2.5</v>
      </c>
      <c r="BO204" t="s">
        <v>19</v>
      </c>
      <c r="BP204">
        <v>5</v>
      </c>
      <c r="BQ204">
        <v>70</v>
      </c>
      <c r="BR204" t="s">
        <v>443</v>
      </c>
      <c r="BS204">
        <v>1.4999999999999999E-2</v>
      </c>
      <c r="BT204">
        <v>1.69</v>
      </c>
      <c r="BU204">
        <v>9</v>
      </c>
      <c r="BV204">
        <v>26</v>
      </c>
      <c r="BW204">
        <v>7.3</v>
      </c>
      <c r="BX204">
        <v>1031</v>
      </c>
      <c r="BY204">
        <v>0.1</v>
      </c>
      <c r="BZ204">
        <v>0.01</v>
      </c>
      <c r="CA204" s="32">
        <v>3.4</v>
      </c>
      <c r="CB204" s="32">
        <f t="shared" si="174"/>
        <v>6.0877350044762753E-2</v>
      </c>
      <c r="CC204" s="32">
        <f t="shared" si="175"/>
        <v>6.0877350044762753E-2</v>
      </c>
      <c r="CD204" s="32">
        <v>8.3000000000000007</v>
      </c>
      <c r="CE204" s="32">
        <f t="shared" si="176"/>
        <v>0.15110140178408885</v>
      </c>
      <c r="CF204" s="32">
        <f t="shared" si="177"/>
        <v>0.30220280356817769</v>
      </c>
      <c r="CG204" s="27">
        <v>35</v>
      </c>
      <c r="CH204" s="27">
        <f t="shared" si="178"/>
        <v>0.36435561107641057</v>
      </c>
      <c r="CI204" s="27">
        <f t="shared" si="179"/>
        <v>2.9148448886112845</v>
      </c>
      <c r="CJ204" s="58">
        <v>37</v>
      </c>
      <c r="CK204" s="58">
        <v>51.388888888888886</v>
      </c>
      <c r="CL204" s="58">
        <v>3.0814074536747866</v>
      </c>
      <c r="CM204" s="58">
        <v>3.0814074536747866</v>
      </c>
      <c r="CN204" s="28">
        <v>-34.5</v>
      </c>
      <c r="CO204" s="28">
        <v>-6900</v>
      </c>
      <c r="CP204" s="28">
        <v>-2.8732042473454089</v>
      </c>
      <c r="CR204" s="32">
        <f t="shared" si="180"/>
        <v>21.508224026650009</v>
      </c>
      <c r="CS204" s="32">
        <v>21.508224026650009</v>
      </c>
      <c r="CT204" s="32">
        <f t="shared" si="181"/>
        <v>24.908224026650007</v>
      </c>
      <c r="CU204" s="32">
        <f t="shared" si="182"/>
        <v>0.44598431560698309</v>
      </c>
      <c r="CV204" s="32">
        <f t="shared" si="183"/>
        <v>0.44598431560698309</v>
      </c>
      <c r="CW204" s="60">
        <f t="shared" si="184"/>
        <v>-20.054965646470954</v>
      </c>
      <c r="CY204" s="60">
        <f t="shared" si="185"/>
        <v>3.4</v>
      </c>
      <c r="CZ204" s="60">
        <f t="shared" si="186"/>
        <v>6.0877350044762753E-2</v>
      </c>
      <c r="DA204" s="60">
        <f t="shared" si="187"/>
        <v>6.0877350044762753E-2</v>
      </c>
      <c r="DB204" s="32">
        <f t="shared" si="188"/>
        <v>2.9148448886112845</v>
      </c>
      <c r="DC204">
        <f t="shared" si="189"/>
        <v>3.8295945728499472</v>
      </c>
      <c r="DD204">
        <f t="shared" si="190"/>
        <v>7.891247959004738E-2</v>
      </c>
      <c r="DE204">
        <f t="shared" si="191"/>
        <v>0.11645731868558762</v>
      </c>
      <c r="DF204">
        <f t="shared" si="192"/>
        <v>0.80463020172436506</v>
      </c>
      <c r="DG204">
        <f t="shared" si="193"/>
        <v>0.36308015361294044</v>
      </c>
      <c r="DH204">
        <f t="shared" si="194"/>
        <v>0.83233082436761141</v>
      </c>
      <c r="DI204">
        <f t="shared" si="195"/>
        <v>0.16766917563238862</v>
      </c>
      <c r="DJ204">
        <f t="shared" si="196"/>
        <v>0</v>
      </c>
      <c r="DK204" s="64">
        <f t="shared" si="197"/>
        <v>-3.8246689731816184</v>
      </c>
      <c r="DL204" s="64">
        <f t="shared" si="198"/>
        <v>-0.35815455394461138</v>
      </c>
      <c r="DM204" s="64">
        <f t="shared" si="199"/>
        <v>-3.8246578291999445</v>
      </c>
      <c r="DN204" s="64">
        <f t="shared" si="200"/>
        <v>-0.35814340996293759</v>
      </c>
      <c r="DO204" t="str">
        <f t="shared" si="201"/>
        <v>Sufficient Capacity</v>
      </c>
      <c r="DP204" t="str">
        <f t="shared" si="202"/>
        <v>Sufficient Capacity</v>
      </c>
    </row>
    <row r="205" spans="1:120" ht="15.75" x14ac:dyDescent="0.25">
      <c r="A205" s="2" t="s">
        <v>257</v>
      </c>
      <c r="B205" s="2" t="s">
        <v>257</v>
      </c>
      <c r="C205" s="2" t="s">
        <v>1113</v>
      </c>
      <c r="D205" s="2" t="s">
        <v>647</v>
      </c>
      <c r="E205" s="2" t="s">
        <v>647</v>
      </c>
      <c r="F205" s="2">
        <v>204</v>
      </c>
      <c r="G205" s="19" t="s">
        <v>1112</v>
      </c>
      <c r="H205" s="10" t="s">
        <v>656</v>
      </c>
      <c r="I205" s="2">
        <v>150</v>
      </c>
      <c r="J205" s="2">
        <v>65</v>
      </c>
      <c r="K205" s="12">
        <v>5.2</v>
      </c>
      <c r="L205" t="s">
        <v>431</v>
      </c>
      <c r="M205" s="2" t="s">
        <v>1120</v>
      </c>
      <c r="N205" s="2" t="s">
        <v>437</v>
      </c>
      <c r="O205" s="2" t="s">
        <v>666</v>
      </c>
      <c r="P205" s="2" t="s">
        <v>1132</v>
      </c>
      <c r="Q205" s="9" t="s">
        <v>740</v>
      </c>
      <c r="R205" s="2" t="str">
        <f t="shared" si="152"/>
        <v>CW_3_Section_2</v>
      </c>
      <c r="S205" s="2" t="str">
        <f t="shared" si="153"/>
        <v>CW_3_MF06</v>
      </c>
      <c r="T205" s="11" t="s">
        <v>1075</v>
      </c>
      <c r="U205" s="1">
        <v>46008</v>
      </c>
      <c r="V205" s="2" t="s">
        <v>799</v>
      </c>
      <c r="W205" s="2" t="s">
        <v>663</v>
      </c>
      <c r="X205" s="2" t="s">
        <v>1074</v>
      </c>
      <c r="Y205" s="2" t="str">
        <f t="shared" si="154"/>
        <v>T8_0.60-0.80</v>
      </c>
      <c r="Z205" t="s">
        <v>57</v>
      </c>
      <c r="AA205">
        <v>7.4</v>
      </c>
      <c r="AB205">
        <v>11</v>
      </c>
      <c r="AC205">
        <v>520</v>
      </c>
      <c r="AD205" s="32">
        <f t="shared" si="155"/>
        <v>0.19971834592241711</v>
      </c>
      <c r="AE205">
        <v>95</v>
      </c>
      <c r="AF205" s="32">
        <f t="shared" si="156"/>
        <v>3.7117429997829396E-2</v>
      </c>
      <c r="AG205">
        <v>240</v>
      </c>
      <c r="AH205" s="32">
        <f t="shared" si="157"/>
        <v>9.4942074032212498E-2</v>
      </c>
      <c r="AI205">
        <v>110</v>
      </c>
      <c r="AJ205" s="32">
        <f t="shared" si="158"/>
        <v>4.3515117264764057E-2</v>
      </c>
      <c r="AK205">
        <v>110</v>
      </c>
      <c r="AL205" s="32">
        <f t="shared" si="159"/>
        <v>4.3515117264764057E-2</v>
      </c>
      <c r="AM205">
        <v>220</v>
      </c>
      <c r="AO205" s="49">
        <v>1075</v>
      </c>
      <c r="AP205" s="49">
        <f t="shared" si="160"/>
        <v>0.33177784995245901</v>
      </c>
      <c r="AQ205">
        <v>1300</v>
      </c>
      <c r="AR205" s="32">
        <f t="shared" si="161"/>
        <v>0.48685339783100573</v>
      </c>
      <c r="AS205" s="48">
        <v>1200</v>
      </c>
      <c r="AT205" s="27">
        <f t="shared" si="162"/>
        <v>0.44940313645938984</v>
      </c>
      <c r="AU205" s="48">
        <v>2</v>
      </c>
      <c r="AV205" s="27">
        <f t="shared" si="163"/>
        <v>7.3592220251002033E-4</v>
      </c>
      <c r="AW205" s="48">
        <v>50</v>
      </c>
      <c r="AX205" s="27">
        <f t="shared" si="164"/>
        <v>1.8805524933532197E-2</v>
      </c>
      <c r="AY205" s="48">
        <v>14</v>
      </c>
      <c r="AZ205" s="27">
        <f t="shared" si="165"/>
        <v>5.2219949464565032E-3</v>
      </c>
      <c r="BA205" s="48">
        <v>7.7</v>
      </c>
      <c r="BB205" s="27">
        <f t="shared" si="166"/>
        <v>2.8513718229254336E-3</v>
      </c>
      <c r="BC205" s="48">
        <v>1.6</v>
      </c>
      <c r="BD205" s="27">
        <f t="shared" si="167"/>
        <v>5.9249284632216796E-4</v>
      </c>
      <c r="BE205" s="48">
        <v>0.38</v>
      </c>
      <c r="BF205" s="27">
        <f t="shared" si="168"/>
        <v>1.3903584672435106E-4</v>
      </c>
      <c r="BG205" s="48">
        <v>0.43</v>
      </c>
      <c r="BH205" s="27">
        <f t="shared" si="169"/>
        <v>1.573300370828183E-4</v>
      </c>
      <c r="BI205" s="52">
        <f t="shared" si="170"/>
        <v>1276.1100000000001</v>
      </c>
      <c r="BJ205" s="52">
        <f t="shared" si="171"/>
        <v>76.11</v>
      </c>
      <c r="BK205" s="27">
        <f t="shared" si="172"/>
        <v>0.47790680909494332</v>
      </c>
      <c r="BL205" s="27">
        <f t="shared" si="173"/>
        <v>2.8503672635553489E-2</v>
      </c>
      <c r="BM205">
        <v>2100</v>
      </c>
      <c r="BN205">
        <v>510</v>
      </c>
      <c r="BO205" t="s">
        <v>19</v>
      </c>
      <c r="BP205">
        <v>2700</v>
      </c>
      <c r="BQ205">
        <v>73</v>
      </c>
      <c r="BR205" t="s">
        <v>443</v>
      </c>
      <c r="BS205">
        <v>0.63</v>
      </c>
      <c r="BT205">
        <v>3.32</v>
      </c>
      <c r="BU205">
        <v>9</v>
      </c>
      <c r="BV205">
        <v>-82</v>
      </c>
      <c r="BW205">
        <v>7.7</v>
      </c>
      <c r="BX205">
        <v>1107</v>
      </c>
      <c r="BY205">
        <v>0.1</v>
      </c>
      <c r="BZ205">
        <v>0.01</v>
      </c>
      <c r="CA205" s="32">
        <v>0.02</v>
      </c>
      <c r="CB205" s="32">
        <f t="shared" si="174"/>
        <v>3.5810205908683976E-4</v>
      </c>
      <c r="CC205" s="32">
        <f t="shared" si="175"/>
        <v>3.5810205908683976E-4</v>
      </c>
      <c r="CD205" s="32">
        <v>0.8</v>
      </c>
      <c r="CE205" s="32">
        <f t="shared" si="176"/>
        <v>1.4563990533406155E-2</v>
      </c>
      <c r="CF205" s="32">
        <f t="shared" si="177"/>
        <v>2.912798106681231E-2</v>
      </c>
      <c r="CG205" s="27">
        <v>64</v>
      </c>
      <c r="CH205" s="27">
        <f t="shared" si="178"/>
        <v>0.66625026025400791</v>
      </c>
      <c r="CI205" s="27">
        <f t="shared" si="179"/>
        <v>5.3300020820320633</v>
      </c>
      <c r="CJ205" s="58">
        <v>8</v>
      </c>
      <c r="CK205" s="58">
        <v>11.111111111111111</v>
      </c>
      <c r="CL205" s="58">
        <v>0.66625026025400791</v>
      </c>
      <c r="CM205" s="58">
        <v>0.66625026025400791</v>
      </c>
      <c r="CN205" s="28">
        <v>-10</v>
      </c>
      <c r="CO205" s="28">
        <v>-18.518518518518519</v>
      </c>
      <c r="CP205" s="28">
        <v>-0.83281282531750989</v>
      </c>
      <c r="CR205" s="32">
        <f t="shared" si="180"/>
        <v>4.650426816572975</v>
      </c>
      <c r="CS205" s="32">
        <v>4.650426816572975</v>
      </c>
      <c r="CT205" s="32">
        <f t="shared" si="181"/>
        <v>4.6704268165729745</v>
      </c>
      <c r="CU205" s="32">
        <f t="shared" si="182"/>
        <v>8.3624472991458809E-2</v>
      </c>
      <c r="CV205" s="32">
        <f t="shared" si="183"/>
        <v>8.3624472991458809E-2</v>
      </c>
      <c r="CW205" s="60">
        <f t="shared" si="184"/>
        <v>-5.8130335207162185</v>
      </c>
      <c r="CY205" s="60">
        <f t="shared" si="185"/>
        <v>0.02</v>
      </c>
      <c r="CZ205" s="60">
        <f t="shared" si="186"/>
        <v>3.5810205908683976E-4</v>
      </c>
      <c r="DA205" s="60">
        <f t="shared" si="187"/>
        <v>3.5810205908683976E-4</v>
      </c>
      <c r="DB205" s="32">
        <f t="shared" si="188"/>
        <v>5.3300020820320633</v>
      </c>
      <c r="DC205">
        <f t="shared" si="189"/>
        <v>0.77900271431227908</v>
      </c>
      <c r="DD205">
        <f t="shared" si="190"/>
        <v>3.7391373010204641E-2</v>
      </c>
      <c r="DE205">
        <f t="shared" si="191"/>
        <v>0.10734811503870606</v>
      </c>
      <c r="DF205">
        <f t="shared" si="192"/>
        <v>0.85526051195108921</v>
      </c>
      <c r="DG205">
        <f t="shared" si="193"/>
        <v>2.9486083125899148E-2</v>
      </c>
      <c r="DH205">
        <f t="shared" si="194"/>
        <v>0.9878552177460187</v>
      </c>
      <c r="DI205">
        <f t="shared" si="195"/>
        <v>1.2144782253981379E-2</v>
      </c>
      <c r="DJ205">
        <f t="shared" si="196"/>
        <v>0</v>
      </c>
      <c r="DK205" s="64">
        <f t="shared" si="197"/>
        <v>3.9628533471185667E-2</v>
      </c>
      <c r="DL205" s="64">
        <f t="shared" si="198"/>
        <v>0.78914516465756557</v>
      </c>
      <c r="DM205" s="64">
        <f t="shared" si="199"/>
        <v>6.8132206106739202E-2</v>
      </c>
      <c r="DN205" s="64">
        <f t="shared" si="200"/>
        <v>0.8176488372931191</v>
      </c>
      <c r="DO205" t="str">
        <f t="shared" si="201"/>
        <v>Insufficient Capacity</v>
      </c>
      <c r="DP205" t="str">
        <f t="shared" si="202"/>
        <v>Insufficient Capacity</v>
      </c>
    </row>
    <row r="206" spans="1:120" ht="15.75" x14ac:dyDescent="0.25">
      <c r="A206" s="2" t="s">
        <v>258</v>
      </c>
      <c r="B206" s="2" t="s">
        <v>258</v>
      </c>
      <c r="C206" s="2" t="s">
        <v>1115</v>
      </c>
      <c r="D206" s="2" t="s">
        <v>648</v>
      </c>
      <c r="E206" s="2" t="s">
        <v>648</v>
      </c>
      <c r="F206" s="2">
        <v>205</v>
      </c>
      <c r="G206" s="19" t="s">
        <v>1114</v>
      </c>
      <c r="H206" s="10" t="s">
        <v>656</v>
      </c>
      <c r="I206" s="2">
        <v>150</v>
      </c>
      <c r="J206" s="2">
        <v>65</v>
      </c>
      <c r="K206" s="12">
        <v>8.25</v>
      </c>
      <c r="L206" t="s">
        <v>433</v>
      </c>
      <c r="M206" s="2" t="s">
        <v>1120</v>
      </c>
      <c r="N206" s="2" t="s">
        <v>437</v>
      </c>
      <c r="O206" s="2" t="s">
        <v>673</v>
      </c>
      <c r="P206" s="2" t="s">
        <v>1127</v>
      </c>
      <c r="Q206" s="9" t="s">
        <v>743</v>
      </c>
      <c r="R206" s="2" t="str">
        <f t="shared" si="152"/>
        <v>CW_3_Section_3</v>
      </c>
      <c r="S206" s="2" t="str">
        <f t="shared" si="153"/>
        <v>CW_3_MF09</v>
      </c>
      <c r="T206" s="11" t="s">
        <v>1075</v>
      </c>
      <c r="U206" s="1">
        <v>46009</v>
      </c>
      <c r="V206" s="2" t="s">
        <v>799</v>
      </c>
      <c r="W206" s="2" t="s">
        <v>655</v>
      </c>
      <c r="X206" s="2" t="s">
        <v>1074</v>
      </c>
      <c r="Y206" s="2" t="str">
        <f t="shared" si="154"/>
        <v>T8_0.15-0.30</v>
      </c>
      <c r="Z206" t="s">
        <v>59</v>
      </c>
      <c r="AA206">
        <v>13</v>
      </c>
      <c r="AB206">
        <v>14</v>
      </c>
      <c r="AC206">
        <v>120</v>
      </c>
      <c r="AD206" s="32">
        <f t="shared" si="155"/>
        <v>4.6088849059019332E-2</v>
      </c>
      <c r="AE206">
        <v>3.4</v>
      </c>
      <c r="AF206" s="32">
        <f t="shared" si="156"/>
        <v>1.3284132841328412E-3</v>
      </c>
      <c r="AG206">
        <v>37</v>
      </c>
      <c r="AH206" s="32">
        <f t="shared" si="157"/>
        <v>1.4636903079966092E-2</v>
      </c>
      <c r="AI206">
        <v>27</v>
      </c>
      <c r="AJ206" s="32">
        <f t="shared" si="158"/>
        <v>1.0680983328623906E-2</v>
      </c>
      <c r="AK206">
        <v>8.3000000000000007</v>
      </c>
      <c r="AL206" s="32">
        <f t="shared" si="159"/>
        <v>3.2834133936140157E-3</v>
      </c>
      <c r="AM206">
        <v>35.299999999999997</v>
      </c>
      <c r="AO206" s="49">
        <v>195.7</v>
      </c>
      <c r="AP206" s="49">
        <f t="shared" si="160"/>
        <v>6.2054165423118271E-2</v>
      </c>
      <c r="AQ206">
        <v>160</v>
      </c>
      <c r="AR206" s="32">
        <f t="shared" si="161"/>
        <v>5.9920418194585309E-2</v>
      </c>
      <c r="AS206" s="48">
        <v>28</v>
      </c>
      <c r="AT206" s="27">
        <f t="shared" si="162"/>
        <v>1.048607318405243E-2</v>
      </c>
      <c r="AU206" s="48">
        <v>0.01</v>
      </c>
      <c r="AV206" s="27">
        <f t="shared" si="163"/>
        <v>3.6796110125501018E-6</v>
      </c>
      <c r="AW206" s="48">
        <v>0.01</v>
      </c>
      <c r="AX206" s="27">
        <f t="shared" si="164"/>
        <v>3.7611049867064394E-6</v>
      </c>
      <c r="AY206" s="48">
        <v>5.0000000000000001E-3</v>
      </c>
      <c r="AZ206" s="27">
        <f t="shared" si="165"/>
        <v>1.8649981951630372E-6</v>
      </c>
      <c r="BA206" s="48">
        <v>0.01</v>
      </c>
      <c r="BB206" s="27">
        <f t="shared" si="166"/>
        <v>3.7030802895135499E-6</v>
      </c>
      <c r="BC206" s="48">
        <v>1E-3</v>
      </c>
      <c r="BD206" s="27">
        <f t="shared" si="167"/>
        <v>3.7030802895135499E-7</v>
      </c>
      <c r="BE206" s="48">
        <v>1E-3</v>
      </c>
      <c r="BF206" s="27">
        <f t="shared" si="168"/>
        <v>3.6588380716934485E-7</v>
      </c>
      <c r="BG206" s="48">
        <v>2E-3</v>
      </c>
      <c r="BH206" s="27">
        <f t="shared" si="169"/>
        <v>7.3176761433868969E-7</v>
      </c>
      <c r="BI206" s="52">
        <f t="shared" si="170"/>
        <v>28.039000000000005</v>
      </c>
      <c r="BJ206" s="52">
        <f t="shared" si="171"/>
        <v>3.9000000000000007E-2</v>
      </c>
      <c r="BK206" s="27">
        <f t="shared" si="172"/>
        <v>1.0500549937986822E-2</v>
      </c>
      <c r="BL206" s="27">
        <f t="shared" si="173"/>
        <v>1.4476753934392517E-5</v>
      </c>
      <c r="BM206">
        <v>360</v>
      </c>
      <c r="BN206">
        <v>2.5</v>
      </c>
      <c r="BO206" t="s">
        <v>19</v>
      </c>
      <c r="BP206">
        <v>370</v>
      </c>
      <c r="BQ206">
        <v>43</v>
      </c>
      <c r="BR206" t="s">
        <v>443</v>
      </c>
      <c r="BS206">
        <v>1.1000000000000001</v>
      </c>
      <c r="BT206">
        <v>5.78</v>
      </c>
      <c r="BU206">
        <v>9</v>
      </c>
      <c r="BV206">
        <v>105</v>
      </c>
      <c r="BW206">
        <v>7.4</v>
      </c>
      <c r="BX206">
        <v>1110</v>
      </c>
      <c r="BY206">
        <v>0.1</v>
      </c>
      <c r="BZ206">
        <v>0.01</v>
      </c>
      <c r="CA206" s="32">
        <v>31</v>
      </c>
      <c r="CB206" s="32">
        <f t="shared" si="174"/>
        <v>0.55505819158460157</v>
      </c>
      <c r="CC206" s="32">
        <f t="shared" si="175"/>
        <v>0.55505819158460157</v>
      </c>
      <c r="CD206" s="32">
        <v>4.9000000000000004</v>
      </c>
      <c r="CE206" s="32">
        <f t="shared" si="176"/>
        <v>8.9204442017112695E-2</v>
      </c>
      <c r="CF206" s="32">
        <f t="shared" si="177"/>
        <v>0.17840888403422539</v>
      </c>
      <c r="CG206" s="27">
        <v>0.5</v>
      </c>
      <c r="CH206" s="27">
        <f t="shared" si="178"/>
        <v>5.2050801582344368E-3</v>
      </c>
      <c r="CI206" s="27">
        <f t="shared" si="179"/>
        <v>4.1640641265875494E-2</v>
      </c>
      <c r="CJ206" s="58">
        <v>71.5</v>
      </c>
      <c r="CK206" s="58">
        <v>99.305555555555557</v>
      </c>
      <c r="CL206" s="58">
        <v>5.9546117010201955</v>
      </c>
      <c r="CM206" s="58">
        <v>5.9546117010201955</v>
      </c>
      <c r="CN206" s="28">
        <v>34.5</v>
      </c>
      <c r="CO206" s="28">
        <v>98.571428571428584</v>
      </c>
      <c r="CP206" s="28">
        <v>2.8732042473454089</v>
      </c>
      <c r="CQ206" s="28">
        <v>2.8732042473454089</v>
      </c>
      <c r="CR206" s="32">
        <f t="shared" si="180"/>
        <v>41.563189673120966</v>
      </c>
      <c r="CS206" s="32">
        <v>41.563189673120966</v>
      </c>
      <c r="CT206" s="32">
        <f t="shared" si="181"/>
        <v>72.563189673120974</v>
      </c>
      <c r="CU206" s="32">
        <f t="shared" si="182"/>
        <v>1.2992513817926763</v>
      </c>
      <c r="CV206" s="32">
        <f t="shared" si="183"/>
        <v>1.2992513817926763</v>
      </c>
      <c r="CW206" s="60">
        <f t="shared" si="184"/>
        <v>20.054965646470954</v>
      </c>
      <c r="CX206" s="60">
        <v>20.054965646470954</v>
      </c>
      <c r="CY206" s="60">
        <f t="shared" si="185"/>
        <v>51.054965646470954</v>
      </c>
      <c r="CZ206" s="60">
        <f t="shared" si="186"/>
        <v>0.91414441623045573</v>
      </c>
      <c r="DA206" s="60">
        <f t="shared" si="187"/>
        <v>0.91414441623045573</v>
      </c>
      <c r="DB206" s="32">
        <f t="shared" si="188"/>
        <v>4.1640641265875494E-2</v>
      </c>
      <c r="DC206">
        <f t="shared" si="189"/>
        <v>7.4322719668470967</v>
      </c>
      <c r="DD206">
        <f t="shared" si="190"/>
        <v>2.4004622655097705E-2</v>
      </c>
      <c r="DE206">
        <f t="shared" si="191"/>
        <v>0.17481214191141098</v>
      </c>
      <c r="DF206">
        <f t="shared" si="192"/>
        <v>0.80118323543349135</v>
      </c>
      <c r="DG206">
        <f t="shared" si="193"/>
        <v>3.9657575476100901</v>
      </c>
      <c r="DH206">
        <f t="shared" si="194"/>
        <v>4.4987340222485635E-2</v>
      </c>
      <c r="DI206">
        <f t="shared" si="195"/>
        <v>0.23050940589682606</v>
      </c>
      <c r="DJ206">
        <f t="shared" si="196"/>
        <v>0.72450325388068826</v>
      </c>
      <c r="DK206" s="64">
        <f t="shared" si="197"/>
        <v>-7.3102973832293934</v>
      </c>
      <c r="DL206" s="64">
        <f t="shared" si="198"/>
        <v>-3.8437829639923864</v>
      </c>
      <c r="DM206" s="64">
        <f t="shared" si="199"/>
        <v>-7.3102829064754591</v>
      </c>
      <c r="DN206" s="64">
        <f t="shared" si="200"/>
        <v>-3.8437684872384521</v>
      </c>
      <c r="DO206" t="str">
        <f t="shared" si="201"/>
        <v>Sufficient Capacity</v>
      </c>
      <c r="DP206" t="str">
        <f t="shared" si="202"/>
        <v>Sufficient Capacity</v>
      </c>
    </row>
    <row r="207" spans="1:120" ht="15.75" x14ac:dyDescent="0.25">
      <c r="A207" s="2" t="s">
        <v>259</v>
      </c>
      <c r="B207" s="2" t="s">
        <v>259</v>
      </c>
      <c r="C207" s="2" t="s">
        <v>1117</v>
      </c>
      <c r="D207" s="2" t="s">
        <v>649</v>
      </c>
      <c r="E207" s="2" t="s">
        <v>649</v>
      </c>
      <c r="F207" s="2">
        <v>206</v>
      </c>
      <c r="G207" s="19" t="s">
        <v>1116</v>
      </c>
      <c r="H207" s="10" t="s">
        <v>656</v>
      </c>
      <c r="I207" s="2">
        <v>150</v>
      </c>
      <c r="J207" s="2">
        <v>65</v>
      </c>
      <c r="K207" s="12">
        <v>5.4</v>
      </c>
      <c r="L207" t="s">
        <v>434</v>
      </c>
      <c r="M207" s="2" t="s">
        <v>1120</v>
      </c>
      <c r="N207" s="2" t="s">
        <v>437</v>
      </c>
      <c r="O207" s="2" t="s">
        <v>673</v>
      </c>
      <c r="P207" s="2" t="s">
        <v>1128</v>
      </c>
      <c r="Q207" s="9" t="s">
        <v>746</v>
      </c>
      <c r="R207" s="2" t="str">
        <f t="shared" si="152"/>
        <v>CW_3_Section_3</v>
      </c>
      <c r="S207" s="2" t="str">
        <f t="shared" si="153"/>
        <v>CW_3_MF10</v>
      </c>
      <c r="T207" s="11" t="s">
        <v>1075</v>
      </c>
      <c r="U207" s="1">
        <v>46009</v>
      </c>
      <c r="V207" s="2" t="s">
        <v>799</v>
      </c>
      <c r="W207" s="2" t="s">
        <v>663</v>
      </c>
      <c r="X207" s="2" t="s">
        <v>1074</v>
      </c>
      <c r="Y207" s="2" t="str">
        <f t="shared" si="154"/>
        <v>T8_0.60-0.80</v>
      </c>
      <c r="Z207" t="s">
        <v>61</v>
      </c>
      <c r="AA207">
        <v>12</v>
      </c>
      <c r="AB207">
        <v>12</v>
      </c>
      <c r="AC207">
        <v>570</v>
      </c>
      <c r="AD207" s="32">
        <f t="shared" si="155"/>
        <v>0.21892203303034183</v>
      </c>
      <c r="AE207">
        <v>77</v>
      </c>
      <c r="AF207" s="32">
        <f t="shared" si="156"/>
        <v>3.0084653787714348E-2</v>
      </c>
      <c r="AG207">
        <v>300</v>
      </c>
      <c r="AH207" s="32">
        <f t="shared" si="157"/>
        <v>0.11867759254026561</v>
      </c>
      <c r="AI207">
        <v>140</v>
      </c>
      <c r="AJ207" s="32">
        <f t="shared" si="158"/>
        <v>5.5382876518790619E-2</v>
      </c>
      <c r="AK207">
        <v>110</v>
      </c>
      <c r="AL207" s="32">
        <f t="shared" si="159"/>
        <v>4.3515117264764057E-2</v>
      </c>
      <c r="AM207">
        <v>250</v>
      </c>
      <c r="AO207" s="49">
        <v>1197</v>
      </c>
      <c r="AP207" s="49">
        <f t="shared" si="160"/>
        <v>0.36768427935832182</v>
      </c>
      <c r="AQ207">
        <v>1800</v>
      </c>
      <c r="AR207" s="32">
        <f t="shared" si="161"/>
        <v>0.6741047046890849</v>
      </c>
      <c r="AS207" s="48">
        <v>3100</v>
      </c>
      <c r="AT207" s="27">
        <f t="shared" si="162"/>
        <v>1.1609581025200906</v>
      </c>
      <c r="AU207" s="48">
        <v>2</v>
      </c>
      <c r="AV207" s="27">
        <f t="shared" si="163"/>
        <v>7.3592220251002033E-4</v>
      </c>
      <c r="AW207" s="48">
        <v>85</v>
      </c>
      <c r="AX207" s="27">
        <f t="shared" si="164"/>
        <v>3.1969392387004733E-2</v>
      </c>
      <c r="AY207" s="48">
        <v>18</v>
      </c>
      <c r="AZ207" s="27">
        <f t="shared" si="165"/>
        <v>6.7139935025869336E-3</v>
      </c>
      <c r="BA207" s="48">
        <v>11</v>
      </c>
      <c r="BB207" s="27">
        <f t="shared" si="166"/>
        <v>4.0733883184649045E-3</v>
      </c>
      <c r="BC207" s="48">
        <v>1.5</v>
      </c>
      <c r="BD207" s="27">
        <f t="shared" si="167"/>
        <v>5.5546204342703253E-4</v>
      </c>
      <c r="BE207" s="48">
        <v>0.48</v>
      </c>
      <c r="BF207" s="27">
        <f t="shared" si="168"/>
        <v>1.7562422744128552E-4</v>
      </c>
      <c r="BG207" s="48">
        <v>0.33</v>
      </c>
      <c r="BH207" s="27">
        <f t="shared" si="169"/>
        <v>1.2074165636588381E-4</v>
      </c>
      <c r="BI207" s="52">
        <f t="shared" si="170"/>
        <v>3218.31</v>
      </c>
      <c r="BJ207" s="52">
        <f>$AU207+$AW207+$AY207+$BA207+$BC207+$BE207+$BG207</f>
        <v>118.31</v>
      </c>
      <c r="BK207" s="27">
        <f t="shared" si="172"/>
        <v>1.2053026268578912</v>
      </c>
      <c r="BL207" s="27">
        <f t="shared" si="173"/>
        <v>4.4344524337800797E-2</v>
      </c>
      <c r="BM207">
        <v>3400</v>
      </c>
      <c r="BN207">
        <v>900</v>
      </c>
      <c r="BO207" t="s">
        <v>19</v>
      </c>
      <c r="BP207">
        <v>4300</v>
      </c>
      <c r="BQ207">
        <v>68</v>
      </c>
      <c r="BR207" t="s">
        <v>443</v>
      </c>
      <c r="BS207">
        <v>0.45</v>
      </c>
      <c r="BT207">
        <v>1.39</v>
      </c>
      <c r="BU207">
        <v>9</v>
      </c>
      <c r="BV207">
        <v>-71</v>
      </c>
      <c r="BW207">
        <v>7.7</v>
      </c>
      <c r="BX207">
        <v>1107</v>
      </c>
      <c r="BY207">
        <v>0.1</v>
      </c>
      <c r="BZ207">
        <v>0.01</v>
      </c>
      <c r="CA207" s="32">
        <v>0.6</v>
      </c>
      <c r="CB207" s="32">
        <f t="shared" si="174"/>
        <v>1.0743061772605192E-2</v>
      </c>
      <c r="CC207" s="32">
        <f t="shared" si="175"/>
        <v>1.0743061772605192E-2</v>
      </c>
      <c r="CD207" s="32">
        <v>1.2</v>
      </c>
      <c r="CE207" s="32">
        <f t="shared" si="176"/>
        <v>2.1845985800109231E-2</v>
      </c>
      <c r="CF207" s="32">
        <f t="shared" si="177"/>
        <v>4.3691971600218461E-2</v>
      </c>
      <c r="CG207" s="27">
        <v>49</v>
      </c>
      <c r="CH207" s="27">
        <f t="shared" si="178"/>
        <v>0.51009785550697484</v>
      </c>
      <c r="CI207" s="27">
        <f t="shared" si="179"/>
        <v>4.0807828440557987</v>
      </c>
      <c r="CJ207" s="58">
        <v>23</v>
      </c>
      <c r="CK207" s="58">
        <v>31.944444444444443</v>
      </c>
      <c r="CL207" s="58">
        <v>1.9154694982302727</v>
      </c>
      <c r="CM207" s="58">
        <v>1.9154694982302727</v>
      </c>
      <c r="CN207" s="28">
        <v>15</v>
      </c>
      <c r="CO207" s="28">
        <v>23.4375</v>
      </c>
      <c r="CP207" s="28">
        <v>1.2492192379762648</v>
      </c>
      <c r="CQ207" s="28">
        <v>1.2492192379762648</v>
      </c>
      <c r="CR207" s="32">
        <f t="shared" si="180"/>
        <v>13.369977097647302</v>
      </c>
      <c r="CS207" s="32">
        <v>13.369977097647302</v>
      </c>
      <c r="CT207" s="32">
        <f t="shared" si="181"/>
        <v>13.969977097647302</v>
      </c>
      <c r="CU207" s="32">
        <f t="shared" si="182"/>
        <v>0.25013387820317462</v>
      </c>
      <c r="CV207" s="32">
        <f t="shared" si="183"/>
        <v>0.25013387820317462</v>
      </c>
      <c r="CW207" s="60">
        <f t="shared" si="184"/>
        <v>8.7195502810743282</v>
      </c>
      <c r="CX207" s="60">
        <v>8.7195502810743282</v>
      </c>
      <c r="CY207" s="60">
        <f t="shared" si="185"/>
        <v>9.3195502810743278</v>
      </c>
      <c r="CZ207" s="60">
        <f t="shared" si="186"/>
        <v>0.16686750727080263</v>
      </c>
      <c r="DA207" s="60">
        <f t="shared" si="187"/>
        <v>0.16686750727080263</v>
      </c>
      <c r="DB207" s="32">
        <f t="shared" si="188"/>
        <v>4.0807828440557987</v>
      </c>
      <c r="DC207">
        <f t="shared" si="189"/>
        <v>2.2092953480336659</v>
      </c>
      <c r="DD207">
        <f t="shared" si="190"/>
        <v>1.9776428551802967E-2</v>
      </c>
      <c r="DE207">
        <f t="shared" si="191"/>
        <v>0.11321884981372034</v>
      </c>
      <c r="DF207">
        <f t="shared" si="192"/>
        <v>0.86700472163447662</v>
      </c>
      <c r="DG207">
        <f t="shared" si="193"/>
        <v>1.4597787168472858</v>
      </c>
      <c r="DH207">
        <f t="shared" si="194"/>
        <v>2.9930544332486854E-2</v>
      </c>
      <c r="DI207">
        <f t="shared" si="195"/>
        <v>0.11431013847851532</v>
      </c>
      <c r="DJ207">
        <f t="shared" si="196"/>
        <v>0.85575931718899789</v>
      </c>
      <c r="DK207" s="64">
        <f t="shared" si="197"/>
        <v>-1.1675063639862593</v>
      </c>
      <c r="DL207" s="64">
        <f t="shared" si="198"/>
        <v>-0.41798973279987917</v>
      </c>
      <c r="DM207" s="64">
        <f t="shared" si="199"/>
        <v>-1.1231618396484584</v>
      </c>
      <c r="DN207" s="64">
        <f t="shared" si="200"/>
        <v>-0.37364520846207827</v>
      </c>
      <c r="DO207" t="str">
        <f t="shared" si="201"/>
        <v>Sufficient Capacity</v>
      </c>
      <c r="DP207" t="str">
        <f t="shared" si="202"/>
        <v>Sufficient Capacity</v>
      </c>
    </row>
    <row r="208" spans="1:120" ht="15.75" x14ac:dyDescent="0.25">
      <c r="A208" s="2"/>
      <c r="B2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Wetland_Utrecht_Data_Final_Orde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VANDERSANDEN Simon</dc:creator>
  <cp:lastModifiedBy>VANDERSANDEN Simon</cp:lastModifiedBy>
  <dcterms:created xsi:type="dcterms:W3CDTF">2026-04-03T08:25:53Z</dcterms:created>
  <dcterms:modified xsi:type="dcterms:W3CDTF">2026-05-29T10:56:33Z</dcterms:modified>
</cp:coreProperties>
</file>