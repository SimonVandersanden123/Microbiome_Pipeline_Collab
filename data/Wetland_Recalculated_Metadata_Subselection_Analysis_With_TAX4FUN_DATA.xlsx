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cp12540\Documents\GitHub\Microbiome_Pipeline_Collab\data\"/>
    </mc:Choice>
  </mc:AlternateContent>
  <xr:revisionPtr revIDLastSave="0" documentId="13_ncr:1_{33F23222-8843-42A4-8A2D-EACD0682BA9F}" xr6:coauthVersionLast="47" xr6:coauthVersionMax="47" xr10:uidLastSave="{00000000-0000-0000-0000-000000000000}"/>
  <bookViews>
    <workbookView xWindow="-28920" yWindow="-1575" windowWidth="29040" windowHeight="15720" xr2:uid="{A6DD00EA-6B77-49B5-8AC2-AC6E6C608B26}"/>
  </bookViews>
  <sheets>
    <sheet name="Wetland_Recalculated_Metadata_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13" i="1" l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Z27" i="1"/>
  <c r="Z28" i="1"/>
  <c r="Z29" i="1"/>
  <c r="Z30" i="1"/>
  <c r="Z31" i="1"/>
  <c r="Z32" i="1"/>
  <c r="Z33" i="1"/>
  <c r="Z34" i="1"/>
  <c r="Z35" i="1"/>
  <c r="Z36" i="1"/>
  <c r="Z37" i="1"/>
  <c r="Z38" i="1"/>
  <c r="Z39" i="1"/>
  <c r="Z40" i="1"/>
  <c r="Z41" i="1"/>
  <c r="Z42" i="1"/>
  <c r="Z43" i="1"/>
  <c r="Z44" i="1"/>
  <c r="Z45" i="1"/>
  <c r="Z46" i="1"/>
  <c r="Z47" i="1"/>
  <c r="Z48" i="1"/>
  <c r="Z49" i="1"/>
  <c r="Z50" i="1"/>
  <c r="Z51" i="1"/>
  <c r="Z52" i="1"/>
  <c r="Z53" i="1"/>
  <c r="Z54" i="1"/>
  <c r="Z55" i="1"/>
  <c r="Z56" i="1"/>
  <c r="Z57" i="1"/>
  <c r="Z58" i="1"/>
  <c r="Z59" i="1"/>
  <c r="Z60" i="1"/>
  <c r="Z61" i="1"/>
  <c r="Z62" i="1"/>
  <c r="Z63" i="1"/>
  <c r="Z64" i="1"/>
  <c r="Z65" i="1"/>
  <c r="Z66" i="1"/>
  <c r="Z67" i="1"/>
  <c r="Z68" i="1"/>
  <c r="Z69" i="1"/>
  <c r="Z70" i="1"/>
  <c r="Z71" i="1"/>
  <c r="Z72" i="1"/>
  <c r="Z73" i="1"/>
  <c r="Z74" i="1"/>
  <c r="Z75" i="1"/>
  <c r="Z76" i="1"/>
  <c r="Z77" i="1"/>
  <c r="Z78" i="1"/>
  <c r="Z79" i="1"/>
  <c r="Z80" i="1"/>
  <c r="Z81" i="1"/>
  <c r="Z82" i="1"/>
  <c r="Z83" i="1"/>
  <c r="Z84" i="1"/>
  <c r="Z85" i="1"/>
  <c r="Z86" i="1"/>
  <c r="Z87" i="1"/>
  <c r="Z88" i="1"/>
  <c r="Z89" i="1"/>
  <c r="Z90" i="1"/>
  <c r="Z91" i="1"/>
  <c r="Z92" i="1"/>
  <c r="Z93" i="1"/>
  <c r="Z94" i="1"/>
  <c r="Z95" i="1"/>
  <c r="Z96" i="1"/>
  <c r="Z97" i="1"/>
  <c r="Z98" i="1"/>
  <c r="Z99" i="1"/>
  <c r="Z100" i="1"/>
  <c r="Z101" i="1"/>
  <c r="Z102" i="1"/>
  <c r="Z103" i="1"/>
  <c r="Z104" i="1"/>
  <c r="Z105" i="1"/>
  <c r="Z106" i="1"/>
  <c r="Z107" i="1"/>
  <c r="Z108" i="1"/>
  <c r="Z109" i="1"/>
  <c r="Z110" i="1"/>
  <c r="Z111" i="1"/>
  <c r="Z112" i="1"/>
  <c r="Z113" i="1"/>
  <c r="Z114" i="1"/>
  <c r="Z115" i="1"/>
  <c r="Z116" i="1"/>
  <c r="Z117" i="1"/>
  <c r="Z118" i="1"/>
  <c r="Z119" i="1"/>
  <c r="Z120" i="1"/>
  <c r="Z121" i="1"/>
  <c r="Z122" i="1"/>
  <c r="Z123" i="1"/>
  <c r="Z124" i="1"/>
  <c r="Z125" i="1"/>
  <c r="Z126" i="1"/>
  <c r="Z127" i="1"/>
  <c r="Z128" i="1"/>
  <c r="Z129" i="1"/>
  <c r="Z130" i="1"/>
  <c r="Z131" i="1"/>
  <c r="Z132" i="1"/>
  <c r="Z133" i="1"/>
  <c r="Z134" i="1"/>
  <c r="Z135" i="1"/>
  <c r="Z136" i="1"/>
  <c r="Z137" i="1"/>
  <c r="Z138" i="1"/>
  <c r="Z139" i="1"/>
  <c r="Z140" i="1"/>
  <c r="Z141" i="1"/>
  <c r="Z142" i="1"/>
  <c r="Z143" i="1"/>
  <c r="Z144" i="1"/>
  <c r="Z145" i="1"/>
  <c r="Z146" i="1"/>
  <c r="Z147" i="1"/>
  <c r="Z148" i="1"/>
  <c r="Z149" i="1"/>
  <c r="Z150" i="1"/>
  <c r="Z151" i="1"/>
  <c r="Z152" i="1"/>
  <c r="Z153" i="1"/>
  <c r="Z154" i="1"/>
  <c r="Z155" i="1"/>
  <c r="Z156" i="1"/>
  <c r="Z157" i="1"/>
  <c r="Z158" i="1"/>
  <c r="Z159" i="1"/>
  <c r="Z160" i="1"/>
  <c r="Z161" i="1"/>
  <c r="Z162" i="1"/>
  <c r="Z163" i="1"/>
  <c r="Z164" i="1"/>
  <c r="Z165" i="1"/>
  <c r="Z166" i="1"/>
  <c r="Z167" i="1"/>
  <c r="Z168" i="1"/>
  <c r="Z169" i="1"/>
  <c r="Z170" i="1"/>
  <c r="Z171" i="1"/>
  <c r="Z172" i="1"/>
  <c r="Z173" i="1"/>
  <c r="Z174" i="1"/>
  <c r="Z175" i="1"/>
  <c r="Z176" i="1"/>
  <c r="Z177" i="1"/>
  <c r="Z178" i="1"/>
  <c r="Z179" i="1"/>
  <c r="Z180" i="1"/>
  <c r="Z181" i="1"/>
  <c r="Z182" i="1"/>
  <c r="Z183" i="1"/>
  <c r="Z184" i="1"/>
  <c r="Z185" i="1"/>
  <c r="Z186" i="1"/>
  <c r="Z187" i="1"/>
  <c r="Z188" i="1"/>
  <c r="Z189" i="1"/>
  <c r="Z190" i="1"/>
  <c r="Z191" i="1"/>
  <c r="Z192" i="1"/>
  <c r="Z193" i="1"/>
  <c r="Z194" i="1"/>
  <c r="Z195" i="1"/>
  <c r="Z196" i="1"/>
  <c r="Z197" i="1"/>
  <c r="Z198" i="1"/>
  <c r="Z199" i="1"/>
  <c r="Z200" i="1"/>
  <c r="Z201" i="1"/>
  <c r="Z202" i="1"/>
  <c r="Z203" i="1"/>
  <c r="Z204" i="1"/>
  <c r="Z205" i="1"/>
  <c r="Z206" i="1"/>
  <c r="Z207" i="1"/>
  <c r="Z3" i="1"/>
  <c r="Z4" i="1"/>
  <c r="Z5" i="1"/>
  <c r="Z6" i="1"/>
  <c r="Z7" i="1"/>
  <c r="Z8" i="1"/>
  <c r="Z9" i="1"/>
  <c r="Z10" i="1"/>
  <c r="Z11" i="1"/>
  <c r="Z12" i="1"/>
  <c r="Z2" i="1"/>
  <c r="Y3" i="1"/>
  <c r="Y4" i="1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Y33" i="1"/>
  <c r="Y34" i="1"/>
  <c r="Y35" i="1"/>
  <c r="Y36" i="1"/>
  <c r="Y37" i="1"/>
  <c r="Y38" i="1"/>
  <c r="Y39" i="1"/>
  <c r="Y40" i="1"/>
  <c r="Y41" i="1"/>
  <c r="Y42" i="1"/>
  <c r="Y43" i="1"/>
  <c r="Y44" i="1"/>
  <c r="Y45" i="1"/>
  <c r="Y46" i="1"/>
  <c r="Y47" i="1"/>
  <c r="Y48" i="1"/>
  <c r="Y49" i="1"/>
  <c r="Y50" i="1"/>
  <c r="Y51" i="1"/>
  <c r="Y52" i="1"/>
  <c r="Y53" i="1"/>
  <c r="Y54" i="1"/>
  <c r="Y55" i="1"/>
  <c r="Y56" i="1"/>
  <c r="Y57" i="1"/>
  <c r="Y58" i="1"/>
  <c r="Y59" i="1"/>
  <c r="Y60" i="1"/>
  <c r="Y61" i="1"/>
  <c r="Y62" i="1"/>
  <c r="Y63" i="1"/>
  <c r="Y64" i="1"/>
  <c r="Y65" i="1"/>
  <c r="Y66" i="1"/>
  <c r="Y67" i="1"/>
  <c r="Y68" i="1"/>
  <c r="Y69" i="1"/>
  <c r="Y70" i="1"/>
  <c r="Y71" i="1"/>
  <c r="Y72" i="1"/>
  <c r="Y73" i="1"/>
  <c r="Y74" i="1"/>
  <c r="Y75" i="1"/>
  <c r="Y76" i="1"/>
  <c r="Y77" i="1"/>
  <c r="Y78" i="1"/>
  <c r="Y79" i="1"/>
  <c r="Y80" i="1"/>
  <c r="Y81" i="1"/>
  <c r="Y82" i="1"/>
  <c r="Y83" i="1"/>
  <c r="Y84" i="1"/>
  <c r="Y85" i="1"/>
  <c r="Y86" i="1"/>
  <c r="Y87" i="1"/>
  <c r="Y88" i="1"/>
  <c r="Y89" i="1"/>
  <c r="Y90" i="1"/>
  <c r="Y91" i="1"/>
  <c r="Y92" i="1"/>
  <c r="Y93" i="1"/>
  <c r="Y94" i="1"/>
  <c r="Y95" i="1"/>
  <c r="Y96" i="1"/>
  <c r="Y97" i="1"/>
  <c r="Y98" i="1"/>
  <c r="Y99" i="1"/>
  <c r="Y100" i="1"/>
  <c r="Y101" i="1"/>
  <c r="Y102" i="1"/>
  <c r="Y103" i="1"/>
  <c r="Y104" i="1"/>
  <c r="Y105" i="1"/>
  <c r="Y106" i="1"/>
  <c r="Y107" i="1"/>
  <c r="Y108" i="1"/>
  <c r="Y109" i="1"/>
  <c r="Y110" i="1"/>
  <c r="Y111" i="1"/>
  <c r="Y112" i="1"/>
  <c r="Y113" i="1"/>
  <c r="Y114" i="1"/>
  <c r="Y115" i="1"/>
  <c r="Y116" i="1"/>
  <c r="Y117" i="1"/>
  <c r="Y118" i="1"/>
  <c r="Y119" i="1"/>
  <c r="Y120" i="1"/>
  <c r="Y121" i="1"/>
  <c r="Y122" i="1"/>
  <c r="Y123" i="1"/>
  <c r="Y124" i="1"/>
  <c r="Y125" i="1"/>
  <c r="Y126" i="1"/>
  <c r="Y127" i="1"/>
  <c r="Y128" i="1"/>
  <c r="Y129" i="1"/>
  <c r="Y130" i="1"/>
  <c r="Y131" i="1"/>
  <c r="Y132" i="1"/>
  <c r="Y133" i="1"/>
  <c r="Y134" i="1"/>
  <c r="Y135" i="1"/>
  <c r="Y136" i="1"/>
  <c r="Y137" i="1"/>
  <c r="Y138" i="1"/>
  <c r="Y139" i="1"/>
  <c r="Y140" i="1"/>
  <c r="Y141" i="1"/>
  <c r="Y142" i="1"/>
  <c r="Y143" i="1"/>
  <c r="Y144" i="1"/>
  <c r="Y145" i="1"/>
  <c r="Y146" i="1"/>
  <c r="Y147" i="1"/>
  <c r="Y148" i="1"/>
  <c r="Y149" i="1"/>
  <c r="Y150" i="1"/>
  <c r="Y151" i="1"/>
  <c r="Y152" i="1"/>
  <c r="Y153" i="1"/>
  <c r="Y154" i="1"/>
  <c r="Y155" i="1"/>
  <c r="Y156" i="1"/>
  <c r="Y157" i="1"/>
  <c r="Y158" i="1"/>
  <c r="Y159" i="1"/>
  <c r="Y160" i="1"/>
  <c r="Y161" i="1"/>
  <c r="Y162" i="1"/>
  <c r="Y163" i="1"/>
  <c r="Y164" i="1"/>
  <c r="Y165" i="1"/>
  <c r="Y166" i="1"/>
  <c r="Y167" i="1"/>
  <c r="Y168" i="1"/>
  <c r="Y169" i="1"/>
  <c r="Y170" i="1"/>
  <c r="Y171" i="1"/>
  <c r="Y172" i="1"/>
  <c r="Y173" i="1"/>
  <c r="Y174" i="1"/>
  <c r="Y175" i="1"/>
  <c r="Y176" i="1"/>
  <c r="Y177" i="1"/>
  <c r="Y178" i="1"/>
  <c r="Y179" i="1"/>
  <c r="Y180" i="1"/>
  <c r="Y181" i="1"/>
  <c r="Y182" i="1"/>
  <c r="Y183" i="1"/>
  <c r="Y184" i="1"/>
  <c r="Y185" i="1"/>
  <c r="Y186" i="1"/>
  <c r="Y187" i="1"/>
  <c r="Y188" i="1"/>
  <c r="Y189" i="1"/>
  <c r="Y190" i="1"/>
  <c r="Y191" i="1"/>
  <c r="Y192" i="1"/>
  <c r="Y193" i="1"/>
  <c r="Y194" i="1"/>
  <c r="Y195" i="1"/>
  <c r="Y196" i="1"/>
  <c r="Y197" i="1"/>
  <c r="Y198" i="1"/>
  <c r="Y199" i="1"/>
  <c r="Y200" i="1"/>
  <c r="Y201" i="1"/>
  <c r="Y202" i="1"/>
  <c r="Y203" i="1"/>
  <c r="Y204" i="1"/>
  <c r="Y205" i="1"/>
  <c r="Y206" i="1"/>
  <c r="Y207" i="1"/>
  <c r="Y2" i="1"/>
  <c r="CT11" i="1"/>
  <c r="CT12" i="1"/>
  <c r="CT13" i="1"/>
  <c r="CT14" i="1"/>
  <c r="CT15" i="1"/>
  <c r="CT16" i="1"/>
  <c r="CT17" i="1"/>
  <c r="CT18" i="1"/>
  <c r="CT19" i="1"/>
  <c r="CT20" i="1"/>
  <c r="CT21" i="1"/>
  <c r="CT22" i="1"/>
  <c r="CT23" i="1"/>
  <c r="CT24" i="1"/>
  <c r="CT25" i="1"/>
  <c r="CT26" i="1"/>
  <c r="CT27" i="1"/>
  <c r="CT28" i="1"/>
  <c r="CT29" i="1"/>
  <c r="CT30" i="1"/>
  <c r="CT31" i="1"/>
  <c r="CT32" i="1"/>
  <c r="CT33" i="1"/>
  <c r="CT34" i="1"/>
  <c r="CT35" i="1"/>
  <c r="CT36" i="1"/>
  <c r="CT37" i="1"/>
  <c r="CT38" i="1"/>
  <c r="CT39" i="1"/>
  <c r="CT40" i="1"/>
  <c r="CT41" i="1"/>
  <c r="CT42" i="1"/>
  <c r="CT43" i="1"/>
  <c r="CT44" i="1"/>
  <c r="CT45" i="1"/>
  <c r="CT46" i="1"/>
  <c r="CT47" i="1"/>
  <c r="CT48" i="1"/>
  <c r="CT49" i="1"/>
  <c r="CT50" i="1"/>
  <c r="CT51" i="1"/>
  <c r="CT52" i="1"/>
  <c r="CT53" i="1"/>
  <c r="CT54" i="1"/>
  <c r="CT55" i="1"/>
  <c r="CT56" i="1"/>
  <c r="CT57" i="1"/>
  <c r="CT58" i="1"/>
  <c r="CT59" i="1"/>
  <c r="CT60" i="1"/>
  <c r="CT61" i="1"/>
  <c r="CT62" i="1"/>
  <c r="CT63" i="1"/>
  <c r="CT64" i="1"/>
  <c r="CT65" i="1"/>
  <c r="CT66" i="1"/>
  <c r="CT67" i="1"/>
  <c r="CT68" i="1"/>
  <c r="CT69" i="1"/>
  <c r="CT70" i="1"/>
  <c r="CT71" i="1"/>
  <c r="CT72" i="1"/>
  <c r="CT73" i="1"/>
  <c r="CT74" i="1"/>
  <c r="CT75" i="1"/>
  <c r="CT76" i="1"/>
  <c r="CT77" i="1"/>
  <c r="CT78" i="1"/>
  <c r="CT79" i="1"/>
  <c r="CT80" i="1"/>
  <c r="CT81" i="1"/>
  <c r="CT82" i="1"/>
  <c r="CT83" i="1"/>
  <c r="CT84" i="1"/>
  <c r="CT85" i="1"/>
  <c r="CT86" i="1"/>
  <c r="CT87" i="1"/>
  <c r="CT88" i="1"/>
  <c r="CT89" i="1"/>
  <c r="CT90" i="1"/>
  <c r="CT91" i="1"/>
  <c r="CT92" i="1"/>
  <c r="CT93" i="1"/>
  <c r="CT94" i="1"/>
  <c r="CT95" i="1"/>
  <c r="CT96" i="1"/>
  <c r="CT97" i="1"/>
  <c r="CT98" i="1"/>
  <c r="CT99" i="1"/>
  <c r="CT100" i="1"/>
  <c r="CT101" i="1"/>
  <c r="CT102" i="1"/>
  <c r="CT103" i="1"/>
  <c r="CT104" i="1"/>
  <c r="CT105" i="1"/>
  <c r="CT106" i="1"/>
  <c r="CT107" i="1"/>
  <c r="CT108" i="1"/>
  <c r="CT109" i="1"/>
  <c r="CT110" i="1"/>
  <c r="CT111" i="1"/>
  <c r="CT112" i="1"/>
  <c r="CT113" i="1"/>
  <c r="CT114" i="1"/>
  <c r="CT115" i="1"/>
  <c r="CT116" i="1"/>
  <c r="CT117" i="1"/>
  <c r="CT118" i="1"/>
  <c r="CT119" i="1"/>
  <c r="CT120" i="1"/>
  <c r="CT121" i="1"/>
  <c r="CT122" i="1"/>
  <c r="CT123" i="1"/>
  <c r="CT124" i="1"/>
  <c r="CT125" i="1"/>
  <c r="CT126" i="1"/>
  <c r="CT127" i="1"/>
  <c r="CT128" i="1"/>
  <c r="CT129" i="1"/>
  <c r="CT130" i="1"/>
  <c r="CT131" i="1"/>
  <c r="CT132" i="1"/>
  <c r="CT133" i="1"/>
  <c r="CT134" i="1"/>
  <c r="CT135" i="1"/>
  <c r="CT136" i="1"/>
  <c r="CT137" i="1"/>
  <c r="CT138" i="1"/>
  <c r="CT139" i="1"/>
  <c r="CT140" i="1"/>
  <c r="CT141" i="1"/>
  <c r="CT142" i="1"/>
  <c r="CT143" i="1"/>
  <c r="CT144" i="1"/>
  <c r="CT145" i="1"/>
  <c r="CT146" i="1"/>
  <c r="CT147" i="1"/>
  <c r="CT148" i="1"/>
  <c r="CT149" i="1"/>
  <c r="CT150" i="1"/>
  <c r="CT151" i="1"/>
  <c r="CT152" i="1"/>
  <c r="CT153" i="1"/>
  <c r="CT154" i="1"/>
  <c r="CT155" i="1"/>
  <c r="CT156" i="1"/>
  <c r="CT157" i="1"/>
  <c r="CT158" i="1"/>
  <c r="CT159" i="1"/>
  <c r="CT160" i="1"/>
  <c r="CT161" i="1"/>
  <c r="CT162" i="1"/>
  <c r="CT163" i="1"/>
  <c r="CT164" i="1"/>
  <c r="CT165" i="1"/>
  <c r="CT166" i="1"/>
  <c r="CT167" i="1"/>
  <c r="CT168" i="1"/>
  <c r="CT169" i="1"/>
  <c r="CT170" i="1"/>
  <c r="CT171" i="1"/>
  <c r="CT172" i="1"/>
  <c r="CT173" i="1"/>
  <c r="CT174" i="1"/>
  <c r="CT175" i="1"/>
  <c r="CT176" i="1"/>
  <c r="CT177" i="1"/>
  <c r="CT178" i="1"/>
  <c r="CT179" i="1"/>
  <c r="CT180" i="1"/>
  <c r="CT181" i="1"/>
  <c r="CT182" i="1"/>
  <c r="CT183" i="1"/>
  <c r="CT184" i="1"/>
  <c r="CT185" i="1"/>
  <c r="CT186" i="1"/>
  <c r="CT187" i="1"/>
  <c r="CT188" i="1"/>
  <c r="CT189" i="1"/>
  <c r="CT190" i="1"/>
  <c r="CT191" i="1"/>
  <c r="CT192" i="1"/>
  <c r="CT193" i="1"/>
  <c r="CT194" i="1"/>
  <c r="CT195" i="1"/>
  <c r="CT196" i="1"/>
  <c r="CT197" i="1"/>
  <c r="CT198" i="1"/>
  <c r="CT199" i="1"/>
  <c r="CT200" i="1"/>
  <c r="CT201" i="1"/>
  <c r="CT202" i="1"/>
  <c r="CT203" i="1"/>
  <c r="CT204" i="1"/>
  <c r="CT205" i="1"/>
  <c r="CT206" i="1"/>
  <c r="CT207" i="1"/>
  <c r="CT10" i="1"/>
  <c r="CX25" i="1"/>
  <c r="CX26" i="1"/>
  <c r="CX27" i="1"/>
  <c r="CX28" i="1"/>
  <c r="CX29" i="1"/>
  <c r="CX30" i="1"/>
  <c r="CX31" i="1"/>
  <c r="CX32" i="1"/>
  <c r="CX33" i="1"/>
  <c r="CX34" i="1"/>
  <c r="CX35" i="1"/>
  <c r="CX36" i="1"/>
  <c r="CX37" i="1"/>
  <c r="CX38" i="1"/>
  <c r="CX39" i="1"/>
  <c r="CX40" i="1"/>
  <c r="CX41" i="1"/>
  <c r="CX42" i="1"/>
  <c r="CX43" i="1"/>
  <c r="CX44" i="1"/>
  <c r="CX45" i="1"/>
  <c r="CX46" i="1"/>
  <c r="CX47" i="1"/>
  <c r="CX48" i="1"/>
  <c r="CX49" i="1"/>
  <c r="CX50" i="1"/>
  <c r="CX51" i="1"/>
  <c r="CX52" i="1"/>
  <c r="CX53" i="1"/>
  <c r="CX54" i="1"/>
  <c r="CX55" i="1"/>
  <c r="CX56" i="1"/>
  <c r="CX57" i="1"/>
  <c r="CX58" i="1"/>
  <c r="CX59" i="1"/>
  <c r="CX60" i="1"/>
  <c r="CX61" i="1"/>
  <c r="CX62" i="1"/>
  <c r="CX63" i="1"/>
  <c r="CX64" i="1"/>
  <c r="CX65" i="1"/>
  <c r="CX66" i="1"/>
  <c r="CX67" i="1"/>
  <c r="CX68" i="1"/>
  <c r="CX69" i="1"/>
  <c r="CX70" i="1"/>
  <c r="CX71" i="1"/>
  <c r="CX72" i="1"/>
  <c r="CX73" i="1"/>
  <c r="CX74" i="1"/>
  <c r="CX75" i="1"/>
  <c r="CX76" i="1"/>
  <c r="CX77" i="1"/>
  <c r="CX78" i="1"/>
  <c r="CX79" i="1"/>
  <c r="CX80" i="1"/>
  <c r="CX81" i="1"/>
  <c r="CX82" i="1"/>
  <c r="CX83" i="1"/>
  <c r="CX84" i="1"/>
  <c r="CX85" i="1"/>
  <c r="CX86" i="1"/>
  <c r="CX87" i="1"/>
  <c r="CX88" i="1"/>
  <c r="CX89" i="1"/>
  <c r="CX90" i="1"/>
  <c r="CX91" i="1"/>
  <c r="CX92" i="1"/>
  <c r="CX93" i="1"/>
  <c r="CX94" i="1"/>
  <c r="CX95" i="1"/>
  <c r="CX96" i="1"/>
  <c r="CX97" i="1"/>
  <c r="CX98" i="1"/>
  <c r="CX99" i="1"/>
  <c r="CX100" i="1"/>
  <c r="CX101" i="1"/>
  <c r="CX102" i="1"/>
  <c r="CX103" i="1"/>
  <c r="CX104" i="1"/>
  <c r="CX105" i="1"/>
  <c r="CX106" i="1"/>
  <c r="CX107" i="1"/>
  <c r="CX108" i="1"/>
  <c r="CX109" i="1"/>
  <c r="CX110" i="1"/>
  <c r="CX111" i="1"/>
  <c r="CX112" i="1"/>
  <c r="CX113" i="1"/>
  <c r="CX114" i="1"/>
  <c r="CX115" i="1"/>
  <c r="CX116" i="1"/>
  <c r="CX117" i="1"/>
  <c r="CX118" i="1"/>
  <c r="CX119" i="1"/>
  <c r="CX120" i="1"/>
  <c r="CX121" i="1"/>
  <c r="CX122" i="1"/>
  <c r="CX123" i="1"/>
  <c r="CX124" i="1"/>
  <c r="CX125" i="1"/>
  <c r="CX126" i="1"/>
  <c r="CX127" i="1"/>
  <c r="CX128" i="1"/>
  <c r="CX129" i="1"/>
  <c r="CX130" i="1"/>
  <c r="CX131" i="1"/>
  <c r="CX132" i="1"/>
  <c r="CX133" i="1"/>
  <c r="CX134" i="1"/>
  <c r="CX135" i="1"/>
  <c r="CX136" i="1"/>
  <c r="CX137" i="1"/>
  <c r="CX138" i="1"/>
  <c r="CX139" i="1"/>
  <c r="CX140" i="1"/>
  <c r="CX141" i="1"/>
  <c r="CX142" i="1"/>
  <c r="CX143" i="1"/>
  <c r="CX144" i="1"/>
  <c r="CX145" i="1"/>
  <c r="CX146" i="1"/>
  <c r="CX147" i="1"/>
  <c r="CX148" i="1"/>
  <c r="CX149" i="1"/>
  <c r="CX150" i="1"/>
  <c r="CX151" i="1"/>
  <c r="CX152" i="1"/>
  <c r="CX153" i="1"/>
  <c r="CX154" i="1"/>
  <c r="CX155" i="1"/>
  <c r="CX156" i="1"/>
  <c r="CX157" i="1"/>
  <c r="CX158" i="1"/>
  <c r="CX159" i="1"/>
  <c r="CX160" i="1"/>
  <c r="CX161" i="1"/>
  <c r="CX162" i="1"/>
  <c r="CX163" i="1"/>
  <c r="CX164" i="1"/>
  <c r="CX165" i="1"/>
  <c r="CX166" i="1"/>
  <c r="CX167" i="1"/>
  <c r="CX168" i="1"/>
  <c r="CX169" i="1"/>
  <c r="CX170" i="1"/>
  <c r="CX171" i="1"/>
  <c r="CX172" i="1"/>
  <c r="CX173" i="1"/>
  <c r="CX174" i="1"/>
  <c r="CX175" i="1"/>
  <c r="CX176" i="1"/>
  <c r="CX177" i="1"/>
  <c r="CX178" i="1"/>
  <c r="CX179" i="1"/>
  <c r="CX180" i="1"/>
  <c r="CX181" i="1"/>
  <c r="CX182" i="1"/>
  <c r="CX183" i="1"/>
  <c r="CX184" i="1"/>
  <c r="CX185" i="1"/>
  <c r="CX186" i="1"/>
  <c r="CX187" i="1"/>
  <c r="CX188" i="1"/>
  <c r="CX189" i="1"/>
  <c r="CX190" i="1"/>
  <c r="CX191" i="1"/>
  <c r="CX192" i="1"/>
  <c r="CX193" i="1"/>
  <c r="CX194" i="1"/>
  <c r="CX195" i="1"/>
  <c r="CX196" i="1"/>
  <c r="CX197" i="1"/>
  <c r="CX198" i="1"/>
  <c r="CX199" i="1"/>
  <c r="CX200" i="1"/>
  <c r="CX201" i="1"/>
  <c r="CX202" i="1"/>
  <c r="CX203" i="1"/>
  <c r="CX204" i="1"/>
  <c r="CX205" i="1"/>
  <c r="CX206" i="1"/>
  <c r="CX207" i="1"/>
  <c r="CX16" i="1"/>
  <c r="CX17" i="1"/>
  <c r="CX18" i="1"/>
  <c r="CX19" i="1"/>
  <c r="CX20" i="1"/>
  <c r="CX21" i="1"/>
  <c r="CX22" i="1"/>
  <c r="CX23" i="1"/>
  <c r="CX24" i="1"/>
  <c r="CX11" i="1"/>
  <c r="CX12" i="1"/>
  <c r="CX13" i="1"/>
  <c r="CX14" i="1"/>
  <c r="CX15" i="1"/>
  <c r="CX10" i="1"/>
  <c r="DD11" i="1"/>
  <c r="DE11" i="1" s="1"/>
  <c r="DF11" i="1" s="1"/>
  <c r="DG11" i="1" s="1"/>
  <c r="DH11" i="1" s="1"/>
  <c r="DD12" i="1"/>
  <c r="DE12" i="1" s="1"/>
  <c r="DF12" i="1" s="1"/>
  <c r="DG12" i="1" s="1"/>
  <c r="DH12" i="1" s="1"/>
  <c r="DD13" i="1"/>
  <c r="DE13" i="1" s="1"/>
  <c r="DF13" i="1" s="1"/>
  <c r="DG13" i="1" s="1"/>
  <c r="DH13" i="1" s="1"/>
  <c r="DD14" i="1"/>
  <c r="DE14" i="1" s="1"/>
  <c r="DF14" i="1" s="1"/>
  <c r="DG14" i="1" s="1"/>
  <c r="DH14" i="1" s="1"/>
  <c r="DD15" i="1"/>
  <c r="DE15" i="1" s="1"/>
  <c r="DF15" i="1" s="1"/>
  <c r="DG15" i="1" s="1"/>
  <c r="DH15" i="1" s="1"/>
  <c r="DD16" i="1"/>
  <c r="DE16" i="1" s="1"/>
  <c r="DF16" i="1" s="1"/>
  <c r="DG16" i="1" s="1"/>
  <c r="DH16" i="1" s="1"/>
  <c r="DD17" i="1"/>
  <c r="DE17" i="1" s="1"/>
  <c r="DF17" i="1" s="1"/>
  <c r="DG17" i="1" s="1"/>
  <c r="DH17" i="1" s="1"/>
  <c r="DD18" i="1"/>
  <c r="DE18" i="1" s="1"/>
  <c r="DF18" i="1" s="1"/>
  <c r="DG18" i="1" s="1"/>
  <c r="DH18" i="1" s="1"/>
  <c r="DD19" i="1"/>
  <c r="DE19" i="1" s="1"/>
  <c r="DF19" i="1" s="1"/>
  <c r="DG19" i="1" s="1"/>
  <c r="DH19" i="1" s="1"/>
  <c r="DD20" i="1"/>
  <c r="DE20" i="1" s="1"/>
  <c r="DF20" i="1" s="1"/>
  <c r="DG20" i="1" s="1"/>
  <c r="DH20" i="1" s="1"/>
  <c r="DD21" i="1"/>
  <c r="DE21" i="1" s="1"/>
  <c r="DF21" i="1" s="1"/>
  <c r="DG21" i="1" s="1"/>
  <c r="DH21" i="1" s="1"/>
  <c r="DD22" i="1"/>
  <c r="DE22" i="1" s="1"/>
  <c r="DF22" i="1" s="1"/>
  <c r="DG22" i="1" s="1"/>
  <c r="DH22" i="1" s="1"/>
  <c r="DD23" i="1"/>
  <c r="DE23" i="1" s="1"/>
  <c r="DF23" i="1" s="1"/>
  <c r="DG23" i="1" s="1"/>
  <c r="DH23" i="1" s="1"/>
  <c r="DD24" i="1"/>
  <c r="DE24" i="1" s="1"/>
  <c r="DF24" i="1" s="1"/>
  <c r="DG24" i="1" s="1"/>
  <c r="DH24" i="1" s="1"/>
  <c r="DD25" i="1"/>
  <c r="DE25" i="1" s="1"/>
  <c r="DF25" i="1" s="1"/>
  <c r="DG25" i="1" s="1"/>
  <c r="DH25" i="1" s="1"/>
  <c r="DD26" i="1"/>
  <c r="DE26" i="1" s="1"/>
  <c r="DF26" i="1" s="1"/>
  <c r="DG26" i="1" s="1"/>
  <c r="DH26" i="1" s="1"/>
  <c r="DD27" i="1"/>
  <c r="DE27" i="1" s="1"/>
  <c r="DF27" i="1" s="1"/>
  <c r="DG27" i="1" s="1"/>
  <c r="DH27" i="1" s="1"/>
  <c r="DD28" i="1"/>
  <c r="DE28" i="1" s="1"/>
  <c r="DF28" i="1" s="1"/>
  <c r="DG28" i="1" s="1"/>
  <c r="DH28" i="1" s="1"/>
  <c r="DD29" i="1"/>
  <c r="DE29" i="1" s="1"/>
  <c r="DF29" i="1" s="1"/>
  <c r="DG29" i="1" s="1"/>
  <c r="DH29" i="1" s="1"/>
  <c r="DD30" i="1"/>
  <c r="DE30" i="1" s="1"/>
  <c r="DF30" i="1" s="1"/>
  <c r="DG30" i="1" s="1"/>
  <c r="DH30" i="1" s="1"/>
  <c r="DD31" i="1"/>
  <c r="DE31" i="1" s="1"/>
  <c r="DF31" i="1" s="1"/>
  <c r="DG31" i="1" s="1"/>
  <c r="DH31" i="1" s="1"/>
  <c r="DD32" i="1"/>
  <c r="DE32" i="1" s="1"/>
  <c r="DF32" i="1" s="1"/>
  <c r="DG32" i="1" s="1"/>
  <c r="DH32" i="1" s="1"/>
  <c r="DD33" i="1"/>
  <c r="DE33" i="1" s="1"/>
  <c r="DF33" i="1" s="1"/>
  <c r="DG33" i="1" s="1"/>
  <c r="DH33" i="1" s="1"/>
  <c r="DD34" i="1"/>
  <c r="DE34" i="1" s="1"/>
  <c r="DF34" i="1" s="1"/>
  <c r="DG34" i="1" s="1"/>
  <c r="DH34" i="1" s="1"/>
  <c r="DD35" i="1"/>
  <c r="DE35" i="1" s="1"/>
  <c r="DF35" i="1" s="1"/>
  <c r="DG35" i="1" s="1"/>
  <c r="DH35" i="1" s="1"/>
  <c r="DD36" i="1"/>
  <c r="DE36" i="1" s="1"/>
  <c r="DF36" i="1" s="1"/>
  <c r="DG36" i="1" s="1"/>
  <c r="DH36" i="1" s="1"/>
  <c r="DD37" i="1"/>
  <c r="DE37" i="1" s="1"/>
  <c r="DF37" i="1" s="1"/>
  <c r="DG37" i="1" s="1"/>
  <c r="DH37" i="1" s="1"/>
  <c r="DD38" i="1"/>
  <c r="DE38" i="1" s="1"/>
  <c r="DF38" i="1" s="1"/>
  <c r="DG38" i="1" s="1"/>
  <c r="DH38" i="1" s="1"/>
  <c r="DD39" i="1"/>
  <c r="DE39" i="1" s="1"/>
  <c r="DF39" i="1" s="1"/>
  <c r="DG39" i="1" s="1"/>
  <c r="DH39" i="1" s="1"/>
  <c r="DD40" i="1"/>
  <c r="DE40" i="1" s="1"/>
  <c r="DF40" i="1" s="1"/>
  <c r="DG40" i="1" s="1"/>
  <c r="DH40" i="1" s="1"/>
  <c r="DD41" i="1"/>
  <c r="DE41" i="1" s="1"/>
  <c r="DF41" i="1" s="1"/>
  <c r="DG41" i="1" s="1"/>
  <c r="DH41" i="1" s="1"/>
  <c r="DD42" i="1"/>
  <c r="DE42" i="1" s="1"/>
  <c r="DF42" i="1" s="1"/>
  <c r="DG42" i="1" s="1"/>
  <c r="DH42" i="1" s="1"/>
  <c r="DD43" i="1"/>
  <c r="DE43" i="1" s="1"/>
  <c r="DF43" i="1" s="1"/>
  <c r="DG43" i="1" s="1"/>
  <c r="DH43" i="1" s="1"/>
  <c r="DD44" i="1"/>
  <c r="DE44" i="1" s="1"/>
  <c r="DF44" i="1" s="1"/>
  <c r="DG44" i="1" s="1"/>
  <c r="DH44" i="1" s="1"/>
  <c r="DD45" i="1"/>
  <c r="DE45" i="1" s="1"/>
  <c r="DF45" i="1" s="1"/>
  <c r="DG45" i="1" s="1"/>
  <c r="DH45" i="1" s="1"/>
  <c r="DD46" i="1"/>
  <c r="DE46" i="1" s="1"/>
  <c r="DF46" i="1" s="1"/>
  <c r="DG46" i="1" s="1"/>
  <c r="DH46" i="1" s="1"/>
  <c r="DD47" i="1"/>
  <c r="DE47" i="1" s="1"/>
  <c r="DF47" i="1" s="1"/>
  <c r="DG47" i="1" s="1"/>
  <c r="DH47" i="1" s="1"/>
  <c r="DD48" i="1"/>
  <c r="DE48" i="1" s="1"/>
  <c r="DF48" i="1" s="1"/>
  <c r="DG48" i="1" s="1"/>
  <c r="DH48" i="1" s="1"/>
  <c r="DD49" i="1"/>
  <c r="DE49" i="1" s="1"/>
  <c r="DF49" i="1" s="1"/>
  <c r="DG49" i="1" s="1"/>
  <c r="DH49" i="1" s="1"/>
  <c r="DD50" i="1"/>
  <c r="DE50" i="1" s="1"/>
  <c r="DF50" i="1" s="1"/>
  <c r="DG50" i="1" s="1"/>
  <c r="DH50" i="1" s="1"/>
  <c r="DD51" i="1"/>
  <c r="DE51" i="1" s="1"/>
  <c r="DF51" i="1" s="1"/>
  <c r="DG51" i="1" s="1"/>
  <c r="DH51" i="1" s="1"/>
  <c r="DD52" i="1"/>
  <c r="DE52" i="1" s="1"/>
  <c r="DF52" i="1" s="1"/>
  <c r="DG52" i="1" s="1"/>
  <c r="DH52" i="1" s="1"/>
  <c r="DD53" i="1"/>
  <c r="DE53" i="1" s="1"/>
  <c r="DF53" i="1" s="1"/>
  <c r="DG53" i="1" s="1"/>
  <c r="DH53" i="1" s="1"/>
  <c r="DD54" i="1"/>
  <c r="DE54" i="1" s="1"/>
  <c r="DF54" i="1" s="1"/>
  <c r="DG54" i="1" s="1"/>
  <c r="DH54" i="1" s="1"/>
  <c r="DD55" i="1"/>
  <c r="DE55" i="1" s="1"/>
  <c r="DF55" i="1" s="1"/>
  <c r="DG55" i="1" s="1"/>
  <c r="DH55" i="1" s="1"/>
  <c r="DD56" i="1"/>
  <c r="DE56" i="1" s="1"/>
  <c r="DF56" i="1" s="1"/>
  <c r="DG56" i="1" s="1"/>
  <c r="DH56" i="1" s="1"/>
  <c r="DD57" i="1"/>
  <c r="DE57" i="1" s="1"/>
  <c r="DF57" i="1" s="1"/>
  <c r="DG57" i="1" s="1"/>
  <c r="DH57" i="1" s="1"/>
  <c r="DD58" i="1"/>
  <c r="DE58" i="1" s="1"/>
  <c r="DF58" i="1" s="1"/>
  <c r="DG58" i="1" s="1"/>
  <c r="DH58" i="1" s="1"/>
  <c r="DD59" i="1"/>
  <c r="DE59" i="1" s="1"/>
  <c r="DF59" i="1" s="1"/>
  <c r="DG59" i="1" s="1"/>
  <c r="DH59" i="1" s="1"/>
  <c r="DD60" i="1"/>
  <c r="DE60" i="1" s="1"/>
  <c r="DF60" i="1" s="1"/>
  <c r="DG60" i="1" s="1"/>
  <c r="DH60" i="1" s="1"/>
  <c r="DD61" i="1"/>
  <c r="DE61" i="1" s="1"/>
  <c r="DF61" i="1" s="1"/>
  <c r="DG61" i="1" s="1"/>
  <c r="DH61" i="1" s="1"/>
  <c r="DD62" i="1"/>
  <c r="DE62" i="1" s="1"/>
  <c r="DF62" i="1" s="1"/>
  <c r="DG62" i="1" s="1"/>
  <c r="DH62" i="1" s="1"/>
  <c r="DD63" i="1"/>
  <c r="DE63" i="1" s="1"/>
  <c r="DF63" i="1" s="1"/>
  <c r="DG63" i="1" s="1"/>
  <c r="DH63" i="1" s="1"/>
  <c r="DD64" i="1"/>
  <c r="DE64" i="1" s="1"/>
  <c r="DF64" i="1" s="1"/>
  <c r="DG64" i="1" s="1"/>
  <c r="DH64" i="1" s="1"/>
  <c r="DD65" i="1"/>
  <c r="DE65" i="1" s="1"/>
  <c r="DF65" i="1" s="1"/>
  <c r="DG65" i="1" s="1"/>
  <c r="DH65" i="1" s="1"/>
  <c r="DD66" i="1"/>
  <c r="DE66" i="1" s="1"/>
  <c r="DF66" i="1" s="1"/>
  <c r="DG66" i="1" s="1"/>
  <c r="DH66" i="1" s="1"/>
  <c r="DD67" i="1"/>
  <c r="DE67" i="1" s="1"/>
  <c r="DF67" i="1" s="1"/>
  <c r="DG67" i="1" s="1"/>
  <c r="DH67" i="1" s="1"/>
  <c r="DD68" i="1"/>
  <c r="DE68" i="1" s="1"/>
  <c r="DF68" i="1" s="1"/>
  <c r="DG68" i="1" s="1"/>
  <c r="DH68" i="1" s="1"/>
  <c r="DD69" i="1"/>
  <c r="DE69" i="1" s="1"/>
  <c r="DF69" i="1" s="1"/>
  <c r="DG69" i="1" s="1"/>
  <c r="DH69" i="1" s="1"/>
  <c r="DD70" i="1"/>
  <c r="DE70" i="1" s="1"/>
  <c r="DF70" i="1" s="1"/>
  <c r="DG70" i="1" s="1"/>
  <c r="DH70" i="1" s="1"/>
  <c r="DD71" i="1"/>
  <c r="DE71" i="1" s="1"/>
  <c r="DF71" i="1" s="1"/>
  <c r="DG71" i="1" s="1"/>
  <c r="DH71" i="1" s="1"/>
  <c r="DD72" i="1"/>
  <c r="DE72" i="1" s="1"/>
  <c r="DF72" i="1" s="1"/>
  <c r="DG72" i="1" s="1"/>
  <c r="DH72" i="1" s="1"/>
  <c r="DD73" i="1"/>
  <c r="DE73" i="1" s="1"/>
  <c r="DF73" i="1" s="1"/>
  <c r="DG73" i="1" s="1"/>
  <c r="DH73" i="1" s="1"/>
  <c r="DD74" i="1"/>
  <c r="DE74" i="1" s="1"/>
  <c r="DF74" i="1" s="1"/>
  <c r="DG74" i="1" s="1"/>
  <c r="DH74" i="1" s="1"/>
  <c r="DD75" i="1"/>
  <c r="DE75" i="1" s="1"/>
  <c r="DF75" i="1" s="1"/>
  <c r="DG75" i="1" s="1"/>
  <c r="DH75" i="1" s="1"/>
  <c r="DD76" i="1"/>
  <c r="DE76" i="1" s="1"/>
  <c r="DF76" i="1" s="1"/>
  <c r="DG76" i="1" s="1"/>
  <c r="DH76" i="1" s="1"/>
  <c r="DD77" i="1"/>
  <c r="DE77" i="1" s="1"/>
  <c r="DF77" i="1" s="1"/>
  <c r="DG77" i="1" s="1"/>
  <c r="DH77" i="1" s="1"/>
  <c r="DD78" i="1"/>
  <c r="DE78" i="1" s="1"/>
  <c r="DF78" i="1" s="1"/>
  <c r="DG78" i="1" s="1"/>
  <c r="DH78" i="1" s="1"/>
  <c r="DD79" i="1"/>
  <c r="DE79" i="1" s="1"/>
  <c r="DF79" i="1" s="1"/>
  <c r="DG79" i="1" s="1"/>
  <c r="DH79" i="1" s="1"/>
  <c r="DD80" i="1"/>
  <c r="DE80" i="1" s="1"/>
  <c r="DF80" i="1" s="1"/>
  <c r="DG80" i="1" s="1"/>
  <c r="DH80" i="1" s="1"/>
  <c r="DD81" i="1"/>
  <c r="DE81" i="1" s="1"/>
  <c r="DF81" i="1" s="1"/>
  <c r="DG81" i="1" s="1"/>
  <c r="DH81" i="1" s="1"/>
  <c r="DD82" i="1"/>
  <c r="DE82" i="1" s="1"/>
  <c r="DF82" i="1" s="1"/>
  <c r="DG82" i="1" s="1"/>
  <c r="DH82" i="1" s="1"/>
  <c r="DD83" i="1"/>
  <c r="DE83" i="1" s="1"/>
  <c r="DF83" i="1" s="1"/>
  <c r="DG83" i="1" s="1"/>
  <c r="DH83" i="1" s="1"/>
  <c r="DD84" i="1"/>
  <c r="DE84" i="1" s="1"/>
  <c r="DF84" i="1" s="1"/>
  <c r="DG84" i="1" s="1"/>
  <c r="DH84" i="1" s="1"/>
  <c r="DD85" i="1"/>
  <c r="DE85" i="1" s="1"/>
  <c r="DF85" i="1" s="1"/>
  <c r="DG85" i="1" s="1"/>
  <c r="DH85" i="1" s="1"/>
  <c r="DD86" i="1"/>
  <c r="DE86" i="1" s="1"/>
  <c r="DF86" i="1" s="1"/>
  <c r="DG86" i="1" s="1"/>
  <c r="DH86" i="1" s="1"/>
  <c r="DD87" i="1"/>
  <c r="DE87" i="1" s="1"/>
  <c r="DF87" i="1" s="1"/>
  <c r="DG87" i="1" s="1"/>
  <c r="DH87" i="1" s="1"/>
  <c r="DD88" i="1"/>
  <c r="DE88" i="1" s="1"/>
  <c r="DF88" i="1" s="1"/>
  <c r="DG88" i="1" s="1"/>
  <c r="DH88" i="1" s="1"/>
  <c r="DD89" i="1"/>
  <c r="DE89" i="1" s="1"/>
  <c r="DF89" i="1" s="1"/>
  <c r="DG89" i="1" s="1"/>
  <c r="DH89" i="1" s="1"/>
  <c r="DD90" i="1"/>
  <c r="DE90" i="1" s="1"/>
  <c r="DF90" i="1" s="1"/>
  <c r="DG90" i="1" s="1"/>
  <c r="DH90" i="1" s="1"/>
  <c r="DD91" i="1"/>
  <c r="DE91" i="1" s="1"/>
  <c r="DF91" i="1" s="1"/>
  <c r="DG91" i="1" s="1"/>
  <c r="DH91" i="1" s="1"/>
  <c r="DD92" i="1"/>
  <c r="DE92" i="1" s="1"/>
  <c r="DF92" i="1" s="1"/>
  <c r="DG92" i="1" s="1"/>
  <c r="DH92" i="1" s="1"/>
  <c r="DD93" i="1"/>
  <c r="DE93" i="1" s="1"/>
  <c r="DF93" i="1" s="1"/>
  <c r="DG93" i="1" s="1"/>
  <c r="DH93" i="1" s="1"/>
  <c r="DD94" i="1"/>
  <c r="DE94" i="1" s="1"/>
  <c r="DF94" i="1" s="1"/>
  <c r="DG94" i="1" s="1"/>
  <c r="DH94" i="1" s="1"/>
  <c r="DD95" i="1"/>
  <c r="DE95" i="1" s="1"/>
  <c r="DF95" i="1" s="1"/>
  <c r="DG95" i="1" s="1"/>
  <c r="DH95" i="1" s="1"/>
  <c r="DD96" i="1"/>
  <c r="DE96" i="1" s="1"/>
  <c r="DF96" i="1" s="1"/>
  <c r="DG96" i="1" s="1"/>
  <c r="DH96" i="1" s="1"/>
  <c r="DD97" i="1"/>
  <c r="DE97" i="1" s="1"/>
  <c r="DF97" i="1" s="1"/>
  <c r="DG97" i="1" s="1"/>
  <c r="DH97" i="1" s="1"/>
  <c r="DD98" i="1"/>
  <c r="DE98" i="1" s="1"/>
  <c r="DF98" i="1" s="1"/>
  <c r="DG98" i="1" s="1"/>
  <c r="DH98" i="1" s="1"/>
  <c r="DD99" i="1"/>
  <c r="DE99" i="1" s="1"/>
  <c r="DF99" i="1" s="1"/>
  <c r="DG99" i="1" s="1"/>
  <c r="DH99" i="1" s="1"/>
  <c r="DD100" i="1"/>
  <c r="DE100" i="1" s="1"/>
  <c r="DF100" i="1" s="1"/>
  <c r="DG100" i="1" s="1"/>
  <c r="DH100" i="1" s="1"/>
  <c r="DD101" i="1"/>
  <c r="DE101" i="1" s="1"/>
  <c r="DF101" i="1" s="1"/>
  <c r="DG101" i="1" s="1"/>
  <c r="DH101" i="1" s="1"/>
  <c r="DD102" i="1"/>
  <c r="DE102" i="1" s="1"/>
  <c r="DF102" i="1" s="1"/>
  <c r="DG102" i="1" s="1"/>
  <c r="DH102" i="1" s="1"/>
  <c r="DD103" i="1"/>
  <c r="DE103" i="1" s="1"/>
  <c r="DF103" i="1" s="1"/>
  <c r="DG103" i="1" s="1"/>
  <c r="DH103" i="1" s="1"/>
  <c r="DD104" i="1"/>
  <c r="DE104" i="1" s="1"/>
  <c r="DF104" i="1" s="1"/>
  <c r="DG104" i="1" s="1"/>
  <c r="DH104" i="1" s="1"/>
  <c r="DD105" i="1"/>
  <c r="DE105" i="1" s="1"/>
  <c r="DF105" i="1" s="1"/>
  <c r="DG105" i="1" s="1"/>
  <c r="DH105" i="1" s="1"/>
  <c r="DD106" i="1"/>
  <c r="DE106" i="1" s="1"/>
  <c r="DF106" i="1" s="1"/>
  <c r="DG106" i="1" s="1"/>
  <c r="DH106" i="1" s="1"/>
  <c r="DD107" i="1"/>
  <c r="DE107" i="1" s="1"/>
  <c r="DF107" i="1" s="1"/>
  <c r="DG107" i="1" s="1"/>
  <c r="DH107" i="1" s="1"/>
  <c r="DD108" i="1"/>
  <c r="DE108" i="1" s="1"/>
  <c r="DF108" i="1" s="1"/>
  <c r="DG108" i="1" s="1"/>
  <c r="DH108" i="1" s="1"/>
  <c r="DD109" i="1"/>
  <c r="DE109" i="1" s="1"/>
  <c r="DF109" i="1" s="1"/>
  <c r="DG109" i="1" s="1"/>
  <c r="DH109" i="1" s="1"/>
  <c r="DD110" i="1"/>
  <c r="DE110" i="1" s="1"/>
  <c r="DF110" i="1" s="1"/>
  <c r="DG110" i="1" s="1"/>
  <c r="DH110" i="1" s="1"/>
  <c r="DD111" i="1"/>
  <c r="DE111" i="1" s="1"/>
  <c r="DF111" i="1" s="1"/>
  <c r="DG111" i="1" s="1"/>
  <c r="DH111" i="1" s="1"/>
  <c r="DD112" i="1"/>
  <c r="DE112" i="1" s="1"/>
  <c r="DF112" i="1" s="1"/>
  <c r="DG112" i="1" s="1"/>
  <c r="DH112" i="1" s="1"/>
  <c r="DD113" i="1"/>
  <c r="DE113" i="1" s="1"/>
  <c r="DF113" i="1" s="1"/>
  <c r="DG113" i="1" s="1"/>
  <c r="DH113" i="1" s="1"/>
  <c r="DD114" i="1"/>
  <c r="DE114" i="1" s="1"/>
  <c r="DF114" i="1" s="1"/>
  <c r="DG114" i="1" s="1"/>
  <c r="DH114" i="1" s="1"/>
  <c r="DD115" i="1"/>
  <c r="DE115" i="1" s="1"/>
  <c r="DF115" i="1" s="1"/>
  <c r="DG115" i="1" s="1"/>
  <c r="DH115" i="1" s="1"/>
  <c r="DD116" i="1"/>
  <c r="DE116" i="1" s="1"/>
  <c r="DF116" i="1" s="1"/>
  <c r="DG116" i="1" s="1"/>
  <c r="DH116" i="1" s="1"/>
  <c r="DD117" i="1"/>
  <c r="DE117" i="1" s="1"/>
  <c r="DF117" i="1" s="1"/>
  <c r="DG117" i="1" s="1"/>
  <c r="DH117" i="1" s="1"/>
  <c r="DD118" i="1"/>
  <c r="DE118" i="1" s="1"/>
  <c r="DF118" i="1" s="1"/>
  <c r="DG118" i="1" s="1"/>
  <c r="DH118" i="1" s="1"/>
  <c r="DD119" i="1"/>
  <c r="DE119" i="1" s="1"/>
  <c r="DF119" i="1" s="1"/>
  <c r="DG119" i="1" s="1"/>
  <c r="DH119" i="1" s="1"/>
  <c r="DD120" i="1"/>
  <c r="DE120" i="1" s="1"/>
  <c r="DF120" i="1" s="1"/>
  <c r="DG120" i="1" s="1"/>
  <c r="DH120" i="1" s="1"/>
  <c r="DD121" i="1"/>
  <c r="DE121" i="1" s="1"/>
  <c r="DF121" i="1" s="1"/>
  <c r="DG121" i="1" s="1"/>
  <c r="DH121" i="1" s="1"/>
  <c r="DD122" i="1"/>
  <c r="DE122" i="1" s="1"/>
  <c r="DF122" i="1" s="1"/>
  <c r="DG122" i="1" s="1"/>
  <c r="DH122" i="1" s="1"/>
  <c r="DD123" i="1"/>
  <c r="DE123" i="1" s="1"/>
  <c r="DF123" i="1" s="1"/>
  <c r="DG123" i="1" s="1"/>
  <c r="DH123" i="1" s="1"/>
  <c r="DD124" i="1"/>
  <c r="DE124" i="1" s="1"/>
  <c r="DF124" i="1" s="1"/>
  <c r="DG124" i="1" s="1"/>
  <c r="DH124" i="1" s="1"/>
  <c r="DD125" i="1"/>
  <c r="DE125" i="1" s="1"/>
  <c r="DF125" i="1" s="1"/>
  <c r="DG125" i="1" s="1"/>
  <c r="DH125" i="1" s="1"/>
  <c r="DD126" i="1"/>
  <c r="DE126" i="1" s="1"/>
  <c r="DF126" i="1" s="1"/>
  <c r="DG126" i="1" s="1"/>
  <c r="DH126" i="1" s="1"/>
  <c r="DD127" i="1"/>
  <c r="DE127" i="1" s="1"/>
  <c r="DF127" i="1" s="1"/>
  <c r="DG127" i="1" s="1"/>
  <c r="DH127" i="1" s="1"/>
  <c r="DD128" i="1"/>
  <c r="DE128" i="1" s="1"/>
  <c r="DF128" i="1" s="1"/>
  <c r="DG128" i="1" s="1"/>
  <c r="DH128" i="1" s="1"/>
  <c r="DD129" i="1"/>
  <c r="DE129" i="1" s="1"/>
  <c r="DF129" i="1" s="1"/>
  <c r="DG129" i="1" s="1"/>
  <c r="DH129" i="1" s="1"/>
  <c r="DD130" i="1"/>
  <c r="DE130" i="1" s="1"/>
  <c r="DF130" i="1" s="1"/>
  <c r="DG130" i="1" s="1"/>
  <c r="DH130" i="1" s="1"/>
  <c r="DD131" i="1"/>
  <c r="DE131" i="1" s="1"/>
  <c r="DF131" i="1" s="1"/>
  <c r="DG131" i="1" s="1"/>
  <c r="DH131" i="1" s="1"/>
  <c r="DD132" i="1"/>
  <c r="DE132" i="1" s="1"/>
  <c r="DF132" i="1" s="1"/>
  <c r="DG132" i="1" s="1"/>
  <c r="DH132" i="1" s="1"/>
  <c r="DD133" i="1"/>
  <c r="DE133" i="1" s="1"/>
  <c r="DF133" i="1" s="1"/>
  <c r="DG133" i="1" s="1"/>
  <c r="DH133" i="1" s="1"/>
  <c r="DD134" i="1"/>
  <c r="DE134" i="1" s="1"/>
  <c r="DF134" i="1" s="1"/>
  <c r="DG134" i="1" s="1"/>
  <c r="DH134" i="1" s="1"/>
  <c r="DD135" i="1"/>
  <c r="DE135" i="1" s="1"/>
  <c r="DF135" i="1" s="1"/>
  <c r="DG135" i="1" s="1"/>
  <c r="DH135" i="1" s="1"/>
  <c r="DD136" i="1"/>
  <c r="DE136" i="1" s="1"/>
  <c r="DF136" i="1" s="1"/>
  <c r="DG136" i="1" s="1"/>
  <c r="DH136" i="1" s="1"/>
  <c r="DD137" i="1"/>
  <c r="DE137" i="1" s="1"/>
  <c r="DF137" i="1" s="1"/>
  <c r="DG137" i="1" s="1"/>
  <c r="DH137" i="1" s="1"/>
  <c r="DD138" i="1"/>
  <c r="DE138" i="1" s="1"/>
  <c r="DF138" i="1" s="1"/>
  <c r="DG138" i="1" s="1"/>
  <c r="DH138" i="1" s="1"/>
  <c r="DD139" i="1"/>
  <c r="DE139" i="1" s="1"/>
  <c r="DF139" i="1" s="1"/>
  <c r="DG139" i="1" s="1"/>
  <c r="DH139" i="1" s="1"/>
  <c r="DD140" i="1"/>
  <c r="DE140" i="1" s="1"/>
  <c r="DF140" i="1" s="1"/>
  <c r="DG140" i="1" s="1"/>
  <c r="DH140" i="1" s="1"/>
  <c r="DD141" i="1"/>
  <c r="DE141" i="1" s="1"/>
  <c r="DF141" i="1" s="1"/>
  <c r="DG141" i="1" s="1"/>
  <c r="DH141" i="1" s="1"/>
  <c r="DD142" i="1"/>
  <c r="DE142" i="1" s="1"/>
  <c r="DF142" i="1" s="1"/>
  <c r="DG142" i="1" s="1"/>
  <c r="DH142" i="1" s="1"/>
  <c r="DD143" i="1"/>
  <c r="DE143" i="1" s="1"/>
  <c r="DF143" i="1" s="1"/>
  <c r="DG143" i="1" s="1"/>
  <c r="DH143" i="1" s="1"/>
  <c r="DD144" i="1"/>
  <c r="DE144" i="1" s="1"/>
  <c r="DF144" i="1" s="1"/>
  <c r="DG144" i="1" s="1"/>
  <c r="DH144" i="1" s="1"/>
  <c r="DD145" i="1"/>
  <c r="DE145" i="1" s="1"/>
  <c r="DF145" i="1" s="1"/>
  <c r="DG145" i="1" s="1"/>
  <c r="DH145" i="1" s="1"/>
  <c r="DD146" i="1"/>
  <c r="DE146" i="1" s="1"/>
  <c r="DF146" i="1" s="1"/>
  <c r="DG146" i="1" s="1"/>
  <c r="DH146" i="1" s="1"/>
  <c r="DD147" i="1"/>
  <c r="DE147" i="1" s="1"/>
  <c r="DF147" i="1" s="1"/>
  <c r="DG147" i="1" s="1"/>
  <c r="DH147" i="1" s="1"/>
  <c r="DD148" i="1"/>
  <c r="DE148" i="1" s="1"/>
  <c r="DF148" i="1" s="1"/>
  <c r="DG148" i="1" s="1"/>
  <c r="DH148" i="1" s="1"/>
  <c r="DD149" i="1"/>
  <c r="DE149" i="1" s="1"/>
  <c r="DF149" i="1" s="1"/>
  <c r="DG149" i="1" s="1"/>
  <c r="DH149" i="1" s="1"/>
  <c r="DD150" i="1"/>
  <c r="DE150" i="1" s="1"/>
  <c r="DF150" i="1" s="1"/>
  <c r="DG150" i="1" s="1"/>
  <c r="DH150" i="1" s="1"/>
  <c r="DD151" i="1"/>
  <c r="DE151" i="1" s="1"/>
  <c r="DF151" i="1" s="1"/>
  <c r="DG151" i="1" s="1"/>
  <c r="DH151" i="1" s="1"/>
  <c r="DD152" i="1"/>
  <c r="DE152" i="1" s="1"/>
  <c r="DF152" i="1" s="1"/>
  <c r="DG152" i="1" s="1"/>
  <c r="DH152" i="1" s="1"/>
  <c r="DD153" i="1"/>
  <c r="DE153" i="1" s="1"/>
  <c r="DF153" i="1" s="1"/>
  <c r="DG153" i="1" s="1"/>
  <c r="DH153" i="1" s="1"/>
  <c r="DD154" i="1"/>
  <c r="DE154" i="1" s="1"/>
  <c r="DF154" i="1" s="1"/>
  <c r="DG154" i="1" s="1"/>
  <c r="DH154" i="1" s="1"/>
  <c r="DD155" i="1"/>
  <c r="DE155" i="1" s="1"/>
  <c r="DF155" i="1" s="1"/>
  <c r="DG155" i="1" s="1"/>
  <c r="DH155" i="1" s="1"/>
  <c r="DD156" i="1"/>
  <c r="DE156" i="1" s="1"/>
  <c r="DF156" i="1" s="1"/>
  <c r="DG156" i="1" s="1"/>
  <c r="DH156" i="1" s="1"/>
  <c r="DD157" i="1"/>
  <c r="DE157" i="1" s="1"/>
  <c r="DF157" i="1" s="1"/>
  <c r="DG157" i="1" s="1"/>
  <c r="DH157" i="1" s="1"/>
  <c r="DD158" i="1"/>
  <c r="DE158" i="1" s="1"/>
  <c r="DF158" i="1" s="1"/>
  <c r="DG158" i="1" s="1"/>
  <c r="DH158" i="1" s="1"/>
  <c r="DD159" i="1"/>
  <c r="DE159" i="1" s="1"/>
  <c r="DF159" i="1" s="1"/>
  <c r="DG159" i="1" s="1"/>
  <c r="DH159" i="1" s="1"/>
  <c r="DD160" i="1"/>
  <c r="DE160" i="1" s="1"/>
  <c r="DF160" i="1" s="1"/>
  <c r="DG160" i="1" s="1"/>
  <c r="DH160" i="1" s="1"/>
  <c r="DD161" i="1"/>
  <c r="DE161" i="1" s="1"/>
  <c r="DF161" i="1" s="1"/>
  <c r="DG161" i="1" s="1"/>
  <c r="DH161" i="1" s="1"/>
  <c r="DD162" i="1"/>
  <c r="DE162" i="1" s="1"/>
  <c r="DF162" i="1" s="1"/>
  <c r="DG162" i="1" s="1"/>
  <c r="DH162" i="1" s="1"/>
  <c r="DD163" i="1"/>
  <c r="DE163" i="1" s="1"/>
  <c r="DF163" i="1" s="1"/>
  <c r="DG163" i="1" s="1"/>
  <c r="DH163" i="1" s="1"/>
  <c r="DD164" i="1"/>
  <c r="DE164" i="1" s="1"/>
  <c r="DF164" i="1" s="1"/>
  <c r="DG164" i="1" s="1"/>
  <c r="DH164" i="1" s="1"/>
  <c r="DD165" i="1"/>
  <c r="DE165" i="1" s="1"/>
  <c r="DF165" i="1" s="1"/>
  <c r="DG165" i="1" s="1"/>
  <c r="DH165" i="1" s="1"/>
  <c r="DD166" i="1"/>
  <c r="DE166" i="1" s="1"/>
  <c r="DF166" i="1" s="1"/>
  <c r="DG166" i="1" s="1"/>
  <c r="DH166" i="1" s="1"/>
  <c r="DD167" i="1"/>
  <c r="DE167" i="1" s="1"/>
  <c r="DF167" i="1" s="1"/>
  <c r="DG167" i="1" s="1"/>
  <c r="DH167" i="1" s="1"/>
  <c r="DD168" i="1"/>
  <c r="DE168" i="1" s="1"/>
  <c r="DF168" i="1" s="1"/>
  <c r="DG168" i="1" s="1"/>
  <c r="DH168" i="1" s="1"/>
  <c r="DD169" i="1"/>
  <c r="DE169" i="1" s="1"/>
  <c r="DF169" i="1" s="1"/>
  <c r="DG169" i="1" s="1"/>
  <c r="DH169" i="1" s="1"/>
  <c r="DD170" i="1"/>
  <c r="DE170" i="1" s="1"/>
  <c r="DF170" i="1" s="1"/>
  <c r="DG170" i="1" s="1"/>
  <c r="DH170" i="1" s="1"/>
  <c r="DD171" i="1"/>
  <c r="DE171" i="1" s="1"/>
  <c r="DF171" i="1" s="1"/>
  <c r="DG171" i="1" s="1"/>
  <c r="DH171" i="1" s="1"/>
  <c r="DD172" i="1"/>
  <c r="DE172" i="1" s="1"/>
  <c r="DF172" i="1" s="1"/>
  <c r="DG172" i="1" s="1"/>
  <c r="DH172" i="1" s="1"/>
  <c r="DD173" i="1"/>
  <c r="DE173" i="1" s="1"/>
  <c r="DF173" i="1" s="1"/>
  <c r="DG173" i="1" s="1"/>
  <c r="DH173" i="1" s="1"/>
  <c r="DD174" i="1"/>
  <c r="DE174" i="1" s="1"/>
  <c r="DF174" i="1" s="1"/>
  <c r="DG174" i="1" s="1"/>
  <c r="DH174" i="1" s="1"/>
  <c r="DD175" i="1"/>
  <c r="DE175" i="1" s="1"/>
  <c r="DF175" i="1" s="1"/>
  <c r="DG175" i="1" s="1"/>
  <c r="DH175" i="1" s="1"/>
  <c r="DD176" i="1"/>
  <c r="DE176" i="1" s="1"/>
  <c r="DF176" i="1" s="1"/>
  <c r="DG176" i="1" s="1"/>
  <c r="DH176" i="1" s="1"/>
  <c r="DD177" i="1"/>
  <c r="DE177" i="1" s="1"/>
  <c r="DF177" i="1" s="1"/>
  <c r="DG177" i="1" s="1"/>
  <c r="DH177" i="1" s="1"/>
  <c r="DD178" i="1"/>
  <c r="DE178" i="1" s="1"/>
  <c r="DF178" i="1" s="1"/>
  <c r="DG178" i="1" s="1"/>
  <c r="DH178" i="1" s="1"/>
  <c r="DD179" i="1"/>
  <c r="DE179" i="1" s="1"/>
  <c r="DF179" i="1" s="1"/>
  <c r="DG179" i="1" s="1"/>
  <c r="DH179" i="1" s="1"/>
  <c r="DD180" i="1"/>
  <c r="DE180" i="1" s="1"/>
  <c r="DF180" i="1" s="1"/>
  <c r="DG180" i="1" s="1"/>
  <c r="DH180" i="1" s="1"/>
  <c r="DD181" i="1"/>
  <c r="DE181" i="1" s="1"/>
  <c r="DF181" i="1" s="1"/>
  <c r="DG181" i="1" s="1"/>
  <c r="DH181" i="1" s="1"/>
  <c r="DD182" i="1"/>
  <c r="DE182" i="1" s="1"/>
  <c r="DF182" i="1" s="1"/>
  <c r="DG182" i="1" s="1"/>
  <c r="DH182" i="1" s="1"/>
  <c r="DD183" i="1"/>
  <c r="DE183" i="1" s="1"/>
  <c r="DF183" i="1" s="1"/>
  <c r="DG183" i="1" s="1"/>
  <c r="DH183" i="1" s="1"/>
  <c r="DD184" i="1"/>
  <c r="DE184" i="1" s="1"/>
  <c r="DF184" i="1" s="1"/>
  <c r="DG184" i="1" s="1"/>
  <c r="DH184" i="1" s="1"/>
  <c r="DD185" i="1"/>
  <c r="DE185" i="1" s="1"/>
  <c r="DF185" i="1" s="1"/>
  <c r="DG185" i="1" s="1"/>
  <c r="DH185" i="1" s="1"/>
  <c r="DD186" i="1"/>
  <c r="DE186" i="1" s="1"/>
  <c r="DF186" i="1" s="1"/>
  <c r="DG186" i="1" s="1"/>
  <c r="DH186" i="1" s="1"/>
  <c r="DD187" i="1"/>
  <c r="DE187" i="1" s="1"/>
  <c r="DF187" i="1" s="1"/>
  <c r="DG187" i="1" s="1"/>
  <c r="DH187" i="1" s="1"/>
  <c r="DD188" i="1"/>
  <c r="DE188" i="1" s="1"/>
  <c r="DF188" i="1" s="1"/>
  <c r="DG188" i="1" s="1"/>
  <c r="DH188" i="1" s="1"/>
  <c r="DD189" i="1"/>
  <c r="DE189" i="1" s="1"/>
  <c r="DF189" i="1" s="1"/>
  <c r="DG189" i="1" s="1"/>
  <c r="DH189" i="1" s="1"/>
  <c r="DD190" i="1"/>
  <c r="DE190" i="1" s="1"/>
  <c r="DF190" i="1" s="1"/>
  <c r="DG190" i="1" s="1"/>
  <c r="DH190" i="1" s="1"/>
  <c r="DD191" i="1"/>
  <c r="DE191" i="1" s="1"/>
  <c r="DF191" i="1" s="1"/>
  <c r="DG191" i="1" s="1"/>
  <c r="DH191" i="1" s="1"/>
  <c r="DD192" i="1"/>
  <c r="DE192" i="1" s="1"/>
  <c r="DF192" i="1" s="1"/>
  <c r="DG192" i="1" s="1"/>
  <c r="DH192" i="1" s="1"/>
  <c r="DD193" i="1"/>
  <c r="DE193" i="1" s="1"/>
  <c r="DF193" i="1" s="1"/>
  <c r="DG193" i="1" s="1"/>
  <c r="DH193" i="1" s="1"/>
  <c r="DD194" i="1"/>
  <c r="DE194" i="1" s="1"/>
  <c r="DF194" i="1" s="1"/>
  <c r="DG194" i="1" s="1"/>
  <c r="DH194" i="1" s="1"/>
  <c r="DD195" i="1"/>
  <c r="DE195" i="1" s="1"/>
  <c r="DF195" i="1" s="1"/>
  <c r="DG195" i="1" s="1"/>
  <c r="DH195" i="1" s="1"/>
  <c r="DD196" i="1"/>
  <c r="DE196" i="1" s="1"/>
  <c r="DF196" i="1" s="1"/>
  <c r="DG196" i="1" s="1"/>
  <c r="DH196" i="1" s="1"/>
  <c r="DD197" i="1"/>
  <c r="DE197" i="1" s="1"/>
  <c r="DF197" i="1" s="1"/>
  <c r="DG197" i="1" s="1"/>
  <c r="DH197" i="1" s="1"/>
  <c r="DD198" i="1"/>
  <c r="DE198" i="1" s="1"/>
  <c r="DF198" i="1" s="1"/>
  <c r="DG198" i="1" s="1"/>
  <c r="DH198" i="1" s="1"/>
  <c r="DD199" i="1"/>
  <c r="DE199" i="1" s="1"/>
  <c r="DF199" i="1" s="1"/>
  <c r="DG199" i="1" s="1"/>
  <c r="DH199" i="1" s="1"/>
  <c r="DD200" i="1"/>
  <c r="DE200" i="1" s="1"/>
  <c r="DF200" i="1" s="1"/>
  <c r="DG200" i="1" s="1"/>
  <c r="DH200" i="1" s="1"/>
  <c r="DD201" i="1"/>
  <c r="DE201" i="1" s="1"/>
  <c r="DF201" i="1" s="1"/>
  <c r="DG201" i="1" s="1"/>
  <c r="DH201" i="1" s="1"/>
  <c r="DD202" i="1"/>
  <c r="DE202" i="1" s="1"/>
  <c r="DF202" i="1" s="1"/>
  <c r="DG202" i="1" s="1"/>
  <c r="DH202" i="1" s="1"/>
  <c r="DD203" i="1"/>
  <c r="DE203" i="1" s="1"/>
  <c r="DF203" i="1" s="1"/>
  <c r="DG203" i="1" s="1"/>
  <c r="DH203" i="1" s="1"/>
  <c r="DD204" i="1"/>
  <c r="DE204" i="1" s="1"/>
  <c r="DF204" i="1" s="1"/>
  <c r="DG204" i="1" s="1"/>
  <c r="DH204" i="1" s="1"/>
  <c r="DD205" i="1"/>
  <c r="DE205" i="1" s="1"/>
  <c r="DF205" i="1" s="1"/>
  <c r="DG205" i="1" s="1"/>
  <c r="DH205" i="1" s="1"/>
  <c r="DD206" i="1"/>
  <c r="DE206" i="1" s="1"/>
  <c r="DF206" i="1" s="1"/>
  <c r="DG206" i="1" s="1"/>
  <c r="DH206" i="1" s="1"/>
  <c r="DD207" i="1"/>
  <c r="DE207" i="1" s="1"/>
  <c r="DF207" i="1" s="1"/>
  <c r="DG207" i="1" s="1"/>
  <c r="DH207" i="1" s="1"/>
  <c r="DD10" i="1"/>
  <c r="DE10" i="1" s="1"/>
  <c r="DF10" i="1" s="1"/>
  <c r="DG10" i="1" s="1"/>
  <c r="DH10" i="1" s="1"/>
  <c r="CY11" i="1"/>
  <c r="CZ11" i="1" s="1"/>
  <c r="DA11" i="1" s="1"/>
  <c r="CY12" i="1"/>
  <c r="CZ12" i="1" s="1"/>
  <c r="DA12" i="1" s="1"/>
  <c r="CY13" i="1"/>
  <c r="CZ13" i="1" s="1"/>
  <c r="DA13" i="1" s="1"/>
  <c r="CY14" i="1"/>
  <c r="CZ14" i="1" s="1"/>
  <c r="DA14" i="1" s="1"/>
  <c r="CY15" i="1"/>
  <c r="CZ15" i="1" s="1"/>
  <c r="DA15" i="1" s="1"/>
  <c r="CY16" i="1"/>
  <c r="CZ16" i="1" s="1"/>
  <c r="DA16" i="1" s="1"/>
  <c r="DB16" i="1" s="1"/>
  <c r="DC16" i="1" s="1"/>
  <c r="CY17" i="1"/>
  <c r="CZ17" i="1" s="1"/>
  <c r="DA17" i="1" s="1"/>
  <c r="CY18" i="1"/>
  <c r="CZ18" i="1" s="1"/>
  <c r="DA18" i="1" s="1"/>
  <c r="CY19" i="1"/>
  <c r="CZ19" i="1" s="1"/>
  <c r="DA19" i="1" s="1"/>
  <c r="CY20" i="1"/>
  <c r="CZ20" i="1" s="1"/>
  <c r="DA20" i="1" s="1"/>
  <c r="CY21" i="1"/>
  <c r="CZ21" i="1" s="1"/>
  <c r="DA21" i="1" s="1"/>
  <c r="CY22" i="1"/>
  <c r="CZ22" i="1" s="1"/>
  <c r="DA22" i="1" s="1"/>
  <c r="CY23" i="1"/>
  <c r="CZ23" i="1" s="1"/>
  <c r="DA23" i="1" s="1"/>
  <c r="CY24" i="1"/>
  <c r="CZ24" i="1" s="1"/>
  <c r="DA24" i="1" s="1"/>
  <c r="DB24" i="1" s="1"/>
  <c r="DC24" i="1" s="1"/>
  <c r="CY25" i="1"/>
  <c r="CZ25" i="1" s="1"/>
  <c r="DA25" i="1" s="1"/>
  <c r="CY26" i="1"/>
  <c r="CZ26" i="1" s="1"/>
  <c r="DA26" i="1" s="1"/>
  <c r="CY27" i="1"/>
  <c r="CZ27" i="1" s="1"/>
  <c r="DA27" i="1" s="1"/>
  <c r="CY28" i="1"/>
  <c r="CZ28" i="1" s="1"/>
  <c r="DA28" i="1" s="1"/>
  <c r="CY29" i="1"/>
  <c r="CZ29" i="1" s="1"/>
  <c r="DA29" i="1" s="1"/>
  <c r="CY30" i="1"/>
  <c r="CZ30" i="1" s="1"/>
  <c r="DA30" i="1" s="1"/>
  <c r="CY31" i="1"/>
  <c r="CZ31" i="1" s="1"/>
  <c r="DA31" i="1" s="1"/>
  <c r="CY32" i="1"/>
  <c r="CZ32" i="1" s="1"/>
  <c r="DA32" i="1" s="1"/>
  <c r="DB32" i="1" s="1"/>
  <c r="DC32" i="1" s="1"/>
  <c r="CY33" i="1"/>
  <c r="CZ33" i="1" s="1"/>
  <c r="DA33" i="1" s="1"/>
  <c r="CY34" i="1"/>
  <c r="CZ34" i="1" s="1"/>
  <c r="DA34" i="1" s="1"/>
  <c r="CY35" i="1"/>
  <c r="CZ35" i="1" s="1"/>
  <c r="DA35" i="1" s="1"/>
  <c r="CY36" i="1"/>
  <c r="CZ36" i="1" s="1"/>
  <c r="DA36" i="1" s="1"/>
  <c r="CY37" i="1"/>
  <c r="CZ37" i="1" s="1"/>
  <c r="DA37" i="1" s="1"/>
  <c r="CY38" i="1"/>
  <c r="CZ38" i="1" s="1"/>
  <c r="DA38" i="1" s="1"/>
  <c r="CY39" i="1"/>
  <c r="CZ39" i="1" s="1"/>
  <c r="DA39" i="1" s="1"/>
  <c r="CY40" i="1"/>
  <c r="CZ40" i="1" s="1"/>
  <c r="DA40" i="1" s="1"/>
  <c r="DB40" i="1" s="1"/>
  <c r="DC40" i="1" s="1"/>
  <c r="CY41" i="1"/>
  <c r="CZ41" i="1" s="1"/>
  <c r="DA41" i="1" s="1"/>
  <c r="CY42" i="1"/>
  <c r="CZ42" i="1" s="1"/>
  <c r="DA42" i="1" s="1"/>
  <c r="CY43" i="1"/>
  <c r="CZ43" i="1" s="1"/>
  <c r="DA43" i="1" s="1"/>
  <c r="CY44" i="1"/>
  <c r="CZ44" i="1" s="1"/>
  <c r="DA44" i="1" s="1"/>
  <c r="CY45" i="1"/>
  <c r="CZ45" i="1" s="1"/>
  <c r="DA45" i="1" s="1"/>
  <c r="CY46" i="1"/>
  <c r="CZ46" i="1" s="1"/>
  <c r="DA46" i="1" s="1"/>
  <c r="CY47" i="1"/>
  <c r="CZ47" i="1" s="1"/>
  <c r="DA47" i="1" s="1"/>
  <c r="CY48" i="1"/>
  <c r="CZ48" i="1" s="1"/>
  <c r="DA48" i="1" s="1"/>
  <c r="DB48" i="1" s="1"/>
  <c r="DC48" i="1" s="1"/>
  <c r="CY49" i="1"/>
  <c r="CZ49" i="1" s="1"/>
  <c r="DA49" i="1" s="1"/>
  <c r="CY50" i="1"/>
  <c r="CZ50" i="1" s="1"/>
  <c r="DA50" i="1" s="1"/>
  <c r="CY51" i="1"/>
  <c r="CZ51" i="1" s="1"/>
  <c r="DA51" i="1" s="1"/>
  <c r="CY52" i="1"/>
  <c r="CZ52" i="1" s="1"/>
  <c r="DA52" i="1" s="1"/>
  <c r="CY53" i="1"/>
  <c r="CZ53" i="1" s="1"/>
  <c r="DA53" i="1" s="1"/>
  <c r="CY54" i="1"/>
  <c r="CZ54" i="1" s="1"/>
  <c r="DA54" i="1" s="1"/>
  <c r="CY55" i="1"/>
  <c r="CZ55" i="1" s="1"/>
  <c r="DA55" i="1" s="1"/>
  <c r="CY56" i="1"/>
  <c r="CZ56" i="1" s="1"/>
  <c r="DA56" i="1" s="1"/>
  <c r="DB56" i="1" s="1"/>
  <c r="DC56" i="1" s="1"/>
  <c r="CY57" i="1"/>
  <c r="CZ57" i="1" s="1"/>
  <c r="DA57" i="1" s="1"/>
  <c r="CY58" i="1"/>
  <c r="CZ58" i="1" s="1"/>
  <c r="DA58" i="1" s="1"/>
  <c r="CY59" i="1"/>
  <c r="CZ59" i="1" s="1"/>
  <c r="DA59" i="1" s="1"/>
  <c r="CY60" i="1"/>
  <c r="CZ60" i="1" s="1"/>
  <c r="DA60" i="1" s="1"/>
  <c r="CY61" i="1"/>
  <c r="CZ61" i="1" s="1"/>
  <c r="DA61" i="1" s="1"/>
  <c r="CY62" i="1"/>
  <c r="CZ62" i="1" s="1"/>
  <c r="DA62" i="1" s="1"/>
  <c r="CY63" i="1"/>
  <c r="CZ63" i="1" s="1"/>
  <c r="DA63" i="1" s="1"/>
  <c r="CY64" i="1"/>
  <c r="CZ64" i="1" s="1"/>
  <c r="DA64" i="1" s="1"/>
  <c r="DB64" i="1" s="1"/>
  <c r="DC64" i="1" s="1"/>
  <c r="CY65" i="1"/>
  <c r="CZ65" i="1" s="1"/>
  <c r="DA65" i="1" s="1"/>
  <c r="CY66" i="1"/>
  <c r="CZ66" i="1" s="1"/>
  <c r="DA66" i="1" s="1"/>
  <c r="CY67" i="1"/>
  <c r="CZ67" i="1" s="1"/>
  <c r="DA67" i="1" s="1"/>
  <c r="CY68" i="1"/>
  <c r="CZ68" i="1" s="1"/>
  <c r="DA68" i="1" s="1"/>
  <c r="CY69" i="1"/>
  <c r="CZ69" i="1" s="1"/>
  <c r="DA69" i="1" s="1"/>
  <c r="CY70" i="1"/>
  <c r="CZ70" i="1" s="1"/>
  <c r="DA70" i="1" s="1"/>
  <c r="CY71" i="1"/>
  <c r="CZ71" i="1" s="1"/>
  <c r="DA71" i="1" s="1"/>
  <c r="CY72" i="1"/>
  <c r="CZ72" i="1" s="1"/>
  <c r="DA72" i="1" s="1"/>
  <c r="DB72" i="1" s="1"/>
  <c r="DC72" i="1" s="1"/>
  <c r="CY73" i="1"/>
  <c r="CZ73" i="1" s="1"/>
  <c r="DA73" i="1" s="1"/>
  <c r="CY74" i="1"/>
  <c r="CZ74" i="1" s="1"/>
  <c r="DA74" i="1" s="1"/>
  <c r="CY75" i="1"/>
  <c r="CZ75" i="1" s="1"/>
  <c r="DA75" i="1" s="1"/>
  <c r="CY76" i="1"/>
  <c r="CZ76" i="1" s="1"/>
  <c r="DA76" i="1" s="1"/>
  <c r="CY77" i="1"/>
  <c r="CZ77" i="1" s="1"/>
  <c r="DA77" i="1" s="1"/>
  <c r="CY78" i="1"/>
  <c r="CZ78" i="1" s="1"/>
  <c r="DA78" i="1" s="1"/>
  <c r="CY79" i="1"/>
  <c r="CZ79" i="1" s="1"/>
  <c r="DA79" i="1" s="1"/>
  <c r="CY80" i="1"/>
  <c r="CZ80" i="1" s="1"/>
  <c r="DA80" i="1" s="1"/>
  <c r="DB80" i="1" s="1"/>
  <c r="DC80" i="1" s="1"/>
  <c r="CY81" i="1"/>
  <c r="CZ81" i="1" s="1"/>
  <c r="DA81" i="1" s="1"/>
  <c r="CY82" i="1"/>
  <c r="CZ82" i="1" s="1"/>
  <c r="DA82" i="1" s="1"/>
  <c r="CY83" i="1"/>
  <c r="CZ83" i="1" s="1"/>
  <c r="DA83" i="1" s="1"/>
  <c r="CY84" i="1"/>
  <c r="CZ84" i="1" s="1"/>
  <c r="DA84" i="1" s="1"/>
  <c r="CY85" i="1"/>
  <c r="CZ85" i="1" s="1"/>
  <c r="DA85" i="1" s="1"/>
  <c r="CY86" i="1"/>
  <c r="CZ86" i="1" s="1"/>
  <c r="DA86" i="1" s="1"/>
  <c r="CY87" i="1"/>
  <c r="CZ87" i="1" s="1"/>
  <c r="DA87" i="1" s="1"/>
  <c r="CY88" i="1"/>
  <c r="CZ88" i="1" s="1"/>
  <c r="DA88" i="1" s="1"/>
  <c r="DB88" i="1" s="1"/>
  <c r="DC88" i="1" s="1"/>
  <c r="CY89" i="1"/>
  <c r="CZ89" i="1" s="1"/>
  <c r="DA89" i="1" s="1"/>
  <c r="CY90" i="1"/>
  <c r="CZ90" i="1" s="1"/>
  <c r="DA90" i="1" s="1"/>
  <c r="CY91" i="1"/>
  <c r="CZ91" i="1" s="1"/>
  <c r="DA91" i="1" s="1"/>
  <c r="CY92" i="1"/>
  <c r="CZ92" i="1" s="1"/>
  <c r="DA92" i="1" s="1"/>
  <c r="CY93" i="1"/>
  <c r="CZ93" i="1" s="1"/>
  <c r="DA93" i="1" s="1"/>
  <c r="CY94" i="1"/>
  <c r="CZ94" i="1" s="1"/>
  <c r="DA94" i="1" s="1"/>
  <c r="CY95" i="1"/>
  <c r="CZ95" i="1" s="1"/>
  <c r="DA95" i="1" s="1"/>
  <c r="CY96" i="1"/>
  <c r="CZ96" i="1" s="1"/>
  <c r="DA96" i="1" s="1"/>
  <c r="DB96" i="1" s="1"/>
  <c r="DC96" i="1" s="1"/>
  <c r="CY97" i="1"/>
  <c r="CZ97" i="1" s="1"/>
  <c r="DA97" i="1" s="1"/>
  <c r="CY98" i="1"/>
  <c r="CZ98" i="1" s="1"/>
  <c r="DA98" i="1" s="1"/>
  <c r="CY99" i="1"/>
  <c r="CZ99" i="1" s="1"/>
  <c r="DA99" i="1" s="1"/>
  <c r="CY100" i="1"/>
  <c r="CZ100" i="1" s="1"/>
  <c r="DA100" i="1" s="1"/>
  <c r="CY101" i="1"/>
  <c r="CZ101" i="1" s="1"/>
  <c r="DA101" i="1" s="1"/>
  <c r="CY102" i="1"/>
  <c r="CZ102" i="1" s="1"/>
  <c r="DA102" i="1" s="1"/>
  <c r="CY103" i="1"/>
  <c r="CZ103" i="1" s="1"/>
  <c r="DA103" i="1" s="1"/>
  <c r="CY104" i="1"/>
  <c r="CZ104" i="1" s="1"/>
  <c r="DA104" i="1" s="1"/>
  <c r="DB104" i="1" s="1"/>
  <c r="DC104" i="1" s="1"/>
  <c r="CY105" i="1"/>
  <c r="CZ105" i="1" s="1"/>
  <c r="DA105" i="1" s="1"/>
  <c r="CY106" i="1"/>
  <c r="CZ106" i="1" s="1"/>
  <c r="DA106" i="1" s="1"/>
  <c r="CY107" i="1"/>
  <c r="CZ107" i="1" s="1"/>
  <c r="DA107" i="1" s="1"/>
  <c r="CY108" i="1"/>
  <c r="CZ108" i="1" s="1"/>
  <c r="DA108" i="1" s="1"/>
  <c r="CY109" i="1"/>
  <c r="CZ109" i="1" s="1"/>
  <c r="DA109" i="1" s="1"/>
  <c r="CY110" i="1"/>
  <c r="CZ110" i="1" s="1"/>
  <c r="DA110" i="1" s="1"/>
  <c r="CY111" i="1"/>
  <c r="CZ111" i="1" s="1"/>
  <c r="DA111" i="1" s="1"/>
  <c r="CY112" i="1"/>
  <c r="CZ112" i="1" s="1"/>
  <c r="DA112" i="1" s="1"/>
  <c r="DB112" i="1" s="1"/>
  <c r="DC112" i="1" s="1"/>
  <c r="CY113" i="1"/>
  <c r="CZ113" i="1" s="1"/>
  <c r="DA113" i="1" s="1"/>
  <c r="CY114" i="1"/>
  <c r="CZ114" i="1" s="1"/>
  <c r="DA114" i="1" s="1"/>
  <c r="CY115" i="1"/>
  <c r="CZ115" i="1" s="1"/>
  <c r="DA115" i="1" s="1"/>
  <c r="CY116" i="1"/>
  <c r="CZ116" i="1" s="1"/>
  <c r="DA116" i="1" s="1"/>
  <c r="CY117" i="1"/>
  <c r="CZ117" i="1" s="1"/>
  <c r="DA117" i="1" s="1"/>
  <c r="CY118" i="1"/>
  <c r="CZ118" i="1" s="1"/>
  <c r="DA118" i="1" s="1"/>
  <c r="CY119" i="1"/>
  <c r="CZ119" i="1" s="1"/>
  <c r="DA119" i="1" s="1"/>
  <c r="CY120" i="1"/>
  <c r="CZ120" i="1" s="1"/>
  <c r="DA120" i="1" s="1"/>
  <c r="DB120" i="1" s="1"/>
  <c r="DC120" i="1" s="1"/>
  <c r="CY121" i="1"/>
  <c r="CZ121" i="1" s="1"/>
  <c r="DA121" i="1" s="1"/>
  <c r="CY122" i="1"/>
  <c r="CZ122" i="1" s="1"/>
  <c r="DA122" i="1" s="1"/>
  <c r="CY123" i="1"/>
  <c r="CZ123" i="1" s="1"/>
  <c r="DA123" i="1" s="1"/>
  <c r="CY124" i="1"/>
  <c r="CZ124" i="1" s="1"/>
  <c r="DA124" i="1" s="1"/>
  <c r="CY125" i="1"/>
  <c r="CZ125" i="1" s="1"/>
  <c r="DA125" i="1" s="1"/>
  <c r="CY126" i="1"/>
  <c r="CZ126" i="1" s="1"/>
  <c r="DA126" i="1" s="1"/>
  <c r="CY127" i="1"/>
  <c r="CZ127" i="1" s="1"/>
  <c r="DA127" i="1" s="1"/>
  <c r="CY128" i="1"/>
  <c r="CZ128" i="1" s="1"/>
  <c r="DA128" i="1" s="1"/>
  <c r="DB128" i="1" s="1"/>
  <c r="DC128" i="1" s="1"/>
  <c r="CY129" i="1"/>
  <c r="CZ129" i="1" s="1"/>
  <c r="DA129" i="1" s="1"/>
  <c r="CY130" i="1"/>
  <c r="CZ130" i="1" s="1"/>
  <c r="DA130" i="1" s="1"/>
  <c r="CY131" i="1"/>
  <c r="CZ131" i="1" s="1"/>
  <c r="DA131" i="1" s="1"/>
  <c r="CY132" i="1"/>
  <c r="CZ132" i="1" s="1"/>
  <c r="DA132" i="1" s="1"/>
  <c r="CY133" i="1"/>
  <c r="CZ133" i="1" s="1"/>
  <c r="DA133" i="1" s="1"/>
  <c r="CY134" i="1"/>
  <c r="CZ134" i="1" s="1"/>
  <c r="DA134" i="1" s="1"/>
  <c r="CY135" i="1"/>
  <c r="CZ135" i="1" s="1"/>
  <c r="DA135" i="1" s="1"/>
  <c r="CY136" i="1"/>
  <c r="CZ136" i="1" s="1"/>
  <c r="DA136" i="1" s="1"/>
  <c r="DB136" i="1" s="1"/>
  <c r="DC136" i="1" s="1"/>
  <c r="CY137" i="1"/>
  <c r="CZ137" i="1" s="1"/>
  <c r="DA137" i="1" s="1"/>
  <c r="CY138" i="1"/>
  <c r="CZ138" i="1" s="1"/>
  <c r="DA138" i="1" s="1"/>
  <c r="CY139" i="1"/>
  <c r="CZ139" i="1" s="1"/>
  <c r="DA139" i="1" s="1"/>
  <c r="CY140" i="1"/>
  <c r="CZ140" i="1" s="1"/>
  <c r="DA140" i="1" s="1"/>
  <c r="CY141" i="1"/>
  <c r="CZ141" i="1" s="1"/>
  <c r="DA141" i="1" s="1"/>
  <c r="CY142" i="1"/>
  <c r="CZ142" i="1" s="1"/>
  <c r="DA142" i="1" s="1"/>
  <c r="CY143" i="1"/>
  <c r="CZ143" i="1" s="1"/>
  <c r="DA143" i="1" s="1"/>
  <c r="CY144" i="1"/>
  <c r="CZ144" i="1" s="1"/>
  <c r="DA144" i="1" s="1"/>
  <c r="DB144" i="1" s="1"/>
  <c r="DC144" i="1" s="1"/>
  <c r="CY145" i="1"/>
  <c r="CZ145" i="1" s="1"/>
  <c r="DA145" i="1" s="1"/>
  <c r="CY146" i="1"/>
  <c r="CZ146" i="1" s="1"/>
  <c r="DA146" i="1" s="1"/>
  <c r="CY147" i="1"/>
  <c r="CZ147" i="1" s="1"/>
  <c r="DA147" i="1" s="1"/>
  <c r="CY148" i="1"/>
  <c r="CZ148" i="1" s="1"/>
  <c r="DA148" i="1" s="1"/>
  <c r="CY149" i="1"/>
  <c r="CZ149" i="1" s="1"/>
  <c r="DA149" i="1" s="1"/>
  <c r="CY150" i="1"/>
  <c r="CZ150" i="1" s="1"/>
  <c r="DA150" i="1" s="1"/>
  <c r="CY151" i="1"/>
  <c r="CZ151" i="1" s="1"/>
  <c r="DA151" i="1" s="1"/>
  <c r="CY152" i="1"/>
  <c r="CZ152" i="1" s="1"/>
  <c r="DA152" i="1" s="1"/>
  <c r="DB152" i="1" s="1"/>
  <c r="DC152" i="1" s="1"/>
  <c r="CY153" i="1"/>
  <c r="CZ153" i="1" s="1"/>
  <c r="DA153" i="1" s="1"/>
  <c r="CY154" i="1"/>
  <c r="CZ154" i="1" s="1"/>
  <c r="DA154" i="1" s="1"/>
  <c r="CY155" i="1"/>
  <c r="CZ155" i="1" s="1"/>
  <c r="DA155" i="1" s="1"/>
  <c r="CY156" i="1"/>
  <c r="CZ156" i="1" s="1"/>
  <c r="DA156" i="1" s="1"/>
  <c r="CY157" i="1"/>
  <c r="CZ157" i="1" s="1"/>
  <c r="DA157" i="1" s="1"/>
  <c r="CY158" i="1"/>
  <c r="CZ158" i="1" s="1"/>
  <c r="DA158" i="1" s="1"/>
  <c r="CY159" i="1"/>
  <c r="CZ159" i="1" s="1"/>
  <c r="DA159" i="1" s="1"/>
  <c r="CY160" i="1"/>
  <c r="CZ160" i="1" s="1"/>
  <c r="DA160" i="1" s="1"/>
  <c r="DB160" i="1" s="1"/>
  <c r="DC160" i="1" s="1"/>
  <c r="CY161" i="1"/>
  <c r="CZ161" i="1" s="1"/>
  <c r="DA161" i="1" s="1"/>
  <c r="CY162" i="1"/>
  <c r="CZ162" i="1" s="1"/>
  <c r="DA162" i="1" s="1"/>
  <c r="CY163" i="1"/>
  <c r="CZ163" i="1" s="1"/>
  <c r="DA163" i="1" s="1"/>
  <c r="CY164" i="1"/>
  <c r="CZ164" i="1" s="1"/>
  <c r="DA164" i="1" s="1"/>
  <c r="CY165" i="1"/>
  <c r="CZ165" i="1" s="1"/>
  <c r="DA165" i="1" s="1"/>
  <c r="CY166" i="1"/>
  <c r="CZ166" i="1" s="1"/>
  <c r="DA166" i="1" s="1"/>
  <c r="CY167" i="1"/>
  <c r="CZ167" i="1" s="1"/>
  <c r="DA167" i="1" s="1"/>
  <c r="CY168" i="1"/>
  <c r="CZ168" i="1" s="1"/>
  <c r="DA168" i="1" s="1"/>
  <c r="DB168" i="1" s="1"/>
  <c r="DC168" i="1" s="1"/>
  <c r="CY169" i="1"/>
  <c r="CZ169" i="1" s="1"/>
  <c r="DA169" i="1" s="1"/>
  <c r="CY170" i="1"/>
  <c r="CZ170" i="1" s="1"/>
  <c r="DA170" i="1" s="1"/>
  <c r="CY171" i="1"/>
  <c r="CZ171" i="1" s="1"/>
  <c r="DA171" i="1" s="1"/>
  <c r="CY172" i="1"/>
  <c r="CZ172" i="1" s="1"/>
  <c r="DA172" i="1" s="1"/>
  <c r="CY173" i="1"/>
  <c r="CZ173" i="1" s="1"/>
  <c r="DA173" i="1" s="1"/>
  <c r="CY174" i="1"/>
  <c r="CZ174" i="1" s="1"/>
  <c r="DA174" i="1" s="1"/>
  <c r="CY175" i="1"/>
  <c r="CZ175" i="1" s="1"/>
  <c r="DA175" i="1" s="1"/>
  <c r="CY176" i="1"/>
  <c r="CZ176" i="1" s="1"/>
  <c r="DA176" i="1" s="1"/>
  <c r="DB176" i="1" s="1"/>
  <c r="DC176" i="1" s="1"/>
  <c r="CY177" i="1"/>
  <c r="CZ177" i="1" s="1"/>
  <c r="DA177" i="1" s="1"/>
  <c r="CY178" i="1"/>
  <c r="CZ178" i="1" s="1"/>
  <c r="DA178" i="1" s="1"/>
  <c r="CY179" i="1"/>
  <c r="CZ179" i="1" s="1"/>
  <c r="DA179" i="1" s="1"/>
  <c r="CY180" i="1"/>
  <c r="CZ180" i="1" s="1"/>
  <c r="DA180" i="1" s="1"/>
  <c r="CY181" i="1"/>
  <c r="CZ181" i="1" s="1"/>
  <c r="DA181" i="1" s="1"/>
  <c r="CY182" i="1"/>
  <c r="CZ182" i="1" s="1"/>
  <c r="DA182" i="1" s="1"/>
  <c r="CY183" i="1"/>
  <c r="CZ183" i="1" s="1"/>
  <c r="DA183" i="1" s="1"/>
  <c r="CY184" i="1"/>
  <c r="CZ184" i="1" s="1"/>
  <c r="DA184" i="1" s="1"/>
  <c r="DB184" i="1" s="1"/>
  <c r="DC184" i="1" s="1"/>
  <c r="CY185" i="1"/>
  <c r="CZ185" i="1" s="1"/>
  <c r="DA185" i="1" s="1"/>
  <c r="CY186" i="1"/>
  <c r="CZ186" i="1" s="1"/>
  <c r="DA186" i="1" s="1"/>
  <c r="CY187" i="1"/>
  <c r="CZ187" i="1" s="1"/>
  <c r="DA187" i="1" s="1"/>
  <c r="CY188" i="1"/>
  <c r="CZ188" i="1" s="1"/>
  <c r="DA188" i="1" s="1"/>
  <c r="CY189" i="1"/>
  <c r="CZ189" i="1" s="1"/>
  <c r="DA189" i="1" s="1"/>
  <c r="CY190" i="1"/>
  <c r="CZ190" i="1" s="1"/>
  <c r="DA190" i="1" s="1"/>
  <c r="CY191" i="1"/>
  <c r="CZ191" i="1" s="1"/>
  <c r="DA191" i="1" s="1"/>
  <c r="CY192" i="1"/>
  <c r="CZ192" i="1" s="1"/>
  <c r="DA192" i="1" s="1"/>
  <c r="DB192" i="1" s="1"/>
  <c r="DC192" i="1" s="1"/>
  <c r="CY193" i="1"/>
  <c r="CZ193" i="1" s="1"/>
  <c r="DA193" i="1" s="1"/>
  <c r="CY194" i="1"/>
  <c r="CZ194" i="1" s="1"/>
  <c r="DA194" i="1" s="1"/>
  <c r="CY195" i="1"/>
  <c r="CZ195" i="1" s="1"/>
  <c r="DA195" i="1" s="1"/>
  <c r="CY196" i="1"/>
  <c r="CZ196" i="1" s="1"/>
  <c r="DA196" i="1" s="1"/>
  <c r="CY197" i="1"/>
  <c r="CZ197" i="1" s="1"/>
  <c r="DA197" i="1" s="1"/>
  <c r="CY198" i="1"/>
  <c r="CZ198" i="1" s="1"/>
  <c r="DA198" i="1" s="1"/>
  <c r="CY199" i="1"/>
  <c r="CZ199" i="1" s="1"/>
  <c r="DA199" i="1" s="1"/>
  <c r="CY200" i="1"/>
  <c r="CZ200" i="1" s="1"/>
  <c r="DA200" i="1" s="1"/>
  <c r="DB200" i="1" s="1"/>
  <c r="DC200" i="1" s="1"/>
  <c r="CY201" i="1"/>
  <c r="CZ201" i="1" s="1"/>
  <c r="DA201" i="1" s="1"/>
  <c r="CY202" i="1"/>
  <c r="CZ202" i="1" s="1"/>
  <c r="DA202" i="1" s="1"/>
  <c r="CY203" i="1"/>
  <c r="CZ203" i="1" s="1"/>
  <c r="DA203" i="1" s="1"/>
  <c r="CY204" i="1"/>
  <c r="CZ204" i="1" s="1"/>
  <c r="DA204" i="1" s="1"/>
  <c r="CY205" i="1"/>
  <c r="CZ205" i="1" s="1"/>
  <c r="DA205" i="1" s="1"/>
  <c r="CY206" i="1"/>
  <c r="CZ206" i="1" s="1"/>
  <c r="DA206" i="1" s="1"/>
  <c r="CY207" i="1"/>
  <c r="CZ207" i="1" s="1"/>
  <c r="DA207" i="1" s="1"/>
  <c r="CY10" i="1"/>
  <c r="CZ10" i="1" s="1"/>
  <c r="DA10" i="1" s="1"/>
  <c r="DB10" i="1" s="1"/>
  <c r="DC10" i="1" s="1"/>
  <c r="CL11" i="1"/>
  <c r="CM11" i="1" s="1"/>
  <c r="CL12" i="1"/>
  <c r="CM12" i="1" s="1"/>
  <c r="CL13" i="1"/>
  <c r="CM13" i="1" s="1"/>
  <c r="CL14" i="1"/>
  <c r="CM14" i="1" s="1"/>
  <c r="CL15" i="1"/>
  <c r="CM15" i="1" s="1"/>
  <c r="CL16" i="1"/>
  <c r="CM16" i="1" s="1"/>
  <c r="CL17" i="1"/>
  <c r="CL18" i="1"/>
  <c r="CM18" i="1" s="1"/>
  <c r="CL19" i="1"/>
  <c r="CM19" i="1" s="1"/>
  <c r="CL20" i="1"/>
  <c r="CM20" i="1" s="1"/>
  <c r="CL21" i="1"/>
  <c r="CM21" i="1" s="1"/>
  <c r="CL22" i="1"/>
  <c r="CM22" i="1" s="1"/>
  <c r="CL23" i="1"/>
  <c r="CM23" i="1" s="1"/>
  <c r="CL24" i="1"/>
  <c r="CM24" i="1" s="1"/>
  <c r="CL25" i="1"/>
  <c r="CM25" i="1" s="1"/>
  <c r="CL26" i="1"/>
  <c r="CM26" i="1" s="1"/>
  <c r="CL27" i="1"/>
  <c r="CM27" i="1" s="1"/>
  <c r="CL28" i="1"/>
  <c r="CM28" i="1" s="1"/>
  <c r="CL29" i="1"/>
  <c r="CM29" i="1" s="1"/>
  <c r="CL30" i="1"/>
  <c r="CM30" i="1" s="1"/>
  <c r="CL31" i="1"/>
  <c r="CM31" i="1" s="1"/>
  <c r="CL32" i="1"/>
  <c r="CM32" i="1" s="1"/>
  <c r="CL33" i="1"/>
  <c r="CM33" i="1" s="1"/>
  <c r="CL34" i="1"/>
  <c r="CM34" i="1" s="1"/>
  <c r="CL35" i="1"/>
  <c r="CM35" i="1" s="1"/>
  <c r="CL36" i="1"/>
  <c r="CM36" i="1" s="1"/>
  <c r="CL37" i="1"/>
  <c r="CM37" i="1" s="1"/>
  <c r="CL38" i="1"/>
  <c r="CM38" i="1" s="1"/>
  <c r="CL39" i="1"/>
  <c r="CM39" i="1" s="1"/>
  <c r="CL40" i="1"/>
  <c r="CM40" i="1" s="1"/>
  <c r="CL41" i="1"/>
  <c r="CM41" i="1" s="1"/>
  <c r="CL42" i="1"/>
  <c r="CM42" i="1" s="1"/>
  <c r="CL43" i="1"/>
  <c r="CM43" i="1" s="1"/>
  <c r="CL44" i="1"/>
  <c r="CM44" i="1" s="1"/>
  <c r="CL45" i="1"/>
  <c r="CM45" i="1" s="1"/>
  <c r="CL46" i="1"/>
  <c r="CM46" i="1" s="1"/>
  <c r="CL47" i="1"/>
  <c r="CM47" i="1" s="1"/>
  <c r="CL48" i="1"/>
  <c r="CM48" i="1" s="1"/>
  <c r="CL49" i="1"/>
  <c r="CM49" i="1" s="1"/>
  <c r="CL50" i="1"/>
  <c r="CM50" i="1" s="1"/>
  <c r="CL51" i="1"/>
  <c r="CM51" i="1" s="1"/>
  <c r="CL52" i="1"/>
  <c r="CM52" i="1" s="1"/>
  <c r="CL53" i="1"/>
  <c r="CM53" i="1" s="1"/>
  <c r="CL54" i="1"/>
  <c r="CM54" i="1" s="1"/>
  <c r="CL55" i="1"/>
  <c r="CM55" i="1" s="1"/>
  <c r="CL56" i="1"/>
  <c r="CM56" i="1" s="1"/>
  <c r="CL57" i="1"/>
  <c r="CM57" i="1" s="1"/>
  <c r="CL58" i="1"/>
  <c r="CM58" i="1" s="1"/>
  <c r="CL59" i="1"/>
  <c r="CM59" i="1" s="1"/>
  <c r="CL60" i="1"/>
  <c r="CM60" i="1" s="1"/>
  <c r="CL61" i="1"/>
  <c r="CM61" i="1" s="1"/>
  <c r="CL62" i="1"/>
  <c r="CM62" i="1" s="1"/>
  <c r="CL63" i="1"/>
  <c r="CM63" i="1" s="1"/>
  <c r="CL64" i="1"/>
  <c r="CM64" i="1" s="1"/>
  <c r="CL65" i="1"/>
  <c r="CM65" i="1" s="1"/>
  <c r="CL66" i="1"/>
  <c r="CM66" i="1" s="1"/>
  <c r="CL67" i="1"/>
  <c r="CM67" i="1" s="1"/>
  <c r="CL68" i="1"/>
  <c r="CM68" i="1" s="1"/>
  <c r="CL69" i="1"/>
  <c r="CM69" i="1" s="1"/>
  <c r="CL70" i="1"/>
  <c r="CM70" i="1" s="1"/>
  <c r="CL71" i="1"/>
  <c r="CM71" i="1" s="1"/>
  <c r="CL72" i="1"/>
  <c r="CM72" i="1" s="1"/>
  <c r="CL73" i="1"/>
  <c r="CM73" i="1" s="1"/>
  <c r="CL74" i="1"/>
  <c r="CM74" i="1" s="1"/>
  <c r="CL75" i="1"/>
  <c r="CM75" i="1" s="1"/>
  <c r="CL76" i="1"/>
  <c r="CM76" i="1" s="1"/>
  <c r="CL77" i="1"/>
  <c r="CM77" i="1" s="1"/>
  <c r="CL78" i="1"/>
  <c r="CM78" i="1" s="1"/>
  <c r="CL79" i="1"/>
  <c r="CM79" i="1" s="1"/>
  <c r="CL80" i="1"/>
  <c r="CM80" i="1" s="1"/>
  <c r="CL81" i="1"/>
  <c r="CM81" i="1" s="1"/>
  <c r="CL82" i="1"/>
  <c r="CM82" i="1" s="1"/>
  <c r="CL83" i="1"/>
  <c r="CM83" i="1" s="1"/>
  <c r="CL84" i="1"/>
  <c r="CM84" i="1" s="1"/>
  <c r="CL85" i="1"/>
  <c r="CM85" i="1" s="1"/>
  <c r="CL86" i="1"/>
  <c r="CM86" i="1" s="1"/>
  <c r="CL87" i="1"/>
  <c r="CM87" i="1" s="1"/>
  <c r="CL88" i="1"/>
  <c r="CM88" i="1" s="1"/>
  <c r="CL89" i="1"/>
  <c r="CM89" i="1" s="1"/>
  <c r="CL90" i="1"/>
  <c r="CM90" i="1" s="1"/>
  <c r="CL91" i="1"/>
  <c r="CM91" i="1" s="1"/>
  <c r="CL92" i="1"/>
  <c r="CM92" i="1" s="1"/>
  <c r="CL93" i="1"/>
  <c r="CM93" i="1" s="1"/>
  <c r="CL94" i="1"/>
  <c r="CM94" i="1" s="1"/>
  <c r="CL95" i="1"/>
  <c r="CM95" i="1" s="1"/>
  <c r="CL96" i="1"/>
  <c r="CM96" i="1" s="1"/>
  <c r="CL97" i="1"/>
  <c r="CM97" i="1" s="1"/>
  <c r="CL98" i="1"/>
  <c r="CM98" i="1" s="1"/>
  <c r="CL99" i="1"/>
  <c r="CM99" i="1" s="1"/>
  <c r="CL100" i="1"/>
  <c r="CM100" i="1" s="1"/>
  <c r="CL101" i="1"/>
  <c r="CM101" i="1" s="1"/>
  <c r="CL102" i="1"/>
  <c r="CM102" i="1" s="1"/>
  <c r="CL103" i="1"/>
  <c r="CM103" i="1" s="1"/>
  <c r="CL104" i="1"/>
  <c r="CM104" i="1" s="1"/>
  <c r="CL105" i="1"/>
  <c r="CM105" i="1" s="1"/>
  <c r="CL106" i="1"/>
  <c r="CM106" i="1" s="1"/>
  <c r="CL107" i="1"/>
  <c r="CM107" i="1" s="1"/>
  <c r="CL108" i="1"/>
  <c r="CM108" i="1" s="1"/>
  <c r="CL109" i="1"/>
  <c r="CM109" i="1" s="1"/>
  <c r="CL110" i="1"/>
  <c r="CM110" i="1" s="1"/>
  <c r="CL111" i="1"/>
  <c r="CM111" i="1" s="1"/>
  <c r="CL112" i="1"/>
  <c r="CM112" i="1" s="1"/>
  <c r="CL113" i="1"/>
  <c r="CM113" i="1" s="1"/>
  <c r="CL114" i="1"/>
  <c r="CM114" i="1" s="1"/>
  <c r="CL115" i="1"/>
  <c r="CM115" i="1" s="1"/>
  <c r="CL116" i="1"/>
  <c r="CM116" i="1" s="1"/>
  <c r="CL117" i="1"/>
  <c r="CM117" i="1" s="1"/>
  <c r="CL118" i="1"/>
  <c r="CM118" i="1" s="1"/>
  <c r="CL119" i="1"/>
  <c r="CM119" i="1" s="1"/>
  <c r="CL120" i="1"/>
  <c r="CM120" i="1" s="1"/>
  <c r="CL121" i="1"/>
  <c r="CM121" i="1" s="1"/>
  <c r="CL122" i="1"/>
  <c r="CM122" i="1" s="1"/>
  <c r="CL123" i="1"/>
  <c r="CM123" i="1" s="1"/>
  <c r="CL124" i="1"/>
  <c r="CM124" i="1" s="1"/>
  <c r="CL125" i="1"/>
  <c r="CM125" i="1" s="1"/>
  <c r="CL126" i="1"/>
  <c r="CM126" i="1" s="1"/>
  <c r="CL127" i="1"/>
  <c r="CM127" i="1" s="1"/>
  <c r="CL128" i="1"/>
  <c r="CM128" i="1" s="1"/>
  <c r="CL129" i="1"/>
  <c r="CM129" i="1" s="1"/>
  <c r="CL130" i="1"/>
  <c r="CM130" i="1" s="1"/>
  <c r="CL131" i="1"/>
  <c r="CM131" i="1" s="1"/>
  <c r="CL132" i="1"/>
  <c r="CM132" i="1" s="1"/>
  <c r="CL133" i="1"/>
  <c r="CM133" i="1" s="1"/>
  <c r="CL134" i="1"/>
  <c r="CM134" i="1" s="1"/>
  <c r="CL135" i="1"/>
  <c r="CM135" i="1" s="1"/>
  <c r="CL136" i="1"/>
  <c r="CM136" i="1" s="1"/>
  <c r="CL137" i="1"/>
  <c r="CM137" i="1" s="1"/>
  <c r="CL138" i="1"/>
  <c r="CM138" i="1" s="1"/>
  <c r="CL139" i="1"/>
  <c r="CM139" i="1" s="1"/>
  <c r="CL140" i="1"/>
  <c r="CM140" i="1" s="1"/>
  <c r="CL141" i="1"/>
  <c r="CM141" i="1" s="1"/>
  <c r="CL142" i="1"/>
  <c r="CM142" i="1" s="1"/>
  <c r="CL143" i="1"/>
  <c r="CM143" i="1" s="1"/>
  <c r="CL144" i="1"/>
  <c r="CM144" i="1" s="1"/>
  <c r="CL145" i="1"/>
  <c r="CM145" i="1" s="1"/>
  <c r="CL146" i="1"/>
  <c r="CM146" i="1" s="1"/>
  <c r="CL147" i="1"/>
  <c r="CM147" i="1" s="1"/>
  <c r="CL148" i="1"/>
  <c r="CM148" i="1" s="1"/>
  <c r="CL149" i="1"/>
  <c r="CM149" i="1" s="1"/>
  <c r="CL150" i="1"/>
  <c r="CM150" i="1" s="1"/>
  <c r="CL151" i="1"/>
  <c r="CM151" i="1" s="1"/>
  <c r="CL152" i="1"/>
  <c r="CM152" i="1" s="1"/>
  <c r="CL153" i="1"/>
  <c r="CM153" i="1" s="1"/>
  <c r="CL154" i="1"/>
  <c r="CM154" i="1" s="1"/>
  <c r="CL155" i="1"/>
  <c r="CM155" i="1" s="1"/>
  <c r="CL156" i="1"/>
  <c r="CM156" i="1" s="1"/>
  <c r="CL157" i="1"/>
  <c r="CM157" i="1" s="1"/>
  <c r="CL158" i="1"/>
  <c r="CM158" i="1" s="1"/>
  <c r="CL159" i="1"/>
  <c r="CM159" i="1" s="1"/>
  <c r="CL160" i="1"/>
  <c r="CM160" i="1" s="1"/>
  <c r="CL161" i="1"/>
  <c r="CM161" i="1" s="1"/>
  <c r="CL162" i="1"/>
  <c r="CM162" i="1" s="1"/>
  <c r="CL163" i="1"/>
  <c r="CM163" i="1" s="1"/>
  <c r="CL164" i="1"/>
  <c r="CM164" i="1" s="1"/>
  <c r="CL165" i="1"/>
  <c r="CM165" i="1" s="1"/>
  <c r="CL166" i="1"/>
  <c r="CM166" i="1" s="1"/>
  <c r="CL167" i="1"/>
  <c r="CM167" i="1" s="1"/>
  <c r="CL168" i="1"/>
  <c r="CM168" i="1" s="1"/>
  <c r="CL169" i="1"/>
  <c r="CM169" i="1" s="1"/>
  <c r="CL170" i="1"/>
  <c r="CM170" i="1" s="1"/>
  <c r="CL171" i="1"/>
  <c r="CM171" i="1" s="1"/>
  <c r="CL172" i="1"/>
  <c r="CM172" i="1" s="1"/>
  <c r="CL173" i="1"/>
  <c r="CM173" i="1" s="1"/>
  <c r="CL174" i="1"/>
  <c r="CM174" i="1" s="1"/>
  <c r="CL175" i="1"/>
  <c r="CM175" i="1" s="1"/>
  <c r="CL176" i="1"/>
  <c r="CM176" i="1" s="1"/>
  <c r="CL177" i="1"/>
  <c r="CM177" i="1" s="1"/>
  <c r="CL178" i="1"/>
  <c r="CM178" i="1" s="1"/>
  <c r="CL179" i="1"/>
  <c r="CM179" i="1" s="1"/>
  <c r="CL180" i="1"/>
  <c r="CM180" i="1" s="1"/>
  <c r="CL181" i="1"/>
  <c r="CM181" i="1" s="1"/>
  <c r="CL182" i="1"/>
  <c r="CM182" i="1" s="1"/>
  <c r="CL183" i="1"/>
  <c r="CM183" i="1" s="1"/>
  <c r="CL184" i="1"/>
  <c r="CM184" i="1" s="1"/>
  <c r="CL185" i="1"/>
  <c r="CM185" i="1" s="1"/>
  <c r="CL186" i="1"/>
  <c r="CM186" i="1" s="1"/>
  <c r="CL187" i="1"/>
  <c r="CM187" i="1" s="1"/>
  <c r="CL188" i="1"/>
  <c r="CM188" i="1" s="1"/>
  <c r="CL189" i="1"/>
  <c r="CM189" i="1" s="1"/>
  <c r="CL190" i="1"/>
  <c r="CM190" i="1" s="1"/>
  <c r="CL191" i="1"/>
  <c r="CM191" i="1" s="1"/>
  <c r="CL192" i="1"/>
  <c r="CM192" i="1" s="1"/>
  <c r="CL193" i="1"/>
  <c r="CM193" i="1" s="1"/>
  <c r="CL194" i="1"/>
  <c r="CM194" i="1" s="1"/>
  <c r="CL195" i="1"/>
  <c r="CM195" i="1" s="1"/>
  <c r="CL196" i="1"/>
  <c r="CM196" i="1" s="1"/>
  <c r="CL197" i="1"/>
  <c r="CM197" i="1" s="1"/>
  <c r="CL198" i="1"/>
  <c r="CM198" i="1" s="1"/>
  <c r="CL199" i="1"/>
  <c r="CM199" i="1" s="1"/>
  <c r="CL200" i="1"/>
  <c r="CM200" i="1" s="1"/>
  <c r="CL201" i="1"/>
  <c r="CM201" i="1" s="1"/>
  <c r="CL202" i="1"/>
  <c r="CM202" i="1" s="1"/>
  <c r="CL203" i="1"/>
  <c r="CM203" i="1" s="1"/>
  <c r="CL204" i="1"/>
  <c r="CM204" i="1" s="1"/>
  <c r="CL205" i="1"/>
  <c r="CM205" i="1" s="1"/>
  <c r="CL206" i="1"/>
  <c r="CM206" i="1" s="1"/>
  <c r="CL207" i="1"/>
  <c r="CM207" i="1" s="1"/>
  <c r="CL10" i="1"/>
  <c r="CM10" i="1" s="1"/>
  <c r="CM17" i="1"/>
  <c r="CI10" i="1"/>
  <c r="CJ10" i="1" s="1"/>
  <c r="CO207" i="1"/>
  <c r="CP207" i="1" s="1"/>
  <c r="DI207" i="1" s="1"/>
  <c r="CO206" i="1"/>
  <c r="CP206" i="1" s="1"/>
  <c r="DI206" i="1" s="1"/>
  <c r="CO205" i="1"/>
  <c r="CP205" i="1" s="1"/>
  <c r="DI205" i="1" s="1"/>
  <c r="CO204" i="1"/>
  <c r="CP204" i="1" s="1"/>
  <c r="DI204" i="1" s="1"/>
  <c r="CO203" i="1"/>
  <c r="CP203" i="1" s="1"/>
  <c r="DI203" i="1" s="1"/>
  <c r="CO202" i="1"/>
  <c r="CP202" i="1" s="1"/>
  <c r="DI202" i="1" s="1"/>
  <c r="CO201" i="1"/>
  <c r="CP201" i="1" s="1"/>
  <c r="DI201" i="1" s="1"/>
  <c r="CO200" i="1"/>
  <c r="CP200" i="1" s="1"/>
  <c r="DI200" i="1" s="1"/>
  <c r="CO199" i="1"/>
  <c r="CP199" i="1" s="1"/>
  <c r="DI199" i="1" s="1"/>
  <c r="CO198" i="1"/>
  <c r="CP198" i="1" s="1"/>
  <c r="DI198" i="1" s="1"/>
  <c r="CO197" i="1"/>
  <c r="CP197" i="1" s="1"/>
  <c r="DI197" i="1" s="1"/>
  <c r="CO196" i="1"/>
  <c r="CP196" i="1" s="1"/>
  <c r="DI196" i="1" s="1"/>
  <c r="CO195" i="1"/>
  <c r="CP195" i="1" s="1"/>
  <c r="DI195" i="1" s="1"/>
  <c r="CO194" i="1"/>
  <c r="CP194" i="1" s="1"/>
  <c r="DI194" i="1" s="1"/>
  <c r="CO193" i="1"/>
  <c r="CP193" i="1" s="1"/>
  <c r="DI193" i="1" s="1"/>
  <c r="CO192" i="1"/>
  <c r="CP192" i="1" s="1"/>
  <c r="DI192" i="1" s="1"/>
  <c r="CO191" i="1"/>
  <c r="CP191" i="1" s="1"/>
  <c r="DI191" i="1" s="1"/>
  <c r="CO190" i="1"/>
  <c r="CP190" i="1" s="1"/>
  <c r="DI190" i="1" s="1"/>
  <c r="CO189" i="1"/>
  <c r="CP189" i="1" s="1"/>
  <c r="DI189" i="1" s="1"/>
  <c r="CO188" i="1"/>
  <c r="CP188" i="1" s="1"/>
  <c r="DI188" i="1" s="1"/>
  <c r="CO187" i="1"/>
  <c r="CP187" i="1" s="1"/>
  <c r="DI187" i="1" s="1"/>
  <c r="CO186" i="1"/>
  <c r="CP186" i="1" s="1"/>
  <c r="DI186" i="1" s="1"/>
  <c r="CO185" i="1"/>
  <c r="CP185" i="1" s="1"/>
  <c r="DI185" i="1" s="1"/>
  <c r="CO184" i="1"/>
  <c r="CP184" i="1" s="1"/>
  <c r="DI184" i="1" s="1"/>
  <c r="CO183" i="1"/>
  <c r="CP183" i="1" s="1"/>
  <c r="DI183" i="1" s="1"/>
  <c r="CO182" i="1"/>
  <c r="CP182" i="1" s="1"/>
  <c r="DI182" i="1" s="1"/>
  <c r="CO181" i="1"/>
  <c r="CP181" i="1" s="1"/>
  <c r="DI181" i="1" s="1"/>
  <c r="CO180" i="1"/>
  <c r="CP180" i="1" s="1"/>
  <c r="DI180" i="1" s="1"/>
  <c r="CO179" i="1"/>
  <c r="CP179" i="1" s="1"/>
  <c r="DI179" i="1" s="1"/>
  <c r="CO178" i="1"/>
  <c r="CP178" i="1" s="1"/>
  <c r="DI178" i="1" s="1"/>
  <c r="CO177" i="1"/>
  <c r="CP177" i="1" s="1"/>
  <c r="DI177" i="1" s="1"/>
  <c r="CO176" i="1"/>
  <c r="CP176" i="1" s="1"/>
  <c r="DI176" i="1" s="1"/>
  <c r="CO175" i="1"/>
  <c r="CP175" i="1" s="1"/>
  <c r="DI175" i="1" s="1"/>
  <c r="CO174" i="1"/>
  <c r="CP174" i="1" s="1"/>
  <c r="DI174" i="1" s="1"/>
  <c r="CO173" i="1"/>
  <c r="CP173" i="1" s="1"/>
  <c r="DI173" i="1" s="1"/>
  <c r="CO172" i="1"/>
  <c r="CP172" i="1" s="1"/>
  <c r="DI172" i="1" s="1"/>
  <c r="CO171" i="1"/>
  <c r="CP171" i="1" s="1"/>
  <c r="DI171" i="1" s="1"/>
  <c r="CO170" i="1"/>
  <c r="CP170" i="1" s="1"/>
  <c r="DI170" i="1" s="1"/>
  <c r="CO169" i="1"/>
  <c r="CP169" i="1" s="1"/>
  <c r="DI169" i="1" s="1"/>
  <c r="CO168" i="1"/>
  <c r="CP168" i="1" s="1"/>
  <c r="DI168" i="1" s="1"/>
  <c r="CO167" i="1"/>
  <c r="CP167" i="1" s="1"/>
  <c r="DI167" i="1" s="1"/>
  <c r="CO166" i="1"/>
  <c r="CP166" i="1" s="1"/>
  <c r="DI166" i="1" s="1"/>
  <c r="CO165" i="1"/>
  <c r="CP165" i="1" s="1"/>
  <c r="DI165" i="1" s="1"/>
  <c r="CO164" i="1"/>
  <c r="CP164" i="1" s="1"/>
  <c r="DI164" i="1" s="1"/>
  <c r="CO163" i="1"/>
  <c r="CP163" i="1" s="1"/>
  <c r="DI163" i="1" s="1"/>
  <c r="CO162" i="1"/>
  <c r="CP162" i="1" s="1"/>
  <c r="DI162" i="1" s="1"/>
  <c r="CO161" i="1"/>
  <c r="CP161" i="1" s="1"/>
  <c r="DI161" i="1" s="1"/>
  <c r="CO160" i="1"/>
  <c r="CP160" i="1" s="1"/>
  <c r="DI160" i="1" s="1"/>
  <c r="CO159" i="1"/>
  <c r="CP159" i="1" s="1"/>
  <c r="DI159" i="1" s="1"/>
  <c r="CO158" i="1"/>
  <c r="CP158" i="1" s="1"/>
  <c r="DI158" i="1" s="1"/>
  <c r="CO157" i="1"/>
  <c r="CP157" i="1" s="1"/>
  <c r="DI157" i="1" s="1"/>
  <c r="CO156" i="1"/>
  <c r="CP156" i="1" s="1"/>
  <c r="DI156" i="1" s="1"/>
  <c r="CO155" i="1"/>
  <c r="CP155" i="1" s="1"/>
  <c r="DI155" i="1" s="1"/>
  <c r="CO154" i="1"/>
  <c r="CP154" i="1" s="1"/>
  <c r="DI154" i="1" s="1"/>
  <c r="CO153" i="1"/>
  <c r="CP153" i="1" s="1"/>
  <c r="DI153" i="1" s="1"/>
  <c r="CO152" i="1"/>
  <c r="CP152" i="1" s="1"/>
  <c r="DI152" i="1" s="1"/>
  <c r="CO151" i="1"/>
  <c r="CP151" i="1" s="1"/>
  <c r="DI151" i="1" s="1"/>
  <c r="CO150" i="1"/>
  <c r="CP150" i="1" s="1"/>
  <c r="DI150" i="1" s="1"/>
  <c r="CO149" i="1"/>
  <c r="CP149" i="1" s="1"/>
  <c r="DI149" i="1" s="1"/>
  <c r="CO148" i="1"/>
  <c r="CP148" i="1" s="1"/>
  <c r="DI148" i="1" s="1"/>
  <c r="CO147" i="1"/>
  <c r="CP147" i="1" s="1"/>
  <c r="DI147" i="1" s="1"/>
  <c r="CO146" i="1"/>
  <c r="CP146" i="1" s="1"/>
  <c r="DI146" i="1" s="1"/>
  <c r="CO145" i="1"/>
  <c r="CP145" i="1" s="1"/>
  <c r="DI145" i="1" s="1"/>
  <c r="CO144" i="1"/>
  <c r="CP144" i="1" s="1"/>
  <c r="DI144" i="1" s="1"/>
  <c r="CO143" i="1"/>
  <c r="CP143" i="1" s="1"/>
  <c r="DI143" i="1" s="1"/>
  <c r="CO142" i="1"/>
  <c r="CP142" i="1" s="1"/>
  <c r="DI142" i="1" s="1"/>
  <c r="CO141" i="1"/>
  <c r="CP141" i="1" s="1"/>
  <c r="DI141" i="1" s="1"/>
  <c r="CO140" i="1"/>
  <c r="CP140" i="1" s="1"/>
  <c r="DI140" i="1" s="1"/>
  <c r="CO139" i="1"/>
  <c r="CP139" i="1" s="1"/>
  <c r="DI139" i="1" s="1"/>
  <c r="CO138" i="1"/>
  <c r="CP138" i="1" s="1"/>
  <c r="DI138" i="1" s="1"/>
  <c r="CO137" i="1"/>
  <c r="CP137" i="1" s="1"/>
  <c r="DI137" i="1" s="1"/>
  <c r="CO136" i="1"/>
  <c r="CP136" i="1" s="1"/>
  <c r="DI136" i="1" s="1"/>
  <c r="CO135" i="1"/>
  <c r="CP135" i="1" s="1"/>
  <c r="DI135" i="1" s="1"/>
  <c r="CO134" i="1"/>
  <c r="CP134" i="1" s="1"/>
  <c r="DI134" i="1" s="1"/>
  <c r="CO133" i="1"/>
  <c r="CP133" i="1" s="1"/>
  <c r="DI133" i="1" s="1"/>
  <c r="CO132" i="1"/>
  <c r="CP132" i="1" s="1"/>
  <c r="DI132" i="1" s="1"/>
  <c r="CO131" i="1"/>
  <c r="CP131" i="1" s="1"/>
  <c r="DI131" i="1" s="1"/>
  <c r="CO130" i="1"/>
  <c r="CP130" i="1" s="1"/>
  <c r="DI130" i="1" s="1"/>
  <c r="CO129" i="1"/>
  <c r="CP129" i="1" s="1"/>
  <c r="DI129" i="1" s="1"/>
  <c r="CO128" i="1"/>
  <c r="CP128" i="1" s="1"/>
  <c r="DI128" i="1" s="1"/>
  <c r="CO127" i="1"/>
  <c r="CP127" i="1" s="1"/>
  <c r="DI127" i="1" s="1"/>
  <c r="CO126" i="1"/>
  <c r="CP126" i="1" s="1"/>
  <c r="DI126" i="1" s="1"/>
  <c r="CO125" i="1"/>
  <c r="CP125" i="1" s="1"/>
  <c r="DI125" i="1" s="1"/>
  <c r="CO124" i="1"/>
  <c r="CP124" i="1" s="1"/>
  <c r="DI124" i="1" s="1"/>
  <c r="CO123" i="1"/>
  <c r="CP123" i="1" s="1"/>
  <c r="DI123" i="1" s="1"/>
  <c r="CO122" i="1"/>
  <c r="CP122" i="1" s="1"/>
  <c r="DI122" i="1" s="1"/>
  <c r="CO121" i="1"/>
  <c r="CP121" i="1" s="1"/>
  <c r="DI121" i="1" s="1"/>
  <c r="CO120" i="1"/>
  <c r="CP120" i="1" s="1"/>
  <c r="DI120" i="1" s="1"/>
  <c r="CO119" i="1"/>
  <c r="CP119" i="1" s="1"/>
  <c r="DI119" i="1" s="1"/>
  <c r="CO118" i="1"/>
  <c r="CP118" i="1" s="1"/>
  <c r="DI118" i="1" s="1"/>
  <c r="CO117" i="1"/>
  <c r="CP117" i="1" s="1"/>
  <c r="DI117" i="1" s="1"/>
  <c r="CO116" i="1"/>
  <c r="CP116" i="1" s="1"/>
  <c r="DI116" i="1" s="1"/>
  <c r="CO115" i="1"/>
  <c r="CP115" i="1" s="1"/>
  <c r="DI115" i="1" s="1"/>
  <c r="CO114" i="1"/>
  <c r="CP114" i="1" s="1"/>
  <c r="DI114" i="1" s="1"/>
  <c r="CO113" i="1"/>
  <c r="CP113" i="1" s="1"/>
  <c r="DI113" i="1" s="1"/>
  <c r="CO112" i="1"/>
  <c r="CP112" i="1" s="1"/>
  <c r="DI112" i="1" s="1"/>
  <c r="CO111" i="1"/>
  <c r="CP111" i="1" s="1"/>
  <c r="DI111" i="1" s="1"/>
  <c r="CO110" i="1"/>
  <c r="CP110" i="1" s="1"/>
  <c r="DI110" i="1" s="1"/>
  <c r="CO109" i="1"/>
  <c r="CP109" i="1" s="1"/>
  <c r="DI109" i="1" s="1"/>
  <c r="CO108" i="1"/>
  <c r="CP108" i="1" s="1"/>
  <c r="DI108" i="1" s="1"/>
  <c r="CO107" i="1"/>
  <c r="CP107" i="1" s="1"/>
  <c r="DI107" i="1" s="1"/>
  <c r="CO106" i="1"/>
  <c r="CP106" i="1" s="1"/>
  <c r="DI106" i="1" s="1"/>
  <c r="CO105" i="1"/>
  <c r="CP105" i="1" s="1"/>
  <c r="DI105" i="1" s="1"/>
  <c r="CO104" i="1"/>
  <c r="CP104" i="1" s="1"/>
  <c r="DI104" i="1" s="1"/>
  <c r="CO103" i="1"/>
  <c r="CP103" i="1" s="1"/>
  <c r="DI103" i="1" s="1"/>
  <c r="CO102" i="1"/>
  <c r="CP102" i="1" s="1"/>
  <c r="DI102" i="1" s="1"/>
  <c r="CO101" i="1"/>
  <c r="CP101" i="1" s="1"/>
  <c r="DI101" i="1" s="1"/>
  <c r="CO100" i="1"/>
  <c r="CP100" i="1" s="1"/>
  <c r="DI100" i="1" s="1"/>
  <c r="CO99" i="1"/>
  <c r="CP99" i="1" s="1"/>
  <c r="DI99" i="1" s="1"/>
  <c r="CO98" i="1"/>
  <c r="CP98" i="1" s="1"/>
  <c r="DI98" i="1" s="1"/>
  <c r="CO97" i="1"/>
  <c r="CP97" i="1" s="1"/>
  <c r="DI97" i="1" s="1"/>
  <c r="CO96" i="1"/>
  <c r="CP96" i="1" s="1"/>
  <c r="DI96" i="1" s="1"/>
  <c r="CO95" i="1"/>
  <c r="CP95" i="1" s="1"/>
  <c r="DI95" i="1" s="1"/>
  <c r="CO94" i="1"/>
  <c r="CP94" i="1" s="1"/>
  <c r="DI94" i="1" s="1"/>
  <c r="CO93" i="1"/>
  <c r="CP93" i="1" s="1"/>
  <c r="DI93" i="1" s="1"/>
  <c r="CO92" i="1"/>
  <c r="CP92" i="1" s="1"/>
  <c r="DI92" i="1" s="1"/>
  <c r="CO91" i="1"/>
  <c r="CP91" i="1" s="1"/>
  <c r="DI91" i="1" s="1"/>
  <c r="CO90" i="1"/>
  <c r="CP90" i="1" s="1"/>
  <c r="DI90" i="1" s="1"/>
  <c r="CO89" i="1"/>
  <c r="CP89" i="1" s="1"/>
  <c r="DI89" i="1" s="1"/>
  <c r="CO88" i="1"/>
  <c r="CP88" i="1" s="1"/>
  <c r="DI88" i="1" s="1"/>
  <c r="CO87" i="1"/>
  <c r="CP87" i="1" s="1"/>
  <c r="DI87" i="1" s="1"/>
  <c r="CO86" i="1"/>
  <c r="CP86" i="1" s="1"/>
  <c r="DI86" i="1" s="1"/>
  <c r="CO85" i="1"/>
  <c r="CP85" i="1" s="1"/>
  <c r="DI85" i="1" s="1"/>
  <c r="CO84" i="1"/>
  <c r="CP84" i="1" s="1"/>
  <c r="DI84" i="1" s="1"/>
  <c r="CO83" i="1"/>
  <c r="CP83" i="1" s="1"/>
  <c r="DI83" i="1" s="1"/>
  <c r="CO82" i="1"/>
  <c r="CP82" i="1" s="1"/>
  <c r="DI82" i="1" s="1"/>
  <c r="CO81" i="1"/>
  <c r="CP81" i="1" s="1"/>
  <c r="DI81" i="1" s="1"/>
  <c r="CO80" i="1"/>
  <c r="CP80" i="1" s="1"/>
  <c r="DI80" i="1" s="1"/>
  <c r="CO79" i="1"/>
  <c r="CP79" i="1" s="1"/>
  <c r="DI79" i="1" s="1"/>
  <c r="CO78" i="1"/>
  <c r="CP78" i="1" s="1"/>
  <c r="DI78" i="1" s="1"/>
  <c r="CO77" i="1"/>
  <c r="CP77" i="1" s="1"/>
  <c r="DI77" i="1" s="1"/>
  <c r="CO76" i="1"/>
  <c r="CP76" i="1" s="1"/>
  <c r="DI76" i="1" s="1"/>
  <c r="CO75" i="1"/>
  <c r="CP75" i="1" s="1"/>
  <c r="DI75" i="1" s="1"/>
  <c r="CO74" i="1"/>
  <c r="CP74" i="1" s="1"/>
  <c r="DI74" i="1" s="1"/>
  <c r="CO73" i="1"/>
  <c r="CP73" i="1" s="1"/>
  <c r="DI73" i="1" s="1"/>
  <c r="CO72" i="1"/>
  <c r="CP72" i="1" s="1"/>
  <c r="DI72" i="1" s="1"/>
  <c r="CO71" i="1"/>
  <c r="CP71" i="1" s="1"/>
  <c r="DI71" i="1" s="1"/>
  <c r="CO70" i="1"/>
  <c r="CP70" i="1" s="1"/>
  <c r="DI70" i="1" s="1"/>
  <c r="CO69" i="1"/>
  <c r="CP69" i="1" s="1"/>
  <c r="DI69" i="1" s="1"/>
  <c r="CO68" i="1"/>
  <c r="CP68" i="1" s="1"/>
  <c r="DI68" i="1" s="1"/>
  <c r="CO67" i="1"/>
  <c r="CP67" i="1" s="1"/>
  <c r="DI67" i="1" s="1"/>
  <c r="CO66" i="1"/>
  <c r="CP66" i="1" s="1"/>
  <c r="DI66" i="1" s="1"/>
  <c r="CO65" i="1"/>
  <c r="CP65" i="1" s="1"/>
  <c r="DI65" i="1" s="1"/>
  <c r="CO64" i="1"/>
  <c r="CP64" i="1" s="1"/>
  <c r="DI64" i="1" s="1"/>
  <c r="CO63" i="1"/>
  <c r="CP63" i="1" s="1"/>
  <c r="DI63" i="1" s="1"/>
  <c r="CO62" i="1"/>
  <c r="CP62" i="1" s="1"/>
  <c r="DI62" i="1" s="1"/>
  <c r="CO61" i="1"/>
  <c r="CP61" i="1" s="1"/>
  <c r="DI61" i="1" s="1"/>
  <c r="CO60" i="1"/>
  <c r="CP60" i="1" s="1"/>
  <c r="DI60" i="1" s="1"/>
  <c r="CO59" i="1"/>
  <c r="CP59" i="1" s="1"/>
  <c r="DI59" i="1" s="1"/>
  <c r="CO58" i="1"/>
  <c r="CP58" i="1" s="1"/>
  <c r="DI58" i="1" s="1"/>
  <c r="CO57" i="1"/>
  <c r="CP57" i="1" s="1"/>
  <c r="DI57" i="1" s="1"/>
  <c r="CO56" i="1"/>
  <c r="CP56" i="1" s="1"/>
  <c r="DI56" i="1" s="1"/>
  <c r="CO55" i="1"/>
  <c r="CP55" i="1" s="1"/>
  <c r="DI55" i="1" s="1"/>
  <c r="CO54" i="1"/>
  <c r="CP54" i="1" s="1"/>
  <c r="DI54" i="1" s="1"/>
  <c r="CO53" i="1"/>
  <c r="CP53" i="1" s="1"/>
  <c r="DI53" i="1" s="1"/>
  <c r="CO52" i="1"/>
  <c r="CP52" i="1" s="1"/>
  <c r="DI52" i="1" s="1"/>
  <c r="CO51" i="1"/>
  <c r="CP51" i="1" s="1"/>
  <c r="DI51" i="1" s="1"/>
  <c r="CO50" i="1"/>
  <c r="CP50" i="1" s="1"/>
  <c r="DI50" i="1" s="1"/>
  <c r="CO49" i="1"/>
  <c r="CP49" i="1" s="1"/>
  <c r="DI49" i="1" s="1"/>
  <c r="CO48" i="1"/>
  <c r="CP48" i="1" s="1"/>
  <c r="DI48" i="1" s="1"/>
  <c r="CO47" i="1"/>
  <c r="CP47" i="1" s="1"/>
  <c r="DI47" i="1" s="1"/>
  <c r="CO46" i="1"/>
  <c r="CP46" i="1" s="1"/>
  <c r="DI46" i="1" s="1"/>
  <c r="CO45" i="1"/>
  <c r="CP45" i="1" s="1"/>
  <c r="DI45" i="1" s="1"/>
  <c r="CO44" i="1"/>
  <c r="CP44" i="1" s="1"/>
  <c r="DI44" i="1" s="1"/>
  <c r="CO43" i="1"/>
  <c r="CP43" i="1" s="1"/>
  <c r="DI43" i="1" s="1"/>
  <c r="CO42" i="1"/>
  <c r="CP42" i="1" s="1"/>
  <c r="DI42" i="1" s="1"/>
  <c r="CO41" i="1"/>
  <c r="CP41" i="1" s="1"/>
  <c r="DI41" i="1" s="1"/>
  <c r="CO40" i="1"/>
  <c r="CP40" i="1" s="1"/>
  <c r="DI40" i="1" s="1"/>
  <c r="CO39" i="1"/>
  <c r="CP39" i="1" s="1"/>
  <c r="DI39" i="1" s="1"/>
  <c r="CO38" i="1"/>
  <c r="CP38" i="1" s="1"/>
  <c r="DI38" i="1" s="1"/>
  <c r="CO37" i="1"/>
  <c r="CP37" i="1" s="1"/>
  <c r="DI37" i="1" s="1"/>
  <c r="CO36" i="1"/>
  <c r="CP36" i="1" s="1"/>
  <c r="DI36" i="1" s="1"/>
  <c r="CO35" i="1"/>
  <c r="CP35" i="1" s="1"/>
  <c r="DI35" i="1" s="1"/>
  <c r="CO34" i="1"/>
  <c r="CP34" i="1" s="1"/>
  <c r="DI34" i="1" s="1"/>
  <c r="CO33" i="1"/>
  <c r="CP33" i="1" s="1"/>
  <c r="DI33" i="1" s="1"/>
  <c r="CO32" i="1"/>
  <c r="CP32" i="1" s="1"/>
  <c r="DI32" i="1" s="1"/>
  <c r="CO31" i="1"/>
  <c r="CP31" i="1" s="1"/>
  <c r="DI31" i="1" s="1"/>
  <c r="CO30" i="1"/>
  <c r="CP30" i="1" s="1"/>
  <c r="DI30" i="1" s="1"/>
  <c r="CO29" i="1"/>
  <c r="CP29" i="1" s="1"/>
  <c r="DI29" i="1" s="1"/>
  <c r="CO28" i="1"/>
  <c r="CP28" i="1" s="1"/>
  <c r="DI28" i="1" s="1"/>
  <c r="CO27" i="1"/>
  <c r="CP27" i="1" s="1"/>
  <c r="DI27" i="1" s="1"/>
  <c r="CO26" i="1"/>
  <c r="CP26" i="1" s="1"/>
  <c r="DI26" i="1" s="1"/>
  <c r="CO25" i="1"/>
  <c r="CP25" i="1" s="1"/>
  <c r="DI25" i="1" s="1"/>
  <c r="CO24" i="1"/>
  <c r="CP24" i="1" s="1"/>
  <c r="DI24" i="1" s="1"/>
  <c r="CO23" i="1"/>
  <c r="CP23" i="1" s="1"/>
  <c r="DI23" i="1" s="1"/>
  <c r="CO22" i="1"/>
  <c r="CP22" i="1" s="1"/>
  <c r="DI22" i="1" s="1"/>
  <c r="CO21" i="1"/>
  <c r="CP21" i="1" s="1"/>
  <c r="DI21" i="1" s="1"/>
  <c r="CO20" i="1"/>
  <c r="CP20" i="1" s="1"/>
  <c r="DI20" i="1" s="1"/>
  <c r="CO19" i="1"/>
  <c r="CP19" i="1" s="1"/>
  <c r="DI19" i="1" s="1"/>
  <c r="CO18" i="1"/>
  <c r="CP18" i="1" s="1"/>
  <c r="DI18" i="1" s="1"/>
  <c r="CO17" i="1"/>
  <c r="CP17" i="1" s="1"/>
  <c r="DI17" i="1" s="1"/>
  <c r="CO16" i="1"/>
  <c r="CP16" i="1" s="1"/>
  <c r="DI16" i="1" s="1"/>
  <c r="CO15" i="1"/>
  <c r="CP15" i="1" s="1"/>
  <c r="DI15" i="1" s="1"/>
  <c r="CO14" i="1"/>
  <c r="CP14" i="1" s="1"/>
  <c r="DI14" i="1" s="1"/>
  <c r="CO13" i="1"/>
  <c r="CP13" i="1" s="1"/>
  <c r="DI13" i="1" s="1"/>
  <c r="CO12" i="1"/>
  <c r="CP12" i="1" s="1"/>
  <c r="DI12" i="1" s="1"/>
  <c r="CO11" i="1"/>
  <c r="CP11" i="1" s="1"/>
  <c r="DI11" i="1" s="1"/>
  <c r="CO10" i="1"/>
  <c r="CP10" i="1" s="1"/>
  <c r="DI10" i="1" s="1"/>
  <c r="CI11" i="1"/>
  <c r="CJ11" i="1" s="1"/>
  <c r="CI12" i="1"/>
  <c r="CJ12" i="1" s="1"/>
  <c r="CI13" i="1"/>
  <c r="CJ13" i="1" s="1"/>
  <c r="CI14" i="1"/>
  <c r="CJ14" i="1" s="1"/>
  <c r="CI15" i="1"/>
  <c r="CJ15" i="1" s="1"/>
  <c r="CI16" i="1"/>
  <c r="CJ16" i="1" s="1"/>
  <c r="CI17" i="1"/>
  <c r="CJ17" i="1" s="1"/>
  <c r="CI18" i="1"/>
  <c r="CJ18" i="1" s="1"/>
  <c r="CI19" i="1"/>
  <c r="CJ19" i="1" s="1"/>
  <c r="CI20" i="1"/>
  <c r="CJ20" i="1" s="1"/>
  <c r="CI21" i="1"/>
  <c r="CJ21" i="1" s="1"/>
  <c r="CI22" i="1"/>
  <c r="CJ22" i="1" s="1"/>
  <c r="CI23" i="1"/>
  <c r="CJ23" i="1" s="1"/>
  <c r="CI24" i="1"/>
  <c r="CJ24" i="1" s="1"/>
  <c r="CI25" i="1"/>
  <c r="CJ25" i="1" s="1"/>
  <c r="CI26" i="1"/>
  <c r="CJ26" i="1" s="1"/>
  <c r="CI27" i="1"/>
  <c r="CJ27" i="1" s="1"/>
  <c r="CI28" i="1"/>
  <c r="CJ28" i="1" s="1"/>
  <c r="CI29" i="1"/>
  <c r="CJ29" i="1" s="1"/>
  <c r="CI30" i="1"/>
  <c r="CJ30" i="1" s="1"/>
  <c r="CI31" i="1"/>
  <c r="CJ31" i="1" s="1"/>
  <c r="CI32" i="1"/>
  <c r="CJ32" i="1" s="1"/>
  <c r="CI33" i="1"/>
  <c r="CJ33" i="1" s="1"/>
  <c r="CI34" i="1"/>
  <c r="CJ34" i="1" s="1"/>
  <c r="CI35" i="1"/>
  <c r="CJ35" i="1" s="1"/>
  <c r="CI36" i="1"/>
  <c r="CJ36" i="1" s="1"/>
  <c r="CI37" i="1"/>
  <c r="CJ37" i="1" s="1"/>
  <c r="CI38" i="1"/>
  <c r="CJ38" i="1" s="1"/>
  <c r="CI39" i="1"/>
  <c r="CJ39" i="1" s="1"/>
  <c r="CI40" i="1"/>
  <c r="CJ40" i="1" s="1"/>
  <c r="CI41" i="1"/>
  <c r="CJ41" i="1" s="1"/>
  <c r="CI42" i="1"/>
  <c r="CJ42" i="1" s="1"/>
  <c r="CI43" i="1"/>
  <c r="CJ43" i="1" s="1"/>
  <c r="CI44" i="1"/>
  <c r="CJ44" i="1" s="1"/>
  <c r="CI45" i="1"/>
  <c r="CJ45" i="1" s="1"/>
  <c r="CI46" i="1"/>
  <c r="CJ46" i="1" s="1"/>
  <c r="CI47" i="1"/>
  <c r="CJ47" i="1" s="1"/>
  <c r="CI48" i="1"/>
  <c r="CJ48" i="1" s="1"/>
  <c r="CI49" i="1"/>
  <c r="CJ49" i="1" s="1"/>
  <c r="CI50" i="1"/>
  <c r="CJ50" i="1" s="1"/>
  <c r="CI51" i="1"/>
  <c r="CJ51" i="1" s="1"/>
  <c r="CI52" i="1"/>
  <c r="CJ52" i="1" s="1"/>
  <c r="CI53" i="1"/>
  <c r="CJ53" i="1" s="1"/>
  <c r="CI54" i="1"/>
  <c r="CJ54" i="1" s="1"/>
  <c r="CI55" i="1"/>
  <c r="CJ55" i="1" s="1"/>
  <c r="CI56" i="1"/>
  <c r="CJ56" i="1" s="1"/>
  <c r="CI57" i="1"/>
  <c r="CJ57" i="1" s="1"/>
  <c r="CI58" i="1"/>
  <c r="CJ58" i="1" s="1"/>
  <c r="CI59" i="1"/>
  <c r="CJ59" i="1" s="1"/>
  <c r="CI60" i="1"/>
  <c r="CJ60" i="1" s="1"/>
  <c r="CI61" i="1"/>
  <c r="CJ61" i="1" s="1"/>
  <c r="CI62" i="1"/>
  <c r="CJ62" i="1" s="1"/>
  <c r="CI63" i="1"/>
  <c r="CJ63" i="1" s="1"/>
  <c r="CI64" i="1"/>
  <c r="CJ64" i="1" s="1"/>
  <c r="CI65" i="1"/>
  <c r="CJ65" i="1" s="1"/>
  <c r="CI66" i="1"/>
  <c r="CJ66" i="1" s="1"/>
  <c r="CI67" i="1"/>
  <c r="CJ67" i="1" s="1"/>
  <c r="CI68" i="1"/>
  <c r="CJ68" i="1" s="1"/>
  <c r="CI69" i="1"/>
  <c r="CJ69" i="1" s="1"/>
  <c r="CI70" i="1"/>
  <c r="CJ70" i="1" s="1"/>
  <c r="CI71" i="1"/>
  <c r="CJ71" i="1" s="1"/>
  <c r="CI72" i="1"/>
  <c r="CJ72" i="1" s="1"/>
  <c r="CI73" i="1"/>
  <c r="CJ73" i="1" s="1"/>
  <c r="CI74" i="1"/>
  <c r="CJ74" i="1" s="1"/>
  <c r="CI75" i="1"/>
  <c r="CJ75" i="1" s="1"/>
  <c r="CI76" i="1"/>
  <c r="CJ76" i="1" s="1"/>
  <c r="CI77" i="1"/>
  <c r="CJ77" i="1" s="1"/>
  <c r="CI78" i="1"/>
  <c r="CJ78" i="1" s="1"/>
  <c r="CI79" i="1"/>
  <c r="CJ79" i="1" s="1"/>
  <c r="CI80" i="1"/>
  <c r="CJ80" i="1" s="1"/>
  <c r="CI81" i="1"/>
  <c r="CJ81" i="1" s="1"/>
  <c r="CI82" i="1"/>
  <c r="CJ82" i="1" s="1"/>
  <c r="CI83" i="1"/>
  <c r="CJ83" i="1" s="1"/>
  <c r="CI84" i="1"/>
  <c r="CJ84" i="1" s="1"/>
  <c r="CI85" i="1"/>
  <c r="CJ85" i="1" s="1"/>
  <c r="CI86" i="1"/>
  <c r="CJ86" i="1" s="1"/>
  <c r="CI87" i="1"/>
  <c r="CJ87" i="1" s="1"/>
  <c r="CI88" i="1"/>
  <c r="CJ88" i="1" s="1"/>
  <c r="CI89" i="1"/>
  <c r="CJ89" i="1" s="1"/>
  <c r="CI90" i="1"/>
  <c r="CJ90" i="1" s="1"/>
  <c r="CI91" i="1"/>
  <c r="CJ91" i="1" s="1"/>
  <c r="CI92" i="1"/>
  <c r="CJ92" i="1" s="1"/>
  <c r="CI93" i="1"/>
  <c r="CJ93" i="1" s="1"/>
  <c r="CI94" i="1"/>
  <c r="CJ94" i="1" s="1"/>
  <c r="CI95" i="1"/>
  <c r="CJ95" i="1" s="1"/>
  <c r="CI96" i="1"/>
  <c r="CJ96" i="1" s="1"/>
  <c r="CI97" i="1"/>
  <c r="CJ97" i="1" s="1"/>
  <c r="CI98" i="1"/>
  <c r="CJ98" i="1" s="1"/>
  <c r="CI99" i="1"/>
  <c r="CJ99" i="1" s="1"/>
  <c r="CI100" i="1"/>
  <c r="CJ100" i="1" s="1"/>
  <c r="CI101" i="1"/>
  <c r="CJ101" i="1" s="1"/>
  <c r="CI102" i="1"/>
  <c r="CJ102" i="1" s="1"/>
  <c r="CI103" i="1"/>
  <c r="CJ103" i="1" s="1"/>
  <c r="CI104" i="1"/>
  <c r="CJ104" i="1" s="1"/>
  <c r="CI105" i="1"/>
  <c r="CJ105" i="1" s="1"/>
  <c r="CI106" i="1"/>
  <c r="CJ106" i="1" s="1"/>
  <c r="CI107" i="1"/>
  <c r="CJ107" i="1" s="1"/>
  <c r="CI108" i="1"/>
  <c r="CJ108" i="1" s="1"/>
  <c r="CI109" i="1"/>
  <c r="CJ109" i="1" s="1"/>
  <c r="CI110" i="1"/>
  <c r="CJ110" i="1" s="1"/>
  <c r="CI111" i="1"/>
  <c r="CJ111" i="1" s="1"/>
  <c r="CI112" i="1"/>
  <c r="CJ112" i="1" s="1"/>
  <c r="CI113" i="1"/>
  <c r="CJ113" i="1" s="1"/>
  <c r="CI114" i="1"/>
  <c r="CJ114" i="1" s="1"/>
  <c r="CI115" i="1"/>
  <c r="CJ115" i="1" s="1"/>
  <c r="CI116" i="1"/>
  <c r="CJ116" i="1" s="1"/>
  <c r="CI117" i="1"/>
  <c r="CJ117" i="1" s="1"/>
  <c r="CI118" i="1"/>
  <c r="CJ118" i="1" s="1"/>
  <c r="CI119" i="1"/>
  <c r="CJ119" i="1" s="1"/>
  <c r="CI120" i="1"/>
  <c r="CJ120" i="1" s="1"/>
  <c r="CI121" i="1"/>
  <c r="CJ121" i="1" s="1"/>
  <c r="CI122" i="1"/>
  <c r="CJ122" i="1" s="1"/>
  <c r="CI123" i="1"/>
  <c r="CJ123" i="1" s="1"/>
  <c r="CI124" i="1"/>
  <c r="CJ124" i="1" s="1"/>
  <c r="CI125" i="1"/>
  <c r="CJ125" i="1" s="1"/>
  <c r="CI126" i="1"/>
  <c r="CJ126" i="1" s="1"/>
  <c r="CI127" i="1"/>
  <c r="CJ127" i="1" s="1"/>
  <c r="CI128" i="1"/>
  <c r="CJ128" i="1" s="1"/>
  <c r="CI129" i="1"/>
  <c r="CJ129" i="1" s="1"/>
  <c r="CI130" i="1"/>
  <c r="CJ130" i="1" s="1"/>
  <c r="CI131" i="1"/>
  <c r="CJ131" i="1" s="1"/>
  <c r="CI132" i="1"/>
  <c r="CJ132" i="1" s="1"/>
  <c r="CI133" i="1"/>
  <c r="CJ133" i="1" s="1"/>
  <c r="CI134" i="1"/>
  <c r="CJ134" i="1" s="1"/>
  <c r="CI135" i="1"/>
  <c r="CJ135" i="1" s="1"/>
  <c r="CI136" i="1"/>
  <c r="CJ136" i="1" s="1"/>
  <c r="CI137" i="1"/>
  <c r="CJ137" i="1" s="1"/>
  <c r="CI138" i="1"/>
  <c r="CJ138" i="1" s="1"/>
  <c r="CI139" i="1"/>
  <c r="CJ139" i="1" s="1"/>
  <c r="CI140" i="1"/>
  <c r="CJ140" i="1" s="1"/>
  <c r="CI141" i="1"/>
  <c r="CJ141" i="1" s="1"/>
  <c r="CI142" i="1"/>
  <c r="CJ142" i="1" s="1"/>
  <c r="CI143" i="1"/>
  <c r="CJ143" i="1" s="1"/>
  <c r="CI144" i="1"/>
  <c r="CJ144" i="1" s="1"/>
  <c r="CI145" i="1"/>
  <c r="CJ145" i="1" s="1"/>
  <c r="CI146" i="1"/>
  <c r="CJ146" i="1" s="1"/>
  <c r="CI147" i="1"/>
  <c r="CJ147" i="1" s="1"/>
  <c r="CI148" i="1"/>
  <c r="CJ148" i="1" s="1"/>
  <c r="CI149" i="1"/>
  <c r="CJ149" i="1" s="1"/>
  <c r="CI150" i="1"/>
  <c r="CJ150" i="1" s="1"/>
  <c r="CI151" i="1"/>
  <c r="CJ151" i="1" s="1"/>
  <c r="CI152" i="1"/>
  <c r="CJ152" i="1" s="1"/>
  <c r="CI153" i="1"/>
  <c r="CJ153" i="1" s="1"/>
  <c r="CI154" i="1"/>
  <c r="CJ154" i="1" s="1"/>
  <c r="CI155" i="1"/>
  <c r="CJ155" i="1" s="1"/>
  <c r="CI156" i="1"/>
  <c r="CJ156" i="1" s="1"/>
  <c r="CI157" i="1"/>
  <c r="CJ157" i="1" s="1"/>
  <c r="CI158" i="1"/>
  <c r="CJ158" i="1" s="1"/>
  <c r="CI159" i="1"/>
  <c r="CJ159" i="1" s="1"/>
  <c r="CI160" i="1"/>
  <c r="CJ160" i="1" s="1"/>
  <c r="CI161" i="1"/>
  <c r="CJ161" i="1" s="1"/>
  <c r="CI162" i="1"/>
  <c r="CJ162" i="1" s="1"/>
  <c r="CI163" i="1"/>
  <c r="CJ163" i="1" s="1"/>
  <c r="CI164" i="1"/>
  <c r="CJ164" i="1" s="1"/>
  <c r="CI165" i="1"/>
  <c r="CJ165" i="1" s="1"/>
  <c r="CI166" i="1"/>
  <c r="CJ166" i="1" s="1"/>
  <c r="CI167" i="1"/>
  <c r="CJ167" i="1" s="1"/>
  <c r="CI168" i="1"/>
  <c r="CJ168" i="1" s="1"/>
  <c r="CI169" i="1"/>
  <c r="CJ169" i="1" s="1"/>
  <c r="CI170" i="1"/>
  <c r="CJ170" i="1" s="1"/>
  <c r="CI171" i="1"/>
  <c r="CJ171" i="1" s="1"/>
  <c r="CI172" i="1"/>
  <c r="CJ172" i="1" s="1"/>
  <c r="CI173" i="1"/>
  <c r="CJ173" i="1" s="1"/>
  <c r="CI174" i="1"/>
  <c r="CJ174" i="1" s="1"/>
  <c r="CI175" i="1"/>
  <c r="CJ175" i="1" s="1"/>
  <c r="CI176" i="1"/>
  <c r="CJ176" i="1" s="1"/>
  <c r="CI177" i="1"/>
  <c r="CJ177" i="1" s="1"/>
  <c r="CI178" i="1"/>
  <c r="CJ178" i="1" s="1"/>
  <c r="CI179" i="1"/>
  <c r="CJ179" i="1" s="1"/>
  <c r="CI180" i="1"/>
  <c r="CJ180" i="1" s="1"/>
  <c r="CI181" i="1"/>
  <c r="CJ181" i="1" s="1"/>
  <c r="CI182" i="1"/>
  <c r="CJ182" i="1" s="1"/>
  <c r="CI183" i="1"/>
  <c r="CJ183" i="1" s="1"/>
  <c r="CI184" i="1"/>
  <c r="CJ184" i="1" s="1"/>
  <c r="CI185" i="1"/>
  <c r="CJ185" i="1" s="1"/>
  <c r="CI186" i="1"/>
  <c r="CJ186" i="1" s="1"/>
  <c r="CI187" i="1"/>
  <c r="CJ187" i="1" s="1"/>
  <c r="CI188" i="1"/>
  <c r="CJ188" i="1" s="1"/>
  <c r="CI189" i="1"/>
  <c r="CJ189" i="1" s="1"/>
  <c r="CI190" i="1"/>
  <c r="CJ190" i="1" s="1"/>
  <c r="CI191" i="1"/>
  <c r="CJ191" i="1" s="1"/>
  <c r="CI192" i="1"/>
  <c r="CJ192" i="1" s="1"/>
  <c r="CI193" i="1"/>
  <c r="CJ193" i="1" s="1"/>
  <c r="CI194" i="1"/>
  <c r="CJ194" i="1" s="1"/>
  <c r="CI195" i="1"/>
  <c r="CJ195" i="1" s="1"/>
  <c r="CI196" i="1"/>
  <c r="CJ196" i="1" s="1"/>
  <c r="CI197" i="1"/>
  <c r="CJ197" i="1" s="1"/>
  <c r="CI198" i="1"/>
  <c r="CJ198" i="1" s="1"/>
  <c r="CI199" i="1"/>
  <c r="CJ199" i="1" s="1"/>
  <c r="CI200" i="1"/>
  <c r="CJ200" i="1" s="1"/>
  <c r="CI201" i="1"/>
  <c r="CJ201" i="1" s="1"/>
  <c r="CI202" i="1"/>
  <c r="CJ202" i="1" s="1"/>
  <c r="CI203" i="1"/>
  <c r="CJ203" i="1" s="1"/>
  <c r="CI204" i="1"/>
  <c r="CJ204" i="1" s="1"/>
  <c r="CI205" i="1"/>
  <c r="CJ205" i="1" s="1"/>
  <c r="CI206" i="1"/>
  <c r="CJ206" i="1" s="1"/>
  <c r="CI207" i="1"/>
  <c r="CJ207" i="1" s="1"/>
  <c r="CA207" i="1"/>
  <c r="CA11" i="1"/>
  <c r="CA12" i="1"/>
  <c r="CA13" i="1"/>
  <c r="CA14" i="1"/>
  <c r="CA15" i="1"/>
  <c r="CA16" i="1"/>
  <c r="CA17" i="1"/>
  <c r="CA18" i="1"/>
  <c r="CA19" i="1"/>
  <c r="CA20" i="1"/>
  <c r="CA21" i="1"/>
  <c r="CA22" i="1"/>
  <c r="CA23" i="1"/>
  <c r="CA24" i="1"/>
  <c r="CA25" i="1"/>
  <c r="CA26" i="1"/>
  <c r="CA27" i="1"/>
  <c r="CA28" i="1"/>
  <c r="CA29" i="1"/>
  <c r="CA30" i="1"/>
  <c r="CA31" i="1"/>
  <c r="CA32" i="1"/>
  <c r="CA33" i="1"/>
  <c r="CA34" i="1"/>
  <c r="CA35" i="1"/>
  <c r="CA36" i="1"/>
  <c r="CA37" i="1"/>
  <c r="CA38" i="1"/>
  <c r="CA39" i="1"/>
  <c r="CA40" i="1"/>
  <c r="CA41" i="1"/>
  <c r="CA42" i="1"/>
  <c r="CA43" i="1"/>
  <c r="CA44" i="1"/>
  <c r="CA45" i="1"/>
  <c r="CA46" i="1"/>
  <c r="CA47" i="1"/>
  <c r="CA48" i="1"/>
  <c r="CA49" i="1"/>
  <c r="CA50" i="1"/>
  <c r="CA51" i="1"/>
  <c r="CA52" i="1"/>
  <c r="CA53" i="1"/>
  <c r="CA54" i="1"/>
  <c r="CA55" i="1"/>
  <c r="CA56" i="1"/>
  <c r="CA57" i="1"/>
  <c r="CA58" i="1"/>
  <c r="CA59" i="1"/>
  <c r="CA60" i="1"/>
  <c r="CA61" i="1"/>
  <c r="CA62" i="1"/>
  <c r="CA63" i="1"/>
  <c r="CA64" i="1"/>
  <c r="CA65" i="1"/>
  <c r="CA66" i="1"/>
  <c r="CA67" i="1"/>
  <c r="CA68" i="1"/>
  <c r="CA69" i="1"/>
  <c r="CA70" i="1"/>
  <c r="CA71" i="1"/>
  <c r="CA72" i="1"/>
  <c r="CA73" i="1"/>
  <c r="CA74" i="1"/>
  <c r="CA75" i="1"/>
  <c r="CA76" i="1"/>
  <c r="CA77" i="1"/>
  <c r="CA78" i="1"/>
  <c r="CA79" i="1"/>
  <c r="CA80" i="1"/>
  <c r="CA81" i="1"/>
  <c r="CA82" i="1"/>
  <c r="CA83" i="1"/>
  <c r="CA84" i="1"/>
  <c r="CA85" i="1"/>
  <c r="CA86" i="1"/>
  <c r="CA87" i="1"/>
  <c r="CA88" i="1"/>
  <c r="CA89" i="1"/>
  <c r="CA90" i="1"/>
  <c r="CA91" i="1"/>
  <c r="CA92" i="1"/>
  <c r="CA93" i="1"/>
  <c r="CA94" i="1"/>
  <c r="CA95" i="1"/>
  <c r="CA96" i="1"/>
  <c r="CA97" i="1"/>
  <c r="CA98" i="1"/>
  <c r="CA99" i="1"/>
  <c r="CA100" i="1"/>
  <c r="CA101" i="1"/>
  <c r="CA102" i="1"/>
  <c r="CA103" i="1"/>
  <c r="CA104" i="1"/>
  <c r="CA105" i="1"/>
  <c r="CA106" i="1"/>
  <c r="CA107" i="1"/>
  <c r="CA108" i="1"/>
  <c r="CA109" i="1"/>
  <c r="CA110" i="1"/>
  <c r="CA111" i="1"/>
  <c r="CA112" i="1"/>
  <c r="CA113" i="1"/>
  <c r="CA114" i="1"/>
  <c r="CA115" i="1"/>
  <c r="CA116" i="1"/>
  <c r="CA117" i="1"/>
  <c r="CA118" i="1"/>
  <c r="CA119" i="1"/>
  <c r="CA120" i="1"/>
  <c r="CA121" i="1"/>
  <c r="CA122" i="1"/>
  <c r="CA123" i="1"/>
  <c r="CA124" i="1"/>
  <c r="CA125" i="1"/>
  <c r="CA126" i="1"/>
  <c r="CA127" i="1"/>
  <c r="CA128" i="1"/>
  <c r="CA129" i="1"/>
  <c r="CA130" i="1"/>
  <c r="CA131" i="1"/>
  <c r="CA132" i="1"/>
  <c r="CA133" i="1"/>
  <c r="CA134" i="1"/>
  <c r="CA135" i="1"/>
  <c r="CA136" i="1"/>
  <c r="CA137" i="1"/>
  <c r="CA138" i="1"/>
  <c r="CA139" i="1"/>
  <c r="CA140" i="1"/>
  <c r="CA141" i="1"/>
  <c r="CA142" i="1"/>
  <c r="CA143" i="1"/>
  <c r="CA144" i="1"/>
  <c r="CA145" i="1"/>
  <c r="CA146" i="1"/>
  <c r="CA147" i="1"/>
  <c r="CA148" i="1"/>
  <c r="CA149" i="1"/>
  <c r="CA150" i="1"/>
  <c r="CA151" i="1"/>
  <c r="CA152" i="1"/>
  <c r="CA153" i="1"/>
  <c r="CA154" i="1"/>
  <c r="CA155" i="1"/>
  <c r="CA156" i="1"/>
  <c r="CA157" i="1"/>
  <c r="CA158" i="1"/>
  <c r="CA159" i="1"/>
  <c r="CA160" i="1"/>
  <c r="CA161" i="1"/>
  <c r="CA162" i="1"/>
  <c r="CA163" i="1"/>
  <c r="CA164" i="1"/>
  <c r="CA165" i="1"/>
  <c r="CA166" i="1"/>
  <c r="CA167" i="1"/>
  <c r="CA168" i="1"/>
  <c r="CA169" i="1"/>
  <c r="CA170" i="1"/>
  <c r="CA171" i="1"/>
  <c r="CA172" i="1"/>
  <c r="CA173" i="1"/>
  <c r="CA174" i="1"/>
  <c r="CA175" i="1"/>
  <c r="CA176" i="1"/>
  <c r="CA177" i="1"/>
  <c r="CA178" i="1"/>
  <c r="CA179" i="1"/>
  <c r="CA180" i="1"/>
  <c r="CA181" i="1"/>
  <c r="CA182" i="1"/>
  <c r="CA183" i="1"/>
  <c r="CA184" i="1"/>
  <c r="CA185" i="1"/>
  <c r="CA186" i="1"/>
  <c r="CA187" i="1"/>
  <c r="CA188" i="1"/>
  <c r="CA189" i="1"/>
  <c r="CA190" i="1"/>
  <c r="CA191" i="1"/>
  <c r="CA192" i="1"/>
  <c r="CA193" i="1"/>
  <c r="CA194" i="1"/>
  <c r="CA195" i="1"/>
  <c r="CA196" i="1"/>
  <c r="CA197" i="1"/>
  <c r="CA198" i="1"/>
  <c r="CA199" i="1"/>
  <c r="CA200" i="1"/>
  <c r="CA201" i="1"/>
  <c r="CA202" i="1"/>
  <c r="CA203" i="1"/>
  <c r="CA204" i="1"/>
  <c r="CA205" i="1"/>
  <c r="CA206" i="1"/>
  <c r="CA10" i="1"/>
  <c r="BZ11" i="1"/>
  <c r="BZ12" i="1"/>
  <c r="BZ13" i="1"/>
  <c r="BZ14" i="1"/>
  <c r="BZ15" i="1"/>
  <c r="BZ16" i="1"/>
  <c r="BZ17" i="1"/>
  <c r="BZ18" i="1"/>
  <c r="BZ19" i="1"/>
  <c r="BZ20" i="1"/>
  <c r="BZ21" i="1"/>
  <c r="BZ22" i="1"/>
  <c r="BZ23" i="1"/>
  <c r="BZ24" i="1"/>
  <c r="BZ25" i="1"/>
  <c r="BZ26" i="1"/>
  <c r="BZ27" i="1"/>
  <c r="BZ28" i="1"/>
  <c r="BZ29" i="1"/>
  <c r="BZ30" i="1"/>
  <c r="BZ31" i="1"/>
  <c r="BZ32" i="1"/>
  <c r="BZ33" i="1"/>
  <c r="BZ34" i="1"/>
  <c r="BZ35" i="1"/>
  <c r="BZ36" i="1"/>
  <c r="BZ37" i="1"/>
  <c r="BZ38" i="1"/>
  <c r="BZ39" i="1"/>
  <c r="BZ40" i="1"/>
  <c r="BZ41" i="1"/>
  <c r="BZ42" i="1"/>
  <c r="BZ43" i="1"/>
  <c r="BZ44" i="1"/>
  <c r="BZ45" i="1"/>
  <c r="BZ46" i="1"/>
  <c r="BZ47" i="1"/>
  <c r="BZ48" i="1"/>
  <c r="BZ49" i="1"/>
  <c r="BZ50" i="1"/>
  <c r="BZ51" i="1"/>
  <c r="BZ52" i="1"/>
  <c r="BZ53" i="1"/>
  <c r="BZ54" i="1"/>
  <c r="BZ55" i="1"/>
  <c r="BZ56" i="1"/>
  <c r="BZ57" i="1"/>
  <c r="BZ58" i="1"/>
  <c r="BZ59" i="1"/>
  <c r="BZ60" i="1"/>
  <c r="BZ61" i="1"/>
  <c r="BZ62" i="1"/>
  <c r="BZ63" i="1"/>
  <c r="BZ64" i="1"/>
  <c r="BZ65" i="1"/>
  <c r="BZ66" i="1"/>
  <c r="BZ67" i="1"/>
  <c r="BZ68" i="1"/>
  <c r="BZ69" i="1"/>
  <c r="BZ70" i="1"/>
  <c r="BZ71" i="1"/>
  <c r="BZ72" i="1"/>
  <c r="BZ73" i="1"/>
  <c r="BZ74" i="1"/>
  <c r="BZ75" i="1"/>
  <c r="BZ76" i="1"/>
  <c r="BZ77" i="1"/>
  <c r="BZ78" i="1"/>
  <c r="BZ79" i="1"/>
  <c r="BZ80" i="1"/>
  <c r="BZ81" i="1"/>
  <c r="BZ82" i="1"/>
  <c r="BZ83" i="1"/>
  <c r="BZ84" i="1"/>
  <c r="BZ85" i="1"/>
  <c r="BZ86" i="1"/>
  <c r="BZ87" i="1"/>
  <c r="BZ88" i="1"/>
  <c r="BZ89" i="1"/>
  <c r="BZ90" i="1"/>
  <c r="BZ91" i="1"/>
  <c r="BZ92" i="1"/>
  <c r="BZ93" i="1"/>
  <c r="BZ94" i="1"/>
  <c r="BZ95" i="1"/>
  <c r="BZ96" i="1"/>
  <c r="BZ97" i="1"/>
  <c r="BZ98" i="1"/>
  <c r="BZ99" i="1"/>
  <c r="BZ100" i="1"/>
  <c r="BZ101" i="1"/>
  <c r="BZ102" i="1"/>
  <c r="BZ103" i="1"/>
  <c r="BZ104" i="1"/>
  <c r="BZ105" i="1"/>
  <c r="BZ106" i="1"/>
  <c r="BZ107" i="1"/>
  <c r="BZ108" i="1"/>
  <c r="BZ109" i="1"/>
  <c r="BZ110" i="1"/>
  <c r="BZ111" i="1"/>
  <c r="BZ112" i="1"/>
  <c r="BZ113" i="1"/>
  <c r="BZ114" i="1"/>
  <c r="BZ115" i="1"/>
  <c r="BZ116" i="1"/>
  <c r="BZ117" i="1"/>
  <c r="BZ118" i="1"/>
  <c r="BZ119" i="1"/>
  <c r="BZ120" i="1"/>
  <c r="BZ121" i="1"/>
  <c r="BZ122" i="1"/>
  <c r="BZ123" i="1"/>
  <c r="BZ124" i="1"/>
  <c r="BZ125" i="1"/>
  <c r="BZ126" i="1"/>
  <c r="BZ127" i="1"/>
  <c r="BZ128" i="1"/>
  <c r="BZ129" i="1"/>
  <c r="BZ130" i="1"/>
  <c r="BZ131" i="1"/>
  <c r="BZ132" i="1"/>
  <c r="BZ133" i="1"/>
  <c r="BZ134" i="1"/>
  <c r="BZ135" i="1"/>
  <c r="BZ136" i="1"/>
  <c r="BZ137" i="1"/>
  <c r="BZ138" i="1"/>
  <c r="BZ139" i="1"/>
  <c r="BZ140" i="1"/>
  <c r="BZ141" i="1"/>
  <c r="BZ142" i="1"/>
  <c r="BZ143" i="1"/>
  <c r="BZ144" i="1"/>
  <c r="BZ145" i="1"/>
  <c r="BZ146" i="1"/>
  <c r="BZ147" i="1"/>
  <c r="BZ148" i="1"/>
  <c r="BZ149" i="1"/>
  <c r="BZ150" i="1"/>
  <c r="BZ151" i="1"/>
  <c r="BZ152" i="1"/>
  <c r="BZ153" i="1"/>
  <c r="BZ154" i="1"/>
  <c r="BZ155" i="1"/>
  <c r="BZ156" i="1"/>
  <c r="BZ157" i="1"/>
  <c r="BZ158" i="1"/>
  <c r="BZ159" i="1"/>
  <c r="BZ160" i="1"/>
  <c r="BZ161" i="1"/>
  <c r="BZ162" i="1"/>
  <c r="BZ163" i="1"/>
  <c r="BZ164" i="1"/>
  <c r="BZ165" i="1"/>
  <c r="BZ166" i="1"/>
  <c r="BZ167" i="1"/>
  <c r="BZ168" i="1"/>
  <c r="BZ169" i="1"/>
  <c r="BZ170" i="1"/>
  <c r="BZ171" i="1"/>
  <c r="BZ172" i="1"/>
  <c r="BZ173" i="1"/>
  <c r="BZ174" i="1"/>
  <c r="BZ175" i="1"/>
  <c r="BZ176" i="1"/>
  <c r="BZ177" i="1"/>
  <c r="BZ178" i="1"/>
  <c r="BZ179" i="1"/>
  <c r="BZ180" i="1"/>
  <c r="BZ181" i="1"/>
  <c r="BZ182" i="1"/>
  <c r="BZ183" i="1"/>
  <c r="BZ184" i="1"/>
  <c r="BZ185" i="1"/>
  <c r="BZ186" i="1"/>
  <c r="BZ187" i="1"/>
  <c r="BZ188" i="1"/>
  <c r="BZ189" i="1"/>
  <c r="BZ190" i="1"/>
  <c r="BZ191" i="1"/>
  <c r="BZ192" i="1"/>
  <c r="BZ193" i="1"/>
  <c r="BZ194" i="1"/>
  <c r="BZ195" i="1"/>
  <c r="BZ196" i="1"/>
  <c r="BZ197" i="1"/>
  <c r="BZ198" i="1"/>
  <c r="BZ199" i="1"/>
  <c r="BZ200" i="1"/>
  <c r="BZ201" i="1"/>
  <c r="BZ202" i="1"/>
  <c r="BZ203" i="1"/>
  <c r="BZ204" i="1"/>
  <c r="BZ205" i="1"/>
  <c r="BZ206" i="1"/>
  <c r="BZ207" i="1"/>
  <c r="BZ10" i="1"/>
  <c r="BY11" i="1"/>
  <c r="BY12" i="1"/>
  <c r="BY13" i="1"/>
  <c r="BY14" i="1"/>
  <c r="BY15" i="1"/>
  <c r="BY16" i="1"/>
  <c r="BY17" i="1"/>
  <c r="BY18" i="1"/>
  <c r="BY19" i="1"/>
  <c r="BY20" i="1"/>
  <c r="BY21" i="1"/>
  <c r="BY22" i="1"/>
  <c r="BY23" i="1"/>
  <c r="BY24" i="1"/>
  <c r="BY25" i="1"/>
  <c r="BY26" i="1"/>
  <c r="BY27" i="1"/>
  <c r="BY28" i="1"/>
  <c r="BY29" i="1"/>
  <c r="BY30" i="1"/>
  <c r="BY31" i="1"/>
  <c r="BY32" i="1"/>
  <c r="BY33" i="1"/>
  <c r="BY34" i="1"/>
  <c r="BY35" i="1"/>
  <c r="BY36" i="1"/>
  <c r="BY37" i="1"/>
  <c r="BY38" i="1"/>
  <c r="BY39" i="1"/>
  <c r="BY40" i="1"/>
  <c r="BY41" i="1"/>
  <c r="BY42" i="1"/>
  <c r="BY43" i="1"/>
  <c r="BY44" i="1"/>
  <c r="BY45" i="1"/>
  <c r="BY46" i="1"/>
  <c r="BY47" i="1"/>
  <c r="BY48" i="1"/>
  <c r="BY49" i="1"/>
  <c r="BY50" i="1"/>
  <c r="BY51" i="1"/>
  <c r="BY52" i="1"/>
  <c r="BY53" i="1"/>
  <c r="BY54" i="1"/>
  <c r="BY55" i="1"/>
  <c r="BY56" i="1"/>
  <c r="BY57" i="1"/>
  <c r="BY58" i="1"/>
  <c r="BY59" i="1"/>
  <c r="BY60" i="1"/>
  <c r="BY61" i="1"/>
  <c r="BY62" i="1"/>
  <c r="BY63" i="1"/>
  <c r="BY64" i="1"/>
  <c r="BY65" i="1"/>
  <c r="BY66" i="1"/>
  <c r="BY67" i="1"/>
  <c r="BY68" i="1"/>
  <c r="BY69" i="1"/>
  <c r="BY70" i="1"/>
  <c r="BY71" i="1"/>
  <c r="BY72" i="1"/>
  <c r="BY73" i="1"/>
  <c r="BY74" i="1"/>
  <c r="BY75" i="1"/>
  <c r="BY76" i="1"/>
  <c r="BY77" i="1"/>
  <c r="BY78" i="1"/>
  <c r="BY79" i="1"/>
  <c r="BY80" i="1"/>
  <c r="BY81" i="1"/>
  <c r="BY82" i="1"/>
  <c r="BY83" i="1"/>
  <c r="BY84" i="1"/>
  <c r="BY85" i="1"/>
  <c r="BY86" i="1"/>
  <c r="BY87" i="1"/>
  <c r="BY88" i="1"/>
  <c r="BY89" i="1"/>
  <c r="BY90" i="1"/>
  <c r="BY91" i="1"/>
  <c r="BY92" i="1"/>
  <c r="BY93" i="1"/>
  <c r="BY94" i="1"/>
  <c r="BY95" i="1"/>
  <c r="BY96" i="1"/>
  <c r="BY97" i="1"/>
  <c r="BY98" i="1"/>
  <c r="BY99" i="1"/>
  <c r="BY100" i="1"/>
  <c r="BY101" i="1"/>
  <c r="BY102" i="1"/>
  <c r="BY103" i="1"/>
  <c r="BY104" i="1"/>
  <c r="BY105" i="1"/>
  <c r="BY106" i="1"/>
  <c r="BY107" i="1"/>
  <c r="BY108" i="1"/>
  <c r="BY109" i="1"/>
  <c r="BY110" i="1"/>
  <c r="BY111" i="1"/>
  <c r="BY112" i="1"/>
  <c r="BY113" i="1"/>
  <c r="BY114" i="1"/>
  <c r="BY115" i="1"/>
  <c r="BY116" i="1"/>
  <c r="BY117" i="1"/>
  <c r="BY118" i="1"/>
  <c r="BY119" i="1"/>
  <c r="BY120" i="1"/>
  <c r="BY121" i="1"/>
  <c r="BY122" i="1"/>
  <c r="BY123" i="1"/>
  <c r="BY124" i="1"/>
  <c r="BY125" i="1"/>
  <c r="BY126" i="1"/>
  <c r="BY127" i="1"/>
  <c r="BY128" i="1"/>
  <c r="BY129" i="1"/>
  <c r="BY130" i="1"/>
  <c r="BY131" i="1"/>
  <c r="BY132" i="1"/>
  <c r="BY133" i="1"/>
  <c r="BY134" i="1"/>
  <c r="BY135" i="1"/>
  <c r="BY136" i="1"/>
  <c r="BY137" i="1"/>
  <c r="BY138" i="1"/>
  <c r="BY139" i="1"/>
  <c r="BY140" i="1"/>
  <c r="BY141" i="1"/>
  <c r="BY142" i="1"/>
  <c r="BY143" i="1"/>
  <c r="BY144" i="1"/>
  <c r="BY145" i="1"/>
  <c r="BY146" i="1"/>
  <c r="BY147" i="1"/>
  <c r="BY148" i="1"/>
  <c r="BY149" i="1"/>
  <c r="BY150" i="1"/>
  <c r="BY151" i="1"/>
  <c r="BY152" i="1"/>
  <c r="BY153" i="1"/>
  <c r="BY154" i="1"/>
  <c r="BY155" i="1"/>
  <c r="BY156" i="1"/>
  <c r="BY157" i="1"/>
  <c r="BY158" i="1"/>
  <c r="BY159" i="1"/>
  <c r="BY160" i="1"/>
  <c r="BY161" i="1"/>
  <c r="BY162" i="1"/>
  <c r="BY163" i="1"/>
  <c r="BY164" i="1"/>
  <c r="BY165" i="1"/>
  <c r="BY166" i="1"/>
  <c r="BY167" i="1"/>
  <c r="BY168" i="1"/>
  <c r="BY169" i="1"/>
  <c r="BY170" i="1"/>
  <c r="BY171" i="1"/>
  <c r="BY172" i="1"/>
  <c r="BY173" i="1"/>
  <c r="BY174" i="1"/>
  <c r="BY175" i="1"/>
  <c r="BY176" i="1"/>
  <c r="BY177" i="1"/>
  <c r="BY178" i="1"/>
  <c r="BY179" i="1"/>
  <c r="BY180" i="1"/>
  <c r="BY181" i="1"/>
  <c r="BY182" i="1"/>
  <c r="BY183" i="1"/>
  <c r="BY184" i="1"/>
  <c r="BY185" i="1"/>
  <c r="BY186" i="1"/>
  <c r="BY187" i="1"/>
  <c r="BY188" i="1"/>
  <c r="BY189" i="1"/>
  <c r="BY190" i="1"/>
  <c r="BY191" i="1"/>
  <c r="BY192" i="1"/>
  <c r="BY193" i="1"/>
  <c r="BY194" i="1"/>
  <c r="BY195" i="1"/>
  <c r="BY196" i="1"/>
  <c r="BY197" i="1"/>
  <c r="BY198" i="1"/>
  <c r="BY199" i="1"/>
  <c r="BY200" i="1"/>
  <c r="BY201" i="1"/>
  <c r="BY202" i="1"/>
  <c r="BY203" i="1"/>
  <c r="BY204" i="1"/>
  <c r="BY205" i="1"/>
  <c r="BY206" i="1"/>
  <c r="BY207" i="1"/>
  <c r="BY10" i="1"/>
  <c r="BW11" i="1"/>
  <c r="BW12" i="1"/>
  <c r="BW13" i="1"/>
  <c r="BW14" i="1"/>
  <c r="BW15" i="1"/>
  <c r="BW16" i="1"/>
  <c r="BW17" i="1"/>
  <c r="BW18" i="1"/>
  <c r="BW19" i="1"/>
  <c r="BW20" i="1"/>
  <c r="BW21" i="1"/>
  <c r="BW22" i="1"/>
  <c r="BW23" i="1"/>
  <c r="BW24" i="1"/>
  <c r="BW25" i="1"/>
  <c r="BW26" i="1"/>
  <c r="BW27" i="1"/>
  <c r="BW28" i="1"/>
  <c r="BW29" i="1"/>
  <c r="BW30" i="1"/>
  <c r="BW31" i="1"/>
  <c r="BW32" i="1"/>
  <c r="BW33" i="1"/>
  <c r="BW34" i="1"/>
  <c r="BW35" i="1"/>
  <c r="BW36" i="1"/>
  <c r="BW37" i="1"/>
  <c r="BW38" i="1"/>
  <c r="BW39" i="1"/>
  <c r="BW40" i="1"/>
  <c r="BW41" i="1"/>
  <c r="BW42" i="1"/>
  <c r="BW43" i="1"/>
  <c r="BW44" i="1"/>
  <c r="BW45" i="1"/>
  <c r="BW46" i="1"/>
  <c r="BW47" i="1"/>
  <c r="BW48" i="1"/>
  <c r="BW49" i="1"/>
  <c r="BW50" i="1"/>
  <c r="BW51" i="1"/>
  <c r="BW52" i="1"/>
  <c r="BW53" i="1"/>
  <c r="BW54" i="1"/>
  <c r="BW55" i="1"/>
  <c r="BW56" i="1"/>
  <c r="BW57" i="1"/>
  <c r="BW58" i="1"/>
  <c r="BW59" i="1"/>
  <c r="BW60" i="1"/>
  <c r="BW61" i="1"/>
  <c r="BW62" i="1"/>
  <c r="BW63" i="1"/>
  <c r="BW64" i="1"/>
  <c r="BW65" i="1"/>
  <c r="BW66" i="1"/>
  <c r="BW67" i="1"/>
  <c r="BW68" i="1"/>
  <c r="BW69" i="1"/>
  <c r="BW70" i="1"/>
  <c r="BW71" i="1"/>
  <c r="BW72" i="1"/>
  <c r="BW73" i="1"/>
  <c r="BW74" i="1"/>
  <c r="BW75" i="1"/>
  <c r="BW76" i="1"/>
  <c r="BW77" i="1"/>
  <c r="BW78" i="1"/>
  <c r="BW79" i="1"/>
  <c r="BW80" i="1"/>
  <c r="BW81" i="1"/>
  <c r="BW82" i="1"/>
  <c r="BW83" i="1"/>
  <c r="BW84" i="1"/>
  <c r="BW85" i="1"/>
  <c r="BW86" i="1"/>
  <c r="BW87" i="1"/>
  <c r="BW88" i="1"/>
  <c r="BW89" i="1"/>
  <c r="BW90" i="1"/>
  <c r="BW91" i="1"/>
  <c r="BW92" i="1"/>
  <c r="BW93" i="1"/>
  <c r="BW94" i="1"/>
  <c r="BW95" i="1"/>
  <c r="BW96" i="1"/>
  <c r="BW97" i="1"/>
  <c r="BW98" i="1"/>
  <c r="BW99" i="1"/>
  <c r="BW100" i="1"/>
  <c r="BW101" i="1"/>
  <c r="BW102" i="1"/>
  <c r="BW103" i="1"/>
  <c r="BW104" i="1"/>
  <c r="BW105" i="1"/>
  <c r="BW106" i="1"/>
  <c r="BW107" i="1"/>
  <c r="BW108" i="1"/>
  <c r="BW109" i="1"/>
  <c r="BW110" i="1"/>
  <c r="BW111" i="1"/>
  <c r="BW112" i="1"/>
  <c r="BW113" i="1"/>
  <c r="BW114" i="1"/>
  <c r="BW115" i="1"/>
  <c r="BW116" i="1"/>
  <c r="BW117" i="1"/>
  <c r="BW118" i="1"/>
  <c r="BW119" i="1"/>
  <c r="BW120" i="1"/>
  <c r="BW121" i="1"/>
  <c r="BW122" i="1"/>
  <c r="BW123" i="1"/>
  <c r="BW124" i="1"/>
  <c r="BW125" i="1"/>
  <c r="BW126" i="1"/>
  <c r="BW127" i="1"/>
  <c r="BW128" i="1"/>
  <c r="BW129" i="1"/>
  <c r="BW130" i="1"/>
  <c r="BW131" i="1"/>
  <c r="BW132" i="1"/>
  <c r="BW133" i="1"/>
  <c r="BW134" i="1"/>
  <c r="BW135" i="1"/>
  <c r="BW136" i="1"/>
  <c r="BW137" i="1"/>
  <c r="BW138" i="1"/>
  <c r="BW139" i="1"/>
  <c r="BW140" i="1"/>
  <c r="BW141" i="1"/>
  <c r="BW142" i="1"/>
  <c r="BW143" i="1"/>
  <c r="BW144" i="1"/>
  <c r="BW145" i="1"/>
  <c r="BW146" i="1"/>
  <c r="BW147" i="1"/>
  <c r="BW148" i="1"/>
  <c r="BW149" i="1"/>
  <c r="BW150" i="1"/>
  <c r="BW151" i="1"/>
  <c r="BW152" i="1"/>
  <c r="BW153" i="1"/>
  <c r="BW154" i="1"/>
  <c r="BW155" i="1"/>
  <c r="BW156" i="1"/>
  <c r="BW157" i="1"/>
  <c r="BW158" i="1"/>
  <c r="BW159" i="1"/>
  <c r="BW160" i="1"/>
  <c r="BW161" i="1"/>
  <c r="BW162" i="1"/>
  <c r="BW163" i="1"/>
  <c r="BW164" i="1"/>
  <c r="BW165" i="1"/>
  <c r="BW166" i="1"/>
  <c r="BW167" i="1"/>
  <c r="BW168" i="1"/>
  <c r="BW169" i="1"/>
  <c r="BW170" i="1"/>
  <c r="BW171" i="1"/>
  <c r="BW172" i="1"/>
  <c r="BW173" i="1"/>
  <c r="BW174" i="1"/>
  <c r="BW175" i="1"/>
  <c r="BW176" i="1"/>
  <c r="BW177" i="1"/>
  <c r="BW178" i="1"/>
  <c r="BW179" i="1"/>
  <c r="BW180" i="1"/>
  <c r="BW181" i="1"/>
  <c r="BW182" i="1"/>
  <c r="BW183" i="1"/>
  <c r="BW184" i="1"/>
  <c r="BW185" i="1"/>
  <c r="BW186" i="1"/>
  <c r="BW187" i="1"/>
  <c r="BW188" i="1"/>
  <c r="BW189" i="1"/>
  <c r="BW190" i="1"/>
  <c r="BW191" i="1"/>
  <c r="BW192" i="1"/>
  <c r="BW193" i="1"/>
  <c r="BW194" i="1"/>
  <c r="BW195" i="1"/>
  <c r="BW196" i="1"/>
  <c r="BW197" i="1"/>
  <c r="BW198" i="1"/>
  <c r="BW199" i="1"/>
  <c r="BW200" i="1"/>
  <c r="BW201" i="1"/>
  <c r="BW202" i="1"/>
  <c r="BW203" i="1"/>
  <c r="BW204" i="1"/>
  <c r="BW205" i="1"/>
  <c r="BW206" i="1"/>
  <c r="BW207" i="1"/>
  <c r="BW10" i="1"/>
  <c r="BU11" i="1"/>
  <c r="BU12" i="1"/>
  <c r="BU13" i="1"/>
  <c r="BU14" i="1"/>
  <c r="BU15" i="1"/>
  <c r="BU16" i="1"/>
  <c r="BU17" i="1"/>
  <c r="BU18" i="1"/>
  <c r="BU19" i="1"/>
  <c r="BU20" i="1"/>
  <c r="BU21" i="1"/>
  <c r="BU22" i="1"/>
  <c r="BU23" i="1"/>
  <c r="BU24" i="1"/>
  <c r="BU25" i="1"/>
  <c r="BU26" i="1"/>
  <c r="BU27" i="1"/>
  <c r="BU28" i="1"/>
  <c r="BU29" i="1"/>
  <c r="BU30" i="1"/>
  <c r="BU31" i="1"/>
  <c r="BU32" i="1"/>
  <c r="BU33" i="1"/>
  <c r="BU34" i="1"/>
  <c r="BU35" i="1"/>
  <c r="BU36" i="1"/>
  <c r="BU37" i="1"/>
  <c r="BU38" i="1"/>
  <c r="BU39" i="1"/>
  <c r="BU40" i="1"/>
  <c r="BU41" i="1"/>
  <c r="BU42" i="1"/>
  <c r="BU43" i="1"/>
  <c r="BU44" i="1"/>
  <c r="BU45" i="1"/>
  <c r="BU46" i="1"/>
  <c r="BU47" i="1"/>
  <c r="BU48" i="1"/>
  <c r="BU49" i="1"/>
  <c r="BU50" i="1"/>
  <c r="BU51" i="1"/>
  <c r="BU52" i="1"/>
  <c r="BU53" i="1"/>
  <c r="BU54" i="1"/>
  <c r="BU55" i="1"/>
  <c r="BU56" i="1"/>
  <c r="BU57" i="1"/>
  <c r="BU58" i="1"/>
  <c r="BU59" i="1"/>
  <c r="BU60" i="1"/>
  <c r="BU61" i="1"/>
  <c r="BU62" i="1"/>
  <c r="BU63" i="1"/>
  <c r="BU64" i="1"/>
  <c r="BU65" i="1"/>
  <c r="BU66" i="1"/>
  <c r="BU67" i="1"/>
  <c r="BU68" i="1"/>
  <c r="BU69" i="1"/>
  <c r="BU70" i="1"/>
  <c r="BU71" i="1"/>
  <c r="BU72" i="1"/>
  <c r="BU73" i="1"/>
  <c r="BU74" i="1"/>
  <c r="BU75" i="1"/>
  <c r="BU76" i="1"/>
  <c r="BU77" i="1"/>
  <c r="BU78" i="1"/>
  <c r="BU79" i="1"/>
  <c r="BU80" i="1"/>
  <c r="BU81" i="1"/>
  <c r="BU82" i="1"/>
  <c r="BU83" i="1"/>
  <c r="BU84" i="1"/>
  <c r="BU85" i="1"/>
  <c r="BU86" i="1"/>
  <c r="BU87" i="1"/>
  <c r="BU88" i="1"/>
  <c r="BU89" i="1"/>
  <c r="BU90" i="1"/>
  <c r="BU91" i="1"/>
  <c r="BU92" i="1"/>
  <c r="BU93" i="1"/>
  <c r="BU94" i="1"/>
  <c r="BU95" i="1"/>
  <c r="BU96" i="1"/>
  <c r="BU97" i="1"/>
  <c r="BU98" i="1"/>
  <c r="BU99" i="1"/>
  <c r="BU100" i="1"/>
  <c r="BU101" i="1"/>
  <c r="BU102" i="1"/>
  <c r="BU103" i="1"/>
  <c r="BU104" i="1"/>
  <c r="BU105" i="1"/>
  <c r="BU106" i="1"/>
  <c r="BU107" i="1"/>
  <c r="BU108" i="1"/>
  <c r="BU109" i="1"/>
  <c r="BU110" i="1"/>
  <c r="BU111" i="1"/>
  <c r="BU112" i="1"/>
  <c r="BU113" i="1"/>
  <c r="BU114" i="1"/>
  <c r="BU115" i="1"/>
  <c r="BU116" i="1"/>
  <c r="BU117" i="1"/>
  <c r="BU118" i="1"/>
  <c r="BU119" i="1"/>
  <c r="BU120" i="1"/>
  <c r="BU121" i="1"/>
  <c r="BU122" i="1"/>
  <c r="BU123" i="1"/>
  <c r="BU124" i="1"/>
  <c r="BU125" i="1"/>
  <c r="BU126" i="1"/>
  <c r="BU127" i="1"/>
  <c r="BU128" i="1"/>
  <c r="BU129" i="1"/>
  <c r="BU130" i="1"/>
  <c r="BU131" i="1"/>
  <c r="BU132" i="1"/>
  <c r="BU133" i="1"/>
  <c r="BU134" i="1"/>
  <c r="BU135" i="1"/>
  <c r="BU136" i="1"/>
  <c r="BU137" i="1"/>
  <c r="BU138" i="1"/>
  <c r="BU139" i="1"/>
  <c r="BU140" i="1"/>
  <c r="BU141" i="1"/>
  <c r="BU142" i="1"/>
  <c r="BU143" i="1"/>
  <c r="BU144" i="1"/>
  <c r="BU145" i="1"/>
  <c r="BU146" i="1"/>
  <c r="BU147" i="1"/>
  <c r="BU148" i="1"/>
  <c r="BU149" i="1"/>
  <c r="BU150" i="1"/>
  <c r="BU151" i="1"/>
  <c r="BU152" i="1"/>
  <c r="BU153" i="1"/>
  <c r="BU154" i="1"/>
  <c r="BU155" i="1"/>
  <c r="BU156" i="1"/>
  <c r="BU157" i="1"/>
  <c r="BU158" i="1"/>
  <c r="BU159" i="1"/>
  <c r="BU160" i="1"/>
  <c r="BU161" i="1"/>
  <c r="BU162" i="1"/>
  <c r="BU163" i="1"/>
  <c r="BU164" i="1"/>
  <c r="BU165" i="1"/>
  <c r="BU166" i="1"/>
  <c r="BU167" i="1"/>
  <c r="BU168" i="1"/>
  <c r="BU169" i="1"/>
  <c r="BU170" i="1"/>
  <c r="BU171" i="1"/>
  <c r="BU172" i="1"/>
  <c r="BU173" i="1"/>
  <c r="BU174" i="1"/>
  <c r="BU175" i="1"/>
  <c r="BU176" i="1"/>
  <c r="BU177" i="1"/>
  <c r="BU178" i="1"/>
  <c r="BU179" i="1"/>
  <c r="BU180" i="1"/>
  <c r="BU181" i="1"/>
  <c r="BU182" i="1"/>
  <c r="BU183" i="1"/>
  <c r="BU184" i="1"/>
  <c r="BU185" i="1"/>
  <c r="BU186" i="1"/>
  <c r="BU187" i="1"/>
  <c r="BU188" i="1"/>
  <c r="BU189" i="1"/>
  <c r="BU190" i="1"/>
  <c r="BU191" i="1"/>
  <c r="BU192" i="1"/>
  <c r="BU193" i="1"/>
  <c r="BU194" i="1"/>
  <c r="BU195" i="1"/>
  <c r="BU196" i="1"/>
  <c r="BU197" i="1"/>
  <c r="BU198" i="1"/>
  <c r="BU199" i="1"/>
  <c r="BU200" i="1"/>
  <c r="BU201" i="1"/>
  <c r="BU202" i="1"/>
  <c r="BU203" i="1"/>
  <c r="BU204" i="1"/>
  <c r="BU205" i="1"/>
  <c r="BU206" i="1"/>
  <c r="BU207" i="1"/>
  <c r="BU10" i="1"/>
  <c r="BS11" i="1"/>
  <c r="BS12" i="1"/>
  <c r="BS13" i="1"/>
  <c r="BS14" i="1"/>
  <c r="BS15" i="1"/>
  <c r="BS16" i="1"/>
  <c r="BS17" i="1"/>
  <c r="BS18" i="1"/>
  <c r="BS19" i="1"/>
  <c r="BS20" i="1"/>
  <c r="BS21" i="1"/>
  <c r="BS22" i="1"/>
  <c r="BS23" i="1"/>
  <c r="BS24" i="1"/>
  <c r="BS25" i="1"/>
  <c r="BS26" i="1"/>
  <c r="BS27" i="1"/>
  <c r="BS28" i="1"/>
  <c r="BS29" i="1"/>
  <c r="BS30" i="1"/>
  <c r="BS31" i="1"/>
  <c r="BS32" i="1"/>
  <c r="BS33" i="1"/>
  <c r="BS34" i="1"/>
  <c r="BS35" i="1"/>
  <c r="BS36" i="1"/>
  <c r="BS37" i="1"/>
  <c r="BS38" i="1"/>
  <c r="BS39" i="1"/>
  <c r="BS40" i="1"/>
  <c r="BS41" i="1"/>
  <c r="BS42" i="1"/>
  <c r="BS43" i="1"/>
  <c r="BS44" i="1"/>
  <c r="BS45" i="1"/>
  <c r="BS46" i="1"/>
  <c r="BS47" i="1"/>
  <c r="BS48" i="1"/>
  <c r="BS49" i="1"/>
  <c r="BS50" i="1"/>
  <c r="BS51" i="1"/>
  <c r="BS52" i="1"/>
  <c r="BS53" i="1"/>
  <c r="BS54" i="1"/>
  <c r="BS55" i="1"/>
  <c r="BS56" i="1"/>
  <c r="BS57" i="1"/>
  <c r="BS58" i="1"/>
  <c r="BS59" i="1"/>
  <c r="BS60" i="1"/>
  <c r="BS61" i="1"/>
  <c r="BS62" i="1"/>
  <c r="BS63" i="1"/>
  <c r="BS64" i="1"/>
  <c r="BS65" i="1"/>
  <c r="BS66" i="1"/>
  <c r="BS67" i="1"/>
  <c r="BS68" i="1"/>
  <c r="BS69" i="1"/>
  <c r="BS70" i="1"/>
  <c r="BS71" i="1"/>
  <c r="BS72" i="1"/>
  <c r="BS73" i="1"/>
  <c r="BS74" i="1"/>
  <c r="BS75" i="1"/>
  <c r="BS76" i="1"/>
  <c r="BS77" i="1"/>
  <c r="BS78" i="1"/>
  <c r="BS79" i="1"/>
  <c r="BS80" i="1"/>
  <c r="BS81" i="1"/>
  <c r="BS82" i="1"/>
  <c r="BS83" i="1"/>
  <c r="BS84" i="1"/>
  <c r="BS85" i="1"/>
  <c r="BS86" i="1"/>
  <c r="BS87" i="1"/>
  <c r="BS88" i="1"/>
  <c r="BS89" i="1"/>
  <c r="BS90" i="1"/>
  <c r="BS91" i="1"/>
  <c r="BS92" i="1"/>
  <c r="BS93" i="1"/>
  <c r="BS94" i="1"/>
  <c r="BS95" i="1"/>
  <c r="BS96" i="1"/>
  <c r="BS97" i="1"/>
  <c r="BS98" i="1"/>
  <c r="BS99" i="1"/>
  <c r="BS100" i="1"/>
  <c r="BS101" i="1"/>
  <c r="BS102" i="1"/>
  <c r="BS103" i="1"/>
  <c r="BS104" i="1"/>
  <c r="BS105" i="1"/>
  <c r="BS106" i="1"/>
  <c r="BS107" i="1"/>
  <c r="BS108" i="1"/>
  <c r="BS109" i="1"/>
  <c r="BS110" i="1"/>
  <c r="BS111" i="1"/>
  <c r="BS112" i="1"/>
  <c r="BS113" i="1"/>
  <c r="BS114" i="1"/>
  <c r="BS115" i="1"/>
  <c r="BS116" i="1"/>
  <c r="BS117" i="1"/>
  <c r="BS118" i="1"/>
  <c r="BS119" i="1"/>
  <c r="BS120" i="1"/>
  <c r="BS121" i="1"/>
  <c r="BS122" i="1"/>
  <c r="BS123" i="1"/>
  <c r="BS124" i="1"/>
  <c r="BS125" i="1"/>
  <c r="BS126" i="1"/>
  <c r="BS127" i="1"/>
  <c r="BS128" i="1"/>
  <c r="BS129" i="1"/>
  <c r="BS130" i="1"/>
  <c r="BS131" i="1"/>
  <c r="BS132" i="1"/>
  <c r="BS133" i="1"/>
  <c r="BS134" i="1"/>
  <c r="BS135" i="1"/>
  <c r="BS136" i="1"/>
  <c r="BS137" i="1"/>
  <c r="BS138" i="1"/>
  <c r="BS139" i="1"/>
  <c r="BS140" i="1"/>
  <c r="BS141" i="1"/>
  <c r="BS142" i="1"/>
  <c r="BS143" i="1"/>
  <c r="BS144" i="1"/>
  <c r="BS145" i="1"/>
  <c r="BS146" i="1"/>
  <c r="BS147" i="1"/>
  <c r="BS148" i="1"/>
  <c r="BS149" i="1"/>
  <c r="BS150" i="1"/>
  <c r="BS151" i="1"/>
  <c r="BS152" i="1"/>
  <c r="BS153" i="1"/>
  <c r="BS154" i="1"/>
  <c r="BS155" i="1"/>
  <c r="BS156" i="1"/>
  <c r="BS157" i="1"/>
  <c r="BS158" i="1"/>
  <c r="BS159" i="1"/>
  <c r="BS160" i="1"/>
  <c r="BS161" i="1"/>
  <c r="BS162" i="1"/>
  <c r="BS163" i="1"/>
  <c r="BS164" i="1"/>
  <c r="BS165" i="1"/>
  <c r="BS166" i="1"/>
  <c r="BS167" i="1"/>
  <c r="BS168" i="1"/>
  <c r="BS169" i="1"/>
  <c r="BS170" i="1"/>
  <c r="BS171" i="1"/>
  <c r="BS172" i="1"/>
  <c r="BS173" i="1"/>
  <c r="BS174" i="1"/>
  <c r="BS175" i="1"/>
  <c r="BS176" i="1"/>
  <c r="BS177" i="1"/>
  <c r="BS178" i="1"/>
  <c r="BS179" i="1"/>
  <c r="BS180" i="1"/>
  <c r="BS181" i="1"/>
  <c r="BS182" i="1"/>
  <c r="BS183" i="1"/>
  <c r="BS184" i="1"/>
  <c r="BS185" i="1"/>
  <c r="BS186" i="1"/>
  <c r="BS187" i="1"/>
  <c r="BS188" i="1"/>
  <c r="BS189" i="1"/>
  <c r="BS190" i="1"/>
  <c r="BS191" i="1"/>
  <c r="BS192" i="1"/>
  <c r="BS193" i="1"/>
  <c r="BS194" i="1"/>
  <c r="BS195" i="1"/>
  <c r="BS196" i="1"/>
  <c r="BS197" i="1"/>
  <c r="BS198" i="1"/>
  <c r="BS199" i="1"/>
  <c r="BS200" i="1"/>
  <c r="BS201" i="1"/>
  <c r="BS202" i="1"/>
  <c r="BS203" i="1"/>
  <c r="BS204" i="1"/>
  <c r="BS205" i="1"/>
  <c r="BS206" i="1"/>
  <c r="BS207" i="1"/>
  <c r="BS10" i="1"/>
  <c r="BQ11" i="1"/>
  <c r="BQ12" i="1"/>
  <c r="BQ13" i="1"/>
  <c r="BQ14" i="1"/>
  <c r="BQ15" i="1"/>
  <c r="BQ16" i="1"/>
  <c r="BQ17" i="1"/>
  <c r="BQ18" i="1"/>
  <c r="BQ19" i="1"/>
  <c r="BQ20" i="1"/>
  <c r="BQ21" i="1"/>
  <c r="BQ22" i="1"/>
  <c r="BQ23" i="1"/>
  <c r="BQ24" i="1"/>
  <c r="BQ25" i="1"/>
  <c r="BQ26" i="1"/>
  <c r="BQ27" i="1"/>
  <c r="BQ28" i="1"/>
  <c r="BQ29" i="1"/>
  <c r="BQ30" i="1"/>
  <c r="BQ31" i="1"/>
  <c r="BQ32" i="1"/>
  <c r="BQ33" i="1"/>
  <c r="BQ34" i="1"/>
  <c r="BQ35" i="1"/>
  <c r="BQ36" i="1"/>
  <c r="BQ37" i="1"/>
  <c r="BQ38" i="1"/>
  <c r="BQ39" i="1"/>
  <c r="BQ40" i="1"/>
  <c r="BQ41" i="1"/>
  <c r="BQ42" i="1"/>
  <c r="BQ43" i="1"/>
  <c r="BQ44" i="1"/>
  <c r="BQ45" i="1"/>
  <c r="BQ46" i="1"/>
  <c r="BQ47" i="1"/>
  <c r="BQ48" i="1"/>
  <c r="BQ49" i="1"/>
  <c r="BQ50" i="1"/>
  <c r="BQ51" i="1"/>
  <c r="BQ52" i="1"/>
  <c r="BQ53" i="1"/>
  <c r="BQ54" i="1"/>
  <c r="BQ55" i="1"/>
  <c r="BQ56" i="1"/>
  <c r="BQ57" i="1"/>
  <c r="BQ58" i="1"/>
  <c r="BQ59" i="1"/>
  <c r="BQ60" i="1"/>
  <c r="BQ61" i="1"/>
  <c r="BQ62" i="1"/>
  <c r="BQ63" i="1"/>
  <c r="BQ64" i="1"/>
  <c r="BQ65" i="1"/>
  <c r="BQ66" i="1"/>
  <c r="BQ67" i="1"/>
  <c r="BQ68" i="1"/>
  <c r="BQ69" i="1"/>
  <c r="BQ70" i="1"/>
  <c r="BQ71" i="1"/>
  <c r="BQ72" i="1"/>
  <c r="BQ73" i="1"/>
  <c r="BQ74" i="1"/>
  <c r="BQ75" i="1"/>
  <c r="BQ76" i="1"/>
  <c r="BQ77" i="1"/>
  <c r="BQ78" i="1"/>
  <c r="BQ79" i="1"/>
  <c r="BQ80" i="1"/>
  <c r="BQ81" i="1"/>
  <c r="BQ82" i="1"/>
  <c r="BQ83" i="1"/>
  <c r="BQ84" i="1"/>
  <c r="BQ85" i="1"/>
  <c r="BQ86" i="1"/>
  <c r="BQ87" i="1"/>
  <c r="BQ88" i="1"/>
  <c r="BQ89" i="1"/>
  <c r="BQ90" i="1"/>
  <c r="BQ91" i="1"/>
  <c r="BQ92" i="1"/>
  <c r="BQ93" i="1"/>
  <c r="BQ94" i="1"/>
  <c r="BQ95" i="1"/>
  <c r="BQ96" i="1"/>
  <c r="BQ97" i="1"/>
  <c r="BQ98" i="1"/>
  <c r="BQ99" i="1"/>
  <c r="BQ100" i="1"/>
  <c r="BQ101" i="1"/>
  <c r="BQ102" i="1"/>
  <c r="BQ103" i="1"/>
  <c r="BQ104" i="1"/>
  <c r="BQ105" i="1"/>
  <c r="BQ106" i="1"/>
  <c r="BQ107" i="1"/>
  <c r="BQ108" i="1"/>
  <c r="BQ109" i="1"/>
  <c r="BQ110" i="1"/>
  <c r="BQ111" i="1"/>
  <c r="BQ112" i="1"/>
  <c r="BQ113" i="1"/>
  <c r="BQ114" i="1"/>
  <c r="BQ115" i="1"/>
  <c r="BQ116" i="1"/>
  <c r="BQ117" i="1"/>
  <c r="BQ118" i="1"/>
  <c r="BQ119" i="1"/>
  <c r="BQ120" i="1"/>
  <c r="BQ121" i="1"/>
  <c r="BQ122" i="1"/>
  <c r="BQ123" i="1"/>
  <c r="BQ124" i="1"/>
  <c r="BQ125" i="1"/>
  <c r="BQ126" i="1"/>
  <c r="BQ127" i="1"/>
  <c r="BQ128" i="1"/>
  <c r="BQ129" i="1"/>
  <c r="BQ130" i="1"/>
  <c r="BQ131" i="1"/>
  <c r="BQ132" i="1"/>
  <c r="BQ133" i="1"/>
  <c r="BQ134" i="1"/>
  <c r="BQ135" i="1"/>
  <c r="BQ136" i="1"/>
  <c r="BQ137" i="1"/>
  <c r="BQ138" i="1"/>
  <c r="BQ139" i="1"/>
  <c r="BQ140" i="1"/>
  <c r="BQ141" i="1"/>
  <c r="BQ142" i="1"/>
  <c r="BQ143" i="1"/>
  <c r="BQ144" i="1"/>
  <c r="BQ145" i="1"/>
  <c r="BQ146" i="1"/>
  <c r="BQ147" i="1"/>
  <c r="BQ148" i="1"/>
  <c r="BQ149" i="1"/>
  <c r="BQ150" i="1"/>
  <c r="BQ151" i="1"/>
  <c r="BQ152" i="1"/>
  <c r="BQ153" i="1"/>
  <c r="BQ154" i="1"/>
  <c r="BQ155" i="1"/>
  <c r="BQ156" i="1"/>
  <c r="BQ157" i="1"/>
  <c r="BQ158" i="1"/>
  <c r="BQ159" i="1"/>
  <c r="BQ160" i="1"/>
  <c r="BQ161" i="1"/>
  <c r="BQ162" i="1"/>
  <c r="BQ163" i="1"/>
  <c r="BQ164" i="1"/>
  <c r="BQ165" i="1"/>
  <c r="BQ166" i="1"/>
  <c r="BQ167" i="1"/>
  <c r="BQ168" i="1"/>
  <c r="BQ169" i="1"/>
  <c r="BQ170" i="1"/>
  <c r="BQ171" i="1"/>
  <c r="BQ172" i="1"/>
  <c r="BQ173" i="1"/>
  <c r="BQ174" i="1"/>
  <c r="BQ175" i="1"/>
  <c r="BQ176" i="1"/>
  <c r="BQ177" i="1"/>
  <c r="BQ178" i="1"/>
  <c r="BQ179" i="1"/>
  <c r="BQ180" i="1"/>
  <c r="BQ181" i="1"/>
  <c r="BQ182" i="1"/>
  <c r="BQ183" i="1"/>
  <c r="BQ184" i="1"/>
  <c r="BQ185" i="1"/>
  <c r="BQ186" i="1"/>
  <c r="BQ187" i="1"/>
  <c r="BQ188" i="1"/>
  <c r="BQ189" i="1"/>
  <c r="BQ190" i="1"/>
  <c r="BQ191" i="1"/>
  <c r="BQ192" i="1"/>
  <c r="BQ193" i="1"/>
  <c r="BQ194" i="1"/>
  <c r="BQ195" i="1"/>
  <c r="BQ196" i="1"/>
  <c r="BQ197" i="1"/>
  <c r="BQ198" i="1"/>
  <c r="BQ199" i="1"/>
  <c r="BQ200" i="1"/>
  <c r="BQ201" i="1"/>
  <c r="BQ202" i="1"/>
  <c r="BQ203" i="1"/>
  <c r="BQ204" i="1"/>
  <c r="BQ205" i="1"/>
  <c r="BQ206" i="1"/>
  <c r="BQ207" i="1"/>
  <c r="BQ10" i="1"/>
  <c r="BO11" i="1"/>
  <c r="BO12" i="1"/>
  <c r="BO13" i="1"/>
  <c r="BO14" i="1"/>
  <c r="BO15" i="1"/>
  <c r="BO16" i="1"/>
  <c r="BO17" i="1"/>
  <c r="BO18" i="1"/>
  <c r="BO19" i="1"/>
  <c r="BO20" i="1"/>
  <c r="BO21" i="1"/>
  <c r="BO22" i="1"/>
  <c r="BO23" i="1"/>
  <c r="BO24" i="1"/>
  <c r="BO25" i="1"/>
  <c r="BO26" i="1"/>
  <c r="BO27" i="1"/>
  <c r="BO28" i="1"/>
  <c r="BO29" i="1"/>
  <c r="BO30" i="1"/>
  <c r="BO31" i="1"/>
  <c r="BO32" i="1"/>
  <c r="BO33" i="1"/>
  <c r="BO34" i="1"/>
  <c r="BO35" i="1"/>
  <c r="BO36" i="1"/>
  <c r="BO37" i="1"/>
  <c r="BO38" i="1"/>
  <c r="BO39" i="1"/>
  <c r="BO40" i="1"/>
  <c r="BO41" i="1"/>
  <c r="BO42" i="1"/>
  <c r="BO43" i="1"/>
  <c r="BO44" i="1"/>
  <c r="BO45" i="1"/>
  <c r="BO46" i="1"/>
  <c r="BO47" i="1"/>
  <c r="BO48" i="1"/>
  <c r="BO49" i="1"/>
  <c r="BO50" i="1"/>
  <c r="BO51" i="1"/>
  <c r="BO52" i="1"/>
  <c r="BO53" i="1"/>
  <c r="BO54" i="1"/>
  <c r="BO55" i="1"/>
  <c r="BO56" i="1"/>
  <c r="BO57" i="1"/>
  <c r="BO58" i="1"/>
  <c r="BO59" i="1"/>
  <c r="BO60" i="1"/>
  <c r="BO61" i="1"/>
  <c r="BO62" i="1"/>
  <c r="BO63" i="1"/>
  <c r="BO64" i="1"/>
  <c r="BO65" i="1"/>
  <c r="BO66" i="1"/>
  <c r="BO67" i="1"/>
  <c r="BO68" i="1"/>
  <c r="BO69" i="1"/>
  <c r="BO70" i="1"/>
  <c r="BO71" i="1"/>
  <c r="BO72" i="1"/>
  <c r="BO73" i="1"/>
  <c r="BO74" i="1"/>
  <c r="BO75" i="1"/>
  <c r="BO76" i="1"/>
  <c r="BO77" i="1"/>
  <c r="BO78" i="1"/>
  <c r="BO79" i="1"/>
  <c r="BO80" i="1"/>
  <c r="BO81" i="1"/>
  <c r="BO82" i="1"/>
  <c r="BO83" i="1"/>
  <c r="BO84" i="1"/>
  <c r="BO85" i="1"/>
  <c r="BO86" i="1"/>
  <c r="BO87" i="1"/>
  <c r="BO88" i="1"/>
  <c r="BO89" i="1"/>
  <c r="BO90" i="1"/>
  <c r="BO91" i="1"/>
  <c r="BO92" i="1"/>
  <c r="BO93" i="1"/>
  <c r="BO94" i="1"/>
  <c r="BO95" i="1"/>
  <c r="BO96" i="1"/>
  <c r="BO97" i="1"/>
  <c r="BO98" i="1"/>
  <c r="BO99" i="1"/>
  <c r="BO100" i="1"/>
  <c r="BO101" i="1"/>
  <c r="BO102" i="1"/>
  <c r="BO103" i="1"/>
  <c r="BO104" i="1"/>
  <c r="BO105" i="1"/>
  <c r="BO106" i="1"/>
  <c r="BO107" i="1"/>
  <c r="BO108" i="1"/>
  <c r="BO109" i="1"/>
  <c r="BO110" i="1"/>
  <c r="BO111" i="1"/>
  <c r="BO112" i="1"/>
  <c r="BO113" i="1"/>
  <c r="BO114" i="1"/>
  <c r="BO115" i="1"/>
  <c r="BO116" i="1"/>
  <c r="BO117" i="1"/>
  <c r="BO118" i="1"/>
  <c r="BO119" i="1"/>
  <c r="BO120" i="1"/>
  <c r="BO121" i="1"/>
  <c r="BO122" i="1"/>
  <c r="BO123" i="1"/>
  <c r="BO124" i="1"/>
  <c r="BO125" i="1"/>
  <c r="BO126" i="1"/>
  <c r="BO127" i="1"/>
  <c r="BO128" i="1"/>
  <c r="BO129" i="1"/>
  <c r="BO130" i="1"/>
  <c r="BO131" i="1"/>
  <c r="BO132" i="1"/>
  <c r="BO133" i="1"/>
  <c r="BO134" i="1"/>
  <c r="BO135" i="1"/>
  <c r="BO136" i="1"/>
  <c r="BO137" i="1"/>
  <c r="BO138" i="1"/>
  <c r="BO139" i="1"/>
  <c r="BO140" i="1"/>
  <c r="BO141" i="1"/>
  <c r="BO142" i="1"/>
  <c r="BO143" i="1"/>
  <c r="BO144" i="1"/>
  <c r="BO145" i="1"/>
  <c r="BO146" i="1"/>
  <c r="BO147" i="1"/>
  <c r="BO148" i="1"/>
  <c r="BO149" i="1"/>
  <c r="BO150" i="1"/>
  <c r="BO151" i="1"/>
  <c r="BO152" i="1"/>
  <c r="BO153" i="1"/>
  <c r="BO154" i="1"/>
  <c r="BO155" i="1"/>
  <c r="BO156" i="1"/>
  <c r="BO157" i="1"/>
  <c r="BO158" i="1"/>
  <c r="BO159" i="1"/>
  <c r="BO160" i="1"/>
  <c r="BO161" i="1"/>
  <c r="BO162" i="1"/>
  <c r="BO163" i="1"/>
  <c r="BO164" i="1"/>
  <c r="BO165" i="1"/>
  <c r="BO166" i="1"/>
  <c r="BO167" i="1"/>
  <c r="BO168" i="1"/>
  <c r="BO169" i="1"/>
  <c r="BO170" i="1"/>
  <c r="BO171" i="1"/>
  <c r="BO172" i="1"/>
  <c r="BO173" i="1"/>
  <c r="BO174" i="1"/>
  <c r="BO175" i="1"/>
  <c r="BO176" i="1"/>
  <c r="BO177" i="1"/>
  <c r="BO178" i="1"/>
  <c r="BO179" i="1"/>
  <c r="BO180" i="1"/>
  <c r="BO181" i="1"/>
  <c r="BO182" i="1"/>
  <c r="BO183" i="1"/>
  <c r="BO184" i="1"/>
  <c r="BO185" i="1"/>
  <c r="BO186" i="1"/>
  <c r="BO187" i="1"/>
  <c r="BO188" i="1"/>
  <c r="BO189" i="1"/>
  <c r="BO190" i="1"/>
  <c r="BO191" i="1"/>
  <c r="BO192" i="1"/>
  <c r="BO193" i="1"/>
  <c r="BO194" i="1"/>
  <c r="BO195" i="1"/>
  <c r="BO196" i="1"/>
  <c r="BO197" i="1"/>
  <c r="BO198" i="1"/>
  <c r="BO199" i="1"/>
  <c r="BO200" i="1"/>
  <c r="BO201" i="1"/>
  <c r="BO202" i="1"/>
  <c r="BO203" i="1"/>
  <c r="BO204" i="1"/>
  <c r="BO205" i="1"/>
  <c r="BO206" i="1"/>
  <c r="BO207" i="1"/>
  <c r="BO10" i="1"/>
  <c r="BM11" i="1"/>
  <c r="BM12" i="1"/>
  <c r="BM13" i="1"/>
  <c r="BM14" i="1"/>
  <c r="BM15" i="1"/>
  <c r="BM16" i="1"/>
  <c r="BM17" i="1"/>
  <c r="BM18" i="1"/>
  <c r="BM19" i="1"/>
  <c r="BM20" i="1"/>
  <c r="BM21" i="1"/>
  <c r="BM22" i="1"/>
  <c r="BM23" i="1"/>
  <c r="BM24" i="1"/>
  <c r="BM25" i="1"/>
  <c r="BM26" i="1"/>
  <c r="BM27" i="1"/>
  <c r="BM28" i="1"/>
  <c r="BM29" i="1"/>
  <c r="BM30" i="1"/>
  <c r="BM31" i="1"/>
  <c r="BM32" i="1"/>
  <c r="BM33" i="1"/>
  <c r="BM34" i="1"/>
  <c r="BM35" i="1"/>
  <c r="BM36" i="1"/>
  <c r="BM37" i="1"/>
  <c r="BM38" i="1"/>
  <c r="BM39" i="1"/>
  <c r="BM40" i="1"/>
  <c r="BM41" i="1"/>
  <c r="BM42" i="1"/>
  <c r="BM43" i="1"/>
  <c r="BM44" i="1"/>
  <c r="BM45" i="1"/>
  <c r="BM46" i="1"/>
  <c r="BM47" i="1"/>
  <c r="BM48" i="1"/>
  <c r="BM49" i="1"/>
  <c r="BM50" i="1"/>
  <c r="BM51" i="1"/>
  <c r="BM52" i="1"/>
  <c r="BM53" i="1"/>
  <c r="BM54" i="1"/>
  <c r="BM55" i="1"/>
  <c r="BM56" i="1"/>
  <c r="BM57" i="1"/>
  <c r="BM58" i="1"/>
  <c r="BM59" i="1"/>
  <c r="BM60" i="1"/>
  <c r="BM61" i="1"/>
  <c r="BM62" i="1"/>
  <c r="BM63" i="1"/>
  <c r="BM64" i="1"/>
  <c r="BM65" i="1"/>
  <c r="BM66" i="1"/>
  <c r="BM67" i="1"/>
  <c r="BM68" i="1"/>
  <c r="BM69" i="1"/>
  <c r="BM70" i="1"/>
  <c r="BM71" i="1"/>
  <c r="BM72" i="1"/>
  <c r="BM73" i="1"/>
  <c r="BM74" i="1"/>
  <c r="BM75" i="1"/>
  <c r="BM76" i="1"/>
  <c r="BM77" i="1"/>
  <c r="BM78" i="1"/>
  <c r="BM79" i="1"/>
  <c r="BM80" i="1"/>
  <c r="BM81" i="1"/>
  <c r="BM82" i="1"/>
  <c r="BM83" i="1"/>
  <c r="BM84" i="1"/>
  <c r="BM85" i="1"/>
  <c r="BM86" i="1"/>
  <c r="BM87" i="1"/>
  <c r="BM88" i="1"/>
  <c r="BM89" i="1"/>
  <c r="BM90" i="1"/>
  <c r="BM91" i="1"/>
  <c r="BM92" i="1"/>
  <c r="BM93" i="1"/>
  <c r="BM94" i="1"/>
  <c r="BM95" i="1"/>
  <c r="BM96" i="1"/>
  <c r="BM97" i="1"/>
  <c r="BM98" i="1"/>
  <c r="BM99" i="1"/>
  <c r="BM100" i="1"/>
  <c r="BM101" i="1"/>
  <c r="BM102" i="1"/>
  <c r="BM103" i="1"/>
  <c r="BM104" i="1"/>
  <c r="BM105" i="1"/>
  <c r="BM106" i="1"/>
  <c r="BM107" i="1"/>
  <c r="BM108" i="1"/>
  <c r="BM109" i="1"/>
  <c r="BM110" i="1"/>
  <c r="BM111" i="1"/>
  <c r="BM112" i="1"/>
  <c r="BM113" i="1"/>
  <c r="BM114" i="1"/>
  <c r="BM115" i="1"/>
  <c r="BM116" i="1"/>
  <c r="BM117" i="1"/>
  <c r="BM118" i="1"/>
  <c r="BM119" i="1"/>
  <c r="BM120" i="1"/>
  <c r="BM121" i="1"/>
  <c r="BM122" i="1"/>
  <c r="BM123" i="1"/>
  <c r="BM124" i="1"/>
  <c r="BM125" i="1"/>
  <c r="BM126" i="1"/>
  <c r="BM127" i="1"/>
  <c r="BM128" i="1"/>
  <c r="BM129" i="1"/>
  <c r="BM130" i="1"/>
  <c r="BM131" i="1"/>
  <c r="BM132" i="1"/>
  <c r="BM133" i="1"/>
  <c r="BM134" i="1"/>
  <c r="BM135" i="1"/>
  <c r="BM136" i="1"/>
  <c r="BM137" i="1"/>
  <c r="BM138" i="1"/>
  <c r="BM139" i="1"/>
  <c r="BM140" i="1"/>
  <c r="BM141" i="1"/>
  <c r="BM142" i="1"/>
  <c r="BM143" i="1"/>
  <c r="BM144" i="1"/>
  <c r="BM145" i="1"/>
  <c r="BM146" i="1"/>
  <c r="BM147" i="1"/>
  <c r="BM148" i="1"/>
  <c r="BM149" i="1"/>
  <c r="BM150" i="1"/>
  <c r="BM151" i="1"/>
  <c r="BM152" i="1"/>
  <c r="BM153" i="1"/>
  <c r="BM154" i="1"/>
  <c r="BM155" i="1"/>
  <c r="BM156" i="1"/>
  <c r="BM157" i="1"/>
  <c r="BM158" i="1"/>
  <c r="BM159" i="1"/>
  <c r="BM160" i="1"/>
  <c r="BM161" i="1"/>
  <c r="BM162" i="1"/>
  <c r="BM163" i="1"/>
  <c r="BM164" i="1"/>
  <c r="BM165" i="1"/>
  <c r="BM166" i="1"/>
  <c r="BM167" i="1"/>
  <c r="BM168" i="1"/>
  <c r="BM169" i="1"/>
  <c r="BM170" i="1"/>
  <c r="BM171" i="1"/>
  <c r="BM172" i="1"/>
  <c r="BM173" i="1"/>
  <c r="BM174" i="1"/>
  <c r="BM175" i="1"/>
  <c r="BM176" i="1"/>
  <c r="BM177" i="1"/>
  <c r="BM178" i="1"/>
  <c r="BM179" i="1"/>
  <c r="BM180" i="1"/>
  <c r="BM181" i="1"/>
  <c r="BM182" i="1"/>
  <c r="BM183" i="1"/>
  <c r="BM184" i="1"/>
  <c r="BM185" i="1"/>
  <c r="BM186" i="1"/>
  <c r="BM187" i="1"/>
  <c r="BM188" i="1"/>
  <c r="BM189" i="1"/>
  <c r="BM190" i="1"/>
  <c r="BM191" i="1"/>
  <c r="BM192" i="1"/>
  <c r="BM193" i="1"/>
  <c r="BM194" i="1"/>
  <c r="BM195" i="1"/>
  <c r="BM196" i="1"/>
  <c r="BM197" i="1"/>
  <c r="BM198" i="1"/>
  <c r="BM199" i="1"/>
  <c r="BM200" i="1"/>
  <c r="BM201" i="1"/>
  <c r="BM202" i="1"/>
  <c r="BM203" i="1"/>
  <c r="BM204" i="1"/>
  <c r="BM205" i="1"/>
  <c r="BM206" i="1"/>
  <c r="BM207" i="1"/>
  <c r="BM10" i="1"/>
  <c r="BK40" i="1"/>
  <c r="BK41" i="1"/>
  <c r="BK42" i="1"/>
  <c r="BK43" i="1"/>
  <c r="BK44" i="1"/>
  <c r="BK45" i="1"/>
  <c r="BK46" i="1"/>
  <c r="BK47" i="1"/>
  <c r="BK48" i="1"/>
  <c r="BK49" i="1"/>
  <c r="BK50" i="1"/>
  <c r="BK51" i="1"/>
  <c r="BK52" i="1"/>
  <c r="BK53" i="1"/>
  <c r="BK54" i="1"/>
  <c r="BK55" i="1"/>
  <c r="BK56" i="1"/>
  <c r="BK57" i="1"/>
  <c r="BK58" i="1"/>
  <c r="BK59" i="1"/>
  <c r="BK60" i="1"/>
  <c r="BK61" i="1"/>
  <c r="BK62" i="1"/>
  <c r="BK63" i="1"/>
  <c r="BK64" i="1"/>
  <c r="BK65" i="1"/>
  <c r="BK66" i="1"/>
  <c r="BK67" i="1"/>
  <c r="BK68" i="1"/>
  <c r="BK69" i="1"/>
  <c r="BK70" i="1"/>
  <c r="BK71" i="1"/>
  <c r="BK72" i="1"/>
  <c r="BK73" i="1"/>
  <c r="BK74" i="1"/>
  <c r="BK75" i="1"/>
  <c r="BK76" i="1"/>
  <c r="BK77" i="1"/>
  <c r="BK78" i="1"/>
  <c r="BK79" i="1"/>
  <c r="BK80" i="1"/>
  <c r="BK81" i="1"/>
  <c r="BK82" i="1"/>
  <c r="BK83" i="1"/>
  <c r="BK84" i="1"/>
  <c r="BK85" i="1"/>
  <c r="BK86" i="1"/>
  <c r="BK87" i="1"/>
  <c r="BK88" i="1"/>
  <c r="BK89" i="1"/>
  <c r="BK90" i="1"/>
  <c r="BK91" i="1"/>
  <c r="BK92" i="1"/>
  <c r="BK93" i="1"/>
  <c r="BK94" i="1"/>
  <c r="BK95" i="1"/>
  <c r="BK96" i="1"/>
  <c r="BK97" i="1"/>
  <c r="BK98" i="1"/>
  <c r="BK99" i="1"/>
  <c r="BK100" i="1"/>
  <c r="BK101" i="1"/>
  <c r="BK102" i="1"/>
  <c r="BK103" i="1"/>
  <c r="BK104" i="1"/>
  <c r="BK105" i="1"/>
  <c r="BK106" i="1"/>
  <c r="BK107" i="1"/>
  <c r="BK108" i="1"/>
  <c r="BK109" i="1"/>
  <c r="BK110" i="1"/>
  <c r="BK111" i="1"/>
  <c r="BK112" i="1"/>
  <c r="BK113" i="1"/>
  <c r="BK114" i="1"/>
  <c r="BK115" i="1"/>
  <c r="BK116" i="1"/>
  <c r="BK117" i="1"/>
  <c r="BK118" i="1"/>
  <c r="BK119" i="1"/>
  <c r="BK120" i="1"/>
  <c r="BK121" i="1"/>
  <c r="BK122" i="1"/>
  <c r="BK123" i="1"/>
  <c r="BK124" i="1"/>
  <c r="BK125" i="1"/>
  <c r="BK126" i="1"/>
  <c r="BK127" i="1"/>
  <c r="BK128" i="1"/>
  <c r="BK129" i="1"/>
  <c r="BK130" i="1"/>
  <c r="BK131" i="1"/>
  <c r="BK132" i="1"/>
  <c r="BK133" i="1"/>
  <c r="BK134" i="1"/>
  <c r="BK135" i="1"/>
  <c r="BK136" i="1"/>
  <c r="BK137" i="1"/>
  <c r="BK138" i="1"/>
  <c r="BK139" i="1"/>
  <c r="BK140" i="1"/>
  <c r="BK141" i="1"/>
  <c r="BK142" i="1"/>
  <c r="BK143" i="1"/>
  <c r="BK144" i="1"/>
  <c r="BK145" i="1"/>
  <c r="BK146" i="1"/>
  <c r="BK147" i="1"/>
  <c r="BK148" i="1"/>
  <c r="BK149" i="1"/>
  <c r="BK150" i="1"/>
  <c r="BK151" i="1"/>
  <c r="BK152" i="1"/>
  <c r="BK153" i="1"/>
  <c r="BK154" i="1"/>
  <c r="BK155" i="1"/>
  <c r="BK156" i="1"/>
  <c r="BK157" i="1"/>
  <c r="BK158" i="1"/>
  <c r="BK159" i="1"/>
  <c r="BK160" i="1"/>
  <c r="BK161" i="1"/>
  <c r="BK162" i="1"/>
  <c r="BK163" i="1"/>
  <c r="BK164" i="1"/>
  <c r="BK165" i="1"/>
  <c r="BK166" i="1"/>
  <c r="BK167" i="1"/>
  <c r="BK168" i="1"/>
  <c r="BK169" i="1"/>
  <c r="BK170" i="1"/>
  <c r="BK171" i="1"/>
  <c r="BK172" i="1"/>
  <c r="BK173" i="1"/>
  <c r="BK174" i="1"/>
  <c r="BK175" i="1"/>
  <c r="BK176" i="1"/>
  <c r="BK177" i="1"/>
  <c r="BK178" i="1"/>
  <c r="BK179" i="1"/>
  <c r="BK180" i="1"/>
  <c r="BK181" i="1"/>
  <c r="BK182" i="1"/>
  <c r="BK183" i="1"/>
  <c r="BK184" i="1"/>
  <c r="BK185" i="1"/>
  <c r="BK186" i="1"/>
  <c r="BK187" i="1"/>
  <c r="BK188" i="1"/>
  <c r="BK189" i="1"/>
  <c r="BK190" i="1"/>
  <c r="BK191" i="1"/>
  <c r="BK192" i="1"/>
  <c r="BK193" i="1"/>
  <c r="BK194" i="1"/>
  <c r="BK195" i="1"/>
  <c r="BK196" i="1"/>
  <c r="BK197" i="1"/>
  <c r="BK198" i="1"/>
  <c r="BK199" i="1"/>
  <c r="BK200" i="1"/>
  <c r="BK201" i="1"/>
  <c r="BK202" i="1"/>
  <c r="BK203" i="1"/>
  <c r="BK204" i="1"/>
  <c r="BK205" i="1"/>
  <c r="BK206" i="1"/>
  <c r="BK207" i="1"/>
  <c r="BK11" i="1"/>
  <c r="BK12" i="1"/>
  <c r="BK13" i="1"/>
  <c r="BK14" i="1"/>
  <c r="BK15" i="1"/>
  <c r="BK16" i="1"/>
  <c r="BK17" i="1"/>
  <c r="BK18" i="1"/>
  <c r="BK19" i="1"/>
  <c r="BK20" i="1"/>
  <c r="BK21" i="1"/>
  <c r="BK22" i="1"/>
  <c r="BK23" i="1"/>
  <c r="BK24" i="1"/>
  <c r="BK25" i="1"/>
  <c r="BK26" i="1"/>
  <c r="BK27" i="1"/>
  <c r="BK28" i="1"/>
  <c r="BK29" i="1"/>
  <c r="BK30" i="1"/>
  <c r="BK31" i="1"/>
  <c r="BK32" i="1"/>
  <c r="BK33" i="1"/>
  <c r="BK34" i="1"/>
  <c r="BK35" i="1"/>
  <c r="BK36" i="1"/>
  <c r="BK37" i="1"/>
  <c r="BK38" i="1"/>
  <c r="BK39" i="1"/>
  <c r="BK10" i="1"/>
  <c r="BI10" i="1"/>
  <c r="BI207" i="1"/>
  <c r="BI206" i="1"/>
  <c r="BI205" i="1"/>
  <c r="BI204" i="1"/>
  <c r="BI203" i="1"/>
  <c r="BI202" i="1"/>
  <c r="BI201" i="1"/>
  <c r="BI200" i="1"/>
  <c r="BI199" i="1"/>
  <c r="BI198" i="1"/>
  <c r="BI197" i="1"/>
  <c r="BI196" i="1"/>
  <c r="BI195" i="1"/>
  <c r="BI194" i="1"/>
  <c r="BI193" i="1"/>
  <c r="BI192" i="1"/>
  <c r="BI191" i="1"/>
  <c r="BI190" i="1"/>
  <c r="BI189" i="1"/>
  <c r="BI188" i="1"/>
  <c r="BI187" i="1"/>
  <c r="BI186" i="1"/>
  <c r="BI185" i="1"/>
  <c r="BI184" i="1"/>
  <c r="BI183" i="1"/>
  <c r="BI182" i="1"/>
  <c r="BI181" i="1"/>
  <c r="BI180" i="1"/>
  <c r="BI179" i="1"/>
  <c r="BI178" i="1"/>
  <c r="BI177" i="1"/>
  <c r="BI176" i="1"/>
  <c r="BI175" i="1"/>
  <c r="BI174" i="1"/>
  <c r="BI173" i="1"/>
  <c r="BI172" i="1"/>
  <c r="BI171" i="1"/>
  <c r="BI170" i="1"/>
  <c r="BI169" i="1"/>
  <c r="BI168" i="1"/>
  <c r="BI167" i="1"/>
  <c r="BI166" i="1"/>
  <c r="BI165" i="1"/>
  <c r="BI164" i="1"/>
  <c r="BI163" i="1"/>
  <c r="BI162" i="1"/>
  <c r="BI161" i="1"/>
  <c r="BI160" i="1"/>
  <c r="BI159" i="1"/>
  <c r="BI158" i="1"/>
  <c r="BI157" i="1"/>
  <c r="BI156" i="1"/>
  <c r="BI155" i="1"/>
  <c r="BI154" i="1"/>
  <c r="BI153" i="1"/>
  <c r="BI152" i="1"/>
  <c r="BI151" i="1"/>
  <c r="BI150" i="1"/>
  <c r="BI149" i="1"/>
  <c r="BI148" i="1"/>
  <c r="BI147" i="1"/>
  <c r="BI146" i="1"/>
  <c r="BI145" i="1"/>
  <c r="BI144" i="1"/>
  <c r="BI143" i="1"/>
  <c r="BI142" i="1"/>
  <c r="BI141" i="1"/>
  <c r="BI140" i="1"/>
  <c r="BI139" i="1"/>
  <c r="BI138" i="1"/>
  <c r="BI137" i="1"/>
  <c r="BI136" i="1"/>
  <c r="BI135" i="1"/>
  <c r="BI134" i="1"/>
  <c r="BI133" i="1"/>
  <c r="BI132" i="1"/>
  <c r="BI131" i="1"/>
  <c r="BI130" i="1"/>
  <c r="BI129" i="1"/>
  <c r="BI128" i="1"/>
  <c r="BI127" i="1"/>
  <c r="BI126" i="1"/>
  <c r="BI125" i="1"/>
  <c r="BI124" i="1"/>
  <c r="BI123" i="1"/>
  <c r="BI122" i="1"/>
  <c r="BI121" i="1"/>
  <c r="BI120" i="1"/>
  <c r="BI119" i="1"/>
  <c r="BI118" i="1"/>
  <c r="BI117" i="1"/>
  <c r="BI116" i="1"/>
  <c r="BI115" i="1"/>
  <c r="BI114" i="1"/>
  <c r="BI113" i="1"/>
  <c r="BI112" i="1"/>
  <c r="BI111" i="1"/>
  <c r="BI110" i="1"/>
  <c r="BI109" i="1"/>
  <c r="BI108" i="1"/>
  <c r="BI107" i="1"/>
  <c r="BI106" i="1"/>
  <c r="BI105" i="1"/>
  <c r="BI104" i="1"/>
  <c r="BI103" i="1"/>
  <c r="BI102" i="1"/>
  <c r="BI101" i="1"/>
  <c r="BI100" i="1"/>
  <c r="BI99" i="1"/>
  <c r="BI98" i="1"/>
  <c r="BI97" i="1"/>
  <c r="BI96" i="1"/>
  <c r="BI95" i="1"/>
  <c r="BI94" i="1"/>
  <c r="BI93" i="1"/>
  <c r="BI92" i="1"/>
  <c r="BI91" i="1"/>
  <c r="BI90" i="1"/>
  <c r="BI89" i="1"/>
  <c r="BI88" i="1"/>
  <c r="BI87" i="1"/>
  <c r="BI86" i="1"/>
  <c r="BI85" i="1"/>
  <c r="BI84" i="1"/>
  <c r="BI83" i="1"/>
  <c r="BI82" i="1"/>
  <c r="BI81" i="1"/>
  <c r="BI80" i="1"/>
  <c r="BI79" i="1"/>
  <c r="BI78" i="1"/>
  <c r="BI77" i="1"/>
  <c r="BI76" i="1"/>
  <c r="BI75" i="1"/>
  <c r="BI74" i="1"/>
  <c r="BI73" i="1"/>
  <c r="BI72" i="1"/>
  <c r="BI71" i="1"/>
  <c r="BI70" i="1"/>
  <c r="BI69" i="1"/>
  <c r="BI68" i="1"/>
  <c r="BI67" i="1"/>
  <c r="BI66" i="1"/>
  <c r="BI65" i="1"/>
  <c r="BI64" i="1"/>
  <c r="BI63" i="1"/>
  <c r="BI62" i="1"/>
  <c r="BI61" i="1"/>
  <c r="BI60" i="1"/>
  <c r="BI59" i="1"/>
  <c r="BI58" i="1"/>
  <c r="BI57" i="1"/>
  <c r="BI56" i="1"/>
  <c r="BI55" i="1"/>
  <c r="BI54" i="1"/>
  <c r="BI53" i="1"/>
  <c r="BI52" i="1"/>
  <c r="BI51" i="1"/>
  <c r="BI50" i="1"/>
  <c r="BI49" i="1"/>
  <c r="BI48" i="1"/>
  <c r="BI47" i="1"/>
  <c r="BI46" i="1"/>
  <c r="BI45" i="1"/>
  <c r="BI44" i="1"/>
  <c r="BI43" i="1"/>
  <c r="BI42" i="1"/>
  <c r="BI41" i="1"/>
  <c r="BI40" i="1"/>
  <c r="BI39" i="1"/>
  <c r="BI38" i="1"/>
  <c r="BI37" i="1"/>
  <c r="BI36" i="1"/>
  <c r="BI35" i="1"/>
  <c r="BI34" i="1"/>
  <c r="BI33" i="1"/>
  <c r="BI32" i="1"/>
  <c r="BI31" i="1"/>
  <c r="BI30" i="1"/>
  <c r="BI29" i="1"/>
  <c r="BI28" i="1"/>
  <c r="BI27" i="1"/>
  <c r="BI26" i="1"/>
  <c r="BI25" i="1"/>
  <c r="BI24" i="1"/>
  <c r="BI23" i="1"/>
  <c r="BI22" i="1"/>
  <c r="BI21" i="1"/>
  <c r="BI20" i="1"/>
  <c r="BI19" i="1"/>
  <c r="BI18" i="1"/>
  <c r="BI17" i="1"/>
  <c r="BI16" i="1"/>
  <c r="BI15" i="1"/>
  <c r="BI14" i="1"/>
  <c r="BI13" i="1"/>
  <c r="BI12" i="1"/>
  <c r="BI11" i="1"/>
  <c r="AW11" i="1"/>
  <c r="AW10" i="1"/>
  <c r="BC207" i="1"/>
  <c r="BA207" i="1"/>
  <c r="AY207" i="1"/>
  <c r="AW207" i="1"/>
  <c r="BC206" i="1"/>
  <c r="BA206" i="1"/>
  <c r="AY206" i="1"/>
  <c r="AW206" i="1"/>
  <c r="BC205" i="1"/>
  <c r="BA205" i="1"/>
  <c r="AY205" i="1"/>
  <c r="AW205" i="1"/>
  <c r="BC204" i="1"/>
  <c r="BA204" i="1"/>
  <c r="AY204" i="1"/>
  <c r="AW204" i="1"/>
  <c r="BC203" i="1"/>
  <c r="BA203" i="1"/>
  <c r="AY203" i="1"/>
  <c r="AW203" i="1"/>
  <c r="BC202" i="1"/>
  <c r="BA202" i="1"/>
  <c r="AY202" i="1"/>
  <c r="AW202" i="1"/>
  <c r="BC201" i="1"/>
  <c r="BA201" i="1"/>
  <c r="AY201" i="1"/>
  <c r="AW201" i="1"/>
  <c r="BC200" i="1"/>
  <c r="BA200" i="1"/>
  <c r="AY200" i="1"/>
  <c r="AW200" i="1"/>
  <c r="BC199" i="1"/>
  <c r="BA199" i="1"/>
  <c r="AY199" i="1"/>
  <c r="AW199" i="1"/>
  <c r="BC198" i="1"/>
  <c r="BA198" i="1"/>
  <c r="AY198" i="1"/>
  <c r="AW198" i="1"/>
  <c r="BC197" i="1"/>
  <c r="BA197" i="1"/>
  <c r="AY197" i="1"/>
  <c r="AW197" i="1"/>
  <c r="BC196" i="1"/>
  <c r="BA196" i="1"/>
  <c r="AY196" i="1"/>
  <c r="AW196" i="1"/>
  <c r="BC195" i="1"/>
  <c r="BA195" i="1"/>
  <c r="AY195" i="1"/>
  <c r="AW195" i="1"/>
  <c r="BC194" i="1"/>
  <c r="BA194" i="1"/>
  <c r="AY194" i="1"/>
  <c r="AW194" i="1"/>
  <c r="BC193" i="1"/>
  <c r="BA193" i="1"/>
  <c r="AY193" i="1"/>
  <c r="AW193" i="1"/>
  <c r="BC192" i="1"/>
  <c r="BA192" i="1"/>
  <c r="AY192" i="1"/>
  <c r="AW192" i="1"/>
  <c r="BC191" i="1"/>
  <c r="BA191" i="1"/>
  <c r="AY191" i="1"/>
  <c r="AW191" i="1"/>
  <c r="BC190" i="1"/>
  <c r="BA190" i="1"/>
  <c r="AY190" i="1"/>
  <c r="AW190" i="1"/>
  <c r="BC189" i="1"/>
  <c r="BA189" i="1"/>
  <c r="AY189" i="1"/>
  <c r="AW189" i="1"/>
  <c r="BC188" i="1"/>
  <c r="BA188" i="1"/>
  <c r="AY188" i="1"/>
  <c r="AW188" i="1"/>
  <c r="BC187" i="1"/>
  <c r="BA187" i="1"/>
  <c r="AY187" i="1"/>
  <c r="AW187" i="1"/>
  <c r="BC186" i="1"/>
  <c r="BA186" i="1"/>
  <c r="AY186" i="1"/>
  <c r="AW186" i="1"/>
  <c r="BC185" i="1"/>
  <c r="BA185" i="1"/>
  <c r="AY185" i="1"/>
  <c r="AW185" i="1"/>
  <c r="BC184" i="1"/>
  <c r="BA184" i="1"/>
  <c r="AY184" i="1"/>
  <c r="AW184" i="1"/>
  <c r="BC183" i="1"/>
  <c r="BA183" i="1"/>
  <c r="AY183" i="1"/>
  <c r="AW183" i="1"/>
  <c r="BC182" i="1"/>
  <c r="BA182" i="1"/>
  <c r="AY182" i="1"/>
  <c r="AW182" i="1"/>
  <c r="BC181" i="1"/>
  <c r="BA181" i="1"/>
  <c r="AY181" i="1"/>
  <c r="AW181" i="1"/>
  <c r="BC180" i="1"/>
  <c r="BA180" i="1"/>
  <c r="AY180" i="1"/>
  <c r="AW180" i="1"/>
  <c r="BC179" i="1"/>
  <c r="BA179" i="1"/>
  <c r="AY179" i="1"/>
  <c r="AW179" i="1"/>
  <c r="BC178" i="1"/>
  <c r="BA178" i="1"/>
  <c r="AY178" i="1"/>
  <c r="AW178" i="1"/>
  <c r="BC177" i="1"/>
  <c r="BA177" i="1"/>
  <c r="AY177" i="1"/>
  <c r="AW177" i="1"/>
  <c r="BC176" i="1"/>
  <c r="BA176" i="1"/>
  <c r="AY176" i="1"/>
  <c r="AW176" i="1"/>
  <c r="BC175" i="1"/>
  <c r="BA175" i="1"/>
  <c r="AY175" i="1"/>
  <c r="AW175" i="1"/>
  <c r="BC174" i="1"/>
  <c r="BA174" i="1"/>
  <c r="AY174" i="1"/>
  <c r="AW174" i="1"/>
  <c r="BC173" i="1"/>
  <c r="BA173" i="1"/>
  <c r="AY173" i="1"/>
  <c r="AW173" i="1"/>
  <c r="BC172" i="1"/>
  <c r="BA172" i="1"/>
  <c r="AY172" i="1"/>
  <c r="AW172" i="1"/>
  <c r="BC171" i="1"/>
  <c r="BA171" i="1"/>
  <c r="AY171" i="1"/>
  <c r="AW171" i="1"/>
  <c r="BC170" i="1"/>
  <c r="BA170" i="1"/>
  <c r="AY170" i="1"/>
  <c r="AW170" i="1"/>
  <c r="BC169" i="1"/>
  <c r="BA169" i="1"/>
  <c r="AY169" i="1"/>
  <c r="AW169" i="1"/>
  <c r="BC168" i="1"/>
  <c r="BA168" i="1"/>
  <c r="AY168" i="1"/>
  <c r="AW168" i="1"/>
  <c r="BC167" i="1"/>
  <c r="BA167" i="1"/>
  <c r="AY167" i="1"/>
  <c r="AW167" i="1"/>
  <c r="BC166" i="1"/>
  <c r="BA166" i="1"/>
  <c r="AY166" i="1"/>
  <c r="AW166" i="1"/>
  <c r="BC165" i="1"/>
  <c r="BA165" i="1"/>
  <c r="AY165" i="1"/>
  <c r="AW165" i="1"/>
  <c r="BC164" i="1"/>
  <c r="BA164" i="1"/>
  <c r="AY164" i="1"/>
  <c r="AW164" i="1"/>
  <c r="BC163" i="1"/>
  <c r="BA163" i="1"/>
  <c r="AY163" i="1"/>
  <c r="AW163" i="1"/>
  <c r="BC162" i="1"/>
  <c r="BA162" i="1"/>
  <c r="AY162" i="1"/>
  <c r="AW162" i="1"/>
  <c r="BC161" i="1"/>
  <c r="BA161" i="1"/>
  <c r="AY161" i="1"/>
  <c r="AW161" i="1"/>
  <c r="BC160" i="1"/>
  <c r="BA160" i="1"/>
  <c r="AY160" i="1"/>
  <c r="AW160" i="1"/>
  <c r="BC159" i="1"/>
  <c r="BA159" i="1"/>
  <c r="AY159" i="1"/>
  <c r="AW159" i="1"/>
  <c r="BC158" i="1"/>
  <c r="BA158" i="1"/>
  <c r="AY158" i="1"/>
  <c r="AW158" i="1"/>
  <c r="BC157" i="1"/>
  <c r="BA157" i="1"/>
  <c r="AY157" i="1"/>
  <c r="AW157" i="1"/>
  <c r="BC156" i="1"/>
  <c r="BA156" i="1"/>
  <c r="AY156" i="1"/>
  <c r="AW156" i="1"/>
  <c r="BC155" i="1"/>
  <c r="BA155" i="1"/>
  <c r="AY155" i="1"/>
  <c r="AW155" i="1"/>
  <c r="BC154" i="1"/>
  <c r="BA154" i="1"/>
  <c r="AY154" i="1"/>
  <c r="AW154" i="1"/>
  <c r="BC153" i="1"/>
  <c r="BA153" i="1"/>
  <c r="AY153" i="1"/>
  <c r="AW153" i="1"/>
  <c r="BC152" i="1"/>
  <c r="BA152" i="1"/>
  <c r="AY152" i="1"/>
  <c r="AW152" i="1"/>
  <c r="BC151" i="1"/>
  <c r="BA151" i="1"/>
  <c r="AY151" i="1"/>
  <c r="AW151" i="1"/>
  <c r="BC150" i="1"/>
  <c r="BA150" i="1"/>
  <c r="AY150" i="1"/>
  <c r="AW150" i="1"/>
  <c r="BC149" i="1"/>
  <c r="BA149" i="1"/>
  <c r="AY149" i="1"/>
  <c r="AW149" i="1"/>
  <c r="BC148" i="1"/>
  <c r="BA148" i="1"/>
  <c r="AY148" i="1"/>
  <c r="AW148" i="1"/>
  <c r="BC147" i="1"/>
  <c r="BA147" i="1"/>
  <c r="AY147" i="1"/>
  <c r="AW147" i="1"/>
  <c r="BC146" i="1"/>
  <c r="BA146" i="1"/>
  <c r="AY146" i="1"/>
  <c r="AW146" i="1"/>
  <c r="BC145" i="1"/>
  <c r="BA145" i="1"/>
  <c r="AY145" i="1"/>
  <c r="AW145" i="1"/>
  <c r="BC144" i="1"/>
  <c r="BA144" i="1"/>
  <c r="AY144" i="1"/>
  <c r="AW144" i="1"/>
  <c r="BC143" i="1"/>
  <c r="BA143" i="1"/>
  <c r="AY143" i="1"/>
  <c r="AW143" i="1"/>
  <c r="BC142" i="1"/>
  <c r="BA142" i="1"/>
  <c r="AY142" i="1"/>
  <c r="AW142" i="1"/>
  <c r="BC141" i="1"/>
  <c r="BA141" i="1"/>
  <c r="AY141" i="1"/>
  <c r="AW141" i="1"/>
  <c r="BC140" i="1"/>
  <c r="BA140" i="1"/>
  <c r="AY140" i="1"/>
  <c r="AW140" i="1"/>
  <c r="BC139" i="1"/>
  <c r="BA139" i="1"/>
  <c r="AY139" i="1"/>
  <c r="AW139" i="1"/>
  <c r="BC138" i="1"/>
  <c r="BA138" i="1"/>
  <c r="AY138" i="1"/>
  <c r="AW138" i="1"/>
  <c r="BC137" i="1"/>
  <c r="BA137" i="1"/>
  <c r="AY137" i="1"/>
  <c r="AW137" i="1"/>
  <c r="BC136" i="1"/>
  <c r="BA136" i="1"/>
  <c r="AY136" i="1"/>
  <c r="AW136" i="1"/>
  <c r="BC135" i="1"/>
  <c r="BA135" i="1"/>
  <c r="AY135" i="1"/>
  <c r="AW135" i="1"/>
  <c r="BC134" i="1"/>
  <c r="BA134" i="1"/>
  <c r="AY134" i="1"/>
  <c r="AW134" i="1"/>
  <c r="BC133" i="1"/>
  <c r="BA133" i="1"/>
  <c r="AY133" i="1"/>
  <c r="AW133" i="1"/>
  <c r="BC132" i="1"/>
  <c r="BA132" i="1"/>
  <c r="AY132" i="1"/>
  <c r="AW132" i="1"/>
  <c r="BC131" i="1"/>
  <c r="BA131" i="1"/>
  <c r="AY131" i="1"/>
  <c r="AW131" i="1"/>
  <c r="BC130" i="1"/>
  <c r="BA130" i="1"/>
  <c r="AY130" i="1"/>
  <c r="AW130" i="1"/>
  <c r="BC129" i="1"/>
  <c r="BA129" i="1"/>
  <c r="AY129" i="1"/>
  <c r="AW129" i="1"/>
  <c r="BC128" i="1"/>
  <c r="BA128" i="1"/>
  <c r="AY128" i="1"/>
  <c r="AW128" i="1"/>
  <c r="BC127" i="1"/>
  <c r="BA127" i="1"/>
  <c r="AY127" i="1"/>
  <c r="AW127" i="1"/>
  <c r="BC126" i="1"/>
  <c r="BA126" i="1"/>
  <c r="AY126" i="1"/>
  <c r="AW126" i="1"/>
  <c r="BC125" i="1"/>
  <c r="BA125" i="1"/>
  <c r="AY125" i="1"/>
  <c r="AW125" i="1"/>
  <c r="BC124" i="1"/>
  <c r="BA124" i="1"/>
  <c r="AY124" i="1"/>
  <c r="AW124" i="1"/>
  <c r="BC123" i="1"/>
  <c r="BA123" i="1"/>
  <c r="AY123" i="1"/>
  <c r="AW123" i="1"/>
  <c r="BC122" i="1"/>
  <c r="BA122" i="1"/>
  <c r="AY122" i="1"/>
  <c r="AW122" i="1"/>
  <c r="BC121" i="1"/>
  <c r="BA121" i="1"/>
  <c r="AY121" i="1"/>
  <c r="AW121" i="1"/>
  <c r="BC120" i="1"/>
  <c r="BA120" i="1"/>
  <c r="AY120" i="1"/>
  <c r="AW120" i="1"/>
  <c r="BC119" i="1"/>
  <c r="BA119" i="1"/>
  <c r="AY119" i="1"/>
  <c r="AW119" i="1"/>
  <c r="BC118" i="1"/>
  <c r="BA118" i="1"/>
  <c r="AY118" i="1"/>
  <c r="AW118" i="1"/>
  <c r="BC117" i="1"/>
  <c r="BA117" i="1"/>
  <c r="AY117" i="1"/>
  <c r="AW117" i="1"/>
  <c r="BC116" i="1"/>
  <c r="BA116" i="1"/>
  <c r="AY116" i="1"/>
  <c r="AW116" i="1"/>
  <c r="BC115" i="1"/>
  <c r="BA115" i="1"/>
  <c r="AY115" i="1"/>
  <c r="AW115" i="1"/>
  <c r="BC114" i="1"/>
  <c r="BA114" i="1"/>
  <c r="AY114" i="1"/>
  <c r="AW114" i="1"/>
  <c r="BC113" i="1"/>
  <c r="BA113" i="1"/>
  <c r="AY113" i="1"/>
  <c r="AW113" i="1"/>
  <c r="BC112" i="1"/>
  <c r="BA112" i="1"/>
  <c r="AY112" i="1"/>
  <c r="AW112" i="1"/>
  <c r="BC111" i="1"/>
  <c r="BA111" i="1"/>
  <c r="AY111" i="1"/>
  <c r="AW111" i="1"/>
  <c r="BC110" i="1"/>
  <c r="BA110" i="1"/>
  <c r="AY110" i="1"/>
  <c r="AW110" i="1"/>
  <c r="BC109" i="1"/>
  <c r="BA109" i="1"/>
  <c r="AY109" i="1"/>
  <c r="AW109" i="1"/>
  <c r="BC108" i="1"/>
  <c r="BA108" i="1"/>
  <c r="AY108" i="1"/>
  <c r="AW108" i="1"/>
  <c r="BC107" i="1"/>
  <c r="BA107" i="1"/>
  <c r="AY107" i="1"/>
  <c r="AW107" i="1"/>
  <c r="BC106" i="1"/>
  <c r="BA106" i="1"/>
  <c r="AY106" i="1"/>
  <c r="AW106" i="1"/>
  <c r="BC105" i="1"/>
  <c r="BA105" i="1"/>
  <c r="AY105" i="1"/>
  <c r="AW105" i="1"/>
  <c r="BC104" i="1"/>
  <c r="BA104" i="1"/>
  <c r="AY104" i="1"/>
  <c r="AW104" i="1"/>
  <c r="BC103" i="1"/>
  <c r="BA103" i="1"/>
  <c r="AY103" i="1"/>
  <c r="AW103" i="1"/>
  <c r="BC102" i="1"/>
  <c r="BA102" i="1"/>
  <c r="AY102" i="1"/>
  <c r="AW102" i="1"/>
  <c r="BC101" i="1"/>
  <c r="BA101" i="1"/>
  <c r="AY101" i="1"/>
  <c r="AW101" i="1"/>
  <c r="BC100" i="1"/>
  <c r="BA100" i="1"/>
  <c r="AY100" i="1"/>
  <c r="AW100" i="1"/>
  <c r="BC99" i="1"/>
  <c r="BA99" i="1"/>
  <c r="AY99" i="1"/>
  <c r="AW99" i="1"/>
  <c r="BC98" i="1"/>
  <c r="BA98" i="1"/>
  <c r="AY98" i="1"/>
  <c r="AW98" i="1"/>
  <c r="BC97" i="1"/>
  <c r="BA97" i="1"/>
  <c r="AY97" i="1"/>
  <c r="AW97" i="1"/>
  <c r="BC96" i="1"/>
  <c r="BA96" i="1"/>
  <c r="AY96" i="1"/>
  <c r="AW96" i="1"/>
  <c r="BC95" i="1"/>
  <c r="BA95" i="1"/>
  <c r="AY95" i="1"/>
  <c r="AW95" i="1"/>
  <c r="BC94" i="1"/>
  <c r="BA94" i="1"/>
  <c r="AY94" i="1"/>
  <c r="AW94" i="1"/>
  <c r="BC93" i="1"/>
  <c r="BA93" i="1"/>
  <c r="AY93" i="1"/>
  <c r="AW93" i="1"/>
  <c r="BC92" i="1"/>
  <c r="BA92" i="1"/>
  <c r="AY92" i="1"/>
  <c r="AW92" i="1"/>
  <c r="BC91" i="1"/>
  <c r="BA91" i="1"/>
  <c r="AY91" i="1"/>
  <c r="AW91" i="1"/>
  <c r="BC90" i="1"/>
  <c r="BA90" i="1"/>
  <c r="AY90" i="1"/>
  <c r="AW90" i="1"/>
  <c r="BC89" i="1"/>
  <c r="BA89" i="1"/>
  <c r="AY89" i="1"/>
  <c r="AW89" i="1"/>
  <c r="BC88" i="1"/>
  <c r="BA88" i="1"/>
  <c r="AY88" i="1"/>
  <c r="AW88" i="1"/>
  <c r="BC87" i="1"/>
  <c r="BA87" i="1"/>
  <c r="AY87" i="1"/>
  <c r="AW87" i="1"/>
  <c r="BC86" i="1"/>
  <c r="BA86" i="1"/>
  <c r="AY86" i="1"/>
  <c r="AW86" i="1"/>
  <c r="BC85" i="1"/>
  <c r="BA85" i="1"/>
  <c r="AY85" i="1"/>
  <c r="AW85" i="1"/>
  <c r="BC84" i="1"/>
  <c r="BA84" i="1"/>
  <c r="AY84" i="1"/>
  <c r="AW84" i="1"/>
  <c r="BC83" i="1"/>
  <c r="BA83" i="1"/>
  <c r="AY83" i="1"/>
  <c r="AW83" i="1"/>
  <c r="BC82" i="1"/>
  <c r="BA82" i="1"/>
  <c r="AY82" i="1"/>
  <c r="AW82" i="1"/>
  <c r="BC81" i="1"/>
  <c r="BA81" i="1"/>
  <c r="AY81" i="1"/>
  <c r="AW81" i="1"/>
  <c r="BC80" i="1"/>
  <c r="BA80" i="1"/>
  <c r="AY80" i="1"/>
  <c r="AW80" i="1"/>
  <c r="BC79" i="1"/>
  <c r="BA79" i="1"/>
  <c r="AY79" i="1"/>
  <c r="AW79" i="1"/>
  <c r="BC78" i="1"/>
  <c r="BA78" i="1"/>
  <c r="AY78" i="1"/>
  <c r="AW78" i="1"/>
  <c r="BC77" i="1"/>
  <c r="BA77" i="1"/>
  <c r="AY77" i="1"/>
  <c r="AW77" i="1"/>
  <c r="BC76" i="1"/>
  <c r="BA76" i="1"/>
  <c r="AY76" i="1"/>
  <c r="AW76" i="1"/>
  <c r="BC75" i="1"/>
  <c r="BA75" i="1"/>
  <c r="AY75" i="1"/>
  <c r="AW75" i="1"/>
  <c r="BC74" i="1"/>
  <c r="BA74" i="1"/>
  <c r="AY74" i="1"/>
  <c r="AW74" i="1"/>
  <c r="BC73" i="1"/>
  <c r="BA73" i="1"/>
  <c r="AY73" i="1"/>
  <c r="AW73" i="1"/>
  <c r="BC72" i="1"/>
  <c r="BA72" i="1"/>
  <c r="AY72" i="1"/>
  <c r="AW72" i="1"/>
  <c r="BC71" i="1"/>
  <c r="BA71" i="1"/>
  <c r="AY71" i="1"/>
  <c r="AW71" i="1"/>
  <c r="BC70" i="1"/>
  <c r="BA70" i="1"/>
  <c r="AY70" i="1"/>
  <c r="AW70" i="1"/>
  <c r="BC69" i="1"/>
  <c r="BA69" i="1"/>
  <c r="AY69" i="1"/>
  <c r="AW69" i="1"/>
  <c r="BC68" i="1"/>
  <c r="BA68" i="1"/>
  <c r="AY68" i="1"/>
  <c r="AW68" i="1"/>
  <c r="BC67" i="1"/>
  <c r="BA67" i="1"/>
  <c r="AY67" i="1"/>
  <c r="AW67" i="1"/>
  <c r="BC66" i="1"/>
  <c r="BA66" i="1"/>
  <c r="AY66" i="1"/>
  <c r="AW66" i="1"/>
  <c r="BC65" i="1"/>
  <c r="BA65" i="1"/>
  <c r="AY65" i="1"/>
  <c r="AW65" i="1"/>
  <c r="BC64" i="1"/>
  <c r="BA64" i="1"/>
  <c r="AY64" i="1"/>
  <c r="AW64" i="1"/>
  <c r="BC63" i="1"/>
  <c r="BA63" i="1"/>
  <c r="AY63" i="1"/>
  <c r="AW63" i="1"/>
  <c r="BC62" i="1"/>
  <c r="BA62" i="1"/>
  <c r="AY62" i="1"/>
  <c r="AW62" i="1"/>
  <c r="BC61" i="1"/>
  <c r="BA61" i="1"/>
  <c r="AY61" i="1"/>
  <c r="AW61" i="1"/>
  <c r="BC60" i="1"/>
  <c r="BA60" i="1"/>
  <c r="AY60" i="1"/>
  <c r="AW60" i="1"/>
  <c r="BC59" i="1"/>
  <c r="BA59" i="1"/>
  <c r="AY59" i="1"/>
  <c r="AW59" i="1"/>
  <c r="BC58" i="1"/>
  <c r="BA58" i="1"/>
  <c r="AY58" i="1"/>
  <c r="AW58" i="1"/>
  <c r="BC57" i="1"/>
  <c r="BA57" i="1"/>
  <c r="AY57" i="1"/>
  <c r="AW57" i="1"/>
  <c r="BC56" i="1"/>
  <c r="BA56" i="1"/>
  <c r="AY56" i="1"/>
  <c r="AW56" i="1"/>
  <c r="BC55" i="1"/>
  <c r="BA55" i="1"/>
  <c r="AY55" i="1"/>
  <c r="AW55" i="1"/>
  <c r="BC54" i="1"/>
  <c r="BA54" i="1"/>
  <c r="AY54" i="1"/>
  <c r="AW54" i="1"/>
  <c r="BC53" i="1"/>
  <c r="BA53" i="1"/>
  <c r="AY53" i="1"/>
  <c r="AW53" i="1"/>
  <c r="BC52" i="1"/>
  <c r="BA52" i="1"/>
  <c r="AY52" i="1"/>
  <c r="AW52" i="1"/>
  <c r="BC51" i="1"/>
  <c r="BA51" i="1"/>
  <c r="AY51" i="1"/>
  <c r="AW51" i="1"/>
  <c r="BC50" i="1"/>
  <c r="BA50" i="1"/>
  <c r="AY50" i="1"/>
  <c r="AW50" i="1"/>
  <c r="BC49" i="1"/>
  <c r="BA49" i="1"/>
  <c r="AY49" i="1"/>
  <c r="AW49" i="1"/>
  <c r="BC48" i="1"/>
  <c r="BA48" i="1"/>
  <c r="AY48" i="1"/>
  <c r="AW48" i="1"/>
  <c r="BC47" i="1"/>
  <c r="BA47" i="1"/>
  <c r="AY47" i="1"/>
  <c r="AW47" i="1"/>
  <c r="BC46" i="1"/>
  <c r="BA46" i="1"/>
  <c r="AY46" i="1"/>
  <c r="AW46" i="1"/>
  <c r="BC45" i="1"/>
  <c r="BA45" i="1"/>
  <c r="AY45" i="1"/>
  <c r="AW45" i="1"/>
  <c r="BC44" i="1"/>
  <c r="BA44" i="1"/>
  <c r="AY44" i="1"/>
  <c r="AW44" i="1"/>
  <c r="BC43" i="1"/>
  <c r="BA43" i="1"/>
  <c r="AY43" i="1"/>
  <c r="AW43" i="1"/>
  <c r="BC42" i="1"/>
  <c r="BA42" i="1"/>
  <c r="AY42" i="1"/>
  <c r="AW42" i="1"/>
  <c r="BC41" i="1"/>
  <c r="BA41" i="1"/>
  <c r="AY41" i="1"/>
  <c r="AW41" i="1"/>
  <c r="BC40" i="1"/>
  <c r="BA40" i="1"/>
  <c r="AY40" i="1"/>
  <c r="AW40" i="1"/>
  <c r="BC39" i="1"/>
  <c r="BA39" i="1"/>
  <c r="AY39" i="1"/>
  <c r="AW39" i="1"/>
  <c r="BC38" i="1"/>
  <c r="BA38" i="1"/>
  <c r="AY38" i="1"/>
  <c r="AW38" i="1"/>
  <c r="BC37" i="1"/>
  <c r="BA37" i="1"/>
  <c r="AY37" i="1"/>
  <c r="AW37" i="1"/>
  <c r="BC36" i="1"/>
  <c r="BA36" i="1"/>
  <c r="AY36" i="1"/>
  <c r="AW36" i="1"/>
  <c r="BC35" i="1"/>
  <c r="BA35" i="1"/>
  <c r="AY35" i="1"/>
  <c r="AW35" i="1"/>
  <c r="BC34" i="1"/>
  <c r="BA34" i="1"/>
  <c r="AY34" i="1"/>
  <c r="AW34" i="1"/>
  <c r="BC33" i="1"/>
  <c r="BA33" i="1"/>
  <c r="AY33" i="1"/>
  <c r="AW33" i="1"/>
  <c r="BC32" i="1"/>
  <c r="BA32" i="1"/>
  <c r="AY32" i="1"/>
  <c r="AW32" i="1"/>
  <c r="BC31" i="1"/>
  <c r="BA31" i="1"/>
  <c r="AY31" i="1"/>
  <c r="AW31" i="1"/>
  <c r="BC30" i="1"/>
  <c r="BA30" i="1"/>
  <c r="AY30" i="1"/>
  <c r="AW30" i="1"/>
  <c r="BC29" i="1"/>
  <c r="BA29" i="1"/>
  <c r="AY29" i="1"/>
  <c r="AW29" i="1"/>
  <c r="BC28" i="1"/>
  <c r="BA28" i="1"/>
  <c r="AY28" i="1"/>
  <c r="AW28" i="1"/>
  <c r="BC27" i="1"/>
  <c r="BA27" i="1"/>
  <c r="AY27" i="1"/>
  <c r="AW27" i="1"/>
  <c r="BC26" i="1"/>
  <c r="BA26" i="1"/>
  <c r="AY26" i="1"/>
  <c r="AW26" i="1"/>
  <c r="BC25" i="1"/>
  <c r="BA25" i="1"/>
  <c r="AY25" i="1"/>
  <c r="AW25" i="1"/>
  <c r="BC24" i="1"/>
  <c r="BA24" i="1"/>
  <c r="AY24" i="1"/>
  <c r="AW24" i="1"/>
  <c r="BC23" i="1"/>
  <c r="BA23" i="1"/>
  <c r="AY23" i="1"/>
  <c r="AW23" i="1"/>
  <c r="BC22" i="1"/>
  <c r="BA22" i="1"/>
  <c r="AY22" i="1"/>
  <c r="AW22" i="1"/>
  <c r="BC21" i="1"/>
  <c r="BA21" i="1"/>
  <c r="AY21" i="1"/>
  <c r="AW21" i="1"/>
  <c r="BC20" i="1"/>
  <c r="BA20" i="1"/>
  <c r="AY20" i="1"/>
  <c r="AW20" i="1"/>
  <c r="BC19" i="1"/>
  <c r="BA19" i="1"/>
  <c r="AY19" i="1"/>
  <c r="AW19" i="1"/>
  <c r="BC18" i="1"/>
  <c r="BA18" i="1"/>
  <c r="AY18" i="1"/>
  <c r="AW18" i="1"/>
  <c r="BC17" i="1"/>
  <c r="BA17" i="1"/>
  <c r="AY17" i="1"/>
  <c r="AW17" i="1"/>
  <c r="BC16" i="1"/>
  <c r="BA16" i="1"/>
  <c r="AY16" i="1"/>
  <c r="AW16" i="1"/>
  <c r="BC15" i="1"/>
  <c r="BA15" i="1"/>
  <c r="AY15" i="1"/>
  <c r="AW15" i="1"/>
  <c r="BC14" i="1"/>
  <c r="BA14" i="1"/>
  <c r="AY14" i="1"/>
  <c r="AW14" i="1"/>
  <c r="BC13" i="1"/>
  <c r="BA13" i="1"/>
  <c r="AY13" i="1"/>
  <c r="AW13" i="1"/>
  <c r="BC12" i="1"/>
  <c r="BA12" i="1"/>
  <c r="AY12" i="1"/>
  <c r="AW12" i="1"/>
  <c r="BC11" i="1"/>
  <c r="BA11" i="1"/>
  <c r="AY11" i="1"/>
  <c r="BE10" i="1"/>
  <c r="BC10" i="1"/>
  <c r="BA10" i="1"/>
  <c r="AY10" i="1"/>
  <c r="AU10" i="1"/>
  <c r="AU32" i="1"/>
  <c r="AU33" i="1"/>
  <c r="AU34" i="1"/>
  <c r="AU35" i="1"/>
  <c r="AU36" i="1"/>
  <c r="AU37" i="1"/>
  <c r="AU38" i="1"/>
  <c r="AU39" i="1"/>
  <c r="AU40" i="1"/>
  <c r="AU41" i="1"/>
  <c r="AU42" i="1"/>
  <c r="AU43" i="1"/>
  <c r="AU44" i="1"/>
  <c r="AU45" i="1"/>
  <c r="AU46" i="1"/>
  <c r="AU47" i="1"/>
  <c r="AU48" i="1"/>
  <c r="AU49" i="1"/>
  <c r="AU50" i="1"/>
  <c r="AU51" i="1"/>
  <c r="AU52" i="1"/>
  <c r="AU53" i="1"/>
  <c r="AU54" i="1"/>
  <c r="AU55" i="1"/>
  <c r="AU56" i="1"/>
  <c r="AU57" i="1"/>
  <c r="AU58" i="1"/>
  <c r="AU59" i="1"/>
  <c r="AU60" i="1"/>
  <c r="AU61" i="1"/>
  <c r="AU62" i="1"/>
  <c r="AU63" i="1"/>
  <c r="AU64" i="1"/>
  <c r="AU65" i="1"/>
  <c r="AU66" i="1"/>
  <c r="AU67" i="1"/>
  <c r="AU68" i="1"/>
  <c r="AU69" i="1"/>
  <c r="AU70" i="1"/>
  <c r="AU71" i="1"/>
  <c r="AU72" i="1"/>
  <c r="AU73" i="1"/>
  <c r="AU74" i="1"/>
  <c r="AU75" i="1"/>
  <c r="AU76" i="1"/>
  <c r="AU77" i="1"/>
  <c r="AU78" i="1"/>
  <c r="AU79" i="1"/>
  <c r="AU80" i="1"/>
  <c r="AU81" i="1"/>
  <c r="AU82" i="1"/>
  <c r="AU83" i="1"/>
  <c r="AU84" i="1"/>
  <c r="AU85" i="1"/>
  <c r="AU86" i="1"/>
  <c r="AU87" i="1"/>
  <c r="AU88" i="1"/>
  <c r="AU89" i="1"/>
  <c r="AU90" i="1"/>
  <c r="AU91" i="1"/>
  <c r="AU92" i="1"/>
  <c r="AU93" i="1"/>
  <c r="AU94" i="1"/>
  <c r="AU95" i="1"/>
  <c r="AU96" i="1"/>
  <c r="AU97" i="1"/>
  <c r="AU98" i="1"/>
  <c r="AU99" i="1"/>
  <c r="AU100" i="1"/>
  <c r="AU101" i="1"/>
  <c r="AU102" i="1"/>
  <c r="AU103" i="1"/>
  <c r="AU104" i="1"/>
  <c r="AU105" i="1"/>
  <c r="AU106" i="1"/>
  <c r="AU107" i="1"/>
  <c r="AU108" i="1"/>
  <c r="AU109" i="1"/>
  <c r="AU110" i="1"/>
  <c r="AU111" i="1"/>
  <c r="AU112" i="1"/>
  <c r="AU113" i="1"/>
  <c r="AU114" i="1"/>
  <c r="AU115" i="1"/>
  <c r="AU116" i="1"/>
  <c r="AU117" i="1"/>
  <c r="AU118" i="1"/>
  <c r="AU119" i="1"/>
  <c r="AU120" i="1"/>
  <c r="AU121" i="1"/>
  <c r="AU122" i="1"/>
  <c r="AU123" i="1"/>
  <c r="AU124" i="1"/>
  <c r="AU125" i="1"/>
  <c r="AU126" i="1"/>
  <c r="AU127" i="1"/>
  <c r="AU128" i="1"/>
  <c r="AU129" i="1"/>
  <c r="AU130" i="1"/>
  <c r="AU131" i="1"/>
  <c r="AU132" i="1"/>
  <c r="AU133" i="1"/>
  <c r="AU134" i="1"/>
  <c r="AU135" i="1"/>
  <c r="AU136" i="1"/>
  <c r="AU137" i="1"/>
  <c r="AU138" i="1"/>
  <c r="AU139" i="1"/>
  <c r="AU140" i="1"/>
  <c r="AU141" i="1"/>
  <c r="AU142" i="1"/>
  <c r="AU143" i="1"/>
  <c r="AU144" i="1"/>
  <c r="AU145" i="1"/>
  <c r="AU146" i="1"/>
  <c r="AU147" i="1"/>
  <c r="AU148" i="1"/>
  <c r="AU149" i="1"/>
  <c r="AU150" i="1"/>
  <c r="AU151" i="1"/>
  <c r="AU152" i="1"/>
  <c r="AU153" i="1"/>
  <c r="AU154" i="1"/>
  <c r="AU155" i="1"/>
  <c r="AU156" i="1"/>
  <c r="AU157" i="1"/>
  <c r="AU158" i="1"/>
  <c r="AU159" i="1"/>
  <c r="AU160" i="1"/>
  <c r="AU161" i="1"/>
  <c r="AU162" i="1"/>
  <c r="AU163" i="1"/>
  <c r="AU164" i="1"/>
  <c r="AU165" i="1"/>
  <c r="AU166" i="1"/>
  <c r="AU167" i="1"/>
  <c r="AU168" i="1"/>
  <c r="AU169" i="1"/>
  <c r="AU170" i="1"/>
  <c r="AU171" i="1"/>
  <c r="AU172" i="1"/>
  <c r="AU173" i="1"/>
  <c r="AU174" i="1"/>
  <c r="AU175" i="1"/>
  <c r="AU176" i="1"/>
  <c r="AU177" i="1"/>
  <c r="AU178" i="1"/>
  <c r="AU179" i="1"/>
  <c r="AU180" i="1"/>
  <c r="AU181" i="1"/>
  <c r="AU182" i="1"/>
  <c r="AU183" i="1"/>
  <c r="AU184" i="1"/>
  <c r="AU185" i="1"/>
  <c r="AU186" i="1"/>
  <c r="AU187" i="1"/>
  <c r="AU188" i="1"/>
  <c r="AU189" i="1"/>
  <c r="AU190" i="1"/>
  <c r="AU191" i="1"/>
  <c r="AU192" i="1"/>
  <c r="AU193" i="1"/>
  <c r="AU194" i="1"/>
  <c r="AU195" i="1"/>
  <c r="AU196" i="1"/>
  <c r="AU197" i="1"/>
  <c r="AU198" i="1"/>
  <c r="AU199" i="1"/>
  <c r="AU200" i="1"/>
  <c r="AU201" i="1"/>
  <c r="AU202" i="1"/>
  <c r="AU203" i="1"/>
  <c r="AU204" i="1"/>
  <c r="AU205" i="1"/>
  <c r="AU206" i="1"/>
  <c r="AU207" i="1"/>
  <c r="AU11" i="1"/>
  <c r="AU12" i="1"/>
  <c r="AU13" i="1"/>
  <c r="AU14" i="1"/>
  <c r="AU15" i="1"/>
  <c r="AU16" i="1"/>
  <c r="AU17" i="1"/>
  <c r="AU18" i="1"/>
  <c r="AU19" i="1"/>
  <c r="AU20" i="1"/>
  <c r="AU21" i="1"/>
  <c r="AU22" i="1"/>
  <c r="AU23" i="1"/>
  <c r="AU24" i="1"/>
  <c r="AU25" i="1"/>
  <c r="AU26" i="1"/>
  <c r="AU27" i="1"/>
  <c r="AU28" i="1"/>
  <c r="AU29" i="1"/>
  <c r="AU30" i="1"/>
  <c r="AU31" i="1"/>
  <c r="AA3" i="1"/>
  <c r="AA4" i="1"/>
  <c r="AA5" i="1"/>
  <c r="AA6" i="1"/>
  <c r="AA7" i="1"/>
  <c r="AA8" i="1"/>
  <c r="AA9" i="1"/>
  <c r="AA10" i="1"/>
  <c r="AA11" i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0" i="1"/>
  <c r="AA31" i="1"/>
  <c r="AA32" i="1"/>
  <c r="AA33" i="1"/>
  <c r="AA34" i="1"/>
  <c r="AA35" i="1"/>
  <c r="AA36" i="1"/>
  <c r="AA37" i="1"/>
  <c r="AA38" i="1"/>
  <c r="AA39" i="1"/>
  <c r="AA40" i="1"/>
  <c r="AA41" i="1"/>
  <c r="AA42" i="1"/>
  <c r="AA43" i="1"/>
  <c r="AA44" i="1"/>
  <c r="AA45" i="1"/>
  <c r="AA46" i="1"/>
  <c r="AA47" i="1"/>
  <c r="AA48" i="1"/>
  <c r="AA49" i="1"/>
  <c r="AA50" i="1"/>
  <c r="AA51" i="1"/>
  <c r="AA52" i="1"/>
  <c r="AA53" i="1"/>
  <c r="AA54" i="1"/>
  <c r="AA55" i="1"/>
  <c r="AA56" i="1"/>
  <c r="AA57" i="1"/>
  <c r="AA58" i="1"/>
  <c r="AA59" i="1"/>
  <c r="AA60" i="1"/>
  <c r="AA61" i="1"/>
  <c r="AA62" i="1"/>
  <c r="AA63" i="1"/>
  <c r="AA64" i="1"/>
  <c r="AA65" i="1"/>
  <c r="AA66" i="1"/>
  <c r="AA67" i="1"/>
  <c r="AA68" i="1"/>
  <c r="AA69" i="1"/>
  <c r="AA70" i="1"/>
  <c r="AA71" i="1"/>
  <c r="AA72" i="1"/>
  <c r="AA73" i="1"/>
  <c r="AA74" i="1"/>
  <c r="AA75" i="1"/>
  <c r="AA76" i="1"/>
  <c r="AA77" i="1"/>
  <c r="AA78" i="1"/>
  <c r="AA79" i="1"/>
  <c r="AA80" i="1"/>
  <c r="AA81" i="1"/>
  <c r="AA82" i="1"/>
  <c r="AA83" i="1"/>
  <c r="AA84" i="1"/>
  <c r="AA85" i="1"/>
  <c r="AA86" i="1"/>
  <c r="AA87" i="1"/>
  <c r="AA88" i="1"/>
  <c r="AA89" i="1"/>
  <c r="AA90" i="1"/>
  <c r="AA91" i="1"/>
  <c r="AA92" i="1"/>
  <c r="AA93" i="1"/>
  <c r="AA94" i="1"/>
  <c r="AA95" i="1"/>
  <c r="AA96" i="1"/>
  <c r="AA97" i="1"/>
  <c r="AA98" i="1"/>
  <c r="AA99" i="1"/>
  <c r="AA100" i="1"/>
  <c r="AA101" i="1"/>
  <c r="AA102" i="1"/>
  <c r="AA103" i="1"/>
  <c r="AA104" i="1"/>
  <c r="AA105" i="1"/>
  <c r="AA106" i="1"/>
  <c r="AA107" i="1"/>
  <c r="AA108" i="1"/>
  <c r="AA109" i="1"/>
  <c r="AA110" i="1"/>
  <c r="AA111" i="1"/>
  <c r="AA112" i="1"/>
  <c r="AA113" i="1"/>
  <c r="AA114" i="1"/>
  <c r="AA115" i="1"/>
  <c r="AA116" i="1"/>
  <c r="AA117" i="1"/>
  <c r="AA118" i="1"/>
  <c r="AA119" i="1"/>
  <c r="AA120" i="1"/>
  <c r="AA121" i="1"/>
  <c r="AA122" i="1"/>
  <c r="AA123" i="1"/>
  <c r="AA124" i="1"/>
  <c r="AA125" i="1"/>
  <c r="AA126" i="1"/>
  <c r="AA127" i="1"/>
  <c r="AA128" i="1"/>
  <c r="AA129" i="1"/>
  <c r="AA130" i="1"/>
  <c r="AA131" i="1"/>
  <c r="AA132" i="1"/>
  <c r="AA133" i="1"/>
  <c r="AA134" i="1"/>
  <c r="AA135" i="1"/>
  <c r="AA136" i="1"/>
  <c r="AA137" i="1"/>
  <c r="AA138" i="1"/>
  <c r="AA139" i="1"/>
  <c r="AA140" i="1"/>
  <c r="AA141" i="1"/>
  <c r="AA142" i="1"/>
  <c r="AA143" i="1"/>
  <c r="AA144" i="1"/>
  <c r="AA145" i="1"/>
  <c r="AA146" i="1"/>
  <c r="AA147" i="1"/>
  <c r="AA148" i="1"/>
  <c r="AA149" i="1"/>
  <c r="AA150" i="1"/>
  <c r="AA151" i="1"/>
  <c r="AA152" i="1"/>
  <c r="AA153" i="1"/>
  <c r="AA154" i="1"/>
  <c r="AA155" i="1"/>
  <c r="AA156" i="1"/>
  <c r="AA157" i="1"/>
  <c r="AA158" i="1"/>
  <c r="AA159" i="1"/>
  <c r="AA160" i="1"/>
  <c r="AA161" i="1"/>
  <c r="AA162" i="1"/>
  <c r="AA163" i="1"/>
  <c r="AA164" i="1"/>
  <c r="AA165" i="1"/>
  <c r="AA166" i="1"/>
  <c r="AA167" i="1"/>
  <c r="AA168" i="1"/>
  <c r="AA169" i="1"/>
  <c r="AA170" i="1"/>
  <c r="AA171" i="1"/>
  <c r="AA172" i="1"/>
  <c r="AA173" i="1"/>
  <c r="AA174" i="1"/>
  <c r="AA175" i="1"/>
  <c r="AA176" i="1"/>
  <c r="AA177" i="1"/>
  <c r="AA178" i="1"/>
  <c r="AA179" i="1"/>
  <c r="AA180" i="1"/>
  <c r="AA181" i="1"/>
  <c r="AA182" i="1"/>
  <c r="AA183" i="1"/>
  <c r="AA184" i="1"/>
  <c r="AA185" i="1"/>
  <c r="AA186" i="1"/>
  <c r="AA187" i="1"/>
  <c r="AA188" i="1"/>
  <c r="AA189" i="1"/>
  <c r="AA190" i="1"/>
  <c r="AA191" i="1"/>
  <c r="AA192" i="1"/>
  <c r="AA193" i="1"/>
  <c r="AA194" i="1"/>
  <c r="AA195" i="1"/>
  <c r="AA196" i="1"/>
  <c r="AA197" i="1"/>
  <c r="AA198" i="1"/>
  <c r="AA199" i="1"/>
  <c r="AA200" i="1"/>
  <c r="AA201" i="1"/>
  <c r="AA202" i="1"/>
  <c r="AA203" i="1"/>
  <c r="AA204" i="1"/>
  <c r="AA205" i="1"/>
  <c r="AA206" i="1"/>
  <c r="AA207" i="1"/>
  <c r="AA2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" i="1"/>
  <c r="DK204" i="1" l="1"/>
  <c r="DK188" i="1"/>
  <c r="DK180" i="1"/>
  <c r="DK172" i="1"/>
  <c r="DK156" i="1"/>
  <c r="DK148" i="1"/>
  <c r="DK140" i="1"/>
  <c r="DK124" i="1"/>
  <c r="DK116" i="1"/>
  <c r="DK108" i="1"/>
  <c r="DK92" i="1"/>
  <c r="DK84" i="1"/>
  <c r="DK76" i="1"/>
  <c r="DK60" i="1"/>
  <c r="DK52" i="1"/>
  <c r="DK44" i="1"/>
  <c r="DK28" i="1"/>
  <c r="DK20" i="1"/>
  <c r="DK12" i="1"/>
  <c r="DK17" i="1"/>
  <c r="DK201" i="1"/>
  <c r="DK193" i="1"/>
  <c r="DK185" i="1"/>
  <c r="DK169" i="1"/>
  <c r="DK161" i="1"/>
  <c r="DK153" i="1"/>
  <c r="DK137" i="1"/>
  <c r="DK129" i="1"/>
  <c r="DK121" i="1"/>
  <c r="DK105" i="1"/>
  <c r="DK97" i="1"/>
  <c r="DK89" i="1"/>
  <c r="DK73" i="1"/>
  <c r="DK65" i="1"/>
  <c r="DK57" i="1"/>
  <c r="DK41" i="1"/>
  <c r="DK33" i="1"/>
  <c r="DK25" i="1"/>
  <c r="DK205" i="1"/>
  <c r="DK197" i="1"/>
  <c r="DK189" i="1"/>
  <c r="DK181" i="1"/>
  <c r="DK173" i="1"/>
  <c r="DK165" i="1"/>
  <c r="DK157" i="1"/>
  <c r="DK149" i="1"/>
  <c r="DK141" i="1"/>
  <c r="DK133" i="1"/>
  <c r="DK125" i="1"/>
  <c r="DK117" i="1"/>
  <c r="DK109" i="1"/>
  <c r="DK101" i="1"/>
  <c r="DK93" i="1"/>
  <c r="DK85" i="1"/>
  <c r="DK77" i="1"/>
  <c r="DK69" i="1"/>
  <c r="DK61" i="1"/>
  <c r="DK53" i="1"/>
  <c r="DK45" i="1"/>
  <c r="DK37" i="1"/>
  <c r="DK29" i="1"/>
  <c r="DK21" i="1"/>
  <c r="DK13" i="1"/>
  <c r="DK196" i="1"/>
  <c r="DK164" i="1"/>
  <c r="DK132" i="1"/>
  <c r="DK100" i="1"/>
  <c r="DK68" i="1"/>
  <c r="DK36" i="1"/>
  <c r="DK203" i="1"/>
  <c r="DK195" i="1"/>
  <c r="DK187" i="1"/>
  <c r="DK179" i="1"/>
  <c r="DK171" i="1"/>
  <c r="DK163" i="1"/>
  <c r="DK155" i="1"/>
  <c r="DK147" i="1"/>
  <c r="DK139" i="1"/>
  <c r="DK131" i="1"/>
  <c r="DK123" i="1"/>
  <c r="DK115" i="1"/>
  <c r="DK107" i="1"/>
  <c r="DK99" i="1"/>
  <c r="DK91" i="1"/>
  <c r="DK83" i="1"/>
  <c r="DK75" i="1"/>
  <c r="DK67" i="1"/>
  <c r="DK59" i="1"/>
  <c r="DK51" i="1"/>
  <c r="DK43" i="1"/>
  <c r="DK35" i="1"/>
  <c r="DK27" i="1"/>
  <c r="DK19" i="1"/>
  <c r="DK11" i="1"/>
  <c r="DK177" i="1"/>
  <c r="DK145" i="1"/>
  <c r="DK113" i="1"/>
  <c r="DK81" i="1"/>
  <c r="DK49" i="1"/>
  <c r="DK202" i="1"/>
  <c r="DK194" i="1"/>
  <c r="DK186" i="1"/>
  <c r="DK178" i="1"/>
  <c r="DK170" i="1"/>
  <c r="DK162" i="1"/>
  <c r="DK154" i="1"/>
  <c r="DK146" i="1"/>
  <c r="DK138" i="1"/>
  <c r="DK130" i="1"/>
  <c r="DK122" i="1"/>
  <c r="DK114" i="1"/>
  <c r="DK106" i="1"/>
  <c r="DK98" i="1"/>
  <c r="DK90" i="1"/>
  <c r="DK82" i="1"/>
  <c r="DK74" i="1"/>
  <c r="DK66" i="1"/>
  <c r="DK58" i="1"/>
  <c r="DK50" i="1"/>
  <c r="DK42" i="1"/>
  <c r="DK34" i="1"/>
  <c r="DK26" i="1"/>
  <c r="DK18" i="1"/>
  <c r="DP10" i="1"/>
  <c r="DJ19" i="1"/>
  <c r="DJ30" i="1"/>
  <c r="DJ158" i="1"/>
  <c r="DJ107" i="1"/>
  <c r="DJ43" i="1"/>
  <c r="DJ190" i="1"/>
  <c r="DK206" i="1"/>
  <c r="DK198" i="1"/>
  <c r="DK190" i="1"/>
  <c r="DK182" i="1"/>
  <c r="DK174" i="1"/>
  <c r="DK166" i="1"/>
  <c r="DK158" i="1"/>
  <c r="DK150" i="1"/>
  <c r="DK142" i="1"/>
  <c r="DK134" i="1"/>
  <c r="DK126" i="1"/>
  <c r="DK118" i="1"/>
  <c r="DK110" i="1"/>
  <c r="DK102" i="1"/>
  <c r="DK94" i="1"/>
  <c r="DK86" i="1"/>
  <c r="DK78" i="1"/>
  <c r="DK70" i="1"/>
  <c r="DK62" i="1"/>
  <c r="DK54" i="1"/>
  <c r="DK46" i="1"/>
  <c r="DK38" i="1"/>
  <c r="DK30" i="1"/>
  <c r="DK22" i="1"/>
  <c r="DK14" i="1"/>
  <c r="DJ166" i="1"/>
  <c r="DJ102" i="1"/>
  <c r="DJ38" i="1"/>
  <c r="DJ147" i="1"/>
  <c r="DJ83" i="1"/>
  <c r="DJ139" i="1"/>
  <c r="DJ75" i="1"/>
  <c r="DJ11" i="1"/>
  <c r="DJ94" i="1"/>
  <c r="DJ134" i="1"/>
  <c r="DJ70" i="1"/>
  <c r="DJ126" i="1"/>
  <c r="DJ62" i="1"/>
  <c r="DK10" i="1"/>
  <c r="DK200" i="1"/>
  <c r="DK192" i="1"/>
  <c r="DK184" i="1"/>
  <c r="DK176" i="1"/>
  <c r="DK168" i="1"/>
  <c r="DK160" i="1"/>
  <c r="DK152" i="1"/>
  <c r="DK144" i="1"/>
  <c r="DK136" i="1"/>
  <c r="DK128" i="1"/>
  <c r="DK120" i="1"/>
  <c r="DK112" i="1"/>
  <c r="DK104" i="1"/>
  <c r="DK96" i="1"/>
  <c r="DK88" i="1"/>
  <c r="DK80" i="1"/>
  <c r="DK72" i="1"/>
  <c r="DK64" i="1"/>
  <c r="DK56" i="1"/>
  <c r="DK48" i="1"/>
  <c r="DK40" i="1"/>
  <c r="DK32" i="1"/>
  <c r="DK24" i="1"/>
  <c r="DK16" i="1"/>
  <c r="DJ198" i="1"/>
  <c r="DJ115" i="1"/>
  <c r="DJ51" i="1"/>
  <c r="DJ195" i="1"/>
  <c r="DJ163" i="1"/>
  <c r="DJ131" i="1"/>
  <c r="DJ99" i="1"/>
  <c r="DJ67" i="1"/>
  <c r="DJ35" i="1"/>
  <c r="DJ187" i="1"/>
  <c r="DJ155" i="1"/>
  <c r="DJ123" i="1"/>
  <c r="DJ91" i="1"/>
  <c r="DJ59" i="1"/>
  <c r="DJ27" i="1"/>
  <c r="DJ182" i="1"/>
  <c r="DJ150" i="1"/>
  <c r="DJ118" i="1"/>
  <c r="DJ86" i="1"/>
  <c r="DJ54" i="1"/>
  <c r="DJ22" i="1"/>
  <c r="DJ179" i="1"/>
  <c r="DJ206" i="1"/>
  <c r="DJ174" i="1"/>
  <c r="DJ142" i="1"/>
  <c r="DJ110" i="1"/>
  <c r="DJ78" i="1"/>
  <c r="DJ46" i="1"/>
  <c r="DJ14" i="1"/>
  <c r="DK207" i="1"/>
  <c r="DK199" i="1"/>
  <c r="DK191" i="1"/>
  <c r="DK183" i="1"/>
  <c r="DK175" i="1"/>
  <c r="DK167" i="1"/>
  <c r="DK159" i="1"/>
  <c r="DK151" i="1"/>
  <c r="DK143" i="1"/>
  <c r="DK135" i="1"/>
  <c r="DK127" i="1"/>
  <c r="DK119" i="1"/>
  <c r="DK111" i="1"/>
  <c r="DK103" i="1"/>
  <c r="DK95" i="1"/>
  <c r="DK87" i="1"/>
  <c r="DK79" i="1"/>
  <c r="DK71" i="1"/>
  <c r="DK63" i="1"/>
  <c r="DK55" i="1"/>
  <c r="DK47" i="1"/>
  <c r="DK39" i="1"/>
  <c r="DK31" i="1"/>
  <c r="DK23" i="1"/>
  <c r="DK15" i="1"/>
  <c r="DJ203" i="1"/>
  <c r="DJ171" i="1"/>
  <c r="DJ204" i="1"/>
  <c r="DJ196" i="1"/>
  <c r="DJ188" i="1"/>
  <c r="DJ180" i="1"/>
  <c r="DJ172" i="1"/>
  <c r="DJ164" i="1"/>
  <c r="DJ156" i="1"/>
  <c r="DJ148" i="1"/>
  <c r="DJ140" i="1"/>
  <c r="DJ132" i="1"/>
  <c r="DJ124" i="1"/>
  <c r="DJ116" i="1"/>
  <c r="DJ108" i="1"/>
  <c r="DJ100" i="1"/>
  <c r="DJ92" i="1"/>
  <c r="DJ84" i="1"/>
  <c r="DJ76" i="1"/>
  <c r="DJ68" i="1"/>
  <c r="DJ60" i="1"/>
  <c r="DJ52" i="1"/>
  <c r="DJ44" i="1"/>
  <c r="DJ36" i="1"/>
  <c r="DJ28" i="1"/>
  <c r="DJ20" i="1"/>
  <c r="DJ12" i="1"/>
  <c r="DJ202" i="1"/>
  <c r="DJ194" i="1"/>
  <c r="DJ186" i="1"/>
  <c r="DJ178" i="1"/>
  <c r="DJ170" i="1"/>
  <c r="DJ162" i="1"/>
  <c r="DJ154" i="1"/>
  <c r="DJ146" i="1"/>
  <c r="DJ138" i="1"/>
  <c r="DJ130" i="1"/>
  <c r="DJ122" i="1"/>
  <c r="DJ114" i="1"/>
  <c r="DJ106" i="1"/>
  <c r="DJ98" i="1"/>
  <c r="DJ90" i="1"/>
  <c r="DJ82" i="1"/>
  <c r="DJ74" i="1"/>
  <c r="DJ66" i="1"/>
  <c r="DJ58" i="1"/>
  <c r="DJ50" i="1"/>
  <c r="DJ42" i="1"/>
  <c r="DJ34" i="1"/>
  <c r="DJ26" i="1"/>
  <c r="DJ18" i="1"/>
  <c r="DJ201" i="1"/>
  <c r="DJ193" i="1"/>
  <c r="DJ185" i="1"/>
  <c r="DJ177" i="1"/>
  <c r="DJ169" i="1"/>
  <c r="DJ161" i="1"/>
  <c r="DJ153" i="1"/>
  <c r="DJ145" i="1"/>
  <c r="DJ137" i="1"/>
  <c r="DJ129" i="1"/>
  <c r="DJ121" i="1"/>
  <c r="DJ113" i="1"/>
  <c r="DJ105" i="1"/>
  <c r="DJ97" i="1"/>
  <c r="DJ89" i="1"/>
  <c r="DJ81" i="1"/>
  <c r="DJ73" i="1"/>
  <c r="DJ65" i="1"/>
  <c r="DJ57" i="1"/>
  <c r="DJ49" i="1"/>
  <c r="DJ41" i="1"/>
  <c r="DJ33" i="1"/>
  <c r="DJ25" i="1"/>
  <c r="DJ17" i="1"/>
  <c r="DJ10" i="1"/>
  <c r="DJ200" i="1"/>
  <c r="DJ192" i="1"/>
  <c r="DJ184" i="1"/>
  <c r="DJ176" i="1"/>
  <c r="DJ168" i="1"/>
  <c r="DJ160" i="1"/>
  <c r="DJ152" i="1"/>
  <c r="DJ144" i="1"/>
  <c r="DJ136" i="1"/>
  <c r="DJ128" i="1"/>
  <c r="DJ120" i="1"/>
  <c r="DJ112" i="1"/>
  <c r="DJ104" i="1"/>
  <c r="DJ96" i="1"/>
  <c r="DJ88" i="1"/>
  <c r="DJ80" i="1"/>
  <c r="DJ72" i="1"/>
  <c r="DJ64" i="1"/>
  <c r="DJ56" i="1"/>
  <c r="DJ48" i="1"/>
  <c r="DJ40" i="1"/>
  <c r="DJ32" i="1"/>
  <c r="DJ24" i="1"/>
  <c r="DJ16" i="1"/>
  <c r="DJ207" i="1"/>
  <c r="DJ199" i="1"/>
  <c r="DJ191" i="1"/>
  <c r="DJ183" i="1"/>
  <c r="DJ175" i="1"/>
  <c r="DJ167" i="1"/>
  <c r="DJ159" i="1"/>
  <c r="DJ151" i="1"/>
  <c r="DJ143" i="1"/>
  <c r="DJ135" i="1"/>
  <c r="DJ127" i="1"/>
  <c r="DJ119" i="1"/>
  <c r="DJ111" i="1"/>
  <c r="DJ103" i="1"/>
  <c r="DJ95" i="1"/>
  <c r="DJ87" i="1"/>
  <c r="DJ79" i="1"/>
  <c r="DJ71" i="1"/>
  <c r="DJ63" i="1"/>
  <c r="DJ55" i="1"/>
  <c r="DJ47" i="1"/>
  <c r="DJ39" i="1"/>
  <c r="DJ31" i="1"/>
  <c r="DJ23" i="1"/>
  <c r="DJ15" i="1"/>
  <c r="DJ205" i="1"/>
  <c r="DJ197" i="1"/>
  <c r="DJ189" i="1"/>
  <c r="DJ181" i="1"/>
  <c r="DJ173" i="1"/>
  <c r="DJ165" i="1"/>
  <c r="DJ157" i="1"/>
  <c r="DJ149" i="1"/>
  <c r="DJ141" i="1"/>
  <c r="DJ133" i="1"/>
  <c r="DJ125" i="1"/>
  <c r="DJ117" i="1"/>
  <c r="DJ109" i="1"/>
  <c r="DJ101" i="1"/>
  <c r="DJ93" i="1"/>
  <c r="DJ85" i="1"/>
  <c r="DJ77" i="1"/>
  <c r="DJ69" i="1"/>
  <c r="DJ61" i="1"/>
  <c r="DJ53" i="1"/>
  <c r="DJ45" i="1"/>
  <c r="DJ37" i="1"/>
  <c r="DJ29" i="1"/>
  <c r="DJ21" i="1"/>
  <c r="DJ13" i="1"/>
  <c r="DB167" i="1"/>
  <c r="DC167" i="1" s="1"/>
  <c r="DL167" i="1" s="1"/>
  <c r="DO167" i="1" s="1"/>
  <c r="DB159" i="1"/>
  <c r="DC159" i="1" s="1"/>
  <c r="DL159" i="1" s="1"/>
  <c r="DO159" i="1" s="1"/>
  <c r="DL24" i="1"/>
  <c r="DO24" i="1" s="1"/>
  <c r="DB199" i="1"/>
  <c r="DC199" i="1" s="1"/>
  <c r="DL199" i="1" s="1"/>
  <c r="DB183" i="1"/>
  <c r="DC183" i="1" s="1"/>
  <c r="DL183" i="1" s="1"/>
  <c r="DO183" i="1" s="1"/>
  <c r="DB151" i="1"/>
  <c r="DC151" i="1" s="1"/>
  <c r="DL151" i="1" s="1"/>
  <c r="DO151" i="1" s="1"/>
  <c r="DB135" i="1"/>
  <c r="DC135" i="1" s="1"/>
  <c r="DL135" i="1" s="1"/>
  <c r="DO135" i="1" s="1"/>
  <c r="DB119" i="1"/>
  <c r="DC119" i="1" s="1"/>
  <c r="DL119" i="1" s="1"/>
  <c r="DO119" i="1" s="1"/>
  <c r="DB103" i="1"/>
  <c r="DC103" i="1" s="1"/>
  <c r="DL103" i="1" s="1"/>
  <c r="DO103" i="1" s="1"/>
  <c r="DB87" i="1"/>
  <c r="DC87" i="1" s="1"/>
  <c r="DL87" i="1" s="1"/>
  <c r="DO87" i="1" s="1"/>
  <c r="DB71" i="1"/>
  <c r="DC71" i="1" s="1"/>
  <c r="DL71" i="1" s="1"/>
  <c r="DO71" i="1" s="1"/>
  <c r="DB55" i="1"/>
  <c r="DC55" i="1" s="1"/>
  <c r="DL55" i="1" s="1"/>
  <c r="DO55" i="1" s="1"/>
  <c r="DB39" i="1"/>
  <c r="DC39" i="1" s="1"/>
  <c r="DL39" i="1" s="1"/>
  <c r="DO39" i="1" s="1"/>
  <c r="DB15" i="1"/>
  <c r="DC15" i="1" s="1"/>
  <c r="DL15" i="1" s="1"/>
  <c r="DO15" i="1" s="1"/>
  <c r="DB207" i="1"/>
  <c r="DC207" i="1" s="1"/>
  <c r="DL207" i="1" s="1"/>
  <c r="DO207" i="1" s="1"/>
  <c r="DB191" i="1"/>
  <c r="DC191" i="1" s="1"/>
  <c r="DL191" i="1" s="1"/>
  <c r="DB175" i="1"/>
  <c r="DC175" i="1" s="1"/>
  <c r="DL175" i="1" s="1"/>
  <c r="DO175" i="1" s="1"/>
  <c r="DB143" i="1"/>
  <c r="DC143" i="1" s="1"/>
  <c r="DL143" i="1" s="1"/>
  <c r="DO143" i="1" s="1"/>
  <c r="DB127" i="1"/>
  <c r="DC127" i="1" s="1"/>
  <c r="DL127" i="1" s="1"/>
  <c r="DO127" i="1" s="1"/>
  <c r="DB111" i="1"/>
  <c r="DC111" i="1" s="1"/>
  <c r="DL111" i="1" s="1"/>
  <c r="DO111" i="1" s="1"/>
  <c r="DB95" i="1"/>
  <c r="DC95" i="1" s="1"/>
  <c r="DL95" i="1" s="1"/>
  <c r="DO95" i="1" s="1"/>
  <c r="DB79" i="1"/>
  <c r="DC79" i="1" s="1"/>
  <c r="DL79" i="1" s="1"/>
  <c r="DO79" i="1" s="1"/>
  <c r="DB63" i="1"/>
  <c r="DC63" i="1" s="1"/>
  <c r="DL63" i="1" s="1"/>
  <c r="DO63" i="1" s="1"/>
  <c r="DB47" i="1"/>
  <c r="DC47" i="1" s="1"/>
  <c r="DL47" i="1" s="1"/>
  <c r="DO47" i="1" s="1"/>
  <c r="DB31" i="1"/>
  <c r="DC31" i="1" s="1"/>
  <c r="DL31" i="1" s="1"/>
  <c r="DO31" i="1" s="1"/>
  <c r="DB23" i="1"/>
  <c r="DC23" i="1" s="1"/>
  <c r="DL23" i="1" s="1"/>
  <c r="DO23" i="1" s="1"/>
  <c r="DP178" i="1"/>
  <c r="DS178" i="1" s="1"/>
  <c r="DP146" i="1"/>
  <c r="DS146" i="1" s="1"/>
  <c r="DP114" i="1"/>
  <c r="DS114" i="1" s="1"/>
  <c r="DP82" i="1"/>
  <c r="DS82" i="1" s="1"/>
  <c r="DP18" i="1"/>
  <c r="DS18" i="1" s="1"/>
  <c r="DB206" i="1"/>
  <c r="DC206" i="1" s="1"/>
  <c r="DL206" i="1" s="1"/>
  <c r="DO206" i="1" s="1"/>
  <c r="DB198" i="1"/>
  <c r="DC198" i="1" s="1"/>
  <c r="DL198" i="1" s="1"/>
  <c r="DO198" i="1" s="1"/>
  <c r="DB190" i="1"/>
  <c r="DC190" i="1" s="1"/>
  <c r="DL190" i="1" s="1"/>
  <c r="DO190" i="1" s="1"/>
  <c r="DB182" i="1"/>
  <c r="DC182" i="1" s="1"/>
  <c r="DL182" i="1" s="1"/>
  <c r="DO182" i="1" s="1"/>
  <c r="DB174" i="1"/>
  <c r="DC174" i="1" s="1"/>
  <c r="DL174" i="1" s="1"/>
  <c r="DO174" i="1" s="1"/>
  <c r="DB166" i="1"/>
  <c r="DC166" i="1" s="1"/>
  <c r="DL166" i="1" s="1"/>
  <c r="DO166" i="1" s="1"/>
  <c r="DB158" i="1"/>
  <c r="DC158" i="1" s="1"/>
  <c r="DL158" i="1" s="1"/>
  <c r="DO158" i="1" s="1"/>
  <c r="DB150" i="1"/>
  <c r="DC150" i="1" s="1"/>
  <c r="DL150" i="1" s="1"/>
  <c r="DO150" i="1" s="1"/>
  <c r="DB142" i="1"/>
  <c r="DC142" i="1" s="1"/>
  <c r="DL142" i="1" s="1"/>
  <c r="DO142" i="1" s="1"/>
  <c r="DB134" i="1"/>
  <c r="DC134" i="1" s="1"/>
  <c r="DL134" i="1" s="1"/>
  <c r="DO134" i="1" s="1"/>
  <c r="DB126" i="1"/>
  <c r="DC126" i="1" s="1"/>
  <c r="DL126" i="1" s="1"/>
  <c r="DO126" i="1" s="1"/>
  <c r="DB118" i="1"/>
  <c r="DC118" i="1" s="1"/>
  <c r="DL118" i="1" s="1"/>
  <c r="DB110" i="1"/>
  <c r="DC110" i="1" s="1"/>
  <c r="DP184" i="1"/>
  <c r="DS184" i="1" s="1"/>
  <c r="DP120" i="1"/>
  <c r="DS120" i="1" s="1"/>
  <c r="DP88" i="1"/>
  <c r="DS88" i="1" s="1"/>
  <c r="DP24" i="1"/>
  <c r="DS24" i="1" s="1"/>
  <c r="DP203" i="1"/>
  <c r="DS203" i="1" s="1"/>
  <c r="DP187" i="1"/>
  <c r="DS187" i="1" s="1"/>
  <c r="DP171" i="1"/>
  <c r="DS171" i="1" s="1"/>
  <c r="DP155" i="1"/>
  <c r="DS155" i="1" s="1"/>
  <c r="DP139" i="1"/>
  <c r="DS139" i="1" s="1"/>
  <c r="DP123" i="1"/>
  <c r="DS123" i="1" s="1"/>
  <c r="DP107" i="1"/>
  <c r="DS107" i="1" s="1"/>
  <c r="DP91" i="1"/>
  <c r="DS91" i="1" s="1"/>
  <c r="DP59" i="1"/>
  <c r="DS59" i="1" s="1"/>
  <c r="DP43" i="1"/>
  <c r="DS43" i="1" s="1"/>
  <c r="DP27" i="1"/>
  <c r="DS27" i="1" s="1"/>
  <c r="DP21" i="1"/>
  <c r="DS21" i="1" s="1"/>
  <c r="DP13" i="1"/>
  <c r="DS13" i="1" s="1"/>
  <c r="DP12" i="1"/>
  <c r="DS12" i="1" s="1"/>
  <c r="DP179" i="1"/>
  <c r="DS179" i="1" s="1"/>
  <c r="DP147" i="1"/>
  <c r="DS147" i="1" s="1"/>
  <c r="DP115" i="1"/>
  <c r="DS115" i="1" s="1"/>
  <c r="DP83" i="1"/>
  <c r="DS83" i="1" s="1"/>
  <c r="DP75" i="1"/>
  <c r="DS75" i="1" s="1"/>
  <c r="DP51" i="1"/>
  <c r="DS51" i="1" s="1"/>
  <c r="DP19" i="1"/>
  <c r="DS19" i="1" s="1"/>
  <c r="DP11" i="1"/>
  <c r="DS11" i="1" s="1"/>
  <c r="DP50" i="1"/>
  <c r="DS50" i="1" s="1"/>
  <c r="DB102" i="1"/>
  <c r="DC102" i="1" s="1"/>
  <c r="DL102" i="1" s="1"/>
  <c r="DO102" i="1" s="1"/>
  <c r="DB94" i="1"/>
  <c r="DC94" i="1" s="1"/>
  <c r="DL94" i="1" s="1"/>
  <c r="DB86" i="1"/>
  <c r="DC86" i="1" s="1"/>
  <c r="DL86" i="1" s="1"/>
  <c r="DO86" i="1" s="1"/>
  <c r="DB78" i="1"/>
  <c r="DC78" i="1" s="1"/>
  <c r="DL78" i="1" s="1"/>
  <c r="DO78" i="1" s="1"/>
  <c r="DB70" i="1"/>
  <c r="DC70" i="1" s="1"/>
  <c r="DL70" i="1" s="1"/>
  <c r="DO70" i="1" s="1"/>
  <c r="DB62" i="1"/>
  <c r="DC62" i="1" s="1"/>
  <c r="DL62" i="1" s="1"/>
  <c r="DB54" i="1"/>
  <c r="DC54" i="1" s="1"/>
  <c r="DL54" i="1" s="1"/>
  <c r="DO54" i="1" s="1"/>
  <c r="DB46" i="1"/>
  <c r="DC46" i="1" s="1"/>
  <c r="DL46" i="1" s="1"/>
  <c r="DO46" i="1" s="1"/>
  <c r="DB38" i="1"/>
  <c r="DC38" i="1" s="1"/>
  <c r="DL38" i="1" s="1"/>
  <c r="DO38" i="1" s="1"/>
  <c r="DB30" i="1"/>
  <c r="DC30" i="1" s="1"/>
  <c r="DL30" i="1" s="1"/>
  <c r="DO30" i="1" s="1"/>
  <c r="DB22" i="1"/>
  <c r="DC22" i="1" s="1"/>
  <c r="DL22" i="1" s="1"/>
  <c r="DO22" i="1" s="1"/>
  <c r="DB14" i="1"/>
  <c r="DC14" i="1" s="1"/>
  <c r="DL14" i="1" s="1"/>
  <c r="DP201" i="1"/>
  <c r="DS201" i="1" s="1"/>
  <c r="DP193" i="1"/>
  <c r="DS193" i="1" s="1"/>
  <c r="DP185" i="1"/>
  <c r="DS185" i="1" s="1"/>
  <c r="DP177" i="1"/>
  <c r="DS177" i="1" s="1"/>
  <c r="DP169" i="1"/>
  <c r="DS169" i="1" s="1"/>
  <c r="DP161" i="1"/>
  <c r="DS161" i="1" s="1"/>
  <c r="DP153" i="1"/>
  <c r="DS153" i="1" s="1"/>
  <c r="DP145" i="1"/>
  <c r="DS145" i="1" s="1"/>
  <c r="DP137" i="1"/>
  <c r="DS137" i="1" s="1"/>
  <c r="DP129" i="1"/>
  <c r="DS129" i="1" s="1"/>
  <c r="DP121" i="1"/>
  <c r="DS121" i="1" s="1"/>
  <c r="DP113" i="1"/>
  <c r="DS113" i="1" s="1"/>
  <c r="DP105" i="1"/>
  <c r="DS105" i="1" s="1"/>
  <c r="DP97" i="1"/>
  <c r="DS97" i="1" s="1"/>
  <c r="DP89" i="1"/>
  <c r="DS89" i="1" s="1"/>
  <c r="DP81" i="1"/>
  <c r="DS81" i="1" s="1"/>
  <c r="DP73" i="1"/>
  <c r="DS73" i="1" s="1"/>
  <c r="DP65" i="1"/>
  <c r="DS65" i="1" s="1"/>
  <c r="DP57" i="1"/>
  <c r="DS57" i="1" s="1"/>
  <c r="DP49" i="1"/>
  <c r="DS49" i="1" s="1"/>
  <c r="DP41" i="1"/>
  <c r="DS41" i="1" s="1"/>
  <c r="DP33" i="1"/>
  <c r="DS33" i="1" s="1"/>
  <c r="DP25" i="1"/>
  <c r="DS25" i="1" s="1"/>
  <c r="DP17" i="1"/>
  <c r="DS17" i="1" s="1"/>
  <c r="DP200" i="1"/>
  <c r="DS200" i="1" s="1"/>
  <c r="DP192" i="1"/>
  <c r="DS192" i="1" s="1"/>
  <c r="DP176" i="1"/>
  <c r="DS176" i="1" s="1"/>
  <c r="DP168" i="1"/>
  <c r="DS168" i="1" s="1"/>
  <c r="DP160" i="1"/>
  <c r="DS160" i="1" s="1"/>
  <c r="DP152" i="1"/>
  <c r="DS152" i="1" s="1"/>
  <c r="DP144" i="1"/>
  <c r="DS144" i="1" s="1"/>
  <c r="DP136" i="1"/>
  <c r="DS136" i="1" s="1"/>
  <c r="DP128" i="1"/>
  <c r="DS128" i="1" s="1"/>
  <c r="DP112" i="1"/>
  <c r="DS112" i="1" s="1"/>
  <c r="DP104" i="1"/>
  <c r="DS104" i="1" s="1"/>
  <c r="DP96" i="1"/>
  <c r="DS96" i="1" s="1"/>
  <c r="DP80" i="1"/>
  <c r="DS80" i="1" s="1"/>
  <c r="DP72" i="1"/>
  <c r="DS72" i="1" s="1"/>
  <c r="DP64" i="1"/>
  <c r="DS64" i="1" s="1"/>
  <c r="DP56" i="1"/>
  <c r="DS56" i="1" s="1"/>
  <c r="DP48" i="1"/>
  <c r="DS48" i="1" s="1"/>
  <c r="DP40" i="1"/>
  <c r="DS40" i="1" s="1"/>
  <c r="DP32" i="1"/>
  <c r="DS32" i="1" s="1"/>
  <c r="DP16" i="1"/>
  <c r="DS16" i="1" s="1"/>
  <c r="DP202" i="1"/>
  <c r="DS202" i="1" s="1"/>
  <c r="DP170" i="1"/>
  <c r="DS170" i="1" s="1"/>
  <c r="DP138" i="1"/>
  <c r="DS138" i="1" s="1"/>
  <c r="DP106" i="1"/>
  <c r="DS106" i="1" s="1"/>
  <c r="DP74" i="1"/>
  <c r="DS74" i="1" s="1"/>
  <c r="DP42" i="1"/>
  <c r="DS42" i="1" s="1"/>
  <c r="DP207" i="1"/>
  <c r="DS207" i="1" s="1"/>
  <c r="DP199" i="1"/>
  <c r="DS199" i="1" s="1"/>
  <c r="DP191" i="1"/>
  <c r="DS191" i="1" s="1"/>
  <c r="DP183" i="1"/>
  <c r="DS183" i="1" s="1"/>
  <c r="DP175" i="1"/>
  <c r="DS175" i="1" s="1"/>
  <c r="DP167" i="1"/>
  <c r="DS167" i="1" s="1"/>
  <c r="DP159" i="1"/>
  <c r="DS159" i="1" s="1"/>
  <c r="DP151" i="1"/>
  <c r="DS151" i="1" s="1"/>
  <c r="DP143" i="1"/>
  <c r="DS143" i="1" s="1"/>
  <c r="DP135" i="1"/>
  <c r="DS135" i="1" s="1"/>
  <c r="DP127" i="1"/>
  <c r="DS127" i="1" s="1"/>
  <c r="DP119" i="1"/>
  <c r="DS119" i="1" s="1"/>
  <c r="DP111" i="1"/>
  <c r="DS111" i="1" s="1"/>
  <c r="DP103" i="1"/>
  <c r="DS103" i="1" s="1"/>
  <c r="DP95" i="1"/>
  <c r="DS95" i="1" s="1"/>
  <c r="DP87" i="1"/>
  <c r="DS87" i="1" s="1"/>
  <c r="DP79" i="1"/>
  <c r="DS79" i="1" s="1"/>
  <c r="DP71" i="1"/>
  <c r="DS71" i="1" s="1"/>
  <c r="DP63" i="1"/>
  <c r="DS63" i="1" s="1"/>
  <c r="DP55" i="1"/>
  <c r="DS55" i="1" s="1"/>
  <c r="DP47" i="1"/>
  <c r="DS47" i="1" s="1"/>
  <c r="DP39" i="1"/>
  <c r="DS39" i="1" s="1"/>
  <c r="DP31" i="1"/>
  <c r="DS31" i="1" s="1"/>
  <c r="DP23" i="1"/>
  <c r="DS23" i="1" s="1"/>
  <c r="DP15" i="1"/>
  <c r="DS15" i="1" s="1"/>
  <c r="DP195" i="1"/>
  <c r="DS195" i="1" s="1"/>
  <c r="DP163" i="1"/>
  <c r="DS163" i="1" s="1"/>
  <c r="DP131" i="1"/>
  <c r="DS131" i="1" s="1"/>
  <c r="DP99" i="1"/>
  <c r="DS99" i="1" s="1"/>
  <c r="DP67" i="1"/>
  <c r="DS67" i="1" s="1"/>
  <c r="DP35" i="1"/>
  <c r="DS35" i="1" s="1"/>
  <c r="DB205" i="1"/>
  <c r="DC205" i="1" s="1"/>
  <c r="DB197" i="1"/>
  <c r="DC197" i="1" s="1"/>
  <c r="DB189" i="1"/>
  <c r="DC189" i="1" s="1"/>
  <c r="DP206" i="1"/>
  <c r="DS206" i="1" s="1"/>
  <c r="DP198" i="1"/>
  <c r="DS198" i="1" s="1"/>
  <c r="DP190" i="1"/>
  <c r="DS190" i="1" s="1"/>
  <c r="DP182" i="1"/>
  <c r="DS182" i="1" s="1"/>
  <c r="DP174" i="1"/>
  <c r="DS174" i="1" s="1"/>
  <c r="DP166" i="1"/>
  <c r="DS166" i="1" s="1"/>
  <c r="DP158" i="1"/>
  <c r="DS158" i="1" s="1"/>
  <c r="DP150" i="1"/>
  <c r="DS150" i="1" s="1"/>
  <c r="DP142" i="1"/>
  <c r="DS142" i="1" s="1"/>
  <c r="DP134" i="1"/>
  <c r="DS134" i="1" s="1"/>
  <c r="DP126" i="1"/>
  <c r="DS126" i="1" s="1"/>
  <c r="DP118" i="1"/>
  <c r="DS118" i="1" s="1"/>
  <c r="DP110" i="1"/>
  <c r="DS110" i="1" s="1"/>
  <c r="DP102" i="1"/>
  <c r="DS102" i="1" s="1"/>
  <c r="DP94" i="1"/>
  <c r="DS94" i="1" s="1"/>
  <c r="DP86" i="1"/>
  <c r="DS86" i="1" s="1"/>
  <c r="DP78" i="1"/>
  <c r="DS78" i="1" s="1"/>
  <c r="DP70" i="1"/>
  <c r="DS70" i="1" s="1"/>
  <c r="DP62" i="1"/>
  <c r="DS62" i="1" s="1"/>
  <c r="DP54" i="1"/>
  <c r="DS54" i="1" s="1"/>
  <c r="DP46" i="1"/>
  <c r="DS46" i="1" s="1"/>
  <c r="DP38" i="1"/>
  <c r="DS38" i="1" s="1"/>
  <c r="DP30" i="1"/>
  <c r="DS30" i="1" s="1"/>
  <c r="DP22" i="1"/>
  <c r="DS22" i="1" s="1"/>
  <c r="DP14" i="1"/>
  <c r="DS14" i="1" s="1"/>
  <c r="DP194" i="1"/>
  <c r="DS194" i="1" s="1"/>
  <c r="DP162" i="1"/>
  <c r="DS162" i="1" s="1"/>
  <c r="DP130" i="1"/>
  <c r="DS130" i="1" s="1"/>
  <c r="DP98" i="1"/>
  <c r="DS98" i="1" s="1"/>
  <c r="DP66" i="1"/>
  <c r="DS66" i="1" s="1"/>
  <c r="DP34" i="1"/>
  <c r="DS34" i="1" s="1"/>
  <c r="DP205" i="1"/>
  <c r="DS205" i="1" s="1"/>
  <c r="DP197" i="1"/>
  <c r="DS197" i="1" s="1"/>
  <c r="DP189" i="1"/>
  <c r="DS189" i="1" s="1"/>
  <c r="DP181" i="1"/>
  <c r="DS181" i="1" s="1"/>
  <c r="DP173" i="1"/>
  <c r="DS173" i="1" s="1"/>
  <c r="DP165" i="1"/>
  <c r="DS165" i="1" s="1"/>
  <c r="DP157" i="1"/>
  <c r="DS157" i="1" s="1"/>
  <c r="DP149" i="1"/>
  <c r="DS149" i="1" s="1"/>
  <c r="DP141" i="1"/>
  <c r="DS141" i="1" s="1"/>
  <c r="DP133" i="1"/>
  <c r="DS133" i="1" s="1"/>
  <c r="DP125" i="1"/>
  <c r="DS125" i="1" s="1"/>
  <c r="DP117" i="1"/>
  <c r="DS117" i="1" s="1"/>
  <c r="DP109" i="1"/>
  <c r="DS109" i="1" s="1"/>
  <c r="DP101" i="1"/>
  <c r="DS101" i="1" s="1"/>
  <c r="DP93" i="1"/>
  <c r="DS93" i="1" s="1"/>
  <c r="DP85" i="1"/>
  <c r="DS85" i="1" s="1"/>
  <c r="DP77" i="1"/>
  <c r="DS77" i="1" s="1"/>
  <c r="DP69" i="1"/>
  <c r="DS69" i="1" s="1"/>
  <c r="DP61" i="1"/>
  <c r="DS61" i="1" s="1"/>
  <c r="DP53" i="1"/>
  <c r="DS53" i="1" s="1"/>
  <c r="DP45" i="1"/>
  <c r="DS45" i="1" s="1"/>
  <c r="DP37" i="1"/>
  <c r="DS37" i="1" s="1"/>
  <c r="DP29" i="1"/>
  <c r="DS29" i="1" s="1"/>
  <c r="DL176" i="1"/>
  <c r="DO176" i="1" s="1"/>
  <c r="DL112" i="1"/>
  <c r="DO112" i="1" s="1"/>
  <c r="DL48" i="1"/>
  <c r="DO48" i="1" s="1"/>
  <c r="DP204" i="1"/>
  <c r="DS204" i="1" s="1"/>
  <c r="DP196" i="1"/>
  <c r="DS196" i="1" s="1"/>
  <c r="DP188" i="1"/>
  <c r="DS188" i="1" s="1"/>
  <c r="DP180" i="1"/>
  <c r="DS180" i="1" s="1"/>
  <c r="DP172" i="1"/>
  <c r="DS172" i="1" s="1"/>
  <c r="DP164" i="1"/>
  <c r="DS164" i="1" s="1"/>
  <c r="DP156" i="1"/>
  <c r="DS156" i="1" s="1"/>
  <c r="DP148" i="1"/>
  <c r="DS148" i="1" s="1"/>
  <c r="DP140" i="1"/>
  <c r="DS140" i="1" s="1"/>
  <c r="DP132" i="1"/>
  <c r="DS132" i="1" s="1"/>
  <c r="DP124" i="1"/>
  <c r="DS124" i="1" s="1"/>
  <c r="DP116" i="1"/>
  <c r="DS116" i="1" s="1"/>
  <c r="DP108" i="1"/>
  <c r="DS108" i="1" s="1"/>
  <c r="DP100" i="1"/>
  <c r="DS100" i="1" s="1"/>
  <c r="DP92" i="1"/>
  <c r="DS92" i="1" s="1"/>
  <c r="DP84" i="1"/>
  <c r="DS84" i="1" s="1"/>
  <c r="DP76" i="1"/>
  <c r="DS76" i="1" s="1"/>
  <c r="DP68" i="1"/>
  <c r="DS68" i="1" s="1"/>
  <c r="DP60" i="1"/>
  <c r="DS60" i="1" s="1"/>
  <c r="DP52" i="1"/>
  <c r="DS52" i="1" s="1"/>
  <c r="DP44" i="1"/>
  <c r="DS44" i="1" s="1"/>
  <c r="DP36" i="1"/>
  <c r="DS36" i="1" s="1"/>
  <c r="DP28" i="1"/>
  <c r="DS28" i="1" s="1"/>
  <c r="DP20" i="1"/>
  <c r="DS20" i="1" s="1"/>
  <c r="DP186" i="1"/>
  <c r="DS186" i="1" s="1"/>
  <c r="DP154" i="1"/>
  <c r="DS154" i="1" s="1"/>
  <c r="DP122" i="1"/>
  <c r="DS122" i="1" s="1"/>
  <c r="DP90" i="1"/>
  <c r="DS90" i="1" s="1"/>
  <c r="DP58" i="1"/>
  <c r="DS58" i="1" s="1"/>
  <c r="DP26" i="1"/>
  <c r="DS26" i="1" s="1"/>
  <c r="DL168" i="1"/>
  <c r="DO168" i="1" s="1"/>
  <c r="DL104" i="1"/>
  <c r="DO104" i="1" s="1"/>
  <c r="DL40" i="1"/>
  <c r="DO40" i="1" s="1"/>
  <c r="DL160" i="1"/>
  <c r="DO160" i="1" s="1"/>
  <c r="DL96" i="1"/>
  <c r="DO96" i="1" s="1"/>
  <c r="DL32" i="1"/>
  <c r="DO32" i="1" s="1"/>
  <c r="DL152" i="1"/>
  <c r="DO152" i="1" s="1"/>
  <c r="DL88" i="1"/>
  <c r="DO88" i="1" s="1"/>
  <c r="DL10" i="1"/>
  <c r="DO10" i="1" s="1"/>
  <c r="DL144" i="1"/>
  <c r="DO144" i="1" s="1"/>
  <c r="DL80" i="1"/>
  <c r="DO80" i="1" s="1"/>
  <c r="DL16" i="1"/>
  <c r="DO16" i="1" s="1"/>
  <c r="DL200" i="1"/>
  <c r="DO200" i="1" s="1"/>
  <c r="DL136" i="1"/>
  <c r="DO136" i="1" s="1"/>
  <c r="DL72" i="1"/>
  <c r="DO72" i="1" s="1"/>
  <c r="DB181" i="1"/>
  <c r="DC181" i="1" s="1"/>
  <c r="DB173" i="1"/>
  <c r="DC173" i="1" s="1"/>
  <c r="DB165" i="1"/>
  <c r="DC165" i="1" s="1"/>
  <c r="DB157" i="1"/>
  <c r="DC157" i="1" s="1"/>
  <c r="DB149" i="1"/>
  <c r="DC149" i="1" s="1"/>
  <c r="DB141" i="1"/>
  <c r="DC141" i="1" s="1"/>
  <c r="DB133" i="1"/>
  <c r="DC133" i="1" s="1"/>
  <c r="DB125" i="1"/>
  <c r="DC125" i="1" s="1"/>
  <c r="DB117" i="1"/>
  <c r="DC117" i="1" s="1"/>
  <c r="DB109" i="1"/>
  <c r="DC109" i="1" s="1"/>
  <c r="DB101" i="1"/>
  <c r="DC101" i="1" s="1"/>
  <c r="DB93" i="1"/>
  <c r="DC93" i="1" s="1"/>
  <c r="DB85" i="1"/>
  <c r="DC85" i="1" s="1"/>
  <c r="DB77" i="1"/>
  <c r="DC77" i="1" s="1"/>
  <c r="DB69" i="1"/>
  <c r="DC69" i="1" s="1"/>
  <c r="DB61" i="1"/>
  <c r="DC61" i="1" s="1"/>
  <c r="DB53" i="1"/>
  <c r="DC53" i="1" s="1"/>
  <c r="DB45" i="1"/>
  <c r="DC45" i="1" s="1"/>
  <c r="DB37" i="1"/>
  <c r="DC37" i="1" s="1"/>
  <c r="DB29" i="1"/>
  <c r="DC29" i="1" s="1"/>
  <c r="DB21" i="1"/>
  <c r="DC21" i="1" s="1"/>
  <c r="DB13" i="1"/>
  <c r="DC13" i="1" s="1"/>
  <c r="DL192" i="1"/>
  <c r="DM192" i="1" s="1"/>
  <c r="DL128" i="1"/>
  <c r="DO128" i="1" s="1"/>
  <c r="DL64" i="1"/>
  <c r="DO64" i="1" s="1"/>
  <c r="DL184" i="1"/>
  <c r="DO184" i="1" s="1"/>
  <c r="DL120" i="1"/>
  <c r="DO120" i="1" s="1"/>
  <c r="DL56" i="1"/>
  <c r="DO56" i="1" s="1"/>
  <c r="DB204" i="1"/>
  <c r="DC204" i="1" s="1"/>
  <c r="DB196" i="1"/>
  <c r="DC196" i="1" s="1"/>
  <c r="DB188" i="1"/>
  <c r="DC188" i="1" s="1"/>
  <c r="DB180" i="1"/>
  <c r="DC180" i="1" s="1"/>
  <c r="DB172" i="1"/>
  <c r="DC172" i="1" s="1"/>
  <c r="DB164" i="1"/>
  <c r="DC164" i="1" s="1"/>
  <c r="DB156" i="1"/>
  <c r="DC156" i="1" s="1"/>
  <c r="DB148" i="1"/>
  <c r="DC148" i="1" s="1"/>
  <c r="DB140" i="1"/>
  <c r="DC140" i="1" s="1"/>
  <c r="DB132" i="1"/>
  <c r="DC132" i="1" s="1"/>
  <c r="DB124" i="1"/>
  <c r="DC124" i="1" s="1"/>
  <c r="DB116" i="1"/>
  <c r="DC116" i="1" s="1"/>
  <c r="DB108" i="1"/>
  <c r="DC108" i="1" s="1"/>
  <c r="DB100" i="1"/>
  <c r="DC100" i="1" s="1"/>
  <c r="DB92" i="1"/>
  <c r="DC92" i="1" s="1"/>
  <c r="DB84" i="1"/>
  <c r="DC84" i="1" s="1"/>
  <c r="DB76" i="1"/>
  <c r="DC76" i="1" s="1"/>
  <c r="DB68" i="1"/>
  <c r="DC68" i="1" s="1"/>
  <c r="DB60" i="1"/>
  <c r="DC60" i="1" s="1"/>
  <c r="DB52" i="1"/>
  <c r="DC52" i="1" s="1"/>
  <c r="DB44" i="1"/>
  <c r="DC44" i="1" s="1"/>
  <c r="DB36" i="1"/>
  <c r="DC36" i="1" s="1"/>
  <c r="DB28" i="1"/>
  <c r="DC28" i="1" s="1"/>
  <c r="DB20" i="1"/>
  <c r="DC20" i="1" s="1"/>
  <c r="DB12" i="1"/>
  <c r="DC12" i="1" s="1"/>
  <c r="DB203" i="1"/>
  <c r="DC203" i="1" s="1"/>
  <c r="DB195" i="1"/>
  <c r="DC195" i="1" s="1"/>
  <c r="DB187" i="1"/>
  <c r="DC187" i="1" s="1"/>
  <c r="DB179" i="1"/>
  <c r="DC179" i="1" s="1"/>
  <c r="DB171" i="1"/>
  <c r="DC171" i="1" s="1"/>
  <c r="DB163" i="1"/>
  <c r="DC163" i="1" s="1"/>
  <c r="DB155" i="1"/>
  <c r="DC155" i="1" s="1"/>
  <c r="DB147" i="1"/>
  <c r="DC147" i="1" s="1"/>
  <c r="DB139" i="1"/>
  <c r="DC139" i="1" s="1"/>
  <c r="DB131" i="1"/>
  <c r="DC131" i="1" s="1"/>
  <c r="DB123" i="1"/>
  <c r="DC123" i="1" s="1"/>
  <c r="DB115" i="1"/>
  <c r="DC115" i="1" s="1"/>
  <c r="DB107" i="1"/>
  <c r="DC107" i="1" s="1"/>
  <c r="DB99" i="1"/>
  <c r="DC99" i="1" s="1"/>
  <c r="DB91" i="1"/>
  <c r="DC91" i="1" s="1"/>
  <c r="DB83" i="1"/>
  <c r="DC83" i="1" s="1"/>
  <c r="DB75" i="1"/>
  <c r="DC75" i="1" s="1"/>
  <c r="DB67" i="1"/>
  <c r="DC67" i="1" s="1"/>
  <c r="DB59" i="1"/>
  <c r="DC59" i="1" s="1"/>
  <c r="DB51" i="1"/>
  <c r="DC51" i="1" s="1"/>
  <c r="DB43" i="1"/>
  <c r="DC43" i="1" s="1"/>
  <c r="DB35" i="1"/>
  <c r="DC35" i="1" s="1"/>
  <c r="DB27" i="1"/>
  <c r="DC27" i="1" s="1"/>
  <c r="DB19" i="1"/>
  <c r="DC19" i="1" s="1"/>
  <c r="DB11" i="1"/>
  <c r="DC11" i="1" s="1"/>
  <c r="DL11" i="1" s="1"/>
  <c r="DB202" i="1"/>
  <c r="DC202" i="1" s="1"/>
  <c r="DB194" i="1"/>
  <c r="DC194" i="1" s="1"/>
  <c r="DB186" i="1"/>
  <c r="DC186" i="1" s="1"/>
  <c r="DB178" i="1"/>
  <c r="DC178" i="1" s="1"/>
  <c r="DB170" i="1"/>
  <c r="DC170" i="1" s="1"/>
  <c r="DB162" i="1"/>
  <c r="DC162" i="1" s="1"/>
  <c r="DB154" i="1"/>
  <c r="DC154" i="1" s="1"/>
  <c r="DB146" i="1"/>
  <c r="DC146" i="1" s="1"/>
  <c r="DB138" i="1"/>
  <c r="DC138" i="1" s="1"/>
  <c r="DB130" i="1"/>
  <c r="DC130" i="1" s="1"/>
  <c r="DB122" i="1"/>
  <c r="DC122" i="1" s="1"/>
  <c r="DB114" i="1"/>
  <c r="DC114" i="1" s="1"/>
  <c r="DB106" i="1"/>
  <c r="DC106" i="1" s="1"/>
  <c r="DB98" i="1"/>
  <c r="DC98" i="1" s="1"/>
  <c r="DB90" i="1"/>
  <c r="DC90" i="1" s="1"/>
  <c r="DB82" i="1"/>
  <c r="DC82" i="1" s="1"/>
  <c r="DB74" i="1"/>
  <c r="DC74" i="1" s="1"/>
  <c r="DB66" i="1"/>
  <c r="DC66" i="1" s="1"/>
  <c r="DB58" i="1"/>
  <c r="DC58" i="1" s="1"/>
  <c r="DB50" i="1"/>
  <c r="DC50" i="1" s="1"/>
  <c r="DB42" i="1"/>
  <c r="DC42" i="1" s="1"/>
  <c r="DB34" i="1"/>
  <c r="DC34" i="1" s="1"/>
  <c r="DB26" i="1"/>
  <c r="DC26" i="1" s="1"/>
  <c r="DB18" i="1"/>
  <c r="DC18" i="1" s="1"/>
  <c r="DB201" i="1"/>
  <c r="DC201" i="1" s="1"/>
  <c r="DB193" i="1"/>
  <c r="DC193" i="1" s="1"/>
  <c r="DB185" i="1"/>
  <c r="DC185" i="1" s="1"/>
  <c r="DB177" i="1"/>
  <c r="DC177" i="1" s="1"/>
  <c r="DB169" i="1"/>
  <c r="DC169" i="1" s="1"/>
  <c r="DB161" i="1"/>
  <c r="DC161" i="1" s="1"/>
  <c r="DB153" i="1"/>
  <c r="DC153" i="1" s="1"/>
  <c r="DB145" i="1"/>
  <c r="DC145" i="1" s="1"/>
  <c r="DB137" i="1"/>
  <c r="DC137" i="1" s="1"/>
  <c r="DB129" i="1"/>
  <c r="DC129" i="1" s="1"/>
  <c r="DB121" i="1"/>
  <c r="DC121" i="1" s="1"/>
  <c r="DB113" i="1"/>
  <c r="DC113" i="1" s="1"/>
  <c r="DB105" i="1"/>
  <c r="DC105" i="1" s="1"/>
  <c r="DB97" i="1"/>
  <c r="DC97" i="1" s="1"/>
  <c r="DB89" i="1"/>
  <c r="DC89" i="1" s="1"/>
  <c r="DB81" i="1"/>
  <c r="DC81" i="1" s="1"/>
  <c r="DB73" i="1"/>
  <c r="DC73" i="1" s="1"/>
  <c r="DB65" i="1"/>
  <c r="DC65" i="1" s="1"/>
  <c r="DB57" i="1"/>
  <c r="DC57" i="1" s="1"/>
  <c r="DB49" i="1"/>
  <c r="DC49" i="1" s="1"/>
  <c r="DB41" i="1"/>
  <c r="DC41" i="1" s="1"/>
  <c r="DB33" i="1"/>
  <c r="DC33" i="1" s="1"/>
  <c r="DB25" i="1"/>
  <c r="DC25" i="1" s="1"/>
  <c r="DB17" i="1"/>
  <c r="DC17" i="1" s="1"/>
  <c r="CB34" i="1"/>
  <c r="CB26" i="1"/>
  <c r="CB18" i="1"/>
  <c r="CC10" i="1"/>
  <c r="CC200" i="1"/>
  <c r="CC192" i="1"/>
  <c r="CC184" i="1"/>
  <c r="CC176" i="1"/>
  <c r="CC168" i="1"/>
  <c r="CC160" i="1"/>
  <c r="CC152" i="1"/>
  <c r="CC144" i="1"/>
  <c r="CC136" i="1"/>
  <c r="CC128" i="1"/>
  <c r="CC120" i="1"/>
  <c r="CC112" i="1"/>
  <c r="CC104" i="1"/>
  <c r="CC96" i="1"/>
  <c r="CC88" i="1"/>
  <c r="CC80" i="1"/>
  <c r="CC72" i="1"/>
  <c r="CC64" i="1"/>
  <c r="CC56" i="1"/>
  <c r="CC48" i="1"/>
  <c r="CC40" i="1"/>
  <c r="CC32" i="1"/>
  <c r="CC24" i="1"/>
  <c r="CC16" i="1"/>
  <c r="CC206" i="1"/>
  <c r="CC198" i="1"/>
  <c r="CC190" i="1"/>
  <c r="CC182" i="1"/>
  <c r="CC174" i="1"/>
  <c r="CC166" i="1"/>
  <c r="CC158" i="1"/>
  <c r="CC150" i="1"/>
  <c r="CC142" i="1"/>
  <c r="CC134" i="1"/>
  <c r="CC126" i="1"/>
  <c r="CC118" i="1"/>
  <c r="CC110" i="1"/>
  <c r="CC102" i="1"/>
  <c r="CC94" i="1"/>
  <c r="CC86" i="1"/>
  <c r="CC78" i="1"/>
  <c r="CC70" i="1"/>
  <c r="CC54" i="1"/>
  <c r="CC46" i="1"/>
  <c r="CC38" i="1"/>
  <c r="CC30" i="1"/>
  <c r="CC22" i="1"/>
  <c r="CC14" i="1"/>
  <c r="CB186" i="1"/>
  <c r="CB178" i="1"/>
  <c r="CB154" i="1"/>
  <c r="CB146" i="1"/>
  <c r="CB122" i="1"/>
  <c r="CB10" i="1"/>
  <c r="CC62" i="1"/>
  <c r="CB202" i="1"/>
  <c r="CB194" i="1"/>
  <c r="CB170" i="1"/>
  <c r="CB162" i="1"/>
  <c r="CB138" i="1"/>
  <c r="CB130" i="1"/>
  <c r="CB35" i="1"/>
  <c r="CB27" i="1"/>
  <c r="CB19" i="1"/>
  <c r="CB11" i="1"/>
  <c r="CB200" i="1"/>
  <c r="CB192" i="1"/>
  <c r="CB184" i="1"/>
  <c r="CB176" i="1"/>
  <c r="CB168" i="1"/>
  <c r="CB160" i="1"/>
  <c r="CB152" i="1"/>
  <c r="CB144" i="1"/>
  <c r="CB136" i="1"/>
  <c r="CB128" i="1"/>
  <c r="CB120" i="1"/>
  <c r="CB112" i="1"/>
  <c r="CB104" i="1"/>
  <c r="CB96" i="1"/>
  <c r="CB88" i="1"/>
  <c r="CB80" i="1"/>
  <c r="CB72" i="1"/>
  <c r="CB64" i="1"/>
  <c r="CB56" i="1"/>
  <c r="CB48" i="1"/>
  <c r="CB40" i="1"/>
  <c r="CC201" i="1"/>
  <c r="CC193" i="1"/>
  <c r="CC185" i="1"/>
  <c r="CC177" i="1"/>
  <c r="CC169" i="1"/>
  <c r="CC161" i="1"/>
  <c r="CC153" i="1"/>
  <c r="CC145" i="1"/>
  <c r="CC137" i="1"/>
  <c r="CC129" i="1"/>
  <c r="CC121" i="1"/>
  <c r="CC113" i="1"/>
  <c r="CC105" i="1"/>
  <c r="CC97" i="1"/>
  <c r="CC89" i="1"/>
  <c r="CC81" i="1"/>
  <c r="CC73" i="1"/>
  <c r="CC65" i="1"/>
  <c r="CC57" i="1"/>
  <c r="CC49" i="1"/>
  <c r="CC41" i="1"/>
  <c r="CC33" i="1"/>
  <c r="CC25" i="1"/>
  <c r="CC17" i="1"/>
  <c r="CB39" i="1"/>
  <c r="CB31" i="1"/>
  <c r="CC205" i="1"/>
  <c r="CC197" i="1"/>
  <c r="CC189" i="1"/>
  <c r="CC181" i="1"/>
  <c r="CC173" i="1"/>
  <c r="CC165" i="1"/>
  <c r="CC157" i="1"/>
  <c r="CC149" i="1"/>
  <c r="CC141" i="1"/>
  <c r="CC133" i="1"/>
  <c r="CC125" i="1"/>
  <c r="CC117" i="1"/>
  <c r="CC109" i="1"/>
  <c r="CC101" i="1"/>
  <c r="CC93" i="1"/>
  <c r="CC85" i="1"/>
  <c r="CC77" i="1"/>
  <c r="CC69" i="1"/>
  <c r="CC61" i="1"/>
  <c r="CC53" i="1"/>
  <c r="CC45" i="1"/>
  <c r="CC37" i="1"/>
  <c r="CC29" i="1"/>
  <c r="CC21" i="1"/>
  <c r="CC13" i="1"/>
  <c r="CB191" i="1"/>
  <c r="CB159" i="1"/>
  <c r="CB127" i="1"/>
  <c r="CB95" i="1"/>
  <c r="CB47" i="1"/>
  <c r="CB21" i="1"/>
  <c r="CB33" i="1"/>
  <c r="CB25" i="1"/>
  <c r="CB17" i="1"/>
  <c r="CB206" i="1"/>
  <c r="CB198" i="1"/>
  <c r="CB190" i="1"/>
  <c r="CB182" i="1"/>
  <c r="CB174" i="1"/>
  <c r="CB166" i="1"/>
  <c r="CB158" i="1"/>
  <c r="CB150" i="1"/>
  <c r="CB142" i="1"/>
  <c r="CB134" i="1"/>
  <c r="CB126" i="1"/>
  <c r="CB118" i="1"/>
  <c r="CB110" i="1"/>
  <c r="CB102" i="1"/>
  <c r="CB94" i="1"/>
  <c r="CB86" i="1"/>
  <c r="CB78" i="1"/>
  <c r="CB70" i="1"/>
  <c r="CB62" i="1"/>
  <c r="CB54" i="1"/>
  <c r="CB46" i="1"/>
  <c r="CC207" i="1"/>
  <c r="CC199" i="1"/>
  <c r="CC191" i="1"/>
  <c r="CC183" i="1"/>
  <c r="CC175" i="1"/>
  <c r="CC167" i="1"/>
  <c r="CC159" i="1"/>
  <c r="CC151" i="1"/>
  <c r="CC143" i="1"/>
  <c r="CC135" i="1"/>
  <c r="CC127" i="1"/>
  <c r="CC119" i="1"/>
  <c r="CC111" i="1"/>
  <c r="CC103" i="1"/>
  <c r="CC95" i="1"/>
  <c r="CC87" i="1"/>
  <c r="CC79" i="1"/>
  <c r="CC71" i="1"/>
  <c r="CC63" i="1"/>
  <c r="CC55" i="1"/>
  <c r="CC47" i="1"/>
  <c r="CC39" i="1"/>
  <c r="CC31" i="1"/>
  <c r="CC23" i="1"/>
  <c r="CC15" i="1"/>
  <c r="CB199" i="1"/>
  <c r="CB167" i="1"/>
  <c r="CB135" i="1"/>
  <c r="CB103" i="1"/>
  <c r="CB71" i="1"/>
  <c r="CB141" i="1"/>
  <c r="CB207" i="1"/>
  <c r="CB175" i="1"/>
  <c r="CB143" i="1"/>
  <c r="CB111" i="1"/>
  <c r="CB79" i="1"/>
  <c r="CB55" i="1"/>
  <c r="CB24" i="1"/>
  <c r="CB205" i="1"/>
  <c r="CB181" i="1"/>
  <c r="CB165" i="1"/>
  <c r="CB149" i="1"/>
  <c r="CB125" i="1"/>
  <c r="CB109" i="1"/>
  <c r="CB93" i="1"/>
  <c r="CB77" i="1"/>
  <c r="CB69" i="1"/>
  <c r="CB53" i="1"/>
  <c r="CB13" i="1"/>
  <c r="CB23" i="1"/>
  <c r="CB15" i="1"/>
  <c r="CB204" i="1"/>
  <c r="CB196" i="1"/>
  <c r="CB188" i="1"/>
  <c r="CB180" i="1"/>
  <c r="CB172" i="1"/>
  <c r="CB164" i="1"/>
  <c r="CB156" i="1"/>
  <c r="CB148" i="1"/>
  <c r="CB140" i="1"/>
  <c r="CB132" i="1"/>
  <c r="CB124" i="1"/>
  <c r="CB116" i="1"/>
  <c r="CB108" i="1"/>
  <c r="CB100" i="1"/>
  <c r="CB92" i="1"/>
  <c r="CB84" i="1"/>
  <c r="CB76" i="1"/>
  <c r="CB68" i="1"/>
  <c r="CB60" i="1"/>
  <c r="CB52" i="1"/>
  <c r="CB44" i="1"/>
  <c r="CB183" i="1"/>
  <c r="CB151" i="1"/>
  <c r="CB119" i="1"/>
  <c r="CB87" i="1"/>
  <c r="CB63" i="1"/>
  <c r="CB16" i="1"/>
  <c r="CB197" i="1"/>
  <c r="CB189" i="1"/>
  <c r="CB173" i="1"/>
  <c r="CB157" i="1"/>
  <c r="CB133" i="1"/>
  <c r="CB117" i="1"/>
  <c r="CB101" i="1"/>
  <c r="CB85" i="1"/>
  <c r="CB61" i="1"/>
  <c r="CB45" i="1"/>
  <c r="CB38" i="1"/>
  <c r="CB30" i="1"/>
  <c r="CB22" i="1"/>
  <c r="CB14" i="1"/>
  <c r="CB203" i="1"/>
  <c r="CB195" i="1"/>
  <c r="CB187" i="1"/>
  <c r="CB179" i="1"/>
  <c r="CB171" i="1"/>
  <c r="CB163" i="1"/>
  <c r="CB155" i="1"/>
  <c r="CB147" i="1"/>
  <c r="CB139" i="1"/>
  <c r="CB131" i="1"/>
  <c r="CB123" i="1"/>
  <c r="CB115" i="1"/>
  <c r="CB107" i="1"/>
  <c r="CB99" i="1"/>
  <c r="CB91" i="1"/>
  <c r="CB83" i="1"/>
  <c r="CB75" i="1"/>
  <c r="CB67" i="1"/>
  <c r="CB59" i="1"/>
  <c r="CB51" i="1"/>
  <c r="CB43" i="1"/>
  <c r="CC204" i="1"/>
  <c r="CC196" i="1"/>
  <c r="CC188" i="1"/>
  <c r="CC180" i="1"/>
  <c r="CC172" i="1"/>
  <c r="CC164" i="1"/>
  <c r="CC156" i="1"/>
  <c r="CC148" i="1"/>
  <c r="CC140" i="1"/>
  <c r="CC132" i="1"/>
  <c r="CC124" i="1"/>
  <c r="CC116" i="1"/>
  <c r="CC108" i="1"/>
  <c r="CC100" i="1"/>
  <c r="CC92" i="1"/>
  <c r="CC84" i="1"/>
  <c r="CC76" i="1"/>
  <c r="CC68" i="1"/>
  <c r="CC60" i="1"/>
  <c r="CC52" i="1"/>
  <c r="CC44" i="1"/>
  <c r="CC36" i="1"/>
  <c r="CC28" i="1"/>
  <c r="CC20" i="1"/>
  <c r="CC12" i="1"/>
  <c r="CB32" i="1"/>
  <c r="CB37" i="1"/>
  <c r="CB106" i="1"/>
  <c r="CB90" i="1"/>
  <c r="CB66" i="1"/>
  <c r="CB58" i="1"/>
  <c r="CB42" i="1"/>
  <c r="CC203" i="1"/>
  <c r="CC195" i="1"/>
  <c r="CC187" i="1"/>
  <c r="CC179" i="1"/>
  <c r="CC171" i="1"/>
  <c r="CC163" i="1"/>
  <c r="CC155" i="1"/>
  <c r="CC147" i="1"/>
  <c r="CC139" i="1"/>
  <c r="CC131" i="1"/>
  <c r="CC123" i="1"/>
  <c r="CC115" i="1"/>
  <c r="CC107" i="1"/>
  <c r="CC99" i="1"/>
  <c r="CC91" i="1"/>
  <c r="CC83" i="1"/>
  <c r="CC75" i="1"/>
  <c r="CC59" i="1"/>
  <c r="CC51" i="1"/>
  <c r="CC43" i="1"/>
  <c r="CC35" i="1"/>
  <c r="CC27" i="1"/>
  <c r="CC19" i="1"/>
  <c r="CC11" i="1"/>
  <c r="CB29" i="1"/>
  <c r="CB114" i="1"/>
  <c r="CB98" i="1"/>
  <c r="CB82" i="1"/>
  <c r="CB74" i="1"/>
  <c r="CB50" i="1"/>
  <c r="CC67" i="1"/>
  <c r="CB36" i="1"/>
  <c r="CB28" i="1"/>
  <c r="CB20" i="1"/>
  <c r="CB12" i="1"/>
  <c r="CB201" i="1"/>
  <c r="CB193" i="1"/>
  <c r="CB185" i="1"/>
  <c r="CB177" i="1"/>
  <c r="CB169" i="1"/>
  <c r="CB161" i="1"/>
  <c r="CB153" i="1"/>
  <c r="CB145" i="1"/>
  <c r="CB137" i="1"/>
  <c r="CB129" i="1"/>
  <c r="CB121" i="1"/>
  <c r="CB113" i="1"/>
  <c r="CB105" i="1"/>
  <c r="CB97" i="1"/>
  <c r="CB89" i="1"/>
  <c r="CB81" i="1"/>
  <c r="CB73" i="1"/>
  <c r="CB65" i="1"/>
  <c r="CB57" i="1"/>
  <c r="CB49" i="1"/>
  <c r="CB41" i="1"/>
  <c r="CC202" i="1"/>
  <c r="CC194" i="1"/>
  <c r="CC186" i="1"/>
  <c r="CC178" i="1"/>
  <c r="CC170" i="1"/>
  <c r="CC162" i="1"/>
  <c r="CC154" i="1"/>
  <c r="CC146" i="1"/>
  <c r="CC138" i="1"/>
  <c r="CC130" i="1"/>
  <c r="CC122" i="1"/>
  <c r="CC114" i="1"/>
  <c r="CC106" i="1"/>
  <c r="CC98" i="1"/>
  <c r="CC90" i="1"/>
  <c r="CC82" i="1"/>
  <c r="CC74" i="1"/>
  <c r="CC66" i="1"/>
  <c r="CC58" i="1"/>
  <c r="CC50" i="1"/>
  <c r="CC42" i="1"/>
  <c r="CC34" i="1"/>
  <c r="CC26" i="1"/>
  <c r="CC18" i="1"/>
  <c r="BG166" i="1"/>
  <c r="BG70" i="1"/>
  <c r="BG190" i="1"/>
  <c r="BG142" i="1"/>
  <c r="BG118" i="1"/>
  <c r="BG102" i="1"/>
  <c r="BG94" i="1"/>
  <c r="BG86" i="1"/>
  <c r="BG38" i="1"/>
  <c r="BG204" i="1"/>
  <c r="BG196" i="1"/>
  <c r="BG188" i="1"/>
  <c r="BG180" i="1"/>
  <c r="BG172" i="1"/>
  <c r="BG164" i="1"/>
  <c r="BG156" i="1"/>
  <c r="BG148" i="1"/>
  <c r="BG140" i="1"/>
  <c r="BG132" i="1"/>
  <c r="BG124" i="1"/>
  <c r="BG116" i="1"/>
  <c r="BG108" i="1"/>
  <c r="BG100" i="1"/>
  <c r="BG92" i="1"/>
  <c r="BG84" i="1"/>
  <c r="BG76" i="1"/>
  <c r="BG68" i="1"/>
  <c r="BG60" i="1"/>
  <c r="BG52" i="1"/>
  <c r="BG44" i="1"/>
  <c r="BG36" i="1"/>
  <c r="BG182" i="1"/>
  <c r="BG126" i="1"/>
  <c r="BG46" i="1"/>
  <c r="BG206" i="1"/>
  <c r="BG174" i="1"/>
  <c r="BG134" i="1"/>
  <c r="BG78" i="1"/>
  <c r="BG158" i="1"/>
  <c r="BG54" i="1"/>
  <c r="BG198" i="1"/>
  <c r="BG150" i="1"/>
  <c r="BG110" i="1"/>
  <c r="BG62" i="1"/>
  <c r="BG177" i="1"/>
  <c r="BG11" i="1"/>
  <c r="BG71" i="1"/>
  <c r="BG135" i="1"/>
  <c r="BG30" i="1"/>
  <c r="BG22" i="1"/>
  <c r="BG14" i="1"/>
  <c r="BG56" i="1"/>
  <c r="BG120" i="1"/>
  <c r="BG191" i="1"/>
  <c r="BG28" i="1"/>
  <c r="BG20" i="1"/>
  <c r="BG12" i="1"/>
  <c r="BG193" i="1"/>
  <c r="BG185" i="1"/>
  <c r="BG37" i="1"/>
  <c r="BG101" i="1"/>
  <c r="BG165" i="1"/>
  <c r="BG39" i="1"/>
  <c r="BG103" i="1"/>
  <c r="BG167" i="1"/>
  <c r="BG200" i="1"/>
  <c r="BG10" i="1"/>
  <c r="BG88" i="1"/>
  <c r="BG152" i="1"/>
  <c r="BG24" i="1"/>
  <c r="BG26" i="1"/>
  <c r="BG133" i="1"/>
  <c r="BG189" i="1"/>
  <c r="BG99" i="1"/>
  <c r="BG41" i="1"/>
  <c r="BG73" i="1"/>
  <c r="BG13" i="1"/>
  <c r="BG45" i="1"/>
  <c r="BG77" i="1"/>
  <c r="BG109" i="1"/>
  <c r="BG139" i="1"/>
  <c r="BG141" i="1"/>
  <c r="BG171" i="1"/>
  <c r="BG173" i="1"/>
  <c r="BG184" i="1"/>
  <c r="BG163" i="1"/>
  <c r="BG154" i="1"/>
  <c r="BG15" i="1"/>
  <c r="BG17" i="1"/>
  <c r="BG19" i="1"/>
  <c r="BG32" i="1"/>
  <c r="BG34" i="1"/>
  <c r="BG47" i="1"/>
  <c r="BG49" i="1"/>
  <c r="BG51" i="1"/>
  <c r="BG64" i="1"/>
  <c r="BG66" i="1"/>
  <c r="BG79" i="1"/>
  <c r="BG81" i="1"/>
  <c r="BG83" i="1"/>
  <c r="BG96" i="1"/>
  <c r="BG98" i="1"/>
  <c r="BG111" i="1"/>
  <c r="BG113" i="1"/>
  <c r="BG128" i="1"/>
  <c r="BG130" i="1"/>
  <c r="BG143" i="1"/>
  <c r="BG145" i="1"/>
  <c r="BG160" i="1"/>
  <c r="BG162" i="1"/>
  <c r="BG175" i="1"/>
  <c r="BG186" i="1"/>
  <c r="BG195" i="1"/>
  <c r="BG197" i="1"/>
  <c r="BG131" i="1"/>
  <c r="BG178" i="1"/>
  <c r="BG202" i="1"/>
  <c r="BG58" i="1"/>
  <c r="BG105" i="1"/>
  <c r="BG169" i="1"/>
  <c r="BG21" i="1"/>
  <c r="BG53" i="1"/>
  <c r="BG85" i="1"/>
  <c r="BG115" i="1"/>
  <c r="BG117" i="1"/>
  <c r="BG147" i="1"/>
  <c r="BG149" i="1"/>
  <c r="BG199" i="1"/>
  <c r="BG201" i="1"/>
  <c r="BG187" i="1"/>
  <c r="BG43" i="1"/>
  <c r="BG69" i="1"/>
  <c r="BG75" i="1"/>
  <c r="BG90" i="1"/>
  <c r="BG107" i="1"/>
  <c r="BG122" i="1"/>
  <c r="BG137" i="1"/>
  <c r="BG23" i="1"/>
  <c r="BG25" i="1"/>
  <c r="BG27" i="1"/>
  <c r="BG40" i="1"/>
  <c r="BG42" i="1"/>
  <c r="BG55" i="1"/>
  <c r="BG57" i="1"/>
  <c r="BG59" i="1"/>
  <c r="BG72" i="1"/>
  <c r="BG74" i="1"/>
  <c r="BG87" i="1"/>
  <c r="BG89" i="1"/>
  <c r="BG91" i="1"/>
  <c r="BG104" i="1"/>
  <c r="BG106" i="1"/>
  <c r="BG119" i="1"/>
  <c r="BG121" i="1"/>
  <c r="BG136" i="1"/>
  <c r="BG138" i="1"/>
  <c r="BG151" i="1"/>
  <c r="BG153" i="1"/>
  <c r="BG168" i="1"/>
  <c r="BG170" i="1"/>
  <c r="BG179" i="1"/>
  <c r="BG181" i="1"/>
  <c r="BG192" i="1"/>
  <c r="BG203" i="1"/>
  <c r="BG205" i="1"/>
  <c r="BG29" i="1"/>
  <c r="BG61" i="1"/>
  <c r="BG93" i="1"/>
  <c r="BG123" i="1"/>
  <c r="BG125" i="1"/>
  <c r="BG155" i="1"/>
  <c r="BG157" i="1"/>
  <c r="BG183" i="1"/>
  <c r="BG194" i="1"/>
  <c r="BG207" i="1"/>
  <c r="BG16" i="1"/>
  <c r="BG18" i="1"/>
  <c r="BG31" i="1"/>
  <c r="BG33" i="1"/>
  <c r="BG35" i="1"/>
  <c r="BG48" i="1"/>
  <c r="BG50" i="1"/>
  <c r="BG63" i="1"/>
  <c r="BG65" i="1"/>
  <c r="BG67" i="1"/>
  <c r="BG80" i="1"/>
  <c r="BG82" i="1"/>
  <c r="BG95" i="1"/>
  <c r="BG97" i="1"/>
  <c r="BG112" i="1"/>
  <c r="BG114" i="1"/>
  <c r="BG127" i="1"/>
  <c r="BG129" i="1"/>
  <c r="BG144" i="1"/>
  <c r="BG146" i="1"/>
  <c r="BG159" i="1"/>
  <c r="BG161" i="1"/>
  <c r="BG176" i="1"/>
  <c r="DN24" i="1" l="1"/>
  <c r="DZ24" i="1" s="1"/>
  <c r="DM24" i="1"/>
  <c r="DW10" i="1"/>
  <c r="DY10" i="1" s="1"/>
  <c r="DS10" i="1"/>
  <c r="DR178" i="1"/>
  <c r="DQ146" i="1"/>
  <c r="DN152" i="1"/>
  <c r="DR89" i="1"/>
  <c r="DN30" i="1"/>
  <c r="DR19" i="1"/>
  <c r="DR176" i="1"/>
  <c r="DR13" i="1"/>
  <c r="DR64" i="1"/>
  <c r="DN32" i="1"/>
  <c r="DR59" i="1"/>
  <c r="DQ18" i="1"/>
  <c r="DR121" i="1"/>
  <c r="DR203" i="1"/>
  <c r="DM182" i="1"/>
  <c r="DN54" i="1"/>
  <c r="DR123" i="1"/>
  <c r="DQ59" i="1"/>
  <c r="DR88" i="1"/>
  <c r="DR41" i="1"/>
  <c r="DN126" i="1"/>
  <c r="DR147" i="1"/>
  <c r="DR114" i="1"/>
  <c r="DM103" i="1"/>
  <c r="DM183" i="1"/>
  <c r="DR155" i="1"/>
  <c r="DQ123" i="1"/>
  <c r="DN182" i="1"/>
  <c r="DN86" i="1"/>
  <c r="DQ171" i="1"/>
  <c r="DN56" i="1"/>
  <c r="DR104" i="1"/>
  <c r="DQ114" i="1"/>
  <c r="DR171" i="1"/>
  <c r="DN103" i="1"/>
  <c r="DR25" i="1"/>
  <c r="DR115" i="1"/>
  <c r="DO191" i="1"/>
  <c r="DM191" i="1"/>
  <c r="DO14" i="1"/>
  <c r="DM14" i="1"/>
  <c r="DO118" i="1"/>
  <c r="DN118" i="1"/>
  <c r="DO199" i="1"/>
  <c r="DM199" i="1"/>
  <c r="DN174" i="1"/>
  <c r="DN39" i="1"/>
  <c r="DM174" i="1"/>
  <c r="DR105" i="1"/>
  <c r="DR51" i="1"/>
  <c r="DR107" i="1"/>
  <c r="DQ187" i="1"/>
  <c r="DN135" i="1"/>
  <c r="DM39" i="1"/>
  <c r="DL110" i="1"/>
  <c r="DO110" i="1" s="1"/>
  <c r="DN159" i="1"/>
  <c r="DR137" i="1"/>
  <c r="DM135" i="1"/>
  <c r="DR153" i="1"/>
  <c r="DR83" i="1"/>
  <c r="DQ50" i="1"/>
  <c r="DR43" i="1"/>
  <c r="DR18" i="1"/>
  <c r="DN120" i="1"/>
  <c r="DM159" i="1"/>
  <c r="DM86" i="1"/>
  <c r="DR169" i="1"/>
  <c r="DR144" i="1"/>
  <c r="DR11" i="1"/>
  <c r="DQ82" i="1"/>
  <c r="DQ178" i="1"/>
  <c r="DO62" i="1"/>
  <c r="DN62" i="1"/>
  <c r="DM62" i="1"/>
  <c r="DO94" i="1"/>
  <c r="DN94" i="1"/>
  <c r="DM94" i="1"/>
  <c r="DW159" i="1"/>
  <c r="DY159" i="1" s="1"/>
  <c r="DT159" i="1"/>
  <c r="DU159" i="1"/>
  <c r="DV159" i="1"/>
  <c r="DX159" i="1" s="1"/>
  <c r="DW74" i="1"/>
  <c r="DY74" i="1" s="1"/>
  <c r="DU74" i="1"/>
  <c r="DW93" i="1"/>
  <c r="DY93" i="1" s="1"/>
  <c r="DU93" i="1"/>
  <c r="DW176" i="1"/>
  <c r="DY176" i="1" s="1"/>
  <c r="DV176" i="1"/>
  <c r="DX176" i="1" s="1"/>
  <c r="DT176" i="1"/>
  <c r="DU176" i="1"/>
  <c r="DW50" i="1"/>
  <c r="DY50" i="1" s="1"/>
  <c r="DU50" i="1"/>
  <c r="DW29" i="1"/>
  <c r="DY29" i="1" s="1"/>
  <c r="DU29" i="1"/>
  <c r="DW161" i="1"/>
  <c r="DY161" i="1" s="1"/>
  <c r="DU161" i="1"/>
  <c r="DW97" i="1"/>
  <c r="DY97" i="1" s="1"/>
  <c r="DU97" i="1"/>
  <c r="DW48" i="1"/>
  <c r="DY48" i="1" s="1"/>
  <c r="DT48" i="1"/>
  <c r="DV48" i="1"/>
  <c r="DX48" i="1" s="1"/>
  <c r="DU48" i="1"/>
  <c r="DW183" i="1"/>
  <c r="DY183" i="1" s="1"/>
  <c r="DT183" i="1"/>
  <c r="DV183" i="1"/>
  <c r="DX183" i="1" s="1"/>
  <c r="DU183" i="1"/>
  <c r="DW205" i="1"/>
  <c r="DY205" i="1" s="1"/>
  <c r="DU205" i="1"/>
  <c r="DW151" i="1"/>
  <c r="DY151" i="1" s="1"/>
  <c r="DT151" i="1"/>
  <c r="DV151" i="1"/>
  <c r="DX151" i="1" s="1"/>
  <c r="DU151" i="1"/>
  <c r="DW89" i="1"/>
  <c r="DY89" i="1" s="1"/>
  <c r="DU89" i="1"/>
  <c r="DW40" i="1"/>
  <c r="DY40" i="1" s="1"/>
  <c r="DT40" i="1"/>
  <c r="DV40" i="1"/>
  <c r="DX40" i="1" s="1"/>
  <c r="DU40" i="1"/>
  <c r="DW75" i="1"/>
  <c r="DY75" i="1" s="1"/>
  <c r="DU75" i="1"/>
  <c r="DW117" i="1"/>
  <c r="DY117" i="1" s="1"/>
  <c r="DU117" i="1"/>
  <c r="DW202" i="1"/>
  <c r="DY202" i="1" s="1"/>
  <c r="DU202" i="1"/>
  <c r="DW160" i="1"/>
  <c r="DY160" i="1" s="1"/>
  <c r="DV160" i="1"/>
  <c r="DX160" i="1" s="1"/>
  <c r="DT160" i="1"/>
  <c r="DU160" i="1"/>
  <c r="DW96" i="1"/>
  <c r="DY96" i="1" s="1"/>
  <c r="DV96" i="1"/>
  <c r="DX96" i="1" s="1"/>
  <c r="DT96" i="1"/>
  <c r="DU96" i="1"/>
  <c r="DW47" i="1"/>
  <c r="DY47" i="1" s="1"/>
  <c r="DT47" i="1"/>
  <c r="DV47" i="1"/>
  <c r="DX47" i="1" s="1"/>
  <c r="DU47" i="1"/>
  <c r="DW184" i="1"/>
  <c r="DY184" i="1" s="1"/>
  <c r="DV184" i="1"/>
  <c r="DX184" i="1" s="1"/>
  <c r="DT184" i="1"/>
  <c r="DU184" i="1"/>
  <c r="DW13" i="1"/>
  <c r="DY13" i="1" s="1"/>
  <c r="DU13" i="1"/>
  <c r="DW152" i="1"/>
  <c r="DY152" i="1" s="1"/>
  <c r="DV152" i="1"/>
  <c r="DX152" i="1" s="1"/>
  <c r="DT152" i="1"/>
  <c r="DU152" i="1"/>
  <c r="DW101" i="1"/>
  <c r="DY101" i="1" s="1"/>
  <c r="DU101" i="1"/>
  <c r="DW120" i="1"/>
  <c r="DY120" i="1" s="1"/>
  <c r="DV120" i="1"/>
  <c r="DX120" i="1" s="1"/>
  <c r="DT120" i="1"/>
  <c r="DU120" i="1"/>
  <c r="DW177" i="1"/>
  <c r="DY177" i="1" s="1"/>
  <c r="DU177" i="1"/>
  <c r="DW134" i="1"/>
  <c r="DY134" i="1" s="1"/>
  <c r="DT134" i="1"/>
  <c r="DU134" i="1"/>
  <c r="DV134" i="1"/>
  <c r="DX134" i="1" s="1"/>
  <c r="DW52" i="1"/>
  <c r="DY52" i="1" s="1"/>
  <c r="DU52" i="1"/>
  <c r="DW116" i="1"/>
  <c r="DY116" i="1" s="1"/>
  <c r="DU116" i="1"/>
  <c r="DW180" i="1"/>
  <c r="DY180" i="1" s="1"/>
  <c r="DU180" i="1"/>
  <c r="DW118" i="1"/>
  <c r="DY118" i="1" s="1"/>
  <c r="DT118" i="1"/>
  <c r="DU118" i="1"/>
  <c r="DV118" i="1"/>
  <c r="DX118" i="1" s="1"/>
  <c r="DN22" i="1"/>
  <c r="DN40" i="1"/>
  <c r="DM80" i="1"/>
  <c r="DN190" i="1"/>
  <c r="DR16" i="1"/>
  <c r="DR56" i="1"/>
  <c r="DR96" i="1"/>
  <c r="DR136" i="1"/>
  <c r="DR168" i="1"/>
  <c r="DR10" i="1"/>
  <c r="DQ74" i="1"/>
  <c r="DQ138" i="1"/>
  <c r="DR23" i="1"/>
  <c r="DR87" i="1"/>
  <c r="DR27" i="1"/>
  <c r="DR91" i="1"/>
  <c r="DR139" i="1"/>
  <c r="DQ194" i="1"/>
  <c r="DR60" i="1"/>
  <c r="DR124" i="1"/>
  <c r="DR188" i="1"/>
  <c r="DQ51" i="1"/>
  <c r="DQ115" i="1"/>
  <c r="DQ179" i="1"/>
  <c r="DR45" i="1"/>
  <c r="DR109" i="1"/>
  <c r="DR173" i="1"/>
  <c r="DQ36" i="1"/>
  <c r="DQ100" i="1"/>
  <c r="DQ172" i="1"/>
  <c r="DR54" i="1"/>
  <c r="DR118" i="1"/>
  <c r="DR182" i="1"/>
  <c r="DQ45" i="1"/>
  <c r="DQ109" i="1"/>
  <c r="DQ173" i="1"/>
  <c r="DR175" i="1"/>
  <c r="DQ38" i="1"/>
  <c r="DQ94" i="1"/>
  <c r="DQ150" i="1"/>
  <c r="DR24" i="1"/>
  <c r="DQ15" i="1"/>
  <c r="DQ79" i="1"/>
  <c r="DQ143" i="1"/>
  <c r="DQ207" i="1"/>
  <c r="DR129" i="1"/>
  <c r="DQ64" i="1"/>
  <c r="DQ128" i="1"/>
  <c r="DQ192" i="1"/>
  <c r="DR50" i="1"/>
  <c r="DR106" i="1"/>
  <c r="DR154" i="1"/>
  <c r="DQ25" i="1"/>
  <c r="DQ89" i="1"/>
  <c r="DQ153" i="1"/>
  <c r="DW203" i="1"/>
  <c r="DY203" i="1" s="1"/>
  <c r="DU203" i="1"/>
  <c r="DW138" i="1"/>
  <c r="DY138" i="1" s="1"/>
  <c r="DU138" i="1"/>
  <c r="DW87" i="1"/>
  <c r="DY87" i="1" s="1"/>
  <c r="DT87" i="1"/>
  <c r="DV87" i="1"/>
  <c r="DX87" i="1" s="1"/>
  <c r="DU87" i="1"/>
  <c r="DW27" i="1"/>
  <c r="DY27" i="1" s="1"/>
  <c r="DU27" i="1"/>
  <c r="DW69" i="1"/>
  <c r="DY69" i="1" s="1"/>
  <c r="DU69" i="1"/>
  <c r="DW115" i="1"/>
  <c r="DY115" i="1" s="1"/>
  <c r="DU115" i="1"/>
  <c r="DW178" i="1"/>
  <c r="DY178" i="1" s="1"/>
  <c r="DU178" i="1"/>
  <c r="DW145" i="1"/>
  <c r="DY145" i="1" s="1"/>
  <c r="DU145" i="1"/>
  <c r="DW83" i="1"/>
  <c r="DY83" i="1" s="1"/>
  <c r="DU83" i="1"/>
  <c r="DW34" i="1"/>
  <c r="DY34" i="1" s="1"/>
  <c r="DU34" i="1"/>
  <c r="DW173" i="1"/>
  <c r="DY173" i="1" s="1"/>
  <c r="DU173" i="1"/>
  <c r="DW73" i="1"/>
  <c r="DY73" i="1" s="1"/>
  <c r="DU73" i="1"/>
  <c r="DW88" i="1"/>
  <c r="DY88" i="1" s="1"/>
  <c r="DT88" i="1"/>
  <c r="DV88" i="1"/>
  <c r="DX88" i="1" s="1"/>
  <c r="DU88" i="1"/>
  <c r="DW37" i="1"/>
  <c r="DY37" i="1" s="1"/>
  <c r="DU37" i="1"/>
  <c r="DW56" i="1"/>
  <c r="DY56" i="1" s="1"/>
  <c r="DT56" i="1"/>
  <c r="DV56" i="1"/>
  <c r="DX56" i="1" s="1"/>
  <c r="DU56" i="1"/>
  <c r="DW62" i="1"/>
  <c r="DY62" i="1" s="1"/>
  <c r="DT62" i="1"/>
  <c r="DU62" i="1"/>
  <c r="DV62" i="1"/>
  <c r="DX62" i="1" s="1"/>
  <c r="DW174" i="1"/>
  <c r="DY174" i="1" s="1"/>
  <c r="DT174" i="1"/>
  <c r="DU174" i="1"/>
  <c r="DV174" i="1"/>
  <c r="DX174" i="1" s="1"/>
  <c r="DW60" i="1"/>
  <c r="DY60" i="1" s="1"/>
  <c r="DU60" i="1"/>
  <c r="DW124" i="1"/>
  <c r="DY124" i="1" s="1"/>
  <c r="DU124" i="1"/>
  <c r="DW188" i="1"/>
  <c r="DY188" i="1" s="1"/>
  <c r="DU188" i="1"/>
  <c r="DW142" i="1"/>
  <c r="DY142" i="1" s="1"/>
  <c r="DT142" i="1"/>
  <c r="DU142" i="1"/>
  <c r="DV142" i="1"/>
  <c r="DX142" i="1" s="1"/>
  <c r="DM120" i="1"/>
  <c r="DR31" i="1"/>
  <c r="DR95" i="1"/>
  <c r="DR195" i="1"/>
  <c r="DQ202" i="1"/>
  <c r="DR68" i="1"/>
  <c r="DR132" i="1"/>
  <c r="DR196" i="1"/>
  <c r="DR53" i="1"/>
  <c r="DR117" i="1"/>
  <c r="DR181" i="1"/>
  <c r="DQ44" i="1"/>
  <c r="DQ116" i="1"/>
  <c r="DQ180" i="1"/>
  <c r="DR62" i="1"/>
  <c r="DR126" i="1"/>
  <c r="DR190" i="1"/>
  <c r="DQ53" i="1"/>
  <c r="DQ117" i="1"/>
  <c r="DQ181" i="1"/>
  <c r="DR183" i="1"/>
  <c r="DQ46" i="1"/>
  <c r="DQ158" i="1"/>
  <c r="DQ23" i="1"/>
  <c r="DQ87" i="1"/>
  <c r="DQ151" i="1"/>
  <c r="DR17" i="1"/>
  <c r="DR145" i="1"/>
  <c r="DQ72" i="1"/>
  <c r="DQ136" i="1"/>
  <c r="DQ200" i="1"/>
  <c r="DR58" i="1"/>
  <c r="DR162" i="1"/>
  <c r="DQ33" i="1"/>
  <c r="DQ97" i="1"/>
  <c r="DQ161" i="1"/>
  <c r="DW95" i="1"/>
  <c r="DY95" i="1" s="1"/>
  <c r="DT95" i="1"/>
  <c r="DU95" i="1"/>
  <c r="DV95" i="1"/>
  <c r="DX95" i="1" s="1"/>
  <c r="DW192" i="1"/>
  <c r="DY192" i="1" s="1"/>
  <c r="DV192" i="1"/>
  <c r="DX192" i="1" s="1"/>
  <c r="DT192" i="1"/>
  <c r="DU192" i="1"/>
  <c r="DW25" i="1"/>
  <c r="DY25" i="1" s="1"/>
  <c r="DU25" i="1"/>
  <c r="DW131" i="1"/>
  <c r="DY131" i="1" s="1"/>
  <c r="DU131" i="1"/>
  <c r="DW143" i="1"/>
  <c r="DY143" i="1" s="1"/>
  <c r="DT143" i="1"/>
  <c r="DU143" i="1"/>
  <c r="DV143" i="1"/>
  <c r="DX143" i="1" s="1"/>
  <c r="DW81" i="1"/>
  <c r="DY81" i="1" s="1"/>
  <c r="DU81" i="1"/>
  <c r="DW32" i="1"/>
  <c r="DY32" i="1" s="1"/>
  <c r="DT32" i="1"/>
  <c r="DV32" i="1"/>
  <c r="DX32" i="1" s="1"/>
  <c r="DU32" i="1"/>
  <c r="DW171" i="1"/>
  <c r="DY171" i="1" s="1"/>
  <c r="DU171" i="1"/>
  <c r="DW41" i="1"/>
  <c r="DY41" i="1" s="1"/>
  <c r="DU41" i="1"/>
  <c r="DV10" i="1"/>
  <c r="DX10" i="1" s="1"/>
  <c r="DU10" i="1"/>
  <c r="DT10" i="1"/>
  <c r="DW185" i="1"/>
  <c r="DY185" i="1" s="1"/>
  <c r="DU185" i="1"/>
  <c r="DW14" i="1"/>
  <c r="DY14" i="1" s="1"/>
  <c r="DT14" i="1"/>
  <c r="DV14" i="1"/>
  <c r="DX14" i="1" s="1"/>
  <c r="DU14" i="1"/>
  <c r="DW110" i="1"/>
  <c r="DY110" i="1" s="1"/>
  <c r="DU110" i="1"/>
  <c r="DW206" i="1"/>
  <c r="DY206" i="1" s="1"/>
  <c r="DT206" i="1"/>
  <c r="DU206" i="1"/>
  <c r="DV206" i="1"/>
  <c r="DX206" i="1" s="1"/>
  <c r="DW68" i="1"/>
  <c r="DY68" i="1" s="1"/>
  <c r="DU68" i="1"/>
  <c r="DW132" i="1"/>
  <c r="DY132" i="1" s="1"/>
  <c r="DU132" i="1"/>
  <c r="DW196" i="1"/>
  <c r="DY196" i="1" s="1"/>
  <c r="DU196" i="1"/>
  <c r="DW190" i="1"/>
  <c r="DY190" i="1" s="1"/>
  <c r="DT190" i="1"/>
  <c r="DU190" i="1"/>
  <c r="DV190" i="1"/>
  <c r="DX190" i="1" s="1"/>
  <c r="DN38" i="1"/>
  <c r="DN71" i="1"/>
  <c r="DN96" i="1"/>
  <c r="DN176" i="1"/>
  <c r="DM144" i="1"/>
  <c r="DM142" i="1"/>
  <c r="DN64" i="1"/>
  <c r="DN198" i="1"/>
  <c r="DM126" i="1"/>
  <c r="DR32" i="1"/>
  <c r="DQ26" i="1"/>
  <c r="DQ90" i="1"/>
  <c r="DQ154" i="1"/>
  <c r="DR39" i="1"/>
  <c r="DR103" i="1"/>
  <c r="DR35" i="1"/>
  <c r="DR99" i="1"/>
  <c r="DQ108" i="1"/>
  <c r="DR76" i="1"/>
  <c r="DR140" i="1"/>
  <c r="DR204" i="1"/>
  <c r="DQ67" i="1"/>
  <c r="DQ131" i="1"/>
  <c r="DQ195" i="1"/>
  <c r="DR61" i="1"/>
  <c r="DR125" i="1"/>
  <c r="DR189" i="1"/>
  <c r="DQ52" i="1"/>
  <c r="DQ124" i="1"/>
  <c r="DQ188" i="1"/>
  <c r="DR70" i="1"/>
  <c r="DR134" i="1"/>
  <c r="DR198" i="1"/>
  <c r="DQ61" i="1"/>
  <c r="DQ125" i="1"/>
  <c r="DQ189" i="1"/>
  <c r="DR191" i="1"/>
  <c r="DQ54" i="1"/>
  <c r="DQ102" i="1"/>
  <c r="DQ166" i="1"/>
  <c r="DQ31" i="1"/>
  <c r="DQ95" i="1"/>
  <c r="DQ159" i="1"/>
  <c r="DR33" i="1"/>
  <c r="DR161" i="1"/>
  <c r="DQ16" i="1"/>
  <c r="DQ80" i="1"/>
  <c r="DQ144" i="1"/>
  <c r="DQ10" i="1"/>
  <c r="DR66" i="1"/>
  <c r="DR170" i="1"/>
  <c r="DQ41" i="1"/>
  <c r="DQ105" i="1"/>
  <c r="DQ169" i="1"/>
  <c r="DW82" i="1"/>
  <c r="DY82" i="1" s="1"/>
  <c r="DU82" i="1"/>
  <c r="DW85" i="1"/>
  <c r="DY85" i="1" s="1"/>
  <c r="DU85" i="1"/>
  <c r="DW144" i="1"/>
  <c r="DY144" i="1" s="1"/>
  <c r="DV144" i="1"/>
  <c r="DX144" i="1" s="1"/>
  <c r="DT144" i="1"/>
  <c r="DU144" i="1"/>
  <c r="DW80" i="1"/>
  <c r="DY80" i="1" s="1"/>
  <c r="DT80" i="1"/>
  <c r="DV80" i="1"/>
  <c r="DX80" i="1" s="1"/>
  <c r="DU80" i="1"/>
  <c r="DW125" i="1"/>
  <c r="DY125" i="1" s="1"/>
  <c r="DU125" i="1"/>
  <c r="DW121" i="1"/>
  <c r="DY121" i="1" s="1"/>
  <c r="DU121" i="1"/>
  <c r="DW72" i="1"/>
  <c r="DY72" i="1" s="1"/>
  <c r="DT72" i="1"/>
  <c r="DV72" i="1"/>
  <c r="DX72" i="1" s="1"/>
  <c r="DU72" i="1"/>
  <c r="DW23" i="1"/>
  <c r="DY23" i="1" s="1"/>
  <c r="DT23" i="1"/>
  <c r="DV23" i="1"/>
  <c r="DX23" i="1" s="1"/>
  <c r="DU23" i="1"/>
  <c r="DW187" i="1"/>
  <c r="DY187" i="1" s="1"/>
  <c r="DU187" i="1"/>
  <c r="DW53" i="1"/>
  <c r="DY53" i="1" s="1"/>
  <c r="DU53" i="1"/>
  <c r="DW197" i="1"/>
  <c r="DY197" i="1" s="1"/>
  <c r="DU197" i="1"/>
  <c r="DW130" i="1"/>
  <c r="DY130" i="1" s="1"/>
  <c r="DU130" i="1"/>
  <c r="DW79" i="1"/>
  <c r="DY79" i="1" s="1"/>
  <c r="DT79" i="1"/>
  <c r="DV79" i="1"/>
  <c r="DX79" i="1" s="1"/>
  <c r="DU79" i="1"/>
  <c r="DW19" i="1"/>
  <c r="DY19" i="1" s="1"/>
  <c r="DU19" i="1"/>
  <c r="DW141" i="1"/>
  <c r="DY141" i="1" s="1"/>
  <c r="DU141" i="1"/>
  <c r="DW99" i="1"/>
  <c r="DY99" i="1" s="1"/>
  <c r="DU99" i="1"/>
  <c r="DW200" i="1"/>
  <c r="DY200" i="1" s="1"/>
  <c r="DV200" i="1"/>
  <c r="DX200" i="1" s="1"/>
  <c r="DT200" i="1"/>
  <c r="DU200" i="1"/>
  <c r="DW193" i="1"/>
  <c r="DY193" i="1" s="1"/>
  <c r="DU193" i="1"/>
  <c r="DW22" i="1"/>
  <c r="DY22" i="1" s="1"/>
  <c r="DT22" i="1"/>
  <c r="DV22" i="1"/>
  <c r="DX22" i="1" s="1"/>
  <c r="DU22" i="1"/>
  <c r="DW150" i="1"/>
  <c r="DY150" i="1" s="1"/>
  <c r="DT150" i="1"/>
  <c r="DU150" i="1"/>
  <c r="DV150" i="1"/>
  <c r="DX150" i="1" s="1"/>
  <c r="DW46" i="1"/>
  <c r="DY46" i="1" s="1"/>
  <c r="DT46" i="1"/>
  <c r="DU46" i="1"/>
  <c r="DV46" i="1"/>
  <c r="DX46" i="1" s="1"/>
  <c r="DW76" i="1"/>
  <c r="DY76" i="1" s="1"/>
  <c r="DU76" i="1"/>
  <c r="DW140" i="1"/>
  <c r="DY140" i="1" s="1"/>
  <c r="DU140" i="1"/>
  <c r="DW204" i="1"/>
  <c r="DY204" i="1" s="1"/>
  <c r="DU204" i="1"/>
  <c r="DW70" i="1"/>
  <c r="DY70" i="1" s="1"/>
  <c r="DT70" i="1"/>
  <c r="DU70" i="1"/>
  <c r="DV70" i="1"/>
  <c r="DX70" i="1" s="1"/>
  <c r="DN72" i="1"/>
  <c r="DN127" i="1"/>
  <c r="DN167" i="1"/>
  <c r="DM167" i="1"/>
  <c r="DM166" i="1"/>
  <c r="DQ34" i="1"/>
  <c r="DQ98" i="1"/>
  <c r="DR47" i="1"/>
  <c r="DR111" i="1"/>
  <c r="DR20" i="1"/>
  <c r="DR84" i="1"/>
  <c r="DR148" i="1"/>
  <c r="DQ11" i="1"/>
  <c r="DQ75" i="1"/>
  <c r="DQ139" i="1"/>
  <c r="DQ203" i="1"/>
  <c r="DR69" i="1"/>
  <c r="DR133" i="1"/>
  <c r="DR197" i="1"/>
  <c r="DQ60" i="1"/>
  <c r="DQ132" i="1"/>
  <c r="DQ204" i="1"/>
  <c r="DR78" i="1"/>
  <c r="DR142" i="1"/>
  <c r="DR206" i="1"/>
  <c r="DQ69" i="1"/>
  <c r="DQ133" i="1"/>
  <c r="DQ197" i="1"/>
  <c r="DR199" i="1"/>
  <c r="DQ62" i="1"/>
  <c r="DQ110" i="1"/>
  <c r="DQ174" i="1"/>
  <c r="DQ39" i="1"/>
  <c r="DQ103" i="1"/>
  <c r="DQ167" i="1"/>
  <c r="DR49" i="1"/>
  <c r="DR177" i="1"/>
  <c r="DQ24" i="1"/>
  <c r="DQ88" i="1"/>
  <c r="DQ152" i="1"/>
  <c r="DR74" i="1"/>
  <c r="DR122" i="1"/>
  <c r="DQ49" i="1"/>
  <c r="DQ113" i="1"/>
  <c r="DQ177" i="1"/>
  <c r="DW146" i="1"/>
  <c r="DY146" i="1" s="1"/>
  <c r="DU146" i="1"/>
  <c r="DW43" i="1"/>
  <c r="DY43" i="1" s="1"/>
  <c r="DU43" i="1"/>
  <c r="DW31" i="1"/>
  <c r="DY31" i="1" s="1"/>
  <c r="DT31" i="1"/>
  <c r="DV31" i="1"/>
  <c r="DX31" i="1" s="1"/>
  <c r="DU31" i="1"/>
  <c r="DW181" i="1"/>
  <c r="DY181" i="1" s="1"/>
  <c r="DU181" i="1"/>
  <c r="DW129" i="1"/>
  <c r="DY129" i="1" s="1"/>
  <c r="DU129" i="1"/>
  <c r="DW67" i="1"/>
  <c r="DY67" i="1" s="1"/>
  <c r="DU67" i="1"/>
  <c r="DW18" i="1"/>
  <c r="DY18" i="1" s="1"/>
  <c r="DU18" i="1"/>
  <c r="DW123" i="1"/>
  <c r="DY123" i="1" s="1"/>
  <c r="DU123" i="1"/>
  <c r="DW179" i="1"/>
  <c r="DY179" i="1" s="1"/>
  <c r="DU179" i="1"/>
  <c r="DW119" i="1"/>
  <c r="DY119" i="1" s="1"/>
  <c r="DT119" i="1"/>
  <c r="DV119" i="1"/>
  <c r="DX119" i="1" s="1"/>
  <c r="DU119" i="1"/>
  <c r="DW59" i="1"/>
  <c r="DY59" i="1" s="1"/>
  <c r="DU59" i="1"/>
  <c r="DW137" i="1"/>
  <c r="DY137" i="1" s="1"/>
  <c r="DU137" i="1"/>
  <c r="DW201" i="1"/>
  <c r="DY201" i="1" s="1"/>
  <c r="DU201" i="1"/>
  <c r="DW21" i="1"/>
  <c r="DY21" i="1" s="1"/>
  <c r="DU21" i="1"/>
  <c r="DW195" i="1"/>
  <c r="DY195" i="1" s="1"/>
  <c r="DU195" i="1"/>
  <c r="DW128" i="1"/>
  <c r="DY128" i="1" s="1"/>
  <c r="DV128" i="1"/>
  <c r="DX128" i="1" s="1"/>
  <c r="DT128" i="1"/>
  <c r="DU128" i="1"/>
  <c r="DW66" i="1"/>
  <c r="DY66" i="1" s="1"/>
  <c r="DU66" i="1"/>
  <c r="DW17" i="1"/>
  <c r="DY17" i="1" s="1"/>
  <c r="DU17" i="1"/>
  <c r="DW139" i="1"/>
  <c r="DY139" i="1" s="1"/>
  <c r="DU139" i="1"/>
  <c r="DW189" i="1"/>
  <c r="DY189" i="1" s="1"/>
  <c r="DU189" i="1"/>
  <c r="DW167" i="1"/>
  <c r="DY167" i="1" s="1"/>
  <c r="DT167" i="1"/>
  <c r="DV167" i="1"/>
  <c r="DX167" i="1" s="1"/>
  <c r="DU167" i="1"/>
  <c r="DW12" i="1"/>
  <c r="DY12" i="1" s="1"/>
  <c r="DU12" i="1"/>
  <c r="DW30" i="1"/>
  <c r="DY30" i="1" s="1"/>
  <c r="DT30" i="1"/>
  <c r="DU30" i="1"/>
  <c r="DV30" i="1"/>
  <c r="DX30" i="1" s="1"/>
  <c r="DW198" i="1"/>
  <c r="DY198" i="1" s="1"/>
  <c r="DT198" i="1"/>
  <c r="DU198" i="1"/>
  <c r="DV198" i="1"/>
  <c r="DX198" i="1" s="1"/>
  <c r="DW126" i="1"/>
  <c r="DY126" i="1" s="1"/>
  <c r="DT126" i="1"/>
  <c r="DU126" i="1"/>
  <c r="DV126" i="1"/>
  <c r="DX126" i="1" s="1"/>
  <c r="DW84" i="1"/>
  <c r="DY84" i="1" s="1"/>
  <c r="DU84" i="1"/>
  <c r="DW148" i="1"/>
  <c r="DY148" i="1" s="1"/>
  <c r="DU148" i="1"/>
  <c r="DW38" i="1"/>
  <c r="DY38" i="1" s="1"/>
  <c r="DT38" i="1"/>
  <c r="DU38" i="1"/>
  <c r="DV38" i="1"/>
  <c r="DX38" i="1" s="1"/>
  <c r="DW166" i="1"/>
  <c r="DY166" i="1" s="1"/>
  <c r="DT166" i="1"/>
  <c r="DU166" i="1"/>
  <c r="DV166" i="1"/>
  <c r="DX166" i="1" s="1"/>
  <c r="DM16" i="1"/>
  <c r="DN80" i="1"/>
  <c r="DN160" i="1"/>
  <c r="DM31" i="1"/>
  <c r="DM32" i="1"/>
  <c r="DM54" i="1"/>
  <c r="DR40" i="1"/>
  <c r="DR72" i="1"/>
  <c r="DR112" i="1"/>
  <c r="DR152" i="1"/>
  <c r="DR192" i="1"/>
  <c r="DQ42" i="1"/>
  <c r="DQ106" i="1"/>
  <c r="DR55" i="1"/>
  <c r="DR119" i="1"/>
  <c r="DR163" i="1"/>
  <c r="DQ162" i="1"/>
  <c r="DR28" i="1"/>
  <c r="DR92" i="1"/>
  <c r="DR156" i="1"/>
  <c r="DQ19" i="1"/>
  <c r="DQ83" i="1"/>
  <c r="DQ147" i="1"/>
  <c r="DQ196" i="1"/>
  <c r="DR77" i="1"/>
  <c r="DR141" i="1"/>
  <c r="DR205" i="1"/>
  <c r="DQ68" i="1"/>
  <c r="DQ140" i="1"/>
  <c r="DR22" i="1"/>
  <c r="DR86" i="1"/>
  <c r="DR150" i="1"/>
  <c r="DQ13" i="1"/>
  <c r="DQ77" i="1"/>
  <c r="DQ141" i="1"/>
  <c r="DQ205" i="1"/>
  <c r="DR207" i="1"/>
  <c r="DQ118" i="1"/>
  <c r="DQ182" i="1"/>
  <c r="DR120" i="1"/>
  <c r="DQ47" i="1"/>
  <c r="DQ111" i="1"/>
  <c r="DQ175" i="1"/>
  <c r="DR65" i="1"/>
  <c r="DR193" i="1"/>
  <c r="DQ32" i="1"/>
  <c r="DQ96" i="1"/>
  <c r="DQ160" i="1"/>
  <c r="DR82" i="1"/>
  <c r="DR130" i="1"/>
  <c r="DQ57" i="1"/>
  <c r="DQ121" i="1"/>
  <c r="DQ185" i="1"/>
  <c r="DW157" i="1"/>
  <c r="DY157" i="1" s="1"/>
  <c r="DU157" i="1"/>
  <c r="DW33" i="1"/>
  <c r="DY33" i="1" s="1"/>
  <c r="DU33" i="1"/>
  <c r="DW65" i="1"/>
  <c r="DY65" i="1" s="1"/>
  <c r="DU65" i="1"/>
  <c r="DW106" i="1"/>
  <c r="DY106" i="1" s="1"/>
  <c r="DU106" i="1"/>
  <c r="DW122" i="1"/>
  <c r="DY122" i="1" s="1"/>
  <c r="DU122" i="1"/>
  <c r="DW169" i="1"/>
  <c r="DY169" i="1" s="1"/>
  <c r="DU169" i="1"/>
  <c r="DW113" i="1"/>
  <c r="DY113" i="1" s="1"/>
  <c r="DU113" i="1"/>
  <c r="DW15" i="1"/>
  <c r="DY15" i="1" s="1"/>
  <c r="DT15" i="1"/>
  <c r="DV15" i="1"/>
  <c r="DX15" i="1" s="1"/>
  <c r="DU15" i="1"/>
  <c r="DW133" i="1"/>
  <c r="DY133" i="1" s="1"/>
  <c r="DU133" i="1"/>
  <c r="DW20" i="1"/>
  <c r="DY20" i="1" s="1"/>
  <c r="DU20" i="1"/>
  <c r="DW54" i="1"/>
  <c r="DY54" i="1" s="1"/>
  <c r="DT54" i="1"/>
  <c r="DU54" i="1"/>
  <c r="DV54" i="1"/>
  <c r="DX54" i="1" s="1"/>
  <c r="DW182" i="1"/>
  <c r="DY182" i="1" s="1"/>
  <c r="DT182" i="1"/>
  <c r="DU182" i="1"/>
  <c r="DV182" i="1"/>
  <c r="DX182" i="1" s="1"/>
  <c r="DW92" i="1"/>
  <c r="DY92" i="1" s="1"/>
  <c r="DU92" i="1"/>
  <c r="DW156" i="1"/>
  <c r="DY156" i="1" s="1"/>
  <c r="DU156" i="1"/>
  <c r="DM56" i="1"/>
  <c r="DM22" i="1"/>
  <c r="DR63" i="1"/>
  <c r="DR127" i="1"/>
  <c r="DQ170" i="1"/>
  <c r="DR36" i="1"/>
  <c r="DR100" i="1"/>
  <c r="DR164" i="1"/>
  <c r="DQ27" i="1"/>
  <c r="DQ91" i="1"/>
  <c r="DQ155" i="1"/>
  <c r="DR21" i="1"/>
  <c r="DR85" i="1"/>
  <c r="DR149" i="1"/>
  <c r="DQ12" i="1"/>
  <c r="DQ76" i="1"/>
  <c r="DQ148" i="1"/>
  <c r="DR30" i="1"/>
  <c r="DR94" i="1"/>
  <c r="DR158" i="1"/>
  <c r="DQ21" i="1"/>
  <c r="DQ85" i="1"/>
  <c r="DQ149" i="1"/>
  <c r="DR151" i="1"/>
  <c r="DQ14" i="1"/>
  <c r="DQ70" i="1"/>
  <c r="DQ126" i="1"/>
  <c r="DQ190" i="1"/>
  <c r="DQ55" i="1"/>
  <c r="DQ119" i="1"/>
  <c r="DQ183" i="1"/>
  <c r="DR81" i="1"/>
  <c r="DQ40" i="1"/>
  <c r="DQ104" i="1"/>
  <c r="DQ168" i="1"/>
  <c r="DR26" i="1"/>
  <c r="DR138" i="1"/>
  <c r="DR186" i="1"/>
  <c r="DQ65" i="1"/>
  <c r="DQ129" i="1"/>
  <c r="DQ193" i="1"/>
  <c r="DW155" i="1"/>
  <c r="DY155" i="1" s="1"/>
  <c r="DU155" i="1"/>
  <c r="DW127" i="1"/>
  <c r="DY127" i="1" s="1"/>
  <c r="DT127" i="1"/>
  <c r="DU127" i="1"/>
  <c r="DV127" i="1"/>
  <c r="DX127" i="1" s="1"/>
  <c r="DW170" i="1"/>
  <c r="DY170" i="1" s="1"/>
  <c r="DU170" i="1"/>
  <c r="DW57" i="1"/>
  <c r="DY57" i="1" s="1"/>
  <c r="DU57" i="1"/>
  <c r="DW199" i="1"/>
  <c r="DY199" i="1" s="1"/>
  <c r="DT199" i="1"/>
  <c r="DU199" i="1"/>
  <c r="DV199" i="1"/>
  <c r="DX199" i="1" s="1"/>
  <c r="DW186" i="1"/>
  <c r="DY186" i="1" s="1"/>
  <c r="DU186" i="1"/>
  <c r="DW64" i="1"/>
  <c r="DY64" i="1" s="1"/>
  <c r="DT64" i="1"/>
  <c r="DV64" i="1"/>
  <c r="DX64" i="1" s="1"/>
  <c r="DU64" i="1"/>
  <c r="DW109" i="1"/>
  <c r="DY109" i="1" s="1"/>
  <c r="DU109" i="1"/>
  <c r="DW103" i="1"/>
  <c r="DY103" i="1" s="1"/>
  <c r="DT103" i="1"/>
  <c r="DU103" i="1"/>
  <c r="DV103" i="1"/>
  <c r="DX103" i="1" s="1"/>
  <c r="DW135" i="1"/>
  <c r="DY135" i="1" s="1"/>
  <c r="DT135" i="1"/>
  <c r="DU135" i="1"/>
  <c r="DV135" i="1"/>
  <c r="DX135" i="1" s="1"/>
  <c r="DW86" i="1"/>
  <c r="DY86" i="1" s="1"/>
  <c r="DT86" i="1"/>
  <c r="DU86" i="1"/>
  <c r="DV86" i="1"/>
  <c r="DX86" i="1" s="1"/>
  <c r="DW114" i="1"/>
  <c r="DY114" i="1" s="1"/>
  <c r="DU114" i="1"/>
  <c r="DW63" i="1"/>
  <c r="DY63" i="1" s="1"/>
  <c r="DT63" i="1"/>
  <c r="DU63" i="1"/>
  <c r="DV63" i="1"/>
  <c r="DX63" i="1" s="1"/>
  <c r="DW207" i="1"/>
  <c r="DY207" i="1" s="1"/>
  <c r="DT207" i="1"/>
  <c r="DU207" i="1"/>
  <c r="DV207" i="1"/>
  <c r="DX207" i="1" s="1"/>
  <c r="DW61" i="1"/>
  <c r="DY61" i="1" s="1"/>
  <c r="DU61" i="1"/>
  <c r="DW168" i="1"/>
  <c r="DY168" i="1" s="1"/>
  <c r="DV168" i="1"/>
  <c r="DX168" i="1" s="1"/>
  <c r="DT168" i="1"/>
  <c r="DU168" i="1"/>
  <c r="DW104" i="1"/>
  <c r="DY104" i="1" s="1"/>
  <c r="DV104" i="1"/>
  <c r="DX104" i="1" s="1"/>
  <c r="DT104" i="1"/>
  <c r="DU104" i="1"/>
  <c r="DW55" i="1"/>
  <c r="DY55" i="1" s="1"/>
  <c r="DT55" i="1"/>
  <c r="DV55" i="1"/>
  <c r="DX55" i="1" s="1"/>
  <c r="DU55" i="1"/>
  <c r="DW107" i="1"/>
  <c r="DY107" i="1" s="1"/>
  <c r="DU107" i="1"/>
  <c r="DW149" i="1"/>
  <c r="DY149" i="1" s="1"/>
  <c r="DU149" i="1"/>
  <c r="DW105" i="1"/>
  <c r="DY105" i="1" s="1"/>
  <c r="DU105" i="1"/>
  <c r="DW175" i="1"/>
  <c r="DY175" i="1" s="1"/>
  <c r="DT175" i="1"/>
  <c r="DV175" i="1"/>
  <c r="DX175" i="1" s="1"/>
  <c r="DU175" i="1"/>
  <c r="DW111" i="1"/>
  <c r="DY111" i="1" s="1"/>
  <c r="DT111" i="1"/>
  <c r="DV111" i="1"/>
  <c r="DX111" i="1" s="1"/>
  <c r="DU111" i="1"/>
  <c r="DW51" i="1"/>
  <c r="DY51" i="1" s="1"/>
  <c r="DU51" i="1"/>
  <c r="DW154" i="1"/>
  <c r="DY154" i="1" s="1"/>
  <c r="DU154" i="1"/>
  <c r="DW77" i="1"/>
  <c r="DY77" i="1" s="1"/>
  <c r="DU77" i="1"/>
  <c r="DW26" i="1"/>
  <c r="DY26" i="1" s="1"/>
  <c r="DU26" i="1"/>
  <c r="DW39" i="1"/>
  <c r="DY39" i="1" s="1"/>
  <c r="DT39" i="1"/>
  <c r="DV39" i="1"/>
  <c r="DX39" i="1" s="1"/>
  <c r="DU39" i="1"/>
  <c r="DW28" i="1"/>
  <c r="DY28" i="1" s="1"/>
  <c r="DU28" i="1"/>
  <c r="DW71" i="1"/>
  <c r="DY71" i="1" s="1"/>
  <c r="DT71" i="1"/>
  <c r="DU71" i="1"/>
  <c r="DV71" i="1"/>
  <c r="DX71" i="1" s="1"/>
  <c r="DW158" i="1"/>
  <c r="DY158" i="1" s="1"/>
  <c r="DT158" i="1"/>
  <c r="DU158" i="1"/>
  <c r="DV158" i="1"/>
  <c r="DX158" i="1" s="1"/>
  <c r="DW36" i="1"/>
  <c r="DY36" i="1" s="1"/>
  <c r="DU36" i="1"/>
  <c r="DW100" i="1"/>
  <c r="DY100" i="1" s="1"/>
  <c r="DU100" i="1"/>
  <c r="DW164" i="1"/>
  <c r="DY164" i="1" s="1"/>
  <c r="DU164" i="1"/>
  <c r="DW94" i="1"/>
  <c r="DY94" i="1" s="1"/>
  <c r="DT94" i="1"/>
  <c r="DU94" i="1"/>
  <c r="DV94" i="1"/>
  <c r="DX94" i="1" s="1"/>
  <c r="DN144" i="1"/>
  <c r="DM71" i="1"/>
  <c r="DM64" i="1"/>
  <c r="DM118" i="1"/>
  <c r="DM206" i="1"/>
  <c r="DN183" i="1"/>
  <c r="DR57" i="1"/>
  <c r="DR185" i="1"/>
  <c r="DR48" i="1"/>
  <c r="DR80" i="1"/>
  <c r="DR128" i="1"/>
  <c r="DR160" i="1"/>
  <c r="DR200" i="1"/>
  <c r="DR12" i="1"/>
  <c r="DQ58" i="1"/>
  <c r="DQ122" i="1"/>
  <c r="DR14" i="1"/>
  <c r="DR71" i="1"/>
  <c r="DR135" i="1"/>
  <c r="DR44" i="1"/>
  <c r="DR108" i="1"/>
  <c r="DR172" i="1"/>
  <c r="DQ35" i="1"/>
  <c r="DQ99" i="1"/>
  <c r="DQ163" i="1"/>
  <c r="DR29" i="1"/>
  <c r="DR93" i="1"/>
  <c r="DR157" i="1"/>
  <c r="DQ20" i="1"/>
  <c r="DQ84" i="1"/>
  <c r="DQ156" i="1"/>
  <c r="DR38" i="1"/>
  <c r="DR102" i="1"/>
  <c r="DR166" i="1"/>
  <c r="DQ29" i="1"/>
  <c r="DQ93" i="1"/>
  <c r="DQ157" i="1"/>
  <c r="DR159" i="1"/>
  <c r="DQ22" i="1"/>
  <c r="DQ78" i="1"/>
  <c r="DQ134" i="1"/>
  <c r="DQ198" i="1"/>
  <c r="DR184" i="1"/>
  <c r="DQ63" i="1"/>
  <c r="DQ127" i="1"/>
  <c r="DQ191" i="1"/>
  <c r="DR97" i="1"/>
  <c r="DQ48" i="1"/>
  <c r="DQ112" i="1"/>
  <c r="DQ176" i="1"/>
  <c r="DR34" i="1"/>
  <c r="DR90" i="1"/>
  <c r="DR146" i="1"/>
  <c r="DR194" i="1"/>
  <c r="DQ73" i="1"/>
  <c r="DQ137" i="1"/>
  <c r="DQ201" i="1"/>
  <c r="DW35" i="1"/>
  <c r="DY35" i="1" s="1"/>
  <c r="DU35" i="1"/>
  <c r="DW136" i="1"/>
  <c r="DY136" i="1" s="1"/>
  <c r="DV136" i="1"/>
  <c r="DX136" i="1" s="1"/>
  <c r="DT136" i="1"/>
  <c r="DU136" i="1"/>
  <c r="DW16" i="1"/>
  <c r="DY16" i="1" s="1"/>
  <c r="DT16" i="1"/>
  <c r="DV16" i="1"/>
  <c r="DX16" i="1" s="1"/>
  <c r="DU16" i="1"/>
  <c r="DW112" i="1"/>
  <c r="DY112" i="1" s="1"/>
  <c r="DV112" i="1"/>
  <c r="DX112" i="1" s="1"/>
  <c r="DT112" i="1"/>
  <c r="DU112" i="1"/>
  <c r="DW194" i="1"/>
  <c r="DY194" i="1" s="1"/>
  <c r="DU194" i="1"/>
  <c r="DW153" i="1"/>
  <c r="DY153" i="1" s="1"/>
  <c r="DU153" i="1"/>
  <c r="DW91" i="1"/>
  <c r="DY91" i="1" s="1"/>
  <c r="DU91" i="1"/>
  <c r="DW42" i="1"/>
  <c r="DY42" i="1" s="1"/>
  <c r="DU42" i="1"/>
  <c r="DW90" i="1"/>
  <c r="DY90" i="1" s="1"/>
  <c r="DU90" i="1"/>
  <c r="DW147" i="1"/>
  <c r="DY147" i="1" s="1"/>
  <c r="DU147" i="1"/>
  <c r="DW58" i="1"/>
  <c r="DY58" i="1" s="1"/>
  <c r="DU58" i="1"/>
  <c r="DW162" i="1"/>
  <c r="DY162" i="1" s="1"/>
  <c r="DU162" i="1"/>
  <c r="DW98" i="1"/>
  <c r="DY98" i="1" s="1"/>
  <c r="DU98" i="1"/>
  <c r="DW49" i="1"/>
  <c r="DY49" i="1" s="1"/>
  <c r="DU49" i="1"/>
  <c r="DW163" i="1"/>
  <c r="DY163" i="1" s="1"/>
  <c r="DU163" i="1"/>
  <c r="DW45" i="1"/>
  <c r="DY45" i="1" s="1"/>
  <c r="DU45" i="1"/>
  <c r="DW24" i="1"/>
  <c r="DY24" i="1" s="1"/>
  <c r="DT24" i="1"/>
  <c r="DV24" i="1"/>
  <c r="DX24" i="1" s="1"/>
  <c r="DU24" i="1"/>
  <c r="DW165" i="1"/>
  <c r="DY165" i="1" s="1"/>
  <c r="DU165" i="1"/>
  <c r="DW191" i="1"/>
  <c r="DY191" i="1" s="1"/>
  <c r="DT191" i="1"/>
  <c r="DU191" i="1"/>
  <c r="DV191" i="1"/>
  <c r="DX191" i="1" s="1"/>
  <c r="DW11" i="1"/>
  <c r="DY11" i="1" s="1"/>
  <c r="DU11" i="1"/>
  <c r="DW78" i="1"/>
  <c r="DY78" i="1" s="1"/>
  <c r="DT78" i="1"/>
  <c r="DU78" i="1"/>
  <c r="DV78" i="1"/>
  <c r="DX78" i="1" s="1"/>
  <c r="DW44" i="1"/>
  <c r="DY44" i="1" s="1"/>
  <c r="DU44" i="1"/>
  <c r="DW108" i="1"/>
  <c r="DY108" i="1" s="1"/>
  <c r="DU108" i="1"/>
  <c r="DW172" i="1"/>
  <c r="DY172" i="1" s="1"/>
  <c r="DU172" i="1"/>
  <c r="DW102" i="1"/>
  <c r="DY102" i="1" s="1"/>
  <c r="DT102" i="1"/>
  <c r="DU102" i="1"/>
  <c r="DV102" i="1"/>
  <c r="DX102" i="1" s="1"/>
  <c r="DM95" i="1"/>
  <c r="DM72" i="1"/>
  <c r="DM134" i="1"/>
  <c r="DR73" i="1"/>
  <c r="DR201" i="1"/>
  <c r="DR75" i="1"/>
  <c r="DR179" i="1"/>
  <c r="DQ66" i="1"/>
  <c r="DQ130" i="1"/>
  <c r="DR15" i="1"/>
  <c r="DR79" i="1"/>
  <c r="DR143" i="1"/>
  <c r="DR67" i="1"/>
  <c r="DR131" i="1"/>
  <c r="DR187" i="1"/>
  <c r="DQ186" i="1"/>
  <c r="DR52" i="1"/>
  <c r="DR116" i="1"/>
  <c r="DR180" i="1"/>
  <c r="DQ43" i="1"/>
  <c r="DQ107" i="1"/>
  <c r="DR37" i="1"/>
  <c r="DR101" i="1"/>
  <c r="DR165" i="1"/>
  <c r="DQ28" i="1"/>
  <c r="DQ92" i="1"/>
  <c r="DQ164" i="1"/>
  <c r="DR46" i="1"/>
  <c r="DR110" i="1"/>
  <c r="DR174" i="1"/>
  <c r="DQ37" i="1"/>
  <c r="DQ101" i="1"/>
  <c r="DQ165" i="1"/>
  <c r="DR167" i="1"/>
  <c r="DQ30" i="1"/>
  <c r="DQ86" i="1"/>
  <c r="DQ142" i="1"/>
  <c r="DQ206" i="1"/>
  <c r="DQ71" i="1"/>
  <c r="DQ135" i="1"/>
  <c r="DQ199" i="1"/>
  <c r="DR113" i="1"/>
  <c r="DQ56" i="1"/>
  <c r="DQ120" i="1"/>
  <c r="DQ184" i="1"/>
  <c r="DR42" i="1"/>
  <c r="DR98" i="1"/>
  <c r="DR202" i="1"/>
  <c r="DQ81" i="1"/>
  <c r="DQ145" i="1"/>
  <c r="DQ17" i="1"/>
  <c r="DL49" i="1"/>
  <c r="DT49" i="1" s="1"/>
  <c r="DL113" i="1"/>
  <c r="DV113" i="1" s="1"/>
  <c r="DX113" i="1" s="1"/>
  <c r="DL177" i="1"/>
  <c r="DV177" i="1" s="1"/>
  <c r="DX177" i="1" s="1"/>
  <c r="DL50" i="1"/>
  <c r="DV50" i="1" s="1"/>
  <c r="DX50" i="1" s="1"/>
  <c r="DL114" i="1"/>
  <c r="DV114" i="1" s="1"/>
  <c r="DX114" i="1" s="1"/>
  <c r="DL178" i="1"/>
  <c r="DV178" i="1" s="1"/>
  <c r="DX178" i="1" s="1"/>
  <c r="DL43" i="1"/>
  <c r="DT43" i="1" s="1"/>
  <c r="DL107" i="1"/>
  <c r="DT107" i="1" s="1"/>
  <c r="DL171" i="1"/>
  <c r="DT171" i="1" s="1"/>
  <c r="DL36" i="1"/>
  <c r="DT36" i="1" s="1"/>
  <c r="DL100" i="1"/>
  <c r="DT100" i="1" s="1"/>
  <c r="DL164" i="1"/>
  <c r="DT164" i="1" s="1"/>
  <c r="DL37" i="1"/>
  <c r="DV37" i="1" s="1"/>
  <c r="DX37" i="1" s="1"/>
  <c r="DL101" i="1"/>
  <c r="DT101" i="1" s="1"/>
  <c r="DL165" i="1"/>
  <c r="DT165" i="1" s="1"/>
  <c r="DM184" i="1"/>
  <c r="DL57" i="1"/>
  <c r="DT57" i="1" s="1"/>
  <c r="DL121" i="1"/>
  <c r="DN121" i="1" s="1"/>
  <c r="DL185" i="1"/>
  <c r="DN185" i="1" s="1"/>
  <c r="DL58" i="1"/>
  <c r="DT58" i="1" s="1"/>
  <c r="DL122" i="1"/>
  <c r="DV122" i="1" s="1"/>
  <c r="DX122" i="1" s="1"/>
  <c r="DL186" i="1"/>
  <c r="DV186" i="1" s="1"/>
  <c r="DX186" i="1" s="1"/>
  <c r="DL51" i="1"/>
  <c r="DT51" i="1" s="1"/>
  <c r="DL115" i="1"/>
  <c r="DV115" i="1" s="1"/>
  <c r="DX115" i="1" s="1"/>
  <c r="DL179" i="1"/>
  <c r="DT179" i="1" s="1"/>
  <c r="DL44" i="1"/>
  <c r="DT44" i="1" s="1"/>
  <c r="DL108" i="1"/>
  <c r="DT108" i="1" s="1"/>
  <c r="DL172" i="1"/>
  <c r="DT172" i="1" s="1"/>
  <c r="DL45" i="1"/>
  <c r="DN45" i="1" s="1"/>
  <c r="DL109" i="1"/>
  <c r="DT109" i="1" s="1"/>
  <c r="DL173" i="1"/>
  <c r="DT173" i="1" s="1"/>
  <c r="DN112" i="1"/>
  <c r="DM128" i="1"/>
  <c r="DN150" i="1"/>
  <c r="DN207" i="1"/>
  <c r="DL65" i="1"/>
  <c r="DN65" i="1" s="1"/>
  <c r="DL129" i="1"/>
  <c r="DN129" i="1" s="1"/>
  <c r="DL193" i="1"/>
  <c r="DV193" i="1" s="1"/>
  <c r="DX193" i="1" s="1"/>
  <c r="DL66" i="1"/>
  <c r="DT66" i="1" s="1"/>
  <c r="DL130" i="1"/>
  <c r="DV130" i="1" s="1"/>
  <c r="DX130" i="1" s="1"/>
  <c r="DL194" i="1"/>
  <c r="DV194" i="1" s="1"/>
  <c r="DX194" i="1" s="1"/>
  <c r="DL59" i="1"/>
  <c r="DT59" i="1" s="1"/>
  <c r="DL123" i="1"/>
  <c r="DT123" i="1" s="1"/>
  <c r="DL187" i="1"/>
  <c r="DT187" i="1" s="1"/>
  <c r="DL52" i="1"/>
  <c r="DT52" i="1" s="1"/>
  <c r="DL116" i="1"/>
  <c r="DV116" i="1" s="1"/>
  <c r="DX116" i="1" s="1"/>
  <c r="DL180" i="1"/>
  <c r="DN180" i="1" s="1"/>
  <c r="DL53" i="1"/>
  <c r="DT53" i="1" s="1"/>
  <c r="DL117" i="1"/>
  <c r="DT117" i="1" s="1"/>
  <c r="DL181" i="1"/>
  <c r="DT181" i="1" s="1"/>
  <c r="DN136" i="1"/>
  <c r="DN102" i="1"/>
  <c r="DN16" i="1"/>
  <c r="DN15" i="1"/>
  <c r="DN47" i="1"/>
  <c r="DN79" i="1"/>
  <c r="DN111" i="1"/>
  <c r="DN143" i="1"/>
  <c r="DN175" i="1"/>
  <c r="DN104" i="1"/>
  <c r="DM47" i="1"/>
  <c r="DM111" i="1"/>
  <c r="DM175" i="1"/>
  <c r="DM136" i="1"/>
  <c r="DM200" i="1"/>
  <c r="DL189" i="1"/>
  <c r="DT189" i="1" s="1"/>
  <c r="DM38" i="1"/>
  <c r="DN158" i="1"/>
  <c r="DM158" i="1"/>
  <c r="DL73" i="1"/>
  <c r="DV73" i="1" s="1"/>
  <c r="DX73" i="1" s="1"/>
  <c r="DL137" i="1"/>
  <c r="DV137" i="1" s="1"/>
  <c r="DX137" i="1" s="1"/>
  <c r="DL201" i="1"/>
  <c r="DV201" i="1" s="1"/>
  <c r="DX201" i="1" s="1"/>
  <c r="DL74" i="1"/>
  <c r="DT74" i="1" s="1"/>
  <c r="DL138" i="1"/>
  <c r="DT138" i="1" s="1"/>
  <c r="DL202" i="1"/>
  <c r="DV202" i="1" s="1"/>
  <c r="DX202" i="1" s="1"/>
  <c r="DL67" i="1"/>
  <c r="DT67" i="1" s="1"/>
  <c r="DL131" i="1"/>
  <c r="DV131" i="1" s="1"/>
  <c r="DX131" i="1" s="1"/>
  <c r="DL195" i="1"/>
  <c r="DT195" i="1" s="1"/>
  <c r="DL60" i="1"/>
  <c r="DV60" i="1" s="1"/>
  <c r="DX60" i="1" s="1"/>
  <c r="DL124" i="1"/>
  <c r="DN124" i="1" s="1"/>
  <c r="DL188" i="1"/>
  <c r="DT188" i="1" s="1"/>
  <c r="DL61" i="1"/>
  <c r="DT61" i="1" s="1"/>
  <c r="DL125" i="1"/>
  <c r="DT125" i="1" s="1"/>
  <c r="DN46" i="1"/>
  <c r="DM55" i="1"/>
  <c r="DM119" i="1"/>
  <c r="DM10" i="1"/>
  <c r="DL197" i="1"/>
  <c r="DT197" i="1" s="1"/>
  <c r="DM70" i="1"/>
  <c r="DL17" i="1"/>
  <c r="DT17" i="1" s="1"/>
  <c r="DL81" i="1"/>
  <c r="DV81" i="1" s="1"/>
  <c r="DX81" i="1" s="1"/>
  <c r="DL145" i="1"/>
  <c r="DT145" i="1" s="1"/>
  <c r="DL18" i="1"/>
  <c r="DN18" i="1" s="1"/>
  <c r="DL82" i="1"/>
  <c r="DN82" i="1" s="1"/>
  <c r="DL146" i="1"/>
  <c r="DV146" i="1" s="1"/>
  <c r="DX146" i="1" s="1"/>
  <c r="DT11" i="1"/>
  <c r="DN11" i="1"/>
  <c r="DL75" i="1"/>
  <c r="DV75" i="1" s="1"/>
  <c r="DX75" i="1" s="1"/>
  <c r="DL139" i="1"/>
  <c r="DT139" i="1" s="1"/>
  <c r="DL203" i="1"/>
  <c r="DT203" i="1" s="1"/>
  <c r="DL68" i="1"/>
  <c r="DT68" i="1" s="1"/>
  <c r="DL132" i="1"/>
  <c r="DV132" i="1" s="1"/>
  <c r="DX132" i="1" s="1"/>
  <c r="DL196" i="1"/>
  <c r="DT196" i="1" s="1"/>
  <c r="DO192" i="1"/>
  <c r="DN192" i="1"/>
  <c r="DL69" i="1"/>
  <c r="DT69" i="1" s="1"/>
  <c r="DL133" i="1"/>
  <c r="DT133" i="1" s="1"/>
  <c r="DN200" i="1"/>
  <c r="DN23" i="1"/>
  <c r="DN55" i="1"/>
  <c r="DN87" i="1"/>
  <c r="DN119" i="1"/>
  <c r="DN151" i="1"/>
  <c r="DN168" i="1"/>
  <c r="DM63" i="1"/>
  <c r="DM127" i="1"/>
  <c r="DM88" i="1"/>
  <c r="DM152" i="1"/>
  <c r="DL205" i="1"/>
  <c r="DV205" i="1" s="1"/>
  <c r="DX205" i="1" s="1"/>
  <c r="DN88" i="1"/>
  <c r="DN166" i="1"/>
  <c r="DL25" i="1"/>
  <c r="DT25" i="1" s="1"/>
  <c r="DL89" i="1"/>
  <c r="DV89" i="1" s="1"/>
  <c r="DX89" i="1" s="1"/>
  <c r="DL153" i="1"/>
  <c r="DV153" i="1" s="1"/>
  <c r="DX153" i="1" s="1"/>
  <c r="DL26" i="1"/>
  <c r="DT26" i="1" s="1"/>
  <c r="DL90" i="1"/>
  <c r="DT90" i="1" s="1"/>
  <c r="DL154" i="1"/>
  <c r="DV154" i="1" s="1"/>
  <c r="DX154" i="1" s="1"/>
  <c r="DL19" i="1"/>
  <c r="DN19" i="1" s="1"/>
  <c r="DL83" i="1"/>
  <c r="DT83" i="1" s="1"/>
  <c r="DL147" i="1"/>
  <c r="DT147" i="1" s="1"/>
  <c r="DL12" i="1"/>
  <c r="DT12" i="1" s="1"/>
  <c r="DL76" i="1"/>
  <c r="DN76" i="1" s="1"/>
  <c r="DL140" i="1"/>
  <c r="DT140" i="1" s="1"/>
  <c r="DL204" i="1"/>
  <c r="DT204" i="1" s="1"/>
  <c r="DL13" i="1"/>
  <c r="DT13" i="1" s="1"/>
  <c r="DL77" i="1"/>
  <c r="DT77" i="1" s="1"/>
  <c r="DL141" i="1"/>
  <c r="DT141" i="1" s="1"/>
  <c r="DM102" i="1"/>
  <c r="DM96" i="1"/>
  <c r="DM160" i="1"/>
  <c r="DN206" i="1"/>
  <c r="DN191" i="1"/>
  <c r="DL33" i="1"/>
  <c r="DV33" i="1" s="1"/>
  <c r="DX33" i="1" s="1"/>
  <c r="DL97" i="1"/>
  <c r="DN97" i="1" s="1"/>
  <c r="DL161" i="1"/>
  <c r="DN161" i="1" s="1"/>
  <c r="DL34" i="1"/>
  <c r="DV34" i="1" s="1"/>
  <c r="DX34" i="1" s="1"/>
  <c r="DL98" i="1"/>
  <c r="DV98" i="1" s="1"/>
  <c r="DX98" i="1" s="1"/>
  <c r="DL162" i="1"/>
  <c r="DN162" i="1" s="1"/>
  <c r="DL27" i="1"/>
  <c r="DT27" i="1" s="1"/>
  <c r="DL91" i="1"/>
  <c r="DT91" i="1" s="1"/>
  <c r="DL155" i="1"/>
  <c r="DT155" i="1" s="1"/>
  <c r="DL20" i="1"/>
  <c r="DT20" i="1" s="1"/>
  <c r="DL84" i="1"/>
  <c r="DT84" i="1" s="1"/>
  <c r="DL148" i="1"/>
  <c r="DT148" i="1" s="1"/>
  <c r="DN128" i="1"/>
  <c r="DL21" i="1"/>
  <c r="DT21" i="1" s="1"/>
  <c r="DL85" i="1"/>
  <c r="DT85" i="1" s="1"/>
  <c r="DL149" i="1"/>
  <c r="DT149" i="1" s="1"/>
  <c r="DN14" i="1"/>
  <c r="DN70" i="1"/>
  <c r="DN134" i="1"/>
  <c r="DN31" i="1"/>
  <c r="DN63" i="1"/>
  <c r="DN95" i="1"/>
  <c r="DM15" i="1"/>
  <c r="DM79" i="1"/>
  <c r="DM143" i="1"/>
  <c r="DM207" i="1"/>
  <c r="DM150" i="1"/>
  <c r="DM40" i="1"/>
  <c r="DM104" i="1"/>
  <c r="DM168" i="1"/>
  <c r="DM46" i="1"/>
  <c r="DL41" i="1"/>
  <c r="DT41" i="1" s="1"/>
  <c r="DL105" i="1"/>
  <c r="DV105" i="1" s="1"/>
  <c r="DX105" i="1" s="1"/>
  <c r="DL169" i="1"/>
  <c r="DN169" i="1" s="1"/>
  <c r="DL42" i="1"/>
  <c r="DN42" i="1" s="1"/>
  <c r="DL106" i="1"/>
  <c r="DT106" i="1" s="1"/>
  <c r="DL170" i="1"/>
  <c r="DV170" i="1" s="1"/>
  <c r="DX170" i="1" s="1"/>
  <c r="DL35" i="1"/>
  <c r="DT35" i="1" s="1"/>
  <c r="DL99" i="1"/>
  <c r="DT99" i="1" s="1"/>
  <c r="DL163" i="1"/>
  <c r="DT163" i="1" s="1"/>
  <c r="DL28" i="1"/>
  <c r="DT28" i="1" s="1"/>
  <c r="DL92" i="1"/>
  <c r="DN92" i="1" s="1"/>
  <c r="DL156" i="1"/>
  <c r="DV156" i="1" s="1"/>
  <c r="DX156" i="1" s="1"/>
  <c r="DN184" i="1"/>
  <c r="DL29" i="1"/>
  <c r="DT29" i="1" s="1"/>
  <c r="DL93" i="1"/>
  <c r="DV93" i="1" s="1"/>
  <c r="DX93" i="1" s="1"/>
  <c r="DL157" i="1"/>
  <c r="DT157" i="1" s="1"/>
  <c r="DN78" i="1"/>
  <c r="DN142" i="1"/>
  <c r="DN10" i="1"/>
  <c r="DM23" i="1"/>
  <c r="DM87" i="1"/>
  <c r="DM151" i="1"/>
  <c r="DM190" i="1"/>
  <c r="DN48" i="1"/>
  <c r="DM48" i="1"/>
  <c r="DM112" i="1"/>
  <c r="DM176" i="1"/>
  <c r="DM30" i="1"/>
  <c r="DZ30" i="1" s="1"/>
  <c r="DN199" i="1"/>
  <c r="DM78" i="1"/>
  <c r="DM198" i="1"/>
  <c r="DZ22" i="1" l="1"/>
  <c r="DZ192" i="1"/>
  <c r="DZ32" i="1"/>
  <c r="DZ152" i="1"/>
  <c r="DZ46" i="1"/>
  <c r="DZ198" i="1"/>
  <c r="DZ190" i="1"/>
  <c r="DZ72" i="1"/>
  <c r="DZ54" i="1"/>
  <c r="DZ40" i="1"/>
  <c r="EA24" i="1"/>
  <c r="DZ120" i="1"/>
  <c r="DZ127" i="1"/>
  <c r="DZ160" i="1"/>
  <c r="DZ47" i="1"/>
  <c r="DZ94" i="1"/>
  <c r="DZ23" i="1"/>
  <c r="DZ176" i="1"/>
  <c r="DZ207" i="1"/>
  <c r="DZ118" i="1"/>
  <c r="DZ126" i="1"/>
  <c r="DZ64" i="1"/>
  <c r="DZ70" i="1"/>
  <c r="DZ200" i="1"/>
  <c r="DZ128" i="1"/>
  <c r="DZ206" i="1"/>
  <c r="DZ136" i="1"/>
  <c r="DZ175" i="1"/>
  <c r="EA33" i="1"/>
  <c r="EA86" i="1"/>
  <c r="EA119" i="1"/>
  <c r="EA140" i="1"/>
  <c r="EA50" i="1"/>
  <c r="DZ184" i="1"/>
  <c r="DZ31" i="1"/>
  <c r="DZ199" i="1"/>
  <c r="DZ39" i="1"/>
  <c r="DZ143" i="1"/>
  <c r="DZ48" i="1"/>
  <c r="EA165" i="1"/>
  <c r="EA77" i="1"/>
  <c r="EA133" i="1"/>
  <c r="DZ168" i="1"/>
  <c r="EA48" i="1"/>
  <c r="DZ56" i="1"/>
  <c r="DZ159" i="1"/>
  <c r="DZ150" i="1"/>
  <c r="DZ96" i="1"/>
  <c r="DZ112" i="1"/>
  <c r="DZ10" i="1"/>
  <c r="DZ167" i="1"/>
  <c r="DZ95" i="1"/>
  <c r="DZ71" i="1"/>
  <c r="DZ15" i="1"/>
  <c r="DZ88" i="1"/>
  <c r="DZ55" i="1"/>
  <c r="DZ158" i="1"/>
  <c r="DZ16" i="1"/>
  <c r="DZ142" i="1"/>
  <c r="DZ80" i="1"/>
  <c r="DZ62" i="1"/>
  <c r="DZ86" i="1"/>
  <c r="DZ135" i="1"/>
  <c r="DZ79" i="1"/>
  <c r="DZ111" i="1"/>
  <c r="DZ144" i="1"/>
  <c r="DZ14" i="1"/>
  <c r="DZ183" i="1"/>
  <c r="DZ166" i="1"/>
  <c r="DZ151" i="1"/>
  <c r="DZ104" i="1"/>
  <c r="DZ63" i="1"/>
  <c r="DZ38" i="1"/>
  <c r="DZ174" i="1"/>
  <c r="DZ103" i="1"/>
  <c r="DZ134" i="1"/>
  <c r="DZ119" i="1"/>
  <c r="DZ78" i="1"/>
  <c r="DZ87" i="1"/>
  <c r="DZ102" i="1"/>
  <c r="DZ191" i="1"/>
  <c r="DZ182" i="1"/>
  <c r="EA156" i="1"/>
  <c r="EA129" i="1"/>
  <c r="EA76" i="1"/>
  <c r="EA96" i="1"/>
  <c r="EA182" i="1"/>
  <c r="EA147" i="1"/>
  <c r="EA152" i="1"/>
  <c r="EA174" i="1"/>
  <c r="EA203" i="1"/>
  <c r="EA41" i="1"/>
  <c r="EA189" i="1"/>
  <c r="EA52" i="1"/>
  <c r="EA90" i="1"/>
  <c r="EA161" i="1"/>
  <c r="EA181" i="1"/>
  <c r="EA44" i="1"/>
  <c r="EA192" i="1"/>
  <c r="EA184" i="1"/>
  <c r="EA142" i="1"/>
  <c r="EA107" i="1"/>
  <c r="EA191" i="1"/>
  <c r="EA84" i="1"/>
  <c r="EA65" i="1"/>
  <c r="EA183" i="1"/>
  <c r="EA149" i="1"/>
  <c r="EA12" i="1"/>
  <c r="EA32" i="1"/>
  <c r="EA118" i="1"/>
  <c r="EA83" i="1"/>
  <c r="EA88" i="1"/>
  <c r="EA110" i="1"/>
  <c r="EA139" i="1"/>
  <c r="EA98" i="1"/>
  <c r="EA159" i="1"/>
  <c r="EA125" i="1"/>
  <c r="EA26" i="1"/>
  <c r="EA97" i="1"/>
  <c r="EA117" i="1"/>
  <c r="EA128" i="1"/>
  <c r="EA150" i="1"/>
  <c r="EA179" i="1"/>
  <c r="EA178" i="1"/>
  <c r="EA206" i="1"/>
  <c r="EA22" i="1"/>
  <c r="EA157" i="1"/>
  <c r="EA62" i="1"/>
  <c r="EA95" i="1"/>
  <c r="EA151" i="1"/>
  <c r="EA64" i="1"/>
  <c r="EA63" i="1"/>
  <c r="EA55" i="1"/>
  <c r="EA21" i="1"/>
  <c r="EA121" i="1"/>
  <c r="EA205" i="1"/>
  <c r="EA68" i="1"/>
  <c r="EA42" i="1"/>
  <c r="EA177" i="1"/>
  <c r="EA132" i="1"/>
  <c r="EA11" i="1"/>
  <c r="EA10" i="1"/>
  <c r="EA31" i="1"/>
  <c r="EA87" i="1"/>
  <c r="EA89" i="1"/>
  <c r="EA38" i="1"/>
  <c r="EA172" i="1"/>
  <c r="EA51" i="1"/>
  <c r="EA73" i="1"/>
  <c r="EA20" i="1"/>
  <c r="EA145" i="1"/>
  <c r="EA92" i="1"/>
  <c r="EA29" i="1"/>
  <c r="EA190" i="1"/>
  <c r="EA57" i="1"/>
  <c r="EA175" i="1"/>
  <c r="EA141" i="1"/>
  <c r="EA113" i="1"/>
  <c r="EA197" i="1"/>
  <c r="EA60" i="1"/>
  <c r="EA144" i="1"/>
  <c r="EA166" i="1"/>
  <c r="EA195" i="1"/>
  <c r="EA23" i="1"/>
  <c r="EA25" i="1"/>
  <c r="EA207" i="1"/>
  <c r="EA100" i="1"/>
  <c r="EA187" i="1"/>
  <c r="EA18" i="1"/>
  <c r="EA35" i="1"/>
  <c r="EA127" i="1"/>
  <c r="EA85" i="1"/>
  <c r="EA106" i="1"/>
  <c r="EA75" i="1"/>
  <c r="EA153" i="1"/>
  <c r="EA115" i="1"/>
  <c r="EA82" i="1"/>
  <c r="EA56" i="1"/>
  <c r="EA176" i="1"/>
  <c r="EA198" i="1"/>
  <c r="EA168" i="1"/>
  <c r="EA126" i="1"/>
  <c r="EA155" i="1"/>
  <c r="EA111" i="1"/>
  <c r="EA49" i="1"/>
  <c r="EA167" i="1"/>
  <c r="EA80" i="1"/>
  <c r="EA102" i="1"/>
  <c r="EA131" i="1"/>
  <c r="EA200" i="1"/>
  <c r="EA158" i="1"/>
  <c r="EA143" i="1"/>
  <c r="EA173" i="1"/>
  <c r="EA36" i="1"/>
  <c r="EA138" i="1"/>
  <c r="EA123" i="1"/>
  <c r="EA58" i="1"/>
  <c r="EA34" i="1"/>
  <c r="EA108" i="1"/>
  <c r="EA53" i="1"/>
  <c r="EA94" i="1"/>
  <c r="EA164" i="1"/>
  <c r="EA81" i="1"/>
  <c r="EA199" i="1"/>
  <c r="EA28" i="1"/>
  <c r="EA135" i="1"/>
  <c r="EA101" i="1"/>
  <c r="EA186" i="1"/>
  <c r="EA66" i="1"/>
  <c r="EA201" i="1"/>
  <c r="EA112" i="1"/>
  <c r="EA134" i="1"/>
  <c r="EA163" i="1"/>
  <c r="EA104" i="1"/>
  <c r="EA70" i="1"/>
  <c r="EA91" i="1"/>
  <c r="EA47" i="1"/>
  <c r="EA13" i="1"/>
  <c r="EA162" i="1"/>
  <c r="EA103" i="1"/>
  <c r="EA69" i="1"/>
  <c r="EA169" i="1"/>
  <c r="EA16" i="1"/>
  <c r="EA54" i="1"/>
  <c r="EA188" i="1"/>
  <c r="EA67" i="1"/>
  <c r="EA136" i="1"/>
  <c r="EA46" i="1"/>
  <c r="EA180" i="1"/>
  <c r="EA79" i="1"/>
  <c r="EA109" i="1"/>
  <c r="EA74" i="1"/>
  <c r="EA59" i="1"/>
  <c r="EA146" i="1"/>
  <c r="EA120" i="1"/>
  <c r="EA43" i="1"/>
  <c r="EA185" i="1"/>
  <c r="EA19" i="1"/>
  <c r="EA204" i="1"/>
  <c r="EA61" i="1"/>
  <c r="EA171" i="1"/>
  <c r="EA17" i="1"/>
  <c r="EA30" i="1"/>
  <c r="EA93" i="1"/>
  <c r="EA170" i="1"/>
  <c r="EA130" i="1"/>
  <c r="EA71" i="1"/>
  <c r="EA37" i="1"/>
  <c r="EA137" i="1"/>
  <c r="EA78" i="1"/>
  <c r="EA99" i="1"/>
  <c r="EA122" i="1"/>
  <c r="EA193" i="1"/>
  <c r="EA40" i="1"/>
  <c r="EA14" i="1"/>
  <c r="EA148" i="1"/>
  <c r="EA27" i="1"/>
  <c r="EA160" i="1"/>
  <c r="EA196" i="1"/>
  <c r="EA39" i="1"/>
  <c r="EA105" i="1"/>
  <c r="EA124" i="1"/>
  <c r="EA154" i="1"/>
  <c r="EA72" i="1"/>
  <c r="EA116" i="1"/>
  <c r="EA202" i="1"/>
  <c r="EA15" i="1"/>
  <c r="EA45" i="1"/>
  <c r="EA194" i="1"/>
  <c r="EA114" i="1"/>
  <c r="DN58" i="1"/>
  <c r="DV110" i="1"/>
  <c r="DX110" i="1" s="1"/>
  <c r="DT110" i="1"/>
  <c r="DM110" i="1"/>
  <c r="DN105" i="1"/>
  <c r="DN188" i="1"/>
  <c r="DN98" i="1"/>
  <c r="DN132" i="1"/>
  <c r="DN81" i="1"/>
  <c r="DN75" i="1"/>
  <c r="DN110" i="1"/>
  <c r="DN154" i="1"/>
  <c r="DN187" i="1"/>
  <c r="DN171" i="1"/>
  <c r="DN20" i="1"/>
  <c r="DN12" i="1"/>
  <c r="DN131" i="1"/>
  <c r="DN123" i="1"/>
  <c r="DN153" i="1"/>
  <c r="DN53" i="1"/>
  <c r="DN77" i="1"/>
  <c r="DN67" i="1"/>
  <c r="DN133" i="1"/>
  <c r="DN74" i="1"/>
  <c r="DN205" i="1"/>
  <c r="DN201" i="1"/>
  <c r="DN37" i="1"/>
  <c r="DN106" i="1"/>
  <c r="DN89" i="1"/>
  <c r="DN179" i="1"/>
  <c r="DN114" i="1"/>
  <c r="DV172" i="1"/>
  <c r="DX172" i="1" s="1"/>
  <c r="DV44" i="1"/>
  <c r="DX44" i="1" s="1"/>
  <c r="DV165" i="1"/>
  <c r="DX165" i="1" s="1"/>
  <c r="DV45" i="1"/>
  <c r="DX45" i="1" s="1"/>
  <c r="DV49" i="1"/>
  <c r="DX49" i="1" s="1"/>
  <c r="DT162" i="1"/>
  <c r="DV147" i="1"/>
  <c r="DX147" i="1" s="1"/>
  <c r="DV42" i="1"/>
  <c r="DX42" i="1" s="1"/>
  <c r="DT153" i="1"/>
  <c r="DV20" i="1"/>
  <c r="DX20" i="1" s="1"/>
  <c r="DV169" i="1"/>
  <c r="DX169" i="1" s="1"/>
  <c r="DV106" i="1"/>
  <c r="DX106" i="1" s="1"/>
  <c r="DV84" i="1"/>
  <c r="DX84" i="1" s="1"/>
  <c r="DV189" i="1"/>
  <c r="DX189" i="1" s="1"/>
  <c r="DV17" i="1"/>
  <c r="DX17" i="1" s="1"/>
  <c r="DT137" i="1"/>
  <c r="DV123" i="1"/>
  <c r="DX123" i="1" s="1"/>
  <c r="DV67" i="1"/>
  <c r="DX67" i="1" s="1"/>
  <c r="DV181" i="1"/>
  <c r="DX181" i="1" s="1"/>
  <c r="DV43" i="1"/>
  <c r="DX43" i="1" s="1"/>
  <c r="DV171" i="1"/>
  <c r="DX171" i="1" s="1"/>
  <c r="DV188" i="1"/>
  <c r="DX188" i="1" s="1"/>
  <c r="DV145" i="1"/>
  <c r="DX145" i="1" s="1"/>
  <c r="DV27" i="1"/>
  <c r="DX27" i="1" s="1"/>
  <c r="DV138" i="1"/>
  <c r="DX138" i="1" s="1"/>
  <c r="DT116" i="1"/>
  <c r="DT75" i="1"/>
  <c r="DT89" i="1"/>
  <c r="DT205" i="1"/>
  <c r="DT50" i="1"/>
  <c r="DT93" i="1"/>
  <c r="DN35" i="1"/>
  <c r="DN13" i="1"/>
  <c r="DN189" i="1"/>
  <c r="DN66" i="1"/>
  <c r="DV11" i="1"/>
  <c r="DX11" i="1" s="1"/>
  <c r="DV162" i="1"/>
  <c r="DX162" i="1" s="1"/>
  <c r="DV100" i="1"/>
  <c r="DX100" i="1" s="1"/>
  <c r="DV26" i="1"/>
  <c r="DX26" i="1" s="1"/>
  <c r="DT154" i="1"/>
  <c r="DT105" i="1"/>
  <c r="DV107" i="1"/>
  <c r="DX107" i="1" s="1"/>
  <c r="DV61" i="1"/>
  <c r="DX61" i="1" s="1"/>
  <c r="DT170" i="1"/>
  <c r="DV155" i="1"/>
  <c r="DX155" i="1" s="1"/>
  <c r="DT156" i="1"/>
  <c r="DT33" i="1"/>
  <c r="DV12" i="1"/>
  <c r="DX12" i="1" s="1"/>
  <c r="DV21" i="1"/>
  <c r="DX21" i="1" s="1"/>
  <c r="DV76" i="1"/>
  <c r="DX76" i="1" s="1"/>
  <c r="DT193" i="1"/>
  <c r="DV99" i="1"/>
  <c r="DX99" i="1" s="1"/>
  <c r="DT130" i="1"/>
  <c r="DV53" i="1"/>
  <c r="DX53" i="1" s="1"/>
  <c r="DT121" i="1"/>
  <c r="DV85" i="1"/>
  <c r="DX85" i="1" s="1"/>
  <c r="DT132" i="1"/>
  <c r="DT81" i="1"/>
  <c r="DT131" i="1"/>
  <c r="DT60" i="1"/>
  <c r="DT37" i="1"/>
  <c r="DT73" i="1"/>
  <c r="DT34" i="1"/>
  <c r="DT115" i="1"/>
  <c r="DN29" i="1"/>
  <c r="DN170" i="1"/>
  <c r="DN41" i="1"/>
  <c r="DN34" i="1"/>
  <c r="DN146" i="1"/>
  <c r="DN193" i="1"/>
  <c r="DT45" i="1"/>
  <c r="DT42" i="1"/>
  <c r="DV28" i="1"/>
  <c r="DX28" i="1" s="1"/>
  <c r="DV204" i="1"/>
  <c r="DX204" i="1" s="1"/>
  <c r="DV19" i="1"/>
  <c r="DX19" i="1" s="1"/>
  <c r="DV121" i="1"/>
  <c r="DX121" i="1" s="1"/>
  <c r="DV180" i="1"/>
  <c r="DX180" i="1" s="1"/>
  <c r="DV52" i="1"/>
  <c r="DX52" i="1" s="1"/>
  <c r="DT177" i="1"/>
  <c r="DV101" i="1"/>
  <c r="DX101" i="1" s="1"/>
  <c r="DV117" i="1"/>
  <c r="DX117" i="1" s="1"/>
  <c r="DT97" i="1"/>
  <c r="DV29" i="1"/>
  <c r="DX29" i="1" s="1"/>
  <c r="DV74" i="1"/>
  <c r="DX74" i="1" s="1"/>
  <c r="DV92" i="1"/>
  <c r="DX92" i="1" s="1"/>
  <c r="DV133" i="1"/>
  <c r="DX133" i="1" s="1"/>
  <c r="DT113" i="1"/>
  <c r="DT122" i="1"/>
  <c r="DV65" i="1"/>
  <c r="DX65" i="1" s="1"/>
  <c r="DV157" i="1"/>
  <c r="DX157" i="1" s="1"/>
  <c r="DT76" i="1"/>
  <c r="DT19" i="1"/>
  <c r="DV68" i="1"/>
  <c r="DX68" i="1" s="1"/>
  <c r="DT185" i="1"/>
  <c r="DV41" i="1"/>
  <c r="DX41" i="1" s="1"/>
  <c r="DV25" i="1"/>
  <c r="DX25" i="1" s="1"/>
  <c r="DV124" i="1"/>
  <c r="DX124" i="1" s="1"/>
  <c r="DV173" i="1"/>
  <c r="DX173" i="1" s="1"/>
  <c r="DV83" i="1"/>
  <c r="DX83" i="1" s="1"/>
  <c r="DT178" i="1"/>
  <c r="DV69" i="1"/>
  <c r="DX69" i="1" s="1"/>
  <c r="DV13" i="1"/>
  <c r="DX13" i="1" s="1"/>
  <c r="DV97" i="1"/>
  <c r="DX97" i="1" s="1"/>
  <c r="DV108" i="1"/>
  <c r="DX108" i="1" s="1"/>
  <c r="DT98" i="1"/>
  <c r="DV58" i="1"/>
  <c r="DX58" i="1" s="1"/>
  <c r="DV90" i="1"/>
  <c r="DX90" i="1" s="1"/>
  <c r="DV91" i="1"/>
  <c r="DX91" i="1" s="1"/>
  <c r="DT194" i="1"/>
  <c r="DV35" i="1"/>
  <c r="DX35" i="1" s="1"/>
  <c r="DV148" i="1"/>
  <c r="DX148" i="1" s="1"/>
  <c r="DV139" i="1"/>
  <c r="DX139" i="1" s="1"/>
  <c r="DV66" i="1"/>
  <c r="DX66" i="1" s="1"/>
  <c r="DT201" i="1"/>
  <c r="DV59" i="1"/>
  <c r="DX59" i="1" s="1"/>
  <c r="DV18" i="1"/>
  <c r="DX18" i="1" s="1"/>
  <c r="DT129" i="1"/>
  <c r="DT146" i="1"/>
  <c r="DV196" i="1"/>
  <c r="DX196" i="1" s="1"/>
  <c r="DV185" i="1"/>
  <c r="DX185" i="1" s="1"/>
  <c r="DV203" i="1"/>
  <c r="DX203" i="1" s="1"/>
  <c r="DT180" i="1"/>
  <c r="DN149" i="1"/>
  <c r="DN186" i="1"/>
  <c r="DV163" i="1"/>
  <c r="DX163" i="1" s="1"/>
  <c r="DV164" i="1"/>
  <c r="DX164" i="1" s="1"/>
  <c r="DV36" i="1"/>
  <c r="DX36" i="1" s="1"/>
  <c r="DV77" i="1"/>
  <c r="DX77" i="1" s="1"/>
  <c r="DV51" i="1"/>
  <c r="DX51" i="1" s="1"/>
  <c r="DV149" i="1"/>
  <c r="DX149" i="1" s="1"/>
  <c r="DT114" i="1"/>
  <c r="DV109" i="1"/>
  <c r="DX109" i="1" s="1"/>
  <c r="DT186" i="1"/>
  <c r="DV57" i="1"/>
  <c r="DX57" i="1" s="1"/>
  <c r="DT92" i="1"/>
  <c r="DT65" i="1"/>
  <c r="DV195" i="1"/>
  <c r="DX195" i="1" s="1"/>
  <c r="DV179" i="1"/>
  <c r="DX179" i="1" s="1"/>
  <c r="DV129" i="1"/>
  <c r="DX129" i="1" s="1"/>
  <c r="DV140" i="1"/>
  <c r="DX140" i="1" s="1"/>
  <c r="DV141" i="1"/>
  <c r="DX141" i="1" s="1"/>
  <c r="DV197" i="1"/>
  <c r="DX197" i="1" s="1"/>
  <c r="DV125" i="1"/>
  <c r="DX125" i="1" s="1"/>
  <c r="DV82" i="1"/>
  <c r="DX82" i="1" s="1"/>
  <c r="DT124" i="1"/>
  <c r="DN33" i="1"/>
  <c r="DN145" i="1"/>
  <c r="DT18" i="1"/>
  <c r="DV187" i="1"/>
  <c r="DX187" i="1" s="1"/>
  <c r="DT202" i="1"/>
  <c r="DT161" i="1"/>
  <c r="DT169" i="1"/>
  <c r="DT82" i="1"/>
  <c r="DV161" i="1"/>
  <c r="DX161" i="1" s="1"/>
  <c r="DO156" i="1"/>
  <c r="DM156" i="1"/>
  <c r="DO99" i="1"/>
  <c r="DM99" i="1"/>
  <c r="DO84" i="1"/>
  <c r="DM84" i="1"/>
  <c r="DO27" i="1"/>
  <c r="DM27" i="1"/>
  <c r="DO196" i="1"/>
  <c r="DM196" i="1"/>
  <c r="DO139" i="1"/>
  <c r="DM139" i="1"/>
  <c r="DO17" i="1"/>
  <c r="DM17" i="1"/>
  <c r="DO189" i="1"/>
  <c r="DM189" i="1"/>
  <c r="DO122" i="1"/>
  <c r="DM122" i="1"/>
  <c r="DO57" i="1"/>
  <c r="DM57" i="1"/>
  <c r="DO164" i="1"/>
  <c r="DM164" i="1"/>
  <c r="DO107" i="1"/>
  <c r="DM107" i="1"/>
  <c r="DO50" i="1"/>
  <c r="DM50" i="1"/>
  <c r="DO157" i="1"/>
  <c r="DM157" i="1"/>
  <c r="DN156" i="1"/>
  <c r="DN99" i="1"/>
  <c r="DO42" i="1"/>
  <c r="DM42" i="1"/>
  <c r="DO85" i="1"/>
  <c r="DM85" i="1"/>
  <c r="DN84" i="1"/>
  <c r="DN27" i="1"/>
  <c r="DO161" i="1"/>
  <c r="DM161" i="1"/>
  <c r="DO204" i="1"/>
  <c r="DM204" i="1"/>
  <c r="DO147" i="1"/>
  <c r="DM147" i="1"/>
  <c r="DO90" i="1"/>
  <c r="DM90" i="1"/>
  <c r="DO25" i="1"/>
  <c r="DM25" i="1"/>
  <c r="DN196" i="1"/>
  <c r="DN139" i="1"/>
  <c r="DO82" i="1"/>
  <c r="DM82" i="1"/>
  <c r="DN17" i="1"/>
  <c r="DO125" i="1"/>
  <c r="DM125" i="1"/>
  <c r="DO60" i="1"/>
  <c r="DM60" i="1"/>
  <c r="DO202" i="1"/>
  <c r="DM202" i="1"/>
  <c r="DO137" i="1"/>
  <c r="DM137" i="1"/>
  <c r="DO181" i="1"/>
  <c r="DM181" i="1"/>
  <c r="DO116" i="1"/>
  <c r="DM116" i="1"/>
  <c r="DO59" i="1"/>
  <c r="DM59" i="1"/>
  <c r="DO172" i="1"/>
  <c r="DM172" i="1"/>
  <c r="DO115" i="1"/>
  <c r="DM115" i="1"/>
  <c r="DN164" i="1"/>
  <c r="DN107" i="1"/>
  <c r="DN50" i="1"/>
  <c r="DN157" i="1"/>
  <c r="DO92" i="1"/>
  <c r="DM92" i="1"/>
  <c r="DO35" i="1"/>
  <c r="DM35" i="1"/>
  <c r="DN85" i="1"/>
  <c r="DO20" i="1"/>
  <c r="DM20" i="1"/>
  <c r="DN204" i="1"/>
  <c r="DN147" i="1"/>
  <c r="DN90" i="1"/>
  <c r="DN25" i="1"/>
  <c r="DO133" i="1"/>
  <c r="DM133" i="1"/>
  <c r="DO132" i="1"/>
  <c r="DM132" i="1"/>
  <c r="DO75" i="1"/>
  <c r="DM75" i="1"/>
  <c r="DN125" i="1"/>
  <c r="DN60" i="1"/>
  <c r="DN202" i="1"/>
  <c r="DN137" i="1"/>
  <c r="DN181" i="1"/>
  <c r="DN116" i="1"/>
  <c r="DN59" i="1"/>
  <c r="DO193" i="1"/>
  <c r="DM193" i="1"/>
  <c r="DN172" i="1"/>
  <c r="DN115" i="1"/>
  <c r="DO58" i="1"/>
  <c r="DM58" i="1"/>
  <c r="DO165" i="1"/>
  <c r="DM165" i="1"/>
  <c r="DO100" i="1"/>
  <c r="DM100" i="1"/>
  <c r="DO43" i="1"/>
  <c r="DM43" i="1"/>
  <c r="DO177" i="1"/>
  <c r="DM177" i="1"/>
  <c r="DO93" i="1"/>
  <c r="DM93" i="1"/>
  <c r="DO169" i="1"/>
  <c r="DM169" i="1"/>
  <c r="DO21" i="1"/>
  <c r="DM21" i="1"/>
  <c r="DO162" i="1"/>
  <c r="DM162" i="1"/>
  <c r="DO97" i="1"/>
  <c r="DM97" i="1"/>
  <c r="DO141" i="1"/>
  <c r="DM141" i="1"/>
  <c r="DO140" i="1"/>
  <c r="DM140" i="1"/>
  <c r="DO83" i="1"/>
  <c r="DM83" i="1"/>
  <c r="DO26" i="1"/>
  <c r="DM26" i="1"/>
  <c r="DO18" i="1"/>
  <c r="DM18" i="1"/>
  <c r="DO197" i="1"/>
  <c r="DM197" i="1"/>
  <c r="DO61" i="1"/>
  <c r="DM61" i="1"/>
  <c r="DO195" i="1"/>
  <c r="DM195" i="1"/>
  <c r="DO138" i="1"/>
  <c r="DM138" i="1"/>
  <c r="DO73" i="1"/>
  <c r="DM73" i="1"/>
  <c r="DO117" i="1"/>
  <c r="DM117" i="1"/>
  <c r="DO52" i="1"/>
  <c r="DM52" i="1"/>
  <c r="DO194" i="1"/>
  <c r="DM194" i="1"/>
  <c r="DO173" i="1"/>
  <c r="DM173" i="1"/>
  <c r="DO108" i="1"/>
  <c r="DM108" i="1"/>
  <c r="DO51" i="1"/>
  <c r="DM51" i="1"/>
  <c r="DN165" i="1"/>
  <c r="DN100" i="1"/>
  <c r="DN43" i="1"/>
  <c r="DN177" i="1"/>
  <c r="DN93" i="1"/>
  <c r="DO28" i="1"/>
  <c r="DM28" i="1"/>
  <c r="DN21" i="1"/>
  <c r="DO155" i="1"/>
  <c r="DM155" i="1"/>
  <c r="DN141" i="1"/>
  <c r="DN140" i="1"/>
  <c r="DN83" i="1"/>
  <c r="DN26" i="1"/>
  <c r="DO69" i="1"/>
  <c r="DM69" i="1"/>
  <c r="DO68" i="1"/>
  <c r="DM68" i="1"/>
  <c r="DN197" i="1"/>
  <c r="DN61" i="1"/>
  <c r="DN195" i="1"/>
  <c r="DN138" i="1"/>
  <c r="DN73" i="1"/>
  <c r="DN117" i="1"/>
  <c r="DN52" i="1"/>
  <c r="DN194" i="1"/>
  <c r="DO129" i="1"/>
  <c r="DM129" i="1"/>
  <c r="DN173" i="1"/>
  <c r="DN108" i="1"/>
  <c r="DN51" i="1"/>
  <c r="DO185" i="1"/>
  <c r="DM185" i="1"/>
  <c r="DO101" i="1"/>
  <c r="DM101" i="1"/>
  <c r="DO36" i="1"/>
  <c r="DM36" i="1"/>
  <c r="DO178" i="1"/>
  <c r="DM178" i="1"/>
  <c r="DO113" i="1"/>
  <c r="DM113" i="1"/>
  <c r="DO29" i="1"/>
  <c r="DM29" i="1"/>
  <c r="DN28" i="1"/>
  <c r="DO170" i="1"/>
  <c r="DM170" i="1"/>
  <c r="DO105" i="1"/>
  <c r="DM105" i="1"/>
  <c r="DN155" i="1"/>
  <c r="DO98" i="1"/>
  <c r="DM98" i="1"/>
  <c r="DO33" i="1"/>
  <c r="DM33" i="1"/>
  <c r="DO77" i="1"/>
  <c r="DM77" i="1"/>
  <c r="DO76" i="1"/>
  <c r="DM76" i="1"/>
  <c r="DO153" i="1"/>
  <c r="DM153" i="1"/>
  <c r="DO205" i="1"/>
  <c r="DM205" i="1"/>
  <c r="DN69" i="1"/>
  <c r="DN68" i="1"/>
  <c r="DO11" i="1"/>
  <c r="DM11" i="1"/>
  <c r="DO145" i="1"/>
  <c r="DM145" i="1"/>
  <c r="DO188" i="1"/>
  <c r="DM188" i="1"/>
  <c r="DO131" i="1"/>
  <c r="DM131" i="1"/>
  <c r="DO74" i="1"/>
  <c r="DM74" i="1"/>
  <c r="DO53" i="1"/>
  <c r="DM53" i="1"/>
  <c r="DO187" i="1"/>
  <c r="DM187" i="1"/>
  <c r="DO130" i="1"/>
  <c r="DM130" i="1"/>
  <c r="DO109" i="1"/>
  <c r="DM109" i="1"/>
  <c r="DO44" i="1"/>
  <c r="DM44" i="1"/>
  <c r="DN101" i="1"/>
  <c r="DN36" i="1"/>
  <c r="DN178" i="1"/>
  <c r="DN113" i="1"/>
  <c r="DO163" i="1"/>
  <c r="DM163" i="1"/>
  <c r="DO148" i="1"/>
  <c r="DM148" i="1"/>
  <c r="DO91" i="1"/>
  <c r="DM91" i="1"/>
  <c r="DO19" i="1"/>
  <c r="DM19" i="1"/>
  <c r="DO203" i="1"/>
  <c r="DM203" i="1"/>
  <c r="DN130" i="1"/>
  <c r="DO65" i="1"/>
  <c r="DM65" i="1"/>
  <c r="DN109" i="1"/>
  <c r="DN44" i="1"/>
  <c r="DO186" i="1"/>
  <c r="DM186" i="1"/>
  <c r="DO121" i="1"/>
  <c r="DM121" i="1"/>
  <c r="DO37" i="1"/>
  <c r="DM37" i="1"/>
  <c r="DO171" i="1"/>
  <c r="DM171" i="1"/>
  <c r="DO114" i="1"/>
  <c r="DM114" i="1"/>
  <c r="DO49" i="1"/>
  <c r="DM49" i="1"/>
  <c r="DN163" i="1"/>
  <c r="DO106" i="1"/>
  <c r="DM106" i="1"/>
  <c r="DO41" i="1"/>
  <c r="DM41" i="1"/>
  <c r="DO149" i="1"/>
  <c r="DM149" i="1"/>
  <c r="DN148" i="1"/>
  <c r="DN91" i="1"/>
  <c r="DO34" i="1"/>
  <c r="DM34" i="1"/>
  <c r="DO13" i="1"/>
  <c r="DM13" i="1"/>
  <c r="DO12" i="1"/>
  <c r="DM12" i="1"/>
  <c r="DO154" i="1"/>
  <c r="DM154" i="1"/>
  <c r="DO89" i="1"/>
  <c r="DM89" i="1"/>
  <c r="DN203" i="1"/>
  <c r="DO146" i="1"/>
  <c r="DM146" i="1"/>
  <c r="DO81" i="1"/>
  <c r="DM81" i="1"/>
  <c r="DO124" i="1"/>
  <c r="DM124" i="1"/>
  <c r="DO67" i="1"/>
  <c r="DM67" i="1"/>
  <c r="DO201" i="1"/>
  <c r="DM201" i="1"/>
  <c r="DO180" i="1"/>
  <c r="DM180" i="1"/>
  <c r="DO123" i="1"/>
  <c r="DM123" i="1"/>
  <c r="DO66" i="1"/>
  <c r="DM66" i="1"/>
  <c r="DO45" i="1"/>
  <c r="DM45" i="1"/>
  <c r="DO179" i="1"/>
  <c r="DM179" i="1"/>
  <c r="DN122" i="1"/>
  <c r="DN57" i="1"/>
  <c r="DN49" i="1"/>
  <c r="DZ45" i="1" l="1"/>
  <c r="DZ201" i="1"/>
  <c r="DZ146" i="1"/>
  <c r="DZ114" i="1"/>
  <c r="DZ105" i="1"/>
  <c r="DZ51" i="1"/>
  <c r="DZ195" i="1"/>
  <c r="DZ97" i="1"/>
  <c r="DZ93" i="1"/>
  <c r="DZ26" i="1"/>
  <c r="DZ202" i="1"/>
  <c r="DZ69" i="1"/>
  <c r="DZ52" i="1"/>
  <c r="DZ13" i="1"/>
  <c r="DZ19" i="1"/>
  <c r="DZ130" i="1"/>
  <c r="DZ131" i="1"/>
  <c r="DZ77" i="1"/>
  <c r="DZ178" i="1"/>
  <c r="DZ28" i="1"/>
  <c r="DZ132" i="1"/>
  <c r="DZ20" i="1"/>
  <c r="DZ42" i="1"/>
  <c r="DZ107" i="1"/>
  <c r="DZ189" i="1"/>
  <c r="DZ27" i="1"/>
  <c r="DZ165" i="1"/>
  <c r="DZ186" i="1"/>
  <c r="DZ89" i="1"/>
  <c r="DZ34" i="1"/>
  <c r="DZ106" i="1"/>
  <c r="DZ187" i="1"/>
  <c r="DZ188" i="1"/>
  <c r="DZ133" i="1"/>
  <c r="DZ161" i="1"/>
  <c r="DZ17" i="1"/>
  <c r="DZ84" i="1"/>
  <c r="DZ154" i="1"/>
  <c r="DZ148" i="1"/>
  <c r="DZ44" i="1"/>
  <c r="DZ53" i="1"/>
  <c r="DZ153" i="1"/>
  <c r="DZ98" i="1"/>
  <c r="DZ29" i="1"/>
  <c r="DZ101" i="1"/>
  <c r="DZ90" i="1"/>
  <c r="DZ179" i="1"/>
  <c r="DZ180" i="1"/>
  <c r="DZ121" i="1"/>
  <c r="DZ155" i="1"/>
  <c r="DZ18" i="1"/>
  <c r="DZ169" i="1"/>
  <c r="DZ193" i="1"/>
  <c r="DZ92" i="1"/>
  <c r="DZ110" i="1"/>
  <c r="DZ66" i="1"/>
  <c r="DZ67" i="1"/>
  <c r="DZ171" i="1"/>
  <c r="DZ170" i="1"/>
  <c r="DZ108" i="1"/>
  <c r="DZ117" i="1"/>
  <c r="DZ61" i="1"/>
  <c r="DZ83" i="1"/>
  <c r="DZ162" i="1"/>
  <c r="DZ177" i="1"/>
  <c r="DZ58" i="1"/>
  <c r="DZ116" i="1"/>
  <c r="DZ60" i="1"/>
  <c r="DZ59" i="1"/>
  <c r="DZ41" i="1"/>
  <c r="DZ204" i="1"/>
  <c r="DZ91" i="1"/>
  <c r="DZ205" i="1"/>
  <c r="DZ33" i="1"/>
  <c r="DZ36" i="1"/>
  <c r="DZ25" i="1"/>
  <c r="DZ164" i="1"/>
  <c r="DZ123" i="1"/>
  <c r="DZ124" i="1"/>
  <c r="DZ37" i="1"/>
  <c r="DZ65" i="1"/>
  <c r="DZ129" i="1"/>
  <c r="DZ173" i="1"/>
  <c r="DZ73" i="1"/>
  <c r="DZ197" i="1"/>
  <c r="DZ140" i="1"/>
  <c r="DZ21" i="1"/>
  <c r="DZ43" i="1"/>
  <c r="DZ35" i="1"/>
  <c r="DZ115" i="1"/>
  <c r="DZ181" i="1"/>
  <c r="DZ125" i="1"/>
  <c r="DZ145" i="1"/>
  <c r="DZ157" i="1"/>
  <c r="DZ57" i="1"/>
  <c r="DZ139" i="1"/>
  <c r="DZ99" i="1"/>
  <c r="DZ81" i="1"/>
  <c r="DZ49" i="1"/>
  <c r="DZ68" i="1"/>
  <c r="DZ194" i="1"/>
  <c r="DZ138" i="1"/>
  <c r="DZ141" i="1"/>
  <c r="DZ100" i="1"/>
  <c r="DZ172" i="1"/>
  <c r="DZ137" i="1"/>
  <c r="DZ12" i="1"/>
  <c r="DZ149" i="1"/>
  <c r="DZ203" i="1"/>
  <c r="DZ163" i="1"/>
  <c r="DZ109" i="1"/>
  <c r="DZ74" i="1"/>
  <c r="DZ11" i="1"/>
  <c r="DZ76" i="1"/>
  <c r="DZ113" i="1"/>
  <c r="DZ185" i="1"/>
  <c r="DZ75" i="1"/>
  <c r="DZ82" i="1"/>
  <c r="DZ147" i="1"/>
  <c r="DZ85" i="1"/>
  <c r="DZ50" i="1"/>
  <c r="DZ122" i="1"/>
  <c r="DZ196" i="1"/>
  <c r="DZ156" i="1"/>
</calcChain>
</file>

<file path=xl/sharedStrings.xml><?xml version="1.0" encoding="utf-8"?>
<sst xmlns="http://schemas.openxmlformats.org/spreadsheetml/2006/main" count="5790" uniqueCount="1312">
  <si>
    <t>sample_nr</t>
  </si>
  <si>
    <t>obs_well</t>
  </si>
  <si>
    <t>date</t>
  </si>
  <si>
    <t>DOC</t>
  </si>
  <si>
    <t>TOC</t>
  </si>
  <si>
    <t>cyanide_total</t>
  </si>
  <si>
    <t>phosphorus_total</t>
  </si>
  <si>
    <t>fraction_C10-C12</t>
  </si>
  <si>
    <t>fraction_C12-C22</t>
  </si>
  <si>
    <t>fraction_C30-C40</t>
  </si>
  <si>
    <t>total_C10-C40</t>
  </si>
  <si>
    <t>oxygen</t>
  </si>
  <si>
    <t>temperature</t>
  </si>
  <si>
    <t>redoxpot</t>
  </si>
  <si>
    <t>pH</t>
  </si>
  <si>
    <t>EGV3</t>
  </si>
  <si>
    <t>Frontpump_flowrate</t>
  </si>
  <si>
    <t>14135850-001</t>
  </si>
  <si>
    <t>CW1_OUT</t>
  </si>
  <si>
    <t>2.5</t>
  </si>
  <si>
    <t>14135850-002</t>
  </si>
  <si>
    <t>CW1_MF09</t>
  </si>
  <si>
    <t>14135850-003</t>
  </si>
  <si>
    <t>CW1_MF10</t>
  </si>
  <si>
    <t>14137094-001</t>
  </si>
  <si>
    <t>CW1_MF06</t>
  </si>
  <si>
    <t>14137094-002</t>
  </si>
  <si>
    <t>INFLOW</t>
  </si>
  <si>
    <t>14137094-003</t>
  </si>
  <si>
    <t>CW1_MF01</t>
  </si>
  <si>
    <t>14137094-004</t>
  </si>
  <si>
    <t>CW1_MF02</t>
  </si>
  <si>
    <t>14137094-005</t>
  </si>
  <si>
    <t>CW1_MF05</t>
  </si>
  <si>
    <t>14137094-006</t>
  </si>
  <si>
    <t>CW2_MF05</t>
  </si>
  <si>
    <t>14137094-007</t>
  </si>
  <si>
    <t>CW2_MF06</t>
  </si>
  <si>
    <t>14137094-008</t>
  </si>
  <si>
    <t>CW2_OUT</t>
  </si>
  <si>
    <t>14137094-009</t>
  </si>
  <si>
    <t>CW2_MF01</t>
  </si>
  <si>
    <t>14137094-010</t>
  </si>
  <si>
    <t>CW2_MF02</t>
  </si>
  <si>
    <t>14137094-011</t>
  </si>
  <si>
    <t>CW2_MF09</t>
  </si>
  <si>
    <t>14137094-012</t>
  </si>
  <si>
    <t>CW2_MF10</t>
  </si>
  <si>
    <t>14137171-001</t>
  </si>
  <si>
    <t>CW3_OUT</t>
  </si>
  <si>
    <t>14137171-002</t>
  </si>
  <si>
    <t>CW3_MF01</t>
  </si>
  <si>
    <t>14137171-003</t>
  </si>
  <si>
    <t>CW3_MF02</t>
  </si>
  <si>
    <t>14137171-004</t>
  </si>
  <si>
    <t>CW3_MF05</t>
  </si>
  <si>
    <t>14137171-005</t>
  </si>
  <si>
    <t>CW3_MF06</t>
  </si>
  <si>
    <t>14137171-006</t>
  </si>
  <si>
    <t>CW3_MF09</t>
  </si>
  <si>
    <t>14137171-007</t>
  </si>
  <si>
    <t>CW3_MF10</t>
  </si>
  <si>
    <t>SampleID</t>
  </si>
  <si>
    <t>CW_9</t>
  </si>
  <si>
    <t>CW_10</t>
  </si>
  <si>
    <t>CW_11</t>
  </si>
  <si>
    <t>CW_12</t>
  </si>
  <si>
    <t>CW_13</t>
  </si>
  <si>
    <t>CW_14</t>
  </si>
  <si>
    <t>CW_15</t>
  </si>
  <si>
    <t>CW_16</t>
  </si>
  <si>
    <t>CW_17</t>
  </si>
  <si>
    <t>CW_18</t>
  </si>
  <si>
    <t>CW_19</t>
  </si>
  <si>
    <t>CW_20</t>
  </si>
  <si>
    <t>CW_21</t>
  </si>
  <si>
    <t>CW_22</t>
  </si>
  <si>
    <t>CW_23</t>
  </si>
  <si>
    <t>CW_24</t>
  </si>
  <si>
    <t>CW_25</t>
  </si>
  <si>
    <t>CW_26</t>
  </si>
  <si>
    <t>CW_27</t>
  </si>
  <si>
    <t>CW_28</t>
  </si>
  <si>
    <t>CW_29</t>
  </si>
  <si>
    <t>CW_30</t>
  </si>
  <si>
    <t>CW_31</t>
  </si>
  <si>
    <t>CW_32</t>
  </si>
  <si>
    <t>CW_33</t>
  </si>
  <si>
    <t>CW_34</t>
  </si>
  <si>
    <t>CW_35</t>
  </si>
  <si>
    <t>CW_36</t>
  </si>
  <si>
    <t>CW_37</t>
  </si>
  <si>
    <t>CW_38</t>
  </si>
  <si>
    <t>CW_39</t>
  </si>
  <si>
    <t>CW_40</t>
  </si>
  <si>
    <t>CW_41</t>
  </si>
  <si>
    <t>CW_42</t>
  </si>
  <si>
    <t>CW_43</t>
  </si>
  <si>
    <t>CW_44</t>
  </si>
  <si>
    <t>CW_45</t>
  </si>
  <si>
    <t>CW_46</t>
  </si>
  <si>
    <t>CW_47</t>
  </si>
  <si>
    <t>CW_48</t>
  </si>
  <si>
    <t>CW_49</t>
  </si>
  <si>
    <t>CW_50</t>
  </si>
  <si>
    <t>CW_51</t>
  </si>
  <si>
    <t>CW_52</t>
  </si>
  <si>
    <t>CW_53</t>
  </si>
  <si>
    <t>CW_54</t>
  </si>
  <si>
    <t>CW_55</t>
  </si>
  <si>
    <t>CW_56</t>
  </si>
  <si>
    <t>CW_57</t>
  </si>
  <si>
    <t>CW_58</t>
  </si>
  <si>
    <t>CW_59</t>
  </si>
  <si>
    <t>CW_60</t>
  </si>
  <si>
    <t>CW_61</t>
  </si>
  <si>
    <t>CW_62</t>
  </si>
  <si>
    <t>CW_63</t>
  </si>
  <si>
    <t>CW_64</t>
  </si>
  <si>
    <t>CW_65</t>
  </si>
  <si>
    <t>CW_66</t>
  </si>
  <si>
    <t>CW_67</t>
  </si>
  <si>
    <t>CW_68</t>
  </si>
  <si>
    <t>CW_69</t>
  </si>
  <si>
    <t>CW_70</t>
  </si>
  <si>
    <t>CW_71</t>
  </si>
  <si>
    <t>CW_72</t>
  </si>
  <si>
    <t>CW_73</t>
  </si>
  <si>
    <t>CW_74</t>
  </si>
  <si>
    <t>CW_75</t>
  </si>
  <si>
    <t>CW_76</t>
  </si>
  <si>
    <t>CW_77</t>
  </si>
  <si>
    <t>CW_78</t>
  </si>
  <si>
    <t>CW_79</t>
  </si>
  <si>
    <t>CW_80</t>
  </si>
  <si>
    <t>CW_81</t>
  </si>
  <si>
    <t>CW_82</t>
  </si>
  <si>
    <t>CW_83</t>
  </si>
  <si>
    <t>CW_84</t>
  </si>
  <si>
    <t>CW_85</t>
  </si>
  <si>
    <t>CW_86</t>
  </si>
  <si>
    <t>CW_87</t>
  </si>
  <si>
    <t>CW_88</t>
  </si>
  <si>
    <t>CW_89</t>
  </si>
  <si>
    <t>CW_90</t>
  </si>
  <si>
    <t>CW_91</t>
  </si>
  <si>
    <t>CW_92</t>
  </si>
  <si>
    <t>CW_93</t>
  </si>
  <si>
    <t>CW_94</t>
  </si>
  <si>
    <t>CW_95</t>
  </si>
  <si>
    <t>CW_96</t>
  </si>
  <si>
    <t>CW_97</t>
  </si>
  <si>
    <t>CW_98</t>
  </si>
  <si>
    <t>CW_99</t>
  </si>
  <si>
    <t>CW_100</t>
  </si>
  <si>
    <t>CW_101</t>
  </si>
  <si>
    <t>CW_102</t>
  </si>
  <si>
    <t>CW_103</t>
  </si>
  <si>
    <t>CW_104</t>
  </si>
  <si>
    <t>CW_105</t>
  </si>
  <si>
    <t>CW_106</t>
  </si>
  <si>
    <t>CW_107</t>
  </si>
  <si>
    <t>CW_108</t>
  </si>
  <si>
    <t>CW_109</t>
  </si>
  <si>
    <t>CW_110</t>
  </si>
  <si>
    <t>CW_111</t>
  </si>
  <si>
    <t>CW_112</t>
  </si>
  <si>
    <t>CW_113</t>
  </si>
  <si>
    <t>CW_114</t>
  </si>
  <si>
    <t>CW_115</t>
  </si>
  <si>
    <t>CW_116</t>
  </si>
  <si>
    <t>CW_117</t>
  </si>
  <si>
    <t>CW_118</t>
  </si>
  <si>
    <t>CW_119</t>
  </si>
  <si>
    <t>CW_120</t>
  </si>
  <si>
    <t>CW_121</t>
  </si>
  <si>
    <t>CW_122</t>
  </si>
  <si>
    <t>CW_123</t>
  </si>
  <si>
    <t>CW_124</t>
  </si>
  <si>
    <t>CW_125</t>
  </si>
  <si>
    <t>CW_126</t>
  </si>
  <si>
    <t>CW_127</t>
  </si>
  <si>
    <t>CW_128</t>
  </si>
  <si>
    <t>CW_129</t>
  </si>
  <si>
    <t>CW_130</t>
  </si>
  <si>
    <t>CW_131</t>
  </si>
  <si>
    <t>CW_132</t>
  </si>
  <si>
    <t>CW_133</t>
  </si>
  <si>
    <t>CW_134</t>
  </si>
  <si>
    <t>CW_135</t>
  </si>
  <si>
    <t>CW_136</t>
  </si>
  <si>
    <t>CW_137</t>
  </si>
  <si>
    <t>CW_138</t>
  </si>
  <si>
    <t>CW_139</t>
  </si>
  <si>
    <t>CW_140</t>
  </si>
  <si>
    <t>CW_141</t>
  </si>
  <si>
    <t>CW_142</t>
  </si>
  <si>
    <t>CW_143</t>
  </si>
  <si>
    <t>CW_144</t>
  </si>
  <si>
    <t>CW_145</t>
  </si>
  <si>
    <t>CW_146</t>
  </si>
  <si>
    <t>CW_147</t>
  </si>
  <si>
    <t>CW_148</t>
  </si>
  <si>
    <t>CW_149</t>
  </si>
  <si>
    <t>CW_150</t>
  </si>
  <si>
    <t>CW_151</t>
  </si>
  <si>
    <t>CW_152</t>
  </si>
  <si>
    <t>CW_153</t>
  </si>
  <si>
    <t>CW_154</t>
  </si>
  <si>
    <t>CW_155</t>
  </si>
  <si>
    <t>CW_156</t>
  </si>
  <si>
    <t>CW_157</t>
  </si>
  <si>
    <t>CW_158</t>
  </si>
  <si>
    <t>CW_160</t>
  </si>
  <si>
    <t>CW_161</t>
  </si>
  <si>
    <t>CW_162</t>
  </si>
  <si>
    <t>CW_163</t>
  </si>
  <si>
    <t>CW_164</t>
  </si>
  <si>
    <t>CW_165</t>
  </si>
  <si>
    <t>CW_166</t>
  </si>
  <si>
    <t>CW_167</t>
  </si>
  <si>
    <t>CW_168</t>
  </si>
  <si>
    <t>CW_169</t>
  </si>
  <si>
    <t>CW_170</t>
  </si>
  <si>
    <t>CW_171</t>
  </si>
  <si>
    <t>CW_172</t>
  </si>
  <si>
    <t>CW_173</t>
  </si>
  <si>
    <t>CW_174</t>
  </si>
  <si>
    <t>CW_175</t>
  </si>
  <si>
    <t>CW_176</t>
  </si>
  <si>
    <t>CW_177</t>
  </si>
  <si>
    <t>CW_178</t>
  </si>
  <si>
    <t>CW_179</t>
  </si>
  <si>
    <t>CW_180</t>
  </si>
  <si>
    <t>CW_181</t>
  </si>
  <si>
    <t>CW_182</t>
  </si>
  <si>
    <t>CW_183</t>
  </si>
  <si>
    <t>CW_184</t>
  </si>
  <si>
    <t>CW_185</t>
  </si>
  <si>
    <t>CW_186</t>
  </si>
  <si>
    <t>CW_187</t>
  </si>
  <si>
    <t>CW_188</t>
  </si>
  <si>
    <t>CW_189</t>
  </si>
  <si>
    <t>CW_190</t>
  </si>
  <si>
    <t>CW_191</t>
  </si>
  <si>
    <t>CW_192</t>
  </si>
  <si>
    <t>CW_193</t>
  </si>
  <si>
    <t>CW_194</t>
  </si>
  <si>
    <t>CW_195</t>
  </si>
  <si>
    <t>CW_196</t>
  </si>
  <si>
    <t>CW_197</t>
  </si>
  <si>
    <t>CW_198</t>
  </si>
  <si>
    <t>CW_199</t>
  </si>
  <si>
    <t>CW_200</t>
  </si>
  <si>
    <t>CW_201</t>
  </si>
  <si>
    <t>CW_202</t>
  </si>
  <si>
    <t>CW_203</t>
  </si>
  <si>
    <t>CW_204</t>
  </si>
  <si>
    <t>CW_205</t>
  </si>
  <si>
    <t>CW_206</t>
  </si>
  <si>
    <t>14171533-001</t>
  </si>
  <si>
    <t>14171533-002</t>
  </si>
  <si>
    <t>14171533-003</t>
  </si>
  <si>
    <t>14171533-004</t>
  </si>
  <si>
    <t>14171535-001</t>
  </si>
  <si>
    <t>14171535-002</t>
  </si>
  <si>
    <t>14171535-003</t>
  </si>
  <si>
    <t>14171535-004</t>
  </si>
  <si>
    <t>14172407-001</t>
  </si>
  <si>
    <t>14172407-002</t>
  </si>
  <si>
    <t>14172407-003</t>
  </si>
  <si>
    <t>14172407-004</t>
  </si>
  <si>
    <t>14172407-005</t>
  </si>
  <si>
    <t>14172407-006</t>
  </si>
  <si>
    <t>14172407-007</t>
  </si>
  <si>
    <t>14172407-008</t>
  </si>
  <si>
    <t>14172407-009</t>
  </si>
  <si>
    <t>14173590-001</t>
  </si>
  <si>
    <t>14173590-002</t>
  </si>
  <si>
    <t>14173590-003</t>
  </si>
  <si>
    <t>14173590-004</t>
  </si>
  <si>
    <t>14173590-005</t>
  </si>
  <si>
    <t>14212205-001</t>
  </si>
  <si>
    <t>14212205-002</t>
  </si>
  <si>
    <t>14212205-003</t>
  </si>
  <si>
    <t>14212205-004</t>
  </si>
  <si>
    <t>14212205-005</t>
  </si>
  <si>
    <t>14212205-006</t>
  </si>
  <si>
    <t>14212206-001</t>
  </si>
  <si>
    <t>14212206-002</t>
  </si>
  <si>
    <t>14213114-001</t>
  </si>
  <si>
    <t>14213114-002</t>
  </si>
  <si>
    <t>14213114-003</t>
  </si>
  <si>
    <t>14213114-004</t>
  </si>
  <si>
    <t>14213114-005</t>
  </si>
  <si>
    <t>14213114-006</t>
  </si>
  <si>
    <t>14213115-001</t>
  </si>
  <si>
    <t>14213115-002</t>
  </si>
  <si>
    <t>14214080-001</t>
  </si>
  <si>
    <t>14214080-002</t>
  </si>
  <si>
    <t>14214080-003</t>
  </si>
  <si>
    <t>14214080-004</t>
  </si>
  <si>
    <t>14214080-005</t>
  </si>
  <si>
    <t>14214080-006</t>
  </si>
  <si>
    <t>14243903-001</t>
  </si>
  <si>
    <t>14243903-002</t>
  </si>
  <si>
    <t>14243904-001</t>
  </si>
  <si>
    <t>14243904-002</t>
  </si>
  <si>
    <t>14243904-003</t>
  </si>
  <si>
    <t>14243904-004</t>
  </si>
  <si>
    <t>14243904-005</t>
  </si>
  <si>
    <t>14244713-001</t>
  </si>
  <si>
    <t>14244713-002</t>
  </si>
  <si>
    <t>14244713-003</t>
  </si>
  <si>
    <t>14244713-004</t>
  </si>
  <si>
    <t>14244713-005</t>
  </si>
  <si>
    <t>14244713-006</t>
  </si>
  <si>
    <t>14244713-007</t>
  </si>
  <si>
    <t>14244714-001</t>
  </si>
  <si>
    <t>14245611-001</t>
  </si>
  <si>
    <t>14245611-002</t>
  </si>
  <si>
    <t>14245611-003</t>
  </si>
  <si>
    <t>14245611-004</t>
  </si>
  <si>
    <t>14245611-005</t>
  </si>
  <si>
    <t>14245611-006</t>
  </si>
  <si>
    <t>14245613-001</t>
  </si>
  <si>
    <t>14280168-001</t>
  </si>
  <si>
    <t>14280168-002</t>
  </si>
  <si>
    <t>14280168-003</t>
  </si>
  <si>
    <t>14280168-004</t>
  </si>
  <si>
    <t>14280168-005</t>
  </si>
  <si>
    <t>14280168-006</t>
  </si>
  <si>
    <t>14280168-007</t>
  </si>
  <si>
    <t>14280168-008</t>
  </si>
  <si>
    <t>14280780-001</t>
  </si>
  <si>
    <t>14280780-002</t>
  </si>
  <si>
    <t>14280780-003</t>
  </si>
  <si>
    <t>14280780-004</t>
  </si>
  <si>
    <t>14280780-005</t>
  </si>
  <si>
    <t>14280780-006</t>
  </si>
  <si>
    <t>14280780-007</t>
  </si>
  <si>
    <t>14281821-001</t>
  </si>
  <si>
    <t>14281821-002</t>
  </si>
  <si>
    <t>14281821-003</t>
  </si>
  <si>
    <t>14281821-004</t>
  </si>
  <si>
    <t>14281821-005</t>
  </si>
  <si>
    <t>14281821-006</t>
  </si>
  <si>
    <t>14281821-007</t>
  </si>
  <si>
    <t>14316878-001</t>
  </si>
  <si>
    <t>14316880-001</t>
  </si>
  <si>
    <t>14316880-002</t>
  </si>
  <si>
    <t>14316880-003</t>
  </si>
  <si>
    <t>14316880-004</t>
  </si>
  <si>
    <t>14316880-005</t>
  </si>
  <si>
    <t>14316880-006</t>
  </si>
  <si>
    <t>14317805-001</t>
  </si>
  <si>
    <t>14317805-002</t>
  </si>
  <si>
    <t>14317805-003</t>
  </si>
  <si>
    <t>14317805-004</t>
  </si>
  <si>
    <t>14317805-005</t>
  </si>
  <si>
    <t>14317805-006</t>
  </si>
  <si>
    <t>14317805-007</t>
  </si>
  <si>
    <t>14317805-008</t>
  </si>
  <si>
    <t>14318701-001</t>
  </si>
  <si>
    <t>14318701-002</t>
  </si>
  <si>
    <t>14318701-003</t>
  </si>
  <si>
    <t>14318701-004</t>
  </si>
  <si>
    <t>14318701-005</t>
  </si>
  <si>
    <t>14318701-006</t>
  </si>
  <si>
    <t>14318701-007</t>
  </si>
  <si>
    <t>14349443-001</t>
  </si>
  <si>
    <t>14349444-001</t>
  </si>
  <si>
    <t>14349444-002</t>
  </si>
  <si>
    <t>14349444-003</t>
  </si>
  <si>
    <t>14349444-004</t>
  </si>
  <si>
    <t>14349444-005</t>
  </si>
  <si>
    <t>14349444-006</t>
  </si>
  <si>
    <t>14349444-007</t>
  </si>
  <si>
    <t>14350115-001</t>
  </si>
  <si>
    <t>14350115-002</t>
  </si>
  <si>
    <t>14350115-003</t>
  </si>
  <si>
    <t>14350115-004</t>
  </si>
  <si>
    <t>14350115-005</t>
  </si>
  <si>
    <t>14350115-006</t>
  </si>
  <si>
    <t>14350115-007</t>
  </si>
  <si>
    <t>14350115-008</t>
  </si>
  <si>
    <t>14350727-001</t>
  </si>
  <si>
    <t>14350727-002</t>
  </si>
  <si>
    <t>14350727-003</t>
  </si>
  <si>
    <t>14350727-004</t>
  </si>
  <si>
    <t>14350727-005</t>
  </si>
  <si>
    <t>14392159-001</t>
  </si>
  <si>
    <t>14392180-001</t>
  </si>
  <si>
    <t>14392180-002</t>
  </si>
  <si>
    <t>14392180-003</t>
  </si>
  <si>
    <t>14392180-004</t>
  </si>
  <si>
    <t>14392180-005</t>
  </si>
  <si>
    <t>14392180-006</t>
  </si>
  <si>
    <t>14392839-001</t>
  </si>
  <si>
    <t>14392839-002</t>
  </si>
  <si>
    <t>14392839-003</t>
  </si>
  <si>
    <t>14392839-004</t>
  </si>
  <si>
    <t>14392839-005</t>
  </si>
  <si>
    <t>14392839-006</t>
  </si>
  <si>
    <t>14392839-007</t>
  </si>
  <si>
    <t>14392839-008</t>
  </si>
  <si>
    <t>14393656-001</t>
  </si>
  <si>
    <t>14393656-002</t>
  </si>
  <si>
    <t>14393656-003</t>
  </si>
  <si>
    <t>14393656-004</t>
  </si>
  <si>
    <t>14393656-005</t>
  </si>
  <si>
    <t>14393656-006</t>
  </si>
  <si>
    <t>14393656-007</t>
  </si>
  <si>
    <t>14424768-001</t>
  </si>
  <si>
    <t>14424776-001</t>
  </si>
  <si>
    <t>14424776-002</t>
  </si>
  <si>
    <t>14424776-003</t>
  </si>
  <si>
    <t>14424776-004</t>
  </si>
  <si>
    <t>14424776-005</t>
  </si>
  <si>
    <t>14424776-006</t>
  </si>
  <si>
    <t>14424776-007</t>
  </si>
  <si>
    <t>14424776-008</t>
  </si>
  <si>
    <t>14424776-009</t>
  </si>
  <si>
    <t>14424776-010</t>
  </si>
  <si>
    <t>14425465-001</t>
  </si>
  <si>
    <t>14425465-002</t>
  </si>
  <si>
    <t>14425465-003</t>
  </si>
  <si>
    <t>14425465-004</t>
  </si>
  <si>
    <t>14425465-005</t>
  </si>
  <si>
    <t>14425465-006</t>
  </si>
  <si>
    <t>14425465-007</t>
  </si>
  <si>
    <t>14425465-008</t>
  </si>
  <si>
    <t>14426548-001</t>
  </si>
  <si>
    <t>14426548-002</t>
  </si>
  <si>
    <t>14426548-003</t>
  </si>
  <si>
    <t>CW_1</t>
  </si>
  <si>
    <t>CW_2</t>
  </si>
  <si>
    <t>CW_3</t>
  </si>
  <si>
    <t>CW_4</t>
  </si>
  <si>
    <t>CW_5</t>
  </si>
  <si>
    <t>CW_6</t>
  </si>
  <si>
    <t>CW_7</t>
  </si>
  <si>
    <t>CW_8</t>
  </si>
  <si>
    <t>NA</t>
  </si>
  <si>
    <t>CW1MF01_P0_May_2024</t>
  </si>
  <si>
    <t>CW1MF02_P0_May_2024</t>
  </si>
  <si>
    <t>CW1MF03_P0_May_2024</t>
  </si>
  <si>
    <t>CW1MF04_P0_May_2024</t>
  </si>
  <si>
    <t>CW1MF09_P0_May_2024</t>
  </si>
  <si>
    <t>CW1MF10_P0_May_2024</t>
  </si>
  <si>
    <t>CW1MF11_P0_May_2024</t>
  </si>
  <si>
    <t>CW1MF12_P0_May_2024</t>
  </si>
  <si>
    <t>CWinf_0_August_2024</t>
  </si>
  <si>
    <t>CW1eff_0_August_2024</t>
  </si>
  <si>
    <t>CW2eff_0_August_2024</t>
  </si>
  <si>
    <t>CW3eff_0_August_2024</t>
  </si>
  <si>
    <t>CW1MF01_0_August_2024</t>
  </si>
  <si>
    <t>CW1MF02_0_August_2024</t>
  </si>
  <si>
    <t>CW1MF05_0_August_2024</t>
  </si>
  <si>
    <t>CW1MF06_0_August_2024</t>
  </si>
  <si>
    <t>CW1MF09_0_August_2024</t>
  </si>
  <si>
    <t>CW1MF10_0_August_2024</t>
  </si>
  <si>
    <t>CW2MF01_0_August_2024</t>
  </si>
  <si>
    <t>CW2MF02_0_August_2024</t>
  </si>
  <si>
    <t>CW2MF05_0_August_2024</t>
  </si>
  <si>
    <t>CW2MF06_0_August_2024</t>
  </si>
  <si>
    <t>CW2MF09_0_August_2024</t>
  </si>
  <si>
    <t>CW2MF10_0_August_2024</t>
  </si>
  <si>
    <t>CW3MF01_0_August_2024</t>
  </si>
  <si>
    <t>CW3MF02_0_August_2024</t>
  </si>
  <si>
    <t>CW3MF05_0_August_2024</t>
  </si>
  <si>
    <t>CW3MF06_0_August_2024</t>
  </si>
  <si>
    <t>CW3MF09_0_August_2024</t>
  </si>
  <si>
    <t>CW3MF10_0_August_2024</t>
  </si>
  <si>
    <t>CWinf_1_October_2024</t>
  </si>
  <si>
    <t>CW1eff_1_October_2024</t>
  </si>
  <si>
    <t>CW2eff_1_October_2024</t>
  </si>
  <si>
    <t>CW3eff_1_October_2024</t>
  </si>
  <si>
    <t>CW1MF01_1_October_2024</t>
  </si>
  <si>
    <t>CW1MF02_1_October_2024</t>
  </si>
  <si>
    <t>CW1MF05_1_October_2024</t>
  </si>
  <si>
    <t>CW1MF06_1_October_2024</t>
  </si>
  <si>
    <t>CW1MF09_1_October_2024</t>
  </si>
  <si>
    <t>CW1MF10_1_October_2024</t>
  </si>
  <si>
    <t>CW2MF01_1_October_2024</t>
  </si>
  <si>
    <t>CW2MF02_1_October_2024</t>
  </si>
  <si>
    <t>CW2MF05_1_October_2024</t>
  </si>
  <si>
    <t>CW2MF06_1_October_2024</t>
  </si>
  <si>
    <t>CW2MF09_1_October_2024</t>
  </si>
  <si>
    <t>CW2MF10_1_October_2024</t>
  </si>
  <si>
    <t>CW3MF01_1_October_2024</t>
  </si>
  <si>
    <t>CW3MF02_1_October_2024</t>
  </si>
  <si>
    <t>CW3MF05_1_October_2024</t>
  </si>
  <si>
    <t>CW3MF06_1_October_2024</t>
  </si>
  <si>
    <t>CW3MF09_1_October_2024</t>
  </si>
  <si>
    <t>CW3MF10_1_October_2024</t>
  </si>
  <si>
    <t>CWinf_2_December_2024</t>
  </si>
  <si>
    <t>CW1eff_2_December_2024</t>
  </si>
  <si>
    <t>CW2eff_2_December_2024</t>
  </si>
  <si>
    <t>CW3eff_2_December_2024</t>
  </si>
  <si>
    <t>CW1MF01_2_December_2024</t>
  </si>
  <si>
    <t>CW1MF02_2_December_2024</t>
  </si>
  <si>
    <t>CW1MF05_2_December_2024</t>
  </si>
  <si>
    <t>CW1MF06_2_December_2024</t>
  </si>
  <si>
    <t>CW1MF09_2_December_2024</t>
  </si>
  <si>
    <t>CW1MF10_2_December_2024</t>
  </si>
  <si>
    <t>CW2MF01_2_December_2024</t>
  </si>
  <si>
    <t>CW2MF02_2_December_2024</t>
  </si>
  <si>
    <t>CW2MF05_2_December_2024</t>
  </si>
  <si>
    <t>CW2MF06_2_December_2024</t>
  </si>
  <si>
    <t>CW2MF09_2_December_2024</t>
  </si>
  <si>
    <t>CW2MF10_2_December_2024</t>
  </si>
  <si>
    <t>CW3MF01_2_December_2024</t>
  </si>
  <si>
    <t>CW3MF02_2_December_2024</t>
  </si>
  <si>
    <t>CW3MF05_2_December_2024</t>
  </si>
  <si>
    <t>CW3MF06_2_December_2024</t>
  </si>
  <si>
    <t>CW3MF09_2_December_2024</t>
  </si>
  <si>
    <t>CW3MF10_2_December_2024</t>
  </si>
  <si>
    <t>CWinf_3_February_2025</t>
  </si>
  <si>
    <t>CW1eff_3_February_2025</t>
  </si>
  <si>
    <t>CW2eff_3_February_2025</t>
  </si>
  <si>
    <t>CW3eff_3_February_2025</t>
  </si>
  <si>
    <t>CW1MF01_3_February_2025</t>
  </si>
  <si>
    <t>CW1MF02_3_February_2025</t>
  </si>
  <si>
    <t>CW1MF05_3_February_2025</t>
  </si>
  <si>
    <t>CW1MF06_3_February_2025</t>
  </si>
  <si>
    <t>CW1MF09_3_February_2025</t>
  </si>
  <si>
    <t>CW1MF10_3_February_2025</t>
  </si>
  <si>
    <t>CW2MF01_3_February_2025</t>
  </si>
  <si>
    <t>CW2MF02_3_February_2025</t>
  </si>
  <si>
    <t>CW2MF05_3_February_2025</t>
  </si>
  <si>
    <t>CW2MF06_3_February_2025</t>
  </si>
  <si>
    <t>CW2MF09_3_February_2025</t>
  </si>
  <si>
    <t>CW2MF10_3_February_2025</t>
  </si>
  <si>
    <t>CW3MF01_3_February_2025</t>
  </si>
  <si>
    <t>CW3MF02_3_February_2025</t>
  </si>
  <si>
    <t>CW3MF05_3_February_2025</t>
  </si>
  <si>
    <t>CW3MF06_3_February_2025</t>
  </si>
  <si>
    <t>CW3MF09_3_February_2025</t>
  </si>
  <si>
    <t>CW3MF10_3_February_2025</t>
  </si>
  <si>
    <t>CWinf_4_April_2025</t>
  </si>
  <si>
    <t>CW1eff_4_April_2025</t>
  </si>
  <si>
    <t>CW2eff_4_April_2025</t>
  </si>
  <si>
    <t>CW3eff_4_April_2025</t>
  </si>
  <si>
    <t>CW1MF01_4_April_2025</t>
  </si>
  <si>
    <t>CW1MF02_4_April_2025</t>
  </si>
  <si>
    <t>CW1MF05_4_April_2025</t>
  </si>
  <si>
    <t>CW1MF06_4_April_2025</t>
  </si>
  <si>
    <t>CW1MF09_4_April_2025</t>
  </si>
  <si>
    <t>CW1MF10_4_April_2025</t>
  </si>
  <si>
    <t>CW2MF01_4_April_2025</t>
  </si>
  <si>
    <t>CW2MF02_4_April_2025</t>
  </si>
  <si>
    <t>CW2MF05_4_April_2025</t>
  </si>
  <si>
    <t>CW2MF06_4_April_2025</t>
  </si>
  <si>
    <t>CW2MF09_4_April_2025</t>
  </si>
  <si>
    <t>CW2MF10_4_April_2025</t>
  </si>
  <si>
    <t>CW3MF01_4_April_2025</t>
  </si>
  <si>
    <t>CW3MF02_4_April_2025</t>
  </si>
  <si>
    <t>CW3MF05_4_April_2025</t>
  </si>
  <si>
    <t>CW3MF06_4_April_2025</t>
  </si>
  <si>
    <t>CW3MF09_4_April_2025</t>
  </si>
  <si>
    <t>CW3MF10_4_April_2025</t>
  </si>
  <si>
    <t>CWinf_5_June_2025</t>
  </si>
  <si>
    <t>CW1eff_5_June_2025</t>
  </si>
  <si>
    <t>CW2eff_5_June_2025</t>
  </si>
  <si>
    <t>CW3eff_5_June_2025</t>
  </si>
  <si>
    <t>CW1MF01_5_June_2025</t>
  </si>
  <si>
    <t>CW1MF02_5_June_2025</t>
  </si>
  <si>
    <t>CW1MF05_5_June_2025</t>
  </si>
  <si>
    <t>CW1MF06_5_June_2025</t>
  </si>
  <si>
    <t>CW1MF09_5_June_2025</t>
  </si>
  <si>
    <t>CW1MF10_5_June_2025</t>
  </si>
  <si>
    <t>CW2MF01_5_June_2025</t>
  </si>
  <si>
    <t>CW2MF02_5_June_2025</t>
  </si>
  <si>
    <t>CW2MF05_5_June_2025</t>
  </si>
  <si>
    <t>CW2MF06_5_June_2025</t>
  </si>
  <si>
    <t>CW2MF09_5_June_2025</t>
  </si>
  <si>
    <t>CW2MF10_5_June_2025</t>
  </si>
  <si>
    <t>CW3MF01_5_June_2025</t>
  </si>
  <si>
    <t>CW3MF02_5_June_2025</t>
  </si>
  <si>
    <t>CW3MF05_5_June_2025</t>
  </si>
  <si>
    <t>CW3MF06_5_June_2025</t>
  </si>
  <si>
    <t>CW3MF09_5_June_2025</t>
  </si>
  <si>
    <t>CW3MF10_5_June_2025</t>
  </si>
  <si>
    <t>CWinf_6_August_2025</t>
  </si>
  <si>
    <t>CW1eff_6_August_2025</t>
  </si>
  <si>
    <t>CW2eff_6_August_2025</t>
  </si>
  <si>
    <t>CW3eff_6_August_2025</t>
  </si>
  <si>
    <t>CW1MF01_6_August_2025</t>
  </si>
  <si>
    <t>CW1MF02_6_August_2025</t>
  </si>
  <si>
    <t>CW1MF05_6_August_2025</t>
  </si>
  <si>
    <t>CW1MF06_6_August_2025</t>
  </si>
  <si>
    <t>CW1MF09_6_August_2025</t>
  </si>
  <si>
    <t>CW1MF10_6_August_2025</t>
  </si>
  <si>
    <t>CW2MF01_6_August_2025</t>
  </si>
  <si>
    <t>CW2MF02_6_August_2025</t>
  </si>
  <si>
    <t>CW2MF05_6_August_2025</t>
  </si>
  <si>
    <t>CW2MF06_6_August_2025</t>
  </si>
  <si>
    <t>CW2MF09_6_August_2025</t>
  </si>
  <si>
    <t>CW2MF10_6_August_2025</t>
  </si>
  <si>
    <t>CW3MF01_6_August_2025</t>
  </si>
  <si>
    <t>CW3MF02_6_August_2025</t>
  </si>
  <si>
    <t>CW3MF05_6_August_2025</t>
  </si>
  <si>
    <t>CW3MF06_6_August_2025</t>
  </si>
  <si>
    <t>CW3MF09_6_August_2025</t>
  </si>
  <si>
    <t>CW3MF10_6_August_2025</t>
  </si>
  <si>
    <t>CWinf_7_October_2025</t>
  </si>
  <si>
    <t>CW1eff_7_October_2025</t>
  </si>
  <si>
    <t>CW2eff_7_October_2025</t>
  </si>
  <si>
    <t>CW3eff_7_October_2025</t>
  </si>
  <si>
    <t>CW1MF01_7_October_2025</t>
  </si>
  <si>
    <t>CW1MF02_7_October_2025</t>
  </si>
  <si>
    <t>CW1MF05_7_October_2025</t>
  </si>
  <si>
    <t>CW1MF06_7_October_2025</t>
  </si>
  <si>
    <t>CW1MF09_7_October_2025</t>
  </si>
  <si>
    <t>CW1MF10_7_October_2025</t>
  </si>
  <si>
    <t>CW2MF01_7_October_2025</t>
  </si>
  <si>
    <t>CW2MF02_7_October_2025</t>
  </si>
  <si>
    <t>CW2MF05_7_October_2025</t>
  </si>
  <si>
    <t>CW2MF06_7_October_2025</t>
  </si>
  <si>
    <t>CW2MF09_7_October_2025</t>
  </si>
  <si>
    <t>CW2MF10_7_October_2025</t>
  </si>
  <si>
    <t>CW3MF01_7_October_2025</t>
  </si>
  <si>
    <t>CW3MF02_7_October_2025</t>
  </si>
  <si>
    <t>CW3MF05_7_October_2025</t>
  </si>
  <si>
    <t>CW3MF06_7_October_2025</t>
  </si>
  <si>
    <t>CW3MF09_7_October_2025</t>
  </si>
  <si>
    <t>CW3MF10_7_October_2025</t>
  </si>
  <si>
    <t>CWinf_8_December_2025</t>
  </si>
  <si>
    <t>CW1eff_8_December_2025</t>
  </si>
  <si>
    <t>CW2eff_8_December_2025</t>
  </si>
  <si>
    <t>CW3eff_8_December_2025</t>
  </si>
  <si>
    <t>CW1MF01_8_December_2025</t>
  </si>
  <si>
    <t>CW1MF02_8_December_2025</t>
  </si>
  <si>
    <t>CW1MF05_8_December_2025</t>
  </si>
  <si>
    <t>CW1MF06_8_December_2025</t>
  </si>
  <si>
    <t>CW1MF09_8_December_2025</t>
  </si>
  <si>
    <t>CW1MF10_8_December_2025</t>
  </si>
  <si>
    <t>CW2MF01_8_December_2025</t>
  </si>
  <si>
    <t>CW2MF02_8_December_2025</t>
  </si>
  <si>
    <t>CW2MF05_8_December_2025</t>
  </si>
  <si>
    <t>CW2MF06_8_December_2025</t>
  </si>
  <si>
    <t>CW2MF09_8_December_2025</t>
  </si>
  <si>
    <t>CW2MF10_8_December_2025</t>
  </si>
  <si>
    <t>CW3MF01_8_December_2025</t>
  </si>
  <si>
    <t>CW3MF02_8_December_2025</t>
  </si>
  <si>
    <t>CW3MF05_8_December_2025</t>
  </si>
  <si>
    <t>CW3MF06_8_December_2025</t>
  </si>
  <si>
    <t>CW3MF09_8_December_2025</t>
  </si>
  <si>
    <t>CW3MF10_8_December_2025</t>
  </si>
  <si>
    <t>CW_159</t>
  </si>
  <si>
    <t>DNA_concentration</t>
  </si>
  <si>
    <t>S7472</t>
  </si>
  <si>
    <t>Section_1</t>
  </si>
  <si>
    <t>CW1S1-1</t>
  </si>
  <si>
    <t>0.15-0.30</t>
  </si>
  <si>
    <t>515F806R</t>
  </si>
  <si>
    <t>CW1MF01_P0</t>
  </si>
  <si>
    <t>P0</t>
  </si>
  <si>
    <t>2024-05-27</t>
  </si>
  <si>
    <t>Spring</t>
  </si>
  <si>
    <t>S7473</t>
  </si>
  <si>
    <t>CW1S1-3-4</t>
  </si>
  <si>
    <t>0.60-0.80</t>
  </si>
  <si>
    <t>CW1MF02_P0</t>
  </si>
  <si>
    <t>S7474</t>
  </si>
  <si>
    <t>Section_2</t>
  </si>
  <si>
    <t>CW1S2-1</t>
  </si>
  <si>
    <t>CW1MF03_P0</t>
  </si>
  <si>
    <t>S7475</t>
  </si>
  <si>
    <t>CW1S2-3-4</t>
  </si>
  <si>
    <t>CW1MF04_P0</t>
  </si>
  <si>
    <t>S7476</t>
  </si>
  <si>
    <t>Section_3</t>
  </si>
  <si>
    <t>CW1S3-1</t>
  </si>
  <si>
    <t>CW1MF09_P0</t>
  </si>
  <si>
    <t>S7477</t>
  </si>
  <si>
    <t>CW1S3-3-4</t>
  </si>
  <si>
    <t>CW1MF10_P0</t>
  </si>
  <si>
    <t>S7478</t>
  </si>
  <si>
    <t>Section_4</t>
  </si>
  <si>
    <t>CW1S4-1</t>
  </si>
  <si>
    <t>CW1MF11_P0</t>
  </si>
  <si>
    <t>S7479</t>
  </si>
  <si>
    <t>CW1S4-3-4</t>
  </si>
  <si>
    <t>CW1MF12_P0</t>
  </si>
  <si>
    <t>S7660</t>
  </si>
  <si>
    <t>Section_0</t>
  </si>
  <si>
    <t>CW_0</t>
  </si>
  <si>
    <t>CWinf_0</t>
  </si>
  <si>
    <t>T0</t>
  </si>
  <si>
    <t>2024-08-12</t>
  </si>
  <si>
    <t>Summer</t>
  </si>
  <si>
    <t>S7661</t>
  </si>
  <si>
    <t>Section_5</t>
  </si>
  <si>
    <t>CW1eff_0</t>
  </si>
  <si>
    <t>S7662</t>
  </si>
  <si>
    <t>CW2eff_0</t>
  </si>
  <si>
    <t>S7663</t>
  </si>
  <si>
    <t>CW3eff_0</t>
  </si>
  <si>
    <t>S7664</t>
  </si>
  <si>
    <t>CW1MF01_0</t>
  </si>
  <si>
    <t>S7665</t>
  </si>
  <si>
    <t>CW1MF02_0</t>
  </si>
  <si>
    <t>S7666</t>
  </si>
  <si>
    <t>CW1MF05_0</t>
  </si>
  <si>
    <t>S7667</t>
  </si>
  <si>
    <t>CW1MF06_0</t>
  </si>
  <si>
    <t>S7668</t>
  </si>
  <si>
    <t>CW1MF09_0</t>
  </si>
  <si>
    <t>S7669</t>
  </si>
  <si>
    <t>CW1MF10_0</t>
  </si>
  <si>
    <t>S7670</t>
  </si>
  <si>
    <t>CW2S1-1</t>
  </si>
  <si>
    <t>CW2MF01_0</t>
  </si>
  <si>
    <t>S7671</t>
  </si>
  <si>
    <t>CW2S1-3-4</t>
  </si>
  <si>
    <t>CW2MF02_0</t>
  </si>
  <si>
    <t>S7672</t>
  </si>
  <si>
    <t>CW2S2-1</t>
  </si>
  <si>
    <t>CW2MF05_0</t>
  </si>
  <si>
    <t>S7673</t>
  </si>
  <si>
    <t>CW2S2-3-4</t>
  </si>
  <si>
    <t>CW2MF06_0</t>
  </si>
  <si>
    <t>S7674</t>
  </si>
  <si>
    <t>CW2S3-1</t>
  </si>
  <si>
    <t>CW2MF09_0</t>
  </si>
  <si>
    <t>S7675</t>
  </si>
  <si>
    <t>CW2S3-3-4</t>
  </si>
  <si>
    <t>CW2MF10_0</t>
  </si>
  <si>
    <t>S7676</t>
  </si>
  <si>
    <t>CW3S1-1</t>
  </si>
  <si>
    <t>CW3MF01_0</t>
  </si>
  <si>
    <t>S7677</t>
  </si>
  <si>
    <t>CW3S1-3-4</t>
  </si>
  <si>
    <t>CW3MF02_0</t>
  </si>
  <si>
    <t>S7678</t>
  </si>
  <si>
    <t>CW3S2-1</t>
  </si>
  <si>
    <t>CW3MF05_0</t>
  </si>
  <si>
    <t>S7679</t>
  </si>
  <si>
    <t>CW3S2-3-4</t>
  </si>
  <si>
    <t>CW3MF06_0</t>
  </si>
  <si>
    <t>S7680</t>
  </si>
  <si>
    <t>CW3S3-1</t>
  </si>
  <si>
    <t>CW3MF09_0</t>
  </si>
  <si>
    <t>S7681</t>
  </si>
  <si>
    <t>CW3S3-3-4</t>
  </si>
  <si>
    <t>CW3MF10_0</t>
  </si>
  <si>
    <t>S7816</t>
  </si>
  <si>
    <t>CWinf_1</t>
  </si>
  <si>
    <t>T1</t>
  </si>
  <si>
    <t>2024-10-15</t>
  </si>
  <si>
    <t>Autumn</t>
  </si>
  <si>
    <t>S7817</t>
  </si>
  <si>
    <t>CW1eff_1</t>
  </si>
  <si>
    <t>S7818</t>
  </si>
  <si>
    <t>CW2eff_1</t>
  </si>
  <si>
    <t>S7819</t>
  </si>
  <si>
    <t>CW3eff_1</t>
  </si>
  <si>
    <t>S7820</t>
  </si>
  <si>
    <t>CW1MF01_1</t>
  </si>
  <si>
    <t>S7821</t>
  </si>
  <si>
    <t>CW1MF02_1</t>
  </si>
  <si>
    <t>S7822</t>
  </si>
  <si>
    <t>CW1MF05_1</t>
  </si>
  <si>
    <t>S7823</t>
  </si>
  <si>
    <t>CW1MF06_1</t>
  </si>
  <si>
    <t>S7824</t>
  </si>
  <si>
    <t>CW1MF09_1</t>
  </si>
  <si>
    <t>S7825</t>
  </si>
  <si>
    <t>CW1MF10_1</t>
  </si>
  <si>
    <t>S7826</t>
  </si>
  <si>
    <t>CW2MF01_1</t>
  </si>
  <si>
    <t>S7827</t>
  </si>
  <si>
    <t>CW2MF02_1</t>
  </si>
  <si>
    <t>S7828</t>
  </si>
  <si>
    <t>CW2MF05_1</t>
  </si>
  <si>
    <t>S7829</t>
  </si>
  <si>
    <t>CW2MF06_1</t>
  </si>
  <si>
    <t>S7830</t>
  </si>
  <si>
    <t>CW2MF09_1</t>
  </si>
  <si>
    <t>S7831</t>
  </si>
  <si>
    <t>CW2MF10_1</t>
  </si>
  <si>
    <t>S7832</t>
  </si>
  <si>
    <t>CW3MF01_1</t>
  </si>
  <si>
    <t>S7833</t>
  </si>
  <si>
    <t>CW3MF02_1</t>
  </si>
  <si>
    <t>S7834</t>
  </si>
  <si>
    <t>CW3MF05_1</t>
  </si>
  <si>
    <t>S7835</t>
  </si>
  <si>
    <t>CW3MF06_1</t>
  </si>
  <si>
    <t>S7836</t>
  </si>
  <si>
    <t>CW3MF09_1</t>
  </si>
  <si>
    <t>S7837</t>
  </si>
  <si>
    <t>CW3MF10_1</t>
  </si>
  <si>
    <t>S8056</t>
  </si>
  <si>
    <t>CWinf_2</t>
  </si>
  <si>
    <t>T2</t>
  </si>
  <si>
    <t>2024-12-17</t>
  </si>
  <si>
    <t>Winter</t>
  </si>
  <si>
    <t>S8057</t>
  </si>
  <si>
    <t>CW1eff_2</t>
  </si>
  <si>
    <t>S8058</t>
  </si>
  <si>
    <t>CW2eff_2</t>
  </si>
  <si>
    <t>S8059</t>
  </si>
  <si>
    <t>CW3eff_2</t>
  </si>
  <si>
    <t>S8060</t>
  </si>
  <si>
    <t>CW1MF01_2</t>
  </si>
  <si>
    <t>S8061</t>
  </si>
  <si>
    <t>CW1MF02_2</t>
  </si>
  <si>
    <t>S8062</t>
  </si>
  <si>
    <t>CW1MF05_2</t>
  </si>
  <si>
    <t>S8063</t>
  </si>
  <si>
    <t>CW1MF06_2</t>
  </si>
  <si>
    <t>S8064</t>
  </si>
  <si>
    <t>CW1MF09_2</t>
  </si>
  <si>
    <t>S8065</t>
  </si>
  <si>
    <t>CW1MF10_2</t>
  </si>
  <si>
    <t>S8066</t>
  </si>
  <si>
    <t>CW2MF01_2</t>
  </si>
  <si>
    <t>S8067</t>
  </si>
  <si>
    <t>CW2MF02_2</t>
  </si>
  <si>
    <t>S8068</t>
  </si>
  <si>
    <t>CW2MF05_2</t>
  </si>
  <si>
    <t>S8069</t>
  </si>
  <si>
    <t>CW2MF06_2</t>
  </si>
  <si>
    <t>S8070</t>
  </si>
  <si>
    <t>CW2MF09_2</t>
  </si>
  <si>
    <t>S8071</t>
  </si>
  <si>
    <t>CW2MF10_2</t>
  </si>
  <si>
    <t>S8072</t>
  </si>
  <si>
    <t>CW3MF01_2</t>
  </si>
  <si>
    <t>S8073</t>
  </si>
  <si>
    <t>CW3MF02_2</t>
  </si>
  <si>
    <t>S8074</t>
  </si>
  <si>
    <t>CW3MF05_2</t>
  </si>
  <si>
    <t>S8075</t>
  </si>
  <si>
    <t>CW3MF06_2</t>
  </si>
  <si>
    <t>S8076</t>
  </si>
  <si>
    <t>CW3MF09_2</t>
  </si>
  <si>
    <t>S8077</t>
  </si>
  <si>
    <t>CW3MF10_2</t>
  </si>
  <si>
    <t>S8395</t>
  </si>
  <si>
    <t>CWinf_3</t>
  </si>
  <si>
    <t>T3</t>
  </si>
  <si>
    <t>2025-02-17</t>
  </si>
  <si>
    <t>S8396</t>
  </si>
  <si>
    <t>CW1eff_3</t>
  </si>
  <si>
    <t>S8397</t>
  </si>
  <si>
    <t>CW2eff_3</t>
  </si>
  <si>
    <t>S8398</t>
  </si>
  <si>
    <t>CW3eff_3</t>
  </si>
  <si>
    <t>S8399</t>
  </si>
  <si>
    <t>CW1MF01_3</t>
  </si>
  <si>
    <t>S8400</t>
  </si>
  <si>
    <t>CW1MF02_3</t>
  </si>
  <si>
    <t>S8401</t>
  </si>
  <si>
    <t>CW1MF05_3</t>
  </si>
  <si>
    <t>S8402</t>
  </si>
  <si>
    <t>CW1MF06_3</t>
  </si>
  <si>
    <t>S8403</t>
  </si>
  <si>
    <t>CW1MF09_3</t>
  </si>
  <si>
    <t>S8404</t>
  </si>
  <si>
    <t>CW1MF10_3</t>
  </si>
  <si>
    <t>S8405</t>
  </si>
  <si>
    <t>CW2MF01_3</t>
  </si>
  <si>
    <t>S8406</t>
  </si>
  <si>
    <t>CW2MF02_3</t>
  </si>
  <si>
    <t>S8407</t>
  </si>
  <si>
    <t>CW2MF05_3</t>
  </si>
  <si>
    <t>S8408</t>
  </si>
  <si>
    <t>CW2MF06_3</t>
  </si>
  <si>
    <t>S8409</t>
  </si>
  <si>
    <t>CW2MF09_3</t>
  </si>
  <si>
    <t>S8410</t>
  </si>
  <si>
    <t>CW2MF10_3</t>
  </si>
  <si>
    <t>S8411</t>
  </si>
  <si>
    <t>CW3MF01_3</t>
  </si>
  <si>
    <t>S8412</t>
  </si>
  <si>
    <t>CW3MF02_3</t>
  </si>
  <si>
    <t>S8413</t>
  </si>
  <si>
    <t>CW3MF05_3</t>
  </si>
  <si>
    <t>S8414</t>
  </si>
  <si>
    <t>CW3MF06_3</t>
  </si>
  <si>
    <t>S8415</t>
  </si>
  <si>
    <t>CW3MF09_3</t>
  </si>
  <si>
    <t>S8416</t>
  </si>
  <si>
    <t>CW3MF10_3</t>
  </si>
  <si>
    <t>S8697</t>
  </si>
  <si>
    <t>CWinf_4</t>
  </si>
  <si>
    <t>T4</t>
  </si>
  <si>
    <t>2025-04-15</t>
  </si>
  <si>
    <t>S8698</t>
  </si>
  <si>
    <t>CW1eff_4</t>
  </si>
  <si>
    <t>S8699</t>
  </si>
  <si>
    <t>CW2eff_4</t>
  </si>
  <si>
    <t>S8700</t>
  </si>
  <si>
    <t>CW3eff_4</t>
  </si>
  <si>
    <t>S8701</t>
  </si>
  <si>
    <t>CW1MF01_4</t>
  </si>
  <si>
    <t>S8702</t>
  </si>
  <si>
    <t>CW1MF02_4</t>
  </si>
  <si>
    <t>S8703</t>
  </si>
  <si>
    <t>CW1MF05_4</t>
  </si>
  <si>
    <t>S8704</t>
  </si>
  <si>
    <t>CW1MF06_4</t>
  </si>
  <si>
    <t>S8705</t>
  </si>
  <si>
    <t>CW1MF09_4</t>
  </si>
  <si>
    <t>S8706</t>
  </si>
  <si>
    <t>CW1MF10_4</t>
  </si>
  <si>
    <t>S8707</t>
  </si>
  <si>
    <t>CW2MF01_4</t>
  </si>
  <si>
    <t>S8708</t>
  </si>
  <si>
    <t>CW2MF02_4</t>
  </si>
  <si>
    <t>S8709</t>
  </si>
  <si>
    <t>CW2MF05_4</t>
  </si>
  <si>
    <t>S8710</t>
  </si>
  <si>
    <t>CW2MF06_4</t>
  </si>
  <si>
    <t>S8711</t>
  </si>
  <si>
    <t>CW2MF09_4</t>
  </si>
  <si>
    <t>S8712</t>
  </si>
  <si>
    <t>CW2MF10_4</t>
  </si>
  <si>
    <t>S8713</t>
  </si>
  <si>
    <t>CW3MF01_4</t>
  </si>
  <si>
    <t>S8714</t>
  </si>
  <si>
    <t>CW3MF02_4</t>
  </si>
  <si>
    <t>S8715</t>
  </si>
  <si>
    <t>CW3MF05_4</t>
  </si>
  <si>
    <t>S8716</t>
  </si>
  <si>
    <t>CW3MF06_4</t>
  </si>
  <si>
    <t>S8717</t>
  </si>
  <si>
    <t>CW3MF09_4</t>
  </si>
  <si>
    <t>S8718</t>
  </si>
  <si>
    <t>CW3MF10_4</t>
  </si>
  <si>
    <t>S9050</t>
  </si>
  <si>
    <t>CWinf_5</t>
  </si>
  <si>
    <t>T5</t>
  </si>
  <si>
    <t>2025-06-16</t>
  </si>
  <si>
    <t>S9051</t>
  </si>
  <si>
    <t>CW1eff_5</t>
  </si>
  <si>
    <t>S9052</t>
  </si>
  <si>
    <t>CW2eff_5</t>
  </si>
  <si>
    <t>S9053</t>
  </si>
  <si>
    <t>CW3eff_5</t>
  </si>
  <si>
    <t>S9054</t>
  </si>
  <si>
    <t>CW1MF01_5</t>
  </si>
  <si>
    <t>S9055</t>
  </si>
  <si>
    <t>CW1MF02_5</t>
  </si>
  <si>
    <t>S9056</t>
  </si>
  <si>
    <t>CW1MF05_5</t>
  </si>
  <si>
    <t>S9057</t>
  </si>
  <si>
    <t>CW1MF06_5</t>
  </si>
  <si>
    <t>S9058</t>
  </si>
  <si>
    <t>CW1MF09_5</t>
  </si>
  <si>
    <t>S9059</t>
  </si>
  <si>
    <t>CW1MF10_5</t>
  </si>
  <si>
    <t>S9060</t>
  </si>
  <si>
    <t>CW2MF01_5</t>
  </si>
  <si>
    <t>S9061</t>
  </si>
  <si>
    <t>CW2MF02_5</t>
  </si>
  <si>
    <t>S9062</t>
  </si>
  <si>
    <t>CW2MF05_5</t>
  </si>
  <si>
    <t>S9063</t>
  </si>
  <si>
    <t>CW2MF06_5</t>
  </si>
  <si>
    <t>S9064</t>
  </si>
  <si>
    <t>CW2MF09_5</t>
  </si>
  <si>
    <t>S9065</t>
  </si>
  <si>
    <t>CW2MF10_5</t>
  </si>
  <si>
    <t>S9066</t>
  </si>
  <si>
    <t>CW3MF01_5</t>
  </si>
  <si>
    <t>S9067</t>
  </si>
  <si>
    <t>CW3MF02_5</t>
  </si>
  <si>
    <t>S9068</t>
  </si>
  <si>
    <t>CW3MF05_5</t>
  </si>
  <si>
    <t>S9069</t>
  </si>
  <si>
    <t>CW3MF06_5</t>
  </si>
  <si>
    <t>S9070</t>
  </si>
  <si>
    <t>CW3MF09_5</t>
  </si>
  <si>
    <t>S9071</t>
  </si>
  <si>
    <t>CW3MF10_5</t>
  </si>
  <si>
    <t>S9270</t>
  </si>
  <si>
    <t>CWinf_6</t>
  </si>
  <si>
    <t>T6</t>
  </si>
  <si>
    <t>2025-08-13</t>
  </si>
  <si>
    <t>S9271</t>
  </si>
  <si>
    <t>CW1eff_6</t>
  </si>
  <si>
    <t>S9272</t>
  </si>
  <si>
    <t>CW2eff_6</t>
  </si>
  <si>
    <t>S9273</t>
  </si>
  <si>
    <t>CW3eff_6</t>
  </si>
  <si>
    <t>S9274</t>
  </si>
  <si>
    <t>CW1MF01_6</t>
  </si>
  <si>
    <t>S9275</t>
  </si>
  <si>
    <t>CW1MF02_6</t>
  </si>
  <si>
    <t>S9276</t>
  </si>
  <si>
    <t>CW1MF05_6</t>
  </si>
  <si>
    <t>S9277</t>
  </si>
  <si>
    <t>CW1MF06_6</t>
  </si>
  <si>
    <t>S9278</t>
  </si>
  <si>
    <t>CW1MF09_6</t>
  </si>
  <si>
    <t>S9279</t>
  </si>
  <si>
    <t>CW1MF10_6</t>
  </si>
  <si>
    <t>S9280</t>
  </si>
  <si>
    <t>CW2MF01_6</t>
  </si>
  <si>
    <t>S9281</t>
  </si>
  <si>
    <t>CW2MF02_6</t>
  </si>
  <si>
    <t>S9282</t>
  </si>
  <si>
    <t>CW2MF05_6</t>
  </si>
  <si>
    <t>S9283</t>
  </si>
  <si>
    <t>CW2MF06_6</t>
  </si>
  <si>
    <t>S9284</t>
  </si>
  <si>
    <t>CW2MF09_6</t>
  </si>
  <si>
    <t>S9285</t>
  </si>
  <si>
    <t>CW2MF10_6</t>
  </si>
  <si>
    <t>S9286</t>
  </si>
  <si>
    <t>CW3MF01_6</t>
  </si>
  <si>
    <t>S9287</t>
  </si>
  <si>
    <t>CW3MF02_6</t>
  </si>
  <si>
    <t>S9288</t>
  </si>
  <si>
    <t>CW3MF05_6</t>
  </si>
  <si>
    <t>S9289</t>
  </si>
  <si>
    <t>CW3MF06_6</t>
  </si>
  <si>
    <t>S9290</t>
  </si>
  <si>
    <t>CW3MF09_6</t>
  </si>
  <si>
    <t>S9291</t>
  </si>
  <si>
    <t>CW3MF10_6</t>
  </si>
  <si>
    <t>S9456</t>
  </si>
  <si>
    <t>CWinf_7</t>
  </si>
  <si>
    <t>T7</t>
  </si>
  <si>
    <t>2025-10-27</t>
  </si>
  <si>
    <t>S9457</t>
  </si>
  <si>
    <t>CW1eff_7</t>
  </si>
  <si>
    <t>S9458</t>
  </si>
  <si>
    <t>CW2eff_7</t>
  </si>
  <si>
    <t>S9459</t>
  </si>
  <si>
    <t>CW3eff_7</t>
  </si>
  <si>
    <t>S9460</t>
  </si>
  <si>
    <t>CW1MF01_7</t>
  </si>
  <si>
    <t>S9461</t>
  </si>
  <si>
    <t>CW1MF02_7</t>
  </si>
  <si>
    <t>S9462</t>
  </si>
  <si>
    <t>CW1MF05_7</t>
  </si>
  <si>
    <t>S9463</t>
  </si>
  <si>
    <t>CW1MF06_7</t>
  </si>
  <si>
    <t>S9464</t>
  </si>
  <si>
    <t>CW1MF09_7</t>
  </si>
  <si>
    <t>S9465</t>
  </si>
  <si>
    <t>CW1MF10_7</t>
  </si>
  <si>
    <t>S9466</t>
  </si>
  <si>
    <t>CW2MF01_7</t>
  </si>
  <si>
    <t>S9467</t>
  </si>
  <si>
    <t>CW2MF02_7</t>
  </si>
  <si>
    <t>S9468</t>
  </si>
  <si>
    <t>CW2MF05_7</t>
  </si>
  <si>
    <t>S9469</t>
  </si>
  <si>
    <t>CW2MF06_7</t>
  </si>
  <si>
    <t>S9470</t>
  </si>
  <si>
    <t>CW2MF09_7</t>
  </si>
  <si>
    <t>S9471</t>
  </si>
  <si>
    <t>CW2MF10_7</t>
  </si>
  <si>
    <t>S9472</t>
  </si>
  <si>
    <t>CW3MF01_7</t>
  </si>
  <si>
    <t>S9473</t>
  </si>
  <si>
    <t>CW3MF02_7</t>
  </si>
  <si>
    <t>S9474</t>
  </si>
  <si>
    <t>CW3MF05_7</t>
  </si>
  <si>
    <t>S9475</t>
  </si>
  <si>
    <t>CW3MF06_7</t>
  </si>
  <si>
    <t>S9476</t>
  </si>
  <si>
    <t>CW3MF09_7</t>
  </si>
  <si>
    <t>S9477</t>
  </si>
  <si>
    <t>CW3MF10_7</t>
  </si>
  <si>
    <t>S9822</t>
  </si>
  <si>
    <t>CWinf_8</t>
  </si>
  <si>
    <t>T8</t>
  </si>
  <si>
    <t>2025-12-16</t>
  </si>
  <si>
    <t>S9823</t>
  </si>
  <si>
    <t>CW1eff_8</t>
  </si>
  <si>
    <t>S9824</t>
  </si>
  <si>
    <t>CW2eff_8</t>
  </si>
  <si>
    <t>S9825</t>
  </si>
  <si>
    <t>CW3eff_8</t>
  </si>
  <si>
    <t>S9826</t>
  </si>
  <si>
    <t>CW1MF01_8</t>
  </si>
  <si>
    <t>S9827</t>
  </si>
  <si>
    <t>CW1MF02_8</t>
  </si>
  <si>
    <t>S9828</t>
  </si>
  <si>
    <t>CW1MF05_8</t>
  </si>
  <si>
    <t>S9829</t>
  </si>
  <si>
    <t>CW1MF06_8</t>
  </si>
  <si>
    <t>S9830</t>
  </si>
  <si>
    <t>CW1MF09_8</t>
  </si>
  <si>
    <t>S9831</t>
  </si>
  <si>
    <t>CW1MF10_8</t>
  </si>
  <si>
    <t>S9832</t>
  </si>
  <si>
    <t>CW2MF01_8</t>
  </si>
  <si>
    <t>S9833</t>
  </si>
  <si>
    <t>CW2MF02_8</t>
  </si>
  <si>
    <t>S9834</t>
  </si>
  <si>
    <t>CW2MF05_8</t>
  </si>
  <si>
    <t>S9835</t>
  </si>
  <si>
    <t>CW2MF06_8</t>
  </si>
  <si>
    <t>S9836</t>
  </si>
  <si>
    <t>CW2MF09_8</t>
  </si>
  <si>
    <t>S9837</t>
  </si>
  <si>
    <t>CW2MF10_8</t>
  </si>
  <si>
    <t>S9838</t>
  </si>
  <si>
    <t>CW3MF01_8</t>
  </si>
  <si>
    <t>S9839</t>
  </si>
  <si>
    <t>CW3MF02_8</t>
  </si>
  <si>
    <t>S9840</t>
  </si>
  <si>
    <t>CW3MF05_8</t>
  </si>
  <si>
    <t>S9841</t>
  </si>
  <si>
    <t>CW3MF06_8</t>
  </si>
  <si>
    <t>S9842</t>
  </si>
  <si>
    <t>CW3MF09_8</t>
  </si>
  <si>
    <t>S9843</t>
  </si>
  <si>
    <t>CW3MF10_8</t>
  </si>
  <si>
    <t>INF</t>
  </si>
  <si>
    <t>EFF</t>
  </si>
  <si>
    <t>Wetland</t>
  </si>
  <si>
    <t>Sample_ID</t>
  </si>
  <si>
    <t>MF_number</t>
  </si>
  <si>
    <t>MF01</t>
  </si>
  <si>
    <t>MF02</t>
  </si>
  <si>
    <t>MF03</t>
  </si>
  <si>
    <t>MF04</t>
  </si>
  <si>
    <t>MF09</t>
  </si>
  <si>
    <t>MF10</t>
  </si>
  <si>
    <t>MF11</t>
  </si>
  <si>
    <t>MF12</t>
  </si>
  <si>
    <t>MF05</t>
  </si>
  <si>
    <t>MF06</t>
  </si>
  <si>
    <t>sulfate_mg_l</t>
  </si>
  <si>
    <t>chloride_mg_l</t>
  </si>
  <si>
    <t>iron2_mg_l</t>
  </si>
  <si>
    <t>manganese2_mg_l</t>
  </si>
  <si>
    <t>14373702-001</t>
  </si>
  <si>
    <t>CW3MF05</t>
  </si>
  <si>
    <t>sulfate_electron_acceptor_capacity_mmol_e</t>
  </si>
  <si>
    <t>iron2_measured_mmoles_l</t>
  </si>
  <si>
    <t>iron2_measured_electron_acceptor_capacity_mmol_e</t>
  </si>
  <si>
    <t>manganese2_electron_acceptor_capacity_mmol_e_l</t>
  </si>
  <si>
    <t>sulfate_consumption_relative_to_influent</t>
  </si>
  <si>
    <t>sulfate_consumption_percentage_relative_to_influent</t>
  </si>
  <si>
    <t>sulfate_consumption_1D_flow_mmols_e_l</t>
  </si>
  <si>
    <t>sulfate_consumption_relative_to_influent_mmols_e_l</t>
  </si>
  <si>
    <t>sulfate_consumption_percentage_1D_flow_relative_to_previous_sample</t>
  </si>
  <si>
    <t>sulfate_consumption_1D_flow_mg_l</t>
  </si>
  <si>
    <t>sulfate_consumption_1D_flow_mmols_e_l_no_negatives</t>
  </si>
  <si>
    <t>benzene_ug_l</t>
  </si>
  <si>
    <t>toluene_ug_l</t>
  </si>
  <si>
    <t>ethylbenzene_ug_l</t>
  </si>
  <si>
    <t>o_xylene_ug_l</t>
  </si>
  <si>
    <t>pm_xylene_ug_l</t>
  </si>
  <si>
    <t>xylene_ug_l</t>
  </si>
  <si>
    <t>concentration_BTEX_ug_l</t>
  </si>
  <si>
    <t>naphthalene_VOC_ug_l</t>
  </si>
  <si>
    <t>benzene_mmol_e_l</t>
  </si>
  <si>
    <t>toluene_mmol_e_l</t>
  </si>
  <si>
    <t>ethylbenzene_mmol_e_l</t>
  </si>
  <si>
    <t>o_xylene_mmol_e_l</t>
  </si>
  <si>
    <t>pm_xylene_mmol_e_l</t>
  </si>
  <si>
    <t>xylene_mmol_e_l</t>
  </si>
  <si>
    <t>concentration_BTEX_mmol_e_l</t>
  </si>
  <si>
    <t>naphthalene_VOC_mmol_e_l</t>
  </si>
  <si>
    <t>naphthalene_PAH_ug_l</t>
  </si>
  <si>
    <t>acenaphthylene_ug_l</t>
  </si>
  <si>
    <t>acenaphthene_ug_l</t>
  </si>
  <si>
    <t>fluorene_ug_l</t>
  </si>
  <si>
    <t>phenanthrene_ug_l</t>
  </si>
  <si>
    <t>anthracene_ug_l</t>
  </si>
  <si>
    <t>fluoranthene_ug_l</t>
  </si>
  <si>
    <t>pyrene_ug_l</t>
  </si>
  <si>
    <t>naphthalene_PAH_mmol_e_l</t>
  </si>
  <si>
    <t>acenaphthylene_mmol_e_l</t>
  </si>
  <si>
    <t>acenaphthene_mmol_e_l</t>
  </si>
  <si>
    <t>fluorene_mmol_e_l</t>
  </si>
  <si>
    <t>phenanthrene_mmol_e_l</t>
  </si>
  <si>
    <t>anthracene_mmol_e_l</t>
  </si>
  <si>
    <t>fluoranthene_mmol_e_l</t>
  </si>
  <si>
    <t>pyrene_mmol_e_l</t>
  </si>
  <si>
    <t>Sum_water_soluble_PAHs_ug_l</t>
  </si>
  <si>
    <t>Sum_water_soluble_PAHs_mmol_e_l</t>
  </si>
  <si>
    <t>Sum_water_soluble_PAHs_no_napthalene_mmol_e_l</t>
  </si>
  <si>
    <t>Sum_water_soluble_PAHs_no_napthalene_ug_l</t>
  </si>
  <si>
    <t>sampling_date</t>
  </si>
  <si>
    <t>CW_number_MF_number</t>
  </si>
  <si>
    <t>CW_number_CW_section</t>
  </si>
  <si>
    <t>linked_redox_sensor</t>
  </si>
  <si>
    <t>CW_section</t>
  </si>
  <si>
    <t>CW_number</t>
  </si>
  <si>
    <t>wetland_sample</t>
  </si>
  <si>
    <t>elution_volume_ul</t>
  </si>
  <si>
    <t>filtration_volume_ml</t>
  </si>
  <si>
    <t>primerpairname</t>
  </si>
  <si>
    <t>orvion_sample_names</t>
  </si>
  <si>
    <t>order_treatment</t>
  </si>
  <si>
    <t>sample_names</t>
  </si>
  <si>
    <t>short_name</t>
  </si>
  <si>
    <t>season_meterological</t>
  </si>
  <si>
    <t>sample_depth_information</t>
  </si>
  <si>
    <t>timepoint</t>
  </si>
  <si>
    <t>timepoint_sample_depth_information</t>
  </si>
  <si>
    <t>manganese2__measured_mmoles_l</t>
  </si>
  <si>
    <t>sulfate_measured_mmoles_l</t>
  </si>
  <si>
    <t>sulfate_consumption_relative_to_influent_mmols_e_l_no_negatives</t>
  </si>
  <si>
    <t>iron2_PRECIPITATED_due_to_sulfate_reduction_mg_l_Sulfate_relative_To_Influent</t>
  </si>
  <si>
    <t>iron2_TOTAL_mg_l_Sulfate_relative_To_Influent</t>
  </si>
  <si>
    <t>iron2_TOTAL_mmoles_l__Sulfate_relative_To_Influent</t>
  </si>
  <si>
    <t>iron2_TOTAL_mmoles_e_l__Sulfate_relative_To_Influent</t>
  </si>
  <si>
    <t>iron2_PRECIPITATED_due_to_sulfate_reduction_mg_l_Sulfate_relative_To_1D_flow</t>
  </si>
  <si>
    <t>iron2_PRECIPITATED_due_to_sulfate_mg_l_Sulfate_relative_To_Influent_NO_NEGATIVES</t>
  </si>
  <si>
    <t>iron2_PRECIPITATED_due_to_sulfate_mg_l_Sulfate_relative_To_1D_flow_NO_NEGATIVES</t>
  </si>
  <si>
    <t>iron2_TOTAL_mg_l_sulfate_relative_to_1D_flow</t>
  </si>
  <si>
    <t>iron2_TOTAL_mmoles_l_sulfate_relative_to_1D_flow</t>
  </si>
  <si>
    <t>iron2_TOTAL_mmoles_e_l__sulfate_relative_to_1D_flow</t>
  </si>
  <si>
    <t>electron_acceptor_capacity_mmol_e_consumed_rel_to_influent</t>
  </si>
  <si>
    <t>electron_acceptor_capacity_mmol_e_consumed_rel_to_1D_flow</t>
  </si>
  <si>
    <t>electron_acceptor_capacity_mmol_e_consumed_rel_to_influent_contribution_manganese2</t>
  </si>
  <si>
    <t>electron_acceptor_capacity_mmol_e_consumed_rel_to_influent_contribution_iron2</t>
  </si>
  <si>
    <t>electron_acceptor_capacity_mmol_e_consumed_rel_to_influent_contribution_sulfate</t>
  </si>
  <si>
    <t>electron_acceptor_capacity_mmol_e_consumed_rel_to_1D_flow_contribution_iron2</t>
  </si>
  <si>
    <t>electron_acceptor_capacity_mmol_e_consumed_rel_to_1D_flow_contribution_sulfate</t>
  </si>
  <si>
    <t>electron_acceptor_capacity_mmol_e_consumed_rel_to_1D_flow_contribution_manganese2</t>
  </si>
  <si>
    <t>electron_donor_acceptor_balance_BTEXN_acceptors_consumed_relative_to_influent</t>
  </si>
  <si>
    <t>electron_donor_acceptor_balance_BTEXN_acceptors_consumed_relative_to_1D_flow</t>
  </si>
  <si>
    <t>electron_donor_acceptor_balance_BTEXN_PAH_acceptors_consumed_relative_to_influent</t>
  </si>
  <si>
    <t>electron_donor_acceptor_balance_BTEXN_PAH_acceptors_consumed_relative_to_1D_flow</t>
  </si>
  <si>
    <t>electron_balance_1D_flow</t>
  </si>
  <si>
    <t>electron_capacity_balance_influent</t>
  </si>
  <si>
    <t>Soluble_electron_acceptor_capacity_present_mmol_e_l</t>
  </si>
  <si>
    <t>combined_TOTAL_reduced_metals_mg_l_1D_flow</t>
  </si>
  <si>
    <t>combined_total_reduced_metals_mmol_e_l_1D_flow</t>
  </si>
  <si>
    <t>dominant_electron_acceptor_species_1D_flow</t>
  </si>
  <si>
    <t>dominant_electron_acceptor_species_influent</t>
  </si>
  <si>
    <t>Nanobubbles_On</t>
  </si>
  <si>
    <t>no</t>
  </si>
  <si>
    <t>yes</t>
  </si>
  <si>
    <t>timepoint_MF_number</t>
  </si>
  <si>
    <t>time_continuous</t>
  </si>
  <si>
    <t>Photosynthesis_ko00195</t>
  </si>
  <si>
    <t>Thermogenesis_ko04714</t>
  </si>
  <si>
    <t>Thermogenesis_ko04714_CLR</t>
  </si>
  <si>
    <t>Oxidative_phosphorylation_ko00190</t>
  </si>
  <si>
    <t>Photosynthesis_-_antenna_proteins_ko00196</t>
  </si>
  <si>
    <t>Chlorocyclohexane_and_chlorobenzene_degradation_ko00361</t>
  </si>
  <si>
    <t>Benzoate_degradation_ko00362</t>
  </si>
  <si>
    <t>Bisphenol_degradation_ko00363</t>
  </si>
  <si>
    <t>Fluorobenzoate_degradation_ko00364</t>
  </si>
  <si>
    <t>Furfural_degradation_ko00365</t>
  </si>
  <si>
    <t>Dioxin_degradation_ko00621</t>
  </si>
  <si>
    <t>Xylene_degradation_ko00622</t>
  </si>
  <si>
    <t>Toluene_degradation_ko00623</t>
  </si>
  <si>
    <t>Polycyclic_aromatic_hydrocarbon_degradation_ko00624</t>
  </si>
  <si>
    <t>Chloroalkane_and_chloroalkene_degradation_ko00625</t>
  </si>
  <si>
    <t>Naphthalene_degradation_ko00626</t>
  </si>
  <si>
    <t>Aminobenzoate_degradation_ko00627</t>
  </si>
  <si>
    <t>Nitrotoluene_degradation_ko00633</t>
  </si>
  <si>
    <t>Ethylbenzene_degradation_ko00642</t>
  </si>
  <si>
    <t>Styrene_degradation_ko00643</t>
  </si>
  <si>
    <t>Methane_metabolism_ko00680</t>
  </si>
  <si>
    <t>Carbon_fixation_in_photosynthetic_organisms_ko00710</t>
  </si>
  <si>
    <t>Carbon_fixation_pathways_in_prokaryotes_ko00720</t>
  </si>
  <si>
    <t>Atrazine_degradation_ko00791</t>
  </si>
  <si>
    <t>Nitrogen_metabolism_ko00910</t>
  </si>
  <si>
    <t>Sulfur_metabolism_ko00920</t>
  </si>
  <si>
    <t>Caprolactam_degradation_ko00930</t>
  </si>
  <si>
    <t>Metabolism_of_xenobiotics_by_cytochrome_P450_ko00980</t>
  </si>
  <si>
    <t>Drug_metabolism_-_cytochrome_P450_ko00982</t>
  </si>
  <si>
    <t>Drug_metabolism_-_other_enzymes_ko00983</t>
  </si>
  <si>
    <t>Steroid_degradation_ko00984</t>
  </si>
  <si>
    <t>Quorum_sensing_ko02024</t>
  </si>
  <si>
    <t>Biofilm_formation_-_Pseudomonas_aeruginosa_ko02025</t>
  </si>
  <si>
    <t>Biofilm_formation_-_Escherichia_coli_ko02026</t>
  </si>
  <si>
    <t>Plant-pathogen_interaction_ko04626</t>
  </si>
  <si>
    <t>Biofilm_formation_-_Vibrio_cholerae_ko05111</t>
  </si>
  <si>
    <t>Chlorocyclohexane_and_chlorobenzene_degradation_ko00361_CLR</t>
  </si>
  <si>
    <t>Benzoate_degradation_ko00362_CLR</t>
  </si>
  <si>
    <t>Bisphenol_degradation_ko00363_CLR</t>
  </si>
  <si>
    <t>Fluorobenzoate_degradation_ko00364_CLR</t>
  </si>
  <si>
    <t>Furfural_degradation_ko00365_CLR</t>
  </si>
  <si>
    <t>Dioxin_degradation_ko00621_CLR</t>
  </si>
  <si>
    <t>Xylene_degradation_ko00622_CLR</t>
  </si>
  <si>
    <t>Toluene_degradation_ko00623_CLR</t>
  </si>
  <si>
    <t>Polycyclic_aromatic_hydrocarbon_degradation_ko00624_CLR</t>
  </si>
  <si>
    <t>Chloroalkane_and_chloroalkene_degradation_ko00625_CLR</t>
  </si>
  <si>
    <t>Naphthalene_degradation_ko00626_CLR</t>
  </si>
  <si>
    <t>Aminobenzoate_degradation_ko00627_CLR</t>
  </si>
  <si>
    <t>Nitrotoluene_degradation_ko00633_CLR</t>
  </si>
  <si>
    <t>Ethylbenzene_degradation_ko00642_CLR</t>
  </si>
  <si>
    <t>Styrene_degradation_ko00643_CLR</t>
  </si>
  <si>
    <t>Methane_metabolism_ko00680_CLR</t>
  </si>
  <si>
    <t>Carbon_fixation_in_photosynthetic_organisms_ko00710_CLR</t>
  </si>
  <si>
    <t>Carbon_fixation_pathways_in_prokaryotes_ko00720_CLR</t>
  </si>
  <si>
    <t>Atrazine_degradation_ko00791_CLR</t>
  </si>
  <si>
    <t>Nitrogen_metabolism_ko00910_CLR</t>
  </si>
  <si>
    <t>Sulfur_metabolism_ko00920_CLR</t>
  </si>
  <si>
    <t>Caprolactam_degradation_ko00930_CLR</t>
  </si>
  <si>
    <t>Metabolism_of_xenobiotics_by_cytochrome_P450_ko00980_CLR</t>
  </si>
  <si>
    <t>Drug_metabolism_-_cytochrome_P450_ko00982_CLR</t>
  </si>
  <si>
    <t>Drug_metabolism_-_other_enzymes_ko00983_CLR</t>
  </si>
  <si>
    <t>Steroid_degradation_ko00984_CLR</t>
  </si>
  <si>
    <t>Quorum_sensing_ko02024_CLR</t>
  </si>
  <si>
    <t>Biofilm_formation_-_Pseudomonas_aeruginosa_ko02025_CLR</t>
  </si>
  <si>
    <t>Biofilm_formation_-_Escherichia_coli_ko02026_CLR</t>
  </si>
  <si>
    <t>Plant-pathogen_interaction_ko04626_CLR</t>
  </si>
  <si>
    <t>Biofilm_formation_-_Vibrio_cholerae_ko05111_CLR</t>
  </si>
  <si>
    <t>timepoint_CW_number_MF_number</t>
  </si>
  <si>
    <t>time_number_of_days</t>
  </si>
  <si>
    <t>time_months</t>
  </si>
  <si>
    <t>time_z_normalized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</si>
</sst>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"/>
  </numFmts>
  <fonts count="8" x14ac:knownFonts="1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rgb="FF000000"/>
      <name val="Aptos"/>
      <family val="2"/>
    </font>
    <font>
      <sz val="12"/>
      <color theme="1"/>
      <name val="Calibri"/>
      <family val="2"/>
    </font>
    <font>
      <sz val="12"/>
      <color rgb="FF000000"/>
      <name val="Calibri"/>
      <family val="2"/>
    </font>
    <font>
      <sz val="12"/>
      <color rgb="FF000000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8"/>
      <name val="Aptos Narrow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7">
    <xf numFmtId="0" fontId="0" fillId="0" borderId="0" xfId="0"/>
    <xf numFmtId="14" fontId="0" fillId="0" borderId="0" xfId="0" applyNumberFormat="1"/>
    <xf numFmtId="0" fontId="1" fillId="0" borderId="0" xfId="0" applyFont="1"/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  <xf numFmtId="0" fontId="1" fillId="5" borderId="0" xfId="0" applyFont="1" applyFill="1"/>
    <xf numFmtId="0" fontId="1" fillId="6" borderId="0" xfId="0" applyFont="1" applyFill="1"/>
    <xf numFmtId="0" fontId="1" fillId="7" borderId="0" xfId="0" applyFont="1" applyFill="1"/>
    <xf numFmtId="14" fontId="1" fillId="0" borderId="0" xfId="0" applyNumberFormat="1" applyFont="1"/>
    <xf numFmtId="0" fontId="2" fillId="0" borderId="0" xfId="0" applyFont="1"/>
    <xf numFmtId="14" fontId="1" fillId="0" borderId="0" xfId="0" quotePrefix="1" applyNumberFormat="1" applyFont="1"/>
    <xf numFmtId="2" fontId="3" fillId="0" borderId="0" xfId="0" applyNumberFormat="1" applyFont="1"/>
    <xf numFmtId="2" fontId="3" fillId="0" borderId="0" xfId="0" applyNumberFormat="1" applyFont="1" applyAlignment="1">
      <alignment horizontal="right"/>
    </xf>
    <xf numFmtId="0" fontId="3" fillId="0" borderId="0" xfId="0" applyFont="1" applyAlignment="1">
      <alignment horizontal="right"/>
    </xf>
    <xf numFmtId="0" fontId="4" fillId="0" borderId="0" xfId="0" applyFont="1" applyAlignment="1">
      <alignment horizontal="right" vertical="center"/>
    </xf>
    <xf numFmtId="14" fontId="1" fillId="7" borderId="0" xfId="0" applyNumberFormat="1" applyFont="1" applyFill="1"/>
    <xf numFmtId="0" fontId="2" fillId="7" borderId="0" xfId="0" applyFont="1" applyFill="1"/>
    <xf numFmtId="14" fontId="1" fillId="7" borderId="0" xfId="0" quotePrefix="1" applyNumberFormat="1" applyFont="1" applyFill="1"/>
    <xf numFmtId="0" fontId="5" fillId="0" borderId="0" xfId="0" applyFont="1" applyAlignment="1">
      <alignment horizontal="left" wrapText="1"/>
    </xf>
    <xf numFmtId="0" fontId="6" fillId="0" borderId="0" xfId="0" applyFont="1"/>
    <xf numFmtId="0" fontId="0" fillId="7" borderId="0" xfId="0" applyFill="1"/>
    <xf numFmtId="14" fontId="0" fillId="7" borderId="0" xfId="0" applyNumberFormat="1" applyFill="1"/>
    <xf numFmtId="0" fontId="0" fillId="7" borderId="0" xfId="0" applyFill="1" applyAlignment="1">
      <alignment horizontal="right" vertical="top"/>
    </xf>
    <xf numFmtId="2" fontId="0" fillId="2" borderId="0" xfId="0" applyNumberFormat="1" applyFill="1"/>
    <xf numFmtId="0" fontId="0" fillId="2" borderId="0" xfId="0" applyFill="1"/>
    <xf numFmtId="0" fontId="0" fillId="8" borderId="0" xfId="0" applyFill="1"/>
    <xf numFmtId="0" fontId="0" fillId="9" borderId="0" xfId="0" applyFill="1"/>
    <xf numFmtId="0" fontId="0" fillId="4" borderId="0" xfId="0" applyFill="1"/>
    <xf numFmtId="0" fontId="1" fillId="10" borderId="0" xfId="0" applyFont="1" applyFill="1"/>
    <xf numFmtId="0" fontId="2" fillId="10" borderId="0" xfId="0" applyFont="1" applyFill="1"/>
    <xf numFmtId="14" fontId="1" fillId="10" borderId="0" xfId="0" quotePrefix="1" applyNumberFormat="1" applyFont="1" applyFill="1"/>
    <xf numFmtId="0" fontId="0" fillId="10" borderId="0" xfId="0" applyFill="1"/>
    <xf numFmtId="14" fontId="0" fillId="10" borderId="0" xfId="0" applyNumberFormat="1" applyFill="1"/>
    <xf numFmtId="2" fontId="3" fillId="10" borderId="0" xfId="0" applyNumberFormat="1" applyFont="1" applyFill="1"/>
    <xf numFmtId="2" fontId="3" fillId="10" borderId="0" xfId="0" applyNumberFormat="1" applyFont="1" applyFill="1" applyAlignment="1">
      <alignment horizontal="right"/>
    </xf>
    <xf numFmtId="0" fontId="4" fillId="10" borderId="0" xfId="0" applyFont="1" applyFill="1" applyAlignment="1">
      <alignment horizontal="right" vertical="center"/>
    </xf>
    <xf numFmtId="0" fontId="5" fillId="10" borderId="0" xfId="0" applyFont="1" applyFill="1" applyAlignment="1">
      <alignment horizontal="left" wrapText="1"/>
    </xf>
    <xf numFmtId="164" fontId="0" fillId="2" borderId="0" xfId="0" applyNumberFormat="1" applyFill="1"/>
    <xf numFmtId="0" fontId="0" fillId="11" borderId="0" xfId="0" applyFill="1"/>
    <xf numFmtId="14" fontId="1" fillId="10" borderId="0" xfId="0" applyNumberFormat="1" applyFont="1" applyFill="1"/>
    <xf numFmtId="0" fontId="1" fillId="8" borderId="0" xfId="0" applyFont="1" applyFill="1"/>
    <xf numFmtId="14" fontId="1" fillId="8" borderId="0" xfId="0" applyNumberFormat="1" applyFont="1" applyFill="1"/>
    <xf numFmtId="0" fontId="2" fillId="8" borderId="0" xfId="0" applyFont="1" applyFill="1"/>
    <xf numFmtId="14" fontId="1" fillId="8" borderId="0" xfId="0" quotePrefix="1" applyNumberFormat="1" applyFont="1" applyFill="1"/>
    <xf numFmtId="14" fontId="0" fillId="8" borderId="0" xfId="0" applyNumberFormat="1" applyFill="1"/>
    <xf numFmtId="0" fontId="0" fillId="12" borderId="0" xfId="0" applyFill="1"/>
    <xf numFmtId="0" fontId="0" fillId="13" borderId="0" xfId="0" applyFill="1"/>
    <xf numFmtId="2" fontId="0" fillId="12" borderId="0" xfId="0" applyNumberFormat="1" applyFill="1"/>
    <xf numFmtId="0" fontId="1" fillId="6" borderId="1" xfId="0" applyFont="1" applyFill="1" applyBorder="1"/>
    <xf numFmtId="0" fontId="1" fillId="13" borderId="0" xfId="0" applyFont="1" applyFill="1"/>
    <xf numFmtId="0" fontId="0" fillId="6" borderId="0" xfId="0" applyFill="1"/>
    <xf numFmtId="0" fontId="0" fillId="14" borderId="0" xfId="0" applyFill="1"/>
    <xf numFmtId="0" fontId="0" fillId="15" borderId="0" xfId="0" applyFill="1"/>
    <xf numFmtId="2" fontId="0" fillId="15" borderId="0" xfId="0" applyNumberFormat="1" applyFill="1"/>
    <xf numFmtId="0" fontId="0" fillId="16" borderId="0" xfId="0" applyFill="1"/>
    <xf numFmtId="2" fontId="0" fillId="16" borderId="0" xfId="0" applyNumberFormat="1" applyFill="1"/>
    <xf numFmtId="0" fontId="0" fillId="17" borderId="0" xfId="0" applyFill="1"/>
    <xf numFmtId="164" fontId="0" fillId="18" borderId="0" xfId="0" applyNumberFormat="1" applyFill="1"/>
    <xf numFmtId="0" fontId="0" fillId="18" borderId="0" xfId="0" applyFill="1"/>
    <xf numFmtId="2" fontId="0" fillId="14" borderId="0" xfId="0" applyNumberFormat="1" applyFill="1"/>
    <xf numFmtId="164" fontId="0" fillId="14" borderId="0" xfId="0" applyNumberFormat="1" applyFill="1"/>
    <xf numFmtId="0" fontId="0" fillId="19" borderId="0" xfId="0" applyFill="1"/>
    <xf numFmtId="2" fontId="0" fillId="0" borderId="0" xfId="0" applyNumberFormat="1"/>
    <xf numFmtId="0" fontId="0" fillId="20" borderId="0" xfId="0" applyFill="1"/>
    <xf numFmtId="3" fontId="0" fillId="0" borderId="0" xfId="0" applyNumberForma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3B7154-D316-4A5F-8438-90CE3CDA3492}">
  <dimension ref="A1:JR208"/>
  <sheetViews>
    <sheetView tabSelected="1" topLeftCell="AA1" zoomScale="115" zoomScaleNormal="115" workbookViewId="0">
      <selection activeCell="AC1" sqref="AC1"/>
    </sheetView>
  </sheetViews>
  <sheetFormatPr defaultRowHeight="15" x14ac:dyDescent="0.25"/>
  <cols>
    <col min="1" max="2" width="25.42578125" customWidth="1"/>
    <col min="3" max="3" width="14.42578125" bestFit="1" customWidth="1"/>
    <col min="4" max="4" width="29.7109375" bestFit="1" customWidth="1"/>
    <col min="5" max="5" width="27.140625" customWidth="1"/>
    <col min="6" max="6" width="16.5703125" bestFit="1" customWidth="1"/>
    <col min="7" max="7" width="23.5703125" bestFit="1" customWidth="1"/>
    <col min="8" max="8" width="15.5703125" bestFit="1" customWidth="1"/>
    <col min="9" max="9" width="21.7109375" bestFit="1" customWidth="1"/>
    <col min="10" max="10" width="19.140625" bestFit="1" customWidth="1"/>
    <col min="11" max="11" width="19.85546875" bestFit="1" customWidth="1"/>
    <col min="12" max="12" width="14" bestFit="1" customWidth="1"/>
    <col min="13" max="13" width="17.140625" bestFit="1" customWidth="1"/>
    <col min="14" max="14" width="13.140625" bestFit="1" customWidth="1"/>
    <col min="15" max="15" width="14.5703125" customWidth="1"/>
    <col min="16" max="16" width="12.28515625" bestFit="1" customWidth="1"/>
    <col min="17" max="17" width="20.85546875" bestFit="1" customWidth="1"/>
    <col min="18" max="18" width="34" customWidth="1"/>
    <col min="19" max="19" width="30.42578125" customWidth="1"/>
    <col min="20" max="20" width="15.7109375" customWidth="1"/>
    <col min="21" max="21" width="11.28515625" bestFit="1" customWidth="1"/>
    <col min="22" max="22" width="22.140625" bestFit="1" customWidth="1"/>
    <col min="23" max="23" width="26.5703125" bestFit="1" customWidth="1"/>
    <col min="24" max="24" width="10.42578125" bestFit="1" customWidth="1"/>
    <col min="25" max="25" width="22.42578125" bestFit="1" customWidth="1"/>
    <col min="26" max="26" width="35.5703125" bestFit="1" customWidth="1"/>
    <col min="27" max="28" width="37.5703125" customWidth="1"/>
    <col min="29" max="29" width="17" bestFit="1" customWidth="1"/>
    <col min="30" max="30" width="18.7109375" bestFit="1" customWidth="1"/>
    <col min="31" max="31" width="17" bestFit="1" customWidth="1"/>
    <col min="32" max="32" width="11" customWidth="1"/>
    <col min="33" max="33" width="16.5703125" bestFit="1" customWidth="1"/>
    <col min="35" max="35" width="12.7109375" bestFit="1" customWidth="1"/>
    <col min="36" max="36" width="16.7109375" bestFit="1" customWidth="1"/>
    <col min="37" max="37" width="13" customWidth="1"/>
    <col min="38" max="38" width="11.7109375" bestFit="1" customWidth="1"/>
    <col min="40" max="40" width="5" bestFit="1" customWidth="1"/>
    <col min="41" max="41" width="11" customWidth="1"/>
    <col min="44" max="45" width="5.140625" bestFit="1" customWidth="1"/>
    <col min="46" max="46" width="12.7109375" bestFit="1" customWidth="1"/>
    <col min="47" max="47" width="21.7109375" customWidth="1"/>
    <col min="48" max="48" width="12.28515625" customWidth="1"/>
    <col min="49" max="49" width="13" customWidth="1"/>
    <col min="50" max="50" width="15" customWidth="1"/>
    <col min="51" max="51" width="12.42578125" customWidth="1"/>
    <col min="52" max="52" width="8.42578125" bestFit="1" customWidth="1"/>
    <col min="53" max="53" width="13.140625" bestFit="1" customWidth="1"/>
    <col min="54" max="54" width="10.140625" bestFit="1" customWidth="1"/>
    <col min="55" max="55" width="10.140625" customWidth="1"/>
    <col min="56" max="56" width="6.42578125" bestFit="1" customWidth="1"/>
    <col min="57" max="57" width="11.140625" customWidth="1"/>
    <col min="58" max="58" width="23.28515625" style="48" bestFit="1" customWidth="1"/>
    <col min="59" max="59" width="28.28515625" style="48" bestFit="1" customWidth="1"/>
    <col min="60" max="60" width="16.85546875" bestFit="1" customWidth="1"/>
    <col min="61" max="61" width="26.5703125" bestFit="1" customWidth="1"/>
    <col min="62" max="62" width="21.42578125" style="47" bestFit="1" customWidth="1"/>
    <col min="63" max="63" width="26.42578125" style="27" bestFit="1" customWidth="1"/>
    <col min="64" max="64" width="15.140625" style="47" bestFit="1" customWidth="1"/>
    <col min="65" max="65" width="24.7109375" style="27" bestFit="1" customWidth="1"/>
    <col min="66" max="66" width="9.140625" style="47"/>
    <col min="67" max="67" width="23.28515625" style="27" bestFit="1" customWidth="1"/>
    <col min="68" max="68" width="9.140625" style="47"/>
    <col min="69" max="69" width="9.140625" style="27"/>
    <col min="70" max="70" width="9.140625" style="47"/>
    <col min="71" max="71" width="9.140625" style="27"/>
    <col min="72" max="72" width="9.7109375" style="47" customWidth="1"/>
    <col min="73" max="73" width="9.140625" style="27"/>
    <col min="74" max="74" width="9.140625" style="47"/>
    <col min="75" max="75" width="9.140625" style="27"/>
    <col min="76" max="76" width="9.140625" style="47"/>
    <col min="77" max="77" width="16.28515625" style="27" bestFit="1" customWidth="1"/>
    <col min="78" max="78" width="28.42578125" style="51" bestFit="1" customWidth="1"/>
    <col min="79" max="79" width="39.5703125" style="51" customWidth="1"/>
    <col min="80" max="80" width="31.5703125" style="27" bestFit="1" customWidth="1"/>
    <col min="81" max="81" width="54" style="27" bestFit="1" customWidth="1"/>
    <col min="82" max="84" width="16.5703125" bestFit="1" customWidth="1"/>
    <col min="85" max="85" width="13.7109375" bestFit="1" customWidth="1"/>
    <col min="86" max="86" width="13.85546875" style="24" customWidth="1"/>
    <col min="87" max="87" width="27.28515625" style="25" bestFit="1" customWidth="1"/>
    <col min="88" max="88" width="32.5703125" style="25" customWidth="1"/>
    <col min="89" max="89" width="19.7109375" style="26" bestFit="1" customWidth="1"/>
    <col min="90" max="90" width="36.7109375" style="26" bestFit="1" customWidth="1"/>
    <col min="91" max="91" width="44.140625" style="26" customWidth="1"/>
    <col min="92" max="92" width="22.85546875" style="27" customWidth="1"/>
    <col min="93" max="93" width="28.85546875" style="27" bestFit="1" customWidth="1"/>
    <col min="94" max="94" width="40.7109375" style="27" bestFit="1" customWidth="1"/>
    <col min="95" max="95" width="21.5703125" style="57" customWidth="1"/>
    <col min="96" max="96" width="48.85546875" style="57" bestFit="1" customWidth="1"/>
    <col min="97" max="97" width="35.85546875" style="57" customWidth="1"/>
    <col min="98" max="98" width="57.28515625" style="57" customWidth="1"/>
    <col min="99" max="99" width="30" style="28" customWidth="1"/>
    <col min="100" max="100" width="65.42578125" style="28" bestFit="1" customWidth="1"/>
    <col min="101" max="101" width="35.42578125" style="28" customWidth="1"/>
    <col min="102" max="102" width="46.42578125" style="28" customWidth="1"/>
    <col min="103" max="103" width="44.140625" style="25" customWidth="1"/>
    <col min="104" max="104" width="70.7109375" style="25" customWidth="1"/>
    <col min="105" max="105" width="42.7109375" style="24" bestFit="1" customWidth="1"/>
    <col min="106" max="106" width="36" style="38" customWidth="1"/>
    <col min="107" max="107" width="70.7109375" style="38" bestFit="1" customWidth="1"/>
    <col min="108" max="108" width="91.42578125" style="59" bestFit="1" customWidth="1"/>
    <col min="109" max="109" width="66" style="59" customWidth="1"/>
    <col min="110" max="110" width="31.85546875" style="58" customWidth="1"/>
    <col min="111" max="111" width="47.85546875" style="58" bestFit="1" customWidth="1"/>
    <col min="112" max="112" width="57.140625" style="58" customWidth="1"/>
    <col min="113" max="113" width="63" style="28" bestFit="1" customWidth="1"/>
    <col min="114" max="114" width="63" style="28" customWidth="1"/>
    <col min="115" max="115" width="48" style="27" bestFit="1" customWidth="1"/>
    <col min="116" max="116" width="68.5703125" bestFit="1" customWidth="1"/>
    <col min="117" max="117" width="82.5703125" bestFit="1" customWidth="1"/>
    <col min="118" max="118" width="56.28515625" customWidth="1"/>
    <col min="119" max="119" width="58.7109375" customWidth="1"/>
    <col min="120" max="120" width="58" bestFit="1" customWidth="1"/>
    <col min="121" max="121" width="59.5703125" customWidth="1"/>
    <col min="122" max="122" width="53.140625" customWidth="1"/>
    <col min="123" max="123" width="58.42578125" customWidth="1"/>
    <col min="124" max="124" width="76.85546875" bestFit="1" customWidth="1"/>
    <col min="125" max="125" width="16.140625" customWidth="1"/>
    <col min="126" max="126" width="51.5703125" customWidth="1"/>
    <col min="127" max="127" width="29.42578125" customWidth="1"/>
    <col min="128" max="128" width="32.7109375" bestFit="1" customWidth="1"/>
    <col min="129" max="129" width="27.140625" bestFit="1" customWidth="1"/>
    <col min="130" max="131" width="58.42578125" customWidth="1"/>
  </cols>
  <sheetData>
    <row r="1" spans="1:278" ht="15.75" x14ac:dyDescent="0.25">
      <c r="A1" s="6" t="s">
        <v>62</v>
      </c>
      <c r="B1" s="6" t="s">
        <v>1121</v>
      </c>
      <c r="C1" s="6" t="s">
        <v>1199</v>
      </c>
      <c r="D1" s="6" t="s">
        <v>1198</v>
      </c>
      <c r="E1" s="6" t="s">
        <v>1198</v>
      </c>
      <c r="F1" s="6" t="s">
        <v>1197</v>
      </c>
      <c r="G1" s="7" t="s">
        <v>1196</v>
      </c>
      <c r="H1" s="7" t="s">
        <v>1195</v>
      </c>
      <c r="I1" s="49" t="s">
        <v>1194</v>
      </c>
      <c r="J1" s="49" t="s">
        <v>1193</v>
      </c>
      <c r="K1" s="49" t="s">
        <v>651</v>
      </c>
      <c r="L1" s="51" t="s">
        <v>0</v>
      </c>
      <c r="M1" s="50" t="s">
        <v>1192</v>
      </c>
      <c r="N1" s="50" t="s">
        <v>1191</v>
      </c>
      <c r="O1" s="50" t="s">
        <v>1190</v>
      </c>
      <c r="P1" s="50" t="s">
        <v>1122</v>
      </c>
      <c r="Q1" s="50" t="s">
        <v>1189</v>
      </c>
      <c r="R1" s="50" t="s">
        <v>1188</v>
      </c>
      <c r="S1" s="50" t="s">
        <v>1187</v>
      </c>
      <c r="T1" s="50" t="s">
        <v>1186</v>
      </c>
      <c r="U1" s="47" t="s">
        <v>2</v>
      </c>
      <c r="V1" s="50" t="s">
        <v>1200</v>
      </c>
      <c r="W1" s="50" t="s">
        <v>1201</v>
      </c>
      <c r="X1" s="50" t="s">
        <v>1202</v>
      </c>
      <c r="Y1" s="50" t="s">
        <v>1239</v>
      </c>
      <c r="Z1" s="50" t="s">
        <v>1308</v>
      </c>
      <c r="AA1" s="50" t="s">
        <v>1203</v>
      </c>
      <c r="AB1" s="50" t="s">
        <v>1309</v>
      </c>
      <c r="AC1" s="50" t="s">
        <v>1310</v>
      </c>
      <c r="AD1" s="50" t="s">
        <v>1311</v>
      </c>
      <c r="AE1" s="50" t="s">
        <v>1240</v>
      </c>
      <c r="AF1" s="47" t="s">
        <v>1</v>
      </c>
      <c r="AG1" s="47" t="s">
        <v>1236</v>
      </c>
      <c r="AH1" s="64" t="s">
        <v>1134</v>
      </c>
      <c r="AI1" s="64" t="s">
        <v>5</v>
      </c>
      <c r="AJ1" s="64" t="s">
        <v>6</v>
      </c>
      <c r="AK1" s="64" t="s">
        <v>11</v>
      </c>
      <c r="AL1" s="64" t="s">
        <v>12</v>
      </c>
      <c r="AM1" s="64" t="s">
        <v>13</v>
      </c>
      <c r="AN1" s="64" t="s">
        <v>14</v>
      </c>
      <c r="AO1" s="64" t="s">
        <v>15</v>
      </c>
      <c r="AP1" s="64" t="s">
        <v>16</v>
      </c>
      <c r="AQ1" s="64"/>
      <c r="AR1" s="53" t="s">
        <v>3</v>
      </c>
      <c r="AS1" s="53" t="s">
        <v>4</v>
      </c>
      <c r="AT1" s="53" t="s">
        <v>1150</v>
      </c>
      <c r="AU1" s="53" t="s">
        <v>1158</v>
      </c>
      <c r="AV1" s="53" t="s">
        <v>1151</v>
      </c>
      <c r="AW1" s="53" t="s">
        <v>1159</v>
      </c>
      <c r="AX1" s="53" t="s">
        <v>1152</v>
      </c>
      <c r="AY1" s="53" t="s">
        <v>1160</v>
      </c>
      <c r="AZ1" s="53" t="s">
        <v>1153</v>
      </c>
      <c r="BA1" s="53" t="s">
        <v>1161</v>
      </c>
      <c r="BB1" s="53" t="s">
        <v>1154</v>
      </c>
      <c r="BC1" s="53" t="s">
        <v>1162</v>
      </c>
      <c r="BD1" s="53" t="s">
        <v>1155</v>
      </c>
      <c r="BE1" s="53" t="s">
        <v>1163</v>
      </c>
      <c r="BF1" s="54" t="s">
        <v>1156</v>
      </c>
      <c r="BG1" s="54" t="s">
        <v>1164</v>
      </c>
      <c r="BH1" s="53" t="s">
        <v>1157</v>
      </c>
      <c r="BI1" s="53" t="s">
        <v>1165</v>
      </c>
      <c r="BJ1" s="53" t="s">
        <v>1166</v>
      </c>
      <c r="BK1" s="53" t="s">
        <v>1174</v>
      </c>
      <c r="BL1" s="53" t="s">
        <v>1167</v>
      </c>
      <c r="BM1" s="53" t="s">
        <v>1175</v>
      </c>
      <c r="BN1" s="53" t="s">
        <v>1168</v>
      </c>
      <c r="BO1" s="53" t="s">
        <v>1176</v>
      </c>
      <c r="BP1" s="53" t="s">
        <v>1169</v>
      </c>
      <c r="BQ1" s="53" t="s">
        <v>1177</v>
      </c>
      <c r="BR1" s="53" t="s">
        <v>1170</v>
      </c>
      <c r="BS1" s="53" t="s">
        <v>1178</v>
      </c>
      <c r="BT1" s="53" t="s">
        <v>1171</v>
      </c>
      <c r="BU1" s="53" t="s">
        <v>1179</v>
      </c>
      <c r="BV1" s="53" t="s">
        <v>1172</v>
      </c>
      <c r="BW1" s="53" t="s">
        <v>1180</v>
      </c>
      <c r="BX1" s="53" t="s">
        <v>1173</v>
      </c>
      <c r="BY1" s="53" t="s">
        <v>1181</v>
      </c>
      <c r="BZ1" s="53" t="s">
        <v>1182</v>
      </c>
      <c r="CA1" s="53" t="s">
        <v>1185</v>
      </c>
      <c r="CB1" s="53" t="s">
        <v>1183</v>
      </c>
      <c r="CC1" s="53" t="s">
        <v>1184</v>
      </c>
      <c r="CD1" s="53" t="s">
        <v>7</v>
      </c>
      <c r="CE1" s="53" t="s">
        <v>8</v>
      </c>
      <c r="CF1" s="53" t="s">
        <v>9</v>
      </c>
      <c r="CG1" s="53" t="s">
        <v>10</v>
      </c>
      <c r="CH1" s="56" t="s">
        <v>1135</v>
      </c>
      <c r="CI1" s="55" t="s">
        <v>1140</v>
      </c>
      <c r="CJ1" s="39" t="s">
        <v>1141</v>
      </c>
      <c r="CK1" s="55" t="s">
        <v>1136</v>
      </c>
      <c r="CL1" s="55" t="s">
        <v>1204</v>
      </c>
      <c r="CM1" s="39" t="s">
        <v>1142</v>
      </c>
      <c r="CN1" s="55" t="s">
        <v>1133</v>
      </c>
      <c r="CO1" s="55" t="s">
        <v>1205</v>
      </c>
      <c r="CP1" s="55" t="s">
        <v>1139</v>
      </c>
      <c r="CQ1" s="39" t="s">
        <v>1143</v>
      </c>
      <c r="CR1" s="39" t="s">
        <v>1144</v>
      </c>
      <c r="CS1" s="39" t="s">
        <v>1146</v>
      </c>
      <c r="CT1" s="39" t="s">
        <v>1206</v>
      </c>
      <c r="CU1" s="39" t="s">
        <v>1148</v>
      </c>
      <c r="CV1" s="39" t="s">
        <v>1147</v>
      </c>
      <c r="CW1" s="39" t="s">
        <v>1145</v>
      </c>
      <c r="CX1" s="39" t="s">
        <v>1149</v>
      </c>
      <c r="CY1" s="52" t="s">
        <v>1207</v>
      </c>
      <c r="CZ1" s="52" t="s">
        <v>1212</v>
      </c>
      <c r="DA1" s="60" t="s">
        <v>1208</v>
      </c>
      <c r="DB1" s="61" t="s">
        <v>1209</v>
      </c>
      <c r="DC1" s="61" t="s">
        <v>1210</v>
      </c>
      <c r="DD1" s="61" t="s">
        <v>1211</v>
      </c>
      <c r="DE1" s="52" t="s">
        <v>1213</v>
      </c>
      <c r="DF1" s="61" t="s">
        <v>1214</v>
      </c>
      <c r="DG1" s="60" t="s">
        <v>1215</v>
      </c>
      <c r="DH1" s="61" t="s">
        <v>1216</v>
      </c>
      <c r="DI1" s="62" t="s">
        <v>1231</v>
      </c>
      <c r="DJ1" s="62" t="s">
        <v>1232</v>
      </c>
      <c r="DK1" s="27" t="s">
        <v>1233</v>
      </c>
      <c r="DL1" s="62" t="s">
        <v>1217</v>
      </c>
      <c r="DM1" s="27" t="s">
        <v>1219</v>
      </c>
      <c r="DN1" s="27" t="s">
        <v>1220</v>
      </c>
      <c r="DO1" s="27" t="s">
        <v>1221</v>
      </c>
      <c r="DP1" s="62" t="s">
        <v>1218</v>
      </c>
      <c r="DQ1" s="27" t="s">
        <v>1224</v>
      </c>
      <c r="DR1" s="27" t="s">
        <v>1222</v>
      </c>
      <c r="DS1" s="27" t="s">
        <v>1223</v>
      </c>
      <c r="DT1" s="57" t="s">
        <v>1225</v>
      </c>
      <c r="DU1" s="57" t="s">
        <v>1226</v>
      </c>
      <c r="DV1" s="57" t="s">
        <v>1227</v>
      </c>
      <c r="DW1" s="57" t="s">
        <v>1228</v>
      </c>
      <c r="DX1" s="57" t="s">
        <v>1230</v>
      </c>
      <c r="DY1" s="57" t="s">
        <v>1229</v>
      </c>
      <c r="DZ1" s="27" t="s">
        <v>1235</v>
      </c>
      <c r="EA1" s="27" t="s">
        <v>1234</v>
      </c>
      <c r="EB1" t="s">
        <v>1244</v>
      </c>
      <c r="EC1" t="s">
        <v>1241</v>
      </c>
      <c r="ED1" t="s">
        <v>1245</v>
      </c>
      <c r="EE1" t="s">
        <v>1246</v>
      </c>
      <c r="EF1" t="s">
        <v>1247</v>
      </c>
      <c r="EG1" t="s">
        <v>1248</v>
      </c>
      <c r="EH1" t="s">
        <v>1249</v>
      </c>
      <c r="EI1" t="s">
        <v>1250</v>
      </c>
      <c r="EJ1" t="s">
        <v>1251</v>
      </c>
      <c r="EK1" t="s">
        <v>1252</v>
      </c>
      <c r="EL1" t="s">
        <v>1253</v>
      </c>
      <c r="EM1" t="s">
        <v>1254</v>
      </c>
      <c r="EN1" t="s">
        <v>1255</v>
      </c>
      <c r="EO1" t="s">
        <v>1256</v>
      </c>
      <c r="EP1" t="s">
        <v>1257</v>
      </c>
      <c r="EQ1" t="s">
        <v>1258</v>
      </c>
      <c r="ER1" t="s">
        <v>1259</v>
      </c>
      <c r="ES1" t="s">
        <v>1260</v>
      </c>
      <c r="ET1" t="s">
        <v>1261</v>
      </c>
      <c r="EU1" t="s">
        <v>1262</v>
      </c>
      <c r="EV1" t="s">
        <v>1263</v>
      </c>
      <c r="EW1" t="s">
        <v>1264</v>
      </c>
      <c r="EX1" t="s">
        <v>1265</v>
      </c>
      <c r="EY1" t="s">
        <v>1266</v>
      </c>
      <c r="EZ1" t="s">
        <v>1267</v>
      </c>
      <c r="FA1" t="s">
        <v>1268</v>
      </c>
      <c r="FB1" t="s">
        <v>1269</v>
      </c>
      <c r="FC1" t="s">
        <v>1270</v>
      </c>
      <c r="FD1" t="s">
        <v>1271</v>
      </c>
      <c r="FE1" t="s">
        <v>1272</v>
      </c>
      <c r="FF1" t="s">
        <v>1273</v>
      </c>
      <c r="FG1" t="s">
        <v>1274</v>
      </c>
      <c r="FH1" t="s">
        <v>1275</v>
      </c>
      <c r="FI1" t="s">
        <v>1242</v>
      </c>
      <c r="FJ1" t="s">
        <v>1276</v>
      </c>
      <c r="FK1" t="s">
        <v>1277</v>
      </c>
      <c r="FL1" t="s">
        <v>1278</v>
      </c>
      <c r="FM1" t="s">
        <v>1279</v>
      </c>
      <c r="FN1" t="s">
        <v>1280</v>
      </c>
      <c r="FO1" t="s">
        <v>1281</v>
      </c>
      <c r="FP1" t="s">
        <v>1282</v>
      </c>
      <c r="FQ1" t="s">
        <v>1283</v>
      </c>
      <c r="FR1" t="s">
        <v>1284</v>
      </c>
      <c r="FS1" t="s">
        <v>1285</v>
      </c>
      <c r="FT1" t="s">
        <v>1286</v>
      </c>
      <c r="FU1" t="s">
        <v>1287</v>
      </c>
      <c r="FV1" t="s">
        <v>1288</v>
      </c>
      <c r="FW1" t="s">
        <v>1289</v>
      </c>
      <c r="FX1" t="s">
        <v>1290</v>
      </c>
      <c r="FY1" t="s">
        <v>1291</v>
      </c>
      <c r="FZ1" t="s">
        <v>1292</v>
      </c>
      <c r="GA1" t="s">
        <v>1293</v>
      </c>
      <c r="GB1" t="s">
        <v>1294</v>
      </c>
      <c r="GC1" t="s">
        <v>1295</v>
      </c>
      <c r="GD1" t="s">
        <v>1296</v>
      </c>
      <c r="GE1" t="s">
        <v>1297</v>
      </c>
      <c r="GF1" t="s">
        <v>1298</v>
      </c>
      <c r="GG1" t="s">
        <v>1299</v>
      </c>
      <c r="GH1" t="s">
        <v>1300</v>
      </c>
      <c r="GI1" t="s">
        <v>1301</v>
      </c>
      <c r="GJ1" t="s">
        <v>1302</v>
      </c>
      <c r="GK1" t="s">
        <v>1303</v>
      </c>
      <c r="GL1" t="s">
        <v>1304</v>
      </c>
      <c r="GM1" t="s">
        <v>1305</v>
      </c>
      <c r="GN1" t="s">
        <v>1306</v>
      </c>
      <c r="GO1" t="s">
        <v>1243</v>
      </c>
      <c r="GP1" t="s">
        <v>1307</v>
      </c>
    </row>
    <row r="2" spans="1:278" ht="15.75" x14ac:dyDescent="0.25">
      <c r="A2" s="2" t="s">
        <v>435</v>
      </c>
      <c r="B2" s="2" t="s">
        <v>435</v>
      </c>
      <c r="C2" s="2" t="s">
        <v>657</v>
      </c>
      <c r="D2" s="2" t="s">
        <v>444</v>
      </c>
      <c r="E2" s="2" t="s">
        <v>444</v>
      </c>
      <c r="F2" s="2">
        <v>1</v>
      </c>
      <c r="G2" s="2" t="s">
        <v>652</v>
      </c>
      <c r="H2" s="10" t="s">
        <v>656</v>
      </c>
      <c r="I2" s="2">
        <v>150</v>
      </c>
      <c r="J2" s="2">
        <v>65</v>
      </c>
      <c r="K2" s="2">
        <v>19.100000000000001</v>
      </c>
      <c r="L2" t="s">
        <v>443</v>
      </c>
      <c r="M2" s="2" t="s">
        <v>1120</v>
      </c>
      <c r="N2" s="2" t="s">
        <v>435</v>
      </c>
      <c r="O2" s="2" t="s">
        <v>653</v>
      </c>
      <c r="P2" s="2" t="s">
        <v>1123</v>
      </c>
      <c r="Q2" s="9" t="s">
        <v>654</v>
      </c>
      <c r="R2" s="2" t="str">
        <f>$N2&amp;"_"&amp;$O2</f>
        <v>CW_1_Section_1</v>
      </c>
      <c r="S2" s="2" t="str">
        <f>$N2&amp;"_"&amp;$P2</f>
        <v>CW_1_MF01</v>
      </c>
      <c r="T2" s="11" t="s">
        <v>659</v>
      </c>
      <c r="V2" s="2" t="s">
        <v>660</v>
      </c>
      <c r="W2" s="2" t="s">
        <v>655</v>
      </c>
      <c r="X2" s="2" t="s">
        <v>658</v>
      </c>
      <c r="Y2" s="2" t="str">
        <f>$X2&amp;"_"&amp;$P2</f>
        <v>P0_MF01</v>
      </c>
      <c r="Z2" s="2" t="str">
        <f>$X2&amp;"_"&amp;$N2&amp;"_"&amp;$P2</f>
        <v>P0_CW_1_MF01</v>
      </c>
      <c r="AA2" s="2" t="str">
        <f>$X2&amp;"_"&amp;$W2</f>
        <v>P0_0.15-0.30</v>
      </c>
      <c r="AB2" s="2">
        <v>0</v>
      </c>
      <c r="AC2" s="2">
        <v>0</v>
      </c>
      <c r="AD2" s="2">
        <v>0</v>
      </c>
      <c r="AE2" s="2">
        <v>0</v>
      </c>
      <c r="AF2" t="s">
        <v>443</v>
      </c>
      <c r="AG2" t="s">
        <v>443</v>
      </c>
      <c r="AH2" t="s">
        <v>443</v>
      </c>
      <c r="AI2" t="s">
        <v>443</v>
      </c>
      <c r="AJ2" t="s">
        <v>443</v>
      </c>
      <c r="AK2" t="s">
        <v>443</v>
      </c>
      <c r="AL2" t="s">
        <v>443</v>
      </c>
      <c r="AM2" t="s">
        <v>443</v>
      </c>
      <c r="AN2" t="s">
        <v>443</v>
      </c>
      <c r="AO2" t="s">
        <v>443</v>
      </c>
      <c r="AP2" t="s">
        <v>443</v>
      </c>
      <c r="AQ2" t="s">
        <v>443</v>
      </c>
      <c r="AR2" t="s">
        <v>443</v>
      </c>
      <c r="AS2" t="s">
        <v>443</v>
      </c>
      <c r="AT2" t="s">
        <v>443</v>
      </c>
      <c r="AU2" t="s">
        <v>443</v>
      </c>
      <c r="AV2" t="s">
        <v>443</v>
      </c>
      <c r="AW2" t="s">
        <v>443</v>
      </c>
      <c r="AX2" t="s">
        <v>443</v>
      </c>
      <c r="AY2" t="s">
        <v>443</v>
      </c>
      <c r="AZ2" t="s">
        <v>443</v>
      </c>
      <c r="BA2" t="s">
        <v>443</v>
      </c>
      <c r="BB2" t="s">
        <v>443</v>
      </c>
      <c r="BC2" t="s">
        <v>443</v>
      </c>
      <c r="BD2" t="s">
        <v>443</v>
      </c>
      <c r="BE2" t="s">
        <v>443</v>
      </c>
      <c r="BF2" s="46" t="s">
        <v>443</v>
      </c>
      <c r="BG2" s="46" t="s">
        <v>443</v>
      </c>
      <c r="BH2" t="s">
        <v>443</v>
      </c>
      <c r="BI2" t="s">
        <v>443</v>
      </c>
      <c r="BJ2" s="47" t="s">
        <v>443</v>
      </c>
      <c r="BK2" t="s">
        <v>443</v>
      </c>
      <c r="BL2" s="47" t="s">
        <v>443</v>
      </c>
      <c r="BM2" t="s">
        <v>443</v>
      </c>
      <c r="BN2" s="47" t="s">
        <v>443</v>
      </c>
      <c r="BO2" t="s">
        <v>443</v>
      </c>
      <c r="BP2" s="47" t="s">
        <v>443</v>
      </c>
      <c r="BQ2" t="s">
        <v>443</v>
      </c>
      <c r="BR2" s="47" t="s">
        <v>443</v>
      </c>
      <c r="BS2" t="s">
        <v>443</v>
      </c>
      <c r="BT2" s="47" t="s">
        <v>443</v>
      </c>
      <c r="BU2" t="s">
        <v>443</v>
      </c>
      <c r="BV2" s="47" t="s">
        <v>443</v>
      </c>
      <c r="BW2" t="s">
        <v>443</v>
      </c>
      <c r="BX2" s="47" t="s">
        <v>443</v>
      </c>
      <c r="BY2" t="s">
        <v>443</v>
      </c>
      <c r="BZ2" s="51" t="s">
        <v>443</v>
      </c>
      <c r="CA2" s="51" t="s">
        <v>443</v>
      </c>
      <c r="CB2" s="27" t="s">
        <v>443</v>
      </c>
      <c r="CC2" s="27" t="s">
        <v>443</v>
      </c>
      <c r="CD2" t="s">
        <v>443</v>
      </c>
      <c r="CE2" t="s">
        <v>443</v>
      </c>
      <c r="CF2" t="s">
        <v>443</v>
      </c>
      <c r="CG2" t="s">
        <v>443</v>
      </c>
      <c r="CH2" s="24" t="s">
        <v>443</v>
      </c>
      <c r="CI2" s="24" t="s">
        <v>443</v>
      </c>
      <c r="CJ2" s="24" t="s">
        <v>443</v>
      </c>
      <c r="CK2" s="26" t="s">
        <v>443</v>
      </c>
      <c r="CL2" s="26" t="s">
        <v>443</v>
      </c>
      <c r="CM2" s="26" t="s">
        <v>443</v>
      </c>
      <c r="CN2" t="s">
        <v>443</v>
      </c>
      <c r="CO2" t="s">
        <v>443</v>
      </c>
      <c r="CP2" t="s">
        <v>443</v>
      </c>
      <c r="CQ2" s="57" t="s">
        <v>443</v>
      </c>
      <c r="CR2" s="57" t="s">
        <v>443</v>
      </c>
      <c r="CS2" s="57" t="s">
        <v>443</v>
      </c>
      <c r="CT2" s="57" t="s">
        <v>443</v>
      </c>
      <c r="CU2" s="28" t="s">
        <v>443</v>
      </c>
      <c r="CV2" s="28" t="s">
        <v>443</v>
      </c>
      <c r="CW2" s="28" t="s">
        <v>443</v>
      </c>
      <c r="CX2" s="28" t="s">
        <v>443</v>
      </c>
      <c r="CY2" t="s">
        <v>443</v>
      </c>
      <c r="CZ2" t="s">
        <v>443</v>
      </c>
      <c r="DA2" s="24" t="s">
        <v>443</v>
      </c>
      <c r="DB2" s="38" t="s">
        <v>443</v>
      </c>
      <c r="DC2" s="38" t="s">
        <v>443</v>
      </c>
      <c r="DD2" s="59" t="s">
        <v>443</v>
      </c>
      <c r="DE2" s="59" t="s">
        <v>443</v>
      </c>
      <c r="DF2" s="59" t="s">
        <v>443</v>
      </c>
      <c r="DG2" s="59" t="s">
        <v>443</v>
      </c>
      <c r="DH2" s="58" t="s">
        <v>443</v>
      </c>
      <c r="DI2" t="s">
        <v>443</v>
      </c>
      <c r="DJ2" t="s">
        <v>443</v>
      </c>
      <c r="DK2" s="27" t="s">
        <v>443</v>
      </c>
      <c r="DL2" s="27" t="s">
        <v>443</v>
      </c>
      <c r="DM2" s="27" t="s">
        <v>443</v>
      </c>
      <c r="DN2" s="27" t="s">
        <v>443</v>
      </c>
      <c r="DO2" s="27" t="s">
        <v>443</v>
      </c>
      <c r="DP2" s="27" t="s">
        <v>443</v>
      </c>
      <c r="DQ2" s="27" t="s">
        <v>443</v>
      </c>
      <c r="DR2" s="27" t="s">
        <v>443</v>
      </c>
      <c r="DS2" s="27" t="s">
        <v>443</v>
      </c>
      <c r="DT2" s="27" t="s">
        <v>443</v>
      </c>
      <c r="DU2" s="27" t="s">
        <v>443</v>
      </c>
      <c r="DV2" s="27" t="s">
        <v>443</v>
      </c>
      <c r="DW2" s="27" t="s">
        <v>443</v>
      </c>
      <c r="DX2" s="27" t="s">
        <v>443</v>
      </c>
      <c r="DY2" s="27" t="s">
        <v>443</v>
      </c>
      <c r="DZ2" s="27" t="s">
        <v>443</v>
      </c>
      <c r="EA2" s="27" t="s">
        <v>443</v>
      </c>
      <c r="EB2" s="27" t="s">
        <v>443</v>
      </c>
      <c r="EC2" s="27" t="s">
        <v>443</v>
      </c>
      <c r="ED2" s="27" t="s">
        <v>443</v>
      </c>
      <c r="EE2" s="27" t="s">
        <v>443</v>
      </c>
      <c r="EF2" s="27" t="s">
        <v>443</v>
      </c>
      <c r="EG2" s="27" t="s">
        <v>443</v>
      </c>
      <c r="EH2" s="27" t="s">
        <v>443</v>
      </c>
      <c r="EI2" s="27" t="s">
        <v>443</v>
      </c>
      <c r="EJ2" s="27" t="s">
        <v>443</v>
      </c>
      <c r="EK2" s="27" t="s">
        <v>443</v>
      </c>
      <c r="EL2" s="27" t="s">
        <v>443</v>
      </c>
      <c r="EM2" s="27" t="s">
        <v>443</v>
      </c>
      <c r="EN2" s="27" t="s">
        <v>443</v>
      </c>
      <c r="EO2" s="27" t="s">
        <v>443</v>
      </c>
      <c r="EP2" s="27" t="s">
        <v>443</v>
      </c>
      <c r="EQ2" s="27" t="s">
        <v>443</v>
      </c>
      <c r="ER2" s="27" t="s">
        <v>443</v>
      </c>
      <c r="ES2" s="27" t="s">
        <v>443</v>
      </c>
      <c r="ET2" s="27" t="s">
        <v>443</v>
      </c>
      <c r="EU2" s="27" t="s">
        <v>443</v>
      </c>
      <c r="EV2" s="27" t="s">
        <v>443</v>
      </c>
      <c r="EW2" s="27" t="s">
        <v>443</v>
      </c>
      <c r="EX2" s="27" t="s">
        <v>443</v>
      </c>
      <c r="EY2" s="27" t="s">
        <v>443</v>
      </c>
      <c r="EZ2" s="27" t="s">
        <v>443</v>
      </c>
      <c r="FA2" s="27" t="s">
        <v>443</v>
      </c>
      <c r="FB2" s="27" t="s">
        <v>443</v>
      </c>
      <c r="FC2" s="27" t="s">
        <v>443</v>
      </c>
      <c r="FD2" s="27" t="s">
        <v>443</v>
      </c>
      <c r="FE2" s="27" t="s">
        <v>443</v>
      </c>
      <c r="FF2" s="27" t="s">
        <v>443</v>
      </c>
      <c r="FG2" s="27" t="s">
        <v>443</v>
      </c>
      <c r="FH2" s="27" t="s">
        <v>443</v>
      </c>
      <c r="FI2" s="27" t="s">
        <v>443</v>
      </c>
      <c r="FJ2" s="27" t="s">
        <v>443</v>
      </c>
      <c r="FK2" s="27" t="s">
        <v>443</v>
      </c>
      <c r="FL2" s="27" t="s">
        <v>443</v>
      </c>
      <c r="FM2" s="27" t="s">
        <v>443</v>
      </c>
      <c r="FN2" s="27" t="s">
        <v>443</v>
      </c>
      <c r="FO2" s="27" t="s">
        <v>443</v>
      </c>
      <c r="FP2" s="27" t="s">
        <v>443</v>
      </c>
      <c r="FQ2" s="27" t="s">
        <v>443</v>
      </c>
      <c r="FR2" s="27" t="s">
        <v>443</v>
      </c>
      <c r="FS2" s="27" t="s">
        <v>443</v>
      </c>
      <c r="FT2" s="27" t="s">
        <v>443</v>
      </c>
      <c r="FU2" s="27" t="s">
        <v>443</v>
      </c>
      <c r="FV2" s="27" t="s">
        <v>443</v>
      </c>
      <c r="FW2" s="27" t="s">
        <v>443</v>
      </c>
      <c r="FX2" s="27" t="s">
        <v>443</v>
      </c>
      <c r="FY2" s="27" t="s">
        <v>443</v>
      </c>
      <c r="FZ2" s="27" t="s">
        <v>443</v>
      </c>
      <c r="GA2" s="27" t="s">
        <v>443</v>
      </c>
      <c r="GB2" s="27" t="s">
        <v>443</v>
      </c>
      <c r="GC2" s="27" t="s">
        <v>443</v>
      </c>
      <c r="GD2" s="27" t="s">
        <v>443</v>
      </c>
      <c r="GE2" s="27" t="s">
        <v>443</v>
      </c>
      <c r="GF2" s="27" t="s">
        <v>443</v>
      </c>
      <c r="GG2" s="27" t="s">
        <v>443</v>
      </c>
      <c r="GH2" s="27" t="s">
        <v>443</v>
      </c>
      <c r="GI2" s="27" t="s">
        <v>443</v>
      </c>
      <c r="GJ2" s="27" t="s">
        <v>443</v>
      </c>
      <c r="GK2" s="27" t="s">
        <v>443</v>
      </c>
      <c r="GL2" s="27" t="s">
        <v>443</v>
      </c>
      <c r="GM2" s="27" t="s">
        <v>443</v>
      </c>
      <c r="GN2" s="27" t="s">
        <v>443</v>
      </c>
      <c r="GO2" s="27" t="s">
        <v>443</v>
      </c>
      <c r="GP2" s="27" t="s">
        <v>443</v>
      </c>
      <c r="GQ2" s="27"/>
      <c r="HK2" s="1"/>
      <c r="HL2" s="1"/>
      <c r="HM2" s="1"/>
      <c r="HN2" s="1"/>
    </row>
    <row r="3" spans="1:278" ht="15.75" x14ac:dyDescent="0.25">
      <c r="A3" s="2" t="s">
        <v>436</v>
      </c>
      <c r="B3" s="2" t="s">
        <v>436</v>
      </c>
      <c r="C3" s="2" t="s">
        <v>664</v>
      </c>
      <c r="D3" s="2" t="s">
        <v>445</v>
      </c>
      <c r="E3" s="2" t="s">
        <v>445</v>
      </c>
      <c r="F3" s="2">
        <v>2</v>
      </c>
      <c r="G3" s="2" t="s">
        <v>661</v>
      </c>
      <c r="H3" s="10" t="s">
        <v>656</v>
      </c>
      <c r="I3" s="2">
        <v>150</v>
      </c>
      <c r="J3" s="2">
        <v>65</v>
      </c>
      <c r="K3" s="2">
        <v>13.3</v>
      </c>
      <c r="L3" t="s">
        <v>443</v>
      </c>
      <c r="M3" s="2" t="s">
        <v>1120</v>
      </c>
      <c r="N3" s="2" t="s">
        <v>435</v>
      </c>
      <c r="O3" s="2" t="s">
        <v>653</v>
      </c>
      <c r="P3" s="2" t="s">
        <v>1124</v>
      </c>
      <c r="Q3" s="9" t="s">
        <v>662</v>
      </c>
      <c r="R3" s="2" t="str">
        <f t="shared" ref="R3:R66" si="0">$N3&amp;"_"&amp;$O3</f>
        <v>CW_1_Section_1</v>
      </c>
      <c r="S3" s="2" t="str">
        <f t="shared" ref="S3:S66" si="1">$N3&amp;"_"&amp;$P3</f>
        <v>CW_1_MF02</v>
      </c>
      <c r="T3" s="11" t="s">
        <v>659</v>
      </c>
      <c r="V3" s="2" t="s">
        <v>660</v>
      </c>
      <c r="W3" s="2" t="s">
        <v>663</v>
      </c>
      <c r="X3" s="2" t="s">
        <v>658</v>
      </c>
      <c r="Y3" s="2" t="str">
        <f t="shared" ref="Y3:Y66" si="2">$X3&amp;"_"&amp;$P3</f>
        <v>P0_MF02</v>
      </c>
      <c r="Z3" s="2" t="str">
        <f t="shared" ref="Z3:Z66" si="3">$X3&amp;"_"&amp;$N3&amp;"_"&amp;$P3</f>
        <v>P0_CW_1_MF02</v>
      </c>
      <c r="AA3" s="2" t="str">
        <f t="shared" ref="AA3:AA66" si="4">$X3&amp;"_"&amp;$W3</f>
        <v>P0_0.60-0.80</v>
      </c>
      <c r="AB3" s="2">
        <v>0</v>
      </c>
      <c r="AC3" s="2">
        <v>0</v>
      </c>
      <c r="AD3" s="2">
        <v>0</v>
      </c>
      <c r="AE3" s="2">
        <v>0</v>
      </c>
      <c r="AF3" t="s">
        <v>443</v>
      </c>
      <c r="AG3" t="s">
        <v>443</v>
      </c>
      <c r="AH3" t="s">
        <v>443</v>
      </c>
      <c r="AI3" t="s">
        <v>443</v>
      </c>
      <c r="AJ3" t="s">
        <v>443</v>
      </c>
      <c r="AK3" t="s">
        <v>443</v>
      </c>
      <c r="AL3" t="s">
        <v>443</v>
      </c>
      <c r="AM3" t="s">
        <v>443</v>
      </c>
      <c r="AN3" t="s">
        <v>443</v>
      </c>
      <c r="AO3" t="s">
        <v>443</v>
      </c>
      <c r="AP3" t="s">
        <v>443</v>
      </c>
      <c r="AQ3" t="s">
        <v>443</v>
      </c>
      <c r="AR3" t="s">
        <v>443</v>
      </c>
      <c r="AS3" t="s">
        <v>443</v>
      </c>
      <c r="AT3" t="s">
        <v>443</v>
      </c>
      <c r="AU3" t="s">
        <v>443</v>
      </c>
      <c r="AV3" t="s">
        <v>443</v>
      </c>
      <c r="AW3" t="s">
        <v>443</v>
      </c>
      <c r="AX3" t="s">
        <v>443</v>
      </c>
      <c r="AY3" t="s">
        <v>443</v>
      </c>
      <c r="AZ3" t="s">
        <v>443</v>
      </c>
      <c r="BA3" t="s">
        <v>443</v>
      </c>
      <c r="BB3" t="s">
        <v>443</v>
      </c>
      <c r="BC3" t="s">
        <v>443</v>
      </c>
      <c r="BD3" t="s">
        <v>443</v>
      </c>
      <c r="BE3" t="s">
        <v>443</v>
      </c>
      <c r="BF3" s="46" t="s">
        <v>443</v>
      </c>
      <c r="BG3" s="46" t="s">
        <v>443</v>
      </c>
      <c r="BH3" t="s">
        <v>443</v>
      </c>
      <c r="BI3" t="s">
        <v>443</v>
      </c>
      <c r="BJ3" s="47" t="s">
        <v>443</v>
      </c>
      <c r="BK3" t="s">
        <v>443</v>
      </c>
      <c r="BL3" s="47" t="s">
        <v>443</v>
      </c>
      <c r="BM3" t="s">
        <v>443</v>
      </c>
      <c r="BN3" s="47" t="s">
        <v>443</v>
      </c>
      <c r="BO3" t="s">
        <v>443</v>
      </c>
      <c r="BP3" s="47" t="s">
        <v>443</v>
      </c>
      <c r="BQ3" t="s">
        <v>443</v>
      </c>
      <c r="BR3" s="47" t="s">
        <v>443</v>
      </c>
      <c r="BS3" t="s">
        <v>443</v>
      </c>
      <c r="BT3" s="47" t="s">
        <v>443</v>
      </c>
      <c r="BU3" t="s">
        <v>443</v>
      </c>
      <c r="BV3" s="47" t="s">
        <v>443</v>
      </c>
      <c r="BW3" t="s">
        <v>443</v>
      </c>
      <c r="BX3" s="47" t="s">
        <v>443</v>
      </c>
      <c r="BY3" t="s">
        <v>443</v>
      </c>
      <c r="BZ3" s="51" t="s">
        <v>443</v>
      </c>
      <c r="CA3" s="51" t="s">
        <v>443</v>
      </c>
      <c r="CB3" s="27" t="s">
        <v>443</v>
      </c>
      <c r="CC3" s="27" t="s">
        <v>443</v>
      </c>
      <c r="CD3" t="s">
        <v>443</v>
      </c>
      <c r="CE3" t="s">
        <v>443</v>
      </c>
      <c r="CF3" t="s">
        <v>443</v>
      </c>
      <c r="CG3" t="s">
        <v>443</v>
      </c>
      <c r="CH3" s="24" t="s">
        <v>443</v>
      </c>
      <c r="CI3" s="24" t="s">
        <v>443</v>
      </c>
      <c r="CJ3" s="24" t="s">
        <v>443</v>
      </c>
      <c r="CK3" s="26" t="s">
        <v>443</v>
      </c>
      <c r="CL3" s="26" t="s">
        <v>443</v>
      </c>
      <c r="CM3" s="26" t="s">
        <v>443</v>
      </c>
      <c r="CN3" t="s">
        <v>443</v>
      </c>
      <c r="CO3" t="s">
        <v>443</v>
      </c>
      <c r="CP3" t="s">
        <v>443</v>
      </c>
      <c r="CQ3" s="57" t="s">
        <v>443</v>
      </c>
      <c r="CR3" s="57" t="s">
        <v>443</v>
      </c>
      <c r="CS3" s="57" t="s">
        <v>443</v>
      </c>
      <c r="CT3" s="57" t="s">
        <v>443</v>
      </c>
      <c r="CU3" s="28" t="s">
        <v>443</v>
      </c>
      <c r="CV3" s="28" t="s">
        <v>443</v>
      </c>
      <c r="CW3" s="28" t="s">
        <v>443</v>
      </c>
      <c r="CX3" s="28" t="s">
        <v>443</v>
      </c>
      <c r="CY3" t="s">
        <v>443</v>
      </c>
      <c r="CZ3" t="s">
        <v>443</v>
      </c>
      <c r="DA3" s="24" t="s">
        <v>443</v>
      </c>
      <c r="DB3" s="38" t="s">
        <v>443</v>
      </c>
      <c r="DC3" s="38" t="s">
        <v>443</v>
      </c>
      <c r="DD3" s="59" t="s">
        <v>443</v>
      </c>
      <c r="DE3" s="59" t="s">
        <v>443</v>
      </c>
      <c r="DF3" s="59" t="s">
        <v>443</v>
      </c>
      <c r="DG3" s="59" t="s">
        <v>443</v>
      </c>
      <c r="DH3" s="58" t="s">
        <v>443</v>
      </c>
      <c r="DI3" t="s">
        <v>443</v>
      </c>
      <c r="DJ3" t="s">
        <v>443</v>
      </c>
      <c r="DK3" s="27" t="s">
        <v>443</v>
      </c>
      <c r="DL3" s="27" t="s">
        <v>443</v>
      </c>
      <c r="DM3" s="27" t="s">
        <v>443</v>
      </c>
      <c r="DN3" s="27" t="s">
        <v>443</v>
      </c>
      <c r="DO3" s="27" t="s">
        <v>443</v>
      </c>
      <c r="DP3" s="27" t="s">
        <v>443</v>
      </c>
      <c r="DQ3" s="27" t="s">
        <v>443</v>
      </c>
      <c r="DR3" s="27" t="s">
        <v>443</v>
      </c>
      <c r="DS3" s="27" t="s">
        <v>443</v>
      </c>
      <c r="DT3" s="27" t="s">
        <v>443</v>
      </c>
      <c r="DU3" s="27" t="s">
        <v>443</v>
      </c>
      <c r="DV3" s="27" t="s">
        <v>443</v>
      </c>
      <c r="DW3" s="27" t="s">
        <v>443</v>
      </c>
      <c r="DX3" s="27" t="s">
        <v>443</v>
      </c>
      <c r="DY3" s="27" t="s">
        <v>443</v>
      </c>
      <c r="DZ3" s="27" t="s">
        <v>443</v>
      </c>
      <c r="EA3" s="27" t="s">
        <v>443</v>
      </c>
      <c r="EB3" s="27" t="s">
        <v>443</v>
      </c>
      <c r="EC3" s="27" t="s">
        <v>443</v>
      </c>
      <c r="ED3" s="27" t="s">
        <v>443</v>
      </c>
      <c r="EE3" s="27" t="s">
        <v>443</v>
      </c>
      <c r="EF3" s="27" t="s">
        <v>443</v>
      </c>
      <c r="EG3" s="27" t="s">
        <v>443</v>
      </c>
      <c r="EH3" s="27" t="s">
        <v>443</v>
      </c>
      <c r="EI3" s="27" t="s">
        <v>443</v>
      </c>
      <c r="EJ3" s="27" t="s">
        <v>443</v>
      </c>
      <c r="EK3" s="27" t="s">
        <v>443</v>
      </c>
      <c r="EL3" s="27" t="s">
        <v>443</v>
      </c>
      <c r="EM3" s="27" t="s">
        <v>443</v>
      </c>
      <c r="EN3" s="27" t="s">
        <v>443</v>
      </c>
      <c r="EO3" s="27" t="s">
        <v>443</v>
      </c>
      <c r="EP3" s="27" t="s">
        <v>443</v>
      </c>
      <c r="EQ3" s="27" t="s">
        <v>443</v>
      </c>
      <c r="ER3" s="27" t="s">
        <v>443</v>
      </c>
      <c r="ES3" s="27" t="s">
        <v>443</v>
      </c>
      <c r="ET3" s="27" t="s">
        <v>443</v>
      </c>
      <c r="EU3" s="27" t="s">
        <v>443</v>
      </c>
      <c r="EV3" s="27" t="s">
        <v>443</v>
      </c>
      <c r="EW3" s="27" t="s">
        <v>443</v>
      </c>
      <c r="EX3" s="27" t="s">
        <v>443</v>
      </c>
      <c r="EY3" s="27" t="s">
        <v>443</v>
      </c>
      <c r="EZ3" s="27" t="s">
        <v>443</v>
      </c>
      <c r="FA3" s="27" t="s">
        <v>443</v>
      </c>
      <c r="FB3" s="27" t="s">
        <v>443</v>
      </c>
      <c r="FC3" s="27" t="s">
        <v>443</v>
      </c>
      <c r="FD3" s="27" t="s">
        <v>443</v>
      </c>
      <c r="FE3" s="27" t="s">
        <v>443</v>
      </c>
      <c r="FF3" s="27" t="s">
        <v>443</v>
      </c>
      <c r="FG3" s="27" t="s">
        <v>443</v>
      </c>
      <c r="FH3" s="27" t="s">
        <v>443</v>
      </c>
      <c r="FI3" s="27" t="s">
        <v>443</v>
      </c>
      <c r="FJ3" s="27" t="s">
        <v>443</v>
      </c>
      <c r="FK3" s="27" t="s">
        <v>443</v>
      </c>
      <c r="FL3" s="27" t="s">
        <v>443</v>
      </c>
      <c r="FM3" s="27" t="s">
        <v>443</v>
      </c>
      <c r="FN3" s="27" t="s">
        <v>443</v>
      </c>
      <c r="FO3" s="27" t="s">
        <v>443</v>
      </c>
      <c r="FP3" s="27" t="s">
        <v>443</v>
      </c>
      <c r="FQ3" s="27" t="s">
        <v>443</v>
      </c>
      <c r="FR3" s="27" t="s">
        <v>443</v>
      </c>
      <c r="FS3" s="27" t="s">
        <v>443</v>
      </c>
      <c r="FT3" s="27" t="s">
        <v>443</v>
      </c>
      <c r="FU3" s="27" t="s">
        <v>443</v>
      </c>
      <c r="FV3" s="27" t="s">
        <v>443</v>
      </c>
      <c r="FW3" s="27" t="s">
        <v>443</v>
      </c>
      <c r="FX3" s="27" t="s">
        <v>443</v>
      </c>
      <c r="FY3" s="27" t="s">
        <v>443</v>
      </c>
      <c r="FZ3" s="27" t="s">
        <v>443</v>
      </c>
      <c r="GA3" s="27" t="s">
        <v>443</v>
      </c>
      <c r="GB3" s="27" t="s">
        <v>443</v>
      </c>
      <c r="GC3" s="27" t="s">
        <v>443</v>
      </c>
      <c r="GD3" s="27" t="s">
        <v>443</v>
      </c>
      <c r="GE3" s="27" t="s">
        <v>443</v>
      </c>
      <c r="GF3" s="27" t="s">
        <v>443</v>
      </c>
      <c r="GG3" s="27" t="s">
        <v>443</v>
      </c>
      <c r="GH3" s="27" t="s">
        <v>443</v>
      </c>
      <c r="GI3" s="27" t="s">
        <v>443</v>
      </c>
      <c r="GJ3" s="27" t="s">
        <v>443</v>
      </c>
      <c r="GK3" s="27" t="s">
        <v>443</v>
      </c>
      <c r="GL3" s="27" t="s">
        <v>443</v>
      </c>
      <c r="GM3" s="27" t="s">
        <v>443</v>
      </c>
      <c r="GN3" s="27" t="s">
        <v>443</v>
      </c>
      <c r="GO3" s="27" t="s">
        <v>443</v>
      </c>
      <c r="GP3" s="27" t="s">
        <v>443</v>
      </c>
      <c r="GQ3" s="27"/>
      <c r="HK3" s="1"/>
      <c r="HL3" s="1"/>
      <c r="HM3" s="1"/>
      <c r="HN3" s="1"/>
      <c r="JH3" s="66"/>
      <c r="JJ3" s="66"/>
      <c r="JL3" s="66"/>
      <c r="JN3" s="66"/>
    </row>
    <row r="4" spans="1:278" ht="15.75" x14ac:dyDescent="0.25">
      <c r="A4" s="2" t="s">
        <v>437</v>
      </c>
      <c r="B4" s="2" t="s">
        <v>437</v>
      </c>
      <c r="C4" s="2" t="s">
        <v>668</v>
      </c>
      <c r="D4" s="2" t="s">
        <v>446</v>
      </c>
      <c r="E4" s="2" t="s">
        <v>446</v>
      </c>
      <c r="F4" s="2">
        <v>3</v>
      </c>
      <c r="G4" s="2" t="s">
        <v>665</v>
      </c>
      <c r="H4" s="10" t="s">
        <v>656</v>
      </c>
      <c r="I4" s="2">
        <v>150</v>
      </c>
      <c r="J4" s="2">
        <v>65</v>
      </c>
      <c r="K4" s="2">
        <v>14.95</v>
      </c>
      <c r="L4" t="s">
        <v>443</v>
      </c>
      <c r="M4" s="2" t="s">
        <v>1120</v>
      </c>
      <c r="N4" s="2" t="s">
        <v>435</v>
      </c>
      <c r="O4" s="2" t="s">
        <v>666</v>
      </c>
      <c r="P4" s="2" t="s">
        <v>1125</v>
      </c>
      <c r="Q4" s="9" t="s">
        <v>667</v>
      </c>
      <c r="R4" s="2" t="str">
        <f t="shared" si="0"/>
        <v>CW_1_Section_2</v>
      </c>
      <c r="S4" s="2" t="str">
        <f t="shared" si="1"/>
        <v>CW_1_MF03</v>
      </c>
      <c r="T4" s="11" t="s">
        <v>659</v>
      </c>
      <c r="V4" s="2" t="s">
        <v>660</v>
      </c>
      <c r="W4" s="2" t="s">
        <v>655</v>
      </c>
      <c r="X4" s="2" t="s">
        <v>658</v>
      </c>
      <c r="Y4" s="2" t="str">
        <f t="shared" si="2"/>
        <v>P0_MF03</v>
      </c>
      <c r="Z4" s="2" t="str">
        <f t="shared" si="3"/>
        <v>P0_CW_1_MF03</v>
      </c>
      <c r="AA4" s="2" t="str">
        <f t="shared" si="4"/>
        <v>P0_0.15-0.30</v>
      </c>
      <c r="AB4" s="2">
        <v>0</v>
      </c>
      <c r="AC4" s="2">
        <v>0</v>
      </c>
      <c r="AD4" s="2">
        <v>0</v>
      </c>
      <c r="AE4" s="2">
        <v>0</v>
      </c>
      <c r="AF4" t="s">
        <v>443</v>
      </c>
      <c r="AG4" t="s">
        <v>443</v>
      </c>
      <c r="AH4" t="s">
        <v>443</v>
      </c>
      <c r="AI4" t="s">
        <v>443</v>
      </c>
      <c r="AJ4" t="s">
        <v>443</v>
      </c>
      <c r="AK4" t="s">
        <v>443</v>
      </c>
      <c r="AL4" t="s">
        <v>443</v>
      </c>
      <c r="AM4" t="s">
        <v>443</v>
      </c>
      <c r="AN4" t="s">
        <v>443</v>
      </c>
      <c r="AO4" t="s">
        <v>443</v>
      </c>
      <c r="AP4" t="s">
        <v>443</v>
      </c>
      <c r="AQ4" t="s">
        <v>443</v>
      </c>
      <c r="AR4" t="s">
        <v>443</v>
      </c>
      <c r="AS4" t="s">
        <v>443</v>
      </c>
      <c r="AT4" t="s">
        <v>443</v>
      </c>
      <c r="AU4" t="s">
        <v>443</v>
      </c>
      <c r="AV4" t="s">
        <v>443</v>
      </c>
      <c r="AW4" t="s">
        <v>443</v>
      </c>
      <c r="AX4" t="s">
        <v>443</v>
      </c>
      <c r="AY4" t="s">
        <v>443</v>
      </c>
      <c r="AZ4" t="s">
        <v>443</v>
      </c>
      <c r="BA4" t="s">
        <v>443</v>
      </c>
      <c r="BB4" t="s">
        <v>443</v>
      </c>
      <c r="BC4" t="s">
        <v>443</v>
      </c>
      <c r="BD4" t="s">
        <v>443</v>
      </c>
      <c r="BE4" t="s">
        <v>443</v>
      </c>
      <c r="BF4" s="46" t="s">
        <v>443</v>
      </c>
      <c r="BG4" s="46" t="s">
        <v>443</v>
      </c>
      <c r="BH4" t="s">
        <v>443</v>
      </c>
      <c r="BI4" t="s">
        <v>443</v>
      </c>
      <c r="BJ4" s="47" t="s">
        <v>443</v>
      </c>
      <c r="BK4" t="s">
        <v>443</v>
      </c>
      <c r="BL4" s="47" t="s">
        <v>443</v>
      </c>
      <c r="BM4" t="s">
        <v>443</v>
      </c>
      <c r="BN4" s="47" t="s">
        <v>443</v>
      </c>
      <c r="BO4" t="s">
        <v>443</v>
      </c>
      <c r="BP4" s="47" t="s">
        <v>443</v>
      </c>
      <c r="BQ4" t="s">
        <v>443</v>
      </c>
      <c r="BR4" s="47" t="s">
        <v>443</v>
      </c>
      <c r="BS4" t="s">
        <v>443</v>
      </c>
      <c r="BT4" s="47" t="s">
        <v>443</v>
      </c>
      <c r="BU4" t="s">
        <v>443</v>
      </c>
      <c r="BV4" s="47" t="s">
        <v>443</v>
      </c>
      <c r="BW4" t="s">
        <v>443</v>
      </c>
      <c r="BX4" s="47" t="s">
        <v>443</v>
      </c>
      <c r="BY4" t="s">
        <v>443</v>
      </c>
      <c r="BZ4" s="51" t="s">
        <v>443</v>
      </c>
      <c r="CA4" s="51" t="s">
        <v>443</v>
      </c>
      <c r="CB4" s="27" t="s">
        <v>443</v>
      </c>
      <c r="CC4" s="27" t="s">
        <v>443</v>
      </c>
      <c r="CD4" t="s">
        <v>443</v>
      </c>
      <c r="CE4" t="s">
        <v>443</v>
      </c>
      <c r="CF4" t="s">
        <v>443</v>
      </c>
      <c r="CG4" t="s">
        <v>443</v>
      </c>
      <c r="CH4" s="24" t="s">
        <v>443</v>
      </c>
      <c r="CI4" s="24" t="s">
        <v>443</v>
      </c>
      <c r="CJ4" s="24" t="s">
        <v>443</v>
      </c>
      <c r="CK4" s="26" t="s">
        <v>443</v>
      </c>
      <c r="CL4" s="26" t="s">
        <v>443</v>
      </c>
      <c r="CM4" s="26" t="s">
        <v>443</v>
      </c>
      <c r="CN4" t="s">
        <v>443</v>
      </c>
      <c r="CO4" t="s">
        <v>443</v>
      </c>
      <c r="CP4" t="s">
        <v>443</v>
      </c>
      <c r="CQ4" s="57" t="s">
        <v>443</v>
      </c>
      <c r="CR4" s="57" t="s">
        <v>443</v>
      </c>
      <c r="CS4" s="57" t="s">
        <v>443</v>
      </c>
      <c r="CT4" s="57" t="s">
        <v>443</v>
      </c>
      <c r="CU4" s="28" t="s">
        <v>443</v>
      </c>
      <c r="CV4" s="28" t="s">
        <v>443</v>
      </c>
      <c r="CW4" s="28" t="s">
        <v>443</v>
      </c>
      <c r="CX4" s="28" t="s">
        <v>443</v>
      </c>
      <c r="CY4" t="s">
        <v>443</v>
      </c>
      <c r="CZ4" t="s">
        <v>443</v>
      </c>
      <c r="DA4" s="24" t="s">
        <v>443</v>
      </c>
      <c r="DB4" s="38" t="s">
        <v>443</v>
      </c>
      <c r="DC4" s="38" t="s">
        <v>443</v>
      </c>
      <c r="DD4" s="59" t="s">
        <v>443</v>
      </c>
      <c r="DE4" s="59" t="s">
        <v>443</v>
      </c>
      <c r="DF4" s="59" t="s">
        <v>443</v>
      </c>
      <c r="DG4" s="59" t="s">
        <v>443</v>
      </c>
      <c r="DH4" s="58" t="s">
        <v>443</v>
      </c>
      <c r="DI4" t="s">
        <v>443</v>
      </c>
      <c r="DJ4" t="s">
        <v>443</v>
      </c>
      <c r="DK4" s="27" t="s">
        <v>443</v>
      </c>
      <c r="DL4" s="27" t="s">
        <v>443</v>
      </c>
      <c r="DM4" s="27" t="s">
        <v>443</v>
      </c>
      <c r="DN4" s="27" t="s">
        <v>443</v>
      </c>
      <c r="DO4" s="27" t="s">
        <v>443</v>
      </c>
      <c r="DP4" s="27" t="s">
        <v>443</v>
      </c>
      <c r="DQ4" s="27" t="s">
        <v>443</v>
      </c>
      <c r="DR4" s="27" t="s">
        <v>443</v>
      </c>
      <c r="DS4" s="27" t="s">
        <v>443</v>
      </c>
      <c r="DT4" s="27" t="s">
        <v>443</v>
      </c>
      <c r="DU4" s="27" t="s">
        <v>443</v>
      </c>
      <c r="DV4" s="27" t="s">
        <v>443</v>
      </c>
      <c r="DW4" s="27" t="s">
        <v>443</v>
      </c>
      <c r="DX4" s="27" t="s">
        <v>443</v>
      </c>
      <c r="DY4" s="27" t="s">
        <v>443</v>
      </c>
      <c r="DZ4" s="27" t="s">
        <v>443</v>
      </c>
      <c r="EA4" s="27" t="s">
        <v>443</v>
      </c>
      <c r="EB4" s="27" t="s">
        <v>443</v>
      </c>
      <c r="EC4" s="27" t="s">
        <v>443</v>
      </c>
      <c r="ED4" s="27" t="s">
        <v>443</v>
      </c>
      <c r="EE4" s="27" t="s">
        <v>443</v>
      </c>
      <c r="EF4" s="27" t="s">
        <v>443</v>
      </c>
      <c r="EG4" s="27" t="s">
        <v>443</v>
      </c>
      <c r="EH4" s="27" t="s">
        <v>443</v>
      </c>
      <c r="EI4" s="27" t="s">
        <v>443</v>
      </c>
      <c r="EJ4" s="27" t="s">
        <v>443</v>
      </c>
      <c r="EK4" s="27" t="s">
        <v>443</v>
      </c>
      <c r="EL4" s="27" t="s">
        <v>443</v>
      </c>
      <c r="EM4" s="27" t="s">
        <v>443</v>
      </c>
      <c r="EN4" s="27" t="s">
        <v>443</v>
      </c>
      <c r="EO4" s="27" t="s">
        <v>443</v>
      </c>
      <c r="EP4" s="27" t="s">
        <v>443</v>
      </c>
      <c r="EQ4" s="27" t="s">
        <v>443</v>
      </c>
      <c r="ER4" s="27" t="s">
        <v>443</v>
      </c>
      <c r="ES4" s="27" t="s">
        <v>443</v>
      </c>
      <c r="ET4" s="27" t="s">
        <v>443</v>
      </c>
      <c r="EU4" s="27" t="s">
        <v>443</v>
      </c>
      <c r="EV4" s="27" t="s">
        <v>443</v>
      </c>
      <c r="EW4" s="27" t="s">
        <v>443</v>
      </c>
      <c r="EX4" s="27" t="s">
        <v>443</v>
      </c>
      <c r="EY4" s="27" t="s">
        <v>443</v>
      </c>
      <c r="EZ4" s="27" t="s">
        <v>443</v>
      </c>
      <c r="FA4" s="27" t="s">
        <v>443</v>
      </c>
      <c r="FB4" s="27" t="s">
        <v>443</v>
      </c>
      <c r="FC4" s="27" t="s">
        <v>443</v>
      </c>
      <c r="FD4" s="27" t="s">
        <v>443</v>
      </c>
      <c r="FE4" s="27" t="s">
        <v>443</v>
      </c>
      <c r="FF4" s="27" t="s">
        <v>443</v>
      </c>
      <c r="FG4" s="27" t="s">
        <v>443</v>
      </c>
      <c r="FH4" s="27" t="s">
        <v>443</v>
      </c>
      <c r="FI4" s="27" t="s">
        <v>443</v>
      </c>
      <c r="FJ4" s="27" t="s">
        <v>443</v>
      </c>
      <c r="FK4" s="27" t="s">
        <v>443</v>
      </c>
      <c r="FL4" s="27" t="s">
        <v>443</v>
      </c>
      <c r="FM4" s="27" t="s">
        <v>443</v>
      </c>
      <c r="FN4" s="27" t="s">
        <v>443</v>
      </c>
      <c r="FO4" s="27" t="s">
        <v>443</v>
      </c>
      <c r="FP4" s="27" t="s">
        <v>443</v>
      </c>
      <c r="FQ4" s="27" t="s">
        <v>443</v>
      </c>
      <c r="FR4" s="27" t="s">
        <v>443</v>
      </c>
      <c r="FS4" s="27" t="s">
        <v>443</v>
      </c>
      <c r="FT4" s="27" t="s">
        <v>443</v>
      </c>
      <c r="FU4" s="27" t="s">
        <v>443</v>
      </c>
      <c r="FV4" s="27" t="s">
        <v>443</v>
      </c>
      <c r="FW4" s="27" t="s">
        <v>443</v>
      </c>
      <c r="FX4" s="27" t="s">
        <v>443</v>
      </c>
      <c r="FY4" s="27" t="s">
        <v>443</v>
      </c>
      <c r="FZ4" s="27" t="s">
        <v>443</v>
      </c>
      <c r="GA4" s="27" t="s">
        <v>443</v>
      </c>
      <c r="GB4" s="27" t="s">
        <v>443</v>
      </c>
      <c r="GC4" s="27" t="s">
        <v>443</v>
      </c>
      <c r="GD4" s="27" t="s">
        <v>443</v>
      </c>
      <c r="GE4" s="27" t="s">
        <v>443</v>
      </c>
      <c r="GF4" s="27" t="s">
        <v>443</v>
      </c>
      <c r="GG4" s="27" t="s">
        <v>443</v>
      </c>
      <c r="GH4" s="27" t="s">
        <v>443</v>
      </c>
      <c r="GI4" s="27" t="s">
        <v>443</v>
      </c>
      <c r="GJ4" s="27" t="s">
        <v>443</v>
      </c>
      <c r="GK4" s="27" t="s">
        <v>443</v>
      </c>
      <c r="GL4" s="27" t="s">
        <v>443</v>
      </c>
      <c r="GM4" s="27" t="s">
        <v>443</v>
      </c>
      <c r="GN4" s="27" t="s">
        <v>443</v>
      </c>
      <c r="GO4" s="27" t="s">
        <v>443</v>
      </c>
      <c r="GP4" s="27" t="s">
        <v>443</v>
      </c>
      <c r="GQ4" s="27"/>
      <c r="HK4" s="1"/>
      <c r="HL4" s="1"/>
      <c r="HM4" s="1"/>
      <c r="HN4" s="1"/>
      <c r="JF4" s="66"/>
      <c r="JH4" s="66"/>
      <c r="JJ4" s="66"/>
      <c r="JL4" s="66"/>
      <c r="JN4" s="66"/>
    </row>
    <row r="5" spans="1:278" ht="15.75" x14ac:dyDescent="0.25">
      <c r="A5" s="2" t="s">
        <v>438</v>
      </c>
      <c r="B5" s="2" t="s">
        <v>438</v>
      </c>
      <c r="C5" s="2" t="s">
        <v>671</v>
      </c>
      <c r="D5" s="2" t="s">
        <v>447</v>
      </c>
      <c r="E5" s="2" t="s">
        <v>447</v>
      </c>
      <c r="F5" s="2">
        <v>4</v>
      </c>
      <c r="G5" s="2" t="s">
        <v>669</v>
      </c>
      <c r="H5" s="10" t="s">
        <v>656</v>
      </c>
      <c r="I5" s="2">
        <v>150</v>
      </c>
      <c r="J5" s="2">
        <v>65</v>
      </c>
      <c r="K5" s="2">
        <v>13.65</v>
      </c>
      <c r="L5" t="s">
        <v>443</v>
      </c>
      <c r="M5" s="2" t="s">
        <v>1120</v>
      </c>
      <c r="N5" s="2" t="s">
        <v>435</v>
      </c>
      <c r="O5" s="2" t="s">
        <v>666</v>
      </c>
      <c r="P5" s="2" t="s">
        <v>1126</v>
      </c>
      <c r="Q5" s="9" t="s">
        <v>670</v>
      </c>
      <c r="R5" s="2" t="str">
        <f t="shared" si="0"/>
        <v>CW_1_Section_2</v>
      </c>
      <c r="S5" s="2" t="str">
        <f t="shared" si="1"/>
        <v>CW_1_MF04</v>
      </c>
      <c r="T5" s="11" t="s">
        <v>659</v>
      </c>
      <c r="V5" s="2" t="s">
        <v>660</v>
      </c>
      <c r="W5" s="2" t="s">
        <v>663</v>
      </c>
      <c r="X5" s="2" t="s">
        <v>658</v>
      </c>
      <c r="Y5" s="2" t="str">
        <f t="shared" si="2"/>
        <v>P0_MF04</v>
      </c>
      <c r="Z5" s="2" t="str">
        <f t="shared" si="3"/>
        <v>P0_CW_1_MF04</v>
      </c>
      <c r="AA5" s="2" t="str">
        <f t="shared" si="4"/>
        <v>P0_0.60-0.80</v>
      </c>
      <c r="AB5" s="2">
        <v>0</v>
      </c>
      <c r="AC5" s="2">
        <v>0</v>
      </c>
      <c r="AD5" s="2">
        <v>0</v>
      </c>
      <c r="AE5" s="2">
        <v>0</v>
      </c>
      <c r="AF5" t="s">
        <v>443</v>
      </c>
      <c r="AG5" t="s">
        <v>443</v>
      </c>
      <c r="AH5" t="s">
        <v>443</v>
      </c>
      <c r="AI5" t="s">
        <v>443</v>
      </c>
      <c r="AJ5" t="s">
        <v>443</v>
      </c>
      <c r="AK5" t="s">
        <v>443</v>
      </c>
      <c r="AL5" t="s">
        <v>443</v>
      </c>
      <c r="AM5" t="s">
        <v>443</v>
      </c>
      <c r="AN5" t="s">
        <v>443</v>
      </c>
      <c r="AO5" t="s">
        <v>443</v>
      </c>
      <c r="AP5" t="s">
        <v>443</v>
      </c>
      <c r="AQ5" t="s">
        <v>443</v>
      </c>
      <c r="AR5" t="s">
        <v>443</v>
      </c>
      <c r="AS5" t="s">
        <v>443</v>
      </c>
      <c r="AT5" t="s">
        <v>443</v>
      </c>
      <c r="AU5" t="s">
        <v>443</v>
      </c>
      <c r="AV5" t="s">
        <v>443</v>
      </c>
      <c r="AW5" t="s">
        <v>443</v>
      </c>
      <c r="AX5" t="s">
        <v>443</v>
      </c>
      <c r="AY5" t="s">
        <v>443</v>
      </c>
      <c r="AZ5" t="s">
        <v>443</v>
      </c>
      <c r="BA5" t="s">
        <v>443</v>
      </c>
      <c r="BB5" t="s">
        <v>443</v>
      </c>
      <c r="BC5" t="s">
        <v>443</v>
      </c>
      <c r="BD5" t="s">
        <v>443</v>
      </c>
      <c r="BE5" t="s">
        <v>443</v>
      </c>
      <c r="BF5" s="46" t="s">
        <v>443</v>
      </c>
      <c r="BG5" s="46" t="s">
        <v>443</v>
      </c>
      <c r="BH5" t="s">
        <v>443</v>
      </c>
      <c r="BI5" t="s">
        <v>443</v>
      </c>
      <c r="BJ5" s="47" t="s">
        <v>443</v>
      </c>
      <c r="BK5" t="s">
        <v>443</v>
      </c>
      <c r="BL5" s="47" t="s">
        <v>443</v>
      </c>
      <c r="BM5" t="s">
        <v>443</v>
      </c>
      <c r="BN5" s="47" t="s">
        <v>443</v>
      </c>
      <c r="BO5" t="s">
        <v>443</v>
      </c>
      <c r="BP5" s="47" t="s">
        <v>443</v>
      </c>
      <c r="BQ5" t="s">
        <v>443</v>
      </c>
      <c r="BR5" s="47" t="s">
        <v>443</v>
      </c>
      <c r="BS5" t="s">
        <v>443</v>
      </c>
      <c r="BT5" s="47" t="s">
        <v>443</v>
      </c>
      <c r="BU5" t="s">
        <v>443</v>
      </c>
      <c r="BV5" s="47" t="s">
        <v>443</v>
      </c>
      <c r="BW5" t="s">
        <v>443</v>
      </c>
      <c r="BX5" s="47" t="s">
        <v>443</v>
      </c>
      <c r="BY5" t="s">
        <v>443</v>
      </c>
      <c r="BZ5" s="51" t="s">
        <v>443</v>
      </c>
      <c r="CA5" s="51" t="s">
        <v>443</v>
      </c>
      <c r="CB5" s="27" t="s">
        <v>443</v>
      </c>
      <c r="CC5" s="27" t="s">
        <v>443</v>
      </c>
      <c r="CD5" t="s">
        <v>443</v>
      </c>
      <c r="CE5" t="s">
        <v>443</v>
      </c>
      <c r="CF5" t="s">
        <v>443</v>
      </c>
      <c r="CG5" t="s">
        <v>443</v>
      </c>
      <c r="CH5" s="24" t="s">
        <v>443</v>
      </c>
      <c r="CI5" s="24" t="s">
        <v>443</v>
      </c>
      <c r="CJ5" s="24" t="s">
        <v>443</v>
      </c>
      <c r="CK5" s="26" t="s">
        <v>443</v>
      </c>
      <c r="CL5" s="26" t="s">
        <v>443</v>
      </c>
      <c r="CM5" s="26" t="s">
        <v>443</v>
      </c>
      <c r="CN5" t="s">
        <v>443</v>
      </c>
      <c r="CO5" t="s">
        <v>443</v>
      </c>
      <c r="CP5" t="s">
        <v>443</v>
      </c>
      <c r="CQ5" s="57" t="s">
        <v>443</v>
      </c>
      <c r="CR5" s="57" t="s">
        <v>443</v>
      </c>
      <c r="CS5" s="57" t="s">
        <v>443</v>
      </c>
      <c r="CT5" s="57" t="s">
        <v>443</v>
      </c>
      <c r="CU5" s="28" t="s">
        <v>443</v>
      </c>
      <c r="CV5" s="28" t="s">
        <v>443</v>
      </c>
      <c r="CW5" s="28" t="s">
        <v>443</v>
      </c>
      <c r="CX5" s="28" t="s">
        <v>443</v>
      </c>
      <c r="CY5" t="s">
        <v>443</v>
      </c>
      <c r="CZ5" t="s">
        <v>443</v>
      </c>
      <c r="DA5" s="24" t="s">
        <v>443</v>
      </c>
      <c r="DB5" s="38" t="s">
        <v>443</v>
      </c>
      <c r="DC5" s="38" t="s">
        <v>443</v>
      </c>
      <c r="DD5" s="59" t="s">
        <v>443</v>
      </c>
      <c r="DE5" s="59" t="s">
        <v>443</v>
      </c>
      <c r="DF5" s="59" t="s">
        <v>443</v>
      </c>
      <c r="DG5" s="59" t="s">
        <v>443</v>
      </c>
      <c r="DH5" s="58" t="s">
        <v>443</v>
      </c>
      <c r="DI5" t="s">
        <v>443</v>
      </c>
      <c r="DJ5" t="s">
        <v>443</v>
      </c>
      <c r="DK5" s="27" t="s">
        <v>443</v>
      </c>
      <c r="DL5" s="27" t="s">
        <v>443</v>
      </c>
      <c r="DM5" s="27" t="s">
        <v>443</v>
      </c>
      <c r="DN5" s="27" t="s">
        <v>443</v>
      </c>
      <c r="DO5" s="27" t="s">
        <v>443</v>
      </c>
      <c r="DP5" s="27" t="s">
        <v>443</v>
      </c>
      <c r="DQ5" s="27" t="s">
        <v>443</v>
      </c>
      <c r="DR5" s="27" t="s">
        <v>443</v>
      </c>
      <c r="DS5" s="27" t="s">
        <v>443</v>
      </c>
      <c r="DT5" s="27" t="s">
        <v>443</v>
      </c>
      <c r="DU5" s="27" t="s">
        <v>443</v>
      </c>
      <c r="DV5" s="27" t="s">
        <v>443</v>
      </c>
      <c r="DW5" s="27" t="s">
        <v>443</v>
      </c>
      <c r="DX5" s="27" t="s">
        <v>443</v>
      </c>
      <c r="DY5" s="27" t="s">
        <v>443</v>
      </c>
      <c r="DZ5" s="27" t="s">
        <v>443</v>
      </c>
      <c r="EA5" s="27" t="s">
        <v>443</v>
      </c>
      <c r="EB5" s="27" t="s">
        <v>443</v>
      </c>
      <c r="EC5" s="27" t="s">
        <v>443</v>
      </c>
      <c r="ED5" s="27" t="s">
        <v>443</v>
      </c>
      <c r="EE5" s="27" t="s">
        <v>443</v>
      </c>
      <c r="EF5" s="27" t="s">
        <v>443</v>
      </c>
      <c r="EG5" s="27" t="s">
        <v>443</v>
      </c>
      <c r="EH5" s="27" t="s">
        <v>443</v>
      </c>
      <c r="EI5" s="27" t="s">
        <v>443</v>
      </c>
      <c r="EJ5" s="27" t="s">
        <v>443</v>
      </c>
      <c r="EK5" s="27" t="s">
        <v>443</v>
      </c>
      <c r="EL5" s="27" t="s">
        <v>443</v>
      </c>
      <c r="EM5" s="27" t="s">
        <v>443</v>
      </c>
      <c r="EN5" s="27" t="s">
        <v>443</v>
      </c>
      <c r="EO5" s="27" t="s">
        <v>443</v>
      </c>
      <c r="EP5" s="27" t="s">
        <v>443</v>
      </c>
      <c r="EQ5" s="27" t="s">
        <v>443</v>
      </c>
      <c r="ER5" s="27" t="s">
        <v>443</v>
      </c>
      <c r="ES5" s="27" t="s">
        <v>443</v>
      </c>
      <c r="ET5" s="27" t="s">
        <v>443</v>
      </c>
      <c r="EU5" s="27" t="s">
        <v>443</v>
      </c>
      <c r="EV5" s="27" t="s">
        <v>443</v>
      </c>
      <c r="EW5" s="27" t="s">
        <v>443</v>
      </c>
      <c r="EX5" s="27" t="s">
        <v>443</v>
      </c>
      <c r="EY5" s="27" t="s">
        <v>443</v>
      </c>
      <c r="EZ5" s="27" t="s">
        <v>443</v>
      </c>
      <c r="FA5" s="27" t="s">
        <v>443</v>
      </c>
      <c r="FB5" s="27" t="s">
        <v>443</v>
      </c>
      <c r="FC5" s="27" t="s">
        <v>443</v>
      </c>
      <c r="FD5" s="27" t="s">
        <v>443</v>
      </c>
      <c r="FE5" s="27" t="s">
        <v>443</v>
      </c>
      <c r="FF5" s="27" t="s">
        <v>443</v>
      </c>
      <c r="FG5" s="27" t="s">
        <v>443</v>
      </c>
      <c r="FH5" s="27" t="s">
        <v>443</v>
      </c>
      <c r="FI5" s="27" t="s">
        <v>443</v>
      </c>
      <c r="FJ5" s="27" t="s">
        <v>443</v>
      </c>
      <c r="FK5" s="27" t="s">
        <v>443</v>
      </c>
      <c r="FL5" s="27" t="s">
        <v>443</v>
      </c>
      <c r="FM5" s="27" t="s">
        <v>443</v>
      </c>
      <c r="FN5" s="27" t="s">
        <v>443</v>
      </c>
      <c r="FO5" s="27" t="s">
        <v>443</v>
      </c>
      <c r="FP5" s="27" t="s">
        <v>443</v>
      </c>
      <c r="FQ5" s="27" t="s">
        <v>443</v>
      </c>
      <c r="FR5" s="27" t="s">
        <v>443</v>
      </c>
      <c r="FS5" s="27" t="s">
        <v>443</v>
      </c>
      <c r="FT5" s="27" t="s">
        <v>443</v>
      </c>
      <c r="FU5" s="27" t="s">
        <v>443</v>
      </c>
      <c r="FV5" s="27" t="s">
        <v>443</v>
      </c>
      <c r="FW5" s="27" t="s">
        <v>443</v>
      </c>
      <c r="FX5" s="27" t="s">
        <v>443</v>
      </c>
      <c r="FY5" s="27" t="s">
        <v>443</v>
      </c>
      <c r="FZ5" s="27" t="s">
        <v>443</v>
      </c>
      <c r="GA5" s="27" t="s">
        <v>443</v>
      </c>
      <c r="GB5" s="27" t="s">
        <v>443</v>
      </c>
      <c r="GC5" s="27" t="s">
        <v>443</v>
      </c>
      <c r="GD5" s="27" t="s">
        <v>443</v>
      </c>
      <c r="GE5" s="27" t="s">
        <v>443</v>
      </c>
      <c r="GF5" s="27" t="s">
        <v>443</v>
      </c>
      <c r="GG5" s="27" t="s">
        <v>443</v>
      </c>
      <c r="GH5" s="27" t="s">
        <v>443</v>
      </c>
      <c r="GI5" s="27" t="s">
        <v>443</v>
      </c>
      <c r="GJ5" s="27" t="s">
        <v>443</v>
      </c>
      <c r="GK5" s="27" t="s">
        <v>443</v>
      </c>
      <c r="GL5" s="27" t="s">
        <v>443</v>
      </c>
      <c r="GM5" s="27" t="s">
        <v>443</v>
      </c>
      <c r="GN5" s="27" t="s">
        <v>443</v>
      </c>
      <c r="GO5" s="27" t="s">
        <v>443</v>
      </c>
      <c r="GP5" s="27" t="s">
        <v>443</v>
      </c>
      <c r="GQ5" s="27"/>
      <c r="HK5" s="1"/>
      <c r="HL5" s="1"/>
      <c r="HM5" s="1"/>
      <c r="HN5" s="1"/>
      <c r="JH5" s="66"/>
      <c r="JJ5" s="66"/>
      <c r="JL5" s="66"/>
      <c r="JN5" s="66"/>
    </row>
    <row r="6" spans="1:278" ht="15.75" x14ac:dyDescent="0.25">
      <c r="A6" s="2" t="s">
        <v>439</v>
      </c>
      <c r="B6" s="2" t="s">
        <v>439</v>
      </c>
      <c r="C6" s="2" t="s">
        <v>675</v>
      </c>
      <c r="D6" s="2" t="s">
        <v>448</v>
      </c>
      <c r="E6" s="2" t="s">
        <v>448</v>
      </c>
      <c r="F6" s="2">
        <v>5</v>
      </c>
      <c r="G6" s="2" t="s">
        <v>672</v>
      </c>
      <c r="H6" s="10" t="s">
        <v>656</v>
      </c>
      <c r="I6" s="2">
        <v>150</v>
      </c>
      <c r="J6" s="2">
        <v>65</v>
      </c>
      <c r="K6" s="2">
        <v>11.85</v>
      </c>
      <c r="L6" t="s">
        <v>443</v>
      </c>
      <c r="M6" s="2" t="s">
        <v>1120</v>
      </c>
      <c r="N6" s="2" t="s">
        <v>435</v>
      </c>
      <c r="O6" s="2" t="s">
        <v>673</v>
      </c>
      <c r="P6" s="2" t="s">
        <v>1127</v>
      </c>
      <c r="Q6" s="9" t="s">
        <v>674</v>
      </c>
      <c r="R6" s="2" t="str">
        <f t="shared" si="0"/>
        <v>CW_1_Section_3</v>
      </c>
      <c r="S6" s="2" t="str">
        <f t="shared" si="1"/>
        <v>CW_1_MF09</v>
      </c>
      <c r="T6" s="11" t="s">
        <v>659</v>
      </c>
      <c r="V6" s="2" t="s">
        <v>660</v>
      </c>
      <c r="W6" s="2" t="s">
        <v>655</v>
      </c>
      <c r="X6" s="2" t="s">
        <v>658</v>
      </c>
      <c r="Y6" s="2" t="str">
        <f t="shared" si="2"/>
        <v>P0_MF09</v>
      </c>
      <c r="Z6" s="2" t="str">
        <f t="shared" si="3"/>
        <v>P0_CW_1_MF09</v>
      </c>
      <c r="AA6" s="2" t="str">
        <f t="shared" si="4"/>
        <v>P0_0.15-0.30</v>
      </c>
      <c r="AB6" s="2">
        <v>0</v>
      </c>
      <c r="AC6" s="2">
        <v>0</v>
      </c>
      <c r="AD6" s="2">
        <v>0</v>
      </c>
      <c r="AE6" s="2">
        <v>0</v>
      </c>
      <c r="AF6" t="s">
        <v>443</v>
      </c>
      <c r="AG6" t="s">
        <v>443</v>
      </c>
      <c r="AH6" t="s">
        <v>443</v>
      </c>
      <c r="AI6" t="s">
        <v>443</v>
      </c>
      <c r="AJ6" t="s">
        <v>443</v>
      </c>
      <c r="AK6" t="s">
        <v>443</v>
      </c>
      <c r="AL6" t="s">
        <v>443</v>
      </c>
      <c r="AM6" t="s">
        <v>443</v>
      </c>
      <c r="AN6" t="s">
        <v>443</v>
      </c>
      <c r="AO6" t="s">
        <v>443</v>
      </c>
      <c r="AP6" t="s">
        <v>443</v>
      </c>
      <c r="AQ6" t="s">
        <v>443</v>
      </c>
      <c r="AR6" t="s">
        <v>443</v>
      </c>
      <c r="AS6" t="s">
        <v>443</v>
      </c>
      <c r="AT6" t="s">
        <v>443</v>
      </c>
      <c r="AU6" t="s">
        <v>443</v>
      </c>
      <c r="AV6" t="s">
        <v>443</v>
      </c>
      <c r="AW6" t="s">
        <v>443</v>
      </c>
      <c r="AX6" t="s">
        <v>443</v>
      </c>
      <c r="AY6" t="s">
        <v>443</v>
      </c>
      <c r="AZ6" t="s">
        <v>443</v>
      </c>
      <c r="BA6" t="s">
        <v>443</v>
      </c>
      <c r="BB6" t="s">
        <v>443</v>
      </c>
      <c r="BC6" t="s">
        <v>443</v>
      </c>
      <c r="BD6" t="s">
        <v>443</v>
      </c>
      <c r="BE6" t="s">
        <v>443</v>
      </c>
      <c r="BF6" s="46" t="s">
        <v>443</v>
      </c>
      <c r="BG6" s="46" t="s">
        <v>443</v>
      </c>
      <c r="BH6" t="s">
        <v>443</v>
      </c>
      <c r="BI6" t="s">
        <v>443</v>
      </c>
      <c r="BJ6" s="47" t="s">
        <v>443</v>
      </c>
      <c r="BK6" t="s">
        <v>443</v>
      </c>
      <c r="BL6" s="47" t="s">
        <v>443</v>
      </c>
      <c r="BM6" t="s">
        <v>443</v>
      </c>
      <c r="BN6" s="47" t="s">
        <v>443</v>
      </c>
      <c r="BO6" t="s">
        <v>443</v>
      </c>
      <c r="BP6" s="47" t="s">
        <v>443</v>
      </c>
      <c r="BQ6" t="s">
        <v>443</v>
      </c>
      <c r="BR6" s="47" t="s">
        <v>443</v>
      </c>
      <c r="BS6" t="s">
        <v>443</v>
      </c>
      <c r="BT6" s="47" t="s">
        <v>443</v>
      </c>
      <c r="BU6" t="s">
        <v>443</v>
      </c>
      <c r="BV6" s="47" t="s">
        <v>443</v>
      </c>
      <c r="BW6" t="s">
        <v>443</v>
      </c>
      <c r="BX6" s="47" t="s">
        <v>443</v>
      </c>
      <c r="BY6" t="s">
        <v>443</v>
      </c>
      <c r="BZ6" s="51" t="s">
        <v>443</v>
      </c>
      <c r="CA6" s="51" t="s">
        <v>443</v>
      </c>
      <c r="CB6" s="27" t="s">
        <v>443</v>
      </c>
      <c r="CC6" s="27" t="s">
        <v>443</v>
      </c>
      <c r="CD6" t="s">
        <v>443</v>
      </c>
      <c r="CE6" t="s">
        <v>443</v>
      </c>
      <c r="CF6" t="s">
        <v>443</v>
      </c>
      <c r="CG6" t="s">
        <v>443</v>
      </c>
      <c r="CH6" s="24" t="s">
        <v>443</v>
      </c>
      <c r="CI6" s="24" t="s">
        <v>443</v>
      </c>
      <c r="CJ6" s="24" t="s">
        <v>443</v>
      </c>
      <c r="CK6" s="26" t="s">
        <v>443</v>
      </c>
      <c r="CL6" s="26" t="s">
        <v>443</v>
      </c>
      <c r="CM6" s="26" t="s">
        <v>443</v>
      </c>
      <c r="CN6" t="s">
        <v>443</v>
      </c>
      <c r="CO6" t="s">
        <v>443</v>
      </c>
      <c r="CP6" t="s">
        <v>443</v>
      </c>
      <c r="CQ6" s="57" t="s">
        <v>443</v>
      </c>
      <c r="CR6" s="57" t="s">
        <v>443</v>
      </c>
      <c r="CS6" s="57" t="s">
        <v>443</v>
      </c>
      <c r="CT6" s="57" t="s">
        <v>443</v>
      </c>
      <c r="CU6" s="28" t="s">
        <v>443</v>
      </c>
      <c r="CV6" s="28" t="s">
        <v>443</v>
      </c>
      <c r="CW6" s="28" t="s">
        <v>443</v>
      </c>
      <c r="CX6" s="28" t="s">
        <v>443</v>
      </c>
      <c r="CY6" t="s">
        <v>443</v>
      </c>
      <c r="CZ6" t="s">
        <v>443</v>
      </c>
      <c r="DA6" s="24" t="s">
        <v>443</v>
      </c>
      <c r="DB6" s="38" t="s">
        <v>443</v>
      </c>
      <c r="DC6" s="38" t="s">
        <v>443</v>
      </c>
      <c r="DD6" s="59" t="s">
        <v>443</v>
      </c>
      <c r="DE6" s="59" t="s">
        <v>443</v>
      </c>
      <c r="DF6" s="59" t="s">
        <v>443</v>
      </c>
      <c r="DG6" s="59" t="s">
        <v>443</v>
      </c>
      <c r="DH6" s="58" t="s">
        <v>443</v>
      </c>
      <c r="DI6" t="s">
        <v>443</v>
      </c>
      <c r="DJ6" t="s">
        <v>443</v>
      </c>
      <c r="DK6" s="27" t="s">
        <v>443</v>
      </c>
      <c r="DL6" s="27" t="s">
        <v>443</v>
      </c>
      <c r="DM6" s="27" t="s">
        <v>443</v>
      </c>
      <c r="DN6" s="27" t="s">
        <v>443</v>
      </c>
      <c r="DO6" s="27" t="s">
        <v>443</v>
      </c>
      <c r="DP6" s="27" t="s">
        <v>443</v>
      </c>
      <c r="DQ6" s="27" t="s">
        <v>443</v>
      </c>
      <c r="DR6" s="27" t="s">
        <v>443</v>
      </c>
      <c r="DS6" s="27" t="s">
        <v>443</v>
      </c>
      <c r="DT6" s="27" t="s">
        <v>443</v>
      </c>
      <c r="DU6" s="27" t="s">
        <v>443</v>
      </c>
      <c r="DV6" s="27" t="s">
        <v>443</v>
      </c>
      <c r="DW6" s="27" t="s">
        <v>443</v>
      </c>
      <c r="DX6" s="27" t="s">
        <v>443</v>
      </c>
      <c r="DY6" s="27" t="s">
        <v>443</v>
      </c>
      <c r="DZ6" s="27" t="s">
        <v>443</v>
      </c>
      <c r="EA6" s="27" t="s">
        <v>443</v>
      </c>
      <c r="EB6" s="27" t="s">
        <v>443</v>
      </c>
      <c r="EC6" s="27" t="s">
        <v>443</v>
      </c>
      <c r="ED6" s="27" t="s">
        <v>443</v>
      </c>
      <c r="EE6" s="27" t="s">
        <v>443</v>
      </c>
      <c r="EF6" s="27" t="s">
        <v>443</v>
      </c>
      <c r="EG6" s="27" t="s">
        <v>443</v>
      </c>
      <c r="EH6" s="27" t="s">
        <v>443</v>
      </c>
      <c r="EI6" s="27" t="s">
        <v>443</v>
      </c>
      <c r="EJ6" s="27" t="s">
        <v>443</v>
      </c>
      <c r="EK6" s="27" t="s">
        <v>443</v>
      </c>
      <c r="EL6" s="27" t="s">
        <v>443</v>
      </c>
      <c r="EM6" s="27" t="s">
        <v>443</v>
      </c>
      <c r="EN6" s="27" t="s">
        <v>443</v>
      </c>
      <c r="EO6" s="27" t="s">
        <v>443</v>
      </c>
      <c r="EP6" s="27" t="s">
        <v>443</v>
      </c>
      <c r="EQ6" s="27" t="s">
        <v>443</v>
      </c>
      <c r="ER6" s="27" t="s">
        <v>443</v>
      </c>
      <c r="ES6" s="27" t="s">
        <v>443</v>
      </c>
      <c r="ET6" s="27" t="s">
        <v>443</v>
      </c>
      <c r="EU6" s="27" t="s">
        <v>443</v>
      </c>
      <c r="EV6" s="27" t="s">
        <v>443</v>
      </c>
      <c r="EW6" s="27" t="s">
        <v>443</v>
      </c>
      <c r="EX6" s="27" t="s">
        <v>443</v>
      </c>
      <c r="EY6" s="27" t="s">
        <v>443</v>
      </c>
      <c r="EZ6" s="27" t="s">
        <v>443</v>
      </c>
      <c r="FA6" s="27" t="s">
        <v>443</v>
      </c>
      <c r="FB6" s="27" t="s">
        <v>443</v>
      </c>
      <c r="FC6" s="27" t="s">
        <v>443</v>
      </c>
      <c r="FD6" s="27" t="s">
        <v>443</v>
      </c>
      <c r="FE6" s="27" t="s">
        <v>443</v>
      </c>
      <c r="FF6" s="27" t="s">
        <v>443</v>
      </c>
      <c r="FG6" s="27" t="s">
        <v>443</v>
      </c>
      <c r="FH6" s="27" t="s">
        <v>443</v>
      </c>
      <c r="FI6" s="27" t="s">
        <v>443</v>
      </c>
      <c r="FJ6" s="27" t="s">
        <v>443</v>
      </c>
      <c r="FK6" s="27" t="s">
        <v>443</v>
      </c>
      <c r="FL6" s="27" t="s">
        <v>443</v>
      </c>
      <c r="FM6" s="27" t="s">
        <v>443</v>
      </c>
      <c r="FN6" s="27" t="s">
        <v>443</v>
      </c>
      <c r="FO6" s="27" t="s">
        <v>443</v>
      </c>
      <c r="FP6" s="27" t="s">
        <v>443</v>
      </c>
      <c r="FQ6" s="27" t="s">
        <v>443</v>
      </c>
      <c r="FR6" s="27" t="s">
        <v>443</v>
      </c>
      <c r="FS6" s="27" t="s">
        <v>443</v>
      </c>
      <c r="FT6" s="27" t="s">
        <v>443</v>
      </c>
      <c r="FU6" s="27" t="s">
        <v>443</v>
      </c>
      <c r="FV6" s="27" t="s">
        <v>443</v>
      </c>
      <c r="FW6" s="27" t="s">
        <v>443</v>
      </c>
      <c r="FX6" s="27" t="s">
        <v>443</v>
      </c>
      <c r="FY6" s="27" t="s">
        <v>443</v>
      </c>
      <c r="FZ6" s="27" t="s">
        <v>443</v>
      </c>
      <c r="GA6" s="27" t="s">
        <v>443</v>
      </c>
      <c r="GB6" s="27" t="s">
        <v>443</v>
      </c>
      <c r="GC6" s="27" t="s">
        <v>443</v>
      </c>
      <c r="GD6" s="27" t="s">
        <v>443</v>
      </c>
      <c r="GE6" s="27" t="s">
        <v>443</v>
      </c>
      <c r="GF6" s="27" t="s">
        <v>443</v>
      </c>
      <c r="GG6" s="27" t="s">
        <v>443</v>
      </c>
      <c r="GH6" s="27" t="s">
        <v>443</v>
      </c>
      <c r="GI6" s="27" t="s">
        <v>443</v>
      </c>
      <c r="GJ6" s="27" t="s">
        <v>443</v>
      </c>
      <c r="GK6" s="27" t="s">
        <v>443</v>
      </c>
      <c r="GL6" s="27" t="s">
        <v>443</v>
      </c>
      <c r="GM6" s="27" t="s">
        <v>443</v>
      </c>
      <c r="GN6" s="27" t="s">
        <v>443</v>
      </c>
      <c r="GO6" s="27" t="s">
        <v>443</v>
      </c>
      <c r="GP6" s="27" t="s">
        <v>443</v>
      </c>
      <c r="GQ6" s="27"/>
      <c r="HK6" s="1"/>
      <c r="HL6" s="1"/>
      <c r="HM6" s="1"/>
      <c r="HN6" s="1"/>
      <c r="IZ6" s="66"/>
      <c r="JB6" s="66"/>
      <c r="JD6" s="66"/>
      <c r="JF6" s="66"/>
      <c r="JH6" s="66"/>
      <c r="JJ6" s="66"/>
      <c r="JL6" s="66"/>
      <c r="JN6" s="66"/>
      <c r="JP6" s="66"/>
      <c r="JR6" s="66"/>
    </row>
    <row r="7" spans="1:278" ht="15.75" x14ac:dyDescent="0.25">
      <c r="A7" s="2" t="s">
        <v>440</v>
      </c>
      <c r="B7" s="2" t="s">
        <v>440</v>
      </c>
      <c r="C7" s="2" t="s">
        <v>678</v>
      </c>
      <c r="D7" s="2" t="s">
        <v>449</v>
      </c>
      <c r="E7" s="2" t="s">
        <v>449</v>
      </c>
      <c r="F7" s="2">
        <v>6</v>
      </c>
      <c r="G7" s="2" t="s">
        <v>676</v>
      </c>
      <c r="H7" s="10" t="s">
        <v>656</v>
      </c>
      <c r="I7" s="2">
        <v>150</v>
      </c>
      <c r="J7" s="2">
        <v>65</v>
      </c>
      <c r="K7" s="2">
        <v>12</v>
      </c>
      <c r="L7" t="s">
        <v>443</v>
      </c>
      <c r="M7" s="2" t="s">
        <v>1120</v>
      </c>
      <c r="N7" s="2" t="s">
        <v>435</v>
      </c>
      <c r="O7" s="2" t="s">
        <v>673</v>
      </c>
      <c r="P7" s="2" t="s">
        <v>1128</v>
      </c>
      <c r="Q7" s="9" t="s">
        <v>677</v>
      </c>
      <c r="R7" s="2" t="str">
        <f t="shared" si="0"/>
        <v>CW_1_Section_3</v>
      </c>
      <c r="S7" s="2" t="str">
        <f t="shared" si="1"/>
        <v>CW_1_MF10</v>
      </c>
      <c r="T7" s="11" t="s">
        <v>659</v>
      </c>
      <c r="V7" s="2" t="s">
        <v>660</v>
      </c>
      <c r="W7" s="2" t="s">
        <v>663</v>
      </c>
      <c r="X7" s="2" t="s">
        <v>658</v>
      </c>
      <c r="Y7" s="2" t="str">
        <f t="shared" si="2"/>
        <v>P0_MF10</v>
      </c>
      <c r="Z7" s="2" t="str">
        <f t="shared" si="3"/>
        <v>P0_CW_1_MF10</v>
      </c>
      <c r="AA7" s="2" t="str">
        <f t="shared" si="4"/>
        <v>P0_0.60-0.80</v>
      </c>
      <c r="AB7" s="2">
        <v>0</v>
      </c>
      <c r="AC7" s="2">
        <v>0</v>
      </c>
      <c r="AD7" s="2">
        <v>0</v>
      </c>
      <c r="AE7" s="2">
        <v>0</v>
      </c>
      <c r="AF7" t="s">
        <v>443</v>
      </c>
      <c r="AG7" t="s">
        <v>443</v>
      </c>
      <c r="AH7" t="s">
        <v>443</v>
      </c>
      <c r="AI7" t="s">
        <v>443</v>
      </c>
      <c r="AJ7" t="s">
        <v>443</v>
      </c>
      <c r="AK7" t="s">
        <v>443</v>
      </c>
      <c r="AL7" t="s">
        <v>443</v>
      </c>
      <c r="AM7" t="s">
        <v>443</v>
      </c>
      <c r="AN7" t="s">
        <v>443</v>
      </c>
      <c r="AO7" t="s">
        <v>443</v>
      </c>
      <c r="AP7" t="s">
        <v>443</v>
      </c>
      <c r="AQ7" t="s">
        <v>443</v>
      </c>
      <c r="AR7" t="s">
        <v>443</v>
      </c>
      <c r="AS7" t="s">
        <v>443</v>
      </c>
      <c r="AT7" t="s">
        <v>443</v>
      </c>
      <c r="AU7" t="s">
        <v>443</v>
      </c>
      <c r="AV7" t="s">
        <v>443</v>
      </c>
      <c r="AW7" t="s">
        <v>443</v>
      </c>
      <c r="AX7" t="s">
        <v>443</v>
      </c>
      <c r="AY7" t="s">
        <v>443</v>
      </c>
      <c r="AZ7" t="s">
        <v>443</v>
      </c>
      <c r="BA7" t="s">
        <v>443</v>
      </c>
      <c r="BB7" t="s">
        <v>443</v>
      </c>
      <c r="BC7" t="s">
        <v>443</v>
      </c>
      <c r="BD7" t="s">
        <v>443</v>
      </c>
      <c r="BE7" t="s">
        <v>443</v>
      </c>
      <c r="BF7" s="46" t="s">
        <v>443</v>
      </c>
      <c r="BG7" s="46" t="s">
        <v>443</v>
      </c>
      <c r="BH7" t="s">
        <v>443</v>
      </c>
      <c r="BI7" t="s">
        <v>443</v>
      </c>
      <c r="BJ7" s="47" t="s">
        <v>443</v>
      </c>
      <c r="BK7" t="s">
        <v>443</v>
      </c>
      <c r="BL7" s="47" t="s">
        <v>443</v>
      </c>
      <c r="BM7" t="s">
        <v>443</v>
      </c>
      <c r="BN7" s="47" t="s">
        <v>443</v>
      </c>
      <c r="BO7" t="s">
        <v>443</v>
      </c>
      <c r="BP7" s="47" t="s">
        <v>443</v>
      </c>
      <c r="BQ7" t="s">
        <v>443</v>
      </c>
      <c r="BR7" s="47" t="s">
        <v>443</v>
      </c>
      <c r="BS7" t="s">
        <v>443</v>
      </c>
      <c r="BT7" s="47" t="s">
        <v>443</v>
      </c>
      <c r="BU7" t="s">
        <v>443</v>
      </c>
      <c r="BV7" s="47" t="s">
        <v>443</v>
      </c>
      <c r="BW7" t="s">
        <v>443</v>
      </c>
      <c r="BX7" s="47" t="s">
        <v>443</v>
      </c>
      <c r="BY7" t="s">
        <v>443</v>
      </c>
      <c r="BZ7" s="51" t="s">
        <v>443</v>
      </c>
      <c r="CA7" s="51" t="s">
        <v>443</v>
      </c>
      <c r="CB7" s="27" t="s">
        <v>443</v>
      </c>
      <c r="CC7" s="27" t="s">
        <v>443</v>
      </c>
      <c r="CD7" t="s">
        <v>443</v>
      </c>
      <c r="CE7" t="s">
        <v>443</v>
      </c>
      <c r="CF7" t="s">
        <v>443</v>
      </c>
      <c r="CG7" t="s">
        <v>443</v>
      </c>
      <c r="CH7" s="24" t="s">
        <v>443</v>
      </c>
      <c r="CI7" s="24" t="s">
        <v>443</v>
      </c>
      <c r="CJ7" s="24" t="s">
        <v>443</v>
      </c>
      <c r="CK7" s="26" t="s">
        <v>443</v>
      </c>
      <c r="CL7" s="26" t="s">
        <v>443</v>
      </c>
      <c r="CM7" s="26" t="s">
        <v>443</v>
      </c>
      <c r="CN7" t="s">
        <v>443</v>
      </c>
      <c r="CO7" t="s">
        <v>443</v>
      </c>
      <c r="CP7" t="s">
        <v>443</v>
      </c>
      <c r="CQ7" s="57" t="s">
        <v>443</v>
      </c>
      <c r="CR7" s="57" t="s">
        <v>443</v>
      </c>
      <c r="CS7" s="57" t="s">
        <v>443</v>
      </c>
      <c r="CT7" s="57" t="s">
        <v>443</v>
      </c>
      <c r="CU7" s="28" t="s">
        <v>443</v>
      </c>
      <c r="CV7" s="28" t="s">
        <v>443</v>
      </c>
      <c r="CW7" s="28" t="s">
        <v>443</v>
      </c>
      <c r="CX7" s="28" t="s">
        <v>443</v>
      </c>
      <c r="CY7" t="s">
        <v>443</v>
      </c>
      <c r="CZ7" t="s">
        <v>443</v>
      </c>
      <c r="DA7" s="24" t="s">
        <v>443</v>
      </c>
      <c r="DB7" s="38" t="s">
        <v>443</v>
      </c>
      <c r="DC7" s="38" t="s">
        <v>443</v>
      </c>
      <c r="DD7" s="59" t="s">
        <v>443</v>
      </c>
      <c r="DE7" s="59" t="s">
        <v>443</v>
      </c>
      <c r="DF7" s="59" t="s">
        <v>443</v>
      </c>
      <c r="DG7" s="59" t="s">
        <v>443</v>
      </c>
      <c r="DH7" s="58" t="s">
        <v>443</v>
      </c>
      <c r="DI7" t="s">
        <v>443</v>
      </c>
      <c r="DJ7" t="s">
        <v>443</v>
      </c>
      <c r="DK7" s="27" t="s">
        <v>443</v>
      </c>
      <c r="DL7" s="27" t="s">
        <v>443</v>
      </c>
      <c r="DM7" s="27" t="s">
        <v>443</v>
      </c>
      <c r="DN7" s="27" t="s">
        <v>443</v>
      </c>
      <c r="DO7" s="27" t="s">
        <v>443</v>
      </c>
      <c r="DP7" s="27" t="s">
        <v>443</v>
      </c>
      <c r="DQ7" s="27" t="s">
        <v>443</v>
      </c>
      <c r="DR7" s="27" t="s">
        <v>443</v>
      </c>
      <c r="DS7" s="27" t="s">
        <v>443</v>
      </c>
      <c r="DT7" s="27" t="s">
        <v>443</v>
      </c>
      <c r="DU7" s="27" t="s">
        <v>443</v>
      </c>
      <c r="DV7" s="27" t="s">
        <v>443</v>
      </c>
      <c r="DW7" s="27" t="s">
        <v>443</v>
      </c>
      <c r="DX7" s="27" t="s">
        <v>443</v>
      </c>
      <c r="DY7" s="27" t="s">
        <v>443</v>
      </c>
      <c r="DZ7" s="27" t="s">
        <v>443</v>
      </c>
      <c r="EA7" s="27" t="s">
        <v>443</v>
      </c>
      <c r="EB7" s="27" t="s">
        <v>443</v>
      </c>
      <c r="EC7" s="27" t="s">
        <v>443</v>
      </c>
      <c r="ED7" s="27" t="s">
        <v>443</v>
      </c>
      <c r="EE7" s="27" t="s">
        <v>443</v>
      </c>
      <c r="EF7" s="27" t="s">
        <v>443</v>
      </c>
      <c r="EG7" s="27" t="s">
        <v>443</v>
      </c>
      <c r="EH7" s="27" t="s">
        <v>443</v>
      </c>
      <c r="EI7" s="27" t="s">
        <v>443</v>
      </c>
      <c r="EJ7" s="27" t="s">
        <v>443</v>
      </c>
      <c r="EK7" s="27" t="s">
        <v>443</v>
      </c>
      <c r="EL7" s="27" t="s">
        <v>443</v>
      </c>
      <c r="EM7" s="27" t="s">
        <v>443</v>
      </c>
      <c r="EN7" s="27" t="s">
        <v>443</v>
      </c>
      <c r="EO7" s="27" t="s">
        <v>443</v>
      </c>
      <c r="EP7" s="27" t="s">
        <v>443</v>
      </c>
      <c r="EQ7" s="27" t="s">
        <v>443</v>
      </c>
      <c r="ER7" s="27" t="s">
        <v>443</v>
      </c>
      <c r="ES7" s="27" t="s">
        <v>443</v>
      </c>
      <c r="ET7" s="27" t="s">
        <v>443</v>
      </c>
      <c r="EU7" s="27" t="s">
        <v>443</v>
      </c>
      <c r="EV7" s="27" t="s">
        <v>443</v>
      </c>
      <c r="EW7" s="27" t="s">
        <v>443</v>
      </c>
      <c r="EX7" s="27" t="s">
        <v>443</v>
      </c>
      <c r="EY7" s="27" t="s">
        <v>443</v>
      </c>
      <c r="EZ7" s="27" t="s">
        <v>443</v>
      </c>
      <c r="FA7" s="27" t="s">
        <v>443</v>
      </c>
      <c r="FB7" s="27" t="s">
        <v>443</v>
      </c>
      <c r="FC7" s="27" t="s">
        <v>443</v>
      </c>
      <c r="FD7" s="27" t="s">
        <v>443</v>
      </c>
      <c r="FE7" s="27" t="s">
        <v>443</v>
      </c>
      <c r="FF7" s="27" t="s">
        <v>443</v>
      </c>
      <c r="FG7" s="27" t="s">
        <v>443</v>
      </c>
      <c r="FH7" s="27" t="s">
        <v>443</v>
      </c>
      <c r="FI7" s="27" t="s">
        <v>443</v>
      </c>
      <c r="FJ7" s="27" t="s">
        <v>443</v>
      </c>
      <c r="FK7" s="27" t="s">
        <v>443</v>
      </c>
      <c r="FL7" s="27" t="s">
        <v>443</v>
      </c>
      <c r="FM7" s="27" t="s">
        <v>443</v>
      </c>
      <c r="FN7" s="27" t="s">
        <v>443</v>
      </c>
      <c r="FO7" s="27" t="s">
        <v>443</v>
      </c>
      <c r="FP7" s="27" t="s">
        <v>443</v>
      </c>
      <c r="FQ7" s="27" t="s">
        <v>443</v>
      </c>
      <c r="FR7" s="27" t="s">
        <v>443</v>
      </c>
      <c r="FS7" s="27" t="s">
        <v>443</v>
      </c>
      <c r="FT7" s="27" t="s">
        <v>443</v>
      </c>
      <c r="FU7" s="27" t="s">
        <v>443</v>
      </c>
      <c r="FV7" s="27" t="s">
        <v>443</v>
      </c>
      <c r="FW7" s="27" t="s">
        <v>443</v>
      </c>
      <c r="FX7" s="27" t="s">
        <v>443</v>
      </c>
      <c r="FY7" s="27" t="s">
        <v>443</v>
      </c>
      <c r="FZ7" s="27" t="s">
        <v>443</v>
      </c>
      <c r="GA7" s="27" t="s">
        <v>443</v>
      </c>
      <c r="GB7" s="27" t="s">
        <v>443</v>
      </c>
      <c r="GC7" s="27" t="s">
        <v>443</v>
      </c>
      <c r="GD7" s="27" t="s">
        <v>443</v>
      </c>
      <c r="GE7" s="27" t="s">
        <v>443</v>
      </c>
      <c r="GF7" s="27" t="s">
        <v>443</v>
      </c>
      <c r="GG7" s="27" t="s">
        <v>443</v>
      </c>
      <c r="GH7" s="27" t="s">
        <v>443</v>
      </c>
      <c r="GI7" s="27" t="s">
        <v>443</v>
      </c>
      <c r="GJ7" s="27" t="s">
        <v>443</v>
      </c>
      <c r="GK7" s="27" t="s">
        <v>443</v>
      </c>
      <c r="GL7" s="27" t="s">
        <v>443</v>
      </c>
      <c r="GM7" s="27" t="s">
        <v>443</v>
      </c>
      <c r="GN7" s="27" t="s">
        <v>443</v>
      </c>
      <c r="GO7" s="27" t="s">
        <v>443</v>
      </c>
      <c r="GP7" s="27" t="s">
        <v>443</v>
      </c>
      <c r="GQ7" s="27"/>
      <c r="HK7" s="1"/>
      <c r="HL7" s="1"/>
      <c r="HM7" s="1"/>
      <c r="HN7" s="1"/>
    </row>
    <row r="8" spans="1:278" ht="15.75" x14ac:dyDescent="0.25">
      <c r="A8" s="2" t="s">
        <v>441</v>
      </c>
      <c r="B8" s="2" t="s">
        <v>441</v>
      </c>
      <c r="C8" s="2" t="s">
        <v>682</v>
      </c>
      <c r="D8" s="2" t="s">
        <v>450</v>
      </c>
      <c r="E8" s="2" t="s">
        <v>450</v>
      </c>
      <c r="F8" s="2">
        <v>7</v>
      </c>
      <c r="G8" s="2" t="s">
        <v>679</v>
      </c>
      <c r="H8" s="10" t="s">
        <v>656</v>
      </c>
      <c r="I8" s="2">
        <v>150</v>
      </c>
      <c r="J8" s="2">
        <v>65</v>
      </c>
      <c r="K8" s="2">
        <v>11.05</v>
      </c>
      <c r="L8" t="s">
        <v>443</v>
      </c>
      <c r="M8" s="2" t="s">
        <v>1120</v>
      </c>
      <c r="N8" s="2" t="s">
        <v>435</v>
      </c>
      <c r="O8" s="2" t="s">
        <v>680</v>
      </c>
      <c r="P8" s="2" t="s">
        <v>1129</v>
      </c>
      <c r="Q8" s="9" t="s">
        <v>681</v>
      </c>
      <c r="R8" s="2" t="str">
        <f t="shared" si="0"/>
        <v>CW_1_Section_4</v>
      </c>
      <c r="S8" s="2" t="str">
        <f t="shared" si="1"/>
        <v>CW_1_MF11</v>
      </c>
      <c r="T8" s="11" t="s">
        <v>659</v>
      </c>
      <c r="V8" s="2" t="s">
        <v>660</v>
      </c>
      <c r="W8" s="2" t="s">
        <v>655</v>
      </c>
      <c r="X8" s="2" t="s">
        <v>658</v>
      </c>
      <c r="Y8" s="2" t="str">
        <f t="shared" si="2"/>
        <v>P0_MF11</v>
      </c>
      <c r="Z8" s="2" t="str">
        <f t="shared" si="3"/>
        <v>P0_CW_1_MF11</v>
      </c>
      <c r="AA8" s="2" t="str">
        <f t="shared" si="4"/>
        <v>P0_0.15-0.30</v>
      </c>
      <c r="AB8" s="2">
        <v>0</v>
      </c>
      <c r="AC8" s="2">
        <v>0</v>
      </c>
      <c r="AD8" s="2">
        <v>0</v>
      </c>
      <c r="AE8" s="2">
        <v>0</v>
      </c>
      <c r="AF8" t="s">
        <v>443</v>
      </c>
      <c r="AG8" t="s">
        <v>443</v>
      </c>
      <c r="AH8" t="s">
        <v>443</v>
      </c>
      <c r="AI8" t="s">
        <v>443</v>
      </c>
      <c r="AJ8" t="s">
        <v>443</v>
      </c>
      <c r="AK8" t="s">
        <v>443</v>
      </c>
      <c r="AL8" t="s">
        <v>443</v>
      </c>
      <c r="AM8" t="s">
        <v>443</v>
      </c>
      <c r="AN8" t="s">
        <v>443</v>
      </c>
      <c r="AO8" t="s">
        <v>443</v>
      </c>
      <c r="AP8" t="s">
        <v>443</v>
      </c>
      <c r="AQ8" t="s">
        <v>443</v>
      </c>
      <c r="AR8" t="s">
        <v>443</v>
      </c>
      <c r="AS8" t="s">
        <v>443</v>
      </c>
      <c r="AT8" t="s">
        <v>443</v>
      </c>
      <c r="AU8" t="s">
        <v>443</v>
      </c>
      <c r="AV8" t="s">
        <v>443</v>
      </c>
      <c r="AW8" t="s">
        <v>443</v>
      </c>
      <c r="AX8" t="s">
        <v>443</v>
      </c>
      <c r="AY8" t="s">
        <v>443</v>
      </c>
      <c r="AZ8" t="s">
        <v>443</v>
      </c>
      <c r="BA8" t="s">
        <v>443</v>
      </c>
      <c r="BB8" t="s">
        <v>443</v>
      </c>
      <c r="BC8" t="s">
        <v>443</v>
      </c>
      <c r="BD8" t="s">
        <v>443</v>
      </c>
      <c r="BE8" t="s">
        <v>443</v>
      </c>
      <c r="BF8" s="46" t="s">
        <v>443</v>
      </c>
      <c r="BG8" s="46" t="s">
        <v>443</v>
      </c>
      <c r="BH8" t="s">
        <v>443</v>
      </c>
      <c r="BI8" t="s">
        <v>443</v>
      </c>
      <c r="BJ8" s="47" t="s">
        <v>443</v>
      </c>
      <c r="BK8" t="s">
        <v>443</v>
      </c>
      <c r="BL8" s="47" t="s">
        <v>443</v>
      </c>
      <c r="BM8" t="s">
        <v>443</v>
      </c>
      <c r="BN8" s="47" t="s">
        <v>443</v>
      </c>
      <c r="BO8" t="s">
        <v>443</v>
      </c>
      <c r="BP8" s="47" t="s">
        <v>443</v>
      </c>
      <c r="BQ8" t="s">
        <v>443</v>
      </c>
      <c r="BR8" s="47" t="s">
        <v>443</v>
      </c>
      <c r="BS8" t="s">
        <v>443</v>
      </c>
      <c r="BT8" s="47" t="s">
        <v>443</v>
      </c>
      <c r="BU8" t="s">
        <v>443</v>
      </c>
      <c r="BV8" s="47" t="s">
        <v>443</v>
      </c>
      <c r="BW8" t="s">
        <v>443</v>
      </c>
      <c r="BX8" s="47" t="s">
        <v>443</v>
      </c>
      <c r="BY8" t="s">
        <v>443</v>
      </c>
      <c r="BZ8" s="51" t="s">
        <v>443</v>
      </c>
      <c r="CA8" s="51" t="s">
        <v>443</v>
      </c>
      <c r="CB8" s="27" t="s">
        <v>443</v>
      </c>
      <c r="CC8" s="27" t="s">
        <v>443</v>
      </c>
      <c r="CD8" t="s">
        <v>443</v>
      </c>
      <c r="CE8" t="s">
        <v>443</v>
      </c>
      <c r="CF8" t="s">
        <v>443</v>
      </c>
      <c r="CG8" t="s">
        <v>443</v>
      </c>
      <c r="CH8" s="24" t="s">
        <v>443</v>
      </c>
      <c r="CI8" s="24" t="s">
        <v>443</v>
      </c>
      <c r="CJ8" s="24" t="s">
        <v>443</v>
      </c>
      <c r="CK8" s="26" t="s">
        <v>443</v>
      </c>
      <c r="CL8" s="26" t="s">
        <v>443</v>
      </c>
      <c r="CM8" s="26" t="s">
        <v>443</v>
      </c>
      <c r="CN8" t="s">
        <v>443</v>
      </c>
      <c r="CO8" t="s">
        <v>443</v>
      </c>
      <c r="CP8" t="s">
        <v>443</v>
      </c>
      <c r="CQ8" s="57" t="s">
        <v>443</v>
      </c>
      <c r="CR8" s="57" t="s">
        <v>443</v>
      </c>
      <c r="CS8" s="57" t="s">
        <v>443</v>
      </c>
      <c r="CT8" s="57" t="s">
        <v>443</v>
      </c>
      <c r="CU8" s="28" t="s">
        <v>443</v>
      </c>
      <c r="CV8" s="28" t="s">
        <v>443</v>
      </c>
      <c r="CW8" s="28" t="s">
        <v>443</v>
      </c>
      <c r="CX8" s="28" t="s">
        <v>443</v>
      </c>
      <c r="CY8" t="s">
        <v>443</v>
      </c>
      <c r="CZ8" t="s">
        <v>443</v>
      </c>
      <c r="DA8" s="24" t="s">
        <v>443</v>
      </c>
      <c r="DB8" s="38" t="s">
        <v>443</v>
      </c>
      <c r="DC8" s="38" t="s">
        <v>443</v>
      </c>
      <c r="DD8" s="59" t="s">
        <v>443</v>
      </c>
      <c r="DE8" s="59" t="s">
        <v>443</v>
      </c>
      <c r="DF8" s="59" t="s">
        <v>443</v>
      </c>
      <c r="DG8" s="59" t="s">
        <v>443</v>
      </c>
      <c r="DH8" s="58" t="s">
        <v>443</v>
      </c>
      <c r="DI8" t="s">
        <v>443</v>
      </c>
      <c r="DJ8" t="s">
        <v>443</v>
      </c>
      <c r="DK8" s="27" t="s">
        <v>443</v>
      </c>
      <c r="DL8" s="27" t="s">
        <v>443</v>
      </c>
      <c r="DM8" s="27" t="s">
        <v>443</v>
      </c>
      <c r="DN8" s="27" t="s">
        <v>443</v>
      </c>
      <c r="DO8" s="27" t="s">
        <v>443</v>
      </c>
      <c r="DP8" s="27" t="s">
        <v>443</v>
      </c>
      <c r="DQ8" s="27" t="s">
        <v>443</v>
      </c>
      <c r="DR8" s="27" t="s">
        <v>443</v>
      </c>
      <c r="DS8" s="27" t="s">
        <v>443</v>
      </c>
      <c r="DT8" s="27" t="s">
        <v>443</v>
      </c>
      <c r="DU8" s="27" t="s">
        <v>443</v>
      </c>
      <c r="DV8" s="27" t="s">
        <v>443</v>
      </c>
      <c r="DW8" s="27" t="s">
        <v>443</v>
      </c>
      <c r="DX8" s="27" t="s">
        <v>443</v>
      </c>
      <c r="DY8" s="27" t="s">
        <v>443</v>
      </c>
      <c r="DZ8" s="27" t="s">
        <v>443</v>
      </c>
      <c r="EA8" s="27" t="s">
        <v>443</v>
      </c>
      <c r="EB8" s="27" t="s">
        <v>443</v>
      </c>
      <c r="EC8" s="27" t="s">
        <v>443</v>
      </c>
      <c r="ED8" s="27" t="s">
        <v>443</v>
      </c>
      <c r="EE8" s="27" t="s">
        <v>443</v>
      </c>
      <c r="EF8" s="27" t="s">
        <v>443</v>
      </c>
      <c r="EG8" s="27" t="s">
        <v>443</v>
      </c>
      <c r="EH8" s="27" t="s">
        <v>443</v>
      </c>
      <c r="EI8" s="27" t="s">
        <v>443</v>
      </c>
      <c r="EJ8" s="27" t="s">
        <v>443</v>
      </c>
      <c r="EK8" s="27" t="s">
        <v>443</v>
      </c>
      <c r="EL8" s="27" t="s">
        <v>443</v>
      </c>
      <c r="EM8" s="27" t="s">
        <v>443</v>
      </c>
      <c r="EN8" s="27" t="s">
        <v>443</v>
      </c>
      <c r="EO8" s="27" t="s">
        <v>443</v>
      </c>
      <c r="EP8" s="27" t="s">
        <v>443</v>
      </c>
      <c r="EQ8" s="27" t="s">
        <v>443</v>
      </c>
      <c r="ER8" s="27" t="s">
        <v>443</v>
      </c>
      <c r="ES8" s="27" t="s">
        <v>443</v>
      </c>
      <c r="ET8" s="27" t="s">
        <v>443</v>
      </c>
      <c r="EU8" s="27" t="s">
        <v>443</v>
      </c>
      <c r="EV8" s="27" t="s">
        <v>443</v>
      </c>
      <c r="EW8" s="27" t="s">
        <v>443</v>
      </c>
      <c r="EX8" s="27" t="s">
        <v>443</v>
      </c>
      <c r="EY8" s="27" t="s">
        <v>443</v>
      </c>
      <c r="EZ8" s="27" t="s">
        <v>443</v>
      </c>
      <c r="FA8" s="27" t="s">
        <v>443</v>
      </c>
      <c r="FB8" s="27" t="s">
        <v>443</v>
      </c>
      <c r="FC8" s="27" t="s">
        <v>443</v>
      </c>
      <c r="FD8" s="27" t="s">
        <v>443</v>
      </c>
      <c r="FE8" s="27" t="s">
        <v>443</v>
      </c>
      <c r="FF8" s="27" t="s">
        <v>443</v>
      </c>
      <c r="FG8" s="27" t="s">
        <v>443</v>
      </c>
      <c r="FH8" s="27" t="s">
        <v>443</v>
      </c>
      <c r="FI8" s="27" t="s">
        <v>443</v>
      </c>
      <c r="FJ8" s="27" t="s">
        <v>443</v>
      </c>
      <c r="FK8" s="27" t="s">
        <v>443</v>
      </c>
      <c r="FL8" s="27" t="s">
        <v>443</v>
      </c>
      <c r="FM8" s="27" t="s">
        <v>443</v>
      </c>
      <c r="FN8" s="27" t="s">
        <v>443</v>
      </c>
      <c r="FO8" s="27" t="s">
        <v>443</v>
      </c>
      <c r="FP8" s="27" t="s">
        <v>443</v>
      </c>
      <c r="FQ8" s="27" t="s">
        <v>443</v>
      </c>
      <c r="FR8" s="27" t="s">
        <v>443</v>
      </c>
      <c r="FS8" s="27" t="s">
        <v>443</v>
      </c>
      <c r="FT8" s="27" t="s">
        <v>443</v>
      </c>
      <c r="FU8" s="27" t="s">
        <v>443</v>
      </c>
      <c r="FV8" s="27" t="s">
        <v>443</v>
      </c>
      <c r="FW8" s="27" t="s">
        <v>443</v>
      </c>
      <c r="FX8" s="27" t="s">
        <v>443</v>
      </c>
      <c r="FY8" s="27" t="s">
        <v>443</v>
      </c>
      <c r="FZ8" s="27" t="s">
        <v>443</v>
      </c>
      <c r="GA8" s="27" t="s">
        <v>443</v>
      </c>
      <c r="GB8" s="27" t="s">
        <v>443</v>
      </c>
      <c r="GC8" s="27" t="s">
        <v>443</v>
      </c>
      <c r="GD8" s="27" t="s">
        <v>443</v>
      </c>
      <c r="GE8" s="27" t="s">
        <v>443</v>
      </c>
      <c r="GF8" s="27" t="s">
        <v>443</v>
      </c>
      <c r="GG8" s="27" t="s">
        <v>443</v>
      </c>
      <c r="GH8" s="27" t="s">
        <v>443</v>
      </c>
      <c r="GI8" s="27" t="s">
        <v>443</v>
      </c>
      <c r="GJ8" s="27" t="s">
        <v>443</v>
      </c>
      <c r="GK8" s="27" t="s">
        <v>443</v>
      </c>
      <c r="GL8" s="27" t="s">
        <v>443</v>
      </c>
      <c r="GM8" s="27" t="s">
        <v>443</v>
      </c>
      <c r="GN8" s="27" t="s">
        <v>443</v>
      </c>
      <c r="GO8" s="27" t="s">
        <v>443</v>
      </c>
      <c r="GP8" s="27" t="s">
        <v>443</v>
      </c>
      <c r="GQ8" s="27"/>
      <c r="HK8" s="1"/>
      <c r="HL8" s="1"/>
      <c r="HM8" s="1"/>
      <c r="HN8" s="1"/>
      <c r="JB8" s="66"/>
      <c r="JD8" s="66"/>
      <c r="JF8" s="66"/>
      <c r="JH8" s="66"/>
      <c r="JJ8" s="66"/>
      <c r="JL8" s="66"/>
      <c r="JN8" s="66"/>
    </row>
    <row r="9" spans="1:278" ht="15.75" x14ac:dyDescent="0.25">
      <c r="A9" s="2" t="s">
        <v>442</v>
      </c>
      <c r="B9" s="2" t="s">
        <v>442</v>
      </c>
      <c r="C9" s="2" t="s">
        <v>685</v>
      </c>
      <c r="D9" s="2" t="s">
        <v>451</v>
      </c>
      <c r="E9" s="2" t="s">
        <v>451</v>
      </c>
      <c r="F9" s="2">
        <v>8</v>
      </c>
      <c r="G9" s="2" t="s">
        <v>683</v>
      </c>
      <c r="H9" s="10" t="s">
        <v>656</v>
      </c>
      <c r="I9" s="2">
        <v>150</v>
      </c>
      <c r="J9" s="2">
        <v>65</v>
      </c>
      <c r="K9" s="2">
        <v>10.65</v>
      </c>
      <c r="L9" t="s">
        <v>443</v>
      </c>
      <c r="M9" s="2" t="s">
        <v>1120</v>
      </c>
      <c r="N9" s="2" t="s">
        <v>435</v>
      </c>
      <c r="O9" s="2" t="s">
        <v>680</v>
      </c>
      <c r="P9" s="2" t="s">
        <v>1130</v>
      </c>
      <c r="Q9" s="9" t="s">
        <v>684</v>
      </c>
      <c r="R9" s="2" t="str">
        <f t="shared" si="0"/>
        <v>CW_1_Section_4</v>
      </c>
      <c r="S9" s="2" t="str">
        <f t="shared" si="1"/>
        <v>CW_1_MF12</v>
      </c>
      <c r="T9" s="11" t="s">
        <v>659</v>
      </c>
      <c r="V9" s="2" t="s">
        <v>660</v>
      </c>
      <c r="W9" s="2" t="s">
        <v>663</v>
      </c>
      <c r="X9" s="2" t="s">
        <v>658</v>
      </c>
      <c r="Y9" s="2" t="str">
        <f t="shared" si="2"/>
        <v>P0_MF12</v>
      </c>
      <c r="Z9" s="2" t="str">
        <f t="shared" si="3"/>
        <v>P0_CW_1_MF12</v>
      </c>
      <c r="AA9" s="2" t="str">
        <f t="shared" si="4"/>
        <v>P0_0.60-0.80</v>
      </c>
      <c r="AB9" s="2">
        <v>0</v>
      </c>
      <c r="AC9" s="2">
        <v>0</v>
      </c>
      <c r="AD9" s="2">
        <v>0</v>
      </c>
      <c r="AE9" s="2">
        <v>0</v>
      </c>
      <c r="AF9" t="s">
        <v>443</v>
      </c>
      <c r="AG9" t="s">
        <v>443</v>
      </c>
      <c r="AH9" t="s">
        <v>443</v>
      </c>
      <c r="AI9" t="s">
        <v>443</v>
      </c>
      <c r="AJ9" t="s">
        <v>443</v>
      </c>
      <c r="AK9" t="s">
        <v>443</v>
      </c>
      <c r="AL9" t="s">
        <v>443</v>
      </c>
      <c r="AM9" t="s">
        <v>443</v>
      </c>
      <c r="AN9" t="s">
        <v>443</v>
      </c>
      <c r="AO9" t="s">
        <v>443</v>
      </c>
      <c r="AP9" t="s">
        <v>443</v>
      </c>
      <c r="AQ9" t="s">
        <v>443</v>
      </c>
      <c r="AR9" t="s">
        <v>443</v>
      </c>
      <c r="AS9" t="s">
        <v>443</v>
      </c>
      <c r="AT9" t="s">
        <v>443</v>
      </c>
      <c r="AU9" t="s">
        <v>443</v>
      </c>
      <c r="AV9" t="s">
        <v>443</v>
      </c>
      <c r="AW9" t="s">
        <v>443</v>
      </c>
      <c r="AX9" t="s">
        <v>443</v>
      </c>
      <c r="AY9" t="s">
        <v>443</v>
      </c>
      <c r="AZ9" t="s">
        <v>443</v>
      </c>
      <c r="BA9" t="s">
        <v>443</v>
      </c>
      <c r="BB9" t="s">
        <v>443</v>
      </c>
      <c r="BC9" t="s">
        <v>443</v>
      </c>
      <c r="BD9" t="s">
        <v>443</v>
      </c>
      <c r="BE9" t="s">
        <v>443</v>
      </c>
      <c r="BF9" s="46" t="s">
        <v>443</v>
      </c>
      <c r="BG9" s="46" t="s">
        <v>443</v>
      </c>
      <c r="BH9" t="s">
        <v>443</v>
      </c>
      <c r="BI9" t="s">
        <v>443</v>
      </c>
      <c r="BJ9" s="47" t="s">
        <v>443</v>
      </c>
      <c r="BK9" t="s">
        <v>443</v>
      </c>
      <c r="BL9" s="47" t="s">
        <v>443</v>
      </c>
      <c r="BM9" t="s">
        <v>443</v>
      </c>
      <c r="BN9" s="47" t="s">
        <v>443</v>
      </c>
      <c r="BO9" t="s">
        <v>443</v>
      </c>
      <c r="BP9" s="47" t="s">
        <v>443</v>
      </c>
      <c r="BQ9" t="s">
        <v>443</v>
      </c>
      <c r="BR9" s="47" t="s">
        <v>443</v>
      </c>
      <c r="BS9" t="s">
        <v>443</v>
      </c>
      <c r="BT9" s="47" t="s">
        <v>443</v>
      </c>
      <c r="BU9" t="s">
        <v>443</v>
      </c>
      <c r="BV9" s="47" t="s">
        <v>443</v>
      </c>
      <c r="BW9" t="s">
        <v>443</v>
      </c>
      <c r="BX9" s="47" t="s">
        <v>443</v>
      </c>
      <c r="BY9" t="s">
        <v>443</v>
      </c>
      <c r="BZ9" s="51" t="s">
        <v>443</v>
      </c>
      <c r="CA9" s="51" t="s">
        <v>443</v>
      </c>
      <c r="CB9" s="27" t="s">
        <v>443</v>
      </c>
      <c r="CC9" s="27" t="s">
        <v>443</v>
      </c>
      <c r="CD9" t="s">
        <v>443</v>
      </c>
      <c r="CE9" t="s">
        <v>443</v>
      </c>
      <c r="CF9" t="s">
        <v>443</v>
      </c>
      <c r="CG9" t="s">
        <v>443</v>
      </c>
      <c r="CH9" s="24" t="s">
        <v>443</v>
      </c>
      <c r="CI9" s="24" t="s">
        <v>443</v>
      </c>
      <c r="CJ9" s="24" t="s">
        <v>443</v>
      </c>
      <c r="CK9" s="26" t="s">
        <v>443</v>
      </c>
      <c r="CL9" s="26" t="s">
        <v>443</v>
      </c>
      <c r="CM9" s="26" t="s">
        <v>443</v>
      </c>
      <c r="CN9" t="s">
        <v>443</v>
      </c>
      <c r="CO9" t="s">
        <v>443</v>
      </c>
      <c r="CP9" t="s">
        <v>443</v>
      </c>
      <c r="CQ9" s="57" t="s">
        <v>443</v>
      </c>
      <c r="CR9" s="57" t="s">
        <v>443</v>
      </c>
      <c r="CS9" s="57" t="s">
        <v>443</v>
      </c>
      <c r="CT9" s="57" t="s">
        <v>443</v>
      </c>
      <c r="CU9" s="28" t="s">
        <v>443</v>
      </c>
      <c r="CV9" s="28" t="s">
        <v>443</v>
      </c>
      <c r="CW9" s="28" t="s">
        <v>443</v>
      </c>
      <c r="CX9" s="28" t="s">
        <v>443</v>
      </c>
      <c r="CY9" t="s">
        <v>443</v>
      </c>
      <c r="CZ9" t="s">
        <v>443</v>
      </c>
      <c r="DA9" s="24" t="s">
        <v>443</v>
      </c>
      <c r="DB9" s="38" t="s">
        <v>443</v>
      </c>
      <c r="DC9" s="38" t="s">
        <v>443</v>
      </c>
      <c r="DD9" s="59" t="s">
        <v>443</v>
      </c>
      <c r="DE9" s="59" t="s">
        <v>443</v>
      </c>
      <c r="DF9" s="59" t="s">
        <v>443</v>
      </c>
      <c r="DG9" s="59" t="s">
        <v>443</v>
      </c>
      <c r="DH9" s="58" t="s">
        <v>443</v>
      </c>
      <c r="DI9" t="s">
        <v>443</v>
      </c>
      <c r="DJ9" t="s">
        <v>443</v>
      </c>
      <c r="DK9" s="27" t="s">
        <v>443</v>
      </c>
      <c r="DL9" s="27" t="s">
        <v>443</v>
      </c>
      <c r="DM9" s="27" t="s">
        <v>443</v>
      </c>
      <c r="DN9" s="27" t="s">
        <v>443</v>
      </c>
      <c r="DO9" s="27" t="s">
        <v>443</v>
      </c>
      <c r="DP9" s="27" t="s">
        <v>443</v>
      </c>
      <c r="DQ9" s="27" t="s">
        <v>443</v>
      </c>
      <c r="DR9" s="27" t="s">
        <v>443</v>
      </c>
      <c r="DS9" s="27" t="s">
        <v>443</v>
      </c>
      <c r="DT9" s="27" t="s">
        <v>443</v>
      </c>
      <c r="DU9" s="27" t="s">
        <v>443</v>
      </c>
      <c r="DV9" s="27" t="s">
        <v>443</v>
      </c>
      <c r="DW9" s="27" t="s">
        <v>443</v>
      </c>
      <c r="DX9" s="27" t="s">
        <v>443</v>
      </c>
      <c r="DY9" s="27" t="s">
        <v>443</v>
      </c>
      <c r="DZ9" s="27" t="s">
        <v>443</v>
      </c>
      <c r="EA9" s="27" t="s">
        <v>443</v>
      </c>
      <c r="EB9" s="27" t="s">
        <v>443</v>
      </c>
      <c r="EC9" s="27" t="s">
        <v>443</v>
      </c>
      <c r="ED9" s="27" t="s">
        <v>443</v>
      </c>
      <c r="EE9" s="27" t="s">
        <v>443</v>
      </c>
      <c r="EF9" s="27" t="s">
        <v>443</v>
      </c>
      <c r="EG9" s="27" t="s">
        <v>443</v>
      </c>
      <c r="EH9" s="27" t="s">
        <v>443</v>
      </c>
      <c r="EI9" s="27" t="s">
        <v>443</v>
      </c>
      <c r="EJ9" s="27" t="s">
        <v>443</v>
      </c>
      <c r="EK9" s="27" t="s">
        <v>443</v>
      </c>
      <c r="EL9" s="27" t="s">
        <v>443</v>
      </c>
      <c r="EM9" s="27" t="s">
        <v>443</v>
      </c>
      <c r="EN9" s="27" t="s">
        <v>443</v>
      </c>
      <c r="EO9" s="27" t="s">
        <v>443</v>
      </c>
      <c r="EP9" s="27" t="s">
        <v>443</v>
      </c>
      <c r="EQ9" s="27" t="s">
        <v>443</v>
      </c>
      <c r="ER9" s="27" t="s">
        <v>443</v>
      </c>
      <c r="ES9" s="27" t="s">
        <v>443</v>
      </c>
      <c r="ET9" s="27" t="s">
        <v>443</v>
      </c>
      <c r="EU9" s="27" t="s">
        <v>443</v>
      </c>
      <c r="EV9" s="27" t="s">
        <v>443</v>
      </c>
      <c r="EW9" s="27" t="s">
        <v>443</v>
      </c>
      <c r="EX9" s="27" t="s">
        <v>443</v>
      </c>
      <c r="EY9" s="27" t="s">
        <v>443</v>
      </c>
      <c r="EZ9" s="27" t="s">
        <v>443</v>
      </c>
      <c r="FA9" s="27" t="s">
        <v>443</v>
      </c>
      <c r="FB9" s="27" t="s">
        <v>443</v>
      </c>
      <c r="FC9" s="27" t="s">
        <v>443</v>
      </c>
      <c r="FD9" s="27" t="s">
        <v>443</v>
      </c>
      <c r="FE9" s="27" t="s">
        <v>443</v>
      </c>
      <c r="FF9" s="27" t="s">
        <v>443</v>
      </c>
      <c r="FG9" s="27" t="s">
        <v>443</v>
      </c>
      <c r="FH9" s="27" t="s">
        <v>443</v>
      </c>
      <c r="FI9" s="27" t="s">
        <v>443</v>
      </c>
      <c r="FJ9" s="27" t="s">
        <v>443</v>
      </c>
      <c r="FK9" s="27" t="s">
        <v>443</v>
      </c>
      <c r="FL9" s="27" t="s">
        <v>443</v>
      </c>
      <c r="FM9" s="27" t="s">
        <v>443</v>
      </c>
      <c r="FN9" s="27" t="s">
        <v>443</v>
      </c>
      <c r="FO9" s="27" t="s">
        <v>443</v>
      </c>
      <c r="FP9" s="27" t="s">
        <v>443</v>
      </c>
      <c r="FQ9" s="27" t="s">
        <v>443</v>
      </c>
      <c r="FR9" s="27" t="s">
        <v>443</v>
      </c>
      <c r="FS9" s="27" t="s">
        <v>443</v>
      </c>
      <c r="FT9" s="27" t="s">
        <v>443</v>
      </c>
      <c r="FU9" s="27" t="s">
        <v>443</v>
      </c>
      <c r="FV9" s="27" t="s">
        <v>443</v>
      </c>
      <c r="FW9" s="27" t="s">
        <v>443</v>
      </c>
      <c r="FX9" s="27" t="s">
        <v>443</v>
      </c>
      <c r="FY9" s="27" t="s">
        <v>443</v>
      </c>
      <c r="FZ9" s="27" t="s">
        <v>443</v>
      </c>
      <c r="GA9" s="27" t="s">
        <v>443</v>
      </c>
      <c r="GB9" s="27" t="s">
        <v>443</v>
      </c>
      <c r="GC9" s="27" t="s">
        <v>443</v>
      </c>
      <c r="GD9" s="27" t="s">
        <v>443</v>
      </c>
      <c r="GE9" s="27" t="s">
        <v>443</v>
      </c>
      <c r="GF9" s="27" t="s">
        <v>443</v>
      </c>
      <c r="GG9" s="27" t="s">
        <v>443</v>
      </c>
      <c r="GH9" s="27" t="s">
        <v>443</v>
      </c>
      <c r="GI9" s="27" t="s">
        <v>443</v>
      </c>
      <c r="GJ9" s="27" t="s">
        <v>443</v>
      </c>
      <c r="GK9" s="27" t="s">
        <v>443</v>
      </c>
      <c r="GL9" s="27" t="s">
        <v>443</v>
      </c>
      <c r="GM9" s="27" t="s">
        <v>443</v>
      </c>
      <c r="GN9" s="27" t="s">
        <v>443</v>
      </c>
      <c r="GO9" s="27" t="s">
        <v>443</v>
      </c>
      <c r="GP9" s="27" t="s">
        <v>443</v>
      </c>
      <c r="GQ9" s="27"/>
      <c r="HK9" s="1"/>
      <c r="HL9" s="1"/>
      <c r="HM9" s="1"/>
      <c r="HN9" s="1"/>
      <c r="IZ9" s="66"/>
      <c r="JB9" s="66"/>
      <c r="JD9" s="66"/>
      <c r="JF9" s="66"/>
      <c r="JH9" s="66"/>
      <c r="JJ9" s="66"/>
      <c r="JL9" s="66"/>
      <c r="JN9" s="66"/>
      <c r="JP9" s="66"/>
      <c r="JR9" s="66"/>
    </row>
    <row r="10" spans="1:278" ht="15.75" x14ac:dyDescent="0.25">
      <c r="A10" s="29" t="s">
        <v>63</v>
      </c>
      <c r="B10" s="29" t="s">
        <v>63</v>
      </c>
      <c r="C10" s="29" t="s">
        <v>689</v>
      </c>
      <c r="D10" s="29" t="s">
        <v>452</v>
      </c>
      <c r="E10" s="29" t="s">
        <v>452</v>
      </c>
      <c r="F10" s="29">
        <v>9</v>
      </c>
      <c r="G10" s="29" t="s">
        <v>686</v>
      </c>
      <c r="H10" s="30" t="s">
        <v>656</v>
      </c>
      <c r="I10" s="29">
        <v>150</v>
      </c>
      <c r="J10" s="29">
        <v>65</v>
      </c>
      <c r="K10" s="29">
        <v>5.95</v>
      </c>
      <c r="L10" s="32" t="s">
        <v>26</v>
      </c>
      <c r="M10" s="29" t="s">
        <v>1118</v>
      </c>
      <c r="N10" s="29" t="s">
        <v>688</v>
      </c>
      <c r="O10" s="29" t="s">
        <v>687</v>
      </c>
      <c r="P10" s="29" t="s">
        <v>1118</v>
      </c>
      <c r="Q10" s="29" t="s">
        <v>443</v>
      </c>
      <c r="R10" s="2" t="str">
        <f t="shared" si="0"/>
        <v>CW_0_Section_0</v>
      </c>
      <c r="S10" s="2" t="str">
        <f t="shared" si="1"/>
        <v>CW_0_INF</v>
      </c>
      <c r="T10" s="31" t="s">
        <v>691</v>
      </c>
      <c r="U10" s="33">
        <v>45518</v>
      </c>
      <c r="V10" s="29" t="s">
        <v>692</v>
      </c>
      <c r="W10" s="29" t="s">
        <v>1118</v>
      </c>
      <c r="X10" s="29" t="s">
        <v>690</v>
      </c>
      <c r="Y10" s="2" t="str">
        <f t="shared" si="2"/>
        <v>T0_INF</v>
      </c>
      <c r="Z10" s="2" t="str">
        <f t="shared" si="3"/>
        <v>T0_CW_0_INF</v>
      </c>
      <c r="AA10" s="2" t="str">
        <f t="shared" si="4"/>
        <v>T0_INF</v>
      </c>
      <c r="AB10" s="2">
        <v>1</v>
      </c>
      <c r="AC10" s="2">
        <v>3.2000000000000001E-2</v>
      </c>
      <c r="AD10" s="2">
        <v>-1.56</v>
      </c>
      <c r="AE10" s="2">
        <v>0</v>
      </c>
      <c r="AF10" s="32" t="s">
        <v>27</v>
      </c>
      <c r="AG10" t="s">
        <v>1237</v>
      </c>
      <c r="AH10" s="32">
        <v>65</v>
      </c>
      <c r="AI10" s="32">
        <v>26</v>
      </c>
      <c r="AJ10" s="32">
        <v>0.78</v>
      </c>
      <c r="AK10" s="32" t="s">
        <v>443</v>
      </c>
      <c r="AL10" s="32" t="s">
        <v>443</v>
      </c>
      <c r="AM10" s="32" t="s">
        <v>443</v>
      </c>
      <c r="AN10" s="32" t="s">
        <v>443</v>
      </c>
      <c r="AO10" s="32" t="s">
        <v>443</v>
      </c>
      <c r="AP10" s="32">
        <v>0.2</v>
      </c>
      <c r="AQ10" s="32" t="s">
        <v>443</v>
      </c>
      <c r="AR10" s="32">
        <v>14</v>
      </c>
      <c r="AS10" s="32">
        <v>15</v>
      </c>
      <c r="AT10" s="32">
        <v>690</v>
      </c>
      <c r="AU10" s="32">
        <f>($AT10/78110)*30</f>
        <v>0.26501088208936113</v>
      </c>
      <c r="AV10" s="32">
        <v>190</v>
      </c>
      <c r="AW10" s="32">
        <f t="shared" ref="AW10:AW41" si="5">($AV10/92140)*36</f>
        <v>7.4234859995658792E-2</v>
      </c>
      <c r="AX10" s="32">
        <v>910</v>
      </c>
      <c r="AY10" s="32">
        <f>($AX10/106170)*42</f>
        <v>0.35998869737213901</v>
      </c>
      <c r="AZ10" s="32">
        <v>330</v>
      </c>
      <c r="BA10" s="32">
        <f>($AZ10/106170)*42</f>
        <v>0.13054535179429219</v>
      </c>
      <c r="BB10" s="32">
        <v>590</v>
      </c>
      <c r="BC10" s="32">
        <f>($BB10/106170)*42</f>
        <v>0.23339926532918903</v>
      </c>
      <c r="BD10" s="32">
        <v>920</v>
      </c>
      <c r="BE10" s="32">
        <f>($BD10/106170)*42</f>
        <v>0.3639446171234812</v>
      </c>
      <c r="BF10" s="48">
        <v>2710</v>
      </c>
      <c r="BG10" s="48">
        <f>$AU10+$AW10+$AY10+$BE10</f>
        <v>1.06317905658064</v>
      </c>
      <c r="BH10" s="32">
        <v>5600</v>
      </c>
      <c r="BI10" s="32">
        <f>($BH10/128170)*48</f>
        <v>2.0972146368104863</v>
      </c>
      <c r="BJ10" s="47">
        <v>4900</v>
      </c>
      <c r="BK10" s="27">
        <f>($BJ10/128170)*48</f>
        <v>1.8350628072091753</v>
      </c>
      <c r="BL10" s="47">
        <v>1900</v>
      </c>
      <c r="BM10" s="27">
        <f>($BL10/152190)*56</f>
        <v>0.69912609238451928</v>
      </c>
      <c r="BN10" s="47">
        <v>2400</v>
      </c>
      <c r="BO10" s="27">
        <f>($BN10/154210)*58</f>
        <v>0.90266519680954549</v>
      </c>
      <c r="BP10" s="47">
        <v>2600</v>
      </c>
      <c r="BQ10" s="27">
        <f>($BP10/166220)*62</f>
        <v>0.96979906148477935</v>
      </c>
      <c r="BR10" s="47">
        <v>5100</v>
      </c>
      <c r="BS10" s="27">
        <f>($BR10/178230)*66</f>
        <v>1.8885709476519106</v>
      </c>
      <c r="BT10" s="47">
        <v>2300</v>
      </c>
      <c r="BU10" s="27">
        <f>($BT10/178230)*66</f>
        <v>0.8517084665881165</v>
      </c>
      <c r="BV10" s="47">
        <v>2200</v>
      </c>
      <c r="BW10" s="27">
        <f>($BV10/202250)*74</f>
        <v>0.80494437577255873</v>
      </c>
      <c r="BX10" s="47">
        <v>2800</v>
      </c>
      <c r="BY10" s="27">
        <f>($BX10/202250)*74</f>
        <v>1.0244746600741657</v>
      </c>
      <c r="BZ10" s="51">
        <f>$BJ10+$BL10+$BN10+$BP10+$BR10+$BT10+$BV10+$BX10</f>
        <v>24200</v>
      </c>
      <c r="CA10" s="51">
        <f>$BL10+$BN10+$BP10+$BR10+$BT10+$BV10+$BX10</f>
        <v>19300</v>
      </c>
      <c r="CB10" s="27">
        <f>$BK10+$BM10+$BO10+$BQ10+$BS10+$BU10+$BW10+$BY10</f>
        <v>8.9763516079747703</v>
      </c>
      <c r="CC10" s="27">
        <f>$BM10+$BO10+$BQ10+$BS10+$BU10+$BW10+$BY10</f>
        <v>7.1412888007655955</v>
      </c>
      <c r="CD10" s="32">
        <v>8600</v>
      </c>
      <c r="CE10" s="32">
        <v>4600</v>
      </c>
      <c r="CF10" s="32" t="s">
        <v>19</v>
      </c>
      <c r="CG10" s="32">
        <v>13000</v>
      </c>
      <c r="CH10" s="32">
        <v>0.3</v>
      </c>
      <c r="CI10" s="32">
        <f>$CH10/55.85</f>
        <v>5.3715308863025958E-3</v>
      </c>
      <c r="CJ10" s="32">
        <f>$CI10*1</f>
        <v>5.3715308863025958E-3</v>
      </c>
      <c r="CK10" s="32">
        <v>0.9</v>
      </c>
      <c r="CL10" s="32">
        <f>$CK10/54.93</f>
        <v>1.6384489350081924E-2</v>
      </c>
      <c r="CM10" s="32">
        <f>$CL10*2</f>
        <v>3.2768978700163848E-2</v>
      </c>
      <c r="CN10" s="32">
        <v>73</v>
      </c>
      <c r="CO10" s="32">
        <f>CN10/96.06</f>
        <v>0.75994170310222775</v>
      </c>
      <c r="CP10" s="32">
        <f>CO10*8</f>
        <v>6.079533624817822</v>
      </c>
      <c r="CQ10" s="57">
        <v>0</v>
      </c>
      <c r="CR10" s="57">
        <v>0</v>
      </c>
      <c r="CS10" s="57">
        <v>0</v>
      </c>
      <c r="CT10" s="57">
        <f>IF($CS10&lt;0, 0,  $CS10)</f>
        <v>0</v>
      </c>
      <c r="CU10" s="28">
        <v>0</v>
      </c>
      <c r="CV10" s="28">
        <v>0</v>
      </c>
      <c r="CW10" s="28">
        <v>0</v>
      </c>
      <c r="CX10" s="28">
        <f>IF($CW10&lt;0, 0,  $CW10)</f>
        <v>0</v>
      </c>
      <c r="CY10" s="32">
        <f>$CQ10*(55.84/96.06)</f>
        <v>0</v>
      </c>
      <c r="CZ10" s="32">
        <f>IF($CY10&lt;0, 0,  $CY10)</f>
        <v>0</v>
      </c>
      <c r="DA10" s="32">
        <f>$CH10+$CZ10</f>
        <v>0.3</v>
      </c>
      <c r="DB10" s="32">
        <f>$DA10/55.85</f>
        <v>5.3715308863025958E-3</v>
      </c>
      <c r="DC10" s="32">
        <f>$DB10*1</f>
        <v>5.3715308863025958E-3</v>
      </c>
      <c r="DD10" s="59">
        <f>$CU10*(55.84/96.06)</f>
        <v>0</v>
      </c>
      <c r="DE10" s="59">
        <f>IF($DD10&lt;0, 0,  $DD10)</f>
        <v>0</v>
      </c>
      <c r="DF10" s="59">
        <f>$CH10+$DE10</f>
        <v>0.3</v>
      </c>
      <c r="DG10" s="59">
        <f>$DF10/55.85</f>
        <v>5.3715308863025958E-3</v>
      </c>
      <c r="DH10" s="59">
        <f>$DG10*1</f>
        <v>5.3715308863025958E-3</v>
      </c>
      <c r="DI10" s="32">
        <f>$CP10</f>
        <v>6.079533624817822</v>
      </c>
      <c r="DJ10" s="32">
        <f>$CK10+$DF10</f>
        <v>1.2</v>
      </c>
      <c r="DK10" s="32">
        <f>$CM10+$DH10</f>
        <v>3.8140509586466441E-2</v>
      </c>
      <c r="DL10">
        <f>$DC10+$CM10+$CT10</f>
        <v>3.8140509586466441E-2</v>
      </c>
      <c r="DM10">
        <f t="shared" ref="DM10:DM41" si="6">$CM10/$DL10</f>
        <v>0.85916467964002774</v>
      </c>
      <c r="DN10">
        <f t="shared" ref="DN10:DN41" si="7">$DC10/$DL10</f>
        <v>0.14083532035997229</v>
      </c>
      <c r="DO10">
        <f t="shared" ref="DO10:DO41" si="8">$CT10/$DL10</f>
        <v>0</v>
      </c>
      <c r="DP10">
        <f>$DH10+$CM10+$CX10</f>
        <v>3.8140509586466441E-2</v>
      </c>
      <c r="DQ10">
        <f t="shared" ref="DQ10:DQ41" si="9">$CM10/$DP10</f>
        <v>0.85916467964002774</v>
      </c>
      <c r="DR10">
        <f t="shared" ref="DR10:DR41" si="10">$DH10/$DP10</f>
        <v>0.14083532035997229</v>
      </c>
      <c r="DS10">
        <f t="shared" ref="DS10:DS41" si="11">$CX10/$DP10</f>
        <v>0</v>
      </c>
      <c r="DT10" s="63">
        <f t="shared" ref="DT10:DT41" si="12">($BG10+$BI10)-$DL10</f>
        <v>3.1222531838046597</v>
      </c>
      <c r="DU10" s="63">
        <f t="shared" ref="DU10:DU41" si="13">($BG10+$BI10)-$DP10</f>
        <v>3.1222531838046597</v>
      </c>
      <c r="DV10" s="63">
        <f t="shared" ref="DV10:DV41" si="14">($BG10+$BI10+$CC10)-$DL10</f>
        <v>10.263541984570256</v>
      </c>
      <c r="DW10" s="63">
        <f>($BG10+$BI10+$CC10)-$DP10</f>
        <v>10.263541984570256</v>
      </c>
      <c r="DX10" t="str">
        <f>IF($DV10&lt;0, "Sufficient Capacity", "Insufficient Capacity")</f>
        <v>Insufficient Capacity</v>
      </c>
      <c r="DY10" t="str">
        <f>IF($DW10&lt;0, "Sufficient Capacity", "Insufficient Capacity")</f>
        <v>Insufficient Capacity</v>
      </c>
      <c r="DZ10" t="str">
        <f>IF(COUNT($DM10:$DO10)=0, "No Data", IF(MAX($DM10:$DO10)=$DO10, "Sulfate Dominant electron acceptor", IF(MAX($DM10:$DO10)=$DM10, "Iron Dominant electron acceptor", "Manganese Dominant electron acceptor")))</f>
        <v>Iron Dominant electron acceptor</v>
      </c>
      <c r="EA10" t="str">
        <f t="shared" ref="EA10:EA41" si="15">IF(COUNT($DQ10:$DS10)=0, "No Data", IF(MAX($DQ10:$DS10)=$DS10, "Sulfate Dominant electron acceptor", IF(MAX($DQ10:$DS10)=$DQ10, "Iron Dominant electron acceptor", "Manganese Dominant electron acceptor")))</f>
        <v>Iron Dominant electron acceptor</v>
      </c>
      <c r="EB10">
        <v>8.7954639999999994E-3</v>
      </c>
      <c r="EC10">
        <v>1.3249410000000001E-3</v>
      </c>
      <c r="ED10" s="66">
        <v>6.0254260000000002E-6</v>
      </c>
      <c r="EE10">
        <v>4.9019120000000002E-4</v>
      </c>
      <c r="EF10">
        <v>4.4075620000000003E-3</v>
      </c>
      <c r="EG10" s="66">
        <v>2.0354960000000001E-5</v>
      </c>
      <c r="EH10">
        <v>2.608067E-4</v>
      </c>
      <c r="EI10">
        <v>1.408045E-4</v>
      </c>
      <c r="EJ10">
        <v>5.2633409999999997E-4</v>
      </c>
      <c r="EK10">
        <v>8.5317659999999997E-4</v>
      </c>
      <c r="EL10">
        <v>4.4779869999999998E-4</v>
      </c>
      <c r="EM10">
        <v>2.1326099999999999E-4</v>
      </c>
      <c r="EN10">
        <v>2.1346830000000001E-3</v>
      </c>
      <c r="EO10">
        <v>9.7166549999999998E-4</v>
      </c>
      <c r="EP10">
        <v>1.754128E-3</v>
      </c>
      <c r="EQ10">
        <v>1.278829E-3</v>
      </c>
      <c r="ER10">
        <v>3.597505E-4</v>
      </c>
      <c r="ES10">
        <v>6.389837E-4</v>
      </c>
      <c r="ET10">
        <v>1.3268250000000001E-2</v>
      </c>
      <c r="EU10">
        <v>2.7590100000000001E-3</v>
      </c>
      <c r="EV10">
        <v>9.8783880000000001E-3</v>
      </c>
      <c r="EW10">
        <v>5.1645770000000003E-4</v>
      </c>
      <c r="EX10">
        <v>4.7436249999999996E-3</v>
      </c>
      <c r="EY10">
        <v>6.1206070000000001E-3</v>
      </c>
      <c r="EZ10">
        <v>1.2325610000000001E-3</v>
      </c>
      <c r="FA10">
        <v>7.8514990000000005E-4</v>
      </c>
      <c r="FB10">
        <v>8.1327679999999999E-4</v>
      </c>
      <c r="FC10">
        <v>1.726801E-3</v>
      </c>
      <c r="FD10">
        <v>3.1290259999999998E-4</v>
      </c>
      <c r="FE10">
        <v>2.3077830000000001E-2</v>
      </c>
      <c r="FF10">
        <v>1.400028E-2</v>
      </c>
      <c r="FG10">
        <v>7.782855E-3</v>
      </c>
      <c r="FH10">
        <v>5.5808340000000004E-4</v>
      </c>
      <c r="FI10">
        <v>1.284093E-3</v>
      </c>
      <c r="FJ10">
        <v>1.1076310000000001E-2</v>
      </c>
      <c r="FK10">
        <v>-0.15560179919047001</v>
      </c>
      <c r="FL10">
        <v>-4.2823417959109399E-2</v>
      </c>
      <c r="FM10">
        <v>0.52154198413304598</v>
      </c>
      <c r="FN10">
        <v>-0.12979263524526699</v>
      </c>
      <c r="FO10">
        <v>0.57319142833589498</v>
      </c>
      <c r="FP10">
        <v>0.17394917789403799</v>
      </c>
      <c r="FQ10">
        <v>0.17067446164647301</v>
      </c>
      <c r="FR10">
        <v>-1.7327073225627199E-2</v>
      </c>
      <c r="FS10">
        <v>-0.18710324601651601</v>
      </c>
      <c r="FT10">
        <v>4.8546894818340298E-2</v>
      </c>
      <c r="FU10">
        <v>0.17422770885184299</v>
      </c>
      <c r="FV10">
        <v>-0.188690299405676</v>
      </c>
      <c r="FW10">
        <v>5.6749738192892502E-2</v>
      </c>
      <c r="FX10">
        <v>-9.6379454072621107E-2</v>
      </c>
      <c r="FY10">
        <v>-8.5851051028559902E-2</v>
      </c>
      <c r="FZ10">
        <v>0.42436709767238301</v>
      </c>
      <c r="GA10">
        <v>-3.8810552484420699E-3</v>
      </c>
      <c r="GB10">
        <v>0.111100463134855</v>
      </c>
      <c r="GC10">
        <v>-0.22154348935698401</v>
      </c>
      <c r="GD10">
        <v>-4.7574827135509402E-2</v>
      </c>
      <c r="GE10">
        <v>-0.10124663234976999</v>
      </c>
      <c r="GF10">
        <v>-3.3066693226881001E-2</v>
      </c>
      <c r="GG10">
        <v>-0.18616194333512501</v>
      </c>
      <c r="GH10">
        <v>-0.19516247908695</v>
      </c>
      <c r="GI10">
        <v>-8.1550044274289996E-2</v>
      </c>
      <c r="GJ10">
        <v>-0.13228801612538399</v>
      </c>
      <c r="GK10">
        <v>-1.0635289671244099E-2</v>
      </c>
      <c r="GL10">
        <v>-6.5626150043398099E-2</v>
      </c>
      <c r="GM10">
        <v>-8.0283682971798803E-2</v>
      </c>
      <c r="GN10">
        <v>-0.35126327443966499</v>
      </c>
      <c r="GO10">
        <v>-0.111761253868274</v>
      </c>
      <c r="GP10">
        <v>4.4716138996734302E-2</v>
      </c>
      <c r="GV10" s="65"/>
      <c r="GY10" s="65"/>
      <c r="GZ10" s="65"/>
      <c r="HK10" s="1"/>
      <c r="HL10" s="1"/>
      <c r="HM10" s="65"/>
      <c r="HN10" s="1"/>
      <c r="IX10" s="66"/>
      <c r="IZ10" s="66"/>
      <c r="JB10" s="66"/>
      <c r="JD10" s="66"/>
      <c r="JF10" s="66"/>
      <c r="JH10" s="66"/>
      <c r="JJ10" s="66"/>
      <c r="JL10" s="66"/>
      <c r="JN10" s="66"/>
      <c r="JO10" s="66"/>
      <c r="JP10" s="66"/>
      <c r="JQ10" s="66"/>
      <c r="JR10" s="66"/>
    </row>
    <row r="11" spans="1:278" ht="15.75" x14ac:dyDescent="0.25">
      <c r="A11" s="2" t="s">
        <v>64</v>
      </c>
      <c r="B11" s="2" t="s">
        <v>64</v>
      </c>
      <c r="C11" s="2" t="s">
        <v>695</v>
      </c>
      <c r="D11" s="2" t="s">
        <v>453</v>
      </c>
      <c r="E11" s="2" t="s">
        <v>453</v>
      </c>
      <c r="F11" s="2">
        <v>10</v>
      </c>
      <c r="G11" s="2" t="s">
        <v>693</v>
      </c>
      <c r="H11" s="10" t="s">
        <v>656</v>
      </c>
      <c r="I11" s="2">
        <v>150</v>
      </c>
      <c r="J11" s="2">
        <v>65</v>
      </c>
      <c r="K11" s="2">
        <v>5.5</v>
      </c>
      <c r="L11" t="s">
        <v>17</v>
      </c>
      <c r="M11" s="2" t="s">
        <v>1119</v>
      </c>
      <c r="N11" s="2" t="s">
        <v>435</v>
      </c>
      <c r="O11" s="2" t="s">
        <v>694</v>
      </c>
      <c r="P11" s="2" t="s">
        <v>1119</v>
      </c>
      <c r="Q11" s="2" t="s">
        <v>443</v>
      </c>
      <c r="R11" s="2" t="str">
        <f t="shared" si="0"/>
        <v>CW_1_Section_5</v>
      </c>
      <c r="S11" s="2" t="str">
        <f t="shared" si="1"/>
        <v>CW_1_EFF</v>
      </c>
      <c r="T11" s="11" t="s">
        <v>691</v>
      </c>
      <c r="U11" s="1">
        <v>45516</v>
      </c>
      <c r="V11" s="2" t="s">
        <v>692</v>
      </c>
      <c r="W11" s="2" t="s">
        <v>1119</v>
      </c>
      <c r="X11" s="2" t="s">
        <v>690</v>
      </c>
      <c r="Y11" s="2" t="str">
        <f t="shared" si="2"/>
        <v>T0_EFF</v>
      </c>
      <c r="Z11" s="2" t="str">
        <f t="shared" si="3"/>
        <v>T0_CW_1_EFF</v>
      </c>
      <c r="AA11" s="2" t="str">
        <f t="shared" si="4"/>
        <v>T0_EFF</v>
      </c>
      <c r="AB11" s="2">
        <v>1</v>
      </c>
      <c r="AC11" s="2">
        <v>3.2000000000000001E-2</v>
      </c>
      <c r="AD11" s="2">
        <v>-1.56</v>
      </c>
      <c r="AE11" s="2">
        <v>0</v>
      </c>
      <c r="AF11" t="s">
        <v>18</v>
      </c>
      <c r="AG11" t="s">
        <v>1237</v>
      </c>
      <c r="AH11">
        <v>44</v>
      </c>
      <c r="AI11">
        <v>12</v>
      </c>
      <c r="AJ11">
        <v>0.93</v>
      </c>
      <c r="AK11">
        <v>4.0199999999999996</v>
      </c>
      <c r="AL11">
        <v>23</v>
      </c>
      <c r="AM11">
        <v>-83</v>
      </c>
      <c r="AN11">
        <v>7</v>
      </c>
      <c r="AO11">
        <v>785</v>
      </c>
      <c r="AP11">
        <v>0.1</v>
      </c>
      <c r="AQ11" t="s">
        <v>443</v>
      </c>
      <c r="AR11">
        <v>17</v>
      </c>
      <c r="AS11">
        <v>17</v>
      </c>
      <c r="AT11">
        <v>150</v>
      </c>
      <c r="AU11" s="32">
        <f t="shared" ref="AU11:AU74" si="16">($AT11/78110)*30</f>
        <v>5.7611061323774165E-2</v>
      </c>
      <c r="AV11">
        <v>21</v>
      </c>
      <c r="AW11" s="32">
        <f t="shared" si="5"/>
        <v>8.2049055784675501E-3</v>
      </c>
      <c r="AX11">
        <v>110</v>
      </c>
      <c r="AY11" s="32">
        <f t="shared" ref="AY11:AY74" si="17">($AX11/106170)*42</f>
        <v>4.3515117264764057E-2</v>
      </c>
      <c r="AZ11">
        <v>43</v>
      </c>
      <c r="BA11" s="32">
        <f t="shared" ref="BA11:BA74" si="18">($AZ11/106170)*42</f>
        <v>1.7010454930771402E-2</v>
      </c>
      <c r="BB11">
        <v>35</v>
      </c>
      <c r="BC11" s="32">
        <f t="shared" ref="BC11:BC74" si="19">($BB11/106170)*42</f>
        <v>1.3845719129697655E-2</v>
      </c>
      <c r="BD11">
        <v>78</v>
      </c>
      <c r="BF11" s="48">
        <v>359</v>
      </c>
      <c r="BG11" s="48">
        <f t="shared" ref="BG11:BG74" si="20">$AU11+$AW11+$AY11+$BE11</f>
        <v>0.10933108416700577</v>
      </c>
      <c r="BH11">
        <v>410</v>
      </c>
      <c r="BI11" s="32">
        <f t="shared" ref="BI11:BI74" si="21">($BH11/128170)*48</f>
        <v>0.15354607162362488</v>
      </c>
      <c r="BJ11" s="47">
        <v>160</v>
      </c>
      <c r="BK11" s="27">
        <f t="shared" ref="BK11:BK74" si="22">($BJ11/128170)*48</f>
        <v>5.9920418194585309E-2</v>
      </c>
      <c r="BL11" s="47">
        <v>1.6</v>
      </c>
      <c r="BM11" s="27">
        <f t="shared" ref="BM11:BM74" si="23">($BL11/152190)*56</f>
        <v>5.8873776200801635E-4</v>
      </c>
      <c r="BN11" s="47">
        <v>6.1</v>
      </c>
      <c r="BO11" s="27">
        <f t="shared" ref="BO11:BO74" si="24">($BN11/154210)*58</f>
        <v>2.294274041890928E-3</v>
      </c>
      <c r="BP11" s="47">
        <v>1.3</v>
      </c>
      <c r="BQ11" s="27">
        <f t="shared" ref="BQ11:BQ74" si="25">($BP11/166220)*62</f>
        <v>4.8489953074238966E-4</v>
      </c>
      <c r="BR11" s="47">
        <v>0.73</v>
      </c>
      <c r="BS11" s="27">
        <f t="shared" ref="BS11:BS74" si="26">($BR11/178230)*66</f>
        <v>2.7032486113448914E-4</v>
      </c>
      <c r="BT11" s="47">
        <v>0.08</v>
      </c>
      <c r="BU11" s="27">
        <f t="shared" ref="BU11:BU74" si="27">($BT11/178230)*66</f>
        <v>2.9624642316108399E-5</v>
      </c>
      <c r="BV11" s="47">
        <v>0.04</v>
      </c>
      <c r="BW11" s="27">
        <f t="shared" ref="BW11:BW74" si="28">($BV11/202250)*74</f>
        <v>1.4635352286773795E-5</v>
      </c>
      <c r="BX11" s="47">
        <v>0.03</v>
      </c>
      <c r="BY11" s="27">
        <f t="shared" ref="BY11:BY74" si="29">($BX11/202250)*74</f>
        <v>1.0976514215080345E-5</v>
      </c>
      <c r="BZ11" s="51">
        <f t="shared" ref="BZ11:BZ74" si="30">$BJ11+$BL11+$BN11+$BP11+$BR11+$BT11+$BV11+$BX11</f>
        <v>169.88</v>
      </c>
      <c r="CA11" s="51">
        <f t="shared" ref="CA11:CA74" si="31">$BL11+$BN11+$BP11+$BR11+$BT11+$BV11+$BX11</f>
        <v>9.879999999999999</v>
      </c>
      <c r="CB11" s="27">
        <f t="shared" ref="CB11:CB74" si="32">$BK11+$BM11+$BO11+$BQ11+$BS11+$BU11+$BW11+$BY11</f>
        <v>6.3613890899179099E-2</v>
      </c>
      <c r="CC11" s="27">
        <f t="shared" ref="CC11:CC74" si="33">$BM11+$BO11+$BQ11+$BS11+$BU11+$BW11+$BY11</f>
        <v>3.6934727045937858E-3</v>
      </c>
      <c r="CD11">
        <v>430</v>
      </c>
      <c r="CE11">
        <v>50</v>
      </c>
      <c r="CF11" t="s">
        <v>19</v>
      </c>
      <c r="CG11">
        <v>480</v>
      </c>
      <c r="CH11" s="32">
        <v>5.3</v>
      </c>
      <c r="CI11" s="32">
        <f t="shared" ref="CI11:CI74" si="34">$CH11/55.85</f>
        <v>9.4897045658012533E-2</v>
      </c>
      <c r="CJ11" s="32">
        <f t="shared" ref="CJ11:CJ74" si="35">$CI11*1</f>
        <v>9.4897045658012533E-2</v>
      </c>
      <c r="CK11" s="32">
        <v>3.8</v>
      </c>
      <c r="CL11" s="32">
        <f t="shared" ref="CL11:CL74" si="36">$CK11/54.93</f>
        <v>6.9178955033679226E-2</v>
      </c>
      <c r="CM11" s="32">
        <f t="shared" ref="CM11:CM74" si="37">$CL11*2</f>
        <v>0.13835791006735845</v>
      </c>
      <c r="CN11" s="27">
        <v>36</v>
      </c>
      <c r="CO11" s="27">
        <f t="shared" ref="CO11:CO74" si="38">CN11/96.06</f>
        <v>0.37476577139287942</v>
      </c>
      <c r="CP11" s="27">
        <f t="shared" ref="CP11:CP74" si="39">CO11*8</f>
        <v>2.9981261711430354</v>
      </c>
      <c r="CQ11" s="57">
        <v>37</v>
      </c>
      <c r="CR11" s="57">
        <v>50.684931506849317</v>
      </c>
      <c r="CS11" s="57">
        <v>3.0814074536747866</v>
      </c>
      <c r="CT11" s="57">
        <f t="shared" ref="CT11:CT74" si="40">IF($CS11&lt;0, 0,  $CS11)</f>
        <v>3.0814074536747866</v>
      </c>
      <c r="CU11" s="28">
        <v>3</v>
      </c>
      <c r="CV11" s="28">
        <v>7.6923076923076925</v>
      </c>
      <c r="CW11" s="28">
        <v>0.24984384759525297</v>
      </c>
      <c r="CX11" s="28">
        <f t="shared" ref="CX11:CX74" si="41">IF($CW11&lt;0, 0,  $CW11)</f>
        <v>0.24984384759525297</v>
      </c>
      <c r="CY11" s="32">
        <f t="shared" ref="CY11:CY74" si="42">$CQ11*(55.84/96.06)</f>
        <v>21.508224026650009</v>
      </c>
      <c r="CZ11" s="32">
        <f t="shared" ref="CZ11:CZ74" si="43">IF($CY11&lt;0, 0,  $CY11)</f>
        <v>21.508224026650009</v>
      </c>
      <c r="DA11" s="32">
        <f t="shared" ref="DA11:DA74" si="44">$CH11+$CZ11</f>
        <v>26.808224026650009</v>
      </c>
      <c r="DB11" s="32">
        <f t="shared" ref="DB11:DB74" si="45">$DA11/55.85</f>
        <v>0.4800040112202329</v>
      </c>
      <c r="DC11" s="32">
        <f t="shared" ref="DC11:DC74" si="46">$DB11*1</f>
        <v>0.4800040112202329</v>
      </c>
      <c r="DD11" s="59">
        <f t="shared" ref="DD11:DD74" si="47">$CU11*(55.84/96.06)</f>
        <v>1.7439100562148657</v>
      </c>
      <c r="DE11" s="59">
        <f t="shared" ref="DE11:DE74" si="48">IF($DD11&lt;0, 0,  $DD11)</f>
        <v>1.7439100562148657</v>
      </c>
      <c r="DF11" s="59">
        <f t="shared" ref="DF11:DF74" si="49">$CH11+$DE11</f>
        <v>7.043910056214866</v>
      </c>
      <c r="DG11" s="59">
        <f t="shared" ref="DG11:DG74" si="50">$DF11/55.85</f>
        <v>0.12612193475765202</v>
      </c>
      <c r="DH11" s="59">
        <f t="shared" ref="DH11:DH74" si="51">$DG11*1</f>
        <v>0.12612193475765202</v>
      </c>
      <c r="DI11" s="32">
        <f t="shared" ref="DI11:DI74" si="52">$CP11</f>
        <v>2.9981261711430354</v>
      </c>
      <c r="DJ11" s="32">
        <f t="shared" ref="DJ11:DJ74" si="53">$CK11+$DF11</f>
        <v>10.843910056214867</v>
      </c>
      <c r="DK11" s="32">
        <f t="shared" ref="DK11:DK74" si="54">$CM11+$DH11</f>
        <v>0.26447984482501047</v>
      </c>
      <c r="DL11">
        <f>$DC11+$CM11+$CT11</f>
        <v>3.6997693749623779</v>
      </c>
      <c r="DM11">
        <f t="shared" si="6"/>
        <v>3.7396360703906138E-2</v>
      </c>
      <c r="DN11">
        <f t="shared" si="7"/>
        <v>0.12973890061055871</v>
      </c>
      <c r="DO11">
        <f t="shared" si="8"/>
        <v>0.83286473868553512</v>
      </c>
      <c r="DP11">
        <f t="shared" ref="DP11:DP74" si="55">$DH11+$CM11+$CX11</f>
        <v>0.51432369242026343</v>
      </c>
      <c r="DQ11">
        <f t="shared" si="9"/>
        <v>0.26900940420668712</v>
      </c>
      <c r="DR11">
        <f t="shared" si="10"/>
        <v>0.24521898682939816</v>
      </c>
      <c r="DS11">
        <f t="shared" si="11"/>
        <v>0.48577160896391475</v>
      </c>
      <c r="DT11" s="63">
        <f t="shared" si="12"/>
        <v>-3.4368922191717473</v>
      </c>
      <c r="DU11" s="63">
        <f t="shared" si="13"/>
        <v>-0.25144653662963279</v>
      </c>
      <c r="DV11" s="63">
        <f t="shared" si="14"/>
        <v>-3.4331987464671534</v>
      </c>
      <c r="DW11" s="63">
        <f t="shared" ref="DW11:DW41" si="56">($BG11+$BI11+$CC11)-$DP11</f>
        <v>-0.24775306392503899</v>
      </c>
      <c r="DX11" t="str">
        <f t="shared" ref="DX11:DX74" si="57">IF(DV11&lt;0, "Sufficient Capacity", "Insufficient Capacity")</f>
        <v>Sufficient Capacity</v>
      </c>
      <c r="DY11" t="str">
        <f t="shared" ref="DY11:DY74" si="58">IF($DW11&lt;0, "Sufficient Capacity", "Insufficient Capacity")</f>
        <v>Sufficient Capacity</v>
      </c>
      <c r="DZ11" t="str">
        <f t="shared" ref="DZ11:DZ74" si="59">IF(COUNT($DM11:$DO11)=0, "No Data", IF(MAX($DM11:$DO11)=$DO11, "Sulfate Dominant electron acceptor", IF(MAX($DM11:$DO11)=$DM11, "Iron Dominant electron acceptor", "Manganese Dominant electron acceptor")))</f>
        <v>Sulfate Dominant electron acceptor</v>
      </c>
      <c r="EA11" t="str">
        <f t="shared" si="15"/>
        <v>Sulfate Dominant electron acceptor</v>
      </c>
      <c r="EB11">
        <v>8.8388900000000003E-3</v>
      </c>
      <c r="EC11">
        <v>1.248201E-3</v>
      </c>
      <c r="ED11" s="66">
        <v>2.7697980000000001E-6</v>
      </c>
      <c r="EE11">
        <v>3.9931089999999998E-4</v>
      </c>
      <c r="EF11">
        <v>3.5852309999999999E-3</v>
      </c>
      <c r="EG11" s="66">
        <v>4.255304E-5</v>
      </c>
      <c r="EH11">
        <v>1.8429810000000001E-4</v>
      </c>
      <c r="EI11">
        <v>1.3321780000000001E-4</v>
      </c>
      <c r="EJ11">
        <v>5.2941960000000004E-4</v>
      </c>
      <c r="EK11">
        <v>8.5326670000000001E-4</v>
      </c>
      <c r="EL11">
        <v>3.7656069999999998E-4</v>
      </c>
      <c r="EM11">
        <v>1.7359760000000001E-4</v>
      </c>
      <c r="EN11">
        <v>2.0805810000000002E-3</v>
      </c>
      <c r="EO11">
        <v>9.0633049999999996E-4</v>
      </c>
      <c r="EP11">
        <v>1.5307350000000001E-3</v>
      </c>
      <c r="EQ11">
        <v>1.427127E-3</v>
      </c>
      <c r="ER11">
        <v>2.8170099999999998E-4</v>
      </c>
      <c r="ES11">
        <v>5.6899330000000005E-4</v>
      </c>
      <c r="ET11">
        <v>1.6346280000000001E-2</v>
      </c>
      <c r="EU11">
        <v>3.1197489999999998E-3</v>
      </c>
      <c r="EV11">
        <v>1.0305979999999999E-2</v>
      </c>
      <c r="EW11">
        <v>4.5525189999999998E-4</v>
      </c>
      <c r="EX11">
        <v>4.748904E-3</v>
      </c>
      <c r="EY11">
        <v>6.0432619999999998E-3</v>
      </c>
      <c r="EZ11">
        <v>1.111038E-3</v>
      </c>
      <c r="FA11">
        <v>6.7283749999999998E-4</v>
      </c>
      <c r="FB11">
        <v>6.8740700000000001E-4</v>
      </c>
      <c r="FC11">
        <v>1.6541609999999999E-3</v>
      </c>
      <c r="FD11">
        <v>4.2164200000000001E-4</v>
      </c>
      <c r="FE11">
        <v>2.0430520000000001E-2</v>
      </c>
      <c r="FF11">
        <v>1.235756E-2</v>
      </c>
      <c r="FG11">
        <v>6.5654290000000002E-3</v>
      </c>
      <c r="FH11">
        <v>5.5564739999999996E-4</v>
      </c>
      <c r="FI11">
        <v>1.2039850000000001E-3</v>
      </c>
      <c r="FJ11">
        <v>9.555872E-3</v>
      </c>
      <c r="FK11">
        <v>-0.36065700679926299</v>
      </c>
      <c r="FL11">
        <v>-0.249322212959254</v>
      </c>
      <c r="FM11">
        <v>1.2589686651248599</v>
      </c>
      <c r="FN11">
        <v>-0.47701759980754099</v>
      </c>
      <c r="FO11">
        <v>0.51780440770714198</v>
      </c>
      <c r="FP11">
        <v>0.17979430784207501</v>
      </c>
      <c r="FQ11">
        <v>0.170780061404852</v>
      </c>
      <c r="FR11">
        <v>-0.190591618279672</v>
      </c>
      <c r="FS11">
        <v>-0.39288003646154601</v>
      </c>
      <c r="FT11">
        <v>2.2875918545223899E-2</v>
      </c>
      <c r="FU11">
        <v>0.104620129232343</v>
      </c>
      <c r="FV11">
        <v>-0.32491415453794098</v>
      </c>
      <c r="FW11">
        <v>0.16646825516861699</v>
      </c>
      <c r="FX11">
        <v>-0.34094396494141699</v>
      </c>
      <c r="FY11">
        <v>-0.20186133746047699</v>
      </c>
      <c r="FZ11">
        <v>0.63299348295790003</v>
      </c>
      <c r="GA11">
        <v>0.118999574888616</v>
      </c>
      <c r="GB11">
        <v>0.15347543186854701</v>
      </c>
      <c r="GC11">
        <v>-0.34768598504661502</v>
      </c>
      <c r="GD11">
        <v>-4.6462583908395402E-2</v>
      </c>
      <c r="GE11">
        <v>-0.11396397457361999</v>
      </c>
      <c r="GF11">
        <v>-0.13686609834455299</v>
      </c>
      <c r="GG11">
        <v>-0.340532753978807</v>
      </c>
      <c r="GH11">
        <v>-0.363307450430288</v>
      </c>
      <c r="GI11">
        <v>-0.124526676432533</v>
      </c>
      <c r="GJ11">
        <v>0.165976636629008</v>
      </c>
      <c r="GK11">
        <v>-0.132477844822528</v>
      </c>
      <c r="GL11">
        <v>-0.19043545792046801</v>
      </c>
      <c r="GM11">
        <v>-0.25038906827288698</v>
      </c>
      <c r="GN11">
        <v>-0.35563776760200799</v>
      </c>
      <c r="GO11">
        <v>-0.176176998082406</v>
      </c>
      <c r="GP11">
        <v>-0.10293661971576699</v>
      </c>
      <c r="GR11" s="66"/>
      <c r="GT11" s="66"/>
      <c r="GV11" s="66"/>
      <c r="HK11" s="1"/>
      <c r="HL11" s="1"/>
      <c r="HM11" s="65"/>
      <c r="HN11" s="1"/>
      <c r="HO11" s="65"/>
      <c r="HP11" s="65"/>
      <c r="HQ11" s="65"/>
      <c r="HS11" s="65"/>
      <c r="HV11" s="65"/>
      <c r="HW11" s="65"/>
      <c r="HX11" s="65"/>
      <c r="JH11" s="66"/>
      <c r="JJ11" s="66"/>
      <c r="JL11" s="66"/>
      <c r="JN11" s="66"/>
    </row>
    <row r="12" spans="1:278" ht="15.75" x14ac:dyDescent="0.25">
      <c r="A12" s="2" t="s">
        <v>65</v>
      </c>
      <c r="B12" s="2" t="s">
        <v>65</v>
      </c>
      <c r="C12" s="2" t="s">
        <v>697</v>
      </c>
      <c r="D12" s="2" t="s">
        <v>454</v>
      </c>
      <c r="E12" s="2" t="s">
        <v>454</v>
      </c>
      <c r="F12" s="2">
        <v>11</v>
      </c>
      <c r="G12" s="2" t="s">
        <v>696</v>
      </c>
      <c r="H12" s="10" t="s">
        <v>656</v>
      </c>
      <c r="I12" s="2">
        <v>150</v>
      </c>
      <c r="J12" s="2">
        <v>65</v>
      </c>
      <c r="K12" s="2">
        <v>16.05</v>
      </c>
      <c r="L12" t="s">
        <v>38</v>
      </c>
      <c r="M12" s="2" t="s">
        <v>1119</v>
      </c>
      <c r="N12" s="2" t="s">
        <v>436</v>
      </c>
      <c r="O12" s="2" t="s">
        <v>694</v>
      </c>
      <c r="P12" s="2" t="s">
        <v>1119</v>
      </c>
      <c r="Q12" s="2" t="s">
        <v>443</v>
      </c>
      <c r="R12" s="2" t="str">
        <f t="shared" si="0"/>
        <v>CW_2_Section_5</v>
      </c>
      <c r="S12" s="2" t="str">
        <f t="shared" si="1"/>
        <v>CW_2_EFF</v>
      </c>
      <c r="T12" s="11" t="s">
        <v>691</v>
      </c>
      <c r="U12" s="1">
        <v>45518</v>
      </c>
      <c r="V12" s="2" t="s">
        <v>692</v>
      </c>
      <c r="W12" s="2" t="s">
        <v>1119</v>
      </c>
      <c r="X12" s="2" t="s">
        <v>690</v>
      </c>
      <c r="Y12" s="2" t="str">
        <f t="shared" si="2"/>
        <v>T0_EFF</v>
      </c>
      <c r="Z12" s="2" t="str">
        <f t="shared" si="3"/>
        <v>T0_CW_2_EFF</v>
      </c>
      <c r="AA12" s="2" t="str">
        <f t="shared" si="4"/>
        <v>T0_EFF</v>
      </c>
      <c r="AB12" s="2">
        <v>1</v>
      </c>
      <c r="AC12" s="2">
        <v>3.2000000000000001E-2</v>
      </c>
      <c r="AD12" s="2">
        <v>-1.56</v>
      </c>
      <c r="AE12" s="2">
        <v>0</v>
      </c>
      <c r="AF12" t="s">
        <v>39</v>
      </c>
      <c r="AG12" t="s">
        <v>1237</v>
      </c>
      <c r="AH12">
        <v>62</v>
      </c>
      <c r="AI12">
        <v>22</v>
      </c>
      <c r="AJ12">
        <v>0.84</v>
      </c>
      <c r="AK12">
        <v>0.75</v>
      </c>
      <c r="AL12">
        <v>24</v>
      </c>
      <c r="AM12">
        <v>-146</v>
      </c>
      <c r="AN12">
        <v>6.88</v>
      </c>
      <c r="AO12">
        <v>704</v>
      </c>
      <c r="AP12">
        <v>0.3</v>
      </c>
      <c r="AQ12" t="s">
        <v>443</v>
      </c>
      <c r="AR12">
        <v>13</v>
      </c>
      <c r="AS12">
        <v>13</v>
      </c>
      <c r="AT12">
        <v>680</v>
      </c>
      <c r="AU12" s="32">
        <f t="shared" si="16"/>
        <v>0.26117014466777622</v>
      </c>
      <c r="AV12">
        <v>63</v>
      </c>
      <c r="AW12" s="32">
        <f t="shared" si="5"/>
        <v>2.4614716735402647E-2</v>
      </c>
      <c r="AX12">
        <v>370</v>
      </c>
      <c r="AY12" s="32">
        <f t="shared" si="17"/>
        <v>0.14636903079966093</v>
      </c>
      <c r="AZ12">
        <v>150</v>
      </c>
      <c r="BA12" s="32">
        <f t="shared" si="18"/>
        <v>5.9338796270132804E-2</v>
      </c>
      <c r="BB12">
        <v>200</v>
      </c>
      <c r="BC12" s="32">
        <f t="shared" si="19"/>
        <v>7.9118395026843744E-2</v>
      </c>
      <c r="BD12">
        <v>350</v>
      </c>
      <c r="BF12" s="48">
        <v>1463</v>
      </c>
      <c r="BG12" s="48">
        <f t="shared" si="20"/>
        <v>0.43215389220283984</v>
      </c>
      <c r="BH12">
        <v>1400</v>
      </c>
      <c r="BI12" s="32">
        <f t="shared" si="21"/>
        <v>0.52430365920262156</v>
      </c>
      <c r="BJ12" s="47">
        <v>510</v>
      </c>
      <c r="BK12" s="27">
        <f t="shared" si="22"/>
        <v>0.19099633299524069</v>
      </c>
      <c r="BL12" s="47">
        <v>4</v>
      </c>
      <c r="BM12" s="27">
        <f t="shared" si="23"/>
        <v>1.4718444050200407E-3</v>
      </c>
      <c r="BN12" s="47">
        <v>4</v>
      </c>
      <c r="BO12" s="27">
        <f t="shared" si="24"/>
        <v>1.5044419946825757E-3</v>
      </c>
      <c r="BP12" s="47">
        <v>1.6</v>
      </c>
      <c r="BQ12" s="27">
        <f t="shared" si="25"/>
        <v>5.9679942245217184E-4</v>
      </c>
      <c r="BR12" s="47">
        <v>0.13</v>
      </c>
      <c r="BS12" s="27">
        <f t="shared" si="26"/>
        <v>4.8140043763676151E-5</v>
      </c>
      <c r="BT12" s="47">
        <v>0.02</v>
      </c>
      <c r="BU12" s="27">
        <f t="shared" si="27"/>
        <v>7.4061605790270997E-6</v>
      </c>
      <c r="BV12" s="47">
        <v>0.04</v>
      </c>
      <c r="BW12" s="27">
        <f t="shared" si="28"/>
        <v>1.4635352286773795E-5</v>
      </c>
      <c r="BX12" s="47">
        <v>2E-3</v>
      </c>
      <c r="BY12" s="27">
        <f t="shared" si="29"/>
        <v>7.3176761433868969E-7</v>
      </c>
      <c r="BZ12" s="51">
        <f t="shared" si="30"/>
        <v>519.79199999999992</v>
      </c>
      <c r="CA12" s="51">
        <f t="shared" si="31"/>
        <v>9.7919999999999998</v>
      </c>
      <c r="CB12" s="27">
        <f t="shared" si="32"/>
        <v>0.19464033214163931</v>
      </c>
      <c r="CC12" s="27">
        <f t="shared" si="33"/>
        <v>3.6439991463986039E-3</v>
      </c>
      <c r="CD12">
        <v>2000</v>
      </c>
      <c r="CE12">
        <v>220</v>
      </c>
      <c r="CF12" t="s">
        <v>19</v>
      </c>
      <c r="CG12">
        <v>2200</v>
      </c>
      <c r="CH12" s="32">
        <v>6.3</v>
      </c>
      <c r="CI12" s="32">
        <f t="shared" si="34"/>
        <v>0.11280214861235452</v>
      </c>
      <c r="CJ12" s="32">
        <f t="shared" si="35"/>
        <v>0.11280214861235452</v>
      </c>
      <c r="CK12" s="32">
        <v>3.7</v>
      </c>
      <c r="CL12" s="32">
        <f t="shared" si="36"/>
        <v>6.7358456217003468E-2</v>
      </c>
      <c r="CM12" s="32">
        <f t="shared" si="37"/>
        <v>0.13471691243400694</v>
      </c>
      <c r="CN12" s="27">
        <v>37</v>
      </c>
      <c r="CO12" s="27">
        <f t="shared" si="38"/>
        <v>0.38517593170934833</v>
      </c>
      <c r="CP12" s="27">
        <f t="shared" si="39"/>
        <v>3.0814074536747866</v>
      </c>
      <c r="CQ12" s="57">
        <v>36</v>
      </c>
      <c r="CR12" s="57">
        <v>49.315068493150683</v>
      </c>
      <c r="CS12" s="57">
        <v>2.9981261711430354</v>
      </c>
      <c r="CT12" s="57">
        <f t="shared" si="40"/>
        <v>2.9981261711430354</v>
      </c>
      <c r="CU12" s="28">
        <v>8</v>
      </c>
      <c r="CV12" s="28">
        <v>17.777777777777779</v>
      </c>
      <c r="CW12" s="28">
        <v>0.66625026025400791</v>
      </c>
      <c r="CX12" s="28">
        <f t="shared" si="41"/>
        <v>0.66625026025400791</v>
      </c>
      <c r="CY12" s="32">
        <f t="shared" si="42"/>
        <v>20.926920674578387</v>
      </c>
      <c r="CZ12" s="32">
        <f t="shared" si="43"/>
        <v>20.926920674578387</v>
      </c>
      <c r="DA12" s="32">
        <f t="shared" si="44"/>
        <v>27.226920674578388</v>
      </c>
      <c r="DB12" s="32">
        <f t="shared" si="45"/>
        <v>0.4875008178080284</v>
      </c>
      <c r="DC12" s="32">
        <f t="shared" si="46"/>
        <v>0.4875008178080284</v>
      </c>
      <c r="DD12" s="59">
        <f t="shared" si="47"/>
        <v>4.650426816572975</v>
      </c>
      <c r="DE12" s="59">
        <f t="shared" si="48"/>
        <v>4.650426816572975</v>
      </c>
      <c r="DF12" s="59">
        <f t="shared" si="49"/>
        <v>10.950426816572975</v>
      </c>
      <c r="DG12" s="59">
        <f t="shared" si="50"/>
        <v>0.19606851954472648</v>
      </c>
      <c r="DH12" s="59">
        <f t="shared" si="51"/>
        <v>0.19606851954472648</v>
      </c>
      <c r="DI12" s="32">
        <f t="shared" si="52"/>
        <v>3.0814074536747866</v>
      </c>
      <c r="DJ12" s="32">
        <f t="shared" si="53"/>
        <v>14.650426816572974</v>
      </c>
      <c r="DK12" s="32">
        <f t="shared" si="54"/>
        <v>0.33078543197873345</v>
      </c>
      <c r="DL12">
        <f t="shared" ref="DL12:DL74" si="60">$DC12+$CM12+$CT12</f>
        <v>3.6203439013850707</v>
      </c>
      <c r="DM12">
        <f t="shared" si="6"/>
        <v>3.7211081627484884E-2</v>
      </c>
      <c r="DN12">
        <f t="shared" si="7"/>
        <v>0.13465594183511692</v>
      </c>
      <c r="DO12">
        <f t="shared" si="8"/>
        <v>0.82813297653739815</v>
      </c>
      <c r="DP12">
        <f t="shared" si="55"/>
        <v>0.99703569223274136</v>
      </c>
      <c r="DQ12">
        <f t="shared" si="9"/>
        <v>0.13511744211716697</v>
      </c>
      <c r="DR12">
        <f t="shared" si="10"/>
        <v>0.1966514549801669</v>
      </c>
      <c r="DS12">
        <f t="shared" si="11"/>
        <v>0.66823110290266607</v>
      </c>
      <c r="DT12" s="63">
        <f t="shared" si="12"/>
        <v>-2.6638863499796095</v>
      </c>
      <c r="DU12" s="63">
        <f t="shared" si="13"/>
        <v>-4.0578140827279952E-2</v>
      </c>
      <c r="DV12" s="63">
        <f t="shared" si="14"/>
        <v>-2.6602423508332107</v>
      </c>
      <c r="DW12" s="63">
        <f t="shared" si="56"/>
        <v>-3.6934141680881383E-2</v>
      </c>
      <c r="DX12" t="str">
        <f t="shared" si="57"/>
        <v>Sufficient Capacity</v>
      </c>
      <c r="DY12" t="str">
        <f t="shared" si="58"/>
        <v>Sufficient Capacity</v>
      </c>
      <c r="DZ12" t="str">
        <f t="shared" si="59"/>
        <v>Sulfate Dominant electron acceptor</v>
      </c>
      <c r="EA12" t="str">
        <f t="shared" si="15"/>
        <v>Sulfate Dominant electron acceptor</v>
      </c>
      <c r="EB12">
        <v>9.1274359999999992E-3</v>
      </c>
      <c r="EC12">
        <v>1.629981E-3</v>
      </c>
      <c r="ED12" s="66">
        <v>4.5684849999999997E-5</v>
      </c>
      <c r="EE12">
        <v>4.6137359999999999E-4</v>
      </c>
      <c r="EF12">
        <v>2.512022E-3</v>
      </c>
      <c r="EG12" s="66">
        <v>1.5368750000000001E-5</v>
      </c>
      <c r="EH12">
        <v>3.332826E-4</v>
      </c>
      <c r="EI12" s="66">
        <v>9.8038759999999998E-5</v>
      </c>
      <c r="EJ12">
        <v>2.6183080000000001E-4</v>
      </c>
      <c r="EK12">
        <v>5.1696740000000004E-4</v>
      </c>
      <c r="EL12">
        <v>3.608126E-4</v>
      </c>
      <c r="EM12">
        <v>1.158685E-4</v>
      </c>
      <c r="EN12">
        <v>1.9117979999999999E-3</v>
      </c>
      <c r="EO12">
        <v>6.4176809999999995E-4</v>
      </c>
      <c r="EP12">
        <v>1.4261199999999999E-3</v>
      </c>
      <c r="EQ12">
        <v>1.5136920000000001E-3</v>
      </c>
      <c r="ER12">
        <v>1.89715E-4</v>
      </c>
      <c r="ES12">
        <v>5.9345709999999996E-4</v>
      </c>
      <c r="ET12">
        <v>1.5967599999999998E-2</v>
      </c>
      <c r="EU12">
        <v>3.1936999999999998E-3</v>
      </c>
      <c r="EV12">
        <v>8.8164760000000002E-3</v>
      </c>
      <c r="EW12">
        <v>6.5410860000000002E-4</v>
      </c>
      <c r="EX12">
        <v>6.410069E-3</v>
      </c>
      <c r="EY12">
        <v>6.7630650000000004E-3</v>
      </c>
      <c r="EZ12">
        <v>8.688309E-4</v>
      </c>
      <c r="FA12">
        <v>1.175593E-3</v>
      </c>
      <c r="FB12">
        <v>1.368836E-3</v>
      </c>
      <c r="FC12">
        <v>2.1588660000000002E-3</v>
      </c>
      <c r="FD12">
        <v>3.439898E-4</v>
      </c>
      <c r="FE12">
        <v>2.1572310000000001E-2</v>
      </c>
      <c r="FF12">
        <v>1.658898E-2</v>
      </c>
      <c r="FG12">
        <v>9.8158789999999996E-3</v>
      </c>
      <c r="FH12">
        <v>8.2257670000000001E-4</v>
      </c>
      <c r="FI12">
        <v>1.3621880000000001E-3</v>
      </c>
      <c r="FJ12">
        <v>1.127528E-2</v>
      </c>
      <c r="FK12">
        <v>-0.21618919132942199</v>
      </c>
      <c r="FL12">
        <v>-0.60505711355204095</v>
      </c>
      <c r="FM12">
        <v>0.240553594281536</v>
      </c>
      <c r="FN12">
        <v>0.115418623578605</v>
      </c>
      <c r="FO12">
        <v>0.211181935576508</v>
      </c>
      <c r="FP12">
        <v>-0.52428851069579596</v>
      </c>
      <c r="FQ12">
        <v>-0.330312281986815</v>
      </c>
      <c r="FR12">
        <v>-0.23331216433096</v>
      </c>
      <c r="FS12">
        <v>-0.79716408632467906</v>
      </c>
      <c r="FT12">
        <v>-6.1727102574133497E-2</v>
      </c>
      <c r="FU12">
        <v>-0.24055687709495699</v>
      </c>
      <c r="FV12">
        <v>-0.39570469682355902</v>
      </c>
      <c r="FW12">
        <v>0.22535662244563401</v>
      </c>
      <c r="FX12">
        <v>-0.736267243658978</v>
      </c>
      <c r="FY12">
        <v>-0.15976506810292401</v>
      </c>
      <c r="FZ12">
        <v>0.60955480359283598</v>
      </c>
      <c r="GA12">
        <v>0.14242714429137401</v>
      </c>
      <c r="GB12">
        <v>-2.6266337250113701E-3</v>
      </c>
      <c r="GC12">
        <v>1.47365155408075E-2</v>
      </c>
      <c r="GD12">
        <v>0.25349359681622002</v>
      </c>
      <c r="GE12">
        <v>-1.4317172962892101E-3</v>
      </c>
      <c r="GF12">
        <v>-0.38276757597405398</v>
      </c>
      <c r="GG12">
        <v>0.21749138181889199</v>
      </c>
      <c r="GH12">
        <v>0.32548202454769098</v>
      </c>
      <c r="GI12">
        <v>0.141762475756152</v>
      </c>
      <c r="GJ12">
        <v>-3.7567970358708201E-2</v>
      </c>
      <c r="GK12">
        <v>-7.8097158241704698E-2</v>
      </c>
      <c r="GL12">
        <v>0.104035140032571</v>
      </c>
      <c r="GM12">
        <v>0.15179446009196099</v>
      </c>
      <c r="GN12">
        <v>3.6670042553257801E-2</v>
      </c>
      <c r="GO12">
        <v>-5.2721655912495002E-2</v>
      </c>
      <c r="GP12">
        <v>6.2520264419480207E-2</v>
      </c>
      <c r="GR12" s="66"/>
      <c r="GT12" s="66"/>
      <c r="GV12" s="66"/>
      <c r="GW12" s="65"/>
      <c r="GX12" s="65"/>
      <c r="HK12" s="1"/>
      <c r="HL12" s="1"/>
      <c r="HM12" s="65"/>
      <c r="HN12" s="1"/>
      <c r="HO12" s="65"/>
      <c r="HP12" s="65"/>
      <c r="HQ12" s="65"/>
      <c r="HS12" s="65"/>
      <c r="HV12" s="65"/>
      <c r="HW12" s="65"/>
      <c r="HX12" s="65"/>
      <c r="IZ12" s="66"/>
      <c r="JB12" s="66"/>
      <c r="JD12" s="66"/>
      <c r="JF12" s="66"/>
      <c r="JH12" s="66"/>
      <c r="JJ12" s="66"/>
      <c r="JL12" s="66"/>
      <c r="JN12" s="66"/>
      <c r="JP12" s="66"/>
      <c r="JR12" s="66"/>
    </row>
    <row r="13" spans="1:278" ht="15.75" x14ac:dyDescent="0.25">
      <c r="A13" s="2" t="s">
        <v>66</v>
      </c>
      <c r="B13" s="2" t="s">
        <v>66</v>
      </c>
      <c r="C13" s="2" t="s">
        <v>699</v>
      </c>
      <c r="D13" s="2" t="s">
        <v>455</v>
      </c>
      <c r="E13" s="2" t="s">
        <v>455</v>
      </c>
      <c r="F13" s="2">
        <v>12</v>
      </c>
      <c r="G13" s="2" t="s">
        <v>698</v>
      </c>
      <c r="H13" s="10" t="s">
        <v>656</v>
      </c>
      <c r="I13" s="2">
        <v>150</v>
      </c>
      <c r="J13" s="2">
        <v>65</v>
      </c>
      <c r="K13" s="2">
        <v>4.2</v>
      </c>
      <c r="L13" t="s">
        <v>48</v>
      </c>
      <c r="M13" s="2" t="s">
        <v>1119</v>
      </c>
      <c r="N13" s="2" t="s">
        <v>437</v>
      </c>
      <c r="O13" s="2" t="s">
        <v>694</v>
      </c>
      <c r="P13" s="2" t="s">
        <v>1119</v>
      </c>
      <c r="Q13" s="2" t="s">
        <v>443</v>
      </c>
      <c r="R13" s="2" t="str">
        <f t="shared" si="0"/>
        <v>CW_3_Section_5</v>
      </c>
      <c r="S13" s="2" t="str">
        <f t="shared" si="1"/>
        <v>CW_3_EFF</v>
      </c>
      <c r="T13" s="11" t="s">
        <v>691</v>
      </c>
      <c r="U13" s="1">
        <v>45518</v>
      </c>
      <c r="V13" s="2" t="s">
        <v>692</v>
      </c>
      <c r="W13" s="2" t="s">
        <v>1119</v>
      </c>
      <c r="X13" s="2" t="s">
        <v>690</v>
      </c>
      <c r="Y13" s="2" t="str">
        <f t="shared" si="2"/>
        <v>T0_EFF</v>
      </c>
      <c r="Z13" s="2" t="str">
        <f t="shared" si="3"/>
        <v>T0_CW_3_EFF</v>
      </c>
      <c r="AA13" s="2" t="str">
        <f t="shared" si="4"/>
        <v>T0_EFF</v>
      </c>
      <c r="AB13" s="2">
        <v>1</v>
      </c>
      <c r="AC13" s="2">
        <v>3.2000000000000001E-2</v>
      </c>
      <c r="AD13" s="2">
        <v>-1.56</v>
      </c>
      <c r="AE13" s="2">
        <v>0</v>
      </c>
      <c r="AF13" t="s">
        <v>49</v>
      </c>
      <c r="AG13" t="s">
        <v>1237</v>
      </c>
      <c r="AH13">
        <v>61</v>
      </c>
      <c r="AI13">
        <v>23</v>
      </c>
      <c r="AJ13">
        <v>0.98</v>
      </c>
      <c r="AK13">
        <v>0.48</v>
      </c>
      <c r="AL13">
        <v>23.8</v>
      </c>
      <c r="AM13">
        <v>-141</v>
      </c>
      <c r="AN13">
        <v>7.01</v>
      </c>
      <c r="AO13">
        <v>919</v>
      </c>
      <c r="AP13">
        <v>0.3</v>
      </c>
      <c r="AQ13" t="s">
        <v>443</v>
      </c>
      <c r="AR13">
        <v>24</v>
      </c>
      <c r="AS13">
        <v>26</v>
      </c>
      <c r="AT13">
        <v>510</v>
      </c>
      <c r="AU13" s="32">
        <f t="shared" si="16"/>
        <v>0.19587760850083216</v>
      </c>
      <c r="AV13">
        <v>13</v>
      </c>
      <c r="AW13" s="32">
        <f t="shared" si="5"/>
        <v>5.0792272628608645E-3</v>
      </c>
      <c r="AX13">
        <v>260</v>
      </c>
      <c r="AY13" s="32">
        <f t="shared" si="17"/>
        <v>0.10285391353489687</v>
      </c>
      <c r="AZ13">
        <v>90</v>
      </c>
      <c r="BA13" s="32">
        <f t="shared" si="18"/>
        <v>3.560327776207968E-2</v>
      </c>
      <c r="BB13">
        <v>76</v>
      </c>
      <c r="BC13" s="32">
        <f t="shared" si="19"/>
        <v>3.0064990110200623E-2</v>
      </c>
      <c r="BD13">
        <v>166</v>
      </c>
      <c r="BF13" s="48">
        <v>949</v>
      </c>
      <c r="BG13" s="48">
        <f t="shared" si="20"/>
        <v>0.30381074929858987</v>
      </c>
      <c r="BH13">
        <v>1100</v>
      </c>
      <c r="BI13" s="32">
        <f t="shared" si="21"/>
        <v>0.41195287508777401</v>
      </c>
      <c r="BJ13" s="47">
        <v>360</v>
      </c>
      <c r="BK13" s="27">
        <f t="shared" si="22"/>
        <v>0.13482094093781696</v>
      </c>
      <c r="BL13" s="47">
        <v>2</v>
      </c>
      <c r="BM13" s="27">
        <f t="shared" si="23"/>
        <v>7.3592220251002033E-4</v>
      </c>
      <c r="BN13" s="47">
        <v>2</v>
      </c>
      <c r="BO13" s="27">
        <f t="shared" si="24"/>
        <v>7.5222099734128785E-4</v>
      </c>
      <c r="BP13" s="47">
        <v>2.5</v>
      </c>
      <c r="BQ13" s="27">
        <f t="shared" si="25"/>
        <v>9.3249909758151843E-4</v>
      </c>
      <c r="BR13" s="47">
        <v>0.37</v>
      </c>
      <c r="BS13" s="27">
        <f t="shared" si="26"/>
        <v>1.3701397071200135E-4</v>
      </c>
      <c r="BT13" s="47">
        <v>0.03</v>
      </c>
      <c r="BU13" s="27">
        <f t="shared" si="27"/>
        <v>1.110924086854065E-5</v>
      </c>
      <c r="BV13" s="47">
        <v>0.02</v>
      </c>
      <c r="BW13" s="27">
        <f t="shared" si="28"/>
        <v>7.3176761433868973E-6</v>
      </c>
      <c r="BX13" s="47">
        <v>2E-3</v>
      </c>
      <c r="BY13" s="27">
        <f t="shared" si="29"/>
        <v>7.3176761433868969E-7</v>
      </c>
      <c r="BZ13" s="51">
        <f t="shared" si="30"/>
        <v>366.92199999999997</v>
      </c>
      <c r="CA13" s="51">
        <f t="shared" si="31"/>
        <v>6.9219999999999997</v>
      </c>
      <c r="CB13" s="27">
        <f t="shared" si="32"/>
        <v>0.13739775589058806</v>
      </c>
      <c r="CC13" s="27">
        <f t="shared" si="33"/>
        <v>2.5768149527710944E-3</v>
      </c>
      <c r="CD13">
        <v>1600</v>
      </c>
      <c r="CE13">
        <v>240</v>
      </c>
      <c r="CF13" t="s">
        <v>19</v>
      </c>
      <c r="CG13">
        <v>1800</v>
      </c>
      <c r="CH13" s="32">
        <v>7.6</v>
      </c>
      <c r="CI13" s="32">
        <f t="shared" si="34"/>
        <v>0.13607878245299909</v>
      </c>
      <c r="CJ13" s="32">
        <f t="shared" si="35"/>
        <v>0.13607878245299909</v>
      </c>
      <c r="CK13" s="32">
        <v>4.2</v>
      </c>
      <c r="CL13" s="32">
        <f t="shared" si="36"/>
        <v>7.6460950300382302E-2</v>
      </c>
      <c r="CM13" s="32">
        <f t="shared" si="37"/>
        <v>0.1529219006007646</v>
      </c>
      <c r="CN13" s="27">
        <v>42</v>
      </c>
      <c r="CO13" s="27">
        <f t="shared" si="38"/>
        <v>0.4372267332916927</v>
      </c>
      <c r="CP13" s="27">
        <f t="shared" si="39"/>
        <v>3.4978138663335416</v>
      </c>
      <c r="CQ13" s="57">
        <v>31</v>
      </c>
      <c r="CR13" s="57">
        <v>42.465753424657535</v>
      </c>
      <c r="CS13" s="57">
        <v>2.5817197584842808</v>
      </c>
      <c r="CT13" s="57">
        <f t="shared" si="40"/>
        <v>2.5817197584842808</v>
      </c>
      <c r="CU13" s="28">
        <v>5</v>
      </c>
      <c r="CV13" s="28">
        <v>10.638297872340425</v>
      </c>
      <c r="CW13" s="28">
        <v>0.41640641265875494</v>
      </c>
      <c r="CX13" s="28">
        <f t="shared" si="41"/>
        <v>0.41640641265875494</v>
      </c>
      <c r="CY13" s="32">
        <f t="shared" si="42"/>
        <v>18.020403914220278</v>
      </c>
      <c r="CZ13" s="32">
        <f t="shared" si="43"/>
        <v>18.020403914220278</v>
      </c>
      <c r="DA13" s="32">
        <f t="shared" si="44"/>
        <v>25.620403914220276</v>
      </c>
      <c r="DB13" s="32">
        <f t="shared" si="45"/>
        <v>0.45873596981594045</v>
      </c>
      <c r="DC13" s="32">
        <f t="shared" si="46"/>
        <v>0.45873596981594045</v>
      </c>
      <c r="DD13" s="59">
        <f t="shared" si="47"/>
        <v>2.9065167603581092</v>
      </c>
      <c r="DE13" s="59">
        <f t="shared" si="48"/>
        <v>2.9065167603581092</v>
      </c>
      <c r="DF13" s="59">
        <f t="shared" si="49"/>
        <v>10.506516760358108</v>
      </c>
      <c r="DG13" s="59">
        <f t="shared" si="50"/>
        <v>0.18812026428573156</v>
      </c>
      <c r="DH13" s="59">
        <f t="shared" si="51"/>
        <v>0.18812026428573156</v>
      </c>
      <c r="DI13" s="32">
        <f t="shared" si="52"/>
        <v>3.4978138663335416</v>
      </c>
      <c r="DJ13" s="32">
        <f t="shared" si="53"/>
        <v>14.70651676035811</v>
      </c>
      <c r="DK13" s="32">
        <f t="shared" si="54"/>
        <v>0.34104216488649619</v>
      </c>
      <c r="DL13">
        <f t="shared" si="60"/>
        <v>3.1933776289009859</v>
      </c>
      <c r="DM13">
        <f t="shared" si="6"/>
        <v>4.7887196057483906E-2</v>
      </c>
      <c r="DN13">
        <f t="shared" si="7"/>
        <v>0.14365227765869215</v>
      </c>
      <c r="DO13">
        <f t="shared" si="8"/>
        <v>0.80846052628382392</v>
      </c>
      <c r="DP13">
        <f t="shared" si="55"/>
        <v>0.75744857754525108</v>
      </c>
      <c r="DQ13">
        <f t="shared" si="9"/>
        <v>0.20189080174439805</v>
      </c>
      <c r="DR13">
        <f t="shared" si="10"/>
        <v>0.24836044302227631</v>
      </c>
      <c r="DS13">
        <f t="shared" si="11"/>
        <v>0.54974875523332567</v>
      </c>
      <c r="DT13" s="63">
        <f t="shared" si="12"/>
        <v>-2.477614004514622</v>
      </c>
      <c r="DU13" s="63">
        <f t="shared" si="13"/>
        <v>-4.1684953158887206E-2</v>
      </c>
      <c r="DV13" s="63">
        <f t="shared" si="14"/>
        <v>-2.475037189561851</v>
      </c>
      <c r="DW13" s="63">
        <f t="shared" si="56"/>
        <v>-3.9108138206116139E-2</v>
      </c>
      <c r="DX13" t="str">
        <f t="shared" si="57"/>
        <v>Sufficient Capacity</v>
      </c>
      <c r="DY13" t="str">
        <f t="shared" si="58"/>
        <v>Sufficient Capacity</v>
      </c>
      <c r="DZ13" t="str">
        <f t="shared" si="59"/>
        <v>Sulfate Dominant electron acceptor</v>
      </c>
      <c r="EA13" t="str">
        <f t="shared" si="15"/>
        <v>Sulfate Dominant electron acceptor</v>
      </c>
      <c r="EB13">
        <v>1.1344669999999999E-2</v>
      </c>
      <c r="EC13">
        <v>2.1702710000000001E-3</v>
      </c>
      <c r="ED13">
        <v>0</v>
      </c>
      <c r="EE13" s="66">
        <v>4.9946630000000003E-5</v>
      </c>
      <c r="EF13">
        <v>1.0892639999999999E-3</v>
      </c>
      <c r="EG13" s="66">
        <v>1.6788290000000001E-6</v>
      </c>
      <c r="EH13" s="66">
        <v>2.696412E-5</v>
      </c>
      <c r="EI13" s="66">
        <v>1.990722E-6</v>
      </c>
      <c r="EJ13">
        <v>1.173695E-4</v>
      </c>
      <c r="EK13">
        <v>1.834959E-4</v>
      </c>
      <c r="EL13">
        <v>2.4520830000000001E-4</v>
      </c>
      <c r="EM13" s="66">
        <v>1.11022E-5</v>
      </c>
      <c r="EN13">
        <v>1.442083E-3</v>
      </c>
      <c r="EO13">
        <v>2.6338499999999999E-4</v>
      </c>
      <c r="EP13">
        <v>8.8028260000000001E-4</v>
      </c>
      <c r="EQ13">
        <v>2.2317740000000002E-3</v>
      </c>
      <c r="ER13" s="66">
        <v>7.8189380000000006E-5</v>
      </c>
      <c r="ES13">
        <v>2.9884820000000001E-4</v>
      </c>
      <c r="ET13">
        <v>6.3296439999999997E-3</v>
      </c>
      <c r="EU13">
        <v>2.757196E-3</v>
      </c>
      <c r="EV13">
        <v>1.049987E-2</v>
      </c>
      <c r="EW13">
        <v>6.2550469999999995E-4</v>
      </c>
      <c r="EX13">
        <v>6.642312E-3</v>
      </c>
      <c r="EY13">
        <v>8.0405049999999999E-3</v>
      </c>
      <c r="EZ13">
        <v>1.982017E-4</v>
      </c>
      <c r="FA13">
        <v>1.6110620000000001E-4</v>
      </c>
      <c r="FB13">
        <v>1.7140229999999999E-4</v>
      </c>
      <c r="FC13">
        <v>1.2968630000000001E-3</v>
      </c>
      <c r="FD13">
        <v>1.582152E-4</v>
      </c>
      <c r="FE13">
        <v>1.7525160000000001E-2</v>
      </c>
      <c r="FF13">
        <v>2.6394150000000002E-2</v>
      </c>
      <c r="FG13">
        <v>1.227847E-2</v>
      </c>
      <c r="FH13">
        <v>1.2149909999999999E-3</v>
      </c>
      <c r="FI13">
        <v>9.1659300000000005E-4</v>
      </c>
      <c r="FJ13">
        <v>1.6224840000000001E-2</v>
      </c>
      <c r="FK13">
        <v>-2.4394422829159002</v>
      </c>
      <c r="FL13">
        <v>-1.44064288126819</v>
      </c>
      <c r="FM13">
        <v>-1.9736861061292199</v>
      </c>
      <c r="FN13">
        <v>-2.39906506179226</v>
      </c>
      <c r="FO13">
        <v>-3.6856835880989598</v>
      </c>
      <c r="FP13">
        <v>-1.3266599262399601</v>
      </c>
      <c r="FQ13">
        <v>-1.3660997744935199</v>
      </c>
      <c r="FR13">
        <v>-0.61956282089673997</v>
      </c>
      <c r="FS13">
        <v>-3.1424767268296199</v>
      </c>
      <c r="FT13">
        <v>-0.343682666934365</v>
      </c>
      <c r="FU13">
        <v>-1.1311670604984101</v>
      </c>
      <c r="FV13">
        <v>-0.87817445344727096</v>
      </c>
      <c r="FW13">
        <v>0.61360170764850497</v>
      </c>
      <c r="FX13">
        <v>-1.62265635699095</v>
      </c>
      <c r="FY13">
        <v>-0.845794244309928</v>
      </c>
      <c r="FZ13">
        <v>-0.31576287111414603</v>
      </c>
      <c r="GA13">
        <v>-4.5387536974814697E-3</v>
      </c>
      <c r="GB13">
        <v>0.172113998715965</v>
      </c>
      <c r="GC13">
        <v>-2.9978033309104601E-2</v>
      </c>
      <c r="GD13">
        <v>0.28908365716539203</v>
      </c>
      <c r="GE13">
        <v>0.17158398520139301</v>
      </c>
      <c r="GF13">
        <v>-1.8606308917657499</v>
      </c>
      <c r="GG13">
        <v>-1.76997282344671</v>
      </c>
      <c r="GH13">
        <v>-1.7522205731167599</v>
      </c>
      <c r="GI13">
        <v>-0.36787233669710001</v>
      </c>
      <c r="GJ13">
        <v>-0.81422384450139296</v>
      </c>
      <c r="GK13">
        <v>-0.28587014340015499</v>
      </c>
      <c r="GL13">
        <v>0.56843891522962797</v>
      </c>
      <c r="GM13">
        <v>0.37564040169548002</v>
      </c>
      <c r="GN13">
        <v>0.42672026032162502</v>
      </c>
      <c r="GO13">
        <v>-0.44890563027498998</v>
      </c>
      <c r="GP13">
        <v>0.42645094685262203</v>
      </c>
      <c r="GR13" s="66"/>
      <c r="GT13" s="66"/>
      <c r="GV13" s="66"/>
      <c r="GW13" s="65"/>
      <c r="GX13" s="65"/>
      <c r="HK13" s="1"/>
      <c r="HL13" s="1"/>
      <c r="HM13" s="65"/>
      <c r="HN13" s="1"/>
      <c r="HO13" s="65"/>
      <c r="HP13" s="65"/>
      <c r="HQ13" s="65"/>
      <c r="HS13" s="65"/>
      <c r="HV13" s="65"/>
      <c r="HW13" s="65"/>
      <c r="HX13" s="65"/>
    </row>
    <row r="14" spans="1:278" ht="15.75" x14ac:dyDescent="0.25">
      <c r="A14" s="2" t="s">
        <v>67</v>
      </c>
      <c r="B14" s="2" t="s">
        <v>67</v>
      </c>
      <c r="C14" s="2" t="s">
        <v>701</v>
      </c>
      <c r="D14" s="2" t="s">
        <v>456</v>
      </c>
      <c r="E14" s="2" t="s">
        <v>456</v>
      </c>
      <c r="F14" s="2">
        <v>13</v>
      </c>
      <c r="G14" s="2" t="s">
        <v>700</v>
      </c>
      <c r="H14" s="10" t="s">
        <v>656</v>
      </c>
      <c r="I14" s="2">
        <v>150</v>
      </c>
      <c r="J14" s="2">
        <v>65</v>
      </c>
      <c r="K14" s="2">
        <v>24</v>
      </c>
      <c r="L14" t="s">
        <v>28</v>
      </c>
      <c r="M14" s="2" t="s">
        <v>1120</v>
      </c>
      <c r="N14" s="2" t="s">
        <v>435</v>
      </c>
      <c r="O14" s="2" t="s">
        <v>653</v>
      </c>
      <c r="P14" s="2" t="s">
        <v>1123</v>
      </c>
      <c r="Q14" s="9" t="s">
        <v>654</v>
      </c>
      <c r="R14" s="2" t="str">
        <f t="shared" si="0"/>
        <v>CW_1_Section_1</v>
      </c>
      <c r="S14" s="2" t="str">
        <f t="shared" si="1"/>
        <v>CW_1_MF01</v>
      </c>
      <c r="T14" s="11" t="s">
        <v>691</v>
      </c>
      <c r="U14" s="1">
        <v>45518</v>
      </c>
      <c r="V14" s="2" t="s">
        <v>692</v>
      </c>
      <c r="W14" s="2" t="s">
        <v>655</v>
      </c>
      <c r="X14" s="2" t="s">
        <v>690</v>
      </c>
      <c r="Y14" s="2" t="str">
        <f t="shared" si="2"/>
        <v>T0_MF01</v>
      </c>
      <c r="Z14" s="2" t="str">
        <f t="shared" si="3"/>
        <v>T0_CW_1_MF01</v>
      </c>
      <c r="AA14" s="2" t="str">
        <f t="shared" si="4"/>
        <v>T0_0.15-0.30</v>
      </c>
      <c r="AB14" s="2">
        <v>1</v>
      </c>
      <c r="AC14" s="2">
        <v>3.2000000000000001E-2</v>
      </c>
      <c r="AD14" s="2">
        <v>-1.56</v>
      </c>
      <c r="AE14" s="2">
        <v>0</v>
      </c>
      <c r="AF14" t="s">
        <v>29</v>
      </c>
      <c r="AG14" t="s">
        <v>1237</v>
      </c>
      <c r="AH14">
        <v>61</v>
      </c>
      <c r="AI14">
        <v>18</v>
      </c>
      <c r="AJ14">
        <v>2.7</v>
      </c>
      <c r="AK14">
        <v>0.46</v>
      </c>
      <c r="AL14">
        <v>24.5</v>
      </c>
      <c r="AM14">
        <v>-166</v>
      </c>
      <c r="AN14">
        <v>6.8</v>
      </c>
      <c r="AO14">
        <v>1060</v>
      </c>
      <c r="AP14">
        <v>0.1</v>
      </c>
      <c r="AQ14" t="s">
        <v>443</v>
      </c>
      <c r="AR14">
        <v>17</v>
      </c>
      <c r="AS14">
        <v>18</v>
      </c>
      <c r="AT14">
        <v>320</v>
      </c>
      <c r="AU14" s="32">
        <f t="shared" si="16"/>
        <v>0.12290359749071822</v>
      </c>
      <c r="AV14">
        <v>19</v>
      </c>
      <c r="AW14" s="32">
        <f t="shared" si="5"/>
        <v>7.4234859995658785E-3</v>
      </c>
      <c r="AX14">
        <v>18</v>
      </c>
      <c r="AY14" s="32">
        <f t="shared" si="17"/>
        <v>7.1206555524159368E-3</v>
      </c>
      <c r="AZ14">
        <v>11</v>
      </c>
      <c r="BA14" s="32">
        <f t="shared" si="18"/>
        <v>4.3515117264764057E-3</v>
      </c>
      <c r="BB14">
        <v>4.3</v>
      </c>
      <c r="BC14" s="32">
        <f t="shared" si="19"/>
        <v>1.7010454930771405E-3</v>
      </c>
      <c r="BD14">
        <v>15.3</v>
      </c>
      <c r="BF14" s="48">
        <v>372.3</v>
      </c>
      <c r="BG14" s="48">
        <f t="shared" si="20"/>
        <v>0.13744773904270005</v>
      </c>
      <c r="BH14">
        <v>4</v>
      </c>
      <c r="BI14" s="32">
        <f t="shared" si="21"/>
        <v>1.4980104548646326E-3</v>
      </c>
      <c r="BJ14" s="47">
        <v>3</v>
      </c>
      <c r="BK14" s="27">
        <f t="shared" si="22"/>
        <v>1.1235078411484746E-3</v>
      </c>
      <c r="BL14" s="47">
        <v>0.01</v>
      </c>
      <c r="BM14" s="27">
        <f t="shared" si="23"/>
        <v>3.6796110125501018E-6</v>
      </c>
      <c r="BN14" s="47">
        <v>0.1</v>
      </c>
      <c r="BO14" s="27">
        <f t="shared" si="24"/>
        <v>3.7611049867064392E-5</v>
      </c>
      <c r="BP14" s="47">
        <v>5.0000000000000001E-3</v>
      </c>
      <c r="BQ14" s="27">
        <f t="shared" si="25"/>
        <v>1.8649981951630372E-6</v>
      </c>
      <c r="BR14" s="47">
        <v>0.04</v>
      </c>
      <c r="BS14" s="27">
        <f t="shared" si="26"/>
        <v>1.4812321158054199E-5</v>
      </c>
      <c r="BT14" s="47">
        <v>1E-3</v>
      </c>
      <c r="BU14" s="27">
        <f t="shared" si="27"/>
        <v>3.7030802895135499E-7</v>
      </c>
      <c r="BV14" s="47">
        <v>0.01</v>
      </c>
      <c r="BW14" s="27">
        <f t="shared" si="28"/>
        <v>3.6588380716934487E-6</v>
      </c>
      <c r="BX14" s="47">
        <v>2E-3</v>
      </c>
      <c r="BY14" s="27">
        <f t="shared" si="29"/>
        <v>7.3176761433868969E-7</v>
      </c>
      <c r="BZ14" s="51">
        <f t="shared" si="30"/>
        <v>3.1679999999999993</v>
      </c>
      <c r="CA14" s="51">
        <f t="shared" si="31"/>
        <v>0.16800000000000001</v>
      </c>
      <c r="CB14" s="27">
        <f t="shared" si="32"/>
        <v>1.1862367350962901E-3</v>
      </c>
      <c r="CC14" s="27">
        <f t="shared" si="33"/>
        <v>6.2728893947815227E-5</v>
      </c>
      <c r="CD14">
        <v>2.5</v>
      </c>
      <c r="CE14">
        <v>2.5</v>
      </c>
      <c r="CF14" t="s">
        <v>19</v>
      </c>
      <c r="CG14">
        <v>5</v>
      </c>
      <c r="CH14" s="32">
        <v>18</v>
      </c>
      <c r="CI14" s="32">
        <f t="shared" si="34"/>
        <v>0.32229185317815578</v>
      </c>
      <c r="CJ14" s="32">
        <f t="shared" si="35"/>
        <v>0.32229185317815578</v>
      </c>
      <c r="CK14" s="32">
        <v>4.3</v>
      </c>
      <c r="CL14" s="32">
        <f t="shared" si="36"/>
        <v>7.8281449117058075E-2</v>
      </c>
      <c r="CM14" s="32">
        <f t="shared" si="37"/>
        <v>0.15656289823411615</v>
      </c>
      <c r="CN14" s="27">
        <v>0.5</v>
      </c>
      <c r="CO14" s="27">
        <f t="shared" si="38"/>
        <v>5.2050801582344368E-3</v>
      </c>
      <c r="CP14" s="27">
        <f t="shared" si="39"/>
        <v>4.1640641265875494E-2</v>
      </c>
      <c r="CQ14" s="57">
        <v>72.5</v>
      </c>
      <c r="CR14" s="57">
        <v>99.315068493150676</v>
      </c>
      <c r="CS14" s="57">
        <v>6.0378929835519468</v>
      </c>
      <c r="CT14" s="57">
        <f t="shared" si="40"/>
        <v>6.0378929835519468</v>
      </c>
      <c r="CU14" s="28">
        <v>72.5</v>
      </c>
      <c r="CV14" s="28">
        <v>99.315068493150676</v>
      </c>
      <c r="CW14" s="28">
        <v>6.0378929835519468</v>
      </c>
      <c r="CX14" s="28">
        <f t="shared" si="41"/>
        <v>6.0378929835519468</v>
      </c>
      <c r="CY14" s="32">
        <f t="shared" si="42"/>
        <v>42.144493025192588</v>
      </c>
      <c r="CZ14" s="32">
        <f t="shared" si="43"/>
        <v>42.144493025192588</v>
      </c>
      <c r="DA14" s="32">
        <f t="shared" si="44"/>
        <v>60.144493025192588</v>
      </c>
      <c r="DB14" s="32">
        <f t="shared" si="45"/>
        <v>1.0768933397527769</v>
      </c>
      <c r="DC14" s="32">
        <f t="shared" si="46"/>
        <v>1.0768933397527769</v>
      </c>
      <c r="DD14" s="59">
        <f t="shared" si="47"/>
        <v>42.144493025192588</v>
      </c>
      <c r="DE14" s="59">
        <f t="shared" si="48"/>
        <v>42.144493025192588</v>
      </c>
      <c r="DF14" s="59">
        <f t="shared" si="49"/>
        <v>60.144493025192588</v>
      </c>
      <c r="DG14" s="59">
        <f t="shared" si="50"/>
        <v>1.0768933397527769</v>
      </c>
      <c r="DH14" s="59">
        <f t="shared" si="51"/>
        <v>1.0768933397527769</v>
      </c>
      <c r="DI14" s="32">
        <f t="shared" si="52"/>
        <v>4.1640641265875494E-2</v>
      </c>
      <c r="DJ14" s="32">
        <f t="shared" si="53"/>
        <v>64.444493025192585</v>
      </c>
      <c r="DK14" s="32">
        <f t="shared" si="54"/>
        <v>1.233456237986893</v>
      </c>
      <c r="DL14">
        <f t="shared" si="60"/>
        <v>7.2713492215388396</v>
      </c>
      <c r="DM14">
        <f t="shared" si="6"/>
        <v>2.1531478335595971E-2</v>
      </c>
      <c r="DN14">
        <f t="shared" si="7"/>
        <v>0.14810089667579923</v>
      </c>
      <c r="DO14">
        <f t="shared" si="8"/>
        <v>0.83036762498860484</v>
      </c>
      <c r="DP14">
        <f t="shared" si="55"/>
        <v>7.2713492215388396</v>
      </c>
      <c r="DQ14">
        <f t="shared" si="9"/>
        <v>2.1531478335595971E-2</v>
      </c>
      <c r="DR14">
        <f t="shared" si="10"/>
        <v>0.14810089667579923</v>
      </c>
      <c r="DS14">
        <f t="shared" si="11"/>
        <v>0.83036762498860484</v>
      </c>
      <c r="DT14" s="63">
        <f t="shared" si="12"/>
        <v>-7.1324034720412746</v>
      </c>
      <c r="DU14" s="63">
        <f t="shared" si="13"/>
        <v>-7.1324034720412746</v>
      </c>
      <c r="DV14" s="63">
        <f t="shared" si="14"/>
        <v>-7.1323407431473269</v>
      </c>
      <c r="DW14" s="63">
        <f t="shared" si="56"/>
        <v>-7.1323407431473269</v>
      </c>
      <c r="DX14" t="str">
        <f t="shared" si="57"/>
        <v>Sufficient Capacity</v>
      </c>
      <c r="DY14" t="str">
        <f t="shared" si="58"/>
        <v>Sufficient Capacity</v>
      </c>
      <c r="DZ14" t="str">
        <f t="shared" si="59"/>
        <v>Sulfate Dominant electron acceptor</v>
      </c>
      <c r="EA14" t="str">
        <f t="shared" si="15"/>
        <v>Sulfate Dominant electron acceptor</v>
      </c>
      <c r="EB14">
        <v>9.4196139999999998E-3</v>
      </c>
      <c r="EC14">
        <v>1.424329E-3</v>
      </c>
      <c r="ED14" s="66">
        <v>2.1321779999999999E-6</v>
      </c>
      <c r="EE14">
        <v>5.8958369999999999E-4</v>
      </c>
      <c r="EF14">
        <v>4.3249040000000001E-3</v>
      </c>
      <c r="EG14" s="66">
        <v>1.185254E-5</v>
      </c>
      <c r="EH14">
        <v>3.4281239999999998E-4</v>
      </c>
      <c r="EI14">
        <v>1.2133389999999999E-4</v>
      </c>
      <c r="EJ14">
        <v>5.1581730000000001E-4</v>
      </c>
      <c r="EK14">
        <v>8.2305050000000004E-4</v>
      </c>
      <c r="EL14">
        <v>4.0747230000000003E-4</v>
      </c>
      <c r="EM14">
        <v>2.8860179999999999E-4</v>
      </c>
      <c r="EN14">
        <v>1.936641E-3</v>
      </c>
      <c r="EO14">
        <v>8.1881710000000004E-4</v>
      </c>
      <c r="EP14">
        <v>1.8144890000000001E-3</v>
      </c>
      <c r="EQ14">
        <v>1.2767029999999999E-3</v>
      </c>
      <c r="ER14">
        <v>3.9583750000000002E-4</v>
      </c>
      <c r="ES14">
        <v>6.4650180000000001E-4</v>
      </c>
      <c r="ET14">
        <v>1.2580050000000001E-2</v>
      </c>
      <c r="EU14">
        <v>2.9965320000000001E-3</v>
      </c>
      <c r="EV14">
        <v>8.9678410000000007E-3</v>
      </c>
      <c r="EW14">
        <v>7.2053700000000004E-4</v>
      </c>
      <c r="EX14">
        <v>4.5991060000000004E-3</v>
      </c>
      <c r="EY14">
        <v>6.6016709999999999E-3</v>
      </c>
      <c r="EZ14">
        <v>1.2533119999999999E-3</v>
      </c>
      <c r="FA14">
        <v>1.020366E-3</v>
      </c>
      <c r="FB14">
        <v>1.0910659999999999E-3</v>
      </c>
      <c r="FC14">
        <v>1.8657159999999999E-3</v>
      </c>
      <c r="FD14">
        <v>3.6379549999999999E-4</v>
      </c>
      <c r="FE14">
        <v>2.3099689999999999E-2</v>
      </c>
      <c r="FF14">
        <v>1.295704E-2</v>
      </c>
      <c r="FG14">
        <v>7.4226609999999997E-3</v>
      </c>
      <c r="FH14">
        <v>6.5189429999999997E-4</v>
      </c>
      <c r="FI14">
        <v>1.6097629999999999E-3</v>
      </c>
      <c r="FJ14">
        <v>8.3744419999999993E-3</v>
      </c>
      <c r="FK14">
        <v>2.9019376364410699E-2</v>
      </c>
      <c r="FL14">
        <v>-6.1755176475721797E-2</v>
      </c>
      <c r="FM14">
        <v>-1.92404420969483E-2</v>
      </c>
      <c r="FN14">
        <v>0.14361120361303101</v>
      </c>
      <c r="FO14">
        <v>0.42436527418279302</v>
      </c>
      <c r="FP14">
        <v>0.15376562870607399</v>
      </c>
      <c r="FQ14">
        <v>0.13472546125513499</v>
      </c>
      <c r="FR14">
        <v>-0.111697919393976</v>
      </c>
      <c r="FS14">
        <v>0.11542786961911899</v>
      </c>
      <c r="FT14">
        <v>-4.8816233990738297E-2</v>
      </c>
      <c r="FU14">
        <v>3.0768372120606501E-3</v>
      </c>
      <c r="FV14">
        <v>-0.154858281371274</v>
      </c>
      <c r="FW14">
        <v>5.5085896385814501E-2</v>
      </c>
      <c r="FX14">
        <v>-7.8641619212227497E-4</v>
      </c>
      <c r="FY14">
        <v>-7.4154014042771402E-2</v>
      </c>
      <c r="FZ14">
        <v>0.371105360264881</v>
      </c>
      <c r="GA14">
        <v>7.8702645006074198E-2</v>
      </c>
      <c r="GB14">
        <v>1.43960784885788E-2</v>
      </c>
      <c r="GC14">
        <v>0.111459890171321</v>
      </c>
      <c r="GD14">
        <v>-7.8514501708022905E-2</v>
      </c>
      <c r="GE14">
        <v>-2.55851081567782E-2</v>
      </c>
      <c r="GF14">
        <v>-1.63711645252302E-2</v>
      </c>
      <c r="GG14">
        <v>7.5880067144079397E-2</v>
      </c>
      <c r="GH14">
        <v>9.8676480868517699E-2</v>
      </c>
      <c r="GI14">
        <v>-4.1757144504783704E-3</v>
      </c>
      <c r="GJ14">
        <v>1.8411920444053799E-2</v>
      </c>
      <c r="GK14">
        <v>-9.6885085694031793E-3</v>
      </c>
      <c r="GL14">
        <v>-0.14306420968238301</v>
      </c>
      <c r="GM14">
        <v>-0.12766930220178699</v>
      </c>
      <c r="GN14">
        <v>-0.195889255798256</v>
      </c>
      <c r="GO14">
        <v>0.114273076772045</v>
      </c>
      <c r="GP14">
        <v>-0.234908005738003</v>
      </c>
      <c r="GR14" s="66"/>
      <c r="GT14" s="66"/>
      <c r="GV14" s="66"/>
      <c r="GW14" s="65"/>
      <c r="GZ14" s="66"/>
      <c r="HK14" s="1"/>
      <c r="HL14" s="1"/>
      <c r="HM14" s="1"/>
      <c r="HN14" s="1"/>
      <c r="HO14" s="65"/>
      <c r="HP14" s="65"/>
      <c r="HQ14" s="65"/>
      <c r="HS14" s="65"/>
      <c r="HT14" s="65"/>
      <c r="HU14" s="65"/>
      <c r="HV14" s="65"/>
      <c r="HW14" s="65"/>
      <c r="HX14" s="65"/>
      <c r="JH14" s="66"/>
      <c r="JJ14" s="66"/>
      <c r="JL14" s="66"/>
      <c r="JN14" s="66"/>
    </row>
    <row r="15" spans="1:278" ht="15.75" x14ac:dyDescent="0.25">
      <c r="A15" s="2" t="s">
        <v>68</v>
      </c>
      <c r="B15" s="2" t="s">
        <v>68</v>
      </c>
      <c r="C15" s="2" t="s">
        <v>703</v>
      </c>
      <c r="D15" s="2" t="s">
        <v>457</v>
      </c>
      <c r="E15" s="2" t="s">
        <v>457</v>
      </c>
      <c r="F15" s="2">
        <v>14</v>
      </c>
      <c r="G15" s="2" t="s">
        <v>702</v>
      </c>
      <c r="H15" s="10" t="s">
        <v>656</v>
      </c>
      <c r="I15" s="2">
        <v>150</v>
      </c>
      <c r="J15" s="2">
        <v>65</v>
      </c>
      <c r="K15" s="2">
        <v>4.0999999999999996</v>
      </c>
      <c r="L15" t="s">
        <v>30</v>
      </c>
      <c r="M15" s="2" t="s">
        <v>1120</v>
      </c>
      <c r="N15" s="2" t="s">
        <v>435</v>
      </c>
      <c r="O15" s="2" t="s">
        <v>653</v>
      </c>
      <c r="P15" s="2" t="s">
        <v>1124</v>
      </c>
      <c r="Q15" s="9" t="s">
        <v>662</v>
      </c>
      <c r="R15" s="2" t="str">
        <f t="shared" si="0"/>
        <v>CW_1_Section_1</v>
      </c>
      <c r="S15" s="2" t="str">
        <f t="shared" si="1"/>
        <v>CW_1_MF02</v>
      </c>
      <c r="T15" s="11" t="s">
        <v>691</v>
      </c>
      <c r="U15" s="1">
        <v>45518</v>
      </c>
      <c r="V15" s="2" t="s">
        <v>692</v>
      </c>
      <c r="W15" s="2" t="s">
        <v>663</v>
      </c>
      <c r="X15" s="2" t="s">
        <v>690</v>
      </c>
      <c r="Y15" s="2" t="str">
        <f t="shared" si="2"/>
        <v>T0_MF02</v>
      </c>
      <c r="Z15" s="2" t="str">
        <f t="shared" si="3"/>
        <v>T0_CW_1_MF02</v>
      </c>
      <c r="AA15" s="2" t="str">
        <f t="shared" si="4"/>
        <v>T0_0.60-0.80</v>
      </c>
      <c r="AB15" s="2">
        <v>1</v>
      </c>
      <c r="AC15" s="2">
        <v>3.2000000000000001E-2</v>
      </c>
      <c r="AD15" s="2">
        <v>-1.56</v>
      </c>
      <c r="AE15" s="2">
        <v>0</v>
      </c>
      <c r="AF15" t="s">
        <v>31</v>
      </c>
      <c r="AG15" t="s">
        <v>1237</v>
      </c>
      <c r="AH15">
        <v>65</v>
      </c>
      <c r="AI15">
        <v>23</v>
      </c>
      <c r="AJ15">
        <v>0.83</v>
      </c>
      <c r="AK15">
        <v>0.26</v>
      </c>
      <c r="AL15">
        <v>23.1</v>
      </c>
      <c r="AM15">
        <v>-192</v>
      </c>
      <c r="AN15">
        <v>7.1</v>
      </c>
      <c r="AO15">
        <v>1118</v>
      </c>
      <c r="AP15">
        <v>0.2</v>
      </c>
      <c r="AQ15" t="s">
        <v>443</v>
      </c>
      <c r="AR15">
        <v>12</v>
      </c>
      <c r="AS15">
        <v>12</v>
      </c>
      <c r="AT15">
        <v>510</v>
      </c>
      <c r="AU15" s="32">
        <f t="shared" si="16"/>
        <v>0.19587760850083216</v>
      </c>
      <c r="AV15">
        <v>120</v>
      </c>
      <c r="AW15" s="32">
        <f t="shared" si="5"/>
        <v>4.6885174734100282E-2</v>
      </c>
      <c r="AX15">
        <v>600</v>
      </c>
      <c r="AY15" s="32">
        <f t="shared" si="17"/>
        <v>0.23735518508053122</v>
      </c>
      <c r="AZ15">
        <v>230</v>
      </c>
      <c r="BA15" s="32">
        <f t="shared" si="18"/>
        <v>9.0986154280870299E-2</v>
      </c>
      <c r="BB15">
        <v>310</v>
      </c>
      <c r="BC15" s="32">
        <f t="shared" si="19"/>
        <v>0.12263351229160781</v>
      </c>
      <c r="BD15">
        <v>540</v>
      </c>
      <c r="BF15" s="48">
        <v>1770</v>
      </c>
      <c r="BG15" s="48">
        <f t="shared" si="20"/>
        <v>0.48011796831546366</v>
      </c>
      <c r="BH15">
        <v>3600</v>
      </c>
      <c r="BI15" s="32">
        <f t="shared" si="21"/>
        <v>1.3482094093781698</v>
      </c>
      <c r="BJ15" s="47">
        <v>1700</v>
      </c>
      <c r="BK15" s="27">
        <f t="shared" si="22"/>
        <v>0.63665444331746901</v>
      </c>
      <c r="BL15" s="47">
        <v>83</v>
      </c>
      <c r="BM15" s="27">
        <f t="shared" si="23"/>
        <v>3.0540771404165848E-2</v>
      </c>
      <c r="BN15" s="47">
        <v>75</v>
      </c>
      <c r="BO15" s="27">
        <f t="shared" si="24"/>
        <v>2.8208287400298297E-2</v>
      </c>
      <c r="BP15" s="47">
        <v>32</v>
      </c>
      <c r="BQ15" s="27">
        <f t="shared" si="25"/>
        <v>1.1935988449043436E-2</v>
      </c>
      <c r="BR15" s="47">
        <v>21</v>
      </c>
      <c r="BS15" s="27">
        <f t="shared" si="26"/>
        <v>7.7764686079784548E-3</v>
      </c>
      <c r="BT15" s="47">
        <v>4.3</v>
      </c>
      <c r="BU15" s="27">
        <f t="shared" si="27"/>
        <v>1.5923245244908264E-3</v>
      </c>
      <c r="BV15" s="47">
        <v>0.7</v>
      </c>
      <c r="BW15" s="27">
        <f t="shared" si="28"/>
        <v>2.5611866501854138E-4</v>
      </c>
      <c r="BX15" s="47">
        <v>0.55000000000000004</v>
      </c>
      <c r="BY15" s="27">
        <f t="shared" si="29"/>
        <v>2.0123609394313968E-4</v>
      </c>
      <c r="BZ15" s="51">
        <f t="shared" si="30"/>
        <v>1916.55</v>
      </c>
      <c r="CA15" s="51">
        <f t="shared" si="31"/>
        <v>216.55</v>
      </c>
      <c r="CB15" s="27">
        <f t="shared" si="32"/>
        <v>0.71716563846240766</v>
      </c>
      <c r="CC15" s="27">
        <f t="shared" si="33"/>
        <v>8.0511195144938541E-2</v>
      </c>
      <c r="CD15">
        <v>5900</v>
      </c>
      <c r="CE15">
        <v>1900</v>
      </c>
      <c r="CF15" t="s">
        <v>19</v>
      </c>
      <c r="CG15">
        <v>7800</v>
      </c>
      <c r="CH15" s="32">
        <v>1.5</v>
      </c>
      <c r="CI15" s="32">
        <f t="shared" si="34"/>
        <v>2.685765443151298E-2</v>
      </c>
      <c r="CJ15" s="32">
        <f t="shared" si="35"/>
        <v>2.685765443151298E-2</v>
      </c>
      <c r="CK15" s="32">
        <v>1.4</v>
      </c>
      <c r="CL15" s="32">
        <f t="shared" si="36"/>
        <v>2.5486983433460765E-2</v>
      </c>
      <c r="CM15" s="32">
        <f t="shared" si="37"/>
        <v>5.097396686692153E-2</v>
      </c>
      <c r="CN15" s="27">
        <v>59</v>
      </c>
      <c r="CO15" s="27">
        <f t="shared" si="38"/>
        <v>0.61419945867166348</v>
      </c>
      <c r="CP15" s="27">
        <f t="shared" si="39"/>
        <v>4.9135956693733078</v>
      </c>
      <c r="CQ15" s="57">
        <v>14</v>
      </c>
      <c r="CR15" s="57">
        <v>19.17808219178082</v>
      </c>
      <c r="CS15" s="57">
        <v>1.1659379554445137</v>
      </c>
      <c r="CT15" s="57">
        <f t="shared" si="40"/>
        <v>1.1659379554445137</v>
      </c>
      <c r="CU15" s="28">
        <v>14</v>
      </c>
      <c r="CV15" s="28">
        <v>19.17808219178082</v>
      </c>
      <c r="CW15" s="28">
        <v>1.1659379554445137</v>
      </c>
      <c r="CX15" s="28">
        <f t="shared" si="41"/>
        <v>1.1659379554445137</v>
      </c>
      <c r="CY15" s="32">
        <f t="shared" si="42"/>
        <v>8.1382469290027064</v>
      </c>
      <c r="CZ15" s="32">
        <f t="shared" si="43"/>
        <v>8.1382469290027064</v>
      </c>
      <c r="DA15" s="32">
        <f t="shared" si="44"/>
        <v>9.6382469290027064</v>
      </c>
      <c r="DB15" s="32">
        <f t="shared" si="45"/>
        <v>0.17257380356316393</v>
      </c>
      <c r="DC15" s="32">
        <f t="shared" si="46"/>
        <v>0.17257380356316393</v>
      </c>
      <c r="DD15" s="59">
        <f t="shared" si="47"/>
        <v>8.1382469290027064</v>
      </c>
      <c r="DE15" s="59">
        <f t="shared" si="48"/>
        <v>8.1382469290027064</v>
      </c>
      <c r="DF15" s="59">
        <f t="shared" si="49"/>
        <v>9.6382469290027064</v>
      </c>
      <c r="DG15" s="59">
        <f t="shared" si="50"/>
        <v>0.17257380356316393</v>
      </c>
      <c r="DH15" s="59">
        <f t="shared" si="51"/>
        <v>0.17257380356316393</v>
      </c>
      <c r="DI15" s="32">
        <f t="shared" si="52"/>
        <v>4.9135956693733078</v>
      </c>
      <c r="DJ15" s="32">
        <f t="shared" si="53"/>
        <v>11.038246929002707</v>
      </c>
      <c r="DK15" s="32">
        <f t="shared" si="54"/>
        <v>0.22354777043008545</v>
      </c>
      <c r="DL15">
        <f t="shared" si="60"/>
        <v>1.3894857258745992</v>
      </c>
      <c r="DM15">
        <f t="shared" si="6"/>
        <v>3.668549155827882E-2</v>
      </c>
      <c r="DN15">
        <f t="shared" si="7"/>
        <v>0.12419976711494385</v>
      </c>
      <c r="DO15">
        <f t="shared" si="8"/>
        <v>0.83911474132677732</v>
      </c>
      <c r="DP15">
        <f t="shared" si="55"/>
        <v>1.3894857258745992</v>
      </c>
      <c r="DQ15">
        <f t="shared" si="9"/>
        <v>3.668549155827882E-2</v>
      </c>
      <c r="DR15">
        <f t="shared" si="10"/>
        <v>0.12419976711494385</v>
      </c>
      <c r="DS15">
        <f t="shared" si="11"/>
        <v>0.83911474132677732</v>
      </c>
      <c r="DT15" s="63">
        <f t="shared" si="12"/>
        <v>0.43884165181903434</v>
      </c>
      <c r="DU15" s="63">
        <f t="shared" si="13"/>
        <v>0.43884165181903434</v>
      </c>
      <c r="DV15" s="63">
        <f t="shared" si="14"/>
        <v>0.51935284696397277</v>
      </c>
      <c r="DW15" s="63">
        <f t="shared" si="56"/>
        <v>0.51935284696397277</v>
      </c>
      <c r="DX15" t="str">
        <f t="shared" si="57"/>
        <v>Insufficient Capacity</v>
      </c>
      <c r="DY15" t="str">
        <f t="shared" si="58"/>
        <v>Insufficient Capacity</v>
      </c>
      <c r="DZ15" t="str">
        <f t="shared" si="59"/>
        <v>Sulfate Dominant electron acceptor</v>
      </c>
      <c r="EA15" t="str">
        <f t="shared" si="15"/>
        <v>Sulfate Dominant electron acceptor</v>
      </c>
      <c r="EB15">
        <v>1.024833E-2</v>
      </c>
      <c r="EC15">
        <v>1.685902E-3</v>
      </c>
      <c r="ED15" s="66">
        <v>4.1494020000000001E-6</v>
      </c>
      <c r="EE15">
        <v>1.138967E-4</v>
      </c>
      <c r="EF15">
        <v>1.374264E-3</v>
      </c>
      <c r="EG15" s="66">
        <v>4.5906090000000002E-6</v>
      </c>
      <c r="EH15" s="66">
        <v>2.4792270000000001E-5</v>
      </c>
      <c r="EI15" s="66">
        <v>5.0728910000000002E-5</v>
      </c>
      <c r="EJ15">
        <v>1.250844E-4</v>
      </c>
      <c r="EK15">
        <v>2.4826189999999998E-4</v>
      </c>
      <c r="EL15">
        <v>1.808553E-4</v>
      </c>
      <c r="EM15" s="66">
        <v>2.0674620000000002E-5</v>
      </c>
      <c r="EN15">
        <v>1.8672230000000001E-3</v>
      </c>
      <c r="EO15">
        <v>6.8936010000000001E-4</v>
      </c>
      <c r="EP15">
        <v>1.023232E-3</v>
      </c>
      <c r="EQ15">
        <v>1.7250639999999999E-3</v>
      </c>
      <c r="ER15" s="66">
        <v>4.7351290000000001E-5</v>
      </c>
      <c r="ES15">
        <v>1.8572670000000001E-4</v>
      </c>
      <c r="ET15">
        <v>1.075563E-2</v>
      </c>
      <c r="EU15">
        <v>2.8125060000000002E-3</v>
      </c>
      <c r="EV15">
        <v>1.030353E-2</v>
      </c>
      <c r="EW15">
        <v>4.2922910000000003E-4</v>
      </c>
      <c r="EX15">
        <v>6.0871010000000001E-3</v>
      </c>
      <c r="EY15">
        <v>7.0994989999999996E-3</v>
      </c>
      <c r="EZ15">
        <v>2.6875640000000001E-4</v>
      </c>
      <c r="FA15">
        <v>3.754416E-4</v>
      </c>
      <c r="FB15">
        <v>3.7894760000000002E-4</v>
      </c>
      <c r="FC15">
        <v>1.560259E-3</v>
      </c>
      <c r="FD15" s="66">
        <v>5.988451E-5</v>
      </c>
      <c r="FE15">
        <v>1.9104659999999999E-2</v>
      </c>
      <c r="FF15">
        <v>2.3158049999999999E-2</v>
      </c>
      <c r="FG15">
        <v>1.170422E-2</v>
      </c>
      <c r="FH15">
        <v>7.6346699999999999E-4</v>
      </c>
      <c r="FI15">
        <v>8.3689539999999996E-4</v>
      </c>
      <c r="FJ15">
        <v>1.542468E-2</v>
      </c>
      <c r="FK15">
        <v>-1.61510542101669</v>
      </c>
      <c r="FL15">
        <v>-1.20822680499975</v>
      </c>
      <c r="FM15">
        <v>-0.96776993769099195</v>
      </c>
      <c r="FN15">
        <v>-2.4830402441158101</v>
      </c>
      <c r="FO15">
        <v>-0.44768501005685701</v>
      </c>
      <c r="FP15">
        <v>-1.2629982948532099</v>
      </c>
      <c r="FQ15">
        <v>-1.06380786108903</v>
      </c>
      <c r="FR15">
        <v>-0.92397361028089997</v>
      </c>
      <c r="FS15">
        <v>-2.5207131526522</v>
      </c>
      <c r="FT15">
        <v>-8.5318962703119894E-2</v>
      </c>
      <c r="FU15">
        <v>-0.169020124584224</v>
      </c>
      <c r="FV15">
        <v>-0.72769592152116602</v>
      </c>
      <c r="FW15">
        <v>0.35606907398066501</v>
      </c>
      <c r="FX15">
        <v>-2.1241961265040299</v>
      </c>
      <c r="FY15">
        <v>-1.3214537581594901</v>
      </c>
      <c r="FZ15">
        <v>0.21442247284765001</v>
      </c>
      <c r="GA15">
        <v>1.53229258829422E-2</v>
      </c>
      <c r="GB15">
        <v>0.15323767754915399</v>
      </c>
      <c r="GC15">
        <v>-0.40654606815928102</v>
      </c>
      <c r="GD15">
        <v>0.20179550362375301</v>
      </c>
      <c r="GE15">
        <v>4.71163112150439E-2</v>
      </c>
      <c r="GF15">
        <v>-1.5561106977077901</v>
      </c>
      <c r="GG15">
        <v>-0.92393366515848896</v>
      </c>
      <c r="GH15">
        <v>-0.95883606114493003</v>
      </c>
      <c r="GI15">
        <v>-0.182968774957429</v>
      </c>
      <c r="GJ15">
        <v>-1.78576210211322</v>
      </c>
      <c r="GK15">
        <v>-0.19957542174155801</v>
      </c>
      <c r="GL15">
        <v>0.43763897281018599</v>
      </c>
      <c r="GM15">
        <v>0.32774254010633502</v>
      </c>
      <c r="GN15">
        <v>-3.7901786297521098E-2</v>
      </c>
      <c r="GO15">
        <v>-0.53987007285316801</v>
      </c>
      <c r="GP15">
        <v>0.37587636966951699</v>
      </c>
      <c r="HK15" s="1"/>
      <c r="HL15" s="1"/>
      <c r="HM15" s="65"/>
      <c r="HN15" s="1"/>
      <c r="HO15" s="65"/>
      <c r="HP15" s="65"/>
      <c r="HQ15" s="65"/>
      <c r="HS15" s="65"/>
      <c r="HT15" s="65"/>
      <c r="HU15" s="65"/>
      <c r="HV15" s="65"/>
      <c r="HW15" s="65"/>
      <c r="HX15" s="65"/>
      <c r="JJ15" s="66"/>
      <c r="JL15" s="66"/>
      <c r="JN15" s="66"/>
    </row>
    <row r="16" spans="1:278" ht="15.75" x14ac:dyDescent="0.25">
      <c r="A16" s="2" t="s">
        <v>69</v>
      </c>
      <c r="B16" s="2" t="s">
        <v>69</v>
      </c>
      <c r="C16" s="2" t="s">
        <v>705</v>
      </c>
      <c r="D16" s="2" t="s">
        <v>458</v>
      </c>
      <c r="E16" s="2" t="s">
        <v>458</v>
      </c>
      <c r="F16" s="2">
        <v>15</v>
      </c>
      <c r="G16" s="2" t="s">
        <v>704</v>
      </c>
      <c r="H16" s="10" t="s">
        <v>656</v>
      </c>
      <c r="I16" s="2">
        <v>150</v>
      </c>
      <c r="J16" s="2">
        <v>65</v>
      </c>
      <c r="K16" s="2">
        <v>8.35</v>
      </c>
      <c r="L16" t="s">
        <v>32</v>
      </c>
      <c r="M16" s="2" t="s">
        <v>1120</v>
      </c>
      <c r="N16" s="2" t="s">
        <v>435</v>
      </c>
      <c r="O16" s="2" t="s">
        <v>666</v>
      </c>
      <c r="P16" s="2" t="s">
        <v>1131</v>
      </c>
      <c r="Q16" s="9" t="s">
        <v>667</v>
      </c>
      <c r="R16" s="2" t="str">
        <f t="shared" si="0"/>
        <v>CW_1_Section_2</v>
      </c>
      <c r="S16" s="2" t="str">
        <f t="shared" si="1"/>
        <v>CW_1_MF05</v>
      </c>
      <c r="T16" s="11" t="s">
        <v>691</v>
      </c>
      <c r="U16" s="1">
        <v>45518</v>
      </c>
      <c r="V16" s="2" t="s">
        <v>692</v>
      </c>
      <c r="W16" s="2" t="s">
        <v>655</v>
      </c>
      <c r="X16" s="2" t="s">
        <v>690</v>
      </c>
      <c r="Y16" s="2" t="str">
        <f t="shared" si="2"/>
        <v>T0_MF05</v>
      </c>
      <c r="Z16" s="2" t="str">
        <f t="shared" si="3"/>
        <v>T0_CW_1_MF05</v>
      </c>
      <c r="AA16" s="2" t="str">
        <f t="shared" si="4"/>
        <v>T0_0.15-0.30</v>
      </c>
      <c r="AB16" s="2">
        <v>1</v>
      </c>
      <c r="AC16" s="2">
        <v>3.2000000000000001E-2</v>
      </c>
      <c r="AD16" s="2">
        <v>-1.56</v>
      </c>
      <c r="AE16" s="2">
        <v>0</v>
      </c>
      <c r="AF16" t="s">
        <v>33</v>
      </c>
      <c r="AG16" t="s">
        <v>1237</v>
      </c>
      <c r="AH16">
        <v>13</v>
      </c>
      <c r="AI16">
        <v>3.7</v>
      </c>
      <c r="AJ16">
        <v>2</v>
      </c>
      <c r="AK16">
        <v>0.36</v>
      </c>
      <c r="AL16">
        <v>24.8</v>
      </c>
      <c r="AM16">
        <v>-133</v>
      </c>
      <c r="AN16">
        <v>7.02</v>
      </c>
      <c r="AO16">
        <v>755</v>
      </c>
      <c r="AP16">
        <v>0.1</v>
      </c>
      <c r="AQ16" t="s">
        <v>443</v>
      </c>
      <c r="AR16">
        <v>32</v>
      </c>
      <c r="AS16">
        <v>32</v>
      </c>
      <c r="AT16">
        <v>2.6</v>
      </c>
      <c r="AU16" s="32">
        <f t="shared" si="16"/>
        <v>9.9859172961208544E-4</v>
      </c>
      <c r="AV16">
        <v>0.6</v>
      </c>
      <c r="AW16" s="32">
        <f t="shared" si="5"/>
        <v>2.3442587367050142E-4</v>
      </c>
      <c r="AX16">
        <v>1.6</v>
      </c>
      <c r="AY16" s="32">
        <f t="shared" si="17"/>
        <v>6.3294716021474991E-4</v>
      </c>
      <c r="AZ16">
        <v>0.75</v>
      </c>
      <c r="BA16" s="32">
        <f t="shared" si="18"/>
        <v>2.9669398135066403E-4</v>
      </c>
      <c r="BB16">
        <v>0.73</v>
      </c>
      <c r="BC16" s="32">
        <f t="shared" si="19"/>
        <v>2.8878214184797967E-4</v>
      </c>
      <c r="BD16">
        <v>1.48</v>
      </c>
      <c r="BF16" s="48">
        <v>6.28</v>
      </c>
      <c r="BG16" s="48">
        <f t="shared" si="20"/>
        <v>1.8659647634973369E-3</v>
      </c>
      <c r="BH16">
        <v>18</v>
      </c>
      <c r="BI16" s="32">
        <f t="shared" si="21"/>
        <v>6.7410470468908471E-3</v>
      </c>
      <c r="BJ16" s="47">
        <v>9.1</v>
      </c>
      <c r="BK16" s="27">
        <f t="shared" si="22"/>
        <v>3.4079737848170394E-3</v>
      </c>
      <c r="BL16" s="47">
        <v>0.31</v>
      </c>
      <c r="BM16" s="27">
        <f t="shared" si="23"/>
        <v>1.1406794138905315E-4</v>
      </c>
      <c r="BN16" s="47">
        <v>0.17</v>
      </c>
      <c r="BO16" s="27">
        <f t="shared" si="24"/>
        <v>6.3938784774009473E-5</v>
      </c>
      <c r="BP16" s="47">
        <v>5.0000000000000001E-3</v>
      </c>
      <c r="BQ16" s="27">
        <f t="shared" si="25"/>
        <v>1.8649981951630372E-6</v>
      </c>
      <c r="BR16" s="47">
        <v>0.04</v>
      </c>
      <c r="BS16" s="27">
        <f t="shared" si="26"/>
        <v>1.4812321158054199E-5</v>
      </c>
      <c r="BT16" s="47">
        <v>1E-3</v>
      </c>
      <c r="BU16" s="27">
        <f t="shared" si="27"/>
        <v>3.7030802895135499E-7</v>
      </c>
      <c r="BV16" s="47">
        <v>1E-3</v>
      </c>
      <c r="BW16" s="27">
        <f t="shared" si="28"/>
        <v>3.6588380716934485E-7</v>
      </c>
      <c r="BX16" s="47">
        <v>2E-3</v>
      </c>
      <c r="BY16" s="27">
        <f t="shared" si="29"/>
        <v>7.3176761433868969E-7</v>
      </c>
      <c r="BZ16" s="51">
        <f t="shared" si="30"/>
        <v>9.6289999999999996</v>
      </c>
      <c r="CA16" s="51">
        <f t="shared" si="31"/>
        <v>0.52900000000000003</v>
      </c>
      <c r="CB16" s="27">
        <f t="shared" si="32"/>
        <v>3.6041257897837789E-3</v>
      </c>
      <c r="CC16" s="27">
        <f t="shared" si="33"/>
        <v>1.9615200496673929E-4</v>
      </c>
      <c r="CD16">
        <v>30</v>
      </c>
      <c r="CE16">
        <v>2.5</v>
      </c>
      <c r="CF16" t="s">
        <v>19</v>
      </c>
      <c r="CG16">
        <v>5</v>
      </c>
      <c r="CH16" s="32">
        <v>4.5999999999999996</v>
      </c>
      <c r="CI16" s="32">
        <f t="shared" si="34"/>
        <v>8.2363473589973132E-2</v>
      </c>
      <c r="CJ16" s="32">
        <f t="shared" si="35"/>
        <v>8.2363473589973132E-2</v>
      </c>
      <c r="CK16" s="32">
        <v>5.0999999999999996</v>
      </c>
      <c r="CL16" s="32">
        <f t="shared" si="36"/>
        <v>9.2845439650464226E-2</v>
      </c>
      <c r="CM16" s="32">
        <f t="shared" si="37"/>
        <v>0.18569087930092845</v>
      </c>
      <c r="CN16" s="27">
        <v>0.5</v>
      </c>
      <c r="CO16" s="27">
        <f t="shared" si="38"/>
        <v>5.2050801582344368E-3</v>
      </c>
      <c r="CP16" s="27">
        <f t="shared" si="39"/>
        <v>4.1640641265875494E-2</v>
      </c>
      <c r="CQ16" s="57">
        <v>72.5</v>
      </c>
      <c r="CR16" s="57">
        <v>99.315068493150676</v>
      </c>
      <c r="CS16" s="57">
        <v>6.0378929835519468</v>
      </c>
      <c r="CT16" s="57">
        <f t="shared" si="40"/>
        <v>6.0378929835519468</v>
      </c>
      <c r="CU16" s="28">
        <v>0</v>
      </c>
      <c r="CV16" s="28">
        <v>0</v>
      </c>
      <c r="CW16" s="28">
        <v>0</v>
      </c>
      <c r="CX16" s="28">
        <f t="shared" si="41"/>
        <v>0</v>
      </c>
      <c r="CY16" s="32">
        <f t="shared" si="42"/>
        <v>42.144493025192588</v>
      </c>
      <c r="CZ16" s="32">
        <f t="shared" si="43"/>
        <v>42.144493025192588</v>
      </c>
      <c r="DA16" s="32">
        <f t="shared" si="44"/>
        <v>46.74449302519259</v>
      </c>
      <c r="DB16" s="32">
        <f t="shared" si="45"/>
        <v>0.83696496016459421</v>
      </c>
      <c r="DC16" s="32">
        <f t="shared" si="46"/>
        <v>0.83696496016459421</v>
      </c>
      <c r="DD16" s="59">
        <f t="shared" si="47"/>
        <v>0</v>
      </c>
      <c r="DE16" s="59">
        <f t="shared" si="48"/>
        <v>0</v>
      </c>
      <c r="DF16" s="59">
        <f t="shared" si="49"/>
        <v>4.5999999999999996</v>
      </c>
      <c r="DG16" s="59">
        <f t="shared" si="50"/>
        <v>8.2363473589973132E-2</v>
      </c>
      <c r="DH16" s="59">
        <f t="shared" si="51"/>
        <v>8.2363473589973132E-2</v>
      </c>
      <c r="DI16" s="32">
        <f t="shared" si="52"/>
        <v>4.1640641265875494E-2</v>
      </c>
      <c r="DJ16" s="32">
        <f t="shared" si="53"/>
        <v>9.6999999999999993</v>
      </c>
      <c r="DK16" s="32">
        <f t="shared" si="54"/>
        <v>0.26805435289090157</v>
      </c>
      <c r="DL16">
        <f t="shared" si="60"/>
        <v>7.06054882301747</v>
      </c>
      <c r="DM16">
        <f t="shared" si="6"/>
        <v>2.6299779798359874E-2</v>
      </c>
      <c r="DN16">
        <f t="shared" si="7"/>
        <v>0.11854106262052588</v>
      </c>
      <c r="DO16">
        <f t="shared" si="8"/>
        <v>0.85515915758111416</v>
      </c>
      <c r="DP16">
        <f t="shared" si="55"/>
        <v>0.26805435289090157</v>
      </c>
      <c r="DQ16">
        <f t="shared" si="9"/>
        <v>0.69273592201841561</v>
      </c>
      <c r="DR16">
        <f t="shared" si="10"/>
        <v>0.30726407798158445</v>
      </c>
      <c r="DS16">
        <f t="shared" si="11"/>
        <v>0</v>
      </c>
      <c r="DT16" s="63">
        <f t="shared" si="12"/>
        <v>-7.0519418112070822</v>
      </c>
      <c r="DU16" s="63">
        <f t="shared" si="13"/>
        <v>-0.25944734108051337</v>
      </c>
      <c r="DV16" s="63">
        <f t="shared" si="14"/>
        <v>-7.0517456592021155</v>
      </c>
      <c r="DW16" s="63">
        <f t="shared" si="56"/>
        <v>-0.25925118907554667</v>
      </c>
      <c r="DX16" t="str">
        <f t="shared" si="57"/>
        <v>Sufficient Capacity</v>
      </c>
      <c r="DY16" t="str">
        <f t="shared" si="58"/>
        <v>Sufficient Capacity</v>
      </c>
      <c r="DZ16" t="str">
        <f t="shared" si="59"/>
        <v>Sulfate Dominant electron acceptor</v>
      </c>
      <c r="EA16" t="str">
        <f t="shared" si="15"/>
        <v>Iron Dominant electron acceptor</v>
      </c>
      <c r="EB16">
        <v>8.9741769999999998E-3</v>
      </c>
      <c r="EC16">
        <v>1.033478E-3</v>
      </c>
      <c r="ED16" s="66">
        <v>4.1332360000000001E-5</v>
      </c>
      <c r="EE16">
        <v>3.1439439999999999E-4</v>
      </c>
      <c r="EF16">
        <v>3.3176130000000001E-3</v>
      </c>
      <c r="EG16" s="66">
        <v>2.1650789999999999E-5</v>
      </c>
      <c r="EH16">
        <v>1.3542219999999999E-4</v>
      </c>
      <c r="EI16">
        <v>1.8397819999999999E-4</v>
      </c>
      <c r="EJ16">
        <v>3.8022590000000002E-4</v>
      </c>
      <c r="EK16">
        <v>6.5230560000000004E-4</v>
      </c>
      <c r="EL16">
        <v>2.7950590000000002E-4</v>
      </c>
      <c r="EM16">
        <v>1.3814280000000001E-4</v>
      </c>
      <c r="EN16">
        <v>2.1985809999999998E-3</v>
      </c>
      <c r="EO16">
        <v>9.0901190000000002E-4</v>
      </c>
      <c r="EP16">
        <v>1.442577E-3</v>
      </c>
      <c r="EQ16">
        <v>1.5597930000000001E-3</v>
      </c>
      <c r="ER16">
        <v>2.8118650000000001E-4</v>
      </c>
      <c r="ES16">
        <v>4.8825749999999998E-4</v>
      </c>
      <c r="ET16">
        <v>1.8439290000000001E-2</v>
      </c>
      <c r="EU16">
        <v>2.823463E-3</v>
      </c>
      <c r="EV16">
        <v>1.096422E-2</v>
      </c>
      <c r="EW16">
        <v>4.834773E-4</v>
      </c>
      <c r="EX16">
        <v>5.1078629999999998E-3</v>
      </c>
      <c r="EY16">
        <v>6.0068960000000003E-3</v>
      </c>
      <c r="EZ16">
        <v>8.7987899999999997E-4</v>
      </c>
      <c r="FA16">
        <v>6.0836189999999995E-4</v>
      </c>
      <c r="FB16">
        <v>6.2376019999999996E-4</v>
      </c>
      <c r="FC16">
        <v>1.7903179999999999E-3</v>
      </c>
      <c r="FD16">
        <v>2.7811859999999998E-4</v>
      </c>
      <c r="FE16">
        <v>1.9285650000000001E-2</v>
      </c>
      <c r="FF16">
        <v>1.237065E-2</v>
      </c>
      <c r="FG16">
        <v>6.71026E-3</v>
      </c>
      <c r="FH16">
        <v>4.309548E-4</v>
      </c>
      <c r="FI16">
        <v>1.091624E-3</v>
      </c>
      <c r="FJ16">
        <v>9.2076050000000007E-3</v>
      </c>
      <c r="FK16">
        <v>-0.59974906957537399</v>
      </c>
      <c r="FL16">
        <v>-0.32689957164377098</v>
      </c>
      <c r="FM16">
        <v>0.58325931068933001</v>
      </c>
      <c r="FN16">
        <v>-0.78517484947233696</v>
      </c>
      <c r="FO16">
        <v>0.84063629722441002</v>
      </c>
      <c r="FP16">
        <v>-0.15122145453538799</v>
      </c>
      <c r="FQ16">
        <v>-9.7778934642183096E-2</v>
      </c>
      <c r="FR16">
        <v>-0.48864747280853998</v>
      </c>
      <c r="FS16">
        <v>-0.62133208096000803</v>
      </c>
      <c r="FT16">
        <v>7.8040889175703398E-2</v>
      </c>
      <c r="FU16">
        <v>0.10757428482310701</v>
      </c>
      <c r="FV16">
        <v>-0.38423106922290401</v>
      </c>
      <c r="FW16">
        <v>0.255358042885659</v>
      </c>
      <c r="FX16">
        <v>-0.34277203944398499</v>
      </c>
      <c r="FY16">
        <v>-0.35488706585163299</v>
      </c>
      <c r="FZ16">
        <v>0.75347684857107</v>
      </c>
      <c r="GA16">
        <v>1.9211170763068001E-2</v>
      </c>
      <c r="GB16">
        <v>0.21538836649020299</v>
      </c>
      <c r="GC16">
        <v>-0.28753251271327301</v>
      </c>
      <c r="GD16">
        <v>2.6404678648159301E-2</v>
      </c>
      <c r="GE16">
        <v>-0.11999976437875801</v>
      </c>
      <c r="GF16">
        <v>-0.37013169280134101</v>
      </c>
      <c r="GG16">
        <v>-0.441266663151826</v>
      </c>
      <c r="GH16">
        <v>-0.46046799845612502</v>
      </c>
      <c r="GI16">
        <v>-4.5427350373757697E-2</v>
      </c>
      <c r="GJ16">
        <v>-0.25013233470992402</v>
      </c>
      <c r="GK16">
        <v>-0.19014641004945601</v>
      </c>
      <c r="GL16">
        <v>-0.18937674795135401</v>
      </c>
      <c r="GM16">
        <v>-0.22856922205729899</v>
      </c>
      <c r="GN16">
        <v>-0.60976847580371796</v>
      </c>
      <c r="GO16">
        <v>-0.27414739073382499</v>
      </c>
      <c r="GP16">
        <v>-0.140062681344787</v>
      </c>
      <c r="GR16" s="66"/>
      <c r="GT16" s="66"/>
      <c r="GV16" s="66"/>
      <c r="GW16" s="65"/>
      <c r="HK16" s="1"/>
      <c r="HL16" s="1"/>
      <c r="HM16" s="1"/>
      <c r="HN16" s="1"/>
      <c r="HO16" s="65"/>
      <c r="HP16" s="65"/>
      <c r="HQ16" s="65"/>
      <c r="HV16" s="65"/>
      <c r="HW16" s="65"/>
      <c r="HX16" s="65"/>
      <c r="JB16" s="66"/>
      <c r="JD16" s="66"/>
      <c r="JF16" s="66"/>
      <c r="JH16" s="66"/>
      <c r="JJ16" s="66"/>
      <c r="JL16" s="66"/>
      <c r="JN16" s="66"/>
    </row>
    <row r="17" spans="1:278" ht="15.75" x14ac:dyDescent="0.25">
      <c r="A17" s="2" t="s">
        <v>70</v>
      </c>
      <c r="B17" s="2" t="s">
        <v>70</v>
      </c>
      <c r="C17" s="2" t="s">
        <v>707</v>
      </c>
      <c r="D17" s="2" t="s">
        <v>459</v>
      </c>
      <c r="E17" s="2" t="s">
        <v>459</v>
      </c>
      <c r="F17" s="2">
        <v>16</v>
      </c>
      <c r="G17" s="2" t="s">
        <v>706</v>
      </c>
      <c r="H17" s="10" t="s">
        <v>656</v>
      </c>
      <c r="I17" s="2">
        <v>150</v>
      </c>
      <c r="J17" s="2">
        <v>65</v>
      </c>
      <c r="K17" s="2">
        <v>20.350000000000001</v>
      </c>
      <c r="L17" t="s">
        <v>24</v>
      </c>
      <c r="M17" s="2" t="s">
        <v>1120</v>
      </c>
      <c r="N17" s="2" t="s">
        <v>435</v>
      </c>
      <c r="O17" s="2" t="s">
        <v>666</v>
      </c>
      <c r="P17" s="2" t="s">
        <v>1132</v>
      </c>
      <c r="Q17" s="9" t="s">
        <v>670</v>
      </c>
      <c r="R17" s="2" t="str">
        <f t="shared" si="0"/>
        <v>CW_1_Section_2</v>
      </c>
      <c r="S17" s="2" t="str">
        <f t="shared" si="1"/>
        <v>CW_1_MF06</v>
      </c>
      <c r="T17" s="11" t="s">
        <v>691</v>
      </c>
      <c r="U17" s="1">
        <v>45518</v>
      </c>
      <c r="V17" s="2" t="s">
        <v>692</v>
      </c>
      <c r="W17" s="2" t="s">
        <v>663</v>
      </c>
      <c r="X17" s="2" t="s">
        <v>690</v>
      </c>
      <c r="Y17" s="2" t="str">
        <f t="shared" si="2"/>
        <v>T0_MF06</v>
      </c>
      <c r="Z17" s="2" t="str">
        <f t="shared" si="3"/>
        <v>T0_CW_1_MF06</v>
      </c>
      <c r="AA17" s="2" t="str">
        <f t="shared" si="4"/>
        <v>T0_0.60-0.80</v>
      </c>
      <c r="AB17" s="2">
        <v>1</v>
      </c>
      <c r="AC17" s="2">
        <v>3.2000000000000001E-2</v>
      </c>
      <c r="AD17" s="2">
        <v>-1.56</v>
      </c>
      <c r="AE17" s="2">
        <v>0</v>
      </c>
      <c r="AF17" t="s">
        <v>25</v>
      </c>
      <c r="AG17" t="s">
        <v>1237</v>
      </c>
      <c r="AH17">
        <v>63</v>
      </c>
      <c r="AI17">
        <v>20</v>
      </c>
      <c r="AJ17">
        <v>1.7</v>
      </c>
      <c r="AK17">
        <v>0.37</v>
      </c>
      <c r="AL17">
        <v>23.8</v>
      </c>
      <c r="AM17">
        <v>-134</v>
      </c>
      <c r="AN17">
        <v>7.05</v>
      </c>
      <c r="AO17">
        <v>799</v>
      </c>
      <c r="AP17">
        <v>0.3</v>
      </c>
      <c r="AQ17" t="s">
        <v>443</v>
      </c>
      <c r="AR17">
        <v>23</v>
      </c>
      <c r="AS17">
        <v>18</v>
      </c>
      <c r="AT17">
        <v>310</v>
      </c>
      <c r="AU17" s="32">
        <f t="shared" si="16"/>
        <v>0.11906286006913326</v>
      </c>
      <c r="AV17">
        <v>18</v>
      </c>
      <c r="AW17" s="32">
        <f t="shared" si="5"/>
        <v>7.0327762101150427E-3</v>
      </c>
      <c r="AX17">
        <v>28</v>
      </c>
      <c r="AY17" s="32">
        <f t="shared" si="17"/>
        <v>1.1076575303758125E-2</v>
      </c>
      <c r="AZ17">
        <v>14</v>
      </c>
      <c r="BA17" s="32">
        <f t="shared" si="18"/>
        <v>5.5382876518790623E-3</v>
      </c>
      <c r="BB17">
        <v>6.3</v>
      </c>
      <c r="BC17" s="32">
        <f t="shared" si="19"/>
        <v>2.4922294433455776E-3</v>
      </c>
      <c r="BD17">
        <v>20.3</v>
      </c>
      <c r="BF17" s="48">
        <v>376.3</v>
      </c>
      <c r="BG17" s="48">
        <f t="shared" si="20"/>
        <v>0.13717221158300644</v>
      </c>
      <c r="BH17">
        <v>5.6</v>
      </c>
      <c r="BI17" s="32">
        <f t="shared" si="21"/>
        <v>2.0972146368104859E-3</v>
      </c>
      <c r="BJ17" s="47">
        <v>2.2000000000000002</v>
      </c>
      <c r="BK17" s="27">
        <f t="shared" si="22"/>
        <v>8.2390575017554819E-4</v>
      </c>
      <c r="BL17" s="47">
        <v>0.01</v>
      </c>
      <c r="BM17" s="27">
        <f t="shared" si="23"/>
        <v>3.6796110125501018E-6</v>
      </c>
      <c r="BN17" s="47">
        <v>0.01</v>
      </c>
      <c r="BO17" s="27">
        <f t="shared" si="24"/>
        <v>3.7611049867064394E-6</v>
      </c>
      <c r="BP17" s="47">
        <v>5.0000000000000001E-3</v>
      </c>
      <c r="BQ17" s="27">
        <f t="shared" si="25"/>
        <v>1.8649981951630372E-6</v>
      </c>
      <c r="BR17" s="47">
        <v>1E-3</v>
      </c>
      <c r="BS17" s="27">
        <f t="shared" si="26"/>
        <v>3.7030802895135499E-7</v>
      </c>
      <c r="BT17" s="47">
        <v>1E-3</v>
      </c>
      <c r="BU17" s="27">
        <f t="shared" si="27"/>
        <v>3.7030802895135499E-7</v>
      </c>
      <c r="BV17" s="47">
        <v>1E-3</v>
      </c>
      <c r="BW17" s="27">
        <f t="shared" si="28"/>
        <v>3.6588380716934485E-7</v>
      </c>
      <c r="BX17" s="47">
        <v>2E-3</v>
      </c>
      <c r="BY17" s="27">
        <f t="shared" si="29"/>
        <v>7.3176761433868969E-7</v>
      </c>
      <c r="BZ17" s="51">
        <f t="shared" si="30"/>
        <v>2.2299999999999991</v>
      </c>
      <c r="CA17" s="51">
        <f t="shared" si="31"/>
        <v>3.0000000000000006E-2</v>
      </c>
      <c r="CB17" s="27">
        <f t="shared" si="32"/>
        <v>8.3504973184937844E-4</v>
      </c>
      <c r="CC17" s="27">
        <f t="shared" si="33"/>
        <v>1.1143981673830322E-5</v>
      </c>
      <c r="CD17">
        <v>2.5</v>
      </c>
      <c r="CE17">
        <v>2.5</v>
      </c>
      <c r="CF17" t="s">
        <v>19</v>
      </c>
      <c r="CG17">
        <v>5</v>
      </c>
      <c r="CH17" s="32">
        <v>17</v>
      </c>
      <c r="CI17" s="32">
        <f t="shared" si="34"/>
        <v>0.30438675022381378</v>
      </c>
      <c r="CJ17" s="32">
        <f t="shared" si="35"/>
        <v>0.30438675022381378</v>
      </c>
      <c r="CK17" s="32">
        <v>3.9</v>
      </c>
      <c r="CL17" s="32">
        <f t="shared" si="36"/>
        <v>7.0999453850354999E-2</v>
      </c>
      <c r="CM17" s="32">
        <f t="shared" si="37"/>
        <v>0.14199890770071</v>
      </c>
      <c r="CN17" s="27">
        <v>0.5</v>
      </c>
      <c r="CO17" s="27">
        <f t="shared" si="38"/>
        <v>5.2050801582344368E-3</v>
      </c>
      <c r="CP17" s="27">
        <f t="shared" si="39"/>
        <v>4.1640641265875494E-2</v>
      </c>
      <c r="CQ17" s="57">
        <v>72.5</v>
      </c>
      <c r="CR17" s="57">
        <v>99.315068493150676</v>
      </c>
      <c r="CS17" s="57">
        <v>6.0378929835519468</v>
      </c>
      <c r="CT17" s="57">
        <f t="shared" si="40"/>
        <v>6.0378929835519468</v>
      </c>
      <c r="CU17" s="28">
        <v>58.5</v>
      </c>
      <c r="CV17" s="28">
        <v>99.152542372881356</v>
      </c>
      <c r="CW17" s="28">
        <v>4.8719550281074326</v>
      </c>
      <c r="CX17" s="28">
        <f t="shared" si="41"/>
        <v>4.8719550281074326</v>
      </c>
      <c r="CY17" s="32">
        <f t="shared" si="42"/>
        <v>42.144493025192588</v>
      </c>
      <c r="CZ17" s="32">
        <f t="shared" si="43"/>
        <v>42.144493025192588</v>
      </c>
      <c r="DA17" s="32">
        <f t="shared" si="44"/>
        <v>59.144493025192588</v>
      </c>
      <c r="DB17" s="32">
        <f t="shared" si="45"/>
        <v>1.0589882367984349</v>
      </c>
      <c r="DC17" s="32">
        <f t="shared" si="46"/>
        <v>1.0589882367984349</v>
      </c>
      <c r="DD17" s="59">
        <f t="shared" si="47"/>
        <v>34.006246096189876</v>
      </c>
      <c r="DE17" s="59">
        <f t="shared" si="48"/>
        <v>34.006246096189876</v>
      </c>
      <c r="DF17" s="59">
        <f t="shared" si="49"/>
        <v>51.006246096189876</v>
      </c>
      <c r="DG17" s="59">
        <f t="shared" si="50"/>
        <v>0.91327208766678381</v>
      </c>
      <c r="DH17" s="59">
        <f t="shared" si="51"/>
        <v>0.91327208766678381</v>
      </c>
      <c r="DI17" s="32">
        <f t="shared" si="52"/>
        <v>4.1640641265875494E-2</v>
      </c>
      <c r="DJ17" s="32">
        <f t="shared" si="53"/>
        <v>54.906246096189875</v>
      </c>
      <c r="DK17" s="32">
        <f t="shared" si="54"/>
        <v>1.0552709953674939</v>
      </c>
      <c r="DL17">
        <f t="shared" si="60"/>
        <v>7.2388801280510915</v>
      </c>
      <c r="DM17">
        <f t="shared" si="6"/>
        <v>1.9616142992954916E-2</v>
      </c>
      <c r="DN17">
        <f t="shared" si="7"/>
        <v>0.14629172165661267</v>
      </c>
      <c r="DO17">
        <f t="shared" si="8"/>
        <v>0.83409213535043247</v>
      </c>
      <c r="DP17">
        <f t="shared" si="55"/>
        <v>5.9272260234749261</v>
      </c>
      <c r="DQ17">
        <f t="shared" si="9"/>
        <v>2.3957059700156498E-2</v>
      </c>
      <c r="DR17">
        <f t="shared" si="10"/>
        <v>0.15408086076855293</v>
      </c>
      <c r="DS17">
        <f t="shared" si="11"/>
        <v>0.82196207953129063</v>
      </c>
      <c r="DT17" s="63">
        <f t="shared" si="12"/>
        <v>-7.0996107018312742</v>
      </c>
      <c r="DU17" s="63">
        <f t="shared" si="13"/>
        <v>-5.7879565972551088</v>
      </c>
      <c r="DV17" s="63">
        <f t="shared" si="14"/>
        <v>-7.0995995578496007</v>
      </c>
      <c r="DW17" s="63">
        <f t="shared" si="56"/>
        <v>-5.7879454532734353</v>
      </c>
      <c r="DX17" t="str">
        <f t="shared" si="57"/>
        <v>Sufficient Capacity</v>
      </c>
      <c r="DY17" t="str">
        <f t="shared" si="58"/>
        <v>Sufficient Capacity</v>
      </c>
      <c r="DZ17" t="str">
        <f t="shared" si="59"/>
        <v>Sulfate Dominant electron acceptor</v>
      </c>
      <c r="EA17" t="str">
        <f t="shared" si="15"/>
        <v>Sulfate Dominant electron acceptor</v>
      </c>
      <c r="EB17">
        <v>9.752251E-3</v>
      </c>
      <c r="EC17">
        <v>1.6095269999999999E-3</v>
      </c>
      <c r="ED17" s="66">
        <v>4.7078190000000004E-6</v>
      </c>
      <c r="EE17">
        <v>6.6181710000000002E-4</v>
      </c>
      <c r="EF17">
        <v>4.9319350000000001E-3</v>
      </c>
      <c r="EG17" s="66">
        <v>9.5727299999999994E-6</v>
      </c>
      <c r="EH17">
        <v>3.7392680000000001E-4</v>
      </c>
      <c r="EI17">
        <v>1.120243E-4</v>
      </c>
      <c r="EJ17">
        <v>6.4008420000000003E-4</v>
      </c>
      <c r="EK17">
        <v>9.851644000000001E-4</v>
      </c>
      <c r="EL17">
        <v>4.6489269999999997E-4</v>
      </c>
      <c r="EM17">
        <v>3.0362979999999998E-4</v>
      </c>
      <c r="EN17">
        <v>2.0336769999999998E-3</v>
      </c>
      <c r="EO17">
        <v>8.7596069999999998E-4</v>
      </c>
      <c r="EP17">
        <v>1.9625850000000002E-3</v>
      </c>
      <c r="EQ17">
        <v>1.336582E-3</v>
      </c>
      <c r="ER17">
        <v>4.8811729999999998E-4</v>
      </c>
      <c r="ES17">
        <v>7.2345910000000001E-4</v>
      </c>
      <c r="ET17">
        <v>9.4358800000000007E-3</v>
      </c>
      <c r="EU17">
        <v>2.8213040000000002E-3</v>
      </c>
      <c r="EV17">
        <v>8.5387280000000006E-3</v>
      </c>
      <c r="EW17">
        <v>8.5157509999999996E-4</v>
      </c>
      <c r="EX17">
        <v>4.82403E-3</v>
      </c>
      <c r="EY17">
        <v>7.1040950000000004E-3</v>
      </c>
      <c r="EZ17">
        <v>1.3579969999999999E-3</v>
      </c>
      <c r="FA17">
        <v>1.0724230000000001E-3</v>
      </c>
      <c r="FB17">
        <v>1.0994360000000001E-3</v>
      </c>
      <c r="FC17">
        <v>1.6967600000000001E-3</v>
      </c>
      <c r="FD17">
        <v>4.0424580000000002E-4</v>
      </c>
      <c r="FE17">
        <v>2.6112460000000001E-2</v>
      </c>
      <c r="FF17">
        <v>1.6451650000000002E-2</v>
      </c>
      <c r="FG17">
        <v>9.2715590000000004E-3</v>
      </c>
      <c r="FH17">
        <v>7.8032160000000004E-4</v>
      </c>
      <c r="FI17">
        <v>1.6509840000000001E-3</v>
      </c>
      <c r="FJ17">
        <v>1.0282350000000001E-2</v>
      </c>
      <c r="FK17">
        <v>0.14459191550868</v>
      </c>
      <c r="FL17">
        <v>6.9586285896193104E-2</v>
      </c>
      <c r="FM17">
        <v>-0.232864201459026</v>
      </c>
      <c r="FN17">
        <v>0.230487901181536</v>
      </c>
      <c r="FO17">
        <v>0.34453483694285902</v>
      </c>
      <c r="FP17">
        <v>0.36961272588958399</v>
      </c>
      <c r="FQ17">
        <v>0.31451643238425803</v>
      </c>
      <c r="FR17">
        <v>2.0135751967352199E-2</v>
      </c>
      <c r="FS17">
        <v>0.166189182464825</v>
      </c>
      <c r="FT17" s="66">
        <v>7.42215363587206E-5</v>
      </c>
      <c r="FU17">
        <v>7.0537326338505402E-2</v>
      </c>
      <c r="FV17">
        <v>-7.6399684909381996E-2</v>
      </c>
      <c r="FW17">
        <v>0.10092053173462499</v>
      </c>
      <c r="FX17">
        <v>0.208765556128444</v>
      </c>
      <c r="FY17">
        <v>3.8314017246786798E-2</v>
      </c>
      <c r="FZ17">
        <v>8.3512578649178201E-2</v>
      </c>
      <c r="GA17">
        <v>1.8446214439706E-2</v>
      </c>
      <c r="GB17">
        <v>-3.4636826847416202E-2</v>
      </c>
      <c r="GC17">
        <v>0.27855081633582401</v>
      </c>
      <c r="GD17">
        <v>-3.0766760177979999E-2</v>
      </c>
      <c r="GE17">
        <v>4.7763471385970903E-2</v>
      </c>
      <c r="GF17">
        <v>6.3850008165524705E-2</v>
      </c>
      <c r="GG17">
        <v>0.12563925505112</v>
      </c>
      <c r="GH17">
        <v>0.106318601930599</v>
      </c>
      <c r="GI17">
        <v>-9.9100057874648997E-2</v>
      </c>
      <c r="GJ17">
        <v>0.12384313266314401</v>
      </c>
      <c r="GK17">
        <v>0.112904888954414</v>
      </c>
      <c r="GL17">
        <v>9.5722296673984394E-2</v>
      </c>
      <c r="GM17">
        <v>9.4744621925082498E-2</v>
      </c>
      <c r="GN17">
        <v>-1.60655456176961E-2</v>
      </c>
      <c r="GO17">
        <v>0.13955758737505999</v>
      </c>
      <c r="GP17">
        <v>-2.9663621239804702E-2</v>
      </c>
      <c r="GR17" s="66"/>
      <c r="GT17" s="66"/>
      <c r="GV17" s="66"/>
      <c r="GZ17" s="66"/>
      <c r="HK17" s="1"/>
      <c r="HL17" s="1"/>
      <c r="HM17" s="1"/>
      <c r="HN17" s="1"/>
      <c r="HO17" s="65"/>
      <c r="HP17" s="65"/>
      <c r="HQ17" s="65"/>
      <c r="HS17" s="65"/>
      <c r="HT17" s="65"/>
      <c r="HU17" s="65"/>
      <c r="HV17" s="65"/>
      <c r="HW17" s="65"/>
      <c r="HX17" s="65"/>
      <c r="JH17" s="66"/>
      <c r="JJ17" s="66"/>
      <c r="JL17" s="66"/>
      <c r="JN17" s="66"/>
    </row>
    <row r="18" spans="1:278" ht="15.75" x14ac:dyDescent="0.25">
      <c r="A18" s="29" t="s">
        <v>71</v>
      </c>
      <c r="B18" s="29" t="s">
        <v>71</v>
      </c>
      <c r="C18" s="29" t="s">
        <v>709</v>
      </c>
      <c r="D18" s="29" t="s">
        <v>460</v>
      </c>
      <c r="E18" s="29" t="s">
        <v>460</v>
      </c>
      <c r="F18" s="29">
        <v>17</v>
      </c>
      <c r="G18" s="29" t="s">
        <v>708</v>
      </c>
      <c r="H18" s="30" t="s">
        <v>656</v>
      </c>
      <c r="I18" s="29">
        <v>150</v>
      </c>
      <c r="J18" s="29">
        <v>65</v>
      </c>
      <c r="K18" s="29">
        <v>17.649999999999999</v>
      </c>
      <c r="L18" s="32" t="s">
        <v>20</v>
      </c>
      <c r="M18" s="29" t="s">
        <v>1120</v>
      </c>
      <c r="N18" s="29" t="s">
        <v>435</v>
      </c>
      <c r="O18" s="29" t="s">
        <v>673</v>
      </c>
      <c r="P18" s="29" t="s">
        <v>1127</v>
      </c>
      <c r="Q18" s="40" t="s">
        <v>674</v>
      </c>
      <c r="R18" s="2" t="str">
        <f t="shared" si="0"/>
        <v>CW_1_Section_3</v>
      </c>
      <c r="S18" s="2" t="str">
        <f t="shared" si="1"/>
        <v>CW_1_MF09</v>
      </c>
      <c r="T18" s="31" t="s">
        <v>691</v>
      </c>
      <c r="U18" s="33">
        <v>45516</v>
      </c>
      <c r="V18" s="29" t="s">
        <v>692</v>
      </c>
      <c r="W18" s="29" t="s">
        <v>655</v>
      </c>
      <c r="X18" s="29" t="s">
        <v>690</v>
      </c>
      <c r="Y18" s="2" t="str">
        <f t="shared" si="2"/>
        <v>T0_MF09</v>
      </c>
      <c r="Z18" s="2" t="str">
        <f t="shared" si="3"/>
        <v>T0_CW_1_MF09</v>
      </c>
      <c r="AA18" s="2" t="str">
        <f t="shared" si="4"/>
        <v>T0_0.15-0.30</v>
      </c>
      <c r="AB18" s="2">
        <v>1</v>
      </c>
      <c r="AC18" s="2">
        <v>3.2000000000000001E-2</v>
      </c>
      <c r="AD18" s="2">
        <v>-1.56</v>
      </c>
      <c r="AE18" s="2">
        <v>0</v>
      </c>
      <c r="AF18" s="32" t="s">
        <v>21</v>
      </c>
      <c r="AG18" t="s">
        <v>1237</v>
      </c>
      <c r="AH18" s="32">
        <v>47</v>
      </c>
      <c r="AI18" s="32">
        <v>17</v>
      </c>
      <c r="AJ18" s="32">
        <v>2.4</v>
      </c>
      <c r="AK18" s="32">
        <v>1.08</v>
      </c>
      <c r="AL18" s="32">
        <v>22.9</v>
      </c>
      <c r="AM18" s="32">
        <v>-138</v>
      </c>
      <c r="AN18" s="32">
        <v>7.19</v>
      </c>
      <c r="AO18" s="32">
        <v>1210</v>
      </c>
      <c r="AP18" s="32">
        <v>0.1</v>
      </c>
      <c r="AQ18" s="32" t="s">
        <v>443</v>
      </c>
      <c r="AR18" s="32">
        <v>28</v>
      </c>
      <c r="AS18" s="32">
        <v>20</v>
      </c>
      <c r="AT18" s="32">
        <v>110</v>
      </c>
      <c r="AU18" s="32">
        <f t="shared" si="16"/>
        <v>4.2248111637434388E-2</v>
      </c>
      <c r="AV18" s="32">
        <v>2.1</v>
      </c>
      <c r="AW18" s="32">
        <f t="shared" si="5"/>
        <v>8.2049055784675501E-4</v>
      </c>
      <c r="AX18" s="32">
        <v>44</v>
      </c>
      <c r="AY18" s="32">
        <f t="shared" si="17"/>
        <v>1.7406046905905623E-2</v>
      </c>
      <c r="AZ18" s="32">
        <v>31</v>
      </c>
      <c r="BA18" s="32">
        <f t="shared" si="18"/>
        <v>1.2263351229160779E-2</v>
      </c>
      <c r="BB18" s="32">
        <v>14</v>
      </c>
      <c r="BC18" s="32">
        <f t="shared" si="19"/>
        <v>5.5382876518790623E-3</v>
      </c>
      <c r="BD18" s="32">
        <v>45</v>
      </c>
      <c r="BE18" s="32"/>
      <c r="BF18" s="48">
        <v>201.1</v>
      </c>
      <c r="BG18" s="48">
        <f t="shared" si="20"/>
        <v>6.0474649101186766E-2</v>
      </c>
      <c r="BH18" s="32">
        <v>2.5</v>
      </c>
      <c r="BI18" s="32">
        <f t="shared" si="21"/>
        <v>9.3625653429039546E-4</v>
      </c>
      <c r="BJ18" s="47">
        <v>2E-3</v>
      </c>
      <c r="BK18" s="27">
        <f t="shared" si="22"/>
        <v>7.4900522743231646E-7</v>
      </c>
      <c r="BL18" s="47">
        <v>0.01</v>
      </c>
      <c r="BM18" s="27">
        <f t="shared" si="23"/>
        <v>3.6796110125501018E-6</v>
      </c>
      <c r="BN18" s="47">
        <v>0.01</v>
      </c>
      <c r="BO18" s="27">
        <f t="shared" si="24"/>
        <v>3.7611049867064394E-6</v>
      </c>
      <c r="BP18" s="47">
        <v>5.0000000000000001E-3</v>
      </c>
      <c r="BQ18" s="27">
        <f t="shared" si="25"/>
        <v>1.8649981951630372E-6</v>
      </c>
      <c r="BR18" s="47">
        <v>0.02</v>
      </c>
      <c r="BS18" s="27">
        <f t="shared" si="26"/>
        <v>7.4061605790270997E-6</v>
      </c>
      <c r="BT18" s="47">
        <v>1E-3</v>
      </c>
      <c r="BU18" s="27">
        <f t="shared" si="27"/>
        <v>3.7030802895135499E-7</v>
      </c>
      <c r="BV18" s="47">
        <v>0.01</v>
      </c>
      <c r="BW18" s="27">
        <f t="shared" si="28"/>
        <v>3.6588380716934487E-6</v>
      </c>
      <c r="BX18" s="47">
        <v>2E-3</v>
      </c>
      <c r="BY18" s="27">
        <f t="shared" si="29"/>
        <v>7.3176761433868969E-7</v>
      </c>
      <c r="BZ18" s="51">
        <f t="shared" si="30"/>
        <v>6.0000000000000005E-2</v>
      </c>
      <c r="CA18" s="51">
        <f t="shared" si="31"/>
        <v>5.8000000000000003E-2</v>
      </c>
      <c r="CB18" s="27">
        <f t="shared" si="32"/>
        <v>2.2221793715862488E-5</v>
      </c>
      <c r="CC18" s="27">
        <f t="shared" si="33"/>
        <v>2.1472788488430171E-5</v>
      </c>
      <c r="CD18" s="32">
        <v>2.5</v>
      </c>
      <c r="CE18" s="32">
        <v>2.5</v>
      </c>
      <c r="CF18" s="32" t="s">
        <v>19</v>
      </c>
      <c r="CG18" s="32">
        <v>5</v>
      </c>
      <c r="CH18" s="32">
        <v>16</v>
      </c>
      <c r="CI18" s="32">
        <f t="shared" si="34"/>
        <v>0.28648164726947178</v>
      </c>
      <c r="CJ18" s="32">
        <f t="shared" si="35"/>
        <v>0.28648164726947178</v>
      </c>
      <c r="CK18" s="32">
        <v>3.7</v>
      </c>
      <c r="CL18" s="32">
        <f t="shared" si="36"/>
        <v>6.7358456217003468E-2</v>
      </c>
      <c r="CM18" s="32">
        <f t="shared" si="37"/>
        <v>0.13471691243400694</v>
      </c>
      <c r="CN18" s="32">
        <v>0.5</v>
      </c>
      <c r="CO18" s="32">
        <f t="shared" si="38"/>
        <v>5.2050801582344368E-3</v>
      </c>
      <c r="CP18" s="32">
        <f t="shared" si="39"/>
        <v>4.1640641265875494E-2</v>
      </c>
      <c r="CQ18" s="57">
        <v>72.5</v>
      </c>
      <c r="CR18" s="57">
        <v>99.315068493150676</v>
      </c>
      <c r="CS18" s="57">
        <v>6.0378929835519468</v>
      </c>
      <c r="CT18" s="57">
        <f t="shared" si="40"/>
        <v>6.0378929835519468</v>
      </c>
      <c r="CU18" s="28">
        <v>0</v>
      </c>
      <c r="CV18" s="28">
        <v>0</v>
      </c>
      <c r="CW18" s="28">
        <v>0</v>
      </c>
      <c r="CX18" s="28">
        <f t="shared" si="41"/>
        <v>0</v>
      </c>
      <c r="CY18" s="32">
        <f t="shared" si="42"/>
        <v>42.144493025192588</v>
      </c>
      <c r="CZ18" s="32">
        <f t="shared" si="43"/>
        <v>42.144493025192588</v>
      </c>
      <c r="DA18" s="32">
        <f t="shared" si="44"/>
        <v>58.144493025192588</v>
      </c>
      <c r="DB18" s="32">
        <f t="shared" si="45"/>
        <v>1.0410831338440929</v>
      </c>
      <c r="DC18" s="32">
        <f t="shared" si="46"/>
        <v>1.0410831338440929</v>
      </c>
      <c r="DD18" s="59">
        <f t="shared" si="47"/>
        <v>0</v>
      </c>
      <c r="DE18" s="59">
        <f t="shared" si="48"/>
        <v>0</v>
      </c>
      <c r="DF18" s="59">
        <f t="shared" si="49"/>
        <v>16</v>
      </c>
      <c r="DG18" s="59">
        <f t="shared" si="50"/>
        <v>0.28648164726947178</v>
      </c>
      <c r="DH18" s="59">
        <f t="shared" si="51"/>
        <v>0.28648164726947178</v>
      </c>
      <c r="DI18" s="32">
        <f t="shared" si="52"/>
        <v>4.1640641265875494E-2</v>
      </c>
      <c r="DJ18" s="32">
        <f t="shared" si="53"/>
        <v>19.7</v>
      </c>
      <c r="DK18" s="32">
        <f t="shared" si="54"/>
        <v>0.42119855970347875</v>
      </c>
      <c r="DL18">
        <f t="shared" si="60"/>
        <v>7.213693029830047</v>
      </c>
      <c r="DM18">
        <f t="shared" si="6"/>
        <v>1.8675165671303985E-2</v>
      </c>
      <c r="DN18">
        <f t="shared" si="7"/>
        <v>0.14432040974560578</v>
      </c>
      <c r="DO18">
        <f t="shared" si="8"/>
        <v>0.83700442458309021</v>
      </c>
      <c r="DP18">
        <f t="shared" si="55"/>
        <v>0.42119855970347875</v>
      </c>
      <c r="DQ18">
        <f t="shared" si="9"/>
        <v>0.31984181647925586</v>
      </c>
      <c r="DR18">
        <f t="shared" si="10"/>
        <v>0.68015818352074409</v>
      </c>
      <c r="DS18">
        <f>$CX18/$DP18</f>
        <v>0</v>
      </c>
      <c r="DT18" s="63">
        <f t="shared" si="12"/>
        <v>-7.1522821241945698</v>
      </c>
      <c r="DU18" s="63">
        <f t="shared" si="13"/>
        <v>-0.35978765406800162</v>
      </c>
      <c r="DV18" s="63">
        <f t="shared" si="14"/>
        <v>-7.1522606514060811</v>
      </c>
      <c r="DW18" s="63">
        <f t="shared" si="56"/>
        <v>-0.35976618127951315</v>
      </c>
      <c r="DX18" t="str">
        <f t="shared" si="57"/>
        <v>Sufficient Capacity</v>
      </c>
      <c r="DY18" t="str">
        <f t="shared" si="58"/>
        <v>Sufficient Capacity</v>
      </c>
      <c r="DZ18" t="str">
        <f t="shared" si="59"/>
        <v>Sulfate Dominant electron acceptor</v>
      </c>
      <c r="EA18" t="str">
        <f t="shared" si="15"/>
        <v>Manganese Dominant electron acceptor</v>
      </c>
      <c r="EB18">
        <v>1.0100420000000001E-2</v>
      </c>
      <c r="EC18">
        <v>1.673309E-3</v>
      </c>
      <c r="ED18" s="66">
        <v>5.0327050000000005E-7</v>
      </c>
      <c r="EE18">
        <v>7.0200120000000002E-4</v>
      </c>
      <c r="EF18">
        <v>4.5192849999999996E-3</v>
      </c>
      <c r="EG18" s="66">
        <v>7.5285909999999998E-6</v>
      </c>
      <c r="EH18">
        <v>3.656795E-4</v>
      </c>
      <c r="EI18" s="66">
        <v>4.804716E-5</v>
      </c>
      <c r="EJ18">
        <v>5.5286210000000003E-4</v>
      </c>
      <c r="EK18">
        <v>8.5033069999999997E-4</v>
      </c>
      <c r="EL18">
        <v>4.6416269999999997E-4</v>
      </c>
      <c r="EM18">
        <v>2.9965740000000002E-4</v>
      </c>
      <c r="EN18">
        <v>1.8001320000000001E-3</v>
      </c>
      <c r="EO18">
        <v>7.2698580000000004E-4</v>
      </c>
      <c r="EP18">
        <v>1.8866950000000001E-3</v>
      </c>
      <c r="EQ18">
        <v>1.288942E-3</v>
      </c>
      <c r="ER18">
        <v>4.2299530000000001E-4</v>
      </c>
      <c r="ES18">
        <v>6.9467110000000004E-4</v>
      </c>
      <c r="ET18">
        <v>6.7648889999999996E-3</v>
      </c>
      <c r="EU18">
        <v>2.955727E-3</v>
      </c>
      <c r="EV18">
        <v>7.7534609999999997E-3</v>
      </c>
      <c r="EW18">
        <v>9.0812919999999999E-4</v>
      </c>
      <c r="EX18">
        <v>5.1371639999999996E-3</v>
      </c>
      <c r="EY18">
        <v>7.7517860000000001E-3</v>
      </c>
      <c r="EZ18">
        <v>1.3355750000000001E-3</v>
      </c>
      <c r="FA18">
        <v>1.0914640000000001E-3</v>
      </c>
      <c r="FB18">
        <v>1.1040430000000001E-3</v>
      </c>
      <c r="FC18">
        <v>1.732784E-3</v>
      </c>
      <c r="FD18">
        <v>4.2476789999999998E-4</v>
      </c>
      <c r="FE18">
        <v>2.687616E-2</v>
      </c>
      <c r="FF18">
        <v>1.9101199999999999E-2</v>
      </c>
      <c r="FG18">
        <v>1.065165E-2</v>
      </c>
      <c r="FH18">
        <v>1.0620130000000001E-3</v>
      </c>
      <c r="FI18">
        <v>1.664448E-3</v>
      </c>
      <c r="FJ18">
        <v>1.115141E-2</v>
      </c>
      <c r="FK18">
        <v>0.20353779515909801</v>
      </c>
      <c r="FL18">
        <v>-1.77913245906938E-2</v>
      </c>
      <c r="FM18">
        <v>-0.47307472659171201</v>
      </c>
      <c r="FN18">
        <v>0.20818511155504099</v>
      </c>
      <c r="FO18">
        <v>-0.50199794653393104</v>
      </c>
      <c r="FP18">
        <v>0.22312159902603801</v>
      </c>
      <c r="FQ18">
        <v>0.167333234229851</v>
      </c>
      <c r="FR18">
        <v>1.8564263011509902E-2</v>
      </c>
      <c r="FS18">
        <v>0.15301980836988599</v>
      </c>
      <c r="FT18">
        <v>-0.121911267539883</v>
      </c>
      <c r="FU18">
        <v>-0.11587695555967301</v>
      </c>
      <c r="FV18">
        <v>-0.11583554564571499</v>
      </c>
      <c r="FW18">
        <v>6.4626649559978794E-2</v>
      </c>
      <c r="FX18">
        <v>6.5570878180240696E-2</v>
      </c>
      <c r="FY18">
        <v>-2.2915003309886802E-3</v>
      </c>
      <c r="FZ18">
        <v>-0.249261012056436</v>
      </c>
      <c r="GA18">
        <v>6.4991669309206301E-2</v>
      </c>
      <c r="GB18">
        <v>-0.13110955309552799</v>
      </c>
      <c r="GC18">
        <v>0.342849782051173</v>
      </c>
      <c r="GD18">
        <v>3.21247377347307E-2</v>
      </c>
      <c r="GE18">
        <v>0.13501536146603299</v>
      </c>
      <c r="GF18">
        <v>4.72010988956146E-2</v>
      </c>
      <c r="GG18">
        <v>0.14323859500951699</v>
      </c>
      <c r="GH18">
        <v>0.11050017726033901</v>
      </c>
      <c r="GI18">
        <v>-7.8091244467550794E-2</v>
      </c>
      <c r="GJ18">
        <v>0.17336292597108999</v>
      </c>
      <c r="GK18">
        <v>0.141731942213355</v>
      </c>
      <c r="GL18">
        <v>0.24504768084550799</v>
      </c>
      <c r="GM18">
        <v>0.23350788930524299</v>
      </c>
      <c r="GN18">
        <v>0.292149754763396</v>
      </c>
      <c r="GO18">
        <v>0.14767965051248</v>
      </c>
      <c r="GP18">
        <v>5.1473492946374898E-2</v>
      </c>
      <c r="GR18" s="66"/>
      <c r="GT18" s="66"/>
      <c r="GV18" s="66"/>
      <c r="GY18" s="66"/>
      <c r="GZ18" s="66"/>
      <c r="HK18" s="1"/>
      <c r="HL18" s="1"/>
      <c r="HM18" s="1"/>
      <c r="HN18" s="1"/>
      <c r="HO18" s="65"/>
      <c r="HP18" s="65"/>
      <c r="HQ18" s="65"/>
      <c r="HV18" s="65"/>
      <c r="HW18" s="65"/>
      <c r="HX18" s="65"/>
      <c r="IP18" s="66"/>
      <c r="IR18" s="66"/>
      <c r="IZ18" s="66"/>
      <c r="JB18" s="66"/>
      <c r="JD18" s="66"/>
      <c r="JF18" s="66"/>
      <c r="JH18" s="66"/>
      <c r="JJ18" s="66"/>
      <c r="JL18" s="66"/>
      <c r="JN18" s="66"/>
      <c r="JP18" s="66"/>
      <c r="JR18" s="66"/>
    </row>
    <row r="19" spans="1:278" ht="15.75" x14ac:dyDescent="0.25">
      <c r="A19" s="41" t="s">
        <v>72</v>
      </c>
      <c r="B19" s="41" t="s">
        <v>72</v>
      </c>
      <c r="C19" s="41" t="s">
        <v>711</v>
      </c>
      <c r="D19" s="41" t="s">
        <v>461</v>
      </c>
      <c r="E19" s="41" t="s">
        <v>461</v>
      </c>
      <c r="F19" s="41">
        <v>18</v>
      </c>
      <c r="G19" s="41" t="s">
        <v>710</v>
      </c>
      <c r="H19" s="43" t="s">
        <v>656</v>
      </c>
      <c r="I19" s="41">
        <v>150</v>
      </c>
      <c r="J19" s="41">
        <v>65</v>
      </c>
      <c r="K19" s="41">
        <v>8</v>
      </c>
      <c r="L19" s="26" t="s">
        <v>22</v>
      </c>
      <c r="M19" s="41" t="s">
        <v>1120</v>
      </c>
      <c r="N19" s="41" t="s">
        <v>435</v>
      </c>
      <c r="O19" s="41" t="s">
        <v>673</v>
      </c>
      <c r="P19" s="41" t="s">
        <v>1128</v>
      </c>
      <c r="Q19" s="42" t="s">
        <v>677</v>
      </c>
      <c r="R19" s="2" t="str">
        <f t="shared" si="0"/>
        <v>CW_1_Section_3</v>
      </c>
      <c r="S19" s="2" t="str">
        <f t="shared" si="1"/>
        <v>CW_1_MF10</v>
      </c>
      <c r="T19" s="44" t="s">
        <v>691</v>
      </c>
      <c r="U19" s="45">
        <v>45516</v>
      </c>
      <c r="V19" s="41" t="s">
        <v>692</v>
      </c>
      <c r="W19" s="41" t="s">
        <v>663</v>
      </c>
      <c r="X19" s="41" t="s">
        <v>690</v>
      </c>
      <c r="Y19" s="2" t="str">
        <f t="shared" si="2"/>
        <v>T0_MF10</v>
      </c>
      <c r="Z19" s="2" t="str">
        <f t="shared" si="3"/>
        <v>T0_CW_1_MF10</v>
      </c>
      <c r="AA19" s="2" t="str">
        <f t="shared" si="4"/>
        <v>T0_0.60-0.80</v>
      </c>
      <c r="AB19" s="2">
        <v>1</v>
      </c>
      <c r="AC19" s="2">
        <v>3.2000000000000001E-2</v>
      </c>
      <c r="AD19" s="2">
        <v>-1.56</v>
      </c>
      <c r="AE19" s="2">
        <v>0</v>
      </c>
      <c r="AF19" s="26" t="s">
        <v>23</v>
      </c>
      <c r="AG19" t="s">
        <v>1237</v>
      </c>
      <c r="AH19" s="26">
        <v>67</v>
      </c>
      <c r="AI19" s="26">
        <v>26</v>
      </c>
      <c r="AJ19" s="26">
        <v>0.94</v>
      </c>
      <c r="AK19" s="26">
        <v>0.4</v>
      </c>
      <c r="AL19" s="26">
        <v>22.8</v>
      </c>
      <c r="AM19" s="26">
        <v>-132.5</v>
      </c>
      <c r="AN19" s="26">
        <v>7.01</v>
      </c>
      <c r="AO19" s="26">
        <v>985</v>
      </c>
      <c r="AP19" s="26">
        <v>0.2</v>
      </c>
      <c r="AQ19" s="26" t="s">
        <v>443</v>
      </c>
      <c r="AR19" s="26">
        <v>12</v>
      </c>
      <c r="AS19" s="26">
        <v>12</v>
      </c>
      <c r="AT19" s="26">
        <v>650</v>
      </c>
      <c r="AU19" s="32">
        <f t="shared" si="16"/>
        <v>0.24964793240302136</v>
      </c>
      <c r="AV19" s="26">
        <v>88</v>
      </c>
      <c r="AW19" s="32">
        <f t="shared" si="5"/>
        <v>3.4382461471673537E-2</v>
      </c>
      <c r="AX19" s="26">
        <v>380</v>
      </c>
      <c r="AY19" s="32">
        <f t="shared" si="17"/>
        <v>0.15032495055100309</v>
      </c>
      <c r="AZ19" s="26">
        <v>150</v>
      </c>
      <c r="BA19" s="32">
        <f t="shared" si="18"/>
        <v>5.9338796270132804E-2</v>
      </c>
      <c r="BB19" s="26">
        <v>130</v>
      </c>
      <c r="BC19" s="32">
        <f t="shared" si="19"/>
        <v>5.1426956767448434E-2</v>
      </c>
      <c r="BD19" s="26">
        <v>280</v>
      </c>
      <c r="BE19" s="26"/>
      <c r="BF19" s="48">
        <v>1398</v>
      </c>
      <c r="BG19" s="48">
        <f t="shared" si="20"/>
        <v>0.43435534442569795</v>
      </c>
      <c r="BH19" s="26">
        <v>2000</v>
      </c>
      <c r="BI19" s="32">
        <f t="shared" si="21"/>
        <v>0.74900522743231646</v>
      </c>
      <c r="BJ19" s="47">
        <v>730</v>
      </c>
      <c r="BK19" s="27">
        <f t="shared" si="22"/>
        <v>0.27338690801279553</v>
      </c>
      <c r="BL19" s="47">
        <v>4</v>
      </c>
      <c r="BM19" s="27">
        <f t="shared" si="23"/>
        <v>1.4718444050200407E-3</v>
      </c>
      <c r="BN19" s="47">
        <v>4</v>
      </c>
      <c r="BO19" s="27">
        <f t="shared" si="24"/>
        <v>1.5044419946825757E-3</v>
      </c>
      <c r="BP19" s="47">
        <v>4.3</v>
      </c>
      <c r="BQ19" s="27">
        <f t="shared" si="25"/>
        <v>1.6038984478402116E-3</v>
      </c>
      <c r="BR19" s="47">
        <v>0.3</v>
      </c>
      <c r="BS19" s="27">
        <f t="shared" si="26"/>
        <v>1.1109240868540649E-4</v>
      </c>
      <c r="BT19" s="47">
        <v>0.03</v>
      </c>
      <c r="BU19" s="27">
        <f t="shared" si="27"/>
        <v>1.110924086854065E-5</v>
      </c>
      <c r="BV19" s="47">
        <v>0.04</v>
      </c>
      <c r="BW19" s="27">
        <f t="shared" si="28"/>
        <v>1.4635352286773795E-5</v>
      </c>
      <c r="BX19" s="47">
        <v>0.03</v>
      </c>
      <c r="BY19" s="27">
        <f t="shared" si="29"/>
        <v>1.0976514215080345E-5</v>
      </c>
      <c r="BZ19" s="51">
        <f t="shared" si="30"/>
        <v>742.69999999999982</v>
      </c>
      <c r="CA19" s="51">
        <f t="shared" si="31"/>
        <v>12.7</v>
      </c>
      <c r="CB19" s="27">
        <f t="shared" si="32"/>
        <v>0.27811490637639413</v>
      </c>
      <c r="CC19" s="27">
        <f t="shared" si="33"/>
        <v>4.7279983635986301E-3</v>
      </c>
      <c r="CD19" s="26">
        <v>3100</v>
      </c>
      <c r="CE19" s="26">
        <v>410</v>
      </c>
      <c r="CF19" s="26" t="s">
        <v>19</v>
      </c>
      <c r="CG19" s="26">
        <v>3500</v>
      </c>
      <c r="CH19" s="26">
        <v>4.8</v>
      </c>
      <c r="CI19" s="32">
        <f t="shared" si="34"/>
        <v>8.5944494180841532E-2</v>
      </c>
      <c r="CJ19" s="32">
        <f t="shared" si="35"/>
        <v>8.5944494180841532E-2</v>
      </c>
      <c r="CK19" s="26">
        <v>3.2</v>
      </c>
      <c r="CL19" s="32">
        <f t="shared" si="36"/>
        <v>5.825596213362462E-2</v>
      </c>
      <c r="CM19" s="32">
        <f t="shared" si="37"/>
        <v>0.11651192426724924</v>
      </c>
      <c r="CN19" s="26">
        <v>39</v>
      </c>
      <c r="CO19" s="26">
        <f t="shared" si="38"/>
        <v>0.40599625234228603</v>
      </c>
      <c r="CP19" s="26">
        <f t="shared" si="39"/>
        <v>3.2479700187382883</v>
      </c>
      <c r="CQ19" s="57">
        <v>34</v>
      </c>
      <c r="CR19" s="57">
        <v>46.575342465753423</v>
      </c>
      <c r="CS19" s="57">
        <v>2.8315636060795337</v>
      </c>
      <c r="CT19" s="57">
        <f t="shared" si="40"/>
        <v>2.8315636060795337</v>
      </c>
      <c r="CU19" s="28">
        <v>-38.5</v>
      </c>
      <c r="CV19" s="28">
        <v>-7700</v>
      </c>
      <c r="CW19" s="28">
        <v>-3.2063293774724131</v>
      </c>
      <c r="CX19" s="28">
        <f t="shared" si="41"/>
        <v>0</v>
      </c>
      <c r="CY19" s="32">
        <f t="shared" si="42"/>
        <v>19.764313970435143</v>
      </c>
      <c r="CZ19" s="32">
        <f t="shared" si="43"/>
        <v>19.764313970435143</v>
      </c>
      <c r="DA19" s="32">
        <f t="shared" si="44"/>
        <v>24.564313970435144</v>
      </c>
      <c r="DB19" s="32">
        <f t="shared" si="45"/>
        <v>0.43982657064342245</v>
      </c>
      <c r="DC19" s="32">
        <f t="shared" si="46"/>
        <v>0.43982657064342245</v>
      </c>
      <c r="DD19" s="59">
        <f t="shared" si="47"/>
        <v>-22.380179054757441</v>
      </c>
      <c r="DE19" s="59">
        <f t="shared" si="48"/>
        <v>0</v>
      </c>
      <c r="DF19" s="59">
        <f t="shared" si="49"/>
        <v>4.8</v>
      </c>
      <c r="DG19" s="59">
        <f t="shared" si="50"/>
        <v>8.5944494180841532E-2</v>
      </c>
      <c r="DH19" s="59">
        <f t="shared" si="51"/>
        <v>8.5944494180841532E-2</v>
      </c>
      <c r="DI19" s="32">
        <f t="shared" si="52"/>
        <v>3.2479700187382883</v>
      </c>
      <c r="DJ19" s="32">
        <f t="shared" si="53"/>
        <v>8</v>
      </c>
      <c r="DK19" s="32">
        <f t="shared" si="54"/>
        <v>0.20245641844809076</v>
      </c>
      <c r="DL19">
        <f t="shared" si="60"/>
        <v>3.3879021009902055</v>
      </c>
      <c r="DM19">
        <f t="shared" si="6"/>
        <v>3.4390581780151051E-2</v>
      </c>
      <c r="DN19">
        <f t="shared" si="7"/>
        <v>0.12982269189976633</v>
      </c>
      <c r="DO19">
        <f t="shared" si="8"/>
        <v>0.83578672632008255</v>
      </c>
      <c r="DP19">
        <f t="shared" si="55"/>
        <v>0.20245641844809076</v>
      </c>
      <c r="DQ19">
        <f t="shared" si="9"/>
        <v>0.57549138308560255</v>
      </c>
      <c r="DR19">
        <f t="shared" si="10"/>
        <v>0.42450861691439756</v>
      </c>
      <c r="DS19">
        <f t="shared" si="11"/>
        <v>0</v>
      </c>
      <c r="DT19" s="63">
        <f t="shared" si="12"/>
        <v>-2.2045415291321913</v>
      </c>
      <c r="DU19" s="63">
        <f t="shared" si="13"/>
        <v>0.98090415340992365</v>
      </c>
      <c r="DV19" s="63">
        <f t="shared" si="14"/>
        <v>-2.1998135307685924</v>
      </c>
      <c r="DW19" s="63">
        <f t="shared" si="56"/>
        <v>0.98563215177352226</v>
      </c>
      <c r="DX19" t="str">
        <f t="shared" si="57"/>
        <v>Sufficient Capacity</v>
      </c>
      <c r="DY19" t="str">
        <f t="shared" si="58"/>
        <v>Insufficient Capacity</v>
      </c>
      <c r="DZ19" t="str">
        <f t="shared" si="59"/>
        <v>Sulfate Dominant electron acceptor</v>
      </c>
      <c r="EA19" t="str">
        <f t="shared" si="15"/>
        <v>Iron Dominant electron acceptor</v>
      </c>
      <c r="EB19">
        <v>8.8302320000000004E-3</v>
      </c>
      <c r="EC19">
        <v>1.093882E-3</v>
      </c>
      <c r="ED19" s="66">
        <v>5.9635320000000003E-5</v>
      </c>
      <c r="EE19">
        <v>4.456776E-4</v>
      </c>
      <c r="EF19">
        <v>4.0521740000000004E-3</v>
      </c>
      <c r="EG19" s="66">
        <v>2.307502E-5</v>
      </c>
      <c r="EH19">
        <v>1.9467209999999999E-4</v>
      </c>
      <c r="EI19">
        <v>1.5751520000000001E-4</v>
      </c>
      <c r="EJ19">
        <v>3.550157E-4</v>
      </c>
      <c r="EK19">
        <v>6.8546739999999996E-4</v>
      </c>
      <c r="EL19">
        <v>2.8862910000000002E-4</v>
      </c>
      <c r="EM19">
        <v>1.907136E-4</v>
      </c>
      <c r="EN19">
        <v>1.9930460000000001E-3</v>
      </c>
      <c r="EO19">
        <v>7.9158780000000001E-4</v>
      </c>
      <c r="EP19">
        <v>1.659476E-3</v>
      </c>
      <c r="EQ19">
        <v>1.3826719999999999E-3</v>
      </c>
      <c r="ER19">
        <v>3.4579640000000002E-4</v>
      </c>
      <c r="ES19">
        <v>6.2801019999999999E-4</v>
      </c>
      <c r="ET19">
        <v>1.536359E-2</v>
      </c>
      <c r="EU19">
        <v>2.9820290000000002E-3</v>
      </c>
      <c r="EV19">
        <v>9.6779980000000002E-3</v>
      </c>
      <c r="EW19">
        <v>7.5749659999999996E-4</v>
      </c>
      <c r="EX19">
        <v>4.7055170000000002E-3</v>
      </c>
      <c r="EY19">
        <v>6.6725309999999998E-3</v>
      </c>
      <c r="EZ19">
        <v>1.3363559999999999E-3</v>
      </c>
      <c r="FA19">
        <v>8.9897619999999997E-4</v>
      </c>
      <c r="FB19">
        <v>9.1774089999999999E-4</v>
      </c>
      <c r="FC19">
        <v>1.8473540000000001E-3</v>
      </c>
      <c r="FD19">
        <v>3.952793E-4</v>
      </c>
      <c r="FE19">
        <v>2.3278569999999998E-2</v>
      </c>
      <c r="FF19">
        <v>1.253104E-2</v>
      </c>
      <c r="FG19">
        <v>7.4071090000000003E-3</v>
      </c>
      <c r="FH19">
        <v>6.1406860000000005E-4</v>
      </c>
      <c r="FI19">
        <v>1.554043E-3</v>
      </c>
      <c r="FJ19">
        <v>7.5214000000000001E-3</v>
      </c>
      <c r="FK19">
        <v>-0.250801497598518</v>
      </c>
      <c r="FL19">
        <v>-0.126891592859803</v>
      </c>
      <c r="FM19">
        <v>0.64696801442660601</v>
      </c>
      <c r="FN19">
        <v>-0.422255550422309</v>
      </c>
      <c r="FO19">
        <v>0.68534098644100205</v>
      </c>
      <c r="FP19">
        <v>-0.21982499046092999</v>
      </c>
      <c r="FQ19">
        <v>-4.8191157070841803E-2</v>
      </c>
      <c r="FR19">
        <v>-0.45652840144689699</v>
      </c>
      <c r="FS19">
        <v>-0.298847187440483</v>
      </c>
      <c r="FT19">
        <v>-2.0107141339537699E-2</v>
      </c>
      <c r="FU19">
        <v>-3.0743098792318499E-2</v>
      </c>
      <c r="FV19">
        <v>-0.244160276861869</v>
      </c>
      <c r="FW19">
        <v>0.134822781708658</v>
      </c>
      <c r="FX19">
        <v>-0.13594002714018799</v>
      </c>
      <c r="FY19">
        <v>-0.103173588099031</v>
      </c>
      <c r="FZ19">
        <v>0.57099355880635705</v>
      </c>
      <c r="GA19">
        <v>7.3850966333372597E-2</v>
      </c>
      <c r="GB19">
        <v>9.0606184298351905E-2</v>
      </c>
      <c r="GC19">
        <v>0.16148217174795601</v>
      </c>
      <c r="GD19">
        <v>-5.5640788385280103E-2</v>
      </c>
      <c r="GE19">
        <v>-1.4908658741674701E-2</v>
      </c>
      <c r="GF19">
        <v>4.7785694846814102E-2</v>
      </c>
      <c r="GG19">
        <v>-5.0780038040544498E-2</v>
      </c>
      <c r="GH19">
        <v>-7.4318891320121594E-2</v>
      </c>
      <c r="GI19">
        <v>-1.40662630720643E-2</v>
      </c>
      <c r="GJ19">
        <v>0.10141262750963601</v>
      </c>
      <c r="GK19">
        <v>-1.97451123394554E-3</v>
      </c>
      <c r="GL19">
        <v>-0.17649471319697299</v>
      </c>
      <c r="GM19">
        <v>-0.12976670569506199</v>
      </c>
      <c r="GN19">
        <v>-0.25566503972760102</v>
      </c>
      <c r="GO19">
        <v>7.9046035670637102E-2</v>
      </c>
      <c r="GP19">
        <v>-0.34234016351680202</v>
      </c>
      <c r="GR19" s="66"/>
      <c r="GT19" s="66"/>
      <c r="GV19" s="66"/>
      <c r="HK19" s="1"/>
      <c r="HL19" s="1"/>
      <c r="HM19" s="65"/>
      <c r="HN19" s="1"/>
      <c r="HO19" s="65"/>
      <c r="HP19" s="65"/>
      <c r="HQ19" s="65"/>
      <c r="HT19" s="65"/>
      <c r="HV19" s="65"/>
      <c r="HW19" s="65"/>
      <c r="HX19" s="65"/>
    </row>
    <row r="20" spans="1:278" ht="15.75" x14ac:dyDescent="0.25">
      <c r="A20" s="2" t="s">
        <v>73</v>
      </c>
      <c r="B20" s="2" t="s">
        <v>73</v>
      </c>
      <c r="C20" s="2" t="s">
        <v>714</v>
      </c>
      <c r="D20" s="2" t="s">
        <v>462</v>
      </c>
      <c r="E20" s="2" t="s">
        <v>462</v>
      </c>
      <c r="F20" s="2">
        <v>19</v>
      </c>
      <c r="G20" s="2" t="s">
        <v>712</v>
      </c>
      <c r="H20" s="10" t="s">
        <v>656</v>
      </c>
      <c r="I20" s="2">
        <v>150</v>
      </c>
      <c r="J20" s="2">
        <v>65</v>
      </c>
      <c r="K20" s="2">
        <v>14.45</v>
      </c>
      <c r="L20" t="s">
        <v>40</v>
      </c>
      <c r="M20" s="2" t="s">
        <v>1120</v>
      </c>
      <c r="N20" s="2" t="s">
        <v>436</v>
      </c>
      <c r="O20" s="2" t="s">
        <v>653</v>
      </c>
      <c r="P20" s="2" t="s">
        <v>1123</v>
      </c>
      <c r="Q20" s="9" t="s">
        <v>713</v>
      </c>
      <c r="R20" s="2" t="str">
        <f t="shared" si="0"/>
        <v>CW_2_Section_1</v>
      </c>
      <c r="S20" s="2" t="str">
        <f t="shared" si="1"/>
        <v>CW_2_MF01</v>
      </c>
      <c r="T20" s="11" t="s">
        <v>691</v>
      </c>
      <c r="U20" s="1">
        <v>45518</v>
      </c>
      <c r="V20" s="2" t="s">
        <v>692</v>
      </c>
      <c r="W20" s="2" t="s">
        <v>655</v>
      </c>
      <c r="X20" s="2" t="s">
        <v>690</v>
      </c>
      <c r="Y20" s="2" t="str">
        <f t="shared" si="2"/>
        <v>T0_MF01</v>
      </c>
      <c r="Z20" s="2" t="str">
        <f t="shared" si="3"/>
        <v>T0_CW_2_MF01</v>
      </c>
      <c r="AA20" s="2" t="str">
        <f t="shared" si="4"/>
        <v>T0_0.15-0.30</v>
      </c>
      <c r="AB20" s="2">
        <v>1</v>
      </c>
      <c r="AC20" s="2">
        <v>3.2000000000000001E-2</v>
      </c>
      <c r="AD20" s="2">
        <v>-1.56</v>
      </c>
      <c r="AE20" s="2">
        <v>0</v>
      </c>
      <c r="AF20" t="s">
        <v>41</v>
      </c>
      <c r="AG20" t="s">
        <v>1237</v>
      </c>
      <c r="AH20">
        <v>62</v>
      </c>
      <c r="AI20">
        <v>22</v>
      </c>
      <c r="AJ20">
        <v>2.4</v>
      </c>
      <c r="AK20">
        <v>0.88</v>
      </c>
      <c r="AL20">
        <v>23.9</v>
      </c>
      <c r="AM20">
        <v>-118</v>
      </c>
      <c r="AN20">
        <v>6.9</v>
      </c>
      <c r="AO20">
        <v>880</v>
      </c>
      <c r="AP20">
        <v>0.2</v>
      </c>
      <c r="AQ20" t="s">
        <v>443</v>
      </c>
      <c r="AR20">
        <v>16</v>
      </c>
      <c r="AS20">
        <v>16</v>
      </c>
      <c r="AT20">
        <v>440</v>
      </c>
      <c r="AU20" s="32">
        <f t="shared" si="16"/>
        <v>0.16899244654973755</v>
      </c>
      <c r="AV20">
        <v>30</v>
      </c>
      <c r="AW20" s="32">
        <f t="shared" si="5"/>
        <v>1.1721293683525071E-2</v>
      </c>
      <c r="AX20">
        <v>33</v>
      </c>
      <c r="AY20" s="32">
        <f t="shared" si="17"/>
        <v>1.3054535179429217E-2</v>
      </c>
      <c r="AZ20">
        <v>20</v>
      </c>
      <c r="BA20" s="32">
        <f t="shared" si="18"/>
        <v>7.9118395026843737E-3</v>
      </c>
      <c r="BB20">
        <v>14</v>
      </c>
      <c r="BC20" s="32">
        <f t="shared" si="19"/>
        <v>5.5382876518790623E-3</v>
      </c>
      <c r="BD20">
        <v>34</v>
      </c>
      <c r="BF20" s="48">
        <v>537</v>
      </c>
      <c r="BG20" s="48">
        <f t="shared" si="20"/>
        <v>0.19376827541269184</v>
      </c>
      <c r="BH20">
        <v>2.1</v>
      </c>
      <c r="BI20" s="32">
        <f t="shared" si="21"/>
        <v>7.8645548880393237E-4</v>
      </c>
      <c r="BJ20" s="47">
        <v>1.2</v>
      </c>
      <c r="BK20" s="27">
        <f t="shared" si="22"/>
        <v>4.4940313645938982E-4</v>
      </c>
      <c r="BL20" s="47">
        <v>0.01</v>
      </c>
      <c r="BM20" s="27">
        <f t="shared" si="23"/>
        <v>3.6796110125501018E-6</v>
      </c>
      <c r="BN20" s="47">
        <v>0.01</v>
      </c>
      <c r="BO20" s="27">
        <f t="shared" si="24"/>
        <v>3.7611049867064394E-6</v>
      </c>
      <c r="BP20" s="47">
        <v>5.0000000000000001E-3</v>
      </c>
      <c r="BQ20" s="27">
        <f t="shared" si="25"/>
        <v>1.8649981951630372E-6</v>
      </c>
      <c r="BR20" s="47">
        <v>0.02</v>
      </c>
      <c r="BS20" s="27">
        <f t="shared" si="26"/>
        <v>7.4061605790270997E-6</v>
      </c>
      <c r="BT20" s="47">
        <v>1E-3</v>
      </c>
      <c r="BU20" s="27">
        <f t="shared" si="27"/>
        <v>3.7030802895135499E-7</v>
      </c>
      <c r="BV20" s="47">
        <v>0.01</v>
      </c>
      <c r="BW20" s="27">
        <f t="shared" si="28"/>
        <v>3.6588380716934487E-6</v>
      </c>
      <c r="BX20" s="47">
        <v>2E-3</v>
      </c>
      <c r="BY20" s="27">
        <f t="shared" si="29"/>
        <v>7.3176761433868969E-7</v>
      </c>
      <c r="BZ20" s="51">
        <f t="shared" si="30"/>
        <v>1.2579999999999998</v>
      </c>
      <c r="CA20" s="51">
        <f t="shared" si="31"/>
        <v>5.8000000000000003E-2</v>
      </c>
      <c r="CB20" s="27">
        <f t="shared" si="32"/>
        <v>4.7087592494781994E-4</v>
      </c>
      <c r="CC20" s="27">
        <f t="shared" si="33"/>
        <v>2.1472788488430171E-5</v>
      </c>
      <c r="CD20">
        <v>2.5</v>
      </c>
      <c r="CE20">
        <v>2.5</v>
      </c>
      <c r="CF20" t="s">
        <v>19</v>
      </c>
      <c r="CG20">
        <v>5</v>
      </c>
      <c r="CH20" s="32">
        <v>15</v>
      </c>
      <c r="CI20" s="32">
        <f t="shared" si="34"/>
        <v>0.26857654431512978</v>
      </c>
      <c r="CJ20" s="32">
        <f t="shared" si="35"/>
        <v>0.26857654431512978</v>
      </c>
      <c r="CK20" s="32">
        <v>5.3</v>
      </c>
      <c r="CL20" s="32">
        <f t="shared" si="36"/>
        <v>9.6486437283815757E-2</v>
      </c>
      <c r="CM20" s="32">
        <f t="shared" si="37"/>
        <v>0.19297287456763151</v>
      </c>
      <c r="CN20" s="27">
        <v>6.4</v>
      </c>
      <c r="CO20" s="27">
        <f t="shared" si="38"/>
        <v>6.6625026025400796E-2</v>
      </c>
      <c r="CP20" s="27">
        <f t="shared" si="39"/>
        <v>0.53300020820320637</v>
      </c>
      <c r="CQ20" s="57">
        <v>66.599999999999994</v>
      </c>
      <c r="CR20" s="57">
        <v>91.232876712328761</v>
      </c>
      <c r="CS20" s="57">
        <v>5.546533416614615</v>
      </c>
      <c r="CT20" s="57">
        <f t="shared" si="40"/>
        <v>5.546533416614615</v>
      </c>
      <c r="CU20" s="28">
        <v>66.599999999999994</v>
      </c>
      <c r="CV20" s="28">
        <v>91.232876712328761</v>
      </c>
      <c r="CW20" s="28">
        <v>5.546533416614615</v>
      </c>
      <c r="CX20" s="28">
        <f t="shared" si="41"/>
        <v>5.546533416614615</v>
      </c>
      <c r="CY20" s="32">
        <f t="shared" si="42"/>
        <v>38.714803247970011</v>
      </c>
      <c r="CZ20" s="32">
        <f t="shared" si="43"/>
        <v>38.714803247970011</v>
      </c>
      <c r="DA20" s="32">
        <f t="shared" si="44"/>
        <v>53.714803247970011</v>
      </c>
      <c r="DB20" s="32">
        <f t="shared" si="45"/>
        <v>0.96176908232712643</v>
      </c>
      <c r="DC20" s="32">
        <f t="shared" si="46"/>
        <v>0.96176908232712643</v>
      </c>
      <c r="DD20" s="59">
        <f t="shared" si="47"/>
        <v>38.714803247970011</v>
      </c>
      <c r="DE20" s="59">
        <f t="shared" si="48"/>
        <v>38.714803247970011</v>
      </c>
      <c r="DF20" s="59">
        <f t="shared" si="49"/>
        <v>53.714803247970011</v>
      </c>
      <c r="DG20" s="59">
        <f t="shared" si="50"/>
        <v>0.96176908232712643</v>
      </c>
      <c r="DH20" s="59">
        <f t="shared" si="51"/>
        <v>0.96176908232712643</v>
      </c>
      <c r="DI20" s="32">
        <f t="shared" si="52"/>
        <v>0.53300020820320637</v>
      </c>
      <c r="DJ20" s="32">
        <f t="shared" si="53"/>
        <v>59.014803247970008</v>
      </c>
      <c r="DK20" s="32">
        <f t="shared" si="54"/>
        <v>1.1547419568947579</v>
      </c>
      <c r="DL20">
        <f t="shared" si="60"/>
        <v>6.7012753735093726</v>
      </c>
      <c r="DM20">
        <f t="shared" si="6"/>
        <v>2.8796440052361864E-2</v>
      </c>
      <c r="DN20">
        <f t="shared" si="7"/>
        <v>0.14352030452726497</v>
      </c>
      <c r="DO20">
        <f t="shared" si="8"/>
        <v>0.82768325542037324</v>
      </c>
      <c r="DP20">
        <f t="shared" si="55"/>
        <v>6.7012753735093726</v>
      </c>
      <c r="DQ20">
        <f t="shared" si="9"/>
        <v>2.8796440052361864E-2</v>
      </c>
      <c r="DR20">
        <f t="shared" si="10"/>
        <v>0.14352030452726497</v>
      </c>
      <c r="DS20">
        <f t="shared" si="11"/>
        <v>0.82768325542037324</v>
      </c>
      <c r="DT20" s="63">
        <f t="shared" si="12"/>
        <v>-6.5067206426078767</v>
      </c>
      <c r="DU20" s="63">
        <f t="shared" si="13"/>
        <v>-6.5067206426078767</v>
      </c>
      <c r="DV20" s="63">
        <f t="shared" si="14"/>
        <v>-6.5066991698193881</v>
      </c>
      <c r="DW20" s="63">
        <f t="shared" si="56"/>
        <v>-6.5066991698193881</v>
      </c>
      <c r="DX20" t="str">
        <f t="shared" si="57"/>
        <v>Sufficient Capacity</v>
      </c>
      <c r="DY20" t="str">
        <f t="shared" si="58"/>
        <v>Sufficient Capacity</v>
      </c>
      <c r="DZ20" t="str">
        <f t="shared" si="59"/>
        <v>Sulfate Dominant electron acceptor</v>
      </c>
      <c r="EA20" t="str">
        <f t="shared" si="15"/>
        <v>Sulfate Dominant electron acceptor</v>
      </c>
      <c r="EB20">
        <v>9.9290790000000004E-3</v>
      </c>
      <c r="EC20">
        <v>1.5606389999999999E-3</v>
      </c>
      <c r="ED20" s="66">
        <v>5.2719710000000004E-6</v>
      </c>
      <c r="EE20">
        <v>6.7345980000000001E-4</v>
      </c>
      <c r="EF20">
        <v>4.1541470000000004E-3</v>
      </c>
      <c r="EG20" s="66">
        <v>1.727583E-5</v>
      </c>
      <c r="EH20">
        <v>4.0176920000000002E-4</v>
      </c>
      <c r="EI20" s="66">
        <v>7.5548839999999993E-5</v>
      </c>
      <c r="EJ20">
        <v>5.6973600000000005E-4</v>
      </c>
      <c r="EK20">
        <v>9.0110359999999998E-4</v>
      </c>
      <c r="EL20">
        <v>4.9130880000000004E-4</v>
      </c>
      <c r="EM20">
        <v>2.5984510000000001E-4</v>
      </c>
      <c r="EN20">
        <v>1.9101280000000001E-3</v>
      </c>
      <c r="EO20">
        <v>7.1484969999999995E-4</v>
      </c>
      <c r="EP20">
        <v>1.8232000000000001E-3</v>
      </c>
      <c r="EQ20">
        <v>1.083517E-3</v>
      </c>
      <c r="ER20">
        <v>3.7285580000000001E-4</v>
      </c>
      <c r="ES20">
        <v>7.2964510000000005E-4</v>
      </c>
      <c r="ET20">
        <v>1.0183909999999999E-2</v>
      </c>
      <c r="EU20">
        <v>2.8041400000000001E-3</v>
      </c>
      <c r="EV20">
        <v>8.1939279999999996E-3</v>
      </c>
      <c r="EW20">
        <v>6.6768929999999995E-4</v>
      </c>
      <c r="EX20">
        <v>4.5440230000000003E-3</v>
      </c>
      <c r="EY20">
        <v>6.4967530000000001E-3</v>
      </c>
      <c r="EZ20">
        <v>1.1508989999999999E-3</v>
      </c>
      <c r="FA20">
        <v>9.2080890000000005E-4</v>
      </c>
      <c r="FB20">
        <v>9.9329780000000003E-4</v>
      </c>
      <c r="FC20">
        <v>1.871658E-3</v>
      </c>
      <c r="FD20">
        <v>3.2920129999999999E-4</v>
      </c>
      <c r="FE20">
        <v>2.450486E-2</v>
      </c>
      <c r="FF20">
        <v>1.411389E-2</v>
      </c>
      <c r="FG20">
        <v>8.1671179999999993E-3</v>
      </c>
      <c r="FH20">
        <v>7.4216060000000005E-4</v>
      </c>
      <c r="FI20">
        <v>1.4370100000000001E-3</v>
      </c>
      <c r="FJ20">
        <v>9.5968719999999993E-3</v>
      </c>
      <c r="FK20">
        <v>0.162030987606055</v>
      </c>
      <c r="FL20">
        <v>-0.10203800767539301</v>
      </c>
      <c r="FM20">
        <v>0.35752578210841301</v>
      </c>
      <c r="FN20">
        <v>0.30230563923859399</v>
      </c>
      <c r="FO20">
        <v>-4.9401640573880599E-2</v>
      </c>
      <c r="FP20">
        <v>0.25318609133256498</v>
      </c>
      <c r="FQ20">
        <v>0.225328135935809</v>
      </c>
      <c r="FR20">
        <v>7.5401976372790905E-2</v>
      </c>
      <c r="FS20">
        <v>1.04656705363135E-2</v>
      </c>
      <c r="FT20">
        <v>-6.2601007566685907E-2</v>
      </c>
      <c r="FU20">
        <v>-0.13271158977118999</v>
      </c>
      <c r="FV20">
        <v>-0.15006896779844001</v>
      </c>
      <c r="FW20">
        <v>-0.108982845498637</v>
      </c>
      <c r="FX20">
        <v>-6.0598439970824799E-2</v>
      </c>
      <c r="FY20">
        <v>4.68282550691086E-2</v>
      </c>
      <c r="FZ20">
        <v>0.15980215826175601</v>
      </c>
      <c r="GA20">
        <v>1.23439216206185E-2</v>
      </c>
      <c r="GB20">
        <v>-7.5855485249668703E-2</v>
      </c>
      <c r="GC20">
        <v>3.5286068397768502E-2</v>
      </c>
      <c r="GD20">
        <v>-9.0563695463241195E-2</v>
      </c>
      <c r="GE20">
        <v>-4.16053933330831E-2</v>
      </c>
      <c r="GF20">
        <v>-0.101617435730754</v>
      </c>
      <c r="GG20">
        <v>-2.6784075432666501E-2</v>
      </c>
      <c r="GH20">
        <v>4.79652028587285E-3</v>
      </c>
      <c r="GI20">
        <v>-9.9593902173289494E-4</v>
      </c>
      <c r="GJ20">
        <v>-8.1510558367400093E-2</v>
      </c>
      <c r="GK20">
        <v>4.9363759131735699E-2</v>
      </c>
      <c r="GL20">
        <v>-5.7544060590425203E-2</v>
      </c>
      <c r="GM20">
        <v>-3.2090827765684601E-2</v>
      </c>
      <c r="GN20">
        <v>-6.6206026222483894E-2</v>
      </c>
      <c r="GO20">
        <v>7.5067959524854899E-4</v>
      </c>
      <c r="GP20">
        <v>-9.8655242318550093E-2</v>
      </c>
      <c r="GR20" s="66"/>
      <c r="GT20" s="66"/>
      <c r="GV20" s="66"/>
      <c r="GW20" s="65"/>
      <c r="GZ20" s="66"/>
      <c r="HK20" s="1"/>
      <c r="HL20" s="1"/>
      <c r="HM20" s="1"/>
      <c r="HN20" s="1"/>
      <c r="HO20" s="65"/>
      <c r="HP20" s="65"/>
      <c r="HQ20" s="65"/>
      <c r="HS20" s="65"/>
      <c r="HT20" s="65"/>
      <c r="HU20" s="65"/>
      <c r="HV20" s="65"/>
      <c r="HW20" s="65"/>
      <c r="HX20" s="65"/>
      <c r="IJ20" s="66"/>
      <c r="IL20" s="66"/>
      <c r="IZ20" s="66"/>
      <c r="JB20" s="66"/>
      <c r="JD20" s="66"/>
      <c r="JF20" s="66"/>
      <c r="JH20" s="66"/>
      <c r="JJ20" s="66"/>
      <c r="JL20" s="66"/>
      <c r="JN20" s="66"/>
      <c r="JP20" s="66"/>
      <c r="JR20" s="66"/>
    </row>
    <row r="21" spans="1:278" ht="15.75" x14ac:dyDescent="0.25">
      <c r="A21" s="2" t="s">
        <v>74</v>
      </c>
      <c r="B21" s="2" t="s">
        <v>74</v>
      </c>
      <c r="C21" s="2" t="s">
        <v>717</v>
      </c>
      <c r="D21" s="2" t="s">
        <v>463</v>
      </c>
      <c r="E21" s="2" t="s">
        <v>463</v>
      </c>
      <c r="F21" s="2">
        <v>20</v>
      </c>
      <c r="G21" s="2" t="s">
        <v>715</v>
      </c>
      <c r="H21" s="10" t="s">
        <v>656</v>
      </c>
      <c r="I21" s="2">
        <v>150</v>
      </c>
      <c r="J21" s="2">
        <v>65</v>
      </c>
      <c r="K21" s="2">
        <v>4</v>
      </c>
      <c r="L21" t="s">
        <v>42</v>
      </c>
      <c r="M21" s="2" t="s">
        <v>1120</v>
      </c>
      <c r="N21" s="2" t="s">
        <v>436</v>
      </c>
      <c r="O21" s="2" t="s">
        <v>653</v>
      </c>
      <c r="P21" s="2" t="s">
        <v>1124</v>
      </c>
      <c r="Q21" s="9" t="s">
        <v>716</v>
      </c>
      <c r="R21" s="2" t="str">
        <f t="shared" si="0"/>
        <v>CW_2_Section_1</v>
      </c>
      <c r="S21" s="2" t="str">
        <f t="shared" si="1"/>
        <v>CW_2_MF02</v>
      </c>
      <c r="T21" s="11" t="s">
        <v>691</v>
      </c>
      <c r="U21" s="1">
        <v>45518</v>
      </c>
      <c r="V21" s="2" t="s">
        <v>692</v>
      </c>
      <c r="W21" s="2" t="s">
        <v>663</v>
      </c>
      <c r="X21" s="2" t="s">
        <v>690</v>
      </c>
      <c r="Y21" s="2" t="str">
        <f t="shared" si="2"/>
        <v>T0_MF02</v>
      </c>
      <c r="Z21" s="2" t="str">
        <f t="shared" si="3"/>
        <v>T0_CW_2_MF02</v>
      </c>
      <c r="AA21" s="2" t="str">
        <f t="shared" si="4"/>
        <v>T0_0.60-0.80</v>
      </c>
      <c r="AB21" s="2">
        <v>1</v>
      </c>
      <c r="AC21" s="2">
        <v>3.2000000000000001E-2</v>
      </c>
      <c r="AD21" s="2">
        <v>-1.56</v>
      </c>
      <c r="AE21" s="2">
        <v>0</v>
      </c>
      <c r="AF21" t="s">
        <v>43</v>
      </c>
      <c r="AG21" t="s">
        <v>1237</v>
      </c>
      <c r="AH21">
        <v>65</v>
      </c>
      <c r="AI21">
        <v>22</v>
      </c>
      <c r="AJ21">
        <v>0.88</v>
      </c>
      <c r="AK21">
        <v>0.16</v>
      </c>
      <c r="AL21">
        <v>24.1</v>
      </c>
      <c r="AM21">
        <v>-164</v>
      </c>
      <c r="AN21">
        <v>7.09</v>
      </c>
      <c r="AO21">
        <v>814</v>
      </c>
      <c r="AP21">
        <v>0.2</v>
      </c>
      <c r="AQ21" t="s">
        <v>443</v>
      </c>
      <c r="AR21">
        <v>12</v>
      </c>
      <c r="AS21">
        <v>12</v>
      </c>
      <c r="AT21">
        <v>740</v>
      </c>
      <c r="AU21" s="32">
        <f t="shared" si="16"/>
        <v>0.28421456919728588</v>
      </c>
      <c r="AV21">
        <v>140</v>
      </c>
      <c r="AW21" s="32">
        <f t="shared" si="5"/>
        <v>5.4699370523116998E-2</v>
      </c>
      <c r="AX21">
        <v>640</v>
      </c>
      <c r="AY21" s="32">
        <f t="shared" si="17"/>
        <v>0.25317886408589996</v>
      </c>
      <c r="AZ21">
        <v>230</v>
      </c>
      <c r="BA21" s="32">
        <f t="shared" si="18"/>
        <v>9.0986154280870299E-2</v>
      </c>
      <c r="BB21">
        <v>380</v>
      </c>
      <c r="BC21" s="32">
        <f t="shared" si="19"/>
        <v>0.15032495055100309</v>
      </c>
      <c r="BD21">
        <v>610</v>
      </c>
      <c r="BF21" s="48">
        <v>2130</v>
      </c>
      <c r="BG21" s="48">
        <f t="shared" si="20"/>
        <v>0.59209280380630291</v>
      </c>
      <c r="BH21">
        <v>3800</v>
      </c>
      <c r="BI21" s="32">
        <f t="shared" si="21"/>
        <v>1.4231099321214014</v>
      </c>
      <c r="BJ21" s="47">
        <v>1400</v>
      </c>
      <c r="BK21" s="27">
        <f t="shared" si="22"/>
        <v>0.52430365920262156</v>
      </c>
      <c r="BL21" s="47">
        <v>67</v>
      </c>
      <c r="BM21" s="27">
        <f t="shared" si="23"/>
        <v>2.4653393784085681E-2</v>
      </c>
      <c r="BN21" s="47">
        <v>60</v>
      </c>
      <c r="BO21" s="27">
        <f t="shared" si="24"/>
        <v>2.2566629920238637E-2</v>
      </c>
      <c r="BP21" s="47">
        <v>26</v>
      </c>
      <c r="BQ21" s="27">
        <f t="shared" si="25"/>
        <v>9.6979906148477926E-3</v>
      </c>
      <c r="BR21" s="47">
        <v>16</v>
      </c>
      <c r="BS21" s="27">
        <f t="shared" si="26"/>
        <v>5.9249284632216801E-3</v>
      </c>
      <c r="BT21" s="47">
        <v>3.5</v>
      </c>
      <c r="BU21" s="27">
        <f t="shared" si="27"/>
        <v>1.2960781013297423E-3</v>
      </c>
      <c r="BV21" s="47">
        <v>0.54</v>
      </c>
      <c r="BW21" s="27">
        <f t="shared" si="28"/>
        <v>1.9757725587144623E-4</v>
      </c>
      <c r="BX21" s="47">
        <v>0.44</v>
      </c>
      <c r="BY21" s="27">
        <f t="shared" si="29"/>
        <v>1.6098887515451175E-4</v>
      </c>
      <c r="BZ21" s="51">
        <f t="shared" si="30"/>
        <v>1573.48</v>
      </c>
      <c r="CA21" s="51">
        <f t="shared" si="31"/>
        <v>173.48</v>
      </c>
      <c r="CB21" s="27">
        <f t="shared" si="32"/>
        <v>0.58880124621737095</v>
      </c>
      <c r="CC21" s="27">
        <f t="shared" si="33"/>
        <v>6.4497587014749488E-2</v>
      </c>
      <c r="CD21">
        <v>5700</v>
      </c>
      <c r="CE21">
        <v>1900</v>
      </c>
      <c r="CF21" t="s">
        <v>19</v>
      </c>
      <c r="CG21">
        <v>7600</v>
      </c>
      <c r="CH21" s="32">
        <v>1.2</v>
      </c>
      <c r="CI21" s="32">
        <f t="shared" si="34"/>
        <v>2.1486123545210383E-2</v>
      </c>
      <c r="CJ21" s="32">
        <f t="shared" si="35"/>
        <v>2.1486123545210383E-2</v>
      </c>
      <c r="CK21" s="32">
        <v>1.2</v>
      </c>
      <c r="CL21" s="32">
        <f t="shared" si="36"/>
        <v>2.1845985800109231E-2</v>
      </c>
      <c r="CM21" s="32">
        <f t="shared" si="37"/>
        <v>4.3691971600218461E-2</v>
      </c>
      <c r="CN21" s="27">
        <v>58</v>
      </c>
      <c r="CO21" s="27">
        <f t="shared" si="38"/>
        <v>0.60378929835519468</v>
      </c>
      <c r="CP21" s="27">
        <f t="shared" si="39"/>
        <v>4.8303143868415575</v>
      </c>
      <c r="CQ21" s="57">
        <v>15</v>
      </c>
      <c r="CR21" s="57">
        <v>20.547945205479451</v>
      </c>
      <c r="CS21" s="57">
        <v>1.2492192379762648</v>
      </c>
      <c r="CT21" s="57">
        <f t="shared" si="40"/>
        <v>1.2492192379762648</v>
      </c>
      <c r="CU21" s="28">
        <v>15</v>
      </c>
      <c r="CV21" s="28">
        <v>20.547945205479451</v>
      </c>
      <c r="CW21" s="28">
        <v>1.2492192379762648</v>
      </c>
      <c r="CX21" s="28">
        <f t="shared" si="41"/>
        <v>1.2492192379762648</v>
      </c>
      <c r="CY21" s="32">
        <f t="shared" si="42"/>
        <v>8.7195502810743282</v>
      </c>
      <c r="CZ21" s="32">
        <f t="shared" si="43"/>
        <v>8.7195502810743282</v>
      </c>
      <c r="DA21" s="32">
        <f t="shared" si="44"/>
        <v>9.9195502810743275</v>
      </c>
      <c r="DB21" s="32">
        <f t="shared" si="45"/>
        <v>0.17761056904340783</v>
      </c>
      <c r="DC21" s="32">
        <f t="shared" si="46"/>
        <v>0.17761056904340783</v>
      </c>
      <c r="DD21" s="59">
        <f t="shared" si="47"/>
        <v>8.7195502810743282</v>
      </c>
      <c r="DE21" s="59">
        <f t="shared" si="48"/>
        <v>8.7195502810743282</v>
      </c>
      <c r="DF21" s="59">
        <f t="shared" si="49"/>
        <v>9.9195502810743275</v>
      </c>
      <c r="DG21" s="59">
        <f t="shared" si="50"/>
        <v>0.17761056904340783</v>
      </c>
      <c r="DH21" s="59">
        <f t="shared" si="51"/>
        <v>0.17761056904340783</v>
      </c>
      <c r="DI21" s="32">
        <f t="shared" si="52"/>
        <v>4.8303143868415575</v>
      </c>
      <c r="DJ21" s="32">
        <f t="shared" si="53"/>
        <v>11.119550281074327</v>
      </c>
      <c r="DK21" s="32">
        <f t="shared" si="54"/>
        <v>0.22130254064362628</v>
      </c>
      <c r="DL21">
        <f t="shared" si="60"/>
        <v>1.470521778619891</v>
      </c>
      <c r="DM21">
        <f t="shared" si="6"/>
        <v>2.9711883384157766E-2</v>
      </c>
      <c r="DN21">
        <f t="shared" si="7"/>
        <v>0.12078064509190628</v>
      </c>
      <c r="DO21">
        <f t="shared" si="8"/>
        <v>0.84950747152393602</v>
      </c>
      <c r="DP21">
        <f t="shared" si="55"/>
        <v>1.470521778619891</v>
      </c>
      <c r="DQ21">
        <f t="shared" si="9"/>
        <v>2.9711883384157766E-2</v>
      </c>
      <c r="DR21">
        <f t="shared" si="10"/>
        <v>0.12078064509190628</v>
      </c>
      <c r="DS21">
        <f t="shared" si="11"/>
        <v>0.84950747152393602</v>
      </c>
      <c r="DT21" s="63">
        <f t="shared" si="12"/>
        <v>0.54468095730781307</v>
      </c>
      <c r="DU21" s="63">
        <f t="shared" si="13"/>
        <v>0.54468095730781307</v>
      </c>
      <c r="DV21" s="63">
        <f t="shared" si="14"/>
        <v>0.60917854432256258</v>
      </c>
      <c r="DW21" s="63">
        <f t="shared" si="56"/>
        <v>0.60917854432256258</v>
      </c>
      <c r="DX21" t="str">
        <f t="shared" si="57"/>
        <v>Insufficient Capacity</v>
      </c>
      <c r="DY21" t="str">
        <f t="shared" si="58"/>
        <v>Insufficient Capacity</v>
      </c>
      <c r="DZ21" t="str">
        <f t="shared" si="59"/>
        <v>Sulfate Dominant electron acceptor</v>
      </c>
      <c r="EA21" t="str">
        <f t="shared" si="15"/>
        <v>Sulfate Dominant electron acceptor</v>
      </c>
      <c r="EB21">
        <v>1.0535660000000001E-2</v>
      </c>
      <c r="EC21">
        <v>1.95451E-3</v>
      </c>
      <c r="ED21" s="66">
        <v>3.010137E-7</v>
      </c>
      <c r="EE21">
        <v>1.098504E-4</v>
      </c>
      <c r="EF21">
        <v>1.4006310000000001E-3</v>
      </c>
      <c r="EG21" s="66">
        <v>1.795231E-6</v>
      </c>
      <c r="EH21" s="66">
        <v>2.0904480000000001E-5</v>
      </c>
      <c r="EI21" s="66">
        <v>1.542777E-5</v>
      </c>
      <c r="EJ21">
        <v>1.162801E-4</v>
      </c>
      <c r="EK21">
        <v>2.143329E-4</v>
      </c>
      <c r="EL21">
        <v>2.1505790000000001E-4</v>
      </c>
      <c r="EM21" s="66">
        <v>2.2071650000000001E-5</v>
      </c>
      <c r="EN21">
        <v>1.795006E-3</v>
      </c>
      <c r="EO21">
        <v>6.9478420000000001E-4</v>
      </c>
      <c r="EP21">
        <v>9.1875140000000001E-4</v>
      </c>
      <c r="EQ21">
        <v>1.754759E-3</v>
      </c>
      <c r="ER21" s="66">
        <v>5.6543879999999998E-5</v>
      </c>
      <c r="ES21">
        <v>1.9322489999999999E-4</v>
      </c>
      <c r="ET21">
        <v>6.8002269999999998E-3</v>
      </c>
      <c r="EU21">
        <v>2.633692E-3</v>
      </c>
      <c r="EV21">
        <v>1.004712E-2</v>
      </c>
      <c r="EW21">
        <v>4.6199570000000001E-4</v>
      </c>
      <c r="EX21">
        <v>6.3186279999999997E-3</v>
      </c>
      <c r="EY21">
        <v>7.6037199999999996E-3</v>
      </c>
      <c r="EZ21">
        <v>2.502006E-4</v>
      </c>
      <c r="FA21">
        <v>3.6274350000000001E-4</v>
      </c>
      <c r="FB21">
        <v>3.6336140000000001E-4</v>
      </c>
      <c r="FC21">
        <v>1.4281039999999999E-3</v>
      </c>
      <c r="FD21" s="66">
        <v>4.6609130000000003E-5</v>
      </c>
      <c r="FE21">
        <v>1.9812130000000001E-2</v>
      </c>
      <c r="FF21">
        <v>2.6860249999999999E-2</v>
      </c>
      <c r="FG21">
        <v>1.3340110000000001E-2</v>
      </c>
      <c r="FH21">
        <v>9.0004440000000005E-4</v>
      </c>
      <c r="FI21">
        <v>7.7748019999999995E-4</v>
      </c>
      <c r="FJ21">
        <v>1.760275E-2</v>
      </c>
      <c r="FK21">
        <v>-1.6512778781138899</v>
      </c>
      <c r="FL21">
        <v>-1.1892222707156701</v>
      </c>
      <c r="FM21">
        <v>-1.9066489282327399</v>
      </c>
      <c r="FN21">
        <v>-2.6536086650846298</v>
      </c>
      <c r="FO21">
        <v>-1.6380118428293</v>
      </c>
      <c r="FP21">
        <v>-1.33598506862712</v>
      </c>
      <c r="FQ21">
        <v>-1.21076168461975</v>
      </c>
      <c r="FR21">
        <v>-0.75076358010645305</v>
      </c>
      <c r="FS21">
        <v>-2.45532603411282</v>
      </c>
      <c r="FT21">
        <v>-0.124762898533538</v>
      </c>
      <c r="FU21">
        <v>-0.16118260682636501</v>
      </c>
      <c r="FV21">
        <v>-0.83540187139450495</v>
      </c>
      <c r="FW21">
        <v>0.37313644828729498</v>
      </c>
      <c r="FX21">
        <v>-1.9467732157992499</v>
      </c>
      <c r="FY21">
        <v>-1.2818752010121199</v>
      </c>
      <c r="FZ21">
        <v>-0.24405087158448899</v>
      </c>
      <c r="GA21">
        <v>-5.0366310916865102E-2</v>
      </c>
      <c r="GB21">
        <v>0.128037148854204</v>
      </c>
      <c r="GC21">
        <v>-0.33298129349753203</v>
      </c>
      <c r="GD21">
        <v>0.23912565749502901</v>
      </c>
      <c r="GE21">
        <v>0.115729694261097</v>
      </c>
      <c r="GF21">
        <v>-1.62765309470813</v>
      </c>
      <c r="GG21">
        <v>-0.95834062537490095</v>
      </c>
      <c r="GH21">
        <v>-1.0008360668155101</v>
      </c>
      <c r="GI21">
        <v>-0.27147291768203502</v>
      </c>
      <c r="GJ21">
        <v>-2.0363835314416798</v>
      </c>
      <c r="GK21">
        <v>-0.16321332970942901</v>
      </c>
      <c r="GL21">
        <v>0.58594401911359395</v>
      </c>
      <c r="GM21">
        <v>0.45856836590323402</v>
      </c>
      <c r="GN21">
        <v>0.12667240742261399</v>
      </c>
      <c r="GO21">
        <v>-0.61351098791062697</v>
      </c>
      <c r="GP21">
        <v>0.50796268547455303</v>
      </c>
      <c r="HK21" s="1"/>
      <c r="HL21" s="1"/>
      <c r="HM21" s="65"/>
      <c r="HN21" s="1"/>
      <c r="HO21" s="65"/>
      <c r="HP21" s="65"/>
      <c r="HQ21" s="65"/>
      <c r="HS21" s="65"/>
      <c r="HT21" s="65"/>
      <c r="HU21" s="65"/>
      <c r="HV21" s="65"/>
      <c r="HW21" s="65"/>
      <c r="HX21" s="65"/>
      <c r="JJ21" s="66"/>
      <c r="JL21" s="66"/>
      <c r="JN21" s="66"/>
    </row>
    <row r="22" spans="1:278" ht="15.75" x14ac:dyDescent="0.25">
      <c r="A22" s="2" t="s">
        <v>75</v>
      </c>
      <c r="B22" s="2" t="s">
        <v>75</v>
      </c>
      <c r="C22" s="2" t="s">
        <v>720</v>
      </c>
      <c r="D22" s="2" t="s">
        <v>464</v>
      </c>
      <c r="E22" s="2" t="s">
        <v>464</v>
      </c>
      <c r="F22" s="2">
        <v>21</v>
      </c>
      <c r="G22" s="2" t="s">
        <v>718</v>
      </c>
      <c r="H22" s="10" t="s">
        <v>656</v>
      </c>
      <c r="I22" s="2">
        <v>150</v>
      </c>
      <c r="J22" s="2">
        <v>65</v>
      </c>
      <c r="K22" s="2">
        <v>17.55</v>
      </c>
      <c r="L22" t="s">
        <v>34</v>
      </c>
      <c r="M22" s="2" t="s">
        <v>1120</v>
      </c>
      <c r="N22" s="2" t="s">
        <v>436</v>
      </c>
      <c r="O22" s="2" t="s">
        <v>666</v>
      </c>
      <c r="P22" s="2" t="s">
        <v>1131</v>
      </c>
      <c r="Q22" s="9" t="s">
        <v>719</v>
      </c>
      <c r="R22" s="2" t="str">
        <f t="shared" si="0"/>
        <v>CW_2_Section_2</v>
      </c>
      <c r="S22" s="2" t="str">
        <f t="shared" si="1"/>
        <v>CW_2_MF05</v>
      </c>
      <c r="T22" s="11" t="s">
        <v>691</v>
      </c>
      <c r="U22" s="1">
        <v>45518</v>
      </c>
      <c r="V22" s="2" t="s">
        <v>692</v>
      </c>
      <c r="W22" s="2" t="s">
        <v>655</v>
      </c>
      <c r="X22" s="2" t="s">
        <v>690</v>
      </c>
      <c r="Y22" s="2" t="str">
        <f t="shared" si="2"/>
        <v>T0_MF05</v>
      </c>
      <c r="Z22" s="2" t="str">
        <f t="shared" si="3"/>
        <v>T0_CW_2_MF05</v>
      </c>
      <c r="AA22" s="2" t="str">
        <f t="shared" si="4"/>
        <v>T0_0.15-0.30</v>
      </c>
      <c r="AB22" s="2">
        <v>1</v>
      </c>
      <c r="AC22" s="2">
        <v>3.2000000000000001E-2</v>
      </c>
      <c r="AD22" s="2">
        <v>-1.56</v>
      </c>
      <c r="AE22" s="2">
        <v>0</v>
      </c>
      <c r="AF22" t="s">
        <v>35</v>
      </c>
      <c r="AG22" t="s">
        <v>1237</v>
      </c>
      <c r="AH22">
        <v>65</v>
      </c>
      <c r="AI22">
        <v>24</v>
      </c>
      <c r="AJ22">
        <v>1.2</v>
      </c>
      <c r="AK22">
        <v>0.5</v>
      </c>
      <c r="AL22">
        <v>23.4</v>
      </c>
      <c r="AM22">
        <v>-183.2</v>
      </c>
      <c r="AN22">
        <v>7.12</v>
      </c>
      <c r="AO22">
        <v>869</v>
      </c>
      <c r="AP22">
        <v>0.2</v>
      </c>
      <c r="AQ22" t="s">
        <v>443</v>
      </c>
      <c r="AR22">
        <v>13</v>
      </c>
      <c r="AS22">
        <v>13</v>
      </c>
      <c r="AT22">
        <v>880</v>
      </c>
      <c r="AU22" s="32">
        <f t="shared" si="16"/>
        <v>0.3379848930994751</v>
      </c>
      <c r="AV22">
        <v>140</v>
      </c>
      <c r="AW22" s="32">
        <f t="shared" si="5"/>
        <v>5.4699370523116998E-2</v>
      </c>
      <c r="AX22">
        <v>620</v>
      </c>
      <c r="AY22" s="32">
        <f t="shared" si="17"/>
        <v>0.24526702458321561</v>
      </c>
      <c r="AZ22">
        <v>230</v>
      </c>
      <c r="BA22" s="32">
        <f t="shared" si="18"/>
        <v>9.0986154280870299E-2</v>
      </c>
      <c r="BB22">
        <v>260</v>
      </c>
      <c r="BC22" s="32">
        <f t="shared" si="19"/>
        <v>0.10285391353489687</v>
      </c>
      <c r="BD22">
        <v>490</v>
      </c>
      <c r="BF22" s="48">
        <v>2130</v>
      </c>
      <c r="BG22" s="48">
        <f t="shared" si="20"/>
        <v>0.63795128820580771</v>
      </c>
      <c r="BH22">
        <v>3000</v>
      </c>
      <c r="BI22" s="32">
        <f t="shared" si="21"/>
        <v>1.1235078411484747</v>
      </c>
      <c r="BJ22" s="47">
        <v>1100</v>
      </c>
      <c r="BK22" s="27">
        <f t="shared" si="22"/>
        <v>0.41195287508777401</v>
      </c>
      <c r="BL22" s="47">
        <v>4</v>
      </c>
      <c r="BM22" s="27">
        <f t="shared" si="23"/>
        <v>1.4718444050200407E-3</v>
      </c>
      <c r="BN22" s="47">
        <v>4</v>
      </c>
      <c r="BO22" s="27">
        <f t="shared" si="24"/>
        <v>1.5044419946825757E-3</v>
      </c>
      <c r="BP22" s="47">
        <v>2</v>
      </c>
      <c r="BQ22" s="27">
        <f t="shared" si="25"/>
        <v>7.4599927806521475E-4</v>
      </c>
      <c r="BR22" s="47">
        <v>1.4</v>
      </c>
      <c r="BS22" s="27">
        <f t="shared" si="26"/>
        <v>5.1843124053189689E-4</v>
      </c>
      <c r="BT22" s="47">
        <v>0.14000000000000001</v>
      </c>
      <c r="BU22" s="27">
        <f t="shared" si="27"/>
        <v>5.1843124053189702E-5</v>
      </c>
      <c r="BV22" s="47">
        <v>0.03</v>
      </c>
      <c r="BW22" s="27">
        <f t="shared" si="28"/>
        <v>1.0976514215080345E-5</v>
      </c>
      <c r="BX22" s="47">
        <v>2E-3</v>
      </c>
      <c r="BY22" s="27">
        <f t="shared" si="29"/>
        <v>7.3176761433868969E-7</v>
      </c>
      <c r="BZ22" s="51">
        <f t="shared" si="30"/>
        <v>1111.5720000000001</v>
      </c>
      <c r="CA22" s="51">
        <f t="shared" si="31"/>
        <v>11.572000000000001</v>
      </c>
      <c r="CB22" s="27">
        <f t="shared" si="32"/>
        <v>0.41625714341195635</v>
      </c>
      <c r="CC22" s="27">
        <f t="shared" si="33"/>
        <v>4.3042683241823372E-3</v>
      </c>
      <c r="CD22">
        <v>4200</v>
      </c>
      <c r="CE22">
        <v>720</v>
      </c>
      <c r="CF22" t="s">
        <v>19</v>
      </c>
      <c r="CG22">
        <v>4900</v>
      </c>
      <c r="CH22" s="32">
        <v>5.9</v>
      </c>
      <c r="CI22" s="32">
        <f t="shared" si="34"/>
        <v>0.10564010743061773</v>
      </c>
      <c r="CJ22" s="32">
        <f t="shared" si="35"/>
        <v>0.10564010743061773</v>
      </c>
      <c r="CK22" s="32">
        <v>3.1</v>
      </c>
      <c r="CL22" s="32">
        <f t="shared" si="36"/>
        <v>5.6435463316948847E-2</v>
      </c>
      <c r="CM22" s="32">
        <f t="shared" si="37"/>
        <v>0.11287092663389769</v>
      </c>
      <c r="CN22" s="27">
        <v>33</v>
      </c>
      <c r="CO22" s="27">
        <f t="shared" si="38"/>
        <v>0.34353529044347281</v>
      </c>
      <c r="CP22" s="27">
        <f t="shared" si="39"/>
        <v>2.7482823235477825</v>
      </c>
      <c r="CQ22" s="57">
        <v>40</v>
      </c>
      <c r="CR22" s="57">
        <v>54.794520547945204</v>
      </c>
      <c r="CS22" s="57">
        <v>3.3312513012700395</v>
      </c>
      <c r="CT22" s="57">
        <f t="shared" si="40"/>
        <v>3.3312513012700395</v>
      </c>
      <c r="CU22" s="28">
        <v>-26.6</v>
      </c>
      <c r="CV22" s="28">
        <v>-415.625</v>
      </c>
      <c r="CW22" s="28">
        <v>-2.2152821153445763</v>
      </c>
      <c r="CX22" s="28">
        <f t="shared" si="41"/>
        <v>0</v>
      </c>
      <c r="CY22" s="32">
        <f t="shared" si="42"/>
        <v>23.252134082864874</v>
      </c>
      <c r="CZ22" s="32">
        <f t="shared" si="43"/>
        <v>23.252134082864874</v>
      </c>
      <c r="DA22" s="32">
        <f t="shared" si="44"/>
        <v>29.152134082864876</v>
      </c>
      <c r="DB22" s="32">
        <f t="shared" si="45"/>
        <v>0.52197196209247765</v>
      </c>
      <c r="DC22" s="32">
        <f t="shared" si="46"/>
        <v>0.52197196209247765</v>
      </c>
      <c r="DD22" s="59">
        <f t="shared" si="47"/>
        <v>-15.462669165105142</v>
      </c>
      <c r="DE22" s="59">
        <f t="shared" si="48"/>
        <v>0</v>
      </c>
      <c r="DF22" s="59">
        <f t="shared" si="49"/>
        <v>5.9</v>
      </c>
      <c r="DG22" s="59">
        <f t="shared" si="50"/>
        <v>0.10564010743061773</v>
      </c>
      <c r="DH22" s="59">
        <f t="shared" si="51"/>
        <v>0.10564010743061773</v>
      </c>
      <c r="DI22" s="32">
        <f t="shared" si="52"/>
        <v>2.7482823235477825</v>
      </c>
      <c r="DJ22" s="32">
        <f t="shared" si="53"/>
        <v>9</v>
      </c>
      <c r="DK22" s="32">
        <f t="shared" si="54"/>
        <v>0.21851103406451544</v>
      </c>
      <c r="DL22">
        <f t="shared" si="60"/>
        <v>3.9660941899964151</v>
      </c>
      <c r="DM22">
        <f t="shared" si="6"/>
        <v>2.8458962704060169E-2</v>
      </c>
      <c r="DN22">
        <f t="shared" si="7"/>
        <v>0.13160856426683842</v>
      </c>
      <c r="DO22">
        <f t="shared" si="8"/>
        <v>0.83993247302910135</v>
      </c>
      <c r="DP22">
        <f t="shared" si="55"/>
        <v>0.21851103406451544</v>
      </c>
      <c r="DQ22">
        <f t="shared" si="9"/>
        <v>0.5165456614908176</v>
      </c>
      <c r="DR22">
        <f t="shared" si="10"/>
        <v>0.4834543385091824</v>
      </c>
      <c r="DS22">
        <f t="shared" si="11"/>
        <v>0</v>
      </c>
      <c r="DT22" s="63">
        <f t="shared" si="12"/>
        <v>-2.2046350606421328</v>
      </c>
      <c r="DU22" s="63">
        <f t="shared" si="13"/>
        <v>1.5429480952897667</v>
      </c>
      <c r="DV22" s="63">
        <f t="shared" si="14"/>
        <v>-2.2003307923179505</v>
      </c>
      <c r="DW22" s="63">
        <f t="shared" si="56"/>
        <v>1.547252363613949</v>
      </c>
      <c r="DX22" t="str">
        <f t="shared" si="57"/>
        <v>Sufficient Capacity</v>
      </c>
      <c r="DY22" t="str">
        <f t="shared" si="58"/>
        <v>Insufficient Capacity</v>
      </c>
      <c r="DZ22" t="str">
        <f t="shared" si="59"/>
        <v>Sulfate Dominant electron acceptor</v>
      </c>
      <c r="EA22" t="str">
        <f t="shared" si="15"/>
        <v>Iron Dominant electron acceptor</v>
      </c>
      <c r="EB22">
        <v>1.08124E-2</v>
      </c>
      <c r="EC22">
        <v>1.7286669999999999E-3</v>
      </c>
      <c r="ED22" s="66">
        <v>1.2328310000000001E-6</v>
      </c>
      <c r="EE22">
        <v>4.9657409999999999E-4</v>
      </c>
      <c r="EF22">
        <v>2.4945689999999999E-3</v>
      </c>
      <c r="EG22" s="66">
        <v>4.391099E-6</v>
      </c>
      <c r="EH22">
        <v>2.761498E-4</v>
      </c>
      <c r="EI22">
        <v>1.013524E-4</v>
      </c>
      <c r="EJ22">
        <v>3.4641529999999998E-4</v>
      </c>
      <c r="EK22">
        <v>5.2197650000000001E-4</v>
      </c>
      <c r="EL22">
        <v>3.326259E-4</v>
      </c>
      <c r="EM22">
        <v>1.583841E-4</v>
      </c>
      <c r="EN22">
        <v>1.7058889999999999E-3</v>
      </c>
      <c r="EO22">
        <v>6.7860779999999996E-4</v>
      </c>
      <c r="EP22">
        <v>1.4085269999999999E-3</v>
      </c>
      <c r="EQ22">
        <v>1.4745839999999999E-3</v>
      </c>
      <c r="ER22">
        <v>2.348091E-4</v>
      </c>
      <c r="ES22">
        <v>4.7281679999999998E-4</v>
      </c>
      <c r="ET22">
        <v>1.214529E-2</v>
      </c>
      <c r="EU22">
        <v>3.4475669999999999E-3</v>
      </c>
      <c r="EV22">
        <v>8.5685280000000006E-3</v>
      </c>
      <c r="EW22">
        <v>5.3073010000000002E-4</v>
      </c>
      <c r="EX22">
        <v>5.9111859999999997E-3</v>
      </c>
      <c r="EY22">
        <v>7.1533559999999996E-3</v>
      </c>
      <c r="EZ22">
        <v>7.1392950000000004E-4</v>
      </c>
      <c r="FA22">
        <v>8.5823530000000005E-4</v>
      </c>
      <c r="FB22">
        <v>8.9686449999999999E-4</v>
      </c>
      <c r="FC22">
        <v>1.722283E-3</v>
      </c>
      <c r="FD22">
        <v>3.6629959999999999E-4</v>
      </c>
      <c r="FE22">
        <v>2.2385619999999998E-2</v>
      </c>
      <c r="FF22">
        <v>1.81364E-2</v>
      </c>
      <c r="FG22">
        <v>9.1559320000000003E-3</v>
      </c>
      <c r="FH22">
        <v>1.110895E-3</v>
      </c>
      <c r="FI22">
        <v>1.195544E-3</v>
      </c>
      <c r="FJ22">
        <v>1.2374970000000001E-2</v>
      </c>
      <c r="FK22">
        <v>-0.14266460120462601</v>
      </c>
      <c r="FL22">
        <v>-0.61202915129114699</v>
      </c>
      <c r="FM22">
        <v>-1.0122030952583501</v>
      </c>
      <c r="FN22">
        <v>-7.2628683048963097E-2</v>
      </c>
      <c r="FO22">
        <v>0.24442257782877</v>
      </c>
      <c r="FP22">
        <v>-0.24434866000644601</v>
      </c>
      <c r="FQ22">
        <v>-0.32066953070212401</v>
      </c>
      <c r="FR22">
        <v>-0.31465243926042302</v>
      </c>
      <c r="FS22">
        <v>-0.48459691815327899</v>
      </c>
      <c r="FT22">
        <v>-0.17568488061218801</v>
      </c>
      <c r="FU22">
        <v>-0.184740554040868</v>
      </c>
      <c r="FV22">
        <v>-0.40811768926814301</v>
      </c>
      <c r="FW22">
        <v>0.199180838850747</v>
      </c>
      <c r="FX22">
        <v>-0.52301734610185002</v>
      </c>
      <c r="FY22">
        <v>-0.38702199801801601</v>
      </c>
      <c r="FZ22">
        <v>0.335934574745897</v>
      </c>
      <c r="GA22">
        <v>0.21891578989055499</v>
      </c>
      <c r="GB22">
        <v>-3.1152921521899302E-2</v>
      </c>
      <c r="GC22">
        <v>-0.194283271408311</v>
      </c>
      <c r="GD22">
        <v>0.17247004961505899</v>
      </c>
      <c r="GE22">
        <v>5.4673710253117798E-2</v>
      </c>
      <c r="GF22">
        <v>-0.57913187285088097</v>
      </c>
      <c r="GG22">
        <v>-9.7158293987257102E-2</v>
      </c>
      <c r="GH22">
        <v>-9.7329206531179005E-2</v>
      </c>
      <c r="GI22">
        <v>-8.4169871790295198E-2</v>
      </c>
      <c r="GJ22">
        <v>2.5271601653368898E-2</v>
      </c>
      <c r="GK22">
        <v>-4.1088917665706298E-2</v>
      </c>
      <c r="GL22">
        <v>0.19321748908340999</v>
      </c>
      <c r="GM22">
        <v>8.2195054811492696E-2</v>
      </c>
      <c r="GN22">
        <v>0.337149587704205</v>
      </c>
      <c r="GO22">
        <v>-0.183212574496467</v>
      </c>
      <c r="GP22">
        <v>0.155583429845598</v>
      </c>
      <c r="GR22" s="66"/>
      <c r="GT22" s="66"/>
      <c r="GV22" s="66"/>
      <c r="GW22" s="65"/>
      <c r="GX22" s="65"/>
      <c r="HK22" s="1"/>
      <c r="HL22" s="1"/>
      <c r="HM22" s="65"/>
      <c r="HN22" s="1"/>
      <c r="HO22" s="65"/>
      <c r="HP22" s="65"/>
      <c r="HQ22" s="65"/>
      <c r="HS22" s="65"/>
      <c r="HT22" s="65"/>
      <c r="HV22" s="65"/>
      <c r="HW22" s="65"/>
      <c r="HX22" s="65"/>
      <c r="IJ22" s="66"/>
      <c r="IL22" s="66"/>
      <c r="IN22" s="66"/>
      <c r="IP22" s="66"/>
      <c r="IR22" s="66"/>
      <c r="JB22" s="66"/>
      <c r="JD22" s="66"/>
      <c r="JF22" s="66"/>
      <c r="JH22" s="66"/>
      <c r="JJ22" s="66"/>
      <c r="JL22" s="66"/>
      <c r="JN22" s="66"/>
    </row>
    <row r="23" spans="1:278" ht="15.75" x14ac:dyDescent="0.25">
      <c r="A23" s="2" t="s">
        <v>76</v>
      </c>
      <c r="B23" s="2" t="s">
        <v>76</v>
      </c>
      <c r="C23" s="2" t="s">
        <v>723</v>
      </c>
      <c r="D23" s="2" t="s">
        <v>465</v>
      </c>
      <c r="E23" s="2" t="s">
        <v>465</v>
      </c>
      <c r="F23" s="2">
        <v>22</v>
      </c>
      <c r="G23" s="2" t="s">
        <v>721</v>
      </c>
      <c r="H23" s="10" t="s">
        <v>656</v>
      </c>
      <c r="I23" s="2">
        <v>150</v>
      </c>
      <c r="J23" s="2">
        <v>65</v>
      </c>
      <c r="K23" s="2">
        <v>6.8</v>
      </c>
      <c r="L23" t="s">
        <v>36</v>
      </c>
      <c r="M23" s="2" t="s">
        <v>1120</v>
      </c>
      <c r="N23" s="2" t="s">
        <v>436</v>
      </c>
      <c r="O23" s="2" t="s">
        <v>666</v>
      </c>
      <c r="P23" s="2" t="s">
        <v>1132</v>
      </c>
      <c r="Q23" s="9" t="s">
        <v>722</v>
      </c>
      <c r="R23" s="2" t="str">
        <f t="shared" si="0"/>
        <v>CW_2_Section_2</v>
      </c>
      <c r="S23" s="2" t="str">
        <f t="shared" si="1"/>
        <v>CW_2_MF06</v>
      </c>
      <c r="T23" s="11" t="s">
        <v>691</v>
      </c>
      <c r="U23" s="1">
        <v>45518</v>
      </c>
      <c r="V23" s="2" t="s">
        <v>692</v>
      </c>
      <c r="W23" s="2" t="s">
        <v>663</v>
      </c>
      <c r="X23" s="2" t="s">
        <v>690</v>
      </c>
      <c r="Y23" s="2" t="str">
        <f t="shared" si="2"/>
        <v>T0_MF06</v>
      </c>
      <c r="Z23" s="2" t="str">
        <f t="shared" si="3"/>
        <v>T0_CW_2_MF06</v>
      </c>
      <c r="AA23" s="2" t="str">
        <f t="shared" si="4"/>
        <v>T0_0.60-0.80</v>
      </c>
      <c r="AB23" s="2">
        <v>1</v>
      </c>
      <c r="AC23" s="2">
        <v>3.2000000000000001E-2</v>
      </c>
      <c r="AD23" s="2">
        <v>-1.56</v>
      </c>
      <c r="AE23" s="2">
        <v>0</v>
      </c>
      <c r="AF23" t="s">
        <v>37</v>
      </c>
      <c r="AG23" t="s">
        <v>1237</v>
      </c>
      <c r="AH23">
        <v>64</v>
      </c>
      <c r="AI23">
        <v>23</v>
      </c>
      <c r="AJ23">
        <v>1.1000000000000001</v>
      </c>
      <c r="AK23">
        <v>0.23</v>
      </c>
      <c r="AL23">
        <v>24.1</v>
      </c>
      <c r="AM23">
        <v>-132</v>
      </c>
      <c r="AN23">
        <v>6.92</v>
      </c>
      <c r="AO23">
        <v>1150</v>
      </c>
      <c r="AP23">
        <v>0.1</v>
      </c>
      <c r="AQ23" t="s">
        <v>443</v>
      </c>
      <c r="AR23">
        <v>12</v>
      </c>
      <c r="AS23">
        <v>13</v>
      </c>
      <c r="AT23">
        <v>770</v>
      </c>
      <c r="AU23" s="32">
        <f t="shared" si="16"/>
        <v>0.29573678146204069</v>
      </c>
      <c r="AV23">
        <v>110</v>
      </c>
      <c r="AW23" s="32">
        <f t="shared" si="5"/>
        <v>4.2978076839591928E-2</v>
      </c>
      <c r="AX23">
        <v>530</v>
      </c>
      <c r="AY23" s="32">
        <f t="shared" si="17"/>
        <v>0.20966374682113592</v>
      </c>
      <c r="AZ23">
        <v>190</v>
      </c>
      <c r="BA23" s="32">
        <f t="shared" si="18"/>
        <v>7.5162475275501545E-2</v>
      </c>
      <c r="BB23">
        <v>290</v>
      </c>
      <c r="BC23" s="32">
        <f t="shared" si="19"/>
        <v>0.11472167278892344</v>
      </c>
      <c r="BD23">
        <v>480</v>
      </c>
      <c r="BF23" s="48">
        <v>1890</v>
      </c>
      <c r="BG23" s="48">
        <f t="shared" si="20"/>
        <v>0.54837860512276859</v>
      </c>
      <c r="BH23">
        <v>2600</v>
      </c>
      <c r="BI23" s="32">
        <f t="shared" si="21"/>
        <v>0.97370679566201146</v>
      </c>
      <c r="BJ23" s="47">
        <v>520</v>
      </c>
      <c r="BK23" s="27">
        <f t="shared" si="22"/>
        <v>0.19474135913240226</v>
      </c>
      <c r="BL23" s="47">
        <v>4</v>
      </c>
      <c r="BM23" s="27">
        <f t="shared" si="23"/>
        <v>1.4718444050200407E-3</v>
      </c>
      <c r="BN23" s="47">
        <v>4</v>
      </c>
      <c r="BO23" s="27">
        <f t="shared" si="24"/>
        <v>1.5044419946825757E-3</v>
      </c>
      <c r="BP23" s="47">
        <v>2</v>
      </c>
      <c r="BQ23" s="27">
        <f t="shared" si="25"/>
        <v>7.4599927806521475E-4</v>
      </c>
      <c r="BR23" s="47">
        <v>3</v>
      </c>
      <c r="BS23" s="27">
        <f t="shared" si="26"/>
        <v>1.1109240868540651E-3</v>
      </c>
      <c r="BT23" s="47">
        <v>0.41</v>
      </c>
      <c r="BU23" s="27">
        <f t="shared" si="27"/>
        <v>1.5182629187005553E-4</v>
      </c>
      <c r="BV23" s="47">
        <v>0.04</v>
      </c>
      <c r="BW23" s="27">
        <f t="shared" si="28"/>
        <v>1.4635352286773795E-5</v>
      </c>
      <c r="BX23" s="47">
        <v>0.02</v>
      </c>
      <c r="BY23" s="27">
        <f t="shared" si="29"/>
        <v>7.3176761433868973E-6</v>
      </c>
      <c r="BZ23" s="51">
        <f t="shared" si="30"/>
        <v>533.46999999999991</v>
      </c>
      <c r="CA23" s="51">
        <f t="shared" si="31"/>
        <v>13.469999999999999</v>
      </c>
      <c r="CB23" s="27">
        <f t="shared" si="32"/>
        <v>0.19974834821732437</v>
      </c>
      <c r="CC23" s="27">
        <f t="shared" si="33"/>
        <v>5.0069890849221126E-3</v>
      </c>
      <c r="CD23">
        <v>3400</v>
      </c>
      <c r="CE23">
        <v>910</v>
      </c>
      <c r="CF23" t="s">
        <v>19</v>
      </c>
      <c r="CG23">
        <v>4300</v>
      </c>
      <c r="CH23" s="32">
        <v>4.9000000000000004</v>
      </c>
      <c r="CI23" s="32">
        <f t="shared" si="34"/>
        <v>8.7735004476275746E-2</v>
      </c>
      <c r="CJ23" s="32">
        <f t="shared" si="35"/>
        <v>8.7735004476275746E-2</v>
      </c>
      <c r="CK23" s="32">
        <v>2.8</v>
      </c>
      <c r="CL23" s="32">
        <f t="shared" si="36"/>
        <v>5.097396686692153E-2</v>
      </c>
      <c r="CM23" s="32">
        <f t="shared" si="37"/>
        <v>0.10194793373384306</v>
      </c>
      <c r="CN23" s="27">
        <v>38</v>
      </c>
      <c r="CO23" s="27">
        <f t="shared" si="38"/>
        <v>0.39558609202581718</v>
      </c>
      <c r="CP23" s="27">
        <f t="shared" si="39"/>
        <v>3.1646887362065375</v>
      </c>
      <c r="CQ23" s="57">
        <v>35</v>
      </c>
      <c r="CR23" s="57">
        <v>47.945205479452049</v>
      </c>
      <c r="CS23" s="57">
        <v>2.9148448886112845</v>
      </c>
      <c r="CT23" s="57">
        <f t="shared" si="40"/>
        <v>2.9148448886112845</v>
      </c>
      <c r="CU23" s="28">
        <v>20</v>
      </c>
      <c r="CV23" s="28">
        <v>34.482758620689658</v>
      </c>
      <c r="CW23" s="28">
        <v>1.6656256506350198</v>
      </c>
      <c r="CX23" s="28">
        <f t="shared" si="41"/>
        <v>1.6656256506350198</v>
      </c>
      <c r="CY23" s="32">
        <f t="shared" si="42"/>
        <v>20.345617322506765</v>
      </c>
      <c r="CZ23" s="32">
        <f t="shared" si="43"/>
        <v>20.345617322506765</v>
      </c>
      <c r="DA23" s="32">
        <f t="shared" si="44"/>
        <v>25.245617322506767</v>
      </c>
      <c r="DB23" s="32">
        <f t="shared" si="45"/>
        <v>0.45202537730540315</v>
      </c>
      <c r="DC23" s="32">
        <f t="shared" si="46"/>
        <v>0.45202537730540315</v>
      </c>
      <c r="DD23" s="59">
        <f t="shared" si="47"/>
        <v>11.626067041432437</v>
      </c>
      <c r="DE23" s="59">
        <f t="shared" si="48"/>
        <v>11.626067041432437</v>
      </c>
      <c r="DF23" s="59">
        <f t="shared" si="49"/>
        <v>16.526067041432437</v>
      </c>
      <c r="DG23" s="59">
        <f t="shared" si="50"/>
        <v>0.29590093180720567</v>
      </c>
      <c r="DH23" s="59">
        <f t="shared" si="51"/>
        <v>0.29590093180720567</v>
      </c>
      <c r="DI23" s="32">
        <f t="shared" si="52"/>
        <v>3.1646887362065375</v>
      </c>
      <c r="DJ23" s="32">
        <f t="shared" si="53"/>
        <v>19.326067041432438</v>
      </c>
      <c r="DK23" s="32">
        <f t="shared" si="54"/>
        <v>0.3978488655410487</v>
      </c>
      <c r="DL23">
        <f t="shared" si="60"/>
        <v>3.4688181996505305</v>
      </c>
      <c r="DM23">
        <f t="shared" si="6"/>
        <v>2.938981747273867E-2</v>
      </c>
      <c r="DN23">
        <f t="shared" si="7"/>
        <v>0.13031106021957073</v>
      </c>
      <c r="DO23">
        <f t="shared" si="8"/>
        <v>0.84029912230769066</v>
      </c>
      <c r="DP23">
        <f t="shared" si="55"/>
        <v>2.0634745161760684</v>
      </c>
      <c r="DQ23">
        <f t="shared" si="9"/>
        <v>4.9405957250573687E-2</v>
      </c>
      <c r="DR23">
        <f t="shared" si="10"/>
        <v>0.14339936330086356</v>
      </c>
      <c r="DS23">
        <f t="shared" si="11"/>
        <v>0.80719467944856282</v>
      </c>
      <c r="DT23" s="63">
        <f t="shared" si="12"/>
        <v>-1.9467327988657503</v>
      </c>
      <c r="DU23" s="63">
        <f t="shared" si="13"/>
        <v>-0.5413891153912882</v>
      </c>
      <c r="DV23" s="63">
        <f t="shared" si="14"/>
        <v>-1.9417258097808283</v>
      </c>
      <c r="DW23" s="63">
        <f t="shared" si="56"/>
        <v>-0.53638212630636617</v>
      </c>
      <c r="DX23" t="str">
        <f t="shared" si="57"/>
        <v>Sufficient Capacity</v>
      </c>
      <c r="DY23" t="str">
        <f t="shared" si="58"/>
        <v>Sufficient Capacity</v>
      </c>
      <c r="DZ23" t="str">
        <f t="shared" si="59"/>
        <v>Sulfate Dominant electron acceptor</v>
      </c>
      <c r="EA23" t="str">
        <f t="shared" si="15"/>
        <v>Sulfate Dominant electron acceptor</v>
      </c>
      <c r="EB23">
        <v>9.2574979999999994E-3</v>
      </c>
      <c r="EC23">
        <v>1.449285E-3</v>
      </c>
      <c r="ED23" s="66">
        <v>5.5174499999999998E-5</v>
      </c>
      <c r="EE23">
        <v>3.614108E-4</v>
      </c>
      <c r="EF23">
        <v>3.1185850000000001E-3</v>
      </c>
      <c r="EG23" s="66">
        <v>1.767521E-5</v>
      </c>
      <c r="EH23">
        <v>1.900277E-4</v>
      </c>
      <c r="EI23">
        <v>1.165575E-4</v>
      </c>
      <c r="EJ23">
        <v>3.1373760000000001E-4</v>
      </c>
      <c r="EK23">
        <v>5.8648459999999995E-4</v>
      </c>
      <c r="EL23">
        <v>3.3295029999999998E-4</v>
      </c>
      <c r="EM23">
        <v>1.426663E-4</v>
      </c>
      <c r="EN23">
        <v>2.3036020000000001E-3</v>
      </c>
      <c r="EO23">
        <v>9.638038E-4</v>
      </c>
      <c r="EP23">
        <v>1.4296999999999999E-3</v>
      </c>
      <c r="EQ23">
        <v>1.367713E-3</v>
      </c>
      <c r="ER23">
        <v>2.4106109999999999E-4</v>
      </c>
      <c r="ES23">
        <v>5.0606779999999997E-4</v>
      </c>
      <c r="ET23">
        <v>1.231959E-2</v>
      </c>
      <c r="EU23">
        <v>2.7396410000000001E-3</v>
      </c>
      <c r="EV23">
        <v>9.5802820000000007E-3</v>
      </c>
      <c r="EW23">
        <v>4.8862769999999996E-4</v>
      </c>
      <c r="EX23">
        <v>5.1964489999999997E-3</v>
      </c>
      <c r="EY23">
        <v>6.5822950000000002E-3</v>
      </c>
      <c r="EZ23">
        <v>8.5167170000000005E-4</v>
      </c>
      <c r="FA23">
        <v>6.949886E-4</v>
      </c>
      <c r="FB23">
        <v>7.0577620000000004E-4</v>
      </c>
      <c r="FC23">
        <v>1.7083479999999999E-3</v>
      </c>
      <c r="FD23">
        <v>2.6702220000000002E-4</v>
      </c>
      <c r="FE23">
        <v>2.2469059999999999E-2</v>
      </c>
      <c r="FF23">
        <v>1.6355000000000001E-2</v>
      </c>
      <c r="FG23">
        <v>8.8559490000000001E-3</v>
      </c>
      <c r="FH23">
        <v>6.0637159999999996E-4</v>
      </c>
      <c r="FI23">
        <v>1.078655E-3</v>
      </c>
      <c r="FJ23">
        <v>1.151663E-2</v>
      </c>
      <c r="FK23">
        <v>-0.460382056770064</v>
      </c>
      <c r="FL23">
        <v>-0.38876574677491899</v>
      </c>
      <c r="FM23">
        <v>0.38038046019934502</v>
      </c>
      <c r="FN23">
        <v>-0.44640230414390902</v>
      </c>
      <c r="FO23">
        <v>0.38420373837113703</v>
      </c>
      <c r="FP23">
        <v>-0.34343003655791499</v>
      </c>
      <c r="FQ23">
        <v>-0.20414568812498901</v>
      </c>
      <c r="FR23">
        <v>-0.313677644711918</v>
      </c>
      <c r="FS23">
        <v>-0.58911167689051203</v>
      </c>
      <c r="FT23">
        <v>0.12470272176971101</v>
      </c>
      <c r="FU23">
        <v>0.16610384634735501</v>
      </c>
      <c r="FV23">
        <v>-0.39319753469479601</v>
      </c>
      <c r="FW23">
        <v>0.12394492460491199</v>
      </c>
      <c r="FX23">
        <v>-0.49673976136412001</v>
      </c>
      <c r="FY23">
        <v>-0.31905934406735698</v>
      </c>
      <c r="FZ23">
        <v>0.35018381276851701</v>
      </c>
      <c r="GA23">
        <v>-1.09260850606043E-2</v>
      </c>
      <c r="GB23">
        <v>8.0458150456721E-2</v>
      </c>
      <c r="GC23">
        <v>-0.276936027368897</v>
      </c>
      <c r="GD23">
        <v>4.3599069211094098E-2</v>
      </c>
      <c r="GE23">
        <v>-2.8524438241544402E-2</v>
      </c>
      <c r="GF23">
        <v>-0.40271496688693997</v>
      </c>
      <c r="GG23">
        <v>-0.308141155749317</v>
      </c>
      <c r="GH23">
        <v>-0.33693580802167999</v>
      </c>
      <c r="GI23">
        <v>-9.2293786393806698E-2</v>
      </c>
      <c r="GJ23">
        <v>-0.29084817511848798</v>
      </c>
      <c r="GK23">
        <v>-3.7368454327345403E-2</v>
      </c>
      <c r="GL23">
        <v>8.9830181531688397E-2</v>
      </c>
      <c r="GM23">
        <v>4.8882516154857399E-2</v>
      </c>
      <c r="GN23">
        <v>-0.26827868855984199</v>
      </c>
      <c r="GO23">
        <v>-0.28609899177202502</v>
      </c>
      <c r="GP23">
        <v>8.3699623385101105E-2</v>
      </c>
      <c r="GT23" s="66"/>
      <c r="GV23" s="66"/>
      <c r="HK23" s="1"/>
      <c r="HL23" s="1"/>
      <c r="HM23" s="65"/>
      <c r="HN23" s="1"/>
      <c r="HO23" s="65"/>
      <c r="HP23" s="65"/>
      <c r="HQ23" s="65"/>
      <c r="HS23" s="65"/>
      <c r="HT23" s="65"/>
      <c r="HU23" s="65"/>
      <c r="HV23" s="65"/>
      <c r="HW23" s="65"/>
      <c r="HX23" s="65"/>
      <c r="JH23" s="66"/>
      <c r="JJ23" s="66"/>
      <c r="JL23" s="66"/>
      <c r="JN23" s="66"/>
    </row>
    <row r="24" spans="1:278" ht="15.75" x14ac:dyDescent="0.25">
      <c r="A24" s="29" t="s">
        <v>77</v>
      </c>
      <c r="B24" s="29" t="s">
        <v>77</v>
      </c>
      <c r="C24" s="29" t="s">
        <v>726</v>
      </c>
      <c r="D24" s="29" t="s">
        <v>466</v>
      </c>
      <c r="E24" s="29" t="s">
        <v>466</v>
      </c>
      <c r="F24" s="29">
        <v>23</v>
      </c>
      <c r="G24" s="29" t="s">
        <v>724</v>
      </c>
      <c r="H24" s="30" t="s">
        <v>656</v>
      </c>
      <c r="I24" s="29">
        <v>150</v>
      </c>
      <c r="J24" s="29">
        <v>65</v>
      </c>
      <c r="K24" s="29">
        <v>20.149999999999999</v>
      </c>
      <c r="L24" s="32" t="s">
        <v>44</v>
      </c>
      <c r="M24" s="29" t="s">
        <v>1120</v>
      </c>
      <c r="N24" s="29" t="s">
        <v>436</v>
      </c>
      <c r="O24" s="29" t="s">
        <v>673</v>
      </c>
      <c r="P24" s="29" t="s">
        <v>1127</v>
      </c>
      <c r="Q24" s="40" t="s">
        <v>725</v>
      </c>
      <c r="R24" s="2" t="str">
        <f t="shared" si="0"/>
        <v>CW_2_Section_3</v>
      </c>
      <c r="S24" s="2" t="str">
        <f t="shared" si="1"/>
        <v>CW_2_MF09</v>
      </c>
      <c r="T24" s="31" t="s">
        <v>691</v>
      </c>
      <c r="U24" s="33">
        <v>45518</v>
      </c>
      <c r="V24" s="29" t="s">
        <v>692</v>
      </c>
      <c r="W24" s="29" t="s">
        <v>655</v>
      </c>
      <c r="X24" s="29" t="s">
        <v>690</v>
      </c>
      <c r="Y24" s="2" t="str">
        <f t="shared" si="2"/>
        <v>T0_MF09</v>
      </c>
      <c r="Z24" s="2" t="str">
        <f t="shared" si="3"/>
        <v>T0_CW_2_MF09</v>
      </c>
      <c r="AA24" s="2" t="str">
        <f t="shared" si="4"/>
        <v>T0_0.15-0.30</v>
      </c>
      <c r="AB24" s="2">
        <v>1</v>
      </c>
      <c r="AC24" s="2">
        <v>3.2000000000000001E-2</v>
      </c>
      <c r="AD24" s="2">
        <v>-1.56</v>
      </c>
      <c r="AE24" s="2">
        <v>0</v>
      </c>
      <c r="AF24" s="32" t="s">
        <v>45</v>
      </c>
      <c r="AG24" t="s">
        <v>1237</v>
      </c>
      <c r="AH24" s="32">
        <v>53</v>
      </c>
      <c r="AI24" s="32">
        <v>16</v>
      </c>
      <c r="AJ24" s="32">
        <v>2.6</v>
      </c>
      <c r="AK24" s="32">
        <v>0.78</v>
      </c>
      <c r="AL24" s="32">
        <v>24.2</v>
      </c>
      <c r="AM24" s="32">
        <v>-132</v>
      </c>
      <c r="AN24" s="32">
        <v>6.9</v>
      </c>
      <c r="AO24" s="32">
        <v>712</v>
      </c>
      <c r="AP24" s="32">
        <v>0.1</v>
      </c>
      <c r="AQ24" s="32" t="s">
        <v>443</v>
      </c>
      <c r="AR24" s="32">
        <v>22</v>
      </c>
      <c r="AS24" s="32">
        <v>23</v>
      </c>
      <c r="AT24" s="32">
        <v>130</v>
      </c>
      <c r="AU24" s="32">
        <f t="shared" si="16"/>
        <v>4.9929586480604277E-2</v>
      </c>
      <c r="AV24" s="32">
        <v>3.1</v>
      </c>
      <c r="AW24" s="32">
        <f t="shared" si="5"/>
        <v>1.2112003472975908E-3</v>
      </c>
      <c r="AX24" s="32">
        <v>5.7</v>
      </c>
      <c r="AY24" s="32">
        <f t="shared" si="17"/>
        <v>2.254874258265047E-3</v>
      </c>
      <c r="AZ24" s="32">
        <v>2</v>
      </c>
      <c r="BA24" s="32">
        <f t="shared" si="18"/>
        <v>7.9118395026843739E-4</v>
      </c>
      <c r="BB24" s="32">
        <v>2.9</v>
      </c>
      <c r="BC24" s="32">
        <f t="shared" si="19"/>
        <v>1.1472167278892343E-3</v>
      </c>
      <c r="BD24" s="32">
        <v>4.9000000000000004</v>
      </c>
      <c r="BE24" s="32"/>
      <c r="BF24" s="48">
        <v>143.69999999999999</v>
      </c>
      <c r="BG24" s="48">
        <f t="shared" si="20"/>
        <v>5.3395661086166911E-2</v>
      </c>
      <c r="BH24" s="32">
        <v>20</v>
      </c>
      <c r="BI24" s="32">
        <f t="shared" si="21"/>
        <v>7.4900522743231637E-3</v>
      </c>
      <c r="BJ24" s="47">
        <v>9.8000000000000007</v>
      </c>
      <c r="BK24" s="27">
        <f t="shared" si="22"/>
        <v>3.670125614418351E-3</v>
      </c>
      <c r="BL24" s="47">
        <v>0.41</v>
      </c>
      <c r="BM24" s="27">
        <f t="shared" si="23"/>
        <v>1.5086405151455416E-4</v>
      </c>
      <c r="BN24" s="47">
        <v>0.21</v>
      </c>
      <c r="BO24" s="27">
        <f t="shared" si="24"/>
        <v>7.8983204720835227E-5</v>
      </c>
      <c r="BP24" s="47">
        <v>0.08</v>
      </c>
      <c r="BQ24" s="27">
        <f t="shared" si="25"/>
        <v>2.9839971122608595E-5</v>
      </c>
      <c r="BR24" s="47">
        <v>0.04</v>
      </c>
      <c r="BS24" s="27">
        <f t="shared" si="26"/>
        <v>1.4812321158054199E-5</v>
      </c>
      <c r="BT24" s="47">
        <v>1E-3</v>
      </c>
      <c r="BU24" s="27">
        <f t="shared" si="27"/>
        <v>3.7030802895135499E-7</v>
      </c>
      <c r="BV24" s="47">
        <v>0.01</v>
      </c>
      <c r="BW24" s="27">
        <f t="shared" si="28"/>
        <v>3.6588380716934487E-6</v>
      </c>
      <c r="BX24" s="47">
        <v>2E-3</v>
      </c>
      <c r="BY24" s="27">
        <f t="shared" si="29"/>
        <v>7.3176761433868969E-7</v>
      </c>
      <c r="BZ24" s="51">
        <f t="shared" si="30"/>
        <v>10.553000000000001</v>
      </c>
      <c r="CA24" s="51">
        <f t="shared" si="31"/>
        <v>0.753</v>
      </c>
      <c r="CB24" s="27">
        <f t="shared" si="32"/>
        <v>3.9493860766493874E-3</v>
      </c>
      <c r="CC24" s="27">
        <f t="shared" si="33"/>
        <v>2.7926046223103565E-4</v>
      </c>
      <c r="CD24" s="32">
        <v>35</v>
      </c>
      <c r="CE24" s="32">
        <v>2.5</v>
      </c>
      <c r="CF24" s="32" t="s">
        <v>19</v>
      </c>
      <c r="CG24" s="32">
        <v>5</v>
      </c>
      <c r="CH24" s="32">
        <v>15</v>
      </c>
      <c r="CI24" s="32">
        <f t="shared" si="34"/>
        <v>0.26857654431512978</v>
      </c>
      <c r="CJ24" s="32">
        <f t="shared" si="35"/>
        <v>0.26857654431512978</v>
      </c>
      <c r="CK24" s="32">
        <v>4.4000000000000004</v>
      </c>
      <c r="CL24" s="32">
        <f t="shared" si="36"/>
        <v>8.0101947933733847E-2</v>
      </c>
      <c r="CM24" s="32">
        <f t="shared" si="37"/>
        <v>0.16020389586746769</v>
      </c>
      <c r="CN24" s="32">
        <v>0.5</v>
      </c>
      <c r="CO24" s="32">
        <f t="shared" si="38"/>
        <v>5.2050801582344368E-3</v>
      </c>
      <c r="CP24" s="32">
        <f t="shared" si="39"/>
        <v>4.1640641265875494E-2</v>
      </c>
      <c r="CQ24" s="57">
        <v>72.5</v>
      </c>
      <c r="CR24" s="57">
        <v>99.315068493150676</v>
      </c>
      <c r="CS24" s="57">
        <v>6.0378929835519468</v>
      </c>
      <c r="CT24" s="57">
        <f t="shared" si="40"/>
        <v>6.0378929835519468</v>
      </c>
      <c r="CU24" s="28">
        <v>32.5</v>
      </c>
      <c r="CV24" s="28">
        <v>98.484848484848484</v>
      </c>
      <c r="CW24" s="28">
        <v>2.7066416822819073</v>
      </c>
      <c r="CX24" s="28">
        <f t="shared" si="41"/>
        <v>2.7066416822819073</v>
      </c>
      <c r="CY24" s="32">
        <f t="shared" si="42"/>
        <v>42.144493025192588</v>
      </c>
      <c r="CZ24" s="32">
        <f t="shared" si="43"/>
        <v>42.144493025192588</v>
      </c>
      <c r="DA24" s="32">
        <f t="shared" si="44"/>
        <v>57.144493025192588</v>
      </c>
      <c r="DB24" s="32">
        <f t="shared" si="45"/>
        <v>1.0231780308897509</v>
      </c>
      <c r="DC24" s="32">
        <f t="shared" si="46"/>
        <v>1.0231780308897509</v>
      </c>
      <c r="DD24" s="59">
        <f t="shared" si="47"/>
        <v>18.892358942327711</v>
      </c>
      <c r="DE24" s="59">
        <f t="shared" si="48"/>
        <v>18.892358942327711</v>
      </c>
      <c r="DF24" s="59">
        <f t="shared" si="49"/>
        <v>33.892358942327711</v>
      </c>
      <c r="DG24" s="59">
        <f t="shared" si="50"/>
        <v>0.60684617622789094</v>
      </c>
      <c r="DH24" s="59">
        <f t="shared" si="51"/>
        <v>0.60684617622789094</v>
      </c>
      <c r="DI24" s="32">
        <f t="shared" si="52"/>
        <v>4.1640641265875494E-2</v>
      </c>
      <c r="DJ24" s="32">
        <f t="shared" si="53"/>
        <v>38.292358942327709</v>
      </c>
      <c r="DK24" s="32">
        <f t="shared" si="54"/>
        <v>0.76705007209535858</v>
      </c>
      <c r="DL24">
        <f t="shared" si="60"/>
        <v>7.2212749103091651</v>
      </c>
      <c r="DM24">
        <f t="shared" si="6"/>
        <v>2.218498781132941E-2</v>
      </c>
      <c r="DN24">
        <f t="shared" si="7"/>
        <v>0.14168938914499041</v>
      </c>
      <c r="DO24">
        <f t="shared" si="8"/>
        <v>0.83612562304368021</v>
      </c>
      <c r="DP24">
        <f t="shared" si="55"/>
        <v>3.4736917543772661</v>
      </c>
      <c r="DQ24">
        <f t="shared" si="9"/>
        <v>4.6119203198036113E-2</v>
      </c>
      <c r="DR24">
        <f t="shared" si="10"/>
        <v>0.17469776224766989</v>
      </c>
      <c r="DS24">
        <f t="shared" si="11"/>
        <v>0.77918303455429394</v>
      </c>
      <c r="DT24" s="63">
        <f t="shared" si="12"/>
        <v>-7.1603891969486755</v>
      </c>
      <c r="DU24" s="63">
        <f t="shared" si="13"/>
        <v>-3.412806041016776</v>
      </c>
      <c r="DV24" s="63">
        <f t="shared" si="14"/>
        <v>-7.1601099364864442</v>
      </c>
      <c r="DW24" s="63">
        <f t="shared" si="56"/>
        <v>-3.4125267805545452</v>
      </c>
      <c r="DX24" t="str">
        <f t="shared" si="57"/>
        <v>Sufficient Capacity</v>
      </c>
      <c r="DY24" t="str">
        <f t="shared" si="58"/>
        <v>Sufficient Capacity</v>
      </c>
      <c r="DZ24" t="str">
        <f t="shared" si="59"/>
        <v>Sulfate Dominant electron acceptor</v>
      </c>
      <c r="EA24" t="str">
        <f t="shared" si="15"/>
        <v>Sulfate Dominant electron acceptor</v>
      </c>
      <c r="EB24">
        <v>9.6729639999999992E-3</v>
      </c>
      <c r="EC24">
        <v>1.6228080000000001E-3</v>
      </c>
      <c r="ED24" s="66">
        <v>3.357569E-6</v>
      </c>
      <c r="EE24">
        <v>6.7736089999999999E-4</v>
      </c>
      <c r="EF24">
        <v>4.5291400000000001E-3</v>
      </c>
      <c r="EG24" s="66">
        <v>7.0190939999999997E-6</v>
      </c>
      <c r="EH24">
        <v>4.195604E-4</v>
      </c>
      <c r="EI24" s="66">
        <v>9.0921629999999996E-5</v>
      </c>
      <c r="EJ24">
        <v>4.5169079999999998E-4</v>
      </c>
      <c r="EK24">
        <v>8.2252949999999997E-4</v>
      </c>
      <c r="EL24">
        <v>4.6867099999999999E-4</v>
      </c>
      <c r="EM24">
        <v>2.6619000000000002E-4</v>
      </c>
      <c r="EN24">
        <v>1.9089770000000001E-3</v>
      </c>
      <c r="EO24">
        <v>7.6930749999999995E-4</v>
      </c>
      <c r="EP24">
        <v>1.9791750000000001E-3</v>
      </c>
      <c r="EQ24">
        <v>1.1805819999999999E-3</v>
      </c>
      <c r="ER24">
        <v>3.9447979999999999E-4</v>
      </c>
      <c r="ES24">
        <v>7.5228000000000003E-4</v>
      </c>
      <c r="ET24">
        <v>7.8946120000000005E-3</v>
      </c>
      <c r="EU24">
        <v>2.7123989999999999E-3</v>
      </c>
      <c r="EV24">
        <v>7.8344650000000005E-3</v>
      </c>
      <c r="EW24">
        <v>8.3065090000000003E-4</v>
      </c>
      <c r="EX24">
        <v>4.7610810000000003E-3</v>
      </c>
      <c r="EY24">
        <v>7.5240860000000001E-3</v>
      </c>
      <c r="EZ24">
        <v>1.342439E-3</v>
      </c>
      <c r="FA24">
        <v>1.075669E-3</v>
      </c>
      <c r="FB24">
        <v>1.116349E-3</v>
      </c>
      <c r="FC24">
        <v>1.771264E-3</v>
      </c>
      <c r="FD24">
        <v>4.0059159999999999E-4</v>
      </c>
      <c r="FE24">
        <v>2.757366E-2</v>
      </c>
      <c r="FF24">
        <v>1.7910019999999999E-2</v>
      </c>
      <c r="FG24">
        <v>1.0218120000000001E-2</v>
      </c>
      <c r="FH24">
        <v>8.4051340000000001E-4</v>
      </c>
      <c r="FI24">
        <v>1.556418E-3</v>
      </c>
      <c r="FJ24">
        <v>1.0553740000000001E-2</v>
      </c>
      <c r="FK24">
        <v>0.16780689975402599</v>
      </c>
      <c r="FL24">
        <v>-1.56130440840307E-2</v>
      </c>
      <c r="FM24">
        <v>-0.54314848282110595</v>
      </c>
      <c r="FN24">
        <v>0.345635341320853</v>
      </c>
      <c r="FO24">
        <v>0.13581695156769599</v>
      </c>
      <c r="FP24">
        <v>2.1010870642038E-2</v>
      </c>
      <c r="FQ24">
        <v>0.13409224984346499</v>
      </c>
      <c r="FR24">
        <v>2.8230155443615099E-2</v>
      </c>
      <c r="FS24">
        <v>3.4590325807918099E-2</v>
      </c>
      <c r="FT24">
        <v>-6.3203766608318696E-2</v>
      </c>
      <c r="FU24">
        <v>-5.9293141037867002E-2</v>
      </c>
      <c r="FV24">
        <v>-6.7982075537676295E-2</v>
      </c>
      <c r="FW24">
        <v>-2.3187540040306799E-2</v>
      </c>
      <c r="FX24">
        <v>-4.2222547740076201E-3</v>
      </c>
      <c r="FY24">
        <v>7.73785986003315E-2</v>
      </c>
      <c r="FZ24">
        <v>-9.4826364090862605E-2</v>
      </c>
      <c r="GA24">
        <v>-2.0919491828358599E-2</v>
      </c>
      <c r="GB24">
        <v>-0.120716287285886</v>
      </c>
      <c r="GC24">
        <v>0.25367273314408501</v>
      </c>
      <c r="GD24">
        <v>-4.3901695188826501E-2</v>
      </c>
      <c r="GE24">
        <v>0.105201434501607</v>
      </c>
      <c r="GF24">
        <v>5.2327296914710601E-2</v>
      </c>
      <c r="GG24">
        <v>0.12866147427701399</v>
      </c>
      <c r="GH24">
        <v>0.121584819974069</v>
      </c>
      <c r="GI24">
        <v>-5.6127192065068797E-2</v>
      </c>
      <c r="GJ24">
        <v>0.114762478334984</v>
      </c>
      <c r="GK24">
        <v>0.16735326312350601</v>
      </c>
      <c r="GL24">
        <v>0.180656853307922</v>
      </c>
      <c r="GM24">
        <v>0.19195569439354801</v>
      </c>
      <c r="GN24">
        <v>5.8241207594538699E-2</v>
      </c>
      <c r="GO24">
        <v>8.0573140792065304E-2</v>
      </c>
      <c r="GP24">
        <v>-3.6121548931680198E-3</v>
      </c>
      <c r="GR24" s="66"/>
      <c r="GT24" s="66"/>
      <c r="GV24" s="66"/>
      <c r="GW24" s="65"/>
      <c r="HK24" s="1"/>
      <c r="HL24" s="1"/>
      <c r="HM24" s="1"/>
      <c r="HN24" s="1"/>
      <c r="HO24" s="65"/>
      <c r="HP24" s="65"/>
      <c r="HQ24" s="65"/>
      <c r="HS24" s="65"/>
      <c r="HT24" s="65"/>
      <c r="HU24" s="65"/>
      <c r="HV24" s="65"/>
      <c r="HW24" s="65"/>
      <c r="HX24" s="65"/>
    </row>
    <row r="25" spans="1:278" ht="15.75" x14ac:dyDescent="0.25">
      <c r="A25" s="41" t="s">
        <v>78</v>
      </c>
      <c r="B25" s="41" t="s">
        <v>78</v>
      </c>
      <c r="C25" s="41" t="s">
        <v>729</v>
      </c>
      <c r="D25" s="41" t="s">
        <v>467</v>
      </c>
      <c r="E25" s="41" t="s">
        <v>467</v>
      </c>
      <c r="F25" s="41">
        <v>24</v>
      </c>
      <c r="G25" s="41" t="s">
        <v>727</v>
      </c>
      <c r="H25" s="43" t="s">
        <v>656</v>
      </c>
      <c r="I25" s="41">
        <v>150</v>
      </c>
      <c r="J25" s="41">
        <v>65</v>
      </c>
      <c r="K25" s="41">
        <v>7.45</v>
      </c>
      <c r="L25" s="26" t="s">
        <v>46</v>
      </c>
      <c r="M25" s="41" t="s">
        <v>1120</v>
      </c>
      <c r="N25" s="41" t="s">
        <v>436</v>
      </c>
      <c r="O25" s="41" t="s">
        <v>673</v>
      </c>
      <c r="P25" s="41" t="s">
        <v>1128</v>
      </c>
      <c r="Q25" s="42" t="s">
        <v>728</v>
      </c>
      <c r="R25" s="2" t="str">
        <f t="shared" si="0"/>
        <v>CW_2_Section_3</v>
      </c>
      <c r="S25" s="2" t="str">
        <f t="shared" si="1"/>
        <v>CW_2_MF10</v>
      </c>
      <c r="T25" s="44" t="s">
        <v>691</v>
      </c>
      <c r="U25" s="45">
        <v>45518</v>
      </c>
      <c r="V25" s="41" t="s">
        <v>692</v>
      </c>
      <c r="W25" s="41" t="s">
        <v>663</v>
      </c>
      <c r="X25" s="41" t="s">
        <v>690</v>
      </c>
      <c r="Y25" s="2" t="str">
        <f t="shared" si="2"/>
        <v>T0_MF10</v>
      </c>
      <c r="Z25" s="2" t="str">
        <f t="shared" si="3"/>
        <v>T0_CW_2_MF10</v>
      </c>
      <c r="AA25" s="2" t="str">
        <f t="shared" si="4"/>
        <v>T0_0.60-0.80</v>
      </c>
      <c r="AB25" s="2">
        <v>1</v>
      </c>
      <c r="AC25" s="2">
        <v>3.2000000000000001E-2</v>
      </c>
      <c r="AD25" s="2">
        <v>-1.56</v>
      </c>
      <c r="AE25" s="2">
        <v>0</v>
      </c>
      <c r="AF25" s="26" t="s">
        <v>47</v>
      </c>
      <c r="AG25" t="s">
        <v>1237</v>
      </c>
      <c r="AH25" s="26">
        <v>65</v>
      </c>
      <c r="AI25" s="26">
        <v>24</v>
      </c>
      <c r="AJ25" s="26">
        <v>0.77</v>
      </c>
      <c r="AK25" s="26">
        <v>0.34</v>
      </c>
      <c r="AL25" s="26">
        <v>24.2</v>
      </c>
      <c r="AM25" s="26">
        <v>-128</v>
      </c>
      <c r="AN25" s="26">
        <v>6.91</v>
      </c>
      <c r="AO25" s="26">
        <v>676</v>
      </c>
      <c r="AP25" s="26">
        <v>0.2</v>
      </c>
      <c r="AQ25" s="26" t="s">
        <v>443</v>
      </c>
      <c r="AR25" s="26">
        <v>12</v>
      </c>
      <c r="AS25" s="26">
        <v>12</v>
      </c>
      <c r="AT25" s="26">
        <v>730</v>
      </c>
      <c r="AU25" s="32">
        <f t="shared" si="16"/>
        <v>0.28037383177570091</v>
      </c>
      <c r="AV25" s="26">
        <v>100</v>
      </c>
      <c r="AW25" s="32">
        <f t="shared" si="5"/>
        <v>3.9070978945083573E-2</v>
      </c>
      <c r="AX25" s="26">
        <v>490</v>
      </c>
      <c r="AY25" s="32">
        <f t="shared" si="17"/>
        <v>0.19384006781576718</v>
      </c>
      <c r="AZ25" s="26">
        <v>190</v>
      </c>
      <c r="BA25" s="32">
        <f t="shared" si="18"/>
        <v>7.5162475275501545E-2</v>
      </c>
      <c r="BB25" s="26">
        <v>290</v>
      </c>
      <c r="BC25" s="32">
        <f t="shared" si="19"/>
        <v>0.11472167278892344</v>
      </c>
      <c r="BD25" s="26">
        <v>480</v>
      </c>
      <c r="BE25" s="26"/>
      <c r="BF25" s="48">
        <v>1800</v>
      </c>
      <c r="BG25" s="48">
        <f t="shared" si="20"/>
        <v>0.51328487853655158</v>
      </c>
      <c r="BH25" s="26">
        <v>2500</v>
      </c>
      <c r="BI25" s="32">
        <f t="shared" si="21"/>
        <v>0.93625653429039557</v>
      </c>
      <c r="BJ25" s="47">
        <v>980</v>
      </c>
      <c r="BK25" s="27">
        <f t="shared" si="22"/>
        <v>0.36701256144183508</v>
      </c>
      <c r="BL25" s="47">
        <v>42</v>
      </c>
      <c r="BM25" s="27">
        <f t="shared" si="23"/>
        <v>1.545436625271043E-2</v>
      </c>
      <c r="BN25" s="47">
        <v>4</v>
      </c>
      <c r="BO25" s="27">
        <f t="shared" si="24"/>
        <v>1.5044419946825757E-3</v>
      </c>
      <c r="BP25" s="47">
        <v>2</v>
      </c>
      <c r="BQ25" s="27">
        <f t="shared" si="25"/>
        <v>7.4599927806521475E-4</v>
      </c>
      <c r="BR25" s="47">
        <v>1.8</v>
      </c>
      <c r="BS25" s="27">
        <f t="shared" si="26"/>
        <v>6.6655445211243904E-4</v>
      </c>
      <c r="BT25" s="47">
        <v>0.15</v>
      </c>
      <c r="BU25" s="27">
        <f t="shared" si="27"/>
        <v>5.5546204342703247E-5</v>
      </c>
      <c r="BV25" s="47">
        <v>7.0000000000000007E-2</v>
      </c>
      <c r="BW25" s="27">
        <f t="shared" si="28"/>
        <v>2.5611866501854141E-5</v>
      </c>
      <c r="BX25" s="47">
        <v>0.04</v>
      </c>
      <c r="BY25" s="27">
        <f t="shared" si="29"/>
        <v>1.4635352286773795E-5</v>
      </c>
      <c r="BZ25" s="51">
        <f t="shared" si="30"/>
        <v>1030.06</v>
      </c>
      <c r="CA25" s="51">
        <f t="shared" si="31"/>
        <v>50.059999999999995</v>
      </c>
      <c r="CB25" s="27">
        <f t="shared" si="32"/>
        <v>0.38547971684253712</v>
      </c>
      <c r="CC25" s="27">
        <f t="shared" si="33"/>
        <v>1.8467155400701988E-2</v>
      </c>
      <c r="CD25" s="26">
        <v>3400</v>
      </c>
      <c r="CE25" s="26">
        <v>810</v>
      </c>
      <c r="CF25" s="26" t="s">
        <v>19</v>
      </c>
      <c r="CG25" s="26">
        <v>4200</v>
      </c>
      <c r="CH25" s="26">
        <v>3.6</v>
      </c>
      <c r="CI25" s="32">
        <f t="shared" si="34"/>
        <v>6.445837063563116E-2</v>
      </c>
      <c r="CJ25" s="32">
        <f t="shared" si="35"/>
        <v>6.445837063563116E-2</v>
      </c>
      <c r="CK25" s="26">
        <v>2.8</v>
      </c>
      <c r="CL25" s="32">
        <f t="shared" si="36"/>
        <v>5.097396686692153E-2</v>
      </c>
      <c r="CM25" s="32">
        <f t="shared" si="37"/>
        <v>0.10194793373384306</v>
      </c>
      <c r="CN25" s="26">
        <v>45</v>
      </c>
      <c r="CO25" s="26">
        <f t="shared" si="38"/>
        <v>0.46845721424109932</v>
      </c>
      <c r="CP25" s="26">
        <f t="shared" si="39"/>
        <v>3.7476577139287945</v>
      </c>
      <c r="CQ25" s="57">
        <v>28</v>
      </c>
      <c r="CR25" s="57">
        <v>38.356164383561641</v>
      </c>
      <c r="CS25" s="57">
        <v>2.3318759108890275</v>
      </c>
      <c r="CT25" s="57">
        <f t="shared" si="40"/>
        <v>2.3318759108890275</v>
      </c>
      <c r="CU25" s="28">
        <v>-7</v>
      </c>
      <c r="CV25" s="28">
        <v>-18.421052631578945</v>
      </c>
      <c r="CW25" s="28">
        <v>-0.58296897772225686</v>
      </c>
      <c r="CX25" s="28">
        <f t="shared" si="41"/>
        <v>0</v>
      </c>
      <c r="CY25" s="32">
        <f t="shared" si="42"/>
        <v>16.276493858005413</v>
      </c>
      <c r="CZ25" s="32">
        <f t="shared" si="43"/>
        <v>16.276493858005413</v>
      </c>
      <c r="DA25" s="32">
        <f t="shared" si="44"/>
        <v>19.876493858005414</v>
      </c>
      <c r="DB25" s="32">
        <f t="shared" si="45"/>
        <v>0.35589066889893312</v>
      </c>
      <c r="DC25" s="32">
        <f t="shared" si="46"/>
        <v>0.35589066889893312</v>
      </c>
      <c r="DD25" s="59">
        <f t="shared" si="47"/>
        <v>-4.0691234645013532</v>
      </c>
      <c r="DE25" s="59">
        <f t="shared" si="48"/>
        <v>0</v>
      </c>
      <c r="DF25" s="59">
        <f t="shared" si="49"/>
        <v>3.6</v>
      </c>
      <c r="DG25" s="59">
        <f t="shared" si="50"/>
        <v>6.445837063563116E-2</v>
      </c>
      <c r="DH25" s="59">
        <f t="shared" si="51"/>
        <v>6.445837063563116E-2</v>
      </c>
      <c r="DI25" s="32">
        <f t="shared" si="52"/>
        <v>3.7476577139287945</v>
      </c>
      <c r="DJ25" s="32">
        <f t="shared" si="53"/>
        <v>6.4</v>
      </c>
      <c r="DK25" s="32">
        <f t="shared" si="54"/>
        <v>0.16640630436947423</v>
      </c>
      <c r="DL25">
        <f t="shared" si="60"/>
        <v>2.7897145135218038</v>
      </c>
      <c r="DM25">
        <f t="shared" si="6"/>
        <v>3.6544217424291744E-2</v>
      </c>
      <c r="DN25">
        <f t="shared" si="7"/>
        <v>0.12757243337048421</v>
      </c>
      <c r="DO25">
        <f t="shared" si="8"/>
        <v>0.835883349205224</v>
      </c>
      <c r="DP25">
        <f t="shared" si="55"/>
        <v>0.16640630436947423</v>
      </c>
      <c r="DQ25">
        <f t="shared" si="9"/>
        <v>0.61264465982903293</v>
      </c>
      <c r="DR25">
        <f t="shared" si="10"/>
        <v>0.38735534017096696</v>
      </c>
      <c r="DS25">
        <f t="shared" si="11"/>
        <v>0</v>
      </c>
      <c r="DT25" s="63">
        <f t="shared" si="12"/>
        <v>-1.3401731006948565</v>
      </c>
      <c r="DU25" s="63">
        <f t="shared" si="13"/>
        <v>1.2831351084574729</v>
      </c>
      <c r="DV25" s="63">
        <f t="shared" si="14"/>
        <v>-1.3217059452941544</v>
      </c>
      <c r="DW25" s="63">
        <f t="shared" si="56"/>
        <v>1.3016022638581752</v>
      </c>
      <c r="DX25" t="str">
        <f t="shared" si="57"/>
        <v>Sufficient Capacity</v>
      </c>
      <c r="DY25" t="str">
        <f t="shared" si="58"/>
        <v>Insufficient Capacity</v>
      </c>
      <c r="DZ25" t="str">
        <f t="shared" si="59"/>
        <v>Sulfate Dominant electron acceptor</v>
      </c>
      <c r="EA25" t="str">
        <f t="shared" si="15"/>
        <v>Iron Dominant electron acceptor</v>
      </c>
      <c r="EB25">
        <v>9.2134490000000003E-3</v>
      </c>
      <c r="EC25">
        <v>1.601814E-3</v>
      </c>
      <c r="ED25" s="66">
        <v>5.1250080000000003E-6</v>
      </c>
      <c r="EE25">
        <v>4.321363E-4</v>
      </c>
      <c r="EF25">
        <v>3.9605389999999999E-3</v>
      </c>
      <c r="EG25" s="66">
        <v>2.522704E-5</v>
      </c>
      <c r="EH25">
        <v>2.0707209999999999E-4</v>
      </c>
      <c r="EI25">
        <v>1.210873E-4</v>
      </c>
      <c r="EJ25">
        <v>4.251751E-4</v>
      </c>
      <c r="EK25">
        <v>6.8725990000000005E-4</v>
      </c>
      <c r="EL25">
        <v>3.9454369999999999E-4</v>
      </c>
      <c r="EM25">
        <v>2.07775E-4</v>
      </c>
      <c r="EN25">
        <v>2.2725250000000001E-3</v>
      </c>
      <c r="EO25">
        <v>1.108665E-3</v>
      </c>
      <c r="EP25">
        <v>1.713577E-3</v>
      </c>
      <c r="EQ25">
        <v>1.1319979999999999E-3</v>
      </c>
      <c r="ER25">
        <v>3.1475980000000001E-4</v>
      </c>
      <c r="ES25">
        <v>5.2677919999999997E-4</v>
      </c>
      <c r="ET25">
        <v>9.4179339999999993E-3</v>
      </c>
      <c r="EU25">
        <v>2.5856490000000002E-3</v>
      </c>
      <c r="EV25">
        <v>9.143834E-3</v>
      </c>
      <c r="EW25">
        <v>4.8768359999999997E-4</v>
      </c>
      <c r="EX25">
        <v>5.0425260000000003E-3</v>
      </c>
      <c r="EY25">
        <v>6.695037E-3</v>
      </c>
      <c r="EZ25">
        <v>1.079338E-3</v>
      </c>
      <c r="FA25">
        <v>8.8647680000000003E-4</v>
      </c>
      <c r="FB25">
        <v>9.0237559999999995E-4</v>
      </c>
      <c r="FC25">
        <v>1.7474879999999999E-3</v>
      </c>
      <c r="FD25">
        <v>3.5877419999999998E-4</v>
      </c>
      <c r="FE25">
        <v>2.4034679999999999E-2</v>
      </c>
      <c r="FF25">
        <v>1.8710299999999999E-2</v>
      </c>
      <c r="FG25">
        <v>1.0211370000000001E-2</v>
      </c>
      <c r="FH25">
        <v>6.2806980000000004E-4</v>
      </c>
      <c r="FI25">
        <v>1.1982270000000001E-3</v>
      </c>
      <c r="FJ25">
        <v>1.3781669999999999E-2</v>
      </c>
      <c r="FK25">
        <v>-0.28165627052617098</v>
      </c>
      <c r="FL25">
        <v>-0.14976499296620299</v>
      </c>
      <c r="FM25">
        <v>0.73613380241951099</v>
      </c>
      <c r="FN25">
        <v>-0.36050511335327401</v>
      </c>
      <c r="FO25">
        <v>0.42233079794838402</v>
      </c>
      <c r="FP25">
        <v>-3.9485920234826097E-2</v>
      </c>
      <c r="FQ25">
        <v>-4.5579566234412297E-2</v>
      </c>
      <c r="FR25">
        <v>-0.14394096702275</v>
      </c>
      <c r="FS25">
        <v>-0.21316425026834801</v>
      </c>
      <c r="FT25">
        <v>0.111120285022517</v>
      </c>
      <c r="FU25">
        <v>0.30612796719854501</v>
      </c>
      <c r="FV25">
        <v>-0.21207916816198799</v>
      </c>
      <c r="FW25">
        <v>-6.5210864268713906E-2</v>
      </c>
      <c r="FX25">
        <v>-0.22998038143136901</v>
      </c>
      <c r="FY25">
        <v>-0.27894851105893997</v>
      </c>
      <c r="FZ25">
        <v>8.1608878377200406E-2</v>
      </c>
      <c r="GA25">
        <v>-6.8776434699723096E-2</v>
      </c>
      <c r="GB25">
        <v>3.3830894928485102E-2</v>
      </c>
      <c r="GC25">
        <v>-0.278870042255906</v>
      </c>
      <c r="GD25">
        <v>1.35307085164706E-2</v>
      </c>
      <c r="GE25">
        <v>-1.1541401322044301E-2</v>
      </c>
      <c r="GF25">
        <v>-0.16581292160290001</v>
      </c>
      <c r="GG25">
        <v>-6.4781643462837699E-2</v>
      </c>
      <c r="GH25">
        <v>-9.1203156722419201E-2</v>
      </c>
      <c r="GI25">
        <v>-6.96412799297077E-2</v>
      </c>
      <c r="GJ25">
        <v>4.5132451150289299E-3</v>
      </c>
      <c r="GK25">
        <v>2.99900812464058E-2</v>
      </c>
      <c r="GL25">
        <v>0.22437069490509901</v>
      </c>
      <c r="GM25">
        <v>0.19129488492198199</v>
      </c>
      <c r="GN25">
        <v>-0.23312038122948101</v>
      </c>
      <c r="GO25">
        <v>-0.18097092220516101</v>
      </c>
      <c r="GP25">
        <v>0.26324699400941298</v>
      </c>
      <c r="GR25" s="66"/>
      <c r="GT25" s="66"/>
      <c r="GV25" s="66"/>
      <c r="HK25" s="1"/>
      <c r="HL25" s="1"/>
      <c r="HM25" s="65"/>
      <c r="HN25" s="1"/>
      <c r="HO25" s="65"/>
      <c r="HP25" s="65"/>
      <c r="HQ25" s="65"/>
      <c r="HS25" s="65"/>
      <c r="HV25" s="65"/>
      <c r="HW25" s="65"/>
      <c r="HX25" s="65"/>
      <c r="JH25" s="66"/>
      <c r="JJ25" s="66"/>
      <c r="JL25" s="66"/>
      <c r="JN25" s="66"/>
    </row>
    <row r="26" spans="1:278" ht="15.75" x14ac:dyDescent="0.25">
      <c r="A26" s="2" t="s">
        <v>79</v>
      </c>
      <c r="B26" s="2" t="s">
        <v>79</v>
      </c>
      <c r="C26" s="2" t="s">
        <v>732</v>
      </c>
      <c r="D26" s="2" t="s">
        <v>468</v>
      </c>
      <c r="E26" s="2" t="s">
        <v>468</v>
      </c>
      <c r="F26" s="2">
        <v>25</v>
      </c>
      <c r="G26" s="2" t="s">
        <v>730</v>
      </c>
      <c r="H26" s="10" t="s">
        <v>656</v>
      </c>
      <c r="I26" s="2">
        <v>150</v>
      </c>
      <c r="J26" s="2">
        <v>65</v>
      </c>
      <c r="K26" s="2">
        <v>22.8</v>
      </c>
      <c r="L26" t="s">
        <v>50</v>
      </c>
      <c r="M26" s="2" t="s">
        <v>1120</v>
      </c>
      <c r="N26" s="2" t="s">
        <v>437</v>
      </c>
      <c r="O26" s="2" t="s">
        <v>653</v>
      </c>
      <c r="P26" s="2" t="s">
        <v>1123</v>
      </c>
      <c r="Q26" s="9" t="s">
        <v>731</v>
      </c>
      <c r="R26" s="2" t="str">
        <f t="shared" si="0"/>
        <v>CW_3_Section_1</v>
      </c>
      <c r="S26" s="2" t="str">
        <f t="shared" si="1"/>
        <v>CW_3_MF01</v>
      </c>
      <c r="T26" s="11" t="s">
        <v>691</v>
      </c>
      <c r="U26" s="1">
        <v>45518</v>
      </c>
      <c r="V26" s="2" t="s">
        <v>692</v>
      </c>
      <c r="W26" s="2" t="s">
        <v>655</v>
      </c>
      <c r="X26" s="2" t="s">
        <v>690</v>
      </c>
      <c r="Y26" s="2" t="str">
        <f t="shared" si="2"/>
        <v>T0_MF01</v>
      </c>
      <c r="Z26" s="2" t="str">
        <f t="shared" si="3"/>
        <v>T0_CW_3_MF01</v>
      </c>
      <c r="AA26" s="2" t="str">
        <f t="shared" si="4"/>
        <v>T0_0.15-0.30</v>
      </c>
      <c r="AB26" s="2">
        <v>1</v>
      </c>
      <c r="AC26" s="2">
        <v>3.2000000000000001E-2</v>
      </c>
      <c r="AD26" s="2">
        <v>-1.56</v>
      </c>
      <c r="AE26" s="2">
        <v>0</v>
      </c>
      <c r="AF26" t="s">
        <v>51</v>
      </c>
      <c r="AG26" t="s">
        <v>1237</v>
      </c>
      <c r="AH26">
        <v>59</v>
      </c>
      <c r="AI26">
        <v>16</v>
      </c>
      <c r="AJ26">
        <v>2.9</v>
      </c>
      <c r="AK26">
        <v>0.41</v>
      </c>
      <c r="AL26">
        <v>22.9</v>
      </c>
      <c r="AM26">
        <v>-131</v>
      </c>
      <c r="AN26">
        <v>6.8</v>
      </c>
      <c r="AO26">
        <v>1155</v>
      </c>
      <c r="AP26">
        <v>0.2</v>
      </c>
      <c r="AQ26" t="s">
        <v>443</v>
      </c>
      <c r="AR26">
        <v>31</v>
      </c>
      <c r="AS26">
        <v>38</v>
      </c>
      <c r="AT26">
        <v>120</v>
      </c>
      <c r="AU26" s="32">
        <f t="shared" si="16"/>
        <v>4.6088849059019332E-2</v>
      </c>
      <c r="AV26">
        <v>2.2999999999999998</v>
      </c>
      <c r="AW26" s="32">
        <f t="shared" si="5"/>
        <v>8.9863251573692204E-4</v>
      </c>
      <c r="AX26">
        <v>2</v>
      </c>
      <c r="AY26" s="32">
        <f t="shared" si="17"/>
        <v>7.9118395026843739E-4</v>
      </c>
      <c r="AZ26">
        <v>1.3</v>
      </c>
      <c r="BA26" s="32">
        <f t="shared" si="18"/>
        <v>5.1426956767448438E-4</v>
      </c>
      <c r="BB26">
        <v>0.2</v>
      </c>
      <c r="BC26" s="32">
        <f t="shared" si="19"/>
        <v>7.9118395026843739E-5</v>
      </c>
      <c r="BD26">
        <v>2.7</v>
      </c>
      <c r="BF26" s="48">
        <v>127</v>
      </c>
      <c r="BG26" s="48">
        <f t="shared" si="20"/>
        <v>4.7778665525024688E-2</v>
      </c>
      <c r="BH26">
        <v>6.1</v>
      </c>
      <c r="BI26" s="32">
        <f t="shared" si="21"/>
        <v>2.284465943668565E-3</v>
      </c>
      <c r="BJ26" s="47">
        <v>4.3</v>
      </c>
      <c r="BK26" s="27">
        <f t="shared" si="22"/>
        <v>1.6103612389794801E-3</v>
      </c>
      <c r="BL26" s="47">
        <v>0.01</v>
      </c>
      <c r="BM26" s="27">
        <f t="shared" si="23"/>
        <v>3.6796110125501018E-6</v>
      </c>
      <c r="BN26" s="47">
        <v>0.01</v>
      </c>
      <c r="BO26" s="27">
        <f t="shared" si="24"/>
        <v>3.7611049867064394E-6</v>
      </c>
      <c r="BP26" s="47">
        <v>5.0000000000000001E-3</v>
      </c>
      <c r="BQ26" s="27">
        <f t="shared" si="25"/>
        <v>1.8649981951630372E-6</v>
      </c>
      <c r="BR26" s="47">
        <v>1E-3</v>
      </c>
      <c r="BS26" s="27">
        <f t="shared" si="26"/>
        <v>3.7030802895135499E-7</v>
      </c>
      <c r="BT26" s="47">
        <v>1E-3</v>
      </c>
      <c r="BU26" s="27">
        <f t="shared" si="27"/>
        <v>3.7030802895135499E-7</v>
      </c>
      <c r="BV26" s="47">
        <v>1E-3</v>
      </c>
      <c r="BW26" s="27">
        <f t="shared" si="28"/>
        <v>3.6588380716934485E-7</v>
      </c>
      <c r="BX26" s="47">
        <v>2E-3</v>
      </c>
      <c r="BY26" s="27">
        <f t="shared" si="29"/>
        <v>7.3176761433868969E-7</v>
      </c>
      <c r="BZ26" s="51">
        <f t="shared" si="30"/>
        <v>4.33</v>
      </c>
      <c r="CA26" s="51">
        <f t="shared" si="31"/>
        <v>3.0000000000000006E-2</v>
      </c>
      <c r="CB26" s="27">
        <f t="shared" si="32"/>
        <v>1.6215052206533106E-3</v>
      </c>
      <c r="CC26" s="27">
        <f t="shared" si="33"/>
        <v>1.1143981673830322E-5</v>
      </c>
      <c r="CD26">
        <v>2.5</v>
      </c>
      <c r="CE26">
        <v>2.5</v>
      </c>
      <c r="CF26" t="s">
        <v>19</v>
      </c>
      <c r="CG26">
        <v>5</v>
      </c>
      <c r="CH26" s="32">
        <v>22</v>
      </c>
      <c r="CI26" s="32">
        <f t="shared" si="34"/>
        <v>0.39391226499552373</v>
      </c>
      <c r="CJ26" s="32">
        <f t="shared" si="35"/>
        <v>0.39391226499552373</v>
      </c>
      <c r="CK26" s="32">
        <v>5</v>
      </c>
      <c r="CL26" s="32">
        <f t="shared" si="36"/>
        <v>9.1024940833788454E-2</v>
      </c>
      <c r="CM26" s="32">
        <f t="shared" si="37"/>
        <v>0.18204988166757691</v>
      </c>
      <c r="CN26" s="27">
        <v>0.5</v>
      </c>
      <c r="CO26" s="27">
        <f t="shared" si="38"/>
        <v>5.2050801582344368E-3</v>
      </c>
      <c r="CP26" s="27">
        <f t="shared" si="39"/>
        <v>4.1640641265875494E-2</v>
      </c>
      <c r="CQ26" s="57">
        <v>72.5</v>
      </c>
      <c r="CR26" s="57">
        <v>99.315068493150676</v>
      </c>
      <c r="CS26" s="57">
        <v>6.0378929835519468</v>
      </c>
      <c r="CT26" s="57">
        <f t="shared" si="40"/>
        <v>6.0378929835519468</v>
      </c>
      <c r="CU26" s="28">
        <v>72.5</v>
      </c>
      <c r="CV26" s="28">
        <v>99.315068493150676</v>
      </c>
      <c r="CW26" s="28">
        <v>6.0378929835519468</v>
      </c>
      <c r="CX26" s="28">
        <f t="shared" si="41"/>
        <v>6.0378929835519468</v>
      </c>
      <c r="CY26" s="32">
        <f t="shared" si="42"/>
        <v>42.144493025192588</v>
      </c>
      <c r="CZ26" s="32">
        <f t="shared" si="43"/>
        <v>42.144493025192588</v>
      </c>
      <c r="DA26" s="32">
        <f t="shared" si="44"/>
        <v>64.144493025192588</v>
      </c>
      <c r="DB26" s="32">
        <f t="shared" si="45"/>
        <v>1.1485137515701447</v>
      </c>
      <c r="DC26" s="32">
        <f t="shared" si="46"/>
        <v>1.1485137515701447</v>
      </c>
      <c r="DD26" s="59">
        <f t="shared" si="47"/>
        <v>42.144493025192588</v>
      </c>
      <c r="DE26" s="59">
        <f t="shared" si="48"/>
        <v>42.144493025192588</v>
      </c>
      <c r="DF26" s="59">
        <f t="shared" si="49"/>
        <v>64.144493025192588</v>
      </c>
      <c r="DG26" s="59">
        <f t="shared" si="50"/>
        <v>1.1485137515701447</v>
      </c>
      <c r="DH26" s="59">
        <f t="shared" si="51"/>
        <v>1.1485137515701447</v>
      </c>
      <c r="DI26" s="32">
        <f t="shared" si="52"/>
        <v>4.1640641265875494E-2</v>
      </c>
      <c r="DJ26" s="32">
        <f t="shared" si="53"/>
        <v>69.144493025192588</v>
      </c>
      <c r="DK26" s="32">
        <f t="shared" si="54"/>
        <v>1.3305636332377215</v>
      </c>
      <c r="DL26">
        <f t="shared" si="60"/>
        <v>7.3684566167896683</v>
      </c>
      <c r="DM26">
        <f t="shared" si="6"/>
        <v>2.4706650406648312E-2</v>
      </c>
      <c r="DN26">
        <f t="shared" si="7"/>
        <v>0.15586897111576342</v>
      </c>
      <c r="DO26">
        <f t="shared" si="8"/>
        <v>0.81942437847758831</v>
      </c>
      <c r="DP26">
        <f t="shared" si="55"/>
        <v>7.3684566167896683</v>
      </c>
      <c r="DQ26">
        <f t="shared" si="9"/>
        <v>2.4706650406648312E-2</v>
      </c>
      <c r="DR26">
        <f t="shared" si="10"/>
        <v>0.15586897111576342</v>
      </c>
      <c r="DS26">
        <f t="shared" si="11"/>
        <v>0.81942437847758831</v>
      </c>
      <c r="DT26" s="63">
        <f t="shared" si="12"/>
        <v>-7.3183934853209749</v>
      </c>
      <c r="DU26" s="63">
        <f t="shared" si="13"/>
        <v>-7.3183934853209749</v>
      </c>
      <c r="DV26" s="63">
        <f t="shared" si="14"/>
        <v>-7.3183823413393014</v>
      </c>
      <c r="DW26" s="63">
        <f t="shared" si="56"/>
        <v>-7.3183823413393014</v>
      </c>
      <c r="DX26" t="str">
        <f t="shared" si="57"/>
        <v>Sufficient Capacity</v>
      </c>
      <c r="DY26" t="str">
        <f t="shared" si="58"/>
        <v>Sufficient Capacity</v>
      </c>
      <c r="DZ26" t="str">
        <f t="shared" si="59"/>
        <v>Sulfate Dominant electron acceptor</v>
      </c>
      <c r="EA26" t="str">
        <f t="shared" si="15"/>
        <v>Sulfate Dominant electron acceptor</v>
      </c>
      <c r="EB26">
        <v>9.7129190000000004E-3</v>
      </c>
      <c r="EC26">
        <v>1.6040290000000001E-3</v>
      </c>
      <c r="ED26" s="66">
        <v>1.6297279999999999E-5</v>
      </c>
      <c r="EE26">
        <v>6.4228410000000005E-4</v>
      </c>
      <c r="EF26">
        <v>3.5739259999999998E-3</v>
      </c>
      <c r="EG26" s="66">
        <v>1.508151E-5</v>
      </c>
      <c r="EH26">
        <v>3.6715880000000003E-4</v>
      </c>
      <c r="EI26">
        <v>1.04916E-4</v>
      </c>
      <c r="EJ26">
        <v>4.0264899999999999E-4</v>
      </c>
      <c r="EK26">
        <v>7.1619269999999996E-4</v>
      </c>
      <c r="EL26">
        <v>4.355885E-4</v>
      </c>
      <c r="EM26">
        <v>2.2408620000000001E-4</v>
      </c>
      <c r="EN26">
        <v>2.1197159999999998E-3</v>
      </c>
      <c r="EO26">
        <v>8.5460270000000001E-4</v>
      </c>
      <c r="EP26">
        <v>1.689138E-3</v>
      </c>
      <c r="EQ26">
        <v>1.0674860000000001E-3</v>
      </c>
      <c r="ER26">
        <v>3.0171460000000001E-4</v>
      </c>
      <c r="ES26">
        <v>7.1308489999999999E-4</v>
      </c>
      <c r="ET26">
        <v>1.181023E-2</v>
      </c>
      <c r="EU26">
        <v>2.9535350000000002E-3</v>
      </c>
      <c r="EV26">
        <v>8.4978160000000001E-3</v>
      </c>
      <c r="EW26">
        <v>5.018205E-4</v>
      </c>
      <c r="EX26">
        <v>4.4391409999999997E-3</v>
      </c>
      <c r="EY26">
        <v>6.1278499999999998E-3</v>
      </c>
      <c r="EZ26">
        <v>1.048659E-3</v>
      </c>
      <c r="FA26">
        <v>9.2393429999999995E-4</v>
      </c>
      <c r="FB26">
        <v>1.0015930000000001E-3</v>
      </c>
      <c r="FC26">
        <v>2.0545239999999998E-3</v>
      </c>
      <c r="FD26">
        <v>3.3859260000000001E-4</v>
      </c>
      <c r="FE26">
        <v>2.2133590000000002E-2</v>
      </c>
      <c r="FF26">
        <v>1.156952E-2</v>
      </c>
      <c r="FG26">
        <v>6.5204800000000004E-3</v>
      </c>
      <c r="FH26">
        <v>6.6613830000000003E-4</v>
      </c>
      <c r="FI26">
        <v>1.2722390000000001E-3</v>
      </c>
      <c r="FJ26">
        <v>8.2930920000000002E-3</v>
      </c>
      <c r="FK26">
        <v>0.114633410902899</v>
      </c>
      <c r="FL26">
        <v>-0.25248040865087701</v>
      </c>
      <c r="FM26">
        <v>0.22168685749203801</v>
      </c>
      <c r="FN26">
        <v>0.21222229686383901</v>
      </c>
      <c r="FO26">
        <v>0.27897905488215202</v>
      </c>
      <c r="FP26">
        <v>-9.3921789618581095E-2</v>
      </c>
      <c r="FQ26">
        <v>-4.3428335855031398E-3</v>
      </c>
      <c r="FR26">
        <v>-4.4972883961334802E-2</v>
      </c>
      <c r="FS26">
        <v>-0.137589214448602</v>
      </c>
      <c r="FT26">
        <v>4.1510854359446001E-2</v>
      </c>
      <c r="FU26">
        <v>4.5852781999926998E-2</v>
      </c>
      <c r="FV26">
        <v>-0.22644382710882099</v>
      </c>
      <c r="FW26">
        <v>-0.123888725983146</v>
      </c>
      <c r="FX26">
        <v>-0.27230865225623502</v>
      </c>
      <c r="FY26">
        <v>2.3870491185765501E-2</v>
      </c>
      <c r="FZ26">
        <v>0.30795923947849102</v>
      </c>
      <c r="GA26">
        <v>6.4249783063329999E-2</v>
      </c>
      <c r="GB26">
        <v>-3.94396881137258E-2</v>
      </c>
      <c r="GC26">
        <v>-0.250294391149332</v>
      </c>
      <c r="GD26">
        <v>-0.113915549230772</v>
      </c>
      <c r="GE26">
        <v>-0.10006395263031601</v>
      </c>
      <c r="GF26">
        <v>-0.19464860676716</v>
      </c>
      <c r="GG26">
        <v>-2.33956330843039E-2</v>
      </c>
      <c r="GH26">
        <v>1.311301340996E-2</v>
      </c>
      <c r="GI26">
        <v>9.2223582868301804E-2</v>
      </c>
      <c r="GJ26">
        <v>-5.3382361365299502E-2</v>
      </c>
      <c r="GK26">
        <v>-5.2411341961100498E-2</v>
      </c>
      <c r="GL26">
        <v>-0.256329425716951</v>
      </c>
      <c r="GM26">
        <v>-0.25725892756663699</v>
      </c>
      <c r="GN26">
        <v>-0.174274381378002</v>
      </c>
      <c r="GO26">
        <v>-0.121035546069669</v>
      </c>
      <c r="GP26">
        <v>-0.24466957526278499</v>
      </c>
      <c r="GR26" s="66"/>
      <c r="GT26" s="66"/>
      <c r="GV26" s="66"/>
      <c r="GZ26" s="66"/>
      <c r="HK26" s="1"/>
      <c r="HL26" s="1"/>
      <c r="HM26" s="1"/>
      <c r="HN26" s="1"/>
      <c r="HO26" s="65"/>
      <c r="HP26" s="65"/>
      <c r="HQ26" s="65"/>
      <c r="HS26" s="65"/>
      <c r="HT26" s="65"/>
      <c r="HU26" s="65"/>
      <c r="HV26" s="65"/>
      <c r="HW26" s="65"/>
      <c r="HX26" s="65"/>
      <c r="JJ26" s="66"/>
      <c r="JL26" s="66"/>
      <c r="JN26" s="66"/>
    </row>
    <row r="27" spans="1:278" ht="15.75" x14ac:dyDescent="0.25">
      <c r="A27" s="2" t="s">
        <v>80</v>
      </c>
      <c r="B27" s="2" t="s">
        <v>80</v>
      </c>
      <c r="C27" s="2" t="s">
        <v>735</v>
      </c>
      <c r="D27" s="2" t="s">
        <v>469</v>
      </c>
      <c r="E27" s="2" t="s">
        <v>469</v>
      </c>
      <c r="F27" s="2">
        <v>26</v>
      </c>
      <c r="G27" s="2" t="s">
        <v>733</v>
      </c>
      <c r="H27" s="10" t="s">
        <v>656</v>
      </c>
      <c r="I27" s="2">
        <v>150</v>
      </c>
      <c r="J27" s="2">
        <v>65</v>
      </c>
      <c r="K27" s="2">
        <v>8.8000000000000007</v>
      </c>
      <c r="L27" t="s">
        <v>52</v>
      </c>
      <c r="M27" s="2" t="s">
        <v>1120</v>
      </c>
      <c r="N27" s="2" t="s">
        <v>437</v>
      </c>
      <c r="O27" s="2" t="s">
        <v>653</v>
      </c>
      <c r="P27" s="2" t="s">
        <v>1124</v>
      </c>
      <c r="Q27" s="9" t="s">
        <v>734</v>
      </c>
      <c r="R27" s="2" t="str">
        <f t="shared" si="0"/>
        <v>CW_3_Section_1</v>
      </c>
      <c r="S27" s="2" t="str">
        <f t="shared" si="1"/>
        <v>CW_3_MF02</v>
      </c>
      <c r="T27" s="11" t="s">
        <v>691</v>
      </c>
      <c r="U27" s="1">
        <v>45518</v>
      </c>
      <c r="V27" s="2" t="s">
        <v>692</v>
      </c>
      <c r="W27" s="2" t="s">
        <v>663</v>
      </c>
      <c r="X27" s="2" t="s">
        <v>690</v>
      </c>
      <c r="Y27" s="2" t="str">
        <f t="shared" si="2"/>
        <v>T0_MF02</v>
      </c>
      <c r="Z27" s="2" t="str">
        <f t="shared" si="3"/>
        <v>T0_CW_3_MF02</v>
      </c>
      <c r="AA27" s="2" t="str">
        <f t="shared" si="4"/>
        <v>T0_0.60-0.80</v>
      </c>
      <c r="AB27" s="2">
        <v>1</v>
      </c>
      <c r="AC27" s="2">
        <v>3.2000000000000001E-2</v>
      </c>
      <c r="AD27" s="2">
        <v>-1.56</v>
      </c>
      <c r="AE27" s="2">
        <v>0</v>
      </c>
      <c r="AF27" t="s">
        <v>53</v>
      </c>
      <c r="AG27" t="s">
        <v>1237</v>
      </c>
      <c r="AH27">
        <v>65</v>
      </c>
      <c r="AI27">
        <v>25</v>
      </c>
      <c r="AJ27">
        <v>0.93</v>
      </c>
      <c r="AK27" s="20">
        <v>0.2</v>
      </c>
      <c r="AL27">
        <v>24</v>
      </c>
      <c r="AM27">
        <v>-109</v>
      </c>
      <c r="AN27">
        <v>6.9</v>
      </c>
      <c r="AO27">
        <v>1090</v>
      </c>
      <c r="AP27">
        <v>0.2</v>
      </c>
      <c r="AQ27" t="s">
        <v>443</v>
      </c>
      <c r="AR27">
        <v>12</v>
      </c>
      <c r="AS27">
        <v>12</v>
      </c>
      <c r="AT27">
        <v>850</v>
      </c>
      <c r="AU27" s="32">
        <f t="shared" si="16"/>
        <v>0.3264626808347203</v>
      </c>
      <c r="AV27">
        <v>120</v>
      </c>
      <c r="AW27" s="32">
        <f t="shared" si="5"/>
        <v>4.6885174734100282E-2</v>
      </c>
      <c r="AX27">
        <v>620</v>
      </c>
      <c r="AY27" s="32">
        <f t="shared" si="17"/>
        <v>0.24526702458321561</v>
      </c>
      <c r="AZ27">
        <v>250</v>
      </c>
      <c r="BA27" s="32">
        <f t="shared" si="18"/>
        <v>9.8897993783554669E-2</v>
      </c>
      <c r="BB27">
        <v>290</v>
      </c>
      <c r="BC27" s="32">
        <f t="shared" si="19"/>
        <v>0.11472167278892344</v>
      </c>
      <c r="BD27">
        <v>540</v>
      </c>
      <c r="BF27" s="48">
        <v>2130</v>
      </c>
      <c r="BG27" s="48">
        <f t="shared" si="20"/>
        <v>0.61861488015203614</v>
      </c>
      <c r="BH27">
        <v>3500</v>
      </c>
      <c r="BI27" s="32">
        <f t="shared" si="21"/>
        <v>1.3107591480065537</v>
      </c>
      <c r="BJ27" s="47">
        <v>1400</v>
      </c>
      <c r="BK27" s="27">
        <f t="shared" si="22"/>
        <v>0.52430365920262156</v>
      </c>
      <c r="BL27" s="47">
        <v>68</v>
      </c>
      <c r="BM27" s="27">
        <f t="shared" si="23"/>
        <v>2.5021354885340692E-2</v>
      </c>
      <c r="BN27" s="47">
        <v>57</v>
      </c>
      <c r="BO27" s="27">
        <f t="shared" si="24"/>
        <v>2.1438298424226704E-2</v>
      </c>
      <c r="BP27" s="47">
        <v>23</v>
      </c>
      <c r="BQ27" s="27">
        <f t="shared" si="25"/>
        <v>8.57899169774997E-3</v>
      </c>
      <c r="BR27" s="47">
        <v>13</v>
      </c>
      <c r="BS27" s="27">
        <f t="shared" si="26"/>
        <v>4.8140043763676144E-3</v>
      </c>
      <c r="BT27" s="47">
        <v>2.7</v>
      </c>
      <c r="BU27" s="27">
        <f t="shared" si="27"/>
        <v>9.9983167816865845E-4</v>
      </c>
      <c r="BV27" s="47">
        <v>0.38</v>
      </c>
      <c r="BW27" s="27">
        <f t="shared" si="28"/>
        <v>1.3903584672435106E-4</v>
      </c>
      <c r="BX27" s="47">
        <v>0.28000000000000003</v>
      </c>
      <c r="BY27" s="27">
        <f t="shared" si="29"/>
        <v>1.0244746600741656E-4</v>
      </c>
      <c r="BZ27" s="51">
        <f t="shared" si="30"/>
        <v>1564.3600000000001</v>
      </c>
      <c r="CA27" s="51">
        <f t="shared" si="31"/>
        <v>164.35999999999999</v>
      </c>
      <c r="CB27" s="27">
        <f t="shared" si="32"/>
        <v>0.58539762357720704</v>
      </c>
      <c r="CC27" s="27">
        <f t="shared" si="33"/>
        <v>6.1093964374585412E-2</v>
      </c>
      <c r="CD27">
        <v>5000</v>
      </c>
      <c r="CE27">
        <v>1300</v>
      </c>
      <c r="CF27" t="s">
        <v>19</v>
      </c>
      <c r="CG27">
        <v>6300</v>
      </c>
      <c r="CH27" s="32">
        <v>1.4</v>
      </c>
      <c r="CI27" s="32">
        <f t="shared" si="34"/>
        <v>2.506714413607878E-2</v>
      </c>
      <c r="CJ27" s="32">
        <f t="shared" si="35"/>
        <v>2.506714413607878E-2</v>
      </c>
      <c r="CK27" s="32">
        <v>1.4</v>
      </c>
      <c r="CL27" s="32">
        <f t="shared" si="36"/>
        <v>2.5486983433460765E-2</v>
      </c>
      <c r="CM27" s="32">
        <f t="shared" si="37"/>
        <v>5.097396686692153E-2</v>
      </c>
      <c r="CN27" s="27">
        <v>49</v>
      </c>
      <c r="CO27" s="27">
        <f t="shared" si="38"/>
        <v>0.51009785550697484</v>
      </c>
      <c r="CP27" s="27">
        <f t="shared" si="39"/>
        <v>4.0807828440557987</v>
      </c>
      <c r="CQ27" s="57">
        <v>24</v>
      </c>
      <c r="CR27" s="57">
        <v>32.87671232876712</v>
      </c>
      <c r="CS27" s="57">
        <v>1.9987507807620237</v>
      </c>
      <c r="CT27" s="57">
        <f t="shared" si="40"/>
        <v>1.9987507807620237</v>
      </c>
      <c r="CU27" s="28">
        <v>24</v>
      </c>
      <c r="CV27" s="28">
        <v>32.87671232876712</v>
      </c>
      <c r="CW27" s="28">
        <v>1.9987507807620237</v>
      </c>
      <c r="CX27" s="28">
        <f t="shared" si="41"/>
        <v>1.9987507807620237</v>
      </c>
      <c r="CY27" s="32">
        <f t="shared" si="42"/>
        <v>13.951280449718926</v>
      </c>
      <c r="CZ27" s="32">
        <f t="shared" si="43"/>
        <v>13.951280449718926</v>
      </c>
      <c r="DA27" s="32">
        <f t="shared" si="44"/>
        <v>15.351280449718926</v>
      </c>
      <c r="DB27" s="32">
        <f t="shared" si="45"/>
        <v>0.27486625693319472</v>
      </c>
      <c r="DC27" s="32">
        <f t="shared" si="46"/>
        <v>0.27486625693319472</v>
      </c>
      <c r="DD27" s="59">
        <f t="shared" si="47"/>
        <v>13.951280449718926</v>
      </c>
      <c r="DE27" s="59">
        <f t="shared" si="48"/>
        <v>13.951280449718926</v>
      </c>
      <c r="DF27" s="59">
        <f t="shared" si="49"/>
        <v>15.351280449718926</v>
      </c>
      <c r="DG27" s="59">
        <f t="shared" si="50"/>
        <v>0.27486625693319472</v>
      </c>
      <c r="DH27" s="59">
        <f t="shared" si="51"/>
        <v>0.27486625693319472</v>
      </c>
      <c r="DI27" s="32">
        <f t="shared" si="52"/>
        <v>4.0807828440557987</v>
      </c>
      <c r="DJ27" s="32">
        <f t="shared" si="53"/>
        <v>16.751280449718926</v>
      </c>
      <c r="DK27" s="32">
        <f t="shared" si="54"/>
        <v>0.32584022380011624</v>
      </c>
      <c r="DL27">
        <f t="shared" si="60"/>
        <v>2.3245910045621399</v>
      </c>
      <c r="DM27">
        <f t="shared" si="6"/>
        <v>2.1928144248550507E-2</v>
      </c>
      <c r="DN27">
        <f t="shared" si="7"/>
        <v>0.11824284633028104</v>
      </c>
      <c r="DO27">
        <f t="shared" si="8"/>
        <v>0.85982900942116847</v>
      </c>
      <c r="DP27">
        <f t="shared" si="55"/>
        <v>2.3245910045621399</v>
      </c>
      <c r="DQ27">
        <f t="shared" si="9"/>
        <v>2.1928144248550507E-2</v>
      </c>
      <c r="DR27">
        <f t="shared" si="10"/>
        <v>0.11824284633028104</v>
      </c>
      <c r="DS27">
        <f t="shared" si="11"/>
        <v>0.85982900942116847</v>
      </c>
      <c r="DT27" s="63">
        <f t="shared" si="12"/>
        <v>-0.39521697640355002</v>
      </c>
      <c r="DU27" s="63">
        <f t="shared" si="13"/>
        <v>-0.39521697640355002</v>
      </c>
      <c r="DV27" s="63">
        <f t="shared" si="14"/>
        <v>-0.33412301202896466</v>
      </c>
      <c r="DW27" s="63">
        <f t="shared" si="56"/>
        <v>-0.33412301202896466</v>
      </c>
      <c r="DX27" t="str">
        <f t="shared" si="57"/>
        <v>Sufficient Capacity</v>
      </c>
      <c r="DY27" t="str">
        <f t="shared" si="58"/>
        <v>Sufficient Capacity</v>
      </c>
      <c r="DZ27" t="str">
        <f t="shared" si="59"/>
        <v>Sulfate Dominant electron acceptor</v>
      </c>
      <c r="EA27" t="str">
        <f t="shared" si="15"/>
        <v>Sulfate Dominant electron acceptor</v>
      </c>
      <c r="EB27">
        <v>9.9951899999999993E-3</v>
      </c>
      <c r="EC27">
        <v>1.72752E-3</v>
      </c>
      <c r="ED27" s="66">
        <v>1.275177E-5</v>
      </c>
      <c r="EE27">
        <v>1.9254919999999999E-4</v>
      </c>
      <c r="EF27">
        <v>2.1178519999999999E-3</v>
      </c>
      <c r="EG27" s="66">
        <v>7.2177999999999997E-6</v>
      </c>
      <c r="EH27" s="66">
        <v>7.6622070000000004E-5</v>
      </c>
      <c r="EI27" s="66">
        <v>4.8194800000000001E-5</v>
      </c>
      <c r="EJ27">
        <v>1.958103E-4</v>
      </c>
      <c r="EK27">
        <v>3.3562430000000002E-4</v>
      </c>
      <c r="EL27">
        <v>2.278913E-4</v>
      </c>
      <c r="EM27" s="66">
        <v>6.2205049999999995E-5</v>
      </c>
      <c r="EN27">
        <v>1.9674079999999999E-3</v>
      </c>
      <c r="EO27">
        <v>7.3057769999999996E-4</v>
      </c>
      <c r="EP27">
        <v>1.1468610000000001E-3</v>
      </c>
      <c r="EQ27">
        <v>1.6534500000000001E-3</v>
      </c>
      <c r="ER27">
        <v>1.417519E-4</v>
      </c>
      <c r="ES27">
        <v>3.3072100000000002E-4</v>
      </c>
      <c r="ET27">
        <v>9.4829249999999997E-3</v>
      </c>
      <c r="EU27">
        <v>2.6416759999999999E-3</v>
      </c>
      <c r="EV27">
        <v>1.010346E-2</v>
      </c>
      <c r="EW27">
        <v>4.770997E-4</v>
      </c>
      <c r="EX27">
        <v>5.8885179999999997E-3</v>
      </c>
      <c r="EY27">
        <v>7.174672E-3</v>
      </c>
      <c r="EZ27">
        <v>5.0915509999999999E-4</v>
      </c>
      <c r="FA27">
        <v>4.6706429999999999E-4</v>
      </c>
      <c r="FB27">
        <v>4.758462E-4</v>
      </c>
      <c r="FC27">
        <v>1.6012139999999999E-3</v>
      </c>
      <c r="FD27">
        <v>1.3846419999999999E-4</v>
      </c>
      <c r="FE27">
        <v>2.0340810000000001E-2</v>
      </c>
      <c r="FF27">
        <v>2.223847E-2</v>
      </c>
      <c r="FG27">
        <v>1.1255909999999999E-2</v>
      </c>
      <c r="FH27">
        <v>8.0950279999999998E-4</v>
      </c>
      <c r="FI27">
        <v>9.4020129999999999E-4</v>
      </c>
      <c r="FJ27">
        <v>1.474199E-2</v>
      </c>
      <c r="FK27">
        <v>-1.09004561277967</v>
      </c>
      <c r="FL27">
        <v>-0.775742752586422</v>
      </c>
      <c r="FM27">
        <v>-0.51523243537063201</v>
      </c>
      <c r="FN27">
        <v>-1.3546869997994699</v>
      </c>
      <c r="FO27">
        <v>-0.49892984368535298</v>
      </c>
      <c r="FP27">
        <v>-0.814840670899043</v>
      </c>
      <c r="FQ27">
        <v>-0.76229971881440695</v>
      </c>
      <c r="FR27">
        <v>-0.69280211341936504</v>
      </c>
      <c r="FS27">
        <v>-1.4191838275474</v>
      </c>
      <c r="FT27">
        <v>-3.3054322717955401E-2</v>
      </c>
      <c r="FU27">
        <v>-0.11094830954038699</v>
      </c>
      <c r="FV27">
        <v>-0.61363352164595497</v>
      </c>
      <c r="FW27">
        <v>0.31366893683160602</v>
      </c>
      <c r="FX27">
        <v>-1.0277118432951</v>
      </c>
      <c r="FY27">
        <v>-0.74445487683880496</v>
      </c>
      <c r="FZ27">
        <v>8.8485947418410801E-2</v>
      </c>
      <c r="GA27">
        <v>-4.7339410766632298E-2</v>
      </c>
      <c r="GB27">
        <v>0.13362906202099001</v>
      </c>
      <c r="GC27">
        <v>-0.30081139345378</v>
      </c>
      <c r="GD27">
        <v>0.16862791461143301</v>
      </c>
      <c r="GE27">
        <v>5.7649139352808902E-2</v>
      </c>
      <c r="GF27">
        <v>-0.91716340555760301</v>
      </c>
      <c r="GG27">
        <v>-0.705569662744853</v>
      </c>
      <c r="GH27">
        <v>-0.73113930531687599</v>
      </c>
      <c r="GI27">
        <v>-0.15705851653869299</v>
      </c>
      <c r="GJ27">
        <v>-0.94756816766951402</v>
      </c>
      <c r="GK27">
        <v>-0.136878493257335</v>
      </c>
      <c r="GL27">
        <v>0.39712019259321202</v>
      </c>
      <c r="GM27">
        <v>0.28868640361720599</v>
      </c>
      <c r="GN27">
        <v>2.0648544018788701E-2</v>
      </c>
      <c r="GO27">
        <v>-0.42347516412819403</v>
      </c>
      <c r="GP27">
        <v>0.33060743006906201</v>
      </c>
      <c r="HK27" s="1"/>
      <c r="HL27" s="1"/>
      <c r="HM27" s="65"/>
      <c r="HN27" s="1"/>
      <c r="HO27" s="65"/>
      <c r="HP27" s="65"/>
      <c r="HQ27" s="65"/>
      <c r="HS27" s="65"/>
      <c r="HT27" s="65"/>
      <c r="HU27" s="65"/>
      <c r="HV27" s="65"/>
      <c r="HW27" s="65"/>
      <c r="HX27" s="65"/>
      <c r="JJ27" s="66"/>
      <c r="JL27" s="66"/>
      <c r="JN27" s="66"/>
    </row>
    <row r="28" spans="1:278" ht="15.75" x14ac:dyDescent="0.25">
      <c r="A28" s="2" t="s">
        <v>81</v>
      </c>
      <c r="B28" s="2" t="s">
        <v>81</v>
      </c>
      <c r="C28" s="2" t="s">
        <v>738</v>
      </c>
      <c r="D28" s="2" t="s">
        <v>470</v>
      </c>
      <c r="E28" s="2" t="s">
        <v>470</v>
      </c>
      <c r="F28" s="2">
        <v>27</v>
      </c>
      <c r="G28" s="2" t="s">
        <v>736</v>
      </c>
      <c r="H28" s="10" t="s">
        <v>656</v>
      </c>
      <c r="I28" s="2">
        <v>150</v>
      </c>
      <c r="J28" s="2">
        <v>65</v>
      </c>
      <c r="K28" s="2">
        <v>22.6</v>
      </c>
      <c r="L28" t="s">
        <v>54</v>
      </c>
      <c r="M28" s="2" t="s">
        <v>1120</v>
      </c>
      <c r="N28" s="2" t="s">
        <v>437</v>
      </c>
      <c r="O28" s="2" t="s">
        <v>666</v>
      </c>
      <c r="P28" s="2" t="s">
        <v>1131</v>
      </c>
      <c r="Q28" s="9" t="s">
        <v>737</v>
      </c>
      <c r="R28" s="2" t="str">
        <f t="shared" si="0"/>
        <v>CW_3_Section_2</v>
      </c>
      <c r="S28" s="2" t="str">
        <f t="shared" si="1"/>
        <v>CW_3_MF05</v>
      </c>
      <c r="T28" s="11" t="s">
        <v>691</v>
      </c>
      <c r="U28" s="1">
        <v>45518</v>
      </c>
      <c r="V28" s="2" t="s">
        <v>692</v>
      </c>
      <c r="W28" s="2" t="s">
        <v>655</v>
      </c>
      <c r="X28" s="2" t="s">
        <v>690</v>
      </c>
      <c r="Y28" s="2" t="str">
        <f t="shared" si="2"/>
        <v>T0_MF05</v>
      </c>
      <c r="Z28" s="2" t="str">
        <f t="shared" si="3"/>
        <v>T0_CW_3_MF05</v>
      </c>
      <c r="AA28" s="2" t="str">
        <f t="shared" si="4"/>
        <v>T0_0.15-0.30</v>
      </c>
      <c r="AB28" s="2">
        <v>1</v>
      </c>
      <c r="AC28" s="2">
        <v>3.2000000000000001E-2</v>
      </c>
      <c r="AD28" s="2">
        <v>-1.56</v>
      </c>
      <c r="AE28" s="2">
        <v>0</v>
      </c>
      <c r="AF28" t="s">
        <v>55</v>
      </c>
      <c r="AG28" t="s">
        <v>1237</v>
      </c>
      <c r="AH28">
        <v>56</v>
      </c>
      <c r="AI28">
        <v>0.2</v>
      </c>
      <c r="AJ28">
        <v>0.65</v>
      </c>
      <c r="AK28">
        <v>0.28000000000000003</v>
      </c>
      <c r="AL28">
        <v>24.1</v>
      </c>
      <c r="AM28">
        <v>-159</v>
      </c>
      <c r="AN28">
        <v>7.08</v>
      </c>
      <c r="AO28">
        <v>934</v>
      </c>
      <c r="AP28">
        <v>0.2</v>
      </c>
      <c r="AQ28" t="s">
        <v>443</v>
      </c>
      <c r="AR28">
        <v>4.5</v>
      </c>
      <c r="AS28">
        <v>6.1</v>
      </c>
      <c r="AT28">
        <v>1.1000000000000001</v>
      </c>
      <c r="AU28" s="32">
        <f t="shared" si="16"/>
        <v>4.2248111637434386E-4</v>
      </c>
      <c r="AV28">
        <v>0.02</v>
      </c>
      <c r="AW28" s="32">
        <f t="shared" si="5"/>
        <v>7.8141957890167132E-6</v>
      </c>
      <c r="AX28">
        <v>0.93</v>
      </c>
      <c r="AY28" s="32">
        <f t="shared" si="17"/>
        <v>3.679005368748234E-4</v>
      </c>
      <c r="AZ28">
        <v>0.43</v>
      </c>
      <c r="BA28" s="32">
        <f t="shared" si="18"/>
        <v>1.7010454930771403E-4</v>
      </c>
      <c r="BB28">
        <v>0.47</v>
      </c>
      <c r="BC28" s="32">
        <f t="shared" si="19"/>
        <v>1.8592822831308279E-4</v>
      </c>
      <c r="BD28">
        <v>0.9</v>
      </c>
      <c r="BF28" s="48">
        <v>3.07</v>
      </c>
      <c r="BG28" s="48">
        <f t="shared" si="20"/>
        <v>7.9819584903818397E-4</v>
      </c>
      <c r="BH28">
        <v>5</v>
      </c>
      <c r="BI28" s="32">
        <f t="shared" si="21"/>
        <v>1.8725130685807909E-3</v>
      </c>
      <c r="BJ28" s="47">
        <v>4.7</v>
      </c>
      <c r="BK28" s="27">
        <f t="shared" si="22"/>
        <v>1.7601622844659439E-3</v>
      </c>
      <c r="BL28" s="47">
        <v>0.01</v>
      </c>
      <c r="BM28" s="27">
        <f t="shared" si="23"/>
        <v>3.6796110125501018E-6</v>
      </c>
      <c r="BN28" s="47">
        <v>0.01</v>
      </c>
      <c r="BO28" s="27">
        <f t="shared" si="24"/>
        <v>3.7611049867064394E-6</v>
      </c>
      <c r="BP28" s="47">
        <v>5.0000000000000001E-3</v>
      </c>
      <c r="BQ28" s="27">
        <f t="shared" si="25"/>
        <v>1.8649981951630372E-6</v>
      </c>
      <c r="BR28" s="47">
        <v>1E-3</v>
      </c>
      <c r="BS28" s="27">
        <f t="shared" si="26"/>
        <v>3.7030802895135499E-7</v>
      </c>
      <c r="BT28" s="47">
        <v>1E-3</v>
      </c>
      <c r="BU28" s="27">
        <f t="shared" si="27"/>
        <v>3.7030802895135499E-7</v>
      </c>
      <c r="BV28" s="47">
        <v>1E-3</v>
      </c>
      <c r="BW28" s="27">
        <f t="shared" si="28"/>
        <v>3.6588380716934485E-7</v>
      </c>
      <c r="BX28" s="47">
        <v>2E-3</v>
      </c>
      <c r="BY28" s="27">
        <f t="shared" si="29"/>
        <v>7.3176761433868969E-7</v>
      </c>
      <c r="BZ28" s="51">
        <f t="shared" si="30"/>
        <v>4.7300000000000004</v>
      </c>
      <c r="CA28" s="51">
        <f t="shared" si="31"/>
        <v>3.0000000000000006E-2</v>
      </c>
      <c r="CB28" s="27">
        <f t="shared" si="32"/>
        <v>1.7713062661397743E-3</v>
      </c>
      <c r="CC28" s="27">
        <f t="shared" si="33"/>
        <v>1.1143981673830322E-5</v>
      </c>
      <c r="CD28">
        <v>2.5</v>
      </c>
      <c r="CE28">
        <v>2.5</v>
      </c>
      <c r="CF28" t="s">
        <v>19</v>
      </c>
      <c r="CG28">
        <v>5</v>
      </c>
      <c r="CH28" s="32">
        <v>4.3</v>
      </c>
      <c r="CI28" s="32">
        <f t="shared" si="34"/>
        <v>7.6991942703670546E-2</v>
      </c>
      <c r="CJ28" s="32">
        <f t="shared" si="35"/>
        <v>7.6991942703670546E-2</v>
      </c>
      <c r="CK28" s="32">
        <v>1.5</v>
      </c>
      <c r="CL28" s="32">
        <f t="shared" si="36"/>
        <v>2.7307482250136537E-2</v>
      </c>
      <c r="CM28" s="32">
        <f t="shared" si="37"/>
        <v>5.4614964500273075E-2</v>
      </c>
      <c r="CN28" s="27">
        <v>240</v>
      </c>
      <c r="CO28" s="27">
        <f t="shared" si="38"/>
        <v>2.4984384759525295</v>
      </c>
      <c r="CP28" s="27">
        <f t="shared" si="39"/>
        <v>19.987507807620236</v>
      </c>
      <c r="CQ28" s="57">
        <v>-167</v>
      </c>
      <c r="CR28" s="57">
        <v>-228.76712328767121</v>
      </c>
      <c r="CS28" s="57">
        <v>-13.907974182802414</v>
      </c>
      <c r="CT28" s="57">
        <f t="shared" si="40"/>
        <v>0</v>
      </c>
      <c r="CU28" s="28">
        <v>-239.5</v>
      </c>
      <c r="CV28" s="28">
        <v>-47900</v>
      </c>
      <c r="CW28" s="28">
        <v>-19.945867166354361</v>
      </c>
      <c r="CX28" s="28">
        <f t="shared" si="41"/>
        <v>0</v>
      </c>
      <c r="CY28" s="32">
        <f t="shared" si="42"/>
        <v>-97.077659795960855</v>
      </c>
      <c r="CZ28" s="32">
        <f t="shared" si="43"/>
        <v>0</v>
      </c>
      <c r="DA28" s="32">
        <f t="shared" si="44"/>
        <v>4.3</v>
      </c>
      <c r="DB28" s="32">
        <f t="shared" si="45"/>
        <v>7.6991942703670546E-2</v>
      </c>
      <c r="DC28" s="32">
        <f t="shared" si="46"/>
        <v>7.6991942703670546E-2</v>
      </c>
      <c r="DD28" s="59">
        <f t="shared" si="47"/>
        <v>-139.22215282115343</v>
      </c>
      <c r="DE28" s="59">
        <f t="shared" si="48"/>
        <v>0</v>
      </c>
      <c r="DF28" s="59">
        <f t="shared" si="49"/>
        <v>4.3</v>
      </c>
      <c r="DG28" s="59">
        <f t="shared" si="50"/>
        <v>7.6991942703670546E-2</v>
      </c>
      <c r="DH28" s="59">
        <f t="shared" si="51"/>
        <v>7.6991942703670546E-2</v>
      </c>
      <c r="DI28" s="32">
        <f t="shared" si="52"/>
        <v>19.987507807620236</v>
      </c>
      <c r="DJ28" s="32">
        <f t="shared" si="53"/>
        <v>5.8</v>
      </c>
      <c r="DK28" s="32">
        <f t="shared" si="54"/>
        <v>0.13160690720394363</v>
      </c>
      <c r="DL28">
        <f t="shared" si="60"/>
        <v>0.13160690720394363</v>
      </c>
      <c r="DM28">
        <f t="shared" si="6"/>
        <v>0.41498554795182152</v>
      </c>
      <c r="DN28">
        <f t="shared" si="7"/>
        <v>0.58501445204817837</v>
      </c>
      <c r="DO28">
        <f t="shared" si="8"/>
        <v>0</v>
      </c>
      <c r="DP28">
        <f t="shared" si="55"/>
        <v>0.13160690720394363</v>
      </c>
      <c r="DQ28">
        <f t="shared" si="9"/>
        <v>0.41498554795182152</v>
      </c>
      <c r="DR28">
        <f t="shared" si="10"/>
        <v>0.58501445204817837</v>
      </c>
      <c r="DS28">
        <f t="shared" si="11"/>
        <v>0</v>
      </c>
      <c r="DT28" s="63">
        <f t="shared" si="12"/>
        <v>-0.12893619828632466</v>
      </c>
      <c r="DU28" s="63">
        <f t="shared" si="13"/>
        <v>-0.12893619828632466</v>
      </c>
      <c r="DV28" s="63">
        <f t="shared" si="14"/>
        <v>-0.12892505430465084</v>
      </c>
      <c r="DW28" s="63">
        <f t="shared" si="56"/>
        <v>-0.12892505430465084</v>
      </c>
      <c r="DX28" t="str">
        <f t="shared" si="57"/>
        <v>Sufficient Capacity</v>
      </c>
      <c r="DY28" t="str">
        <f t="shared" si="58"/>
        <v>Sufficient Capacity</v>
      </c>
      <c r="DZ28" t="str">
        <f t="shared" si="59"/>
        <v>Manganese Dominant electron acceptor</v>
      </c>
      <c r="EA28" t="str">
        <f t="shared" si="15"/>
        <v>Manganese Dominant electron acceptor</v>
      </c>
      <c r="EB28">
        <v>9.0801130000000008E-3</v>
      </c>
      <c r="EC28">
        <v>1.949555E-3</v>
      </c>
      <c r="ED28" s="66">
        <v>4.8234219999999996E-6</v>
      </c>
      <c r="EE28">
        <v>8.9290769999999999E-4</v>
      </c>
      <c r="EF28">
        <v>4.7494260000000002E-3</v>
      </c>
      <c r="EG28" s="66">
        <v>2.000961E-5</v>
      </c>
      <c r="EH28">
        <v>5.7359119999999999E-4</v>
      </c>
      <c r="EI28" s="66">
        <v>6.8938680000000003E-5</v>
      </c>
      <c r="EJ28">
        <v>3.6528089999999998E-4</v>
      </c>
      <c r="EK28">
        <v>8.1534520000000005E-4</v>
      </c>
      <c r="EL28">
        <v>6.4308910000000004E-4</v>
      </c>
      <c r="EM28">
        <v>2.7576500000000003E-4</v>
      </c>
      <c r="EN28">
        <v>2.0739909999999999E-3</v>
      </c>
      <c r="EO28">
        <v>9.5302229999999998E-4</v>
      </c>
      <c r="EP28">
        <v>2.0204329999999999E-3</v>
      </c>
      <c r="EQ28">
        <v>7.2565040000000002E-4</v>
      </c>
      <c r="ER28">
        <v>4.3623929999999999E-4</v>
      </c>
      <c r="ES28">
        <v>8.6364860000000005E-4</v>
      </c>
      <c r="ET28">
        <v>6.220827E-3</v>
      </c>
      <c r="EU28">
        <v>2.9856840000000002E-3</v>
      </c>
      <c r="EV28">
        <v>7.4509049999999999E-3</v>
      </c>
      <c r="EW28">
        <v>4.469012E-4</v>
      </c>
      <c r="EX28">
        <v>3.5247870000000001E-3</v>
      </c>
      <c r="EY28">
        <v>6.1954890000000002E-3</v>
      </c>
      <c r="EZ28">
        <v>1.4795380000000001E-3</v>
      </c>
      <c r="FA28">
        <v>9.6213509999999996E-4</v>
      </c>
      <c r="FB28">
        <v>1.0925290000000001E-3</v>
      </c>
      <c r="FC28">
        <v>2.3112509999999998E-3</v>
      </c>
      <c r="FD28">
        <v>4.0977590000000001E-4</v>
      </c>
      <c r="FE28">
        <v>2.2126369999999999E-2</v>
      </c>
      <c r="FF28">
        <v>9.9532860000000004E-3</v>
      </c>
      <c r="FG28">
        <v>5.7514879999999999E-3</v>
      </c>
      <c r="FH28">
        <v>6.0366770000000003E-4</v>
      </c>
      <c r="FI28">
        <v>1.4078020000000001E-3</v>
      </c>
      <c r="FJ28">
        <v>6.5883979999999997E-3</v>
      </c>
      <c r="FK28">
        <v>0.444085897805095</v>
      </c>
      <c r="FL28">
        <v>3.1878648557865E-2</v>
      </c>
      <c r="FM28">
        <v>0.50443002545000204</v>
      </c>
      <c r="FN28">
        <v>0.65834479231436505</v>
      </c>
      <c r="FO28">
        <v>-0.14096356128361201</v>
      </c>
      <c r="FP28">
        <v>-0.19132035766875899</v>
      </c>
      <c r="FQ28">
        <v>0.12531948343330199</v>
      </c>
      <c r="FR28">
        <v>0.34461240954030198</v>
      </c>
      <c r="FS28">
        <v>6.9929040045526997E-2</v>
      </c>
      <c r="FT28">
        <v>1.97035072706475E-2</v>
      </c>
      <c r="FU28">
        <v>0.15485440259275501</v>
      </c>
      <c r="FV28">
        <v>-4.7350321870078801E-2</v>
      </c>
      <c r="FW28">
        <v>-0.50988200009967699</v>
      </c>
      <c r="FX28">
        <v>9.6400756302011295E-2</v>
      </c>
      <c r="FY28">
        <v>0.215435976637398</v>
      </c>
      <c r="FZ28">
        <v>-0.333104009450025</v>
      </c>
      <c r="GA28">
        <v>7.5075891344682497E-2</v>
      </c>
      <c r="GB28">
        <v>-0.17091337589462499</v>
      </c>
      <c r="GC28">
        <v>-0.366199336076383</v>
      </c>
      <c r="GD28">
        <v>-0.34455642958237798</v>
      </c>
      <c r="GE28">
        <v>-8.90864603716022E-2</v>
      </c>
      <c r="GF28">
        <v>0.149569065043647</v>
      </c>
      <c r="GG28">
        <v>1.7118279093966599E-2</v>
      </c>
      <c r="GH28">
        <v>0.100016473146308</v>
      </c>
      <c r="GI28">
        <v>0.20996832830624201</v>
      </c>
      <c r="GJ28">
        <v>0.13743044877055299</v>
      </c>
      <c r="GK28">
        <v>-5.27375962127552E-2</v>
      </c>
      <c r="GL28">
        <v>-0.40680073155281898</v>
      </c>
      <c r="GM28">
        <v>-0.382748316487797</v>
      </c>
      <c r="GN28">
        <v>-0.27274780704288498</v>
      </c>
      <c r="GO28">
        <v>-1.9784263572438999E-2</v>
      </c>
      <c r="GP28">
        <v>-0.47478223100129502</v>
      </c>
      <c r="GR28" s="66"/>
      <c r="GT28" s="66"/>
      <c r="GV28" s="66"/>
      <c r="GZ28" s="66"/>
      <c r="HK28" s="1"/>
      <c r="HL28" s="65"/>
      <c r="HM28" s="65"/>
      <c r="HN28" s="1"/>
      <c r="HO28" s="65"/>
      <c r="HP28" s="65"/>
      <c r="HT28" s="65"/>
      <c r="HV28" s="65"/>
      <c r="IZ28" s="66"/>
      <c r="JB28" s="66"/>
      <c r="JD28" s="66"/>
      <c r="JF28" s="66"/>
      <c r="JH28" s="66"/>
      <c r="JJ28" s="66"/>
      <c r="JL28" s="66"/>
      <c r="JN28" s="66"/>
      <c r="JP28" s="66"/>
      <c r="JR28" s="66"/>
    </row>
    <row r="29" spans="1:278" ht="15.75" x14ac:dyDescent="0.25">
      <c r="A29" s="2" t="s">
        <v>82</v>
      </c>
      <c r="B29" s="2" t="s">
        <v>82</v>
      </c>
      <c r="C29" s="2" t="s">
        <v>741</v>
      </c>
      <c r="D29" s="2" t="s">
        <v>471</v>
      </c>
      <c r="E29" s="2" t="s">
        <v>471</v>
      </c>
      <c r="F29" s="2">
        <v>28</v>
      </c>
      <c r="G29" s="2" t="s">
        <v>739</v>
      </c>
      <c r="H29" s="10" t="s">
        <v>656</v>
      </c>
      <c r="I29" s="2">
        <v>150</v>
      </c>
      <c r="J29" s="2">
        <v>65</v>
      </c>
      <c r="K29" s="2">
        <v>5.8</v>
      </c>
      <c r="L29" t="s">
        <v>56</v>
      </c>
      <c r="M29" s="2" t="s">
        <v>1120</v>
      </c>
      <c r="N29" s="2" t="s">
        <v>437</v>
      </c>
      <c r="O29" s="2" t="s">
        <v>666</v>
      </c>
      <c r="P29" s="2" t="s">
        <v>1132</v>
      </c>
      <c r="Q29" s="9" t="s">
        <v>740</v>
      </c>
      <c r="R29" s="2" t="str">
        <f t="shared" si="0"/>
        <v>CW_3_Section_2</v>
      </c>
      <c r="S29" s="2" t="str">
        <f t="shared" si="1"/>
        <v>CW_3_MF06</v>
      </c>
      <c r="T29" s="11" t="s">
        <v>691</v>
      </c>
      <c r="U29" s="1">
        <v>45518</v>
      </c>
      <c r="V29" s="2" t="s">
        <v>692</v>
      </c>
      <c r="W29" s="2" t="s">
        <v>663</v>
      </c>
      <c r="X29" s="2" t="s">
        <v>690</v>
      </c>
      <c r="Y29" s="2" t="str">
        <f t="shared" si="2"/>
        <v>T0_MF06</v>
      </c>
      <c r="Z29" s="2" t="str">
        <f t="shared" si="3"/>
        <v>T0_CW_3_MF06</v>
      </c>
      <c r="AA29" s="2" t="str">
        <f t="shared" si="4"/>
        <v>T0_0.60-0.80</v>
      </c>
      <c r="AB29" s="2">
        <v>1</v>
      </c>
      <c r="AC29" s="2">
        <v>3.2000000000000001E-2</v>
      </c>
      <c r="AD29" s="2">
        <v>-1.56</v>
      </c>
      <c r="AE29" s="2">
        <v>0</v>
      </c>
      <c r="AF29" t="s">
        <v>57</v>
      </c>
      <c r="AG29" t="s">
        <v>1237</v>
      </c>
      <c r="AH29">
        <v>66</v>
      </c>
      <c r="AI29">
        <v>24</v>
      </c>
      <c r="AJ29">
        <v>1</v>
      </c>
      <c r="AK29">
        <v>0.22</v>
      </c>
      <c r="AL29">
        <v>22.8</v>
      </c>
      <c r="AM29">
        <v>-163</v>
      </c>
      <c r="AN29">
        <v>7.11</v>
      </c>
      <c r="AO29">
        <v>1064</v>
      </c>
      <c r="AP29">
        <v>0.2</v>
      </c>
      <c r="AQ29" t="s">
        <v>443</v>
      </c>
      <c r="AR29">
        <v>11</v>
      </c>
      <c r="AS29">
        <v>9.5</v>
      </c>
      <c r="AT29">
        <v>570</v>
      </c>
      <c r="AU29" s="32">
        <f t="shared" si="16"/>
        <v>0.21892203303034183</v>
      </c>
      <c r="AV29">
        <v>31</v>
      </c>
      <c r="AW29" s="32">
        <f t="shared" si="5"/>
        <v>1.2112003472975906E-2</v>
      </c>
      <c r="AX29">
        <v>350</v>
      </c>
      <c r="AY29" s="32">
        <f t="shared" si="17"/>
        <v>0.13845719129697656</v>
      </c>
      <c r="AZ29">
        <v>150</v>
      </c>
      <c r="BA29" s="32">
        <f t="shared" si="18"/>
        <v>5.9338796270132804E-2</v>
      </c>
      <c r="BB29">
        <v>150</v>
      </c>
      <c r="BC29" s="32">
        <f t="shared" si="19"/>
        <v>5.9338796270132804E-2</v>
      </c>
      <c r="BD29">
        <v>300</v>
      </c>
      <c r="BF29" s="48">
        <v>1251</v>
      </c>
      <c r="BG29" s="48">
        <f t="shared" si="20"/>
        <v>0.36949122780029431</v>
      </c>
      <c r="BH29">
        <v>2000</v>
      </c>
      <c r="BI29" s="32">
        <f t="shared" si="21"/>
        <v>0.74900522743231646</v>
      </c>
      <c r="BJ29" s="47">
        <v>900</v>
      </c>
      <c r="BK29" s="27">
        <f t="shared" si="22"/>
        <v>0.33705235234454245</v>
      </c>
      <c r="BL29" s="47">
        <v>47</v>
      </c>
      <c r="BM29" s="27">
        <f t="shared" si="23"/>
        <v>1.7294171758985479E-2</v>
      </c>
      <c r="BN29" s="47">
        <v>4</v>
      </c>
      <c r="BO29" s="27">
        <f t="shared" si="24"/>
        <v>1.5044419946825757E-3</v>
      </c>
      <c r="BP29" s="47">
        <v>2</v>
      </c>
      <c r="BQ29" s="27">
        <f t="shared" si="25"/>
        <v>7.4599927806521475E-4</v>
      </c>
      <c r="BR29" s="47">
        <v>7.3</v>
      </c>
      <c r="BS29" s="27">
        <f t="shared" si="26"/>
        <v>2.7032486113448911E-3</v>
      </c>
      <c r="BT29" s="47">
        <v>1.4</v>
      </c>
      <c r="BU29" s="27">
        <f t="shared" si="27"/>
        <v>5.1843124053189689E-4</v>
      </c>
      <c r="BV29" s="47">
        <v>0.06</v>
      </c>
      <c r="BW29" s="27">
        <f t="shared" si="28"/>
        <v>2.1953028430160689E-5</v>
      </c>
      <c r="BX29" s="47">
        <v>0.03</v>
      </c>
      <c r="BY29" s="27">
        <f t="shared" si="29"/>
        <v>1.0976514215080345E-5</v>
      </c>
      <c r="BZ29" s="51">
        <f t="shared" si="30"/>
        <v>961.78999999999985</v>
      </c>
      <c r="CA29" s="51">
        <f t="shared" si="31"/>
        <v>61.79</v>
      </c>
      <c r="CB29" s="27">
        <f t="shared" si="32"/>
        <v>0.35985157477079777</v>
      </c>
      <c r="CC29" s="27">
        <f t="shared" si="33"/>
        <v>2.2799222426255292E-2</v>
      </c>
      <c r="CD29">
        <v>3000</v>
      </c>
      <c r="CE29">
        <v>750</v>
      </c>
      <c r="CF29" t="s">
        <v>19</v>
      </c>
      <c r="CG29">
        <v>3700</v>
      </c>
      <c r="CH29" s="32">
        <v>1.8</v>
      </c>
      <c r="CI29" s="32">
        <f t="shared" si="34"/>
        <v>3.222918531781558E-2</v>
      </c>
      <c r="CJ29" s="32">
        <f t="shared" si="35"/>
        <v>3.222918531781558E-2</v>
      </c>
      <c r="CK29" s="32">
        <v>2.1</v>
      </c>
      <c r="CL29" s="32">
        <f t="shared" si="36"/>
        <v>3.8230475150191151E-2</v>
      </c>
      <c r="CM29" s="32">
        <f t="shared" si="37"/>
        <v>7.6460950300382302E-2</v>
      </c>
      <c r="CN29" s="27">
        <v>52</v>
      </c>
      <c r="CO29" s="27">
        <f t="shared" si="38"/>
        <v>0.54132833645638145</v>
      </c>
      <c r="CP29" s="27">
        <f t="shared" si="39"/>
        <v>4.3306266916510516</v>
      </c>
      <c r="CQ29" s="57">
        <v>21</v>
      </c>
      <c r="CR29" s="57">
        <v>28.767123287671232</v>
      </c>
      <c r="CS29" s="57">
        <v>1.7489069331667708</v>
      </c>
      <c r="CT29" s="57">
        <f t="shared" si="40"/>
        <v>1.7489069331667708</v>
      </c>
      <c r="CU29" s="28">
        <v>-3</v>
      </c>
      <c r="CV29" s="28">
        <v>-6.1224489795918364</v>
      </c>
      <c r="CW29" s="28">
        <v>-0.24984384759525297</v>
      </c>
      <c r="CX29" s="28">
        <f t="shared" si="41"/>
        <v>0</v>
      </c>
      <c r="CY29" s="32">
        <f t="shared" si="42"/>
        <v>12.207370393504059</v>
      </c>
      <c r="CZ29" s="32">
        <f t="shared" si="43"/>
        <v>12.207370393504059</v>
      </c>
      <c r="DA29" s="32">
        <f t="shared" si="44"/>
        <v>14.007370393504059</v>
      </c>
      <c r="DB29" s="32">
        <f t="shared" si="45"/>
        <v>0.25080340901529202</v>
      </c>
      <c r="DC29" s="32">
        <f t="shared" si="46"/>
        <v>0.25080340901529202</v>
      </c>
      <c r="DD29" s="59">
        <f t="shared" si="47"/>
        <v>-1.7439100562148657</v>
      </c>
      <c r="DE29" s="59">
        <f t="shared" si="48"/>
        <v>0</v>
      </c>
      <c r="DF29" s="59">
        <f t="shared" si="49"/>
        <v>1.8</v>
      </c>
      <c r="DG29" s="59">
        <f t="shared" si="50"/>
        <v>3.222918531781558E-2</v>
      </c>
      <c r="DH29" s="59">
        <f t="shared" si="51"/>
        <v>3.222918531781558E-2</v>
      </c>
      <c r="DI29" s="32">
        <f t="shared" si="52"/>
        <v>4.3306266916510516</v>
      </c>
      <c r="DJ29" s="32">
        <f t="shared" si="53"/>
        <v>3.9000000000000004</v>
      </c>
      <c r="DK29" s="32">
        <f t="shared" si="54"/>
        <v>0.10869013561819788</v>
      </c>
      <c r="DL29">
        <f t="shared" si="60"/>
        <v>2.0761712924824449</v>
      </c>
      <c r="DM29">
        <f t="shared" si="6"/>
        <v>3.6827862217938274E-2</v>
      </c>
      <c r="DN29">
        <f t="shared" si="7"/>
        <v>0.12080092327806459</v>
      </c>
      <c r="DO29">
        <f t="shared" si="8"/>
        <v>0.84237121450399721</v>
      </c>
      <c r="DP29">
        <f t="shared" si="55"/>
        <v>0.10869013561819788</v>
      </c>
      <c r="DQ29">
        <f t="shared" si="9"/>
        <v>0.70347644581998781</v>
      </c>
      <c r="DR29">
        <f t="shared" si="10"/>
        <v>0.29652355418001231</v>
      </c>
      <c r="DS29">
        <f t="shared" si="11"/>
        <v>0</v>
      </c>
      <c r="DT29" s="63">
        <f t="shared" si="12"/>
        <v>-0.95767483724983427</v>
      </c>
      <c r="DU29" s="63">
        <f t="shared" si="13"/>
        <v>1.0098063196144127</v>
      </c>
      <c r="DV29" s="63">
        <f t="shared" si="14"/>
        <v>-0.93487561482357906</v>
      </c>
      <c r="DW29" s="63">
        <f t="shared" si="56"/>
        <v>1.0326055420406679</v>
      </c>
      <c r="DX29" t="str">
        <f t="shared" si="57"/>
        <v>Sufficient Capacity</v>
      </c>
      <c r="DY29" t="str">
        <f t="shared" si="58"/>
        <v>Insufficient Capacity</v>
      </c>
      <c r="DZ29" t="str">
        <f t="shared" si="59"/>
        <v>Sulfate Dominant electron acceptor</v>
      </c>
      <c r="EA29" t="str">
        <f t="shared" si="15"/>
        <v>Iron Dominant electron acceptor</v>
      </c>
      <c r="EB29">
        <v>1.0057440000000001E-2</v>
      </c>
      <c r="EC29">
        <v>1.7830179999999999E-3</v>
      </c>
      <c r="ED29" s="66">
        <v>3.5169070000000001E-6</v>
      </c>
      <c r="EE29">
        <v>1.5697439999999999E-4</v>
      </c>
      <c r="EF29">
        <v>2.1931530000000002E-3</v>
      </c>
      <c r="EG29" s="66">
        <v>6.7040669999999996E-6</v>
      </c>
      <c r="EH29" s="66">
        <v>4.0250609999999998E-5</v>
      </c>
      <c r="EI29" s="66">
        <v>3.6076589999999999E-5</v>
      </c>
      <c r="EJ29">
        <v>1.7315430000000001E-4</v>
      </c>
      <c r="EK29">
        <v>3.3006600000000001E-4</v>
      </c>
      <c r="EL29">
        <v>2.2316339999999999E-4</v>
      </c>
      <c r="EM29" s="66">
        <v>3.2822749999999997E-5</v>
      </c>
      <c r="EN29">
        <v>2.080663E-3</v>
      </c>
      <c r="EO29">
        <v>9.684359E-4</v>
      </c>
      <c r="EP29">
        <v>1.0774879999999999E-3</v>
      </c>
      <c r="EQ29">
        <v>1.4115849999999999E-3</v>
      </c>
      <c r="ER29">
        <v>1.2689210000000001E-4</v>
      </c>
      <c r="ES29">
        <v>2.2942869999999999E-4</v>
      </c>
      <c r="ET29">
        <v>7.8528239999999996E-3</v>
      </c>
      <c r="EU29">
        <v>2.5848490000000002E-3</v>
      </c>
      <c r="EV29">
        <v>9.8594270000000005E-3</v>
      </c>
      <c r="EW29">
        <v>3.7814190000000001E-4</v>
      </c>
      <c r="EX29">
        <v>5.8215239999999998E-3</v>
      </c>
      <c r="EY29">
        <v>7.1940490000000001E-3</v>
      </c>
      <c r="EZ29">
        <v>4.920762E-4</v>
      </c>
      <c r="FA29">
        <v>5.1915909999999997E-4</v>
      </c>
      <c r="FB29">
        <v>5.1948200000000004E-4</v>
      </c>
      <c r="FC29">
        <v>1.5249079999999999E-3</v>
      </c>
      <c r="FD29">
        <v>1.196257E-4</v>
      </c>
      <c r="FE29">
        <v>2.129783E-2</v>
      </c>
      <c r="FF29">
        <v>2.445431E-2</v>
      </c>
      <c r="FG29">
        <v>1.259708E-2</v>
      </c>
      <c r="FH29">
        <v>6.8192079999999998E-4</v>
      </c>
      <c r="FI29">
        <v>8.2909909999999995E-4</v>
      </c>
      <c r="FJ29">
        <v>1.6956100000000002E-2</v>
      </c>
      <c r="FK29">
        <v>-1.2943145835387799</v>
      </c>
      <c r="FL29">
        <v>-0.74080488563744895</v>
      </c>
      <c r="FM29">
        <v>-0.58906827553757501</v>
      </c>
      <c r="FN29">
        <v>-1.9984469961225899</v>
      </c>
      <c r="FO29">
        <v>-0.78853679657186104</v>
      </c>
      <c r="FP29">
        <v>-0.93780389981147805</v>
      </c>
      <c r="FQ29">
        <v>-0.77899946395108899</v>
      </c>
      <c r="FR29">
        <v>-0.71376663573774601</v>
      </c>
      <c r="FS29">
        <v>-2.05849814118399</v>
      </c>
      <c r="FT29">
        <v>2.2915329836659601E-2</v>
      </c>
      <c r="FU29">
        <v>0.17089839525703701</v>
      </c>
      <c r="FV29">
        <v>-0.676029760704979</v>
      </c>
      <c r="FW29">
        <v>0.15551810925909901</v>
      </c>
      <c r="FX29">
        <v>-1.1384530706538001</v>
      </c>
      <c r="FY29">
        <v>-1.1101376906238001</v>
      </c>
      <c r="FZ29">
        <v>-0.100133653237863</v>
      </c>
      <c r="GA29">
        <v>-6.9085882650920596E-2</v>
      </c>
      <c r="GB29">
        <v>0.109179175917133</v>
      </c>
      <c r="GC29">
        <v>-0.53326735517542501</v>
      </c>
      <c r="GD29">
        <v>0.15718564464623799</v>
      </c>
      <c r="GE29">
        <v>6.0346249519586302E-2</v>
      </c>
      <c r="GF29">
        <v>-0.95128250827088001</v>
      </c>
      <c r="GG29">
        <v>-0.59982621105343903</v>
      </c>
      <c r="GH29">
        <v>-0.643401836855232</v>
      </c>
      <c r="GI29">
        <v>-0.20588652770844501</v>
      </c>
      <c r="GJ29">
        <v>-1.0938122747540699</v>
      </c>
      <c r="GK29">
        <v>-9.0902516502485001E-2</v>
      </c>
      <c r="GL29">
        <v>0.49210299904566901</v>
      </c>
      <c r="GM29">
        <v>0.40125812064111699</v>
      </c>
      <c r="GN29">
        <v>-0.15085816595047499</v>
      </c>
      <c r="GO29">
        <v>-0.54922947579463299</v>
      </c>
      <c r="GP29">
        <v>0.47053519672656902</v>
      </c>
      <c r="GT29" s="66"/>
      <c r="GV29" s="66"/>
      <c r="HK29" s="1"/>
      <c r="HL29" s="1"/>
      <c r="HM29" s="65"/>
      <c r="HN29" s="1"/>
      <c r="HO29" s="65"/>
      <c r="HP29" s="65"/>
      <c r="HQ29" s="65"/>
      <c r="HS29" s="65"/>
      <c r="HV29" s="65"/>
      <c r="HW29" s="65"/>
      <c r="HX29" s="65"/>
    </row>
    <row r="30" spans="1:278" ht="15.75" x14ac:dyDescent="0.25">
      <c r="A30" s="29" t="s">
        <v>83</v>
      </c>
      <c r="B30" s="29" t="s">
        <v>83</v>
      </c>
      <c r="C30" s="29" t="s">
        <v>744</v>
      </c>
      <c r="D30" s="29" t="s">
        <v>472</v>
      </c>
      <c r="E30" s="29" t="s">
        <v>472</v>
      </c>
      <c r="F30" s="29">
        <v>29</v>
      </c>
      <c r="G30" s="29" t="s">
        <v>742</v>
      </c>
      <c r="H30" s="30" t="s">
        <v>656</v>
      </c>
      <c r="I30" s="29">
        <v>150</v>
      </c>
      <c r="J30" s="29">
        <v>65</v>
      </c>
      <c r="K30" s="29">
        <v>24</v>
      </c>
      <c r="L30" s="32" t="s">
        <v>58</v>
      </c>
      <c r="M30" s="29" t="s">
        <v>1120</v>
      </c>
      <c r="N30" s="29" t="s">
        <v>437</v>
      </c>
      <c r="O30" s="29" t="s">
        <v>673</v>
      </c>
      <c r="P30" s="29" t="s">
        <v>1127</v>
      </c>
      <c r="Q30" s="40" t="s">
        <v>743</v>
      </c>
      <c r="R30" s="2" t="str">
        <f t="shared" si="0"/>
        <v>CW_3_Section_3</v>
      </c>
      <c r="S30" s="2" t="str">
        <f t="shared" si="1"/>
        <v>CW_3_MF09</v>
      </c>
      <c r="T30" s="31" t="s">
        <v>691</v>
      </c>
      <c r="U30" s="33">
        <v>45518</v>
      </c>
      <c r="V30" s="29" t="s">
        <v>692</v>
      </c>
      <c r="W30" s="29" t="s">
        <v>655</v>
      </c>
      <c r="X30" s="29" t="s">
        <v>690</v>
      </c>
      <c r="Y30" s="2" t="str">
        <f t="shared" si="2"/>
        <v>T0_MF09</v>
      </c>
      <c r="Z30" s="2" t="str">
        <f t="shared" si="3"/>
        <v>T0_CW_3_MF09</v>
      </c>
      <c r="AA30" s="2" t="str">
        <f t="shared" si="4"/>
        <v>T0_0.15-0.30</v>
      </c>
      <c r="AB30" s="2">
        <v>1</v>
      </c>
      <c r="AC30" s="2">
        <v>3.2000000000000001E-2</v>
      </c>
      <c r="AD30" s="2">
        <v>-1.56</v>
      </c>
      <c r="AE30" s="2">
        <v>0</v>
      </c>
      <c r="AF30" s="32" t="s">
        <v>59</v>
      </c>
      <c r="AG30" t="s">
        <v>1237</v>
      </c>
      <c r="AH30" s="32">
        <v>16</v>
      </c>
      <c r="AI30" s="32">
        <v>5.2</v>
      </c>
      <c r="AJ30" s="32">
        <v>3</v>
      </c>
      <c r="AK30" s="32">
        <v>4.7</v>
      </c>
      <c r="AL30" s="32">
        <v>24</v>
      </c>
      <c r="AM30" s="32">
        <v>-117</v>
      </c>
      <c r="AN30" s="32">
        <v>6.91</v>
      </c>
      <c r="AO30" s="32">
        <v>1036</v>
      </c>
      <c r="AP30" s="32">
        <v>0.1</v>
      </c>
      <c r="AQ30" s="32" t="s">
        <v>443</v>
      </c>
      <c r="AR30" s="32">
        <v>39</v>
      </c>
      <c r="AS30" s="32">
        <v>39</v>
      </c>
      <c r="AT30" s="32">
        <v>6.6</v>
      </c>
      <c r="AU30" s="32">
        <f t="shared" si="16"/>
        <v>2.534886698246063E-3</v>
      </c>
      <c r="AV30" s="32">
        <v>0.1</v>
      </c>
      <c r="AW30" s="32">
        <f t="shared" si="5"/>
        <v>3.9070978945083576E-5</v>
      </c>
      <c r="AX30" s="32">
        <v>2.2999999999999998</v>
      </c>
      <c r="AY30" s="32">
        <f t="shared" si="17"/>
        <v>9.0986154280870292E-4</v>
      </c>
      <c r="AZ30" s="32">
        <v>0.1</v>
      </c>
      <c r="BA30" s="32">
        <f t="shared" si="18"/>
        <v>3.9559197513421869E-5</v>
      </c>
      <c r="BB30" s="32">
        <v>0.2</v>
      </c>
      <c r="BC30" s="32">
        <f t="shared" si="19"/>
        <v>7.9118395026843739E-5</v>
      </c>
      <c r="BD30" s="32">
        <v>2.1</v>
      </c>
      <c r="BE30" s="32"/>
      <c r="BF30" s="48">
        <v>11.7</v>
      </c>
      <c r="BG30" s="48">
        <f t="shared" si="20"/>
        <v>3.4838192199998495E-3</v>
      </c>
      <c r="BH30" s="32">
        <v>18</v>
      </c>
      <c r="BI30" s="32">
        <f t="shared" si="21"/>
        <v>6.7410470468908471E-3</v>
      </c>
      <c r="BJ30" s="47">
        <v>8.3000000000000007</v>
      </c>
      <c r="BK30" s="27">
        <f t="shared" si="22"/>
        <v>3.1083716938441136E-3</v>
      </c>
      <c r="BL30" s="47">
        <v>0.41</v>
      </c>
      <c r="BM30" s="27">
        <f t="shared" si="23"/>
        <v>1.5086405151455416E-4</v>
      </c>
      <c r="BN30" s="47">
        <v>0.21</v>
      </c>
      <c r="BO30" s="27">
        <f t="shared" si="24"/>
        <v>7.8983204720835227E-5</v>
      </c>
      <c r="BP30" s="47">
        <v>7.0000000000000007E-2</v>
      </c>
      <c r="BQ30" s="27">
        <f t="shared" si="25"/>
        <v>2.6109974732282519E-5</v>
      </c>
      <c r="BR30" s="47">
        <v>0.04</v>
      </c>
      <c r="BS30" s="27">
        <f t="shared" si="26"/>
        <v>1.4812321158054199E-5</v>
      </c>
      <c r="BT30" s="47">
        <v>1E-3</v>
      </c>
      <c r="BU30" s="27">
        <f t="shared" si="27"/>
        <v>3.7030802895135499E-7</v>
      </c>
      <c r="BV30" s="47">
        <v>1E-3</v>
      </c>
      <c r="BW30" s="27">
        <f t="shared" si="28"/>
        <v>3.6588380716934485E-7</v>
      </c>
      <c r="BX30" s="47">
        <v>2E-3</v>
      </c>
      <c r="BY30" s="27">
        <f t="shared" si="29"/>
        <v>7.3176761433868969E-7</v>
      </c>
      <c r="BZ30" s="51">
        <f t="shared" si="30"/>
        <v>9.0340000000000007</v>
      </c>
      <c r="CA30" s="51">
        <f t="shared" si="31"/>
        <v>0.73399999999999999</v>
      </c>
      <c r="CB30" s="27">
        <f t="shared" si="32"/>
        <v>3.380609205420299E-3</v>
      </c>
      <c r="CC30" s="27">
        <f t="shared" si="33"/>
        <v>2.7223751157618548E-4</v>
      </c>
      <c r="CD30" s="32">
        <v>2.5</v>
      </c>
      <c r="CE30" s="32">
        <v>2.5</v>
      </c>
      <c r="CF30" s="32" t="s">
        <v>19</v>
      </c>
      <c r="CG30" s="32">
        <v>5</v>
      </c>
      <c r="CH30" s="32">
        <v>24</v>
      </c>
      <c r="CI30" s="32">
        <f t="shared" si="34"/>
        <v>0.42972247090420768</v>
      </c>
      <c r="CJ30" s="32">
        <f t="shared" si="35"/>
        <v>0.42972247090420768</v>
      </c>
      <c r="CK30" s="32">
        <v>5.8</v>
      </c>
      <c r="CL30" s="32">
        <f t="shared" si="36"/>
        <v>0.10558893136719461</v>
      </c>
      <c r="CM30" s="32">
        <f t="shared" si="37"/>
        <v>0.21117786273438921</v>
      </c>
      <c r="CN30" s="32">
        <v>0.5</v>
      </c>
      <c r="CO30" s="32">
        <f t="shared" si="38"/>
        <v>5.2050801582344368E-3</v>
      </c>
      <c r="CP30" s="32">
        <f t="shared" si="39"/>
        <v>4.1640641265875494E-2</v>
      </c>
      <c r="CQ30" s="57">
        <v>72.5</v>
      </c>
      <c r="CR30" s="57">
        <v>99.315068493150676</v>
      </c>
      <c r="CS30" s="57">
        <v>6.0378929835519468</v>
      </c>
      <c r="CT30" s="57">
        <f t="shared" si="40"/>
        <v>6.0378929835519468</v>
      </c>
      <c r="CU30" s="28">
        <v>239.5</v>
      </c>
      <c r="CV30" s="28">
        <v>99.791666666666671</v>
      </c>
      <c r="CW30" s="28">
        <v>19.945867166354361</v>
      </c>
      <c r="CX30" s="28">
        <f t="shared" si="41"/>
        <v>19.945867166354361</v>
      </c>
      <c r="CY30" s="32">
        <f t="shared" si="42"/>
        <v>42.144493025192588</v>
      </c>
      <c r="CZ30" s="32">
        <f t="shared" si="43"/>
        <v>42.144493025192588</v>
      </c>
      <c r="DA30" s="32">
        <f t="shared" si="44"/>
        <v>66.144493025192588</v>
      </c>
      <c r="DB30" s="32">
        <f t="shared" si="45"/>
        <v>1.1843239574788287</v>
      </c>
      <c r="DC30" s="32">
        <f t="shared" si="46"/>
        <v>1.1843239574788287</v>
      </c>
      <c r="DD30" s="59">
        <f t="shared" si="47"/>
        <v>139.22215282115343</v>
      </c>
      <c r="DE30" s="59">
        <f t="shared" si="48"/>
        <v>139.22215282115343</v>
      </c>
      <c r="DF30" s="59">
        <f t="shared" si="49"/>
        <v>163.22215282115343</v>
      </c>
      <c r="DG30" s="59">
        <f t="shared" si="50"/>
        <v>2.9225094506920937</v>
      </c>
      <c r="DH30" s="59">
        <f t="shared" si="51"/>
        <v>2.9225094506920937</v>
      </c>
      <c r="DI30" s="32">
        <f t="shared" si="52"/>
        <v>4.1640641265875494E-2</v>
      </c>
      <c r="DJ30" s="32">
        <f t="shared" si="53"/>
        <v>169.02215282115344</v>
      </c>
      <c r="DK30" s="32">
        <f t="shared" si="54"/>
        <v>3.1336873134264831</v>
      </c>
      <c r="DL30">
        <f t="shared" si="60"/>
        <v>7.4333948037651645</v>
      </c>
      <c r="DM30">
        <f t="shared" si="6"/>
        <v>2.8409343013426833E-2</v>
      </c>
      <c r="DN30">
        <f t="shared" si="7"/>
        <v>0.159324775387814</v>
      </c>
      <c r="DO30">
        <f t="shared" si="8"/>
        <v>0.81226588159875923</v>
      </c>
      <c r="DP30">
        <f t="shared" si="55"/>
        <v>23.079554479780846</v>
      </c>
      <c r="DQ30">
        <f t="shared" si="9"/>
        <v>9.1499973675572641E-3</v>
      </c>
      <c r="DR30">
        <f t="shared" si="10"/>
        <v>0.12662763716918354</v>
      </c>
      <c r="DS30">
        <f t="shared" si="11"/>
        <v>0.86422236546325915</v>
      </c>
      <c r="DT30" s="63">
        <f t="shared" si="12"/>
        <v>-7.4231699374982734</v>
      </c>
      <c r="DU30" s="63">
        <f t="shared" si="13"/>
        <v>-23.069329613513954</v>
      </c>
      <c r="DV30" s="63">
        <f t="shared" si="14"/>
        <v>-7.4228976999866978</v>
      </c>
      <c r="DW30" s="63">
        <f t="shared" si="56"/>
        <v>-23.06905737600238</v>
      </c>
      <c r="DX30" t="str">
        <f t="shared" si="57"/>
        <v>Sufficient Capacity</v>
      </c>
      <c r="DY30" t="str">
        <f t="shared" si="58"/>
        <v>Sufficient Capacity</v>
      </c>
      <c r="DZ30" t="str">
        <f t="shared" si="59"/>
        <v>Sulfate Dominant electron acceptor</v>
      </c>
      <c r="EA30" t="str">
        <f t="shared" si="15"/>
        <v>Sulfate Dominant electron acceptor</v>
      </c>
      <c r="EB30">
        <v>9.6694869999999992E-3</v>
      </c>
      <c r="EC30">
        <v>1.4802260000000001E-3</v>
      </c>
      <c r="ED30" s="66">
        <v>1.227054E-5</v>
      </c>
      <c r="EE30">
        <v>6.2197640000000002E-4</v>
      </c>
      <c r="EF30">
        <v>4.2731269999999998E-3</v>
      </c>
      <c r="EG30" s="66">
        <v>9.2026500000000007E-6</v>
      </c>
      <c r="EH30">
        <v>3.1458940000000002E-4</v>
      </c>
      <c r="EI30">
        <v>1.110914E-4</v>
      </c>
      <c r="EJ30">
        <v>3.9149589999999999E-4</v>
      </c>
      <c r="EK30">
        <v>6.8698399999999997E-4</v>
      </c>
      <c r="EL30">
        <v>3.6282859999999998E-4</v>
      </c>
      <c r="EM30">
        <v>2.7284120000000003E-4</v>
      </c>
      <c r="EN30">
        <v>1.9997740000000002E-3</v>
      </c>
      <c r="EO30">
        <v>8.0437170000000004E-4</v>
      </c>
      <c r="EP30">
        <v>1.9511000000000001E-3</v>
      </c>
      <c r="EQ30">
        <v>1.2725029999999999E-3</v>
      </c>
      <c r="ER30">
        <v>3.6019090000000001E-4</v>
      </c>
      <c r="ES30">
        <v>7.4321450000000002E-4</v>
      </c>
      <c r="ET30">
        <v>1.0888480000000001E-2</v>
      </c>
      <c r="EU30">
        <v>2.8143830000000002E-3</v>
      </c>
      <c r="EV30">
        <v>8.5499909999999998E-3</v>
      </c>
      <c r="EW30">
        <v>7.5078359999999997E-4</v>
      </c>
      <c r="EX30">
        <v>4.7796820000000004E-3</v>
      </c>
      <c r="EY30">
        <v>6.9870690000000003E-3</v>
      </c>
      <c r="EZ30">
        <v>1.297695E-3</v>
      </c>
      <c r="FA30">
        <v>1.0820319999999999E-3</v>
      </c>
      <c r="FB30">
        <v>1.1108540000000001E-3</v>
      </c>
      <c r="FC30">
        <v>1.8620310000000001E-3</v>
      </c>
      <c r="FD30">
        <v>3.5480549999999998E-4</v>
      </c>
      <c r="FE30">
        <v>2.5187480000000002E-2</v>
      </c>
      <c r="FF30">
        <v>1.540976E-2</v>
      </c>
      <c r="FG30">
        <v>8.9010689999999993E-3</v>
      </c>
      <c r="FH30">
        <v>7.6925259999999999E-4</v>
      </c>
      <c r="FI30">
        <v>1.5214619999999999E-3</v>
      </c>
      <c r="FJ30">
        <v>9.4625270000000001E-3</v>
      </c>
      <c r="FK30">
        <v>8.2504831630211897E-2</v>
      </c>
      <c r="FL30">
        <v>-7.3799242354075603E-2</v>
      </c>
      <c r="FM30">
        <v>-0.27229114664413201</v>
      </c>
      <c r="FN30">
        <v>5.7696141325561001E-2</v>
      </c>
      <c r="FO30">
        <v>0.336172310804074</v>
      </c>
      <c r="FP30">
        <v>-0.12201196147603401</v>
      </c>
      <c r="FQ30">
        <v>-4.59810961283518E-2</v>
      </c>
      <c r="FR30">
        <v>-0.22774032785835999</v>
      </c>
      <c r="FS30">
        <v>5.9269927251493798E-2</v>
      </c>
      <c r="FT30">
        <v>-1.6737088911614101E-2</v>
      </c>
      <c r="FU30">
        <v>-1.4722424799939101E-2</v>
      </c>
      <c r="FV30">
        <v>-8.2268850654061004E-2</v>
      </c>
      <c r="FW30">
        <v>5.17907497399204E-2</v>
      </c>
      <c r="FX30">
        <v>-9.5156021012840597E-2</v>
      </c>
      <c r="FY30">
        <v>6.5254701061810694E-2</v>
      </c>
      <c r="FZ30">
        <v>0.226698484046575</v>
      </c>
      <c r="GA30">
        <v>1.5990079640416401E-2</v>
      </c>
      <c r="GB30">
        <v>-3.33186471019511E-2</v>
      </c>
      <c r="GC30">
        <v>0.15258058393005799</v>
      </c>
      <c r="GD30">
        <v>-4.0002421395319801E-2</v>
      </c>
      <c r="GE30">
        <v>3.1153248042359701E-2</v>
      </c>
      <c r="GF30">
        <v>1.84288019455199E-2</v>
      </c>
      <c r="GG30">
        <v>0.13455943552858499</v>
      </c>
      <c r="GH30">
        <v>0.11665036976929199</v>
      </c>
      <c r="GI30">
        <v>-6.15278059811342E-3</v>
      </c>
      <c r="GJ30">
        <v>-6.6102241233432198E-3</v>
      </c>
      <c r="GK30">
        <v>7.6839339568238102E-2</v>
      </c>
      <c r="GL30">
        <v>3.0297595449683402E-2</v>
      </c>
      <c r="GM30">
        <v>5.3964461457424798E-2</v>
      </c>
      <c r="GN30">
        <v>-3.0352293906239499E-2</v>
      </c>
      <c r="GO30">
        <v>5.7857828270062597E-2</v>
      </c>
      <c r="GP30">
        <v>-0.112752982235737</v>
      </c>
      <c r="GR30" s="66"/>
      <c r="GT30" s="66"/>
      <c r="GV30" s="66"/>
      <c r="GW30" s="65"/>
      <c r="HK30" s="1"/>
      <c r="HL30" s="1"/>
      <c r="HM30" s="1"/>
      <c r="HN30" s="1"/>
      <c r="HO30" s="65"/>
      <c r="HP30" s="65"/>
      <c r="HQ30" s="65"/>
      <c r="HS30" s="65"/>
      <c r="HT30" s="65"/>
      <c r="HU30" s="65"/>
      <c r="HV30" s="65"/>
      <c r="HW30" s="65"/>
      <c r="HX30" s="65"/>
      <c r="IZ30" s="66"/>
      <c r="JB30" s="66"/>
      <c r="JD30" s="66"/>
      <c r="JF30" s="66"/>
      <c r="JH30" s="66"/>
      <c r="JJ30" s="66"/>
      <c r="JL30" s="66"/>
      <c r="JN30" s="66"/>
      <c r="JP30" s="66"/>
      <c r="JR30" s="66"/>
    </row>
    <row r="31" spans="1:278" ht="15.75" x14ac:dyDescent="0.25">
      <c r="A31" s="41" t="s">
        <v>84</v>
      </c>
      <c r="B31" s="41" t="s">
        <v>84</v>
      </c>
      <c r="C31" s="41" t="s">
        <v>747</v>
      </c>
      <c r="D31" s="41" t="s">
        <v>473</v>
      </c>
      <c r="E31" s="41" t="s">
        <v>473</v>
      </c>
      <c r="F31" s="41">
        <v>30</v>
      </c>
      <c r="G31" s="41" t="s">
        <v>745</v>
      </c>
      <c r="H31" s="43" t="s">
        <v>656</v>
      </c>
      <c r="I31" s="41">
        <v>150</v>
      </c>
      <c r="J31" s="41">
        <v>65</v>
      </c>
      <c r="K31" s="41">
        <v>10.55</v>
      </c>
      <c r="L31" s="26" t="s">
        <v>60</v>
      </c>
      <c r="M31" s="41" t="s">
        <v>1120</v>
      </c>
      <c r="N31" s="41" t="s">
        <v>437</v>
      </c>
      <c r="O31" s="41" t="s">
        <v>673</v>
      </c>
      <c r="P31" s="41" t="s">
        <v>1128</v>
      </c>
      <c r="Q31" s="42" t="s">
        <v>746</v>
      </c>
      <c r="R31" s="2" t="str">
        <f t="shared" si="0"/>
        <v>CW_3_Section_3</v>
      </c>
      <c r="S31" s="2" t="str">
        <f t="shared" si="1"/>
        <v>CW_3_MF10</v>
      </c>
      <c r="T31" s="44" t="s">
        <v>691</v>
      </c>
      <c r="U31" s="45">
        <v>45518</v>
      </c>
      <c r="V31" s="41" t="s">
        <v>692</v>
      </c>
      <c r="W31" s="41" t="s">
        <v>663</v>
      </c>
      <c r="X31" s="41" t="s">
        <v>690</v>
      </c>
      <c r="Y31" s="2" t="str">
        <f t="shared" si="2"/>
        <v>T0_MF10</v>
      </c>
      <c r="Z31" s="2" t="str">
        <f t="shared" si="3"/>
        <v>T0_CW_3_MF10</v>
      </c>
      <c r="AA31" s="2" t="str">
        <f t="shared" si="4"/>
        <v>T0_0.60-0.80</v>
      </c>
      <c r="AB31" s="2">
        <v>1</v>
      </c>
      <c r="AC31" s="2">
        <v>3.2000000000000001E-2</v>
      </c>
      <c r="AD31" s="2">
        <v>-1.56</v>
      </c>
      <c r="AE31" s="2">
        <v>0</v>
      </c>
      <c r="AF31" s="26" t="s">
        <v>61</v>
      </c>
      <c r="AG31" t="s">
        <v>1237</v>
      </c>
      <c r="AH31" s="26">
        <v>65</v>
      </c>
      <c r="AI31" s="26">
        <v>24</v>
      </c>
      <c r="AJ31" s="26">
        <v>0.9</v>
      </c>
      <c r="AK31" s="26">
        <v>0.41</v>
      </c>
      <c r="AL31" s="26">
        <v>23.5</v>
      </c>
      <c r="AM31" s="26">
        <v>-132</v>
      </c>
      <c r="AN31" s="26">
        <v>7.02</v>
      </c>
      <c r="AO31" s="26">
        <v>887</v>
      </c>
      <c r="AP31" s="26">
        <v>2</v>
      </c>
      <c r="AQ31" s="26" t="s">
        <v>443</v>
      </c>
      <c r="AR31" s="26">
        <v>10</v>
      </c>
      <c r="AS31" s="26">
        <v>11</v>
      </c>
      <c r="AT31" s="26">
        <v>630</v>
      </c>
      <c r="AU31" s="32">
        <f t="shared" si="16"/>
        <v>0.24196645755985149</v>
      </c>
      <c r="AV31" s="26">
        <v>18</v>
      </c>
      <c r="AW31" s="32">
        <f t="shared" si="5"/>
        <v>7.0327762101150427E-3</v>
      </c>
      <c r="AX31" s="26">
        <v>370</v>
      </c>
      <c r="AY31" s="32">
        <f t="shared" si="17"/>
        <v>0.14636903079966093</v>
      </c>
      <c r="AZ31" s="26">
        <v>140</v>
      </c>
      <c r="BA31" s="32">
        <f t="shared" si="18"/>
        <v>5.5382876518790619E-2</v>
      </c>
      <c r="BB31" s="26">
        <v>120</v>
      </c>
      <c r="BC31" s="32">
        <f t="shared" si="19"/>
        <v>4.7471037016106249E-2</v>
      </c>
      <c r="BD31" s="26">
        <v>260</v>
      </c>
      <c r="BE31" s="26"/>
      <c r="BF31" s="48">
        <v>1278</v>
      </c>
      <c r="BG31" s="48">
        <f t="shared" si="20"/>
        <v>0.39536826456962748</v>
      </c>
      <c r="BH31" s="26">
        <v>2100</v>
      </c>
      <c r="BI31" s="32">
        <f t="shared" si="21"/>
        <v>0.78645548880393235</v>
      </c>
      <c r="BJ31" s="47">
        <v>890</v>
      </c>
      <c r="BK31" s="27">
        <f t="shared" si="22"/>
        <v>0.33330732620738079</v>
      </c>
      <c r="BL31" s="47">
        <v>42</v>
      </c>
      <c r="BM31" s="27">
        <f t="shared" si="23"/>
        <v>1.545436625271043E-2</v>
      </c>
      <c r="BN31" s="47">
        <v>4</v>
      </c>
      <c r="BO31" s="27">
        <f t="shared" si="24"/>
        <v>1.5044419946825757E-3</v>
      </c>
      <c r="BP31" s="47">
        <v>2</v>
      </c>
      <c r="BQ31" s="27">
        <f t="shared" si="25"/>
        <v>7.4599927806521475E-4</v>
      </c>
      <c r="BR31" s="47">
        <v>2</v>
      </c>
      <c r="BS31" s="27">
        <f t="shared" si="26"/>
        <v>7.4061605790271001E-4</v>
      </c>
      <c r="BT31" s="47">
        <v>0.16</v>
      </c>
      <c r="BU31" s="27">
        <f t="shared" si="27"/>
        <v>5.9249284632216798E-5</v>
      </c>
      <c r="BV31" s="47">
        <v>0.05</v>
      </c>
      <c r="BW31" s="27">
        <f t="shared" si="28"/>
        <v>1.8294190358467248E-5</v>
      </c>
      <c r="BX31" s="47">
        <v>0.02</v>
      </c>
      <c r="BY31" s="27">
        <f t="shared" si="29"/>
        <v>7.3176761433868973E-6</v>
      </c>
      <c r="BZ31" s="51">
        <f t="shared" si="30"/>
        <v>940.2299999999999</v>
      </c>
      <c r="CA31" s="51">
        <f t="shared" si="31"/>
        <v>50.23</v>
      </c>
      <c r="CB31" s="27">
        <f t="shared" si="32"/>
        <v>0.35183761094187577</v>
      </c>
      <c r="CC31" s="27">
        <f t="shared" si="33"/>
        <v>1.8530284734495001E-2</v>
      </c>
      <c r="CD31" s="26">
        <v>3100</v>
      </c>
      <c r="CE31" s="26">
        <v>600</v>
      </c>
      <c r="CF31" s="26" t="s">
        <v>19</v>
      </c>
      <c r="CG31" s="26">
        <v>3700</v>
      </c>
      <c r="CH31" s="26">
        <v>2.1</v>
      </c>
      <c r="CI31" s="32">
        <f t="shared" si="34"/>
        <v>3.7600716204118173E-2</v>
      </c>
      <c r="CJ31" s="32">
        <f t="shared" si="35"/>
        <v>3.7600716204118173E-2</v>
      </c>
      <c r="CK31" s="26">
        <v>2.7</v>
      </c>
      <c r="CL31" s="32">
        <f t="shared" si="36"/>
        <v>4.9153468050245772E-2</v>
      </c>
      <c r="CM31" s="32">
        <f t="shared" si="37"/>
        <v>9.8306936100491543E-2</v>
      </c>
      <c r="CN31" s="26">
        <v>47</v>
      </c>
      <c r="CO31" s="26">
        <f t="shared" si="38"/>
        <v>0.48927753487403702</v>
      </c>
      <c r="CP31" s="26">
        <f t="shared" si="39"/>
        <v>3.9142202789922962</v>
      </c>
      <c r="CQ31" s="57">
        <v>26</v>
      </c>
      <c r="CR31" s="57">
        <v>35.61643835616438</v>
      </c>
      <c r="CS31" s="57">
        <v>2.1653133458255258</v>
      </c>
      <c r="CT31" s="57">
        <f t="shared" si="40"/>
        <v>2.1653133458255258</v>
      </c>
      <c r="CU31" s="28">
        <v>5</v>
      </c>
      <c r="CV31" s="28">
        <v>9.6153846153846168</v>
      </c>
      <c r="CW31" s="28">
        <v>0.41640641265875494</v>
      </c>
      <c r="CX31" s="28">
        <f t="shared" si="41"/>
        <v>0.41640641265875494</v>
      </c>
      <c r="CY31" s="32">
        <f t="shared" si="42"/>
        <v>15.113887153862169</v>
      </c>
      <c r="CZ31" s="32">
        <f t="shared" si="43"/>
        <v>15.113887153862169</v>
      </c>
      <c r="DA31" s="32">
        <f t="shared" si="44"/>
        <v>17.213887153862171</v>
      </c>
      <c r="DB31" s="32">
        <f t="shared" si="45"/>
        <v>0.30821642173432712</v>
      </c>
      <c r="DC31" s="32">
        <f t="shared" si="46"/>
        <v>0.30821642173432712</v>
      </c>
      <c r="DD31" s="59">
        <f t="shared" si="47"/>
        <v>2.9065167603581092</v>
      </c>
      <c r="DE31" s="59">
        <f t="shared" si="48"/>
        <v>2.9065167603581092</v>
      </c>
      <c r="DF31" s="59">
        <f t="shared" si="49"/>
        <v>5.0065167603581093</v>
      </c>
      <c r="DG31" s="59">
        <f t="shared" si="50"/>
        <v>8.9642198036850654E-2</v>
      </c>
      <c r="DH31" s="59">
        <f t="shared" si="51"/>
        <v>8.9642198036850654E-2</v>
      </c>
      <c r="DI31" s="32">
        <f t="shared" si="52"/>
        <v>3.9142202789922962</v>
      </c>
      <c r="DJ31" s="32">
        <f t="shared" si="53"/>
        <v>7.7065167603581095</v>
      </c>
      <c r="DK31" s="32">
        <f t="shared" si="54"/>
        <v>0.18794913413734221</v>
      </c>
      <c r="DL31">
        <f t="shared" si="60"/>
        <v>2.5718367036603444</v>
      </c>
      <c r="DM31">
        <f t="shared" si="6"/>
        <v>3.822440824511799E-2</v>
      </c>
      <c r="DN31">
        <f t="shared" si="7"/>
        <v>0.1198429205461065</v>
      </c>
      <c r="DO31">
        <f t="shared" si="8"/>
        <v>0.84193267120877546</v>
      </c>
      <c r="DP31">
        <f t="shared" si="55"/>
        <v>0.60435554679609715</v>
      </c>
      <c r="DQ31">
        <f t="shared" si="9"/>
        <v>0.16266407518165663</v>
      </c>
      <c r="DR31">
        <f t="shared" si="10"/>
        <v>0.14832692197842098</v>
      </c>
      <c r="DS31">
        <f t="shared" si="11"/>
        <v>0.68900900283992239</v>
      </c>
      <c r="DT31" s="63">
        <f t="shared" si="12"/>
        <v>-1.3900129502867846</v>
      </c>
      <c r="DU31" s="63">
        <f t="shared" si="13"/>
        <v>0.57746820657746267</v>
      </c>
      <c r="DV31" s="63">
        <f t="shared" si="14"/>
        <v>-1.3714826655522896</v>
      </c>
      <c r="DW31" s="63">
        <f t="shared" si="56"/>
        <v>0.5959984913119577</v>
      </c>
      <c r="DX31" t="str">
        <f t="shared" si="57"/>
        <v>Sufficient Capacity</v>
      </c>
      <c r="DY31" t="str">
        <f t="shared" si="58"/>
        <v>Insufficient Capacity</v>
      </c>
      <c r="DZ31" t="str">
        <f t="shared" si="59"/>
        <v>Sulfate Dominant electron acceptor</v>
      </c>
      <c r="EA31" t="str">
        <f t="shared" si="15"/>
        <v>Sulfate Dominant electron acceptor</v>
      </c>
      <c r="EB31">
        <v>8.8262979999999998E-3</v>
      </c>
      <c r="EC31">
        <v>1.518543E-3</v>
      </c>
      <c r="ED31" s="66">
        <v>2.0212580000000001E-6</v>
      </c>
      <c r="EE31">
        <v>7.0927290000000003E-4</v>
      </c>
      <c r="EF31">
        <v>4.9127119999999996E-3</v>
      </c>
      <c r="EG31" s="66">
        <v>3.9359520000000003E-5</v>
      </c>
      <c r="EH31">
        <v>3.7706600000000001E-4</v>
      </c>
      <c r="EI31" s="66">
        <v>7.9586760000000006E-5</v>
      </c>
      <c r="EJ31">
        <v>4.7336129999999999E-4</v>
      </c>
      <c r="EK31">
        <v>8.1130160000000005E-4</v>
      </c>
      <c r="EL31">
        <v>5.4957040000000001E-4</v>
      </c>
      <c r="EM31">
        <v>3.4884850000000003E-4</v>
      </c>
      <c r="EN31">
        <v>2.3244910000000001E-3</v>
      </c>
      <c r="EO31">
        <v>1.01939E-3</v>
      </c>
      <c r="EP31">
        <v>2.2660860000000001E-3</v>
      </c>
      <c r="EQ31">
        <v>1.115245E-3</v>
      </c>
      <c r="ER31">
        <v>3.9779829999999998E-4</v>
      </c>
      <c r="ES31">
        <v>8.1116439999999999E-4</v>
      </c>
      <c r="ET31">
        <v>7.7198299999999996E-3</v>
      </c>
      <c r="EU31">
        <v>2.4556719999999999E-3</v>
      </c>
      <c r="EV31">
        <v>8.5199349999999993E-3</v>
      </c>
      <c r="EW31">
        <v>6.6687780000000002E-4</v>
      </c>
      <c r="EX31">
        <v>5.1076740000000004E-3</v>
      </c>
      <c r="EY31">
        <v>6.9732250000000004E-3</v>
      </c>
      <c r="EZ31">
        <v>1.4227319999999999E-3</v>
      </c>
      <c r="FA31">
        <v>1.056766E-3</v>
      </c>
      <c r="FB31">
        <v>1.108611E-3</v>
      </c>
      <c r="FC31">
        <v>1.7973939999999999E-3</v>
      </c>
      <c r="FD31">
        <v>4.9630319999999998E-4</v>
      </c>
      <c r="FE31">
        <v>2.5390949999999999E-2</v>
      </c>
      <c r="FF31">
        <v>1.8304210000000001E-2</v>
      </c>
      <c r="FG31">
        <v>1.0374370000000001E-2</v>
      </c>
      <c r="FH31">
        <v>7.2459979999999998E-4</v>
      </c>
      <c r="FI31">
        <v>1.3220129999999999E-3</v>
      </c>
      <c r="FJ31">
        <v>1.2704109999999999E-2</v>
      </c>
      <c r="FK31">
        <v>0.213843042528541</v>
      </c>
      <c r="FL31">
        <v>6.5681011399078698E-2</v>
      </c>
      <c r="FM31">
        <v>1.18095524428691</v>
      </c>
      <c r="FN31">
        <v>0.23884808328686299</v>
      </c>
      <c r="FO31">
        <v>2.6667722527991002E-3</v>
      </c>
      <c r="FP31">
        <v>6.7871940378271503E-2</v>
      </c>
      <c r="FQ31">
        <v>0.120347773128267</v>
      </c>
      <c r="FR31">
        <v>0.187466007802645</v>
      </c>
      <c r="FS31">
        <v>0.30501771682622397</v>
      </c>
      <c r="FT31">
        <v>0.13372982725404201</v>
      </c>
      <c r="FU31">
        <v>0.22217578758803799</v>
      </c>
      <c r="FV31">
        <v>6.7391947476788297E-2</v>
      </c>
      <c r="FW31">
        <v>-8.0120965547212805E-2</v>
      </c>
      <c r="FX31">
        <v>4.1549032132692804E-3</v>
      </c>
      <c r="FY31">
        <v>0.15274074979879401</v>
      </c>
      <c r="FZ31">
        <v>-0.117214522493476</v>
      </c>
      <c r="GA31">
        <v>-0.120352524101018</v>
      </c>
      <c r="GB31">
        <v>-3.6840165714345098E-2</v>
      </c>
      <c r="GC31">
        <v>3.4069943558463898E-2</v>
      </c>
      <c r="GD31">
        <v>2.6367676188079298E-2</v>
      </c>
      <c r="GE31">
        <v>2.91699080728565E-2</v>
      </c>
      <c r="GF31">
        <v>0.110418155028513</v>
      </c>
      <c r="GG31">
        <v>0.110931981792167</v>
      </c>
      <c r="GH31">
        <v>0.11462916126759599</v>
      </c>
      <c r="GI31">
        <v>-4.1482769997717397E-2</v>
      </c>
      <c r="GJ31">
        <v>0.32900705415597498</v>
      </c>
      <c r="GK31">
        <v>8.4885105228563504E-2</v>
      </c>
      <c r="GL31">
        <v>0.20242760857501299</v>
      </c>
      <c r="GM31">
        <v>0.207131420954179</v>
      </c>
      <c r="GN31">
        <v>-9.0152185571595198E-2</v>
      </c>
      <c r="GO31">
        <v>-8.2658311453045002E-2</v>
      </c>
      <c r="GP31">
        <v>0.18183310879367601</v>
      </c>
      <c r="GR31" s="66"/>
      <c r="GT31" s="66"/>
      <c r="GV31" s="66"/>
      <c r="HK31" s="1"/>
      <c r="HL31" s="1"/>
      <c r="HM31" s="65"/>
      <c r="HN31" s="1"/>
      <c r="HO31" s="65"/>
      <c r="HP31" s="65"/>
      <c r="HQ31" s="65"/>
      <c r="HS31" s="65"/>
      <c r="HV31" s="65"/>
      <c r="HW31" s="65"/>
      <c r="HX31" s="65"/>
      <c r="JJ31" s="66"/>
      <c r="JL31" s="66"/>
      <c r="JN31" s="66"/>
    </row>
    <row r="32" spans="1:278" ht="15.75" x14ac:dyDescent="0.25">
      <c r="A32" s="29" t="s">
        <v>85</v>
      </c>
      <c r="B32" s="29" t="s">
        <v>85</v>
      </c>
      <c r="C32" s="29" t="s">
        <v>749</v>
      </c>
      <c r="D32" s="29" t="s">
        <v>474</v>
      </c>
      <c r="E32" s="29" t="s">
        <v>474</v>
      </c>
      <c r="F32" s="29">
        <v>31</v>
      </c>
      <c r="G32" s="29" t="s">
        <v>748</v>
      </c>
      <c r="H32" s="30" t="s">
        <v>656</v>
      </c>
      <c r="I32" s="29">
        <v>150</v>
      </c>
      <c r="J32" s="29">
        <v>100</v>
      </c>
      <c r="K32" s="34">
        <v>5</v>
      </c>
      <c r="L32" s="32" t="s">
        <v>263</v>
      </c>
      <c r="M32" s="29" t="s">
        <v>1118</v>
      </c>
      <c r="N32" s="29" t="s">
        <v>688</v>
      </c>
      <c r="O32" s="29" t="s">
        <v>687</v>
      </c>
      <c r="P32" s="29" t="s">
        <v>1118</v>
      </c>
      <c r="Q32" s="29" t="s">
        <v>443</v>
      </c>
      <c r="R32" s="2" t="str">
        <f t="shared" si="0"/>
        <v>CW_0_Section_0</v>
      </c>
      <c r="S32" s="2" t="str">
        <f t="shared" si="1"/>
        <v>CW_0_INF</v>
      </c>
      <c r="T32" s="31" t="s">
        <v>751</v>
      </c>
      <c r="U32" s="33">
        <v>45580</v>
      </c>
      <c r="V32" s="29" t="s">
        <v>752</v>
      </c>
      <c r="W32" s="29" t="s">
        <v>1118</v>
      </c>
      <c r="X32" s="29" t="s">
        <v>750</v>
      </c>
      <c r="Y32" s="2" t="str">
        <f t="shared" si="2"/>
        <v>T1_INF</v>
      </c>
      <c r="Z32" s="2" t="str">
        <f t="shared" si="3"/>
        <v>T1_CW_0_INF</v>
      </c>
      <c r="AA32" s="2" t="str">
        <f t="shared" si="4"/>
        <v>T1_INF</v>
      </c>
      <c r="AB32" s="2">
        <v>64</v>
      </c>
      <c r="AC32" s="2">
        <v>2.105</v>
      </c>
      <c r="AD32" s="2">
        <v>-1.1599999999999999</v>
      </c>
      <c r="AE32" s="2">
        <v>1</v>
      </c>
      <c r="AF32" s="32" t="s">
        <v>27</v>
      </c>
      <c r="AG32" t="s">
        <v>1237</v>
      </c>
      <c r="AH32" s="32">
        <v>69</v>
      </c>
      <c r="AI32" s="32">
        <v>26</v>
      </c>
      <c r="AJ32" s="32">
        <v>0.69</v>
      </c>
      <c r="AK32" s="32" t="s">
        <v>443</v>
      </c>
      <c r="AL32" s="32" t="s">
        <v>443</v>
      </c>
      <c r="AM32" s="32" t="s">
        <v>443</v>
      </c>
      <c r="AN32" s="32" t="s">
        <v>443</v>
      </c>
      <c r="AO32" s="32" t="s">
        <v>443</v>
      </c>
      <c r="AP32" s="32" t="s">
        <v>443</v>
      </c>
      <c r="AQ32" s="32">
        <v>0.01</v>
      </c>
      <c r="AR32" s="32">
        <v>15</v>
      </c>
      <c r="AS32" s="32">
        <v>16</v>
      </c>
      <c r="AT32" s="32">
        <v>610</v>
      </c>
      <c r="AU32" s="32">
        <f t="shared" si="16"/>
        <v>0.23428498271668158</v>
      </c>
      <c r="AV32" s="32">
        <v>110</v>
      </c>
      <c r="AW32" s="32">
        <f t="shared" si="5"/>
        <v>4.2978076839591928E-2</v>
      </c>
      <c r="AX32" s="32">
        <v>490</v>
      </c>
      <c r="AY32" s="32">
        <f t="shared" si="17"/>
        <v>0.19384006781576718</v>
      </c>
      <c r="AZ32" s="32">
        <v>210</v>
      </c>
      <c r="BA32" s="32">
        <f t="shared" si="18"/>
        <v>8.3074314778185929E-2</v>
      </c>
      <c r="BB32" s="32">
        <v>280</v>
      </c>
      <c r="BC32" s="32">
        <f t="shared" si="19"/>
        <v>0.11076575303758124</v>
      </c>
      <c r="BD32" s="32">
        <v>490</v>
      </c>
      <c r="BE32" s="32"/>
      <c r="BF32" s="48">
        <v>1700</v>
      </c>
      <c r="BG32" s="48">
        <f t="shared" si="20"/>
        <v>0.47110312737204069</v>
      </c>
      <c r="BH32" s="32">
        <v>5000</v>
      </c>
      <c r="BI32" s="32">
        <f t="shared" si="21"/>
        <v>1.8725130685807911</v>
      </c>
      <c r="BJ32" s="47">
        <v>4600</v>
      </c>
      <c r="BK32" s="27">
        <f t="shared" si="22"/>
        <v>1.7227120230943278</v>
      </c>
      <c r="BL32" s="47">
        <v>230</v>
      </c>
      <c r="BM32" s="27">
        <f t="shared" si="23"/>
        <v>8.4631053288652336E-2</v>
      </c>
      <c r="BN32" s="47">
        <v>210</v>
      </c>
      <c r="BO32" s="27">
        <f t="shared" si="24"/>
        <v>7.8983204720835226E-2</v>
      </c>
      <c r="BP32" s="47">
        <v>120</v>
      </c>
      <c r="BQ32" s="27">
        <f t="shared" si="25"/>
        <v>4.4759956683912888E-2</v>
      </c>
      <c r="BR32" s="47">
        <v>120</v>
      </c>
      <c r="BS32" s="27">
        <f t="shared" si="26"/>
        <v>4.4436963474162601E-2</v>
      </c>
      <c r="BT32" s="47">
        <v>22</v>
      </c>
      <c r="BU32" s="27">
        <f t="shared" si="27"/>
        <v>8.1467766369298089E-3</v>
      </c>
      <c r="BV32" s="47">
        <v>9.3000000000000007</v>
      </c>
      <c r="BW32" s="27">
        <f t="shared" si="28"/>
        <v>3.402719406674908E-3</v>
      </c>
      <c r="BX32" s="47">
        <v>12</v>
      </c>
      <c r="BY32" s="27">
        <f t="shared" si="29"/>
        <v>4.3906056860321388E-3</v>
      </c>
      <c r="BZ32" s="51">
        <f t="shared" si="30"/>
        <v>5323.3</v>
      </c>
      <c r="CA32" s="51">
        <f t="shared" si="31"/>
        <v>723.3</v>
      </c>
      <c r="CB32" s="27">
        <f t="shared" si="32"/>
        <v>1.9914633029915276</v>
      </c>
      <c r="CC32" s="27">
        <f t="shared" si="33"/>
        <v>0.26875127989719988</v>
      </c>
      <c r="CD32" s="32">
        <v>8300</v>
      </c>
      <c r="CE32" s="32">
        <v>4300</v>
      </c>
      <c r="CF32" s="32">
        <v>35</v>
      </c>
      <c r="CG32" s="32">
        <v>13000</v>
      </c>
      <c r="CH32" s="32">
        <v>1.9</v>
      </c>
      <c r="CI32" s="32">
        <f t="shared" si="34"/>
        <v>3.4019695613249773E-2</v>
      </c>
      <c r="CJ32" s="32">
        <f t="shared" si="35"/>
        <v>3.4019695613249773E-2</v>
      </c>
      <c r="CK32" s="32">
        <v>1.1000000000000001</v>
      </c>
      <c r="CL32" s="32">
        <f t="shared" si="36"/>
        <v>2.0025486983433462E-2</v>
      </c>
      <c r="CM32" s="32">
        <f t="shared" si="37"/>
        <v>4.0050973966866923E-2</v>
      </c>
      <c r="CN32" s="32">
        <v>78</v>
      </c>
      <c r="CO32" s="32">
        <f t="shared" si="38"/>
        <v>0.81199250468457207</v>
      </c>
      <c r="CP32" s="32">
        <f t="shared" si="39"/>
        <v>6.4959400374765766</v>
      </c>
      <c r="CQ32" s="57">
        <v>0</v>
      </c>
      <c r="CR32" s="57">
        <v>0</v>
      </c>
      <c r="CS32" s="57">
        <v>0</v>
      </c>
      <c r="CT32" s="57">
        <f t="shared" si="40"/>
        <v>0</v>
      </c>
      <c r="CU32" s="28">
        <v>0</v>
      </c>
      <c r="CV32" s="28">
        <v>0</v>
      </c>
      <c r="CW32" s="28">
        <v>0</v>
      </c>
      <c r="CX32" s="28">
        <f t="shared" si="41"/>
        <v>0</v>
      </c>
      <c r="CY32" s="32">
        <f t="shared" si="42"/>
        <v>0</v>
      </c>
      <c r="CZ32" s="32">
        <f t="shared" si="43"/>
        <v>0</v>
      </c>
      <c r="DA32" s="32">
        <f t="shared" si="44"/>
        <v>1.9</v>
      </c>
      <c r="DB32" s="32">
        <f t="shared" si="45"/>
        <v>3.4019695613249773E-2</v>
      </c>
      <c r="DC32" s="32">
        <f t="shared" si="46"/>
        <v>3.4019695613249773E-2</v>
      </c>
      <c r="DD32" s="59">
        <f t="shared" si="47"/>
        <v>0</v>
      </c>
      <c r="DE32" s="59">
        <f t="shared" si="48"/>
        <v>0</v>
      </c>
      <c r="DF32" s="59">
        <f t="shared" si="49"/>
        <v>1.9</v>
      </c>
      <c r="DG32" s="59">
        <f t="shared" si="50"/>
        <v>3.4019695613249773E-2</v>
      </c>
      <c r="DH32" s="59">
        <f t="shared" si="51"/>
        <v>3.4019695613249773E-2</v>
      </c>
      <c r="DI32" s="32">
        <f t="shared" si="52"/>
        <v>6.4959400374765766</v>
      </c>
      <c r="DJ32" s="32">
        <f t="shared" si="53"/>
        <v>3</v>
      </c>
      <c r="DK32" s="32">
        <f t="shared" si="54"/>
        <v>7.4070669580116696E-2</v>
      </c>
      <c r="DL32">
        <f t="shared" si="60"/>
        <v>7.4070669580116696E-2</v>
      </c>
      <c r="DM32">
        <f t="shared" si="6"/>
        <v>0.54071300008361323</v>
      </c>
      <c r="DN32">
        <f t="shared" si="7"/>
        <v>0.45928699991638683</v>
      </c>
      <c r="DO32">
        <f t="shared" si="8"/>
        <v>0</v>
      </c>
      <c r="DP32">
        <f t="shared" si="55"/>
        <v>7.4070669580116696E-2</v>
      </c>
      <c r="DQ32">
        <f t="shared" si="9"/>
        <v>0.54071300008361323</v>
      </c>
      <c r="DR32">
        <f t="shared" si="10"/>
        <v>0.45928699991638683</v>
      </c>
      <c r="DS32">
        <f t="shared" si="11"/>
        <v>0</v>
      </c>
      <c r="DT32" s="63">
        <f t="shared" si="12"/>
        <v>2.2695455263727151</v>
      </c>
      <c r="DU32" s="63">
        <f t="shared" si="13"/>
        <v>2.2695455263727151</v>
      </c>
      <c r="DV32" s="63">
        <f t="shared" si="14"/>
        <v>2.5382968062699152</v>
      </c>
      <c r="DW32" s="63">
        <f t="shared" si="56"/>
        <v>2.5382968062699152</v>
      </c>
      <c r="DX32" t="str">
        <f t="shared" si="57"/>
        <v>Insufficient Capacity</v>
      </c>
      <c r="DY32" t="str">
        <f t="shared" si="58"/>
        <v>Insufficient Capacity</v>
      </c>
      <c r="DZ32" t="str">
        <f t="shared" si="59"/>
        <v>Iron Dominant electron acceptor</v>
      </c>
      <c r="EA32" t="str">
        <f t="shared" si="15"/>
        <v>Iron Dominant electron acceptor</v>
      </c>
      <c r="EB32">
        <v>1.0253760000000001E-2</v>
      </c>
      <c r="EC32">
        <v>1.923718E-3</v>
      </c>
      <c r="ED32">
        <v>0</v>
      </c>
      <c r="EE32">
        <v>2.3620109999999999E-4</v>
      </c>
      <c r="EF32">
        <v>3.83732E-3</v>
      </c>
      <c r="EG32" s="66">
        <v>1.132613E-5</v>
      </c>
      <c r="EH32">
        <v>1.9945379999999999E-4</v>
      </c>
      <c r="EI32" s="66">
        <v>3.6844729999999999E-6</v>
      </c>
      <c r="EJ32">
        <v>6.5317710000000005E-4</v>
      </c>
      <c r="EK32">
        <v>9.8300800000000006E-4</v>
      </c>
      <c r="EL32">
        <v>4.2745210000000002E-4</v>
      </c>
      <c r="EM32" s="66">
        <v>8.2586250000000002E-5</v>
      </c>
      <c r="EN32">
        <v>1.7206000000000001E-3</v>
      </c>
      <c r="EO32">
        <v>4.1175890000000001E-4</v>
      </c>
      <c r="EP32">
        <v>1.397199E-3</v>
      </c>
      <c r="EQ32">
        <v>1.848857E-3</v>
      </c>
      <c r="ER32">
        <v>3.8547670000000002E-4</v>
      </c>
      <c r="ES32">
        <v>7.2858929999999997E-4</v>
      </c>
      <c r="ET32">
        <v>5.9487680000000001E-3</v>
      </c>
      <c r="EU32">
        <v>2.6124759999999999E-3</v>
      </c>
      <c r="EV32">
        <v>9.7080269999999993E-3</v>
      </c>
      <c r="EW32">
        <v>6.8992819999999999E-4</v>
      </c>
      <c r="EX32">
        <v>5.6241980000000004E-3</v>
      </c>
      <c r="EY32">
        <v>7.7304799999999996E-3</v>
      </c>
      <c r="EZ32">
        <v>8.4688560000000001E-4</v>
      </c>
      <c r="FA32">
        <v>3.7313640000000001E-4</v>
      </c>
      <c r="FB32">
        <v>4.1715140000000002E-4</v>
      </c>
      <c r="FC32">
        <v>1.379725E-3</v>
      </c>
      <c r="FD32">
        <v>8.0134460000000005E-4</v>
      </c>
      <c r="FE32">
        <v>1.7296450000000001E-2</v>
      </c>
      <c r="FF32">
        <v>2.2832370000000001E-2</v>
      </c>
      <c r="FG32">
        <v>1.0831520000000001E-2</v>
      </c>
      <c r="FH32">
        <v>1.116272E-3</v>
      </c>
      <c r="FI32">
        <v>1.124515E-3</v>
      </c>
      <c r="FJ32">
        <v>1.397497E-2</v>
      </c>
      <c r="FK32">
        <v>-0.88571375744426395</v>
      </c>
      <c r="FL32">
        <v>-0.181370913805669</v>
      </c>
      <c r="FM32">
        <v>-6.4670187059902198E-2</v>
      </c>
      <c r="FN32">
        <v>-0.397989524587822</v>
      </c>
      <c r="FO32">
        <v>-3.0700534719021899</v>
      </c>
      <c r="FP32">
        <v>0.389861297996073</v>
      </c>
      <c r="FQ32">
        <v>0.31232516005175298</v>
      </c>
      <c r="FR32">
        <v>-6.3828638988855602E-2</v>
      </c>
      <c r="FS32">
        <v>-1.13577681192836</v>
      </c>
      <c r="FT32">
        <v>-0.16709819588146799</v>
      </c>
      <c r="FU32">
        <v>-0.68434591669598399</v>
      </c>
      <c r="FV32">
        <v>-0.41619264851464299</v>
      </c>
      <c r="FW32">
        <v>0.42537253304825701</v>
      </c>
      <c r="FX32">
        <v>-2.7309439502175799E-2</v>
      </c>
      <c r="FY32">
        <v>4.5380202294481399E-2</v>
      </c>
      <c r="FZ32">
        <v>-0.377822726267941</v>
      </c>
      <c r="GA32">
        <v>-5.8454544332792402E-2</v>
      </c>
      <c r="GB32">
        <v>9.3704191653373001E-2</v>
      </c>
      <c r="GC32">
        <v>6.8050657029234102E-2</v>
      </c>
      <c r="GD32">
        <v>0.122701921658529</v>
      </c>
      <c r="GE32">
        <v>0.13226304944015699</v>
      </c>
      <c r="GF32">
        <v>-0.408350470224702</v>
      </c>
      <c r="GG32">
        <v>-0.93009256185792299</v>
      </c>
      <c r="GH32">
        <v>-0.86278477264419295</v>
      </c>
      <c r="GI32">
        <v>-0.30593640413034701</v>
      </c>
      <c r="GJ32">
        <v>0.80811109065860398</v>
      </c>
      <c r="GK32">
        <v>-0.29900642795896398</v>
      </c>
      <c r="GL32">
        <v>0.42347578647037498</v>
      </c>
      <c r="GM32">
        <v>0.25025348161452099</v>
      </c>
      <c r="GN32">
        <v>0.34197815282489502</v>
      </c>
      <c r="GO32">
        <v>-0.244462054829507</v>
      </c>
      <c r="GP32">
        <v>0.27717541798454598</v>
      </c>
      <c r="GY32" s="65"/>
      <c r="HK32" s="1"/>
      <c r="HL32" s="1"/>
      <c r="HM32" s="65"/>
      <c r="HN32" s="1"/>
      <c r="IZ32" s="66"/>
      <c r="JB32" s="66"/>
      <c r="JD32" s="66"/>
      <c r="JF32" s="66"/>
      <c r="JH32" s="66"/>
      <c r="JJ32" s="66"/>
      <c r="JL32" s="66"/>
      <c r="JN32" s="66"/>
      <c r="JP32" s="66"/>
      <c r="JR32" s="66"/>
    </row>
    <row r="33" spans="1:278" ht="15.75" x14ac:dyDescent="0.25">
      <c r="A33" s="3" t="s">
        <v>86</v>
      </c>
      <c r="B33" s="3" t="s">
        <v>86</v>
      </c>
      <c r="C33" s="2" t="s">
        <v>754</v>
      </c>
      <c r="D33" s="2" t="s">
        <v>475</v>
      </c>
      <c r="E33" s="2" t="s">
        <v>475</v>
      </c>
      <c r="F33" s="2">
        <v>32</v>
      </c>
      <c r="G33" s="2" t="s">
        <v>753</v>
      </c>
      <c r="H33" s="10" t="s">
        <v>656</v>
      </c>
      <c r="I33" s="2">
        <v>150</v>
      </c>
      <c r="J33" s="2">
        <v>100</v>
      </c>
      <c r="K33" s="12">
        <v>4.0999999999999996</v>
      </c>
      <c r="L33" t="s">
        <v>260</v>
      </c>
      <c r="M33" s="2" t="s">
        <v>1119</v>
      </c>
      <c r="N33" s="2" t="s">
        <v>435</v>
      </c>
      <c r="O33" s="2" t="s">
        <v>694</v>
      </c>
      <c r="P33" s="2" t="s">
        <v>1119</v>
      </c>
      <c r="Q33" s="2" t="s">
        <v>443</v>
      </c>
      <c r="R33" s="2" t="str">
        <f t="shared" si="0"/>
        <v>CW_1_Section_5</v>
      </c>
      <c r="S33" s="2" t="str">
        <f t="shared" si="1"/>
        <v>CW_1_EFF</v>
      </c>
      <c r="T33" s="11" t="s">
        <v>751</v>
      </c>
      <c r="U33" s="1">
        <v>45580</v>
      </c>
      <c r="V33" s="2" t="s">
        <v>752</v>
      </c>
      <c r="W33" s="2" t="s">
        <v>1119</v>
      </c>
      <c r="X33" s="2" t="s">
        <v>750</v>
      </c>
      <c r="Y33" s="2" t="str">
        <f t="shared" si="2"/>
        <v>T1_EFF</v>
      </c>
      <c r="Z33" s="2" t="str">
        <f t="shared" si="3"/>
        <v>T1_CW_1_EFF</v>
      </c>
      <c r="AA33" s="2" t="str">
        <f t="shared" si="4"/>
        <v>T1_EFF</v>
      </c>
      <c r="AB33" s="2">
        <v>64</v>
      </c>
      <c r="AC33" s="2">
        <v>2.105</v>
      </c>
      <c r="AD33" s="2">
        <v>-1.1599999999999999</v>
      </c>
      <c r="AE33" s="2">
        <v>1</v>
      </c>
      <c r="AF33" t="s">
        <v>18</v>
      </c>
      <c r="AG33" t="s">
        <v>1237</v>
      </c>
      <c r="AH33">
        <v>53</v>
      </c>
      <c r="AI33">
        <v>12</v>
      </c>
      <c r="AJ33">
        <v>0.98</v>
      </c>
      <c r="AK33">
        <v>4.2</v>
      </c>
      <c r="AL33">
        <v>13.1</v>
      </c>
      <c r="AM33">
        <v>-75</v>
      </c>
      <c r="AN33">
        <v>7.09</v>
      </c>
      <c r="AO33">
        <v>789</v>
      </c>
      <c r="AP33">
        <v>0.2</v>
      </c>
      <c r="AQ33">
        <v>0.01</v>
      </c>
      <c r="AR33">
        <v>13</v>
      </c>
      <c r="AS33">
        <v>13</v>
      </c>
      <c r="AT33">
        <v>170</v>
      </c>
      <c r="AU33" s="32">
        <f t="shared" si="16"/>
        <v>6.5292536166944054E-2</v>
      </c>
      <c r="AV33">
        <v>0.5</v>
      </c>
      <c r="AW33" s="32">
        <f t="shared" si="5"/>
        <v>1.9535489472541785E-4</v>
      </c>
      <c r="AX33">
        <v>130</v>
      </c>
      <c r="AY33" s="32">
        <f t="shared" si="17"/>
        <v>5.1426956767448434E-2</v>
      </c>
      <c r="AZ33">
        <v>43</v>
      </c>
      <c r="BA33" s="32">
        <f t="shared" si="18"/>
        <v>1.7010454930771402E-2</v>
      </c>
      <c r="BB33">
        <v>29</v>
      </c>
      <c r="BC33" s="32">
        <f t="shared" si="19"/>
        <v>1.1472167278892343E-2</v>
      </c>
      <c r="BD33">
        <v>72</v>
      </c>
      <c r="BF33" s="48">
        <v>375.5</v>
      </c>
      <c r="BG33" s="48">
        <f t="shared" si="20"/>
        <v>0.1169148478291179</v>
      </c>
      <c r="BH33">
        <v>620</v>
      </c>
      <c r="BI33" s="32">
        <f t="shared" si="21"/>
        <v>0.23219162050401809</v>
      </c>
      <c r="BJ33" s="47">
        <v>290</v>
      </c>
      <c r="BK33" s="27">
        <f t="shared" si="22"/>
        <v>0.10860575797768589</v>
      </c>
      <c r="BL33" s="47">
        <v>2</v>
      </c>
      <c r="BM33" s="27">
        <f t="shared" si="23"/>
        <v>7.3592220251002033E-4</v>
      </c>
      <c r="BN33" s="47">
        <v>2</v>
      </c>
      <c r="BO33" s="27">
        <f t="shared" si="24"/>
        <v>7.5222099734128785E-4</v>
      </c>
      <c r="BP33" s="47">
        <v>4.5</v>
      </c>
      <c r="BQ33" s="27">
        <f t="shared" si="25"/>
        <v>1.6784983756467334E-3</v>
      </c>
      <c r="BR33" s="47">
        <v>0.77</v>
      </c>
      <c r="BS33" s="27">
        <f t="shared" si="26"/>
        <v>2.8513718229254334E-4</v>
      </c>
      <c r="BT33" s="47">
        <v>7.0000000000000007E-2</v>
      </c>
      <c r="BU33" s="27">
        <f t="shared" si="27"/>
        <v>2.5921562026594851E-5</v>
      </c>
      <c r="BV33" s="47">
        <v>0.03</v>
      </c>
      <c r="BW33" s="27">
        <f t="shared" si="28"/>
        <v>1.0976514215080345E-5</v>
      </c>
      <c r="BX33" s="47">
        <v>2E-3</v>
      </c>
      <c r="BY33" s="27">
        <f t="shared" si="29"/>
        <v>7.3176761433868969E-7</v>
      </c>
      <c r="BZ33" s="51">
        <f t="shared" si="30"/>
        <v>299.37199999999996</v>
      </c>
      <c r="CA33" s="51">
        <f t="shared" si="31"/>
        <v>9.3719999999999999</v>
      </c>
      <c r="CB33" s="27">
        <f t="shared" si="32"/>
        <v>0.11209516657933249</v>
      </c>
      <c r="CC33" s="27">
        <f t="shared" si="33"/>
        <v>3.4894086016465991E-3</v>
      </c>
      <c r="CD33">
        <v>1100</v>
      </c>
      <c r="CE33">
        <v>200</v>
      </c>
      <c r="CF33" t="s">
        <v>19</v>
      </c>
      <c r="CG33">
        <v>1300</v>
      </c>
      <c r="CH33" s="32">
        <v>6.6</v>
      </c>
      <c r="CI33" s="32">
        <f t="shared" si="34"/>
        <v>0.11817367949865711</v>
      </c>
      <c r="CJ33" s="32">
        <f t="shared" si="35"/>
        <v>0.11817367949865711</v>
      </c>
      <c r="CK33" s="32">
        <v>3.5</v>
      </c>
      <c r="CL33" s="32">
        <f t="shared" si="36"/>
        <v>6.3717458583651923E-2</v>
      </c>
      <c r="CM33" s="32">
        <f t="shared" si="37"/>
        <v>0.12743491716730385</v>
      </c>
      <c r="CN33" s="27">
        <v>14</v>
      </c>
      <c r="CO33" s="27">
        <f t="shared" si="38"/>
        <v>0.14574224443056422</v>
      </c>
      <c r="CP33" s="27">
        <f t="shared" si="39"/>
        <v>1.1659379554445137</v>
      </c>
      <c r="CQ33" s="57">
        <v>64</v>
      </c>
      <c r="CR33" s="57">
        <v>82.051282051282044</v>
      </c>
      <c r="CS33" s="57">
        <v>5.3300020820320633</v>
      </c>
      <c r="CT33" s="57">
        <f t="shared" si="40"/>
        <v>5.3300020820320633</v>
      </c>
      <c r="CU33" s="28">
        <v>30</v>
      </c>
      <c r="CV33" s="28">
        <v>68.181818181818173</v>
      </c>
      <c r="CW33" s="28">
        <v>2.4984384759525295</v>
      </c>
      <c r="CX33" s="28">
        <f t="shared" si="41"/>
        <v>2.4984384759525295</v>
      </c>
      <c r="CY33" s="32">
        <f t="shared" si="42"/>
        <v>37.2034145325838</v>
      </c>
      <c r="CZ33" s="32">
        <f t="shared" si="43"/>
        <v>37.2034145325838</v>
      </c>
      <c r="DA33" s="32">
        <f t="shared" si="44"/>
        <v>43.803414532583801</v>
      </c>
      <c r="DB33" s="32">
        <f t="shared" si="45"/>
        <v>0.78430464695763291</v>
      </c>
      <c r="DC33" s="32">
        <f t="shared" si="46"/>
        <v>0.78430464695763291</v>
      </c>
      <c r="DD33" s="59">
        <f t="shared" si="47"/>
        <v>17.439100562148656</v>
      </c>
      <c r="DE33" s="59">
        <f t="shared" si="48"/>
        <v>17.439100562148656</v>
      </c>
      <c r="DF33" s="59">
        <f t="shared" si="49"/>
        <v>24.039100562148654</v>
      </c>
      <c r="DG33" s="59">
        <f t="shared" si="50"/>
        <v>0.430422570495052</v>
      </c>
      <c r="DH33" s="59">
        <f t="shared" si="51"/>
        <v>0.430422570495052</v>
      </c>
      <c r="DI33" s="32">
        <f t="shared" si="52"/>
        <v>1.1659379554445137</v>
      </c>
      <c r="DJ33" s="32">
        <f t="shared" si="53"/>
        <v>27.539100562148654</v>
      </c>
      <c r="DK33" s="32">
        <f t="shared" si="54"/>
        <v>0.55785748766235588</v>
      </c>
      <c r="DL33">
        <f t="shared" si="60"/>
        <v>6.2417416461570001</v>
      </c>
      <c r="DM33">
        <f t="shared" si="6"/>
        <v>2.0416563900199986E-2</v>
      </c>
      <c r="DN33">
        <f t="shared" si="7"/>
        <v>0.12565477576927975</v>
      </c>
      <c r="DO33">
        <f t="shared" si="8"/>
        <v>0.85392866033052028</v>
      </c>
      <c r="DP33">
        <f t="shared" si="55"/>
        <v>3.0562959636148852</v>
      </c>
      <c r="DQ33">
        <f t="shared" si="9"/>
        <v>4.1695869341324542E-2</v>
      </c>
      <c r="DR33">
        <f t="shared" si="10"/>
        <v>0.14083144290318092</v>
      </c>
      <c r="DS33">
        <f t="shared" si="11"/>
        <v>0.81747268775549464</v>
      </c>
      <c r="DT33" s="63">
        <f t="shared" si="12"/>
        <v>-5.8926351778238644</v>
      </c>
      <c r="DU33" s="63">
        <f t="shared" si="13"/>
        <v>-2.7071894952817495</v>
      </c>
      <c r="DV33" s="63">
        <f t="shared" si="14"/>
        <v>-5.8891457692222176</v>
      </c>
      <c r="DW33" s="63">
        <f t="shared" si="56"/>
        <v>-2.7037000866801026</v>
      </c>
      <c r="DX33" t="str">
        <f t="shared" si="57"/>
        <v>Sufficient Capacity</v>
      </c>
      <c r="DY33" t="str">
        <f t="shared" si="58"/>
        <v>Sufficient Capacity</v>
      </c>
      <c r="DZ33" t="str">
        <f t="shared" si="59"/>
        <v>Sulfate Dominant electron acceptor</v>
      </c>
      <c r="EA33" t="str">
        <f t="shared" si="15"/>
        <v>Sulfate Dominant electron acceptor</v>
      </c>
      <c r="EB33">
        <v>9.2448970000000002E-3</v>
      </c>
      <c r="EC33">
        <v>1.4724499999999999E-3</v>
      </c>
      <c r="ED33" s="66">
        <v>1.8545080000000002E-5</v>
      </c>
      <c r="EE33">
        <v>7.3569130000000001E-4</v>
      </c>
      <c r="EF33">
        <v>4.7362970000000004E-3</v>
      </c>
      <c r="EG33" s="66">
        <v>1.374338E-5</v>
      </c>
      <c r="EH33">
        <v>4.6494769999999997E-4</v>
      </c>
      <c r="EI33">
        <v>1.006383E-4</v>
      </c>
      <c r="EJ33">
        <v>6.7514560000000003E-4</v>
      </c>
      <c r="EK33">
        <v>1.042832E-3</v>
      </c>
      <c r="EL33">
        <v>6.0290910000000003E-4</v>
      </c>
      <c r="EM33">
        <v>3.2759770000000002E-4</v>
      </c>
      <c r="EN33">
        <v>2.0012070000000001E-3</v>
      </c>
      <c r="EO33">
        <v>7.0956350000000003E-4</v>
      </c>
      <c r="EP33">
        <v>2.131764E-3</v>
      </c>
      <c r="EQ33">
        <v>1.3339949999999999E-3</v>
      </c>
      <c r="ER33">
        <v>4.31209E-4</v>
      </c>
      <c r="ES33">
        <v>7.850318E-4</v>
      </c>
      <c r="ET33">
        <v>1.3724119999999999E-2</v>
      </c>
      <c r="EU33">
        <v>2.9771799999999998E-3</v>
      </c>
      <c r="EV33">
        <v>8.8761120000000002E-3</v>
      </c>
      <c r="EW33">
        <v>7.6097519999999996E-4</v>
      </c>
      <c r="EX33">
        <v>4.9190969999999999E-3</v>
      </c>
      <c r="EY33">
        <v>6.3944049999999997E-3</v>
      </c>
      <c r="EZ33">
        <v>1.301665E-3</v>
      </c>
      <c r="FA33">
        <v>1.013477E-3</v>
      </c>
      <c r="FB33">
        <v>1.091217E-3</v>
      </c>
      <c r="FC33">
        <v>1.8823799999999999E-3</v>
      </c>
      <c r="FD33">
        <v>3.3813760000000001E-4</v>
      </c>
      <c r="FE33">
        <v>2.4725210000000001E-2</v>
      </c>
      <c r="FF33">
        <v>1.519965E-2</v>
      </c>
      <c r="FG33">
        <v>8.663446E-3</v>
      </c>
      <c r="FH33">
        <v>6.5745289999999997E-4</v>
      </c>
      <c r="FI33">
        <v>1.459105E-3</v>
      </c>
      <c r="FJ33">
        <v>1.024595E-2</v>
      </c>
      <c r="FK33">
        <v>0.25041328312899802</v>
      </c>
      <c r="FL33">
        <v>2.9110486682664999E-2</v>
      </c>
      <c r="FM33">
        <v>0.12877462092984299</v>
      </c>
      <c r="FN33">
        <v>0.44835277099167498</v>
      </c>
      <c r="FO33">
        <v>0.23735192581296699</v>
      </c>
      <c r="FP33">
        <v>0.42294136700498802</v>
      </c>
      <c r="FQ33">
        <v>0.371403269787206</v>
      </c>
      <c r="FR33">
        <v>0.28009556479083397</v>
      </c>
      <c r="FS33">
        <v>0.24216631748980999</v>
      </c>
      <c r="FT33">
        <v>-1.60207645595234E-2</v>
      </c>
      <c r="FU33">
        <v>-0.14013390833493</v>
      </c>
      <c r="FV33">
        <v>6.2876392449027199E-3</v>
      </c>
      <c r="FW33">
        <v>9.8983122096779397E-2</v>
      </c>
      <c r="FX33">
        <v>8.4802701668930794E-2</v>
      </c>
      <c r="FY33">
        <v>0.119994230042513</v>
      </c>
      <c r="FZ33">
        <v>0.458148003202134</v>
      </c>
      <c r="GA33">
        <v>7.2223568781051697E-2</v>
      </c>
      <c r="GB33">
        <v>4.1147458687813597E-3</v>
      </c>
      <c r="GC33">
        <v>0.166063891454932</v>
      </c>
      <c r="GD33">
        <v>-1.1251461415048999E-2</v>
      </c>
      <c r="GE33">
        <v>-5.7484517698672903E-2</v>
      </c>
      <c r="GF33">
        <v>2.1483402375523899E-2</v>
      </c>
      <c r="GG33">
        <v>6.9105673696752995E-2</v>
      </c>
      <c r="GH33">
        <v>9.88148680531689E-2</v>
      </c>
      <c r="GI33">
        <v>4.7163255610227503E-3</v>
      </c>
      <c r="GJ33">
        <v>-5.4727062897939001E-2</v>
      </c>
      <c r="GK33">
        <v>5.8315664806728201E-2</v>
      </c>
      <c r="GL33">
        <v>1.6568921812671899E-2</v>
      </c>
      <c r="GM33">
        <v>2.6905644475340801E-2</v>
      </c>
      <c r="GN33">
        <v>-0.18739856151315801</v>
      </c>
      <c r="GO33">
        <v>1.6009347632228301E-2</v>
      </c>
      <c r="GP33">
        <v>-3.3209948811841798E-2</v>
      </c>
      <c r="GR33" s="66"/>
      <c r="GT33" s="66"/>
      <c r="GV33" s="66"/>
      <c r="GW33" s="65"/>
      <c r="GX33" s="65"/>
      <c r="HK33" s="1"/>
      <c r="HL33" s="1"/>
      <c r="HM33" s="65"/>
      <c r="HN33" s="1"/>
      <c r="HO33" s="65"/>
      <c r="HP33" s="65"/>
      <c r="HQ33" s="65"/>
      <c r="HS33" s="65"/>
      <c r="HT33" s="65"/>
      <c r="HU33" s="65"/>
      <c r="HV33" s="65"/>
      <c r="HW33" s="65"/>
      <c r="HX33" s="65"/>
      <c r="JH33" s="66"/>
      <c r="JJ33" s="66"/>
      <c r="JL33" s="66"/>
      <c r="JN33" s="66"/>
    </row>
    <row r="34" spans="1:278" ht="15.75" x14ac:dyDescent="0.25">
      <c r="A34" s="3" t="s">
        <v>87</v>
      </c>
      <c r="B34" s="3" t="s">
        <v>87</v>
      </c>
      <c r="C34" s="2" t="s">
        <v>756</v>
      </c>
      <c r="D34" s="2" t="s">
        <v>476</v>
      </c>
      <c r="E34" s="2" t="s">
        <v>476</v>
      </c>
      <c r="F34" s="2">
        <v>33</v>
      </c>
      <c r="G34" s="2" t="s">
        <v>755</v>
      </c>
      <c r="H34" s="10" t="s">
        <v>656</v>
      </c>
      <c r="I34" s="2">
        <v>150</v>
      </c>
      <c r="J34" s="2">
        <v>100</v>
      </c>
      <c r="K34" s="12">
        <v>4.9000000000000004</v>
      </c>
      <c r="L34" t="s">
        <v>261</v>
      </c>
      <c r="M34" s="2" t="s">
        <v>1119</v>
      </c>
      <c r="N34" s="2" t="s">
        <v>436</v>
      </c>
      <c r="O34" s="2" t="s">
        <v>694</v>
      </c>
      <c r="P34" s="2" t="s">
        <v>1119</v>
      </c>
      <c r="Q34" s="2" t="s">
        <v>443</v>
      </c>
      <c r="R34" s="2" t="str">
        <f t="shared" si="0"/>
        <v>CW_2_Section_5</v>
      </c>
      <c r="S34" s="2" t="str">
        <f t="shared" si="1"/>
        <v>CW_2_EFF</v>
      </c>
      <c r="T34" s="11" t="s">
        <v>751</v>
      </c>
      <c r="U34" s="1">
        <v>45580</v>
      </c>
      <c r="V34" s="2" t="s">
        <v>752</v>
      </c>
      <c r="W34" s="2" t="s">
        <v>1119</v>
      </c>
      <c r="X34" s="2" t="s">
        <v>750</v>
      </c>
      <c r="Y34" s="2" t="str">
        <f t="shared" si="2"/>
        <v>T1_EFF</v>
      </c>
      <c r="Z34" s="2" t="str">
        <f t="shared" si="3"/>
        <v>T1_CW_2_EFF</v>
      </c>
      <c r="AA34" s="2" t="str">
        <f t="shared" si="4"/>
        <v>T1_EFF</v>
      </c>
      <c r="AB34" s="2">
        <v>64</v>
      </c>
      <c r="AC34" s="2">
        <v>2.105</v>
      </c>
      <c r="AD34" s="2">
        <v>-1.1599999999999999</v>
      </c>
      <c r="AE34" s="2">
        <v>1</v>
      </c>
      <c r="AF34" t="s">
        <v>39</v>
      </c>
      <c r="AG34" t="s">
        <v>1237</v>
      </c>
      <c r="AH34">
        <v>67</v>
      </c>
      <c r="AI34">
        <v>25</v>
      </c>
      <c r="AJ34">
        <v>0.54</v>
      </c>
      <c r="AK34">
        <v>0.56999999999999995</v>
      </c>
      <c r="AL34">
        <v>13</v>
      </c>
      <c r="AM34">
        <v>-95</v>
      </c>
      <c r="AN34">
        <v>7.01</v>
      </c>
      <c r="AO34">
        <v>450</v>
      </c>
      <c r="AP34">
        <v>0.2</v>
      </c>
      <c r="AQ34">
        <v>0.01</v>
      </c>
      <c r="AR34">
        <v>11</v>
      </c>
      <c r="AS34">
        <v>12</v>
      </c>
      <c r="AT34">
        <v>610</v>
      </c>
      <c r="AU34" s="32">
        <f t="shared" si="16"/>
        <v>0.23428498271668158</v>
      </c>
      <c r="AV34">
        <v>2</v>
      </c>
      <c r="AW34" s="32">
        <f t="shared" si="5"/>
        <v>7.8141957890167139E-4</v>
      </c>
      <c r="AX34">
        <v>370</v>
      </c>
      <c r="AY34" s="32">
        <f t="shared" si="17"/>
        <v>0.14636903079966093</v>
      </c>
      <c r="AZ34">
        <v>140</v>
      </c>
      <c r="BA34" s="32">
        <f t="shared" si="18"/>
        <v>5.5382876518790619E-2</v>
      </c>
      <c r="BB34">
        <v>80</v>
      </c>
      <c r="BC34" s="32">
        <f t="shared" si="19"/>
        <v>3.1647358010737495E-2</v>
      </c>
      <c r="BD34">
        <v>220</v>
      </c>
      <c r="BF34" s="48">
        <v>1214</v>
      </c>
      <c r="BG34" s="48">
        <f t="shared" si="20"/>
        <v>0.38143543309524419</v>
      </c>
      <c r="BH34">
        <v>2600</v>
      </c>
      <c r="BI34" s="32">
        <f t="shared" si="21"/>
        <v>0.97370679566201146</v>
      </c>
      <c r="BJ34" s="47">
        <v>2700</v>
      </c>
      <c r="BK34" s="27">
        <f t="shared" si="22"/>
        <v>1.0111570570336272</v>
      </c>
      <c r="BL34" s="47">
        <v>120</v>
      </c>
      <c r="BM34" s="27">
        <f t="shared" si="23"/>
        <v>4.4155332150601224E-2</v>
      </c>
      <c r="BN34" s="47">
        <v>77</v>
      </c>
      <c r="BO34" s="27">
        <f t="shared" si="24"/>
        <v>2.8960508397639584E-2</v>
      </c>
      <c r="BP34" s="47">
        <v>27</v>
      </c>
      <c r="BQ34" s="27">
        <f t="shared" si="25"/>
        <v>1.0070990253880399E-2</v>
      </c>
      <c r="BR34" s="47">
        <v>4.9000000000000004</v>
      </c>
      <c r="BS34" s="27">
        <f t="shared" si="26"/>
        <v>1.8145093418616396E-3</v>
      </c>
      <c r="BT34" s="47">
        <v>0.7</v>
      </c>
      <c r="BU34" s="27">
        <f t="shared" si="27"/>
        <v>2.5921562026594844E-4</v>
      </c>
      <c r="BV34" s="47">
        <v>0.06</v>
      </c>
      <c r="BW34" s="27">
        <f t="shared" si="28"/>
        <v>2.1953028430160689E-5</v>
      </c>
      <c r="BX34" s="47">
        <v>0.03</v>
      </c>
      <c r="BY34" s="27">
        <f t="shared" si="29"/>
        <v>1.0976514215080345E-5</v>
      </c>
      <c r="BZ34" s="51">
        <f t="shared" si="30"/>
        <v>2929.69</v>
      </c>
      <c r="CA34" s="51">
        <f t="shared" si="31"/>
        <v>229.69</v>
      </c>
      <c r="CB34" s="27">
        <f t="shared" si="32"/>
        <v>1.0964505423405213</v>
      </c>
      <c r="CC34" s="27">
        <f t="shared" si="33"/>
        <v>8.529348530689404E-2</v>
      </c>
      <c r="CD34">
        <v>4100</v>
      </c>
      <c r="CE34">
        <v>990</v>
      </c>
      <c r="CF34" t="s">
        <v>19</v>
      </c>
      <c r="CG34">
        <v>5100</v>
      </c>
      <c r="CH34" s="32">
        <v>3</v>
      </c>
      <c r="CI34" s="32">
        <f t="shared" si="34"/>
        <v>5.371530886302596E-2</v>
      </c>
      <c r="CJ34" s="32">
        <f t="shared" si="35"/>
        <v>5.371530886302596E-2</v>
      </c>
      <c r="CK34" s="32">
        <v>2.1</v>
      </c>
      <c r="CL34" s="32">
        <f t="shared" si="36"/>
        <v>3.8230475150191151E-2</v>
      </c>
      <c r="CM34" s="32">
        <f t="shared" si="37"/>
        <v>7.6460950300382302E-2</v>
      </c>
      <c r="CN34" s="27">
        <v>46</v>
      </c>
      <c r="CO34" s="27">
        <f t="shared" si="38"/>
        <v>0.47886737455756817</v>
      </c>
      <c r="CP34" s="27">
        <f t="shared" si="39"/>
        <v>3.8309389964605454</v>
      </c>
      <c r="CQ34" s="57">
        <v>32</v>
      </c>
      <c r="CR34" s="57">
        <v>41.025641025641022</v>
      </c>
      <c r="CS34" s="57">
        <v>2.6650010410160316</v>
      </c>
      <c r="CT34" s="57">
        <f t="shared" si="40"/>
        <v>2.6650010410160316</v>
      </c>
      <c r="CU34" s="28">
        <v>1</v>
      </c>
      <c r="CV34" s="28">
        <v>2.1276595744680851</v>
      </c>
      <c r="CW34" s="28">
        <v>8.3281282531750989E-2</v>
      </c>
      <c r="CX34" s="28">
        <f t="shared" si="41"/>
        <v>8.3281282531750989E-2</v>
      </c>
      <c r="CY34" s="32">
        <f t="shared" si="42"/>
        <v>18.6017072662919</v>
      </c>
      <c r="CZ34" s="32">
        <f t="shared" si="43"/>
        <v>18.6017072662919</v>
      </c>
      <c r="DA34" s="32">
        <f t="shared" si="44"/>
        <v>21.6017072662919</v>
      </c>
      <c r="DB34" s="32">
        <f t="shared" si="45"/>
        <v>0.38678079259251386</v>
      </c>
      <c r="DC34" s="32">
        <f t="shared" si="46"/>
        <v>0.38678079259251386</v>
      </c>
      <c r="DD34" s="59">
        <f t="shared" si="47"/>
        <v>0.58130335207162187</v>
      </c>
      <c r="DE34" s="59">
        <f t="shared" si="48"/>
        <v>0.58130335207162187</v>
      </c>
      <c r="DF34" s="59">
        <f t="shared" si="49"/>
        <v>3.5813033520716218</v>
      </c>
      <c r="DG34" s="59">
        <f t="shared" si="50"/>
        <v>6.4123605229572458E-2</v>
      </c>
      <c r="DH34" s="59">
        <f t="shared" si="51"/>
        <v>6.4123605229572458E-2</v>
      </c>
      <c r="DI34" s="32">
        <f t="shared" si="52"/>
        <v>3.8309389964605454</v>
      </c>
      <c r="DJ34" s="32">
        <f t="shared" si="53"/>
        <v>5.6813033520716214</v>
      </c>
      <c r="DK34" s="32">
        <f t="shared" si="54"/>
        <v>0.14058455552995475</v>
      </c>
      <c r="DL34">
        <f t="shared" si="60"/>
        <v>3.1282427839089277</v>
      </c>
      <c r="DM34">
        <f t="shared" si="6"/>
        <v>2.4442140710331867E-2</v>
      </c>
      <c r="DN34">
        <f t="shared" si="7"/>
        <v>0.12364155192238882</v>
      </c>
      <c r="DO34">
        <f t="shared" si="8"/>
        <v>0.8519163073672793</v>
      </c>
      <c r="DP34">
        <f t="shared" si="55"/>
        <v>0.22386583806170574</v>
      </c>
      <c r="DQ34">
        <f t="shared" si="9"/>
        <v>0.34154809399416641</v>
      </c>
      <c r="DR34">
        <f t="shared" si="10"/>
        <v>0.28643765294773388</v>
      </c>
      <c r="DS34">
        <f t="shared" si="11"/>
        <v>0.37201425305809982</v>
      </c>
      <c r="DT34" s="63">
        <f t="shared" si="12"/>
        <v>-1.7731005551516721</v>
      </c>
      <c r="DU34" s="63">
        <f t="shared" si="13"/>
        <v>1.1312763906955499</v>
      </c>
      <c r="DV34" s="63">
        <f t="shared" si="14"/>
        <v>-1.687807069844778</v>
      </c>
      <c r="DW34" s="63">
        <f t="shared" si="56"/>
        <v>1.2165698760024439</v>
      </c>
      <c r="DX34" t="str">
        <f t="shared" si="57"/>
        <v>Sufficient Capacity</v>
      </c>
      <c r="DY34" t="str">
        <f t="shared" si="58"/>
        <v>Insufficient Capacity</v>
      </c>
      <c r="DZ34" t="str">
        <f t="shared" si="59"/>
        <v>Sulfate Dominant electron acceptor</v>
      </c>
      <c r="EA34" t="str">
        <f t="shared" si="15"/>
        <v>Sulfate Dominant electron acceptor</v>
      </c>
      <c r="EB34">
        <v>9.5458910000000008E-3</v>
      </c>
      <c r="EC34">
        <v>1.661437E-3</v>
      </c>
      <c r="ED34" s="66">
        <v>3.9146900000000001E-6</v>
      </c>
      <c r="EE34">
        <v>9.8331770000000007E-4</v>
      </c>
      <c r="EF34">
        <v>6.4239989999999997E-3</v>
      </c>
      <c r="EG34" s="66">
        <v>6.8653579999999996E-6</v>
      </c>
      <c r="EH34">
        <v>5.3154649999999999E-4</v>
      </c>
      <c r="EI34" s="66">
        <v>4.4982489999999998E-5</v>
      </c>
      <c r="EJ34">
        <v>8.2803680000000004E-4</v>
      </c>
      <c r="EK34">
        <v>1.173938E-3</v>
      </c>
      <c r="EL34">
        <v>7.6309369999999997E-4</v>
      </c>
      <c r="EM34">
        <v>5.1155570000000004E-4</v>
      </c>
      <c r="EN34">
        <v>1.6480620000000001E-3</v>
      </c>
      <c r="EO34">
        <v>5.4307759999999998E-4</v>
      </c>
      <c r="EP34">
        <v>2.6995750000000001E-3</v>
      </c>
      <c r="EQ34">
        <v>1.3450650000000001E-3</v>
      </c>
      <c r="ER34">
        <v>5.8925350000000004E-4</v>
      </c>
      <c r="ES34">
        <v>8.2685940000000002E-4</v>
      </c>
      <c r="ET34">
        <v>6.1392729999999998E-3</v>
      </c>
      <c r="EU34">
        <v>2.582535E-3</v>
      </c>
      <c r="EV34">
        <v>8.8294399999999992E-3</v>
      </c>
      <c r="EW34">
        <v>9.5965609999999995E-4</v>
      </c>
      <c r="EX34">
        <v>5.4370260000000002E-3</v>
      </c>
      <c r="EY34">
        <v>7.1060089999999999E-3</v>
      </c>
      <c r="EZ34">
        <v>1.6211159999999999E-3</v>
      </c>
      <c r="FA34">
        <v>1.0104459999999999E-3</v>
      </c>
      <c r="FB34">
        <v>1.084897E-3</v>
      </c>
      <c r="FC34">
        <v>1.884047E-3</v>
      </c>
      <c r="FD34">
        <v>3.6171199999999998E-4</v>
      </c>
      <c r="FE34">
        <v>2.444555E-2</v>
      </c>
      <c r="FF34">
        <v>1.852469E-2</v>
      </c>
      <c r="FG34">
        <v>1.0350109999999999E-2</v>
      </c>
      <c r="FH34">
        <v>9.5851219999999997E-4</v>
      </c>
      <c r="FI34">
        <v>1.6393989999999999E-3</v>
      </c>
      <c r="FJ34">
        <v>1.192933E-2</v>
      </c>
      <c r="FK34">
        <v>0.54053494396733104</v>
      </c>
      <c r="FL34">
        <v>0.33389570089677101</v>
      </c>
      <c r="FM34">
        <v>-0.56529444626083203</v>
      </c>
      <c r="FN34">
        <v>0.58221852704413102</v>
      </c>
      <c r="FO34">
        <v>-0.56790767216876603</v>
      </c>
      <c r="FP34">
        <v>0.62707059353153205</v>
      </c>
      <c r="FQ34">
        <v>0.48982708967631999</v>
      </c>
      <c r="FR34">
        <v>0.51570995415845799</v>
      </c>
      <c r="FS34">
        <v>0.68783646116123898</v>
      </c>
      <c r="FT34">
        <v>-0.21017121094774099</v>
      </c>
      <c r="FU34">
        <v>-0.40753168109391502</v>
      </c>
      <c r="FV34">
        <v>0.242432186465252</v>
      </c>
      <c r="FW34">
        <v>0.107247261759939</v>
      </c>
      <c r="FX34">
        <v>0.39706629185932801</v>
      </c>
      <c r="FY34">
        <v>0.17190467200455301</v>
      </c>
      <c r="FZ34">
        <v>-0.34630053432235203</v>
      </c>
      <c r="GA34">
        <v>-6.99815002998809E-2</v>
      </c>
      <c r="GB34">
        <v>-1.1572849723115999E-3</v>
      </c>
      <c r="GC34">
        <v>0.39803811393916999</v>
      </c>
      <c r="GD34">
        <v>8.8855781712274207E-2</v>
      </c>
      <c r="GE34">
        <v>4.8032857171124398E-2</v>
      </c>
      <c r="GF34">
        <v>0.240953989120685</v>
      </c>
      <c r="GG34">
        <v>6.6110498222247599E-2</v>
      </c>
      <c r="GH34">
        <v>9.3006332499202302E-2</v>
      </c>
      <c r="GI34">
        <v>5.6015146852770297E-3</v>
      </c>
      <c r="GJ34">
        <v>1.26683389437527E-2</v>
      </c>
      <c r="GK34">
        <v>4.6940489172463601E-2</v>
      </c>
      <c r="GL34">
        <v>0.21440095744042401</v>
      </c>
      <c r="GM34">
        <v>0.20479022724691601</v>
      </c>
      <c r="GN34">
        <v>0.189610602607694</v>
      </c>
      <c r="GO34">
        <v>0.13251582483768001</v>
      </c>
      <c r="GP34">
        <v>0.118907619230137</v>
      </c>
      <c r="GT34" s="66"/>
      <c r="GV34" s="66"/>
      <c r="GY34" s="65"/>
      <c r="HK34" s="1"/>
      <c r="HL34" s="1"/>
      <c r="HM34" s="65"/>
      <c r="HN34" s="1"/>
      <c r="HO34" s="65"/>
      <c r="HP34" s="65"/>
      <c r="HQ34" s="65"/>
      <c r="HS34" s="65"/>
      <c r="HV34" s="65"/>
      <c r="HW34" s="65"/>
      <c r="HX34" s="65"/>
      <c r="IZ34" s="66"/>
      <c r="JB34" s="66"/>
      <c r="JD34" s="66"/>
      <c r="JF34" s="66"/>
      <c r="JH34" s="66"/>
      <c r="JJ34" s="66"/>
      <c r="JL34" s="66"/>
      <c r="JN34" s="66"/>
      <c r="JP34" s="66"/>
      <c r="JR34" s="66"/>
    </row>
    <row r="35" spans="1:278" ht="15.75" x14ac:dyDescent="0.25">
      <c r="A35" s="3" t="s">
        <v>88</v>
      </c>
      <c r="B35" s="3" t="s">
        <v>88</v>
      </c>
      <c r="C35" s="2" t="s">
        <v>758</v>
      </c>
      <c r="D35" s="2" t="s">
        <v>477</v>
      </c>
      <c r="E35" s="2" t="s">
        <v>477</v>
      </c>
      <c r="F35" s="2">
        <v>34</v>
      </c>
      <c r="G35" s="2" t="s">
        <v>757</v>
      </c>
      <c r="H35" s="10" t="s">
        <v>656</v>
      </c>
      <c r="I35" s="2">
        <v>150</v>
      </c>
      <c r="J35" s="2">
        <v>100</v>
      </c>
      <c r="K35" s="12">
        <v>6.15</v>
      </c>
      <c r="L35" t="s">
        <v>262</v>
      </c>
      <c r="M35" s="2" t="s">
        <v>1119</v>
      </c>
      <c r="N35" s="2" t="s">
        <v>437</v>
      </c>
      <c r="O35" s="2" t="s">
        <v>694</v>
      </c>
      <c r="P35" s="2" t="s">
        <v>1119</v>
      </c>
      <c r="Q35" s="2" t="s">
        <v>443</v>
      </c>
      <c r="R35" s="2" t="str">
        <f t="shared" si="0"/>
        <v>CW_3_Section_5</v>
      </c>
      <c r="S35" s="2" t="str">
        <f t="shared" si="1"/>
        <v>CW_3_EFF</v>
      </c>
      <c r="T35" s="11" t="s">
        <v>751</v>
      </c>
      <c r="U35" s="1">
        <v>45580</v>
      </c>
      <c r="V35" s="2" t="s">
        <v>752</v>
      </c>
      <c r="W35" s="2" t="s">
        <v>1119</v>
      </c>
      <c r="X35" s="2" t="s">
        <v>750</v>
      </c>
      <c r="Y35" s="2" t="str">
        <f t="shared" si="2"/>
        <v>T1_EFF</v>
      </c>
      <c r="Z35" s="2" t="str">
        <f t="shared" si="3"/>
        <v>T1_CW_3_EFF</v>
      </c>
      <c r="AA35" s="2" t="str">
        <f t="shared" si="4"/>
        <v>T1_EFF</v>
      </c>
      <c r="AB35" s="2">
        <v>64</v>
      </c>
      <c r="AC35" s="2">
        <v>2.105</v>
      </c>
      <c r="AD35" s="2">
        <v>-1.1599999999999999</v>
      </c>
      <c r="AE35" s="2">
        <v>1</v>
      </c>
      <c r="AF35" t="s">
        <v>49</v>
      </c>
      <c r="AG35" t="s">
        <v>1237</v>
      </c>
      <c r="AH35">
        <v>64</v>
      </c>
      <c r="AI35">
        <v>21</v>
      </c>
      <c r="AJ35">
        <v>0.55000000000000004</v>
      </c>
      <c r="AK35">
        <v>0.49</v>
      </c>
      <c r="AL35">
        <v>12.8</v>
      </c>
      <c r="AM35">
        <v>-75</v>
      </c>
      <c r="AN35">
        <v>7.1</v>
      </c>
      <c r="AO35">
        <v>879</v>
      </c>
      <c r="AP35">
        <v>0.2</v>
      </c>
      <c r="AQ35">
        <v>0.01</v>
      </c>
      <c r="AR35">
        <v>10</v>
      </c>
      <c r="AS35">
        <v>10</v>
      </c>
      <c r="AT35">
        <v>600</v>
      </c>
      <c r="AU35" s="32">
        <f t="shared" si="16"/>
        <v>0.23044424529509666</v>
      </c>
      <c r="AV35">
        <v>12</v>
      </c>
      <c r="AW35" s="32">
        <f t="shared" si="5"/>
        <v>4.6885174734100279E-3</v>
      </c>
      <c r="AX35">
        <v>490</v>
      </c>
      <c r="AY35" s="32">
        <f t="shared" si="17"/>
        <v>0.19384006781576718</v>
      </c>
      <c r="AZ35">
        <v>170</v>
      </c>
      <c r="BA35" s="32">
        <f t="shared" si="18"/>
        <v>6.7250635772817174E-2</v>
      </c>
      <c r="BB35">
        <v>97</v>
      </c>
      <c r="BC35" s="32">
        <f t="shared" si="19"/>
        <v>3.8372421588019213E-2</v>
      </c>
      <c r="BD35">
        <v>267</v>
      </c>
      <c r="BF35" s="48">
        <v>1369</v>
      </c>
      <c r="BG35" s="48">
        <f t="shared" si="20"/>
        <v>0.42897283058427388</v>
      </c>
      <c r="BH35">
        <v>2000</v>
      </c>
      <c r="BI35" s="32">
        <f t="shared" si="21"/>
        <v>0.74900522743231646</v>
      </c>
      <c r="BJ35" s="47">
        <v>1200</v>
      </c>
      <c r="BK35" s="27">
        <f t="shared" si="22"/>
        <v>0.44940313645938984</v>
      </c>
      <c r="BL35" s="47">
        <v>63</v>
      </c>
      <c r="BM35" s="27">
        <f t="shared" si="23"/>
        <v>2.3181549379065643E-2</v>
      </c>
      <c r="BN35" s="47">
        <v>52</v>
      </c>
      <c r="BO35" s="27">
        <f t="shared" si="24"/>
        <v>1.9557745930873484E-2</v>
      </c>
      <c r="BP35" s="47">
        <v>2</v>
      </c>
      <c r="BQ35" s="27">
        <f t="shared" si="25"/>
        <v>7.4599927806521475E-4</v>
      </c>
      <c r="BR35" s="47">
        <v>0.4</v>
      </c>
      <c r="BS35" s="27">
        <f t="shared" si="26"/>
        <v>1.4812321158054199E-4</v>
      </c>
      <c r="BT35" s="47">
        <v>0.62</v>
      </c>
      <c r="BU35" s="27">
        <f t="shared" si="27"/>
        <v>2.2959097794984009E-4</v>
      </c>
      <c r="BV35" s="47">
        <v>0.03</v>
      </c>
      <c r="BW35" s="27">
        <f t="shared" si="28"/>
        <v>1.0976514215080345E-5</v>
      </c>
      <c r="BX35" s="47">
        <v>2E-3</v>
      </c>
      <c r="BY35" s="27">
        <f t="shared" si="29"/>
        <v>7.3176761433868969E-7</v>
      </c>
      <c r="BZ35" s="51">
        <f t="shared" si="30"/>
        <v>1318.0519999999999</v>
      </c>
      <c r="CA35" s="51">
        <f t="shared" si="31"/>
        <v>118.05200000000001</v>
      </c>
      <c r="CB35" s="27">
        <f t="shared" si="32"/>
        <v>0.49327785351875397</v>
      </c>
      <c r="CC35" s="27">
        <f t="shared" si="33"/>
        <v>4.3874717059364146E-2</v>
      </c>
      <c r="CD35">
        <v>2800</v>
      </c>
      <c r="CE35">
        <v>710</v>
      </c>
      <c r="CF35" t="s">
        <v>19</v>
      </c>
      <c r="CG35">
        <v>3500</v>
      </c>
      <c r="CH35" s="32">
        <v>3.6</v>
      </c>
      <c r="CI35" s="32">
        <f t="shared" si="34"/>
        <v>6.445837063563116E-2</v>
      </c>
      <c r="CJ35" s="32">
        <f t="shared" si="35"/>
        <v>6.445837063563116E-2</v>
      </c>
      <c r="CK35" s="32">
        <v>2</v>
      </c>
      <c r="CL35" s="32">
        <f t="shared" si="36"/>
        <v>3.6409976333515386E-2</v>
      </c>
      <c r="CM35" s="32">
        <f t="shared" si="37"/>
        <v>7.2819952667030771E-2</v>
      </c>
      <c r="CN35" s="27">
        <v>35</v>
      </c>
      <c r="CO35" s="27">
        <f t="shared" si="38"/>
        <v>0.36435561107641057</v>
      </c>
      <c r="CP35" s="27">
        <f t="shared" si="39"/>
        <v>2.9148448886112845</v>
      </c>
      <c r="CQ35" s="57">
        <v>43</v>
      </c>
      <c r="CR35" s="57">
        <v>55.128205128205131</v>
      </c>
      <c r="CS35" s="57">
        <v>3.5810951488652925</v>
      </c>
      <c r="CT35" s="57">
        <f t="shared" si="40"/>
        <v>3.5810951488652925</v>
      </c>
      <c r="CU35" s="28">
        <v>15</v>
      </c>
      <c r="CV35" s="28">
        <v>30</v>
      </c>
      <c r="CW35" s="28">
        <v>1.2492192379762648</v>
      </c>
      <c r="CX35" s="28">
        <f t="shared" si="41"/>
        <v>1.2492192379762648</v>
      </c>
      <c r="CY35" s="32">
        <f t="shared" si="42"/>
        <v>24.996044139079739</v>
      </c>
      <c r="CZ35" s="32">
        <f t="shared" si="43"/>
        <v>24.996044139079739</v>
      </c>
      <c r="DA35" s="32">
        <f t="shared" si="44"/>
        <v>28.596044139079741</v>
      </c>
      <c r="DB35" s="32">
        <f t="shared" si="45"/>
        <v>0.51201511439713054</v>
      </c>
      <c r="DC35" s="32">
        <f t="shared" si="46"/>
        <v>0.51201511439713054</v>
      </c>
      <c r="DD35" s="59">
        <f t="shared" si="47"/>
        <v>8.7195502810743282</v>
      </c>
      <c r="DE35" s="59">
        <f t="shared" si="48"/>
        <v>8.7195502810743282</v>
      </c>
      <c r="DF35" s="59">
        <f t="shared" si="49"/>
        <v>12.319550281074328</v>
      </c>
      <c r="DG35" s="59">
        <f t="shared" si="50"/>
        <v>0.2205828161338286</v>
      </c>
      <c r="DH35" s="59">
        <f t="shared" si="51"/>
        <v>0.2205828161338286</v>
      </c>
      <c r="DI35" s="32">
        <f t="shared" si="52"/>
        <v>2.9148448886112845</v>
      </c>
      <c r="DJ35" s="32">
        <f t="shared" si="53"/>
        <v>14.319550281074328</v>
      </c>
      <c r="DK35" s="32">
        <f t="shared" si="54"/>
        <v>0.29340276880085936</v>
      </c>
      <c r="DL35">
        <f t="shared" si="60"/>
        <v>4.1659302159294533</v>
      </c>
      <c r="DM35">
        <f t="shared" si="6"/>
        <v>1.7479878176688095E-2</v>
      </c>
      <c r="DN35">
        <f t="shared" si="7"/>
        <v>0.12290535075199184</v>
      </c>
      <c r="DO35">
        <f t="shared" si="8"/>
        <v>0.85961477107132023</v>
      </c>
      <c r="DP35">
        <f t="shared" si="55"/>
        <v>1.5426220067771241</v>
      </c>
      <c r="DQ35">
        <f t="shared" si="9"/>
        <v>4.7205311701190904E-2</v>
      </c>
      <c r="DR35">
        <f t="shared" si="10"/>
        <v>0.14299213622310142</v>
      </c>
      <c r="DS35">
        <f t="shared" si="11"/>
        <v>0.80980255207570773</v>
      </c>
      <c r="DT35" s="63">
        <f t="shared" si="12"/>
        <v>-2.9879521579128632</v>
      </c>
      <c r="DU35" s="63">
        <f t="shared" si="13"/>
        <v>-0.36464394876053374</v>
      </c>
      <c r="DV35" s="63">
        <f t="shared" si="14"/>
        <v>-2.9440774408534987</v>
      </c>
      <c r="DW35" s="63">
        <f t="shared" si="56"/>
        <v>-0.32076923170116967</v>
      </c>
      <c r="DX35" t="str">
        <f t="shared" si="57"/>
        <v>Sufficient Capacity</v>
      </c>
      <c r="DY35" t="str">
        <f t="shared" si="58"/>
        <v>Sufficient Capacity</v>
      </c>
      <c r="DZ35" t="str">
        <f t="shared" si="59"/>
        <v>Sulfate Dominant electron acceptor</v>
      </c>
      <c r="EA35" t="str">
        <f t="shared" si="15"/>
        <v>Sulfate Dominant electron acceptor</v>
      </c>
      <c r="EB35">
        <v>8.887275E-3</v>
      </c>
      <c r="EC35">
        <v>1.537746E-3</v>
      </c>
      <c r="ED35" s="66">
        <v>2.0205569999999999E-7</v>
      </c>
      <c r="EE35">
        <v>9.5954320000000005E-4</v>
      </c>
      <c r="EF35">
        <v>6.458526E-3</v>
      </c>
      <c r="EG35" s="66">
        <v>9.8880879999999999E-6</v>
      </c>
      <c r="EH35">
        <v>5.3448280000000003E-4</v>
      </c>
      <c r="EI35" s="66">
        <v>7.028332E-5</v>
      </c>
      <c r="EJ35">
        <v>7.3903480000000001E-4</v>
      </c>
      <c r="EK35">
        <v>1.047753E-3</v>
      </c>
      <c r="EL35">
        <v>7.0128330000000002E-4</v>
      </c>
      <c r="EM35">
        <v>5.4452709999999998E-4</v>
      </c>
      <c r="EN35">
        <v>1.854339E-3</v>
      </c>
      <c r="EO35">
        <v>7.0520239999999996E-4</v>
      </c>
      <c r="EP35">
        <v>2.788324E-3</v>
      </c>
      <c r="EQ35">
        <v>1.184196E-3</v>
      </c>
      <c r="ER35">
        <v>6.3653389999999998E-4</v>
      </c>
      <c r="ES35">
        <v>8.9487819999999995E-4</v>
      </c>
      <c r="ET35">
        <v>6.7001220000000002E-3</v>
      </c>
      <c r="EU35">
        <v>2.5728000000000001E-3</v>
      </c>
      <c r="EV35">
        <v>8.3578009999999998E-3</v>
      </c>
      <c r="EW35">
        <v>9.3953959999999997E-4</v>
      </c>
      <c r="EX35">
        <v>5.0591569999999999E-3</v>
      </c>
      <c r="EY35">
        <v>6.8658870000000002E-3</v>
      </c>
      <c r="EZ35">
        <v>1.6715370000000001E-3</v>
      </c>
      <c r="FA35">
        <v>1.120895E-3</v>
      </c>
      <c r="FB35">
        <v>1.201389E-3</v>
      </c>
      <c r="FC35">
        <v>1.90138E-3</v>
      </c>
      <c r="FD35">
        <v>4.0805799999999999E-4</v>
      </c>
      <c r="FE35">
        <v>2.6106939999999999E-2</v>
      </c>
      <c r="FF35">
        <v>1.7626760000000002E-2</v>
      </c>
      <c r="FG35">
        <v>1.011345E-2</v>
      </c>
      <c r="FH35">
        <v>9.1189839999999999E-4</v>
      </c>
      <c r="FI35">
        <v>1.638867E-3</v>
      </c>
      <c r="FJ35">
        <v>1.156752E-2</v>
      </c>
      <c r="FK35">
        <v>0.516060019616982</v>
      </c>
      <c r="FL35">
        <v>0.33925599830296599</v>
      </c>
      <c r="FM35">
        <v>-0.20045183234872099</v>
      </c>
      <c r="FN35">
        <v>0.58772739518838901</v>
      </c>
      <c r="FO35">
        <v>-0.121646473288485</v>
      </c>
      <c r="FP35">
        <v>0.51335800619198302</v>
      </c>
      <c r="FQ35">
        <v>0.37611105166525399</v>
      </c>
      <c r="FR35">
        <v>0.43124106803613299</v>
      </c>
      <c r="FS35">
        <v>0.75029769785865896</v>
      </c>
      <c r="FT35">
        <v>-9.2242964761114293E-2</v>
      </c>
      <c r="FU35">
        <v>-0.14629904677004199</v>
      </c>
      <c r="FV35">
        <v>0.27477853173696298</v>
      </c>
      <c r="FW35">
        <v>-2.01310139616604E-2</v>
      </c>
      <c r="FX35">
        <v>0.47424748690170998</v>
      </c>
      <c r="FY35">
        <v>0.250957623154834</v>
      </c>
      <c r="FZ35">
        <v>-0.25888113037594901</v>
      </c>
      <c r="GA35">
        <v>-7.3758174976143606E-2</v>
      </c>
      <c r="GB35">
        <v>-5.60535232000232E-2</v>
      </c>
      <c r="GC35">
        <v>0.37685309086841001</v>
      </c>
      <c r="GD35">
        <v>1.6823430140407301E-2</v>
      </c>
      <c r="GE35">
        <v>1.3657330029301E-2</v>
      </c>
      <c r="GF35">
        <v>0.27158275060172099</v>
      </c>
      <c r="GG35">
        <v>0.169846154013996</v>
      </c>
      <c r="GH35">
        <v>0.19499966829590001</v>
      </c>
      <c r="GI35">
        <v>1.47593302430362E-2</v>
      </c>
      <c r="GJ35">
        <v>0.13322934503386599</v>
      </c>
      <c r="GK35">
        <v>0.112693473272865</v>
      </c>
      <c r="GL35">
        <v>0.16471472241020799</v>
      </c>
      <c r="GM35">
        <v>0.18165930068460001</v>
      </c>
      <c r="GN35">
        <v>0.13975689234154701</v>
      </c>
      <c r="GO35">
        <v>0.132191263008548</v>
      </c>
      <c r="GP35">
        <v>8.8108716415791696E-2</v>
      </c>
      <c r="GT35" s="66"/>
      <c r="GV35" s="66"/>
      <c r="GW35" s="65"/>
      <c r="GX35" s="65"/>
      <c r="HK35" s="1"/>
      <c r="HL35" s="1"/>
      <c r="HM35" s="65"/>
      <c r="HN35" s="1"/>
      <c r="HO35" s="65"/>
      <c r="HP35" s="65"/>
      <c r="HQ35" s="65"/>
      <c r="HT35" s="65"/>
      <c r="HU35" s="65"/>
      <c r="HV35" s="65"/>
      <c r="HW35" s="65"/>
      <c r="HX35" s="65"/>
    </row>
    <row r="36" spans="1:278" ht="15.75" x14ac:dyDescent="0.25">
      <c r="A36" s="3" t="s">
        <v>89</v>
      </c>
      <c r="B36" s="3" t="s">
        <v>89</v>
      </c>
      <c r="C36" s="2" t="s">
        <v>760</v>
      </c>
      <c r="D36" s="2" t="s">
        <v>478</v>
      </c>
      <c r="E36" s="2" t="s">
        <v>478</v>
      </c>
      <c r="F36" s="2">
        <v>35</v>
      </c>
      <c r="G36" s="2" t="s">
        <v>759</v>
      </c>
      <c r="H36" s="10" t="s">
        <v>656</v>
      </c>
      <c r="I36" s="2">
        <v>150</v>
      </c>
      <c r="J36" s="2">
        <v>100</v>
      </c>
      <c r="K36" s="12">
        <v>8.6</v>
      </c>
      <c r="L36" t="s">
        <v>264</v>
      </c>
      <c r="M36" s="2" t="s">
        <v>1120</v>
      </c>
      <c r="N36" s="2" t="s">
        <v>435</v>
      </c>
      <c r="O36" s="2" t="s">
        <v>653</v>
      </c>
      <c r="P36" s="2" t="s">
        <v>1123</v>
      </c>
      <c r="Q36" s="9" t="s">
        <v>654</v>
      </c>
      <c r="R36" s="2" t="str">
        <f t="shared" si="0"/>
        <v>CW_1_Section_1</v>
      </c>
      <c r="S36" s="2" t="str">
        <f t="shared" si="1"/>
        <v>CW_1_MF01</v>
      </c>
      <c r="T36" s="11" t="s">
        <v>751</v>
      </c>
      <c r="U36" s="1">
        <v>45580</v>
      </c>
      <c r="V36" s="2" t="s">
        <v>752</v>
      </c>
      <c r="W36" s="2" t="s">
        <v>655</v>
      </c>
      <c r="X36" s="2" t="s">
        <v>750</v>
      </c>
      <c r="Y36" s="2" t="str">
        <f t="shared" si="2"/>
        <v>T1_MF01</v>
      </c>
      <c r="Z36" s="2" t="str">
        <f t="shared" si="3"/>
        <v>T1_CW_1_MF01</v>
      </c>
      <c r="AA36" s="2" t="str">
        <f t="shared" si="4"/>
        <v>T1_0.15-0.30</v>
      </c>
      <c r="AB36" s="2">
        <v>64</v>
      </c>
      <c r="AC36" s="2">
        <v>2.105</v>
      </c>
      <c r="AD36" s="2">
        <v>-1.1599999999999999</v>
      </c>
      <c r="AE36" s="2">
        <v>1</v>
      </c>
      <c r="AF36" t="s">
        <v>29</v>
      </c>
      <c r="AG36" t="s">
        <v>1237</v>
      </c>
      <c r="AH36">
        <v>65</v>
      </c>
      <c r="AI36">
        <v>26</v>
      </c>
      <c r="AJ36">
        <v>1.4</v>
      </c>
      <c r="AK36">
        <v>4.9000000000000004</v>
      </c>
      <c r="AL36">
        <v>13.2</v>
      </c>
      <c r="AM36">
        <v>-113</v>
      </c>
      <c r="AN36">
        <v>6.88</v>
      </c>
      <c r="AO36">
        <v>797</v>
      </c>
      <c r="AP36">
        <v>0.2</v>
      </c>
      <c r="AQ36">
        <v>0.01</v>
      </c>
      <c r="AR36">
        <v>17</v>
      </c>
      <c r="AS36">
        <v>11</v>
      </c>
      <c r="AT36">
        <v>420</v>
      </c>
      <c r="AU36" s="32">
        <f t="shared" si="16"/>
        <v>0.16131097170656766</v>
      </c>
      <c r="AV36">
        <v>17</v>
      </c>
      <c r="AW36" s="32">
        <f t="shared" si="5"/>
        <v>6.6420664206642069E-3</v>
      </c>
      <c r="AX36">
        <v>150</v>
      </c>
      <c r="AY36" s="32">
        <f t="shared" si="17"/>
        <v>5.9338796270132804E-2</v>
      </c>
      <c r="AZ36">
        <v>110</v>
      </c>
      <c r="BA36" s="32">
        <f t="shared" si="18"/>
        <v>4.3515117264764057E-2</v>
      </c>
      <c r="BB36">
        <v>63</v>
      </c>
      <c r="BC36" s="32">
        <f t="shared" si="19"/>
        <v>2.4922294433455779E-2</v>
      </c>
      <c r="BD36">
        <v>173</v>
      </c>
      <c r="BF36" s="48">
        <v>760</v>
      </c>
      <c r="BG36" s="48">
        <f t="shared" si="20"/>
        <v>0.22729183439736467</v>
      </c>
      <c r="BH36">
        <v>120</v>
      </c>
      <c r="BI36" s="32">
        <f t="shared" si="21"/>
        <v>4.4940313645938985E-2</v>
      </c>
      <c r="BJ36" s="47">
        <v>100</v>
      </c>
      <c r="BK36" s="27">
        <f t="shared" si="22"/>
        <v>3.745026137161582E-2</v>
      </c>
      <c r="BL36" s="47">
        <v>0.01</v>
      </c>
      <c r="BM36" s="27">
        <f t="shared" si="23"/>
        <v>3.6796110125501018E-6</v>
      </c>
      <c r="BN36" s="47">
        <v>0.01</v>
      </c>
      <c r="BO36" s="27">
        <f t="shared" si="24"/>
        <v>3.7611049867064394E-6</v>
      </c>
      <c r="BP36" s="47">
        <v>5.0000000000000001E-3</v>
      </c>
      <c r="BQ36" s="27">
        <f t="shared" si="25"/>
        <v>1.8649981951630372E-6</v>
      </c>
      <c r="BR36" s="47">
        <v>0.04</v>
      </c>
      <c r="BS36" s="27">
        <f t="shared" si="26"/>
        <v>1.4812321158054199E-5</v>
      </c>
      <c r="BT36" s="47">
        <v>1E-3</v>
      </c>
      <c r="BU36" s="27">
        <f t="shared" si="27"/>
        <v>3.7030802895135499E-7</v>
      </c>
      <c r="BV36" s="47">
        <v>1E-3</v>
      </c>
      <c r="BW36" s="27">
        <f t="shared" si="28"/>
        <v>3.6588380716934485E-7</v>
      </c>
      <c r="BX36" s="47">
        <v>2E-3</v>
      </c>
      <c r="BY36" s="27">
        <f t="shared" si="29"/>
        <v>7.3176761433868969E-7</v>
      </c>
      <c r="BZ36" s="51">
        <f t="shared" si="30"/>
        <v>100.06900000000002</v>
      </c>
      <c r="CA36" s="51">
        <f t="shared" si="31"/>
        <v>6.9000000000000006E-2</v>
      </c>
      <c r="CB36" s="27">
        <f t="shared" si="32"/>
        <v>3.7475847366418749E-2</v>
      </c>
      <c r="CC36" s="27">
        <f t="shared" si="33"/>
        <v>2.5585994802933168E-5</v>
      </c>
      <c r="CD36">
        <v>250</v>
      </c>
      <c r="CE36">
        <v>2.5</v>
      </c>
      <c r="CF36" t="s">
        <v>19</v>
      </c>
      <c r="CG36">
        <v>260</v>
      </c>
      <c r="CH36" s="32">
        <v>26</v>
      </c>
      <c r="CI36" s="32">
        <f t="shared" si="34"/>
        <v>0.46553267681289168</v>
      </c>
      <c r="CJ36" s="32">
        <f t="shared" si="35"/>
        <v>0.46553267681289168</v>
      </c>
      <c r="CK36" s="32">
        <v>5.3</v>
      </c>
      <c r="CL36" s="32">
        <f t="shared" si="36"/>
        <v>9.6486437283815757E-2</v>
      </c>
      <c r="CM36" s="32">
        <f t="shared" si="37"/>
        <v>0.19297287456763151</v>
      </c>
      <c r="CN36" s="27">
        <v>0.5</v>
      </c>
      <c r="CO36" s="27">
        <f t="shared" si="38"/>
        <v>5.2050801582344368E-3</v>
      </c>
      <c r="CP36" s="27">
        <f t="shared" si="39"/>
        <v>4.1640641265875494E-2</v>
      </c>
      <c r="CQ36" s="57">
        <v>77.5</v>
      </c>
      <c r="CR36" s="57">
        <v>99.358974358974365</v>
      </c>
      <c r="CS36" s="57">
        <v>6.4542993962107014</v>
      </c>
      <c r="CT36" s="57">
        <f t="shared" si="40"/>
        <v>6.4542993962107014</v>
      </c>
      <c r="CU36" s="28">
        <v>77.5</v>
      </c>
      <c r="CV36" s="28">
        <v>99.358974358974365</v>
      </c>
      <c r="CW36" s="28">
        <v>6.4542993962107014</v>
      </c>
      <c r="CX36" s="28">
        <f t="shared" si="41"/>
        <v>6.4542993962107014</v>
      </c>
      <c r="CY36" s="32">
        <f t="shared" si="42"/>
        <v>45.051009785550697</v>
      </c>
      <c r="CZ36" s="32">
        <f t="shared" si="43"/>
        <v>45.051009785550697</v>
      </c>
      <c r="DA36" s="32">
        <f t="shared" si="44"/>
        <v>71.05100978555069</v>
      </c>
      <c r="DB36" s="32">
        <f t="shared" si="45"/>
        <v>1.2721756452202451</v>
      </c>
      <c r="DC36" s="32">
        <f t="shared" si="46"/>
        <v>1.2721756452202451</v>
      </c>
      <c r="DD36" s="59">
        <f t="shared" si="47"/>
        <v>45.051009785550697</v>
      </c>
      <c r="DE36" s="59">
        <f t="shared" si="48"/>
        <v>45.051009785550697</v>
      </c>
      <c r="DF36" s="59">
        <f t="shared" si="49"/>
        <v>71.05100978555069</v>
      </c>
      <c r="DG36" s="59">
        <f t="shared" si="50"/>
        <v>1.2721756452202451</v>
      </c>
      <c r="DH36" s="59">
        <f t="shared" si="51"/>
        <v>1.2721756452202451</v>
      </c>
      <c r="DI36" s="32">
        <f t="shared" si="52"/>
        <v>4.1640641265875494E-2</v>
      </c>
      <c r="DJ36" s="32">
        <f t="shared" si="53"/>
        <v>76.351009785550687</v>
      </c>
      <c r="DK36" s="32">
        <f t="shared" si="54"/>
        <v>1.4651485197878766</v>
      </c>
      <c r="DL36">
        <f t="shared" si="60"/>
        <v>7.9194479159985782</v>
      </c>
      <c r="DM36">
        <f t="shared" si="6"/>
        <v>2.4366960502107071E-2</v>
      </c>
      <c r="DN36">
        <f t="shared" si="7"/>
        <v>0.16063943581853005</v>
      </c>
      <c r="DO36">
        <f t="shared" si="8"/>
        <v>0.81499360367936291</v>
      </c>
      <c r="DP36">
        <f t="shared" si="55"/>
        <v>7.9194479159985782</v>
      </c>
      <c r="DQ36">
        <f t="shared" si="9"/>
        <v>2.4366960502107071E-2</v>
      </c>
      <c r="DR36">
        <f t="shared" si="10"/>
        <v>0.16063943581853005</v>
      </c>
      <c r="DS36">
        <f t="shared" si="11"/>
        <v>0.81499360367936291</v>
      </c>
      <c r="DT36" s="63">
        <f t="shared" si="12"/>
        <v>-7.6472157679552746</v>
      </c>
      <c r="DU36" s="63">
        <f t="shared" si="13"/>
        <v>-7.6472157679552746</v>
      </c>
      <c r="DV36" s="63">
        <f t="shared" si="14"/>
        <v>-7.6471901819604717</v>
      </c>
      <c r="DW36" s="63">
        <f t="shared" si="56"/>
        <v>-7.6471901819604717</v>
      </c>
      <c r="DX36" t="str">
        <f t="shared" si="57"/>
        <v>Sufficient Capacity</v>
      </c>
      <c r="DY36" t="str">
        <f t="shared" si="58"/>
        <v>Sufficient Capacity</v>
      </c>
      <c r="DZ36" t="str">
        <f t="shared" si="59"/>
        <v>Sulfate Dominant electron acceptor</v>
      </c>
      <c r="EA36" t="str">
        <f t="shared" si="15"/>
        <v>Sulfate Dominant electron acceptor</v>
      </c>
      <c r="EB36">
        <v>9.6179190000000008E-3</v>
      </c>
      <c r="EC36">
        <v>1.372884E-3</v>
      </c>
      <c r="ED36" s="66">
        <v>1.287485E-6</v>
      </c>
      <c r="EE36">
        <v>4.5359699999999997E-4</v>
      </c>
      <c r="EF36">
        <v>3.806621E-3</v>
      </c>
      <c r="EG36" s="66">
        <v>2.1597310000000001E-5</v>
      </c>
      <c r="EH36">
        <v>2.3606810000000001E-4</v>
      </c>
      <c r="EI36">
        <v>1.262538E-4</v>
      </c>
      <c r="EJ36">
        <v>5.109817E-4</v>
      </c>
      <c r="EK36">
        <v>8.1723850000000003E-4</v>
      </c>
      <c r="EL36">
        <v>3.4199589999999998E-4</v>
      </c>
      <c r="EM36">
        <v>2.0303580000000001E-4</v>
      </c>
      <c r="EN36">
        <v>2.165012E-3</v>
      </c>
      <c r="EO36">
        <v>8.7567730000000005E-4</v>
      </c>
      <c r="EP36">
        <v>1.8673069999999999E-3</v>
      </c>
      <c r="EQ36">
        <v>1.3020110000000001E-3</v>
      </c>
      <c r="ER36">
        <v>3.3817830000000001E-4</v>
      </c>
      <c r="ES36">
        <v>6.4087189999999998E-4</v>
      </c>
      <c r="ET36">
        <v>1.5898990000000002E-2</v>
      </c>
      <c r="EU36">
        <v>3.1767420000000002E-3</v>
      </c>
      <c r="EV36">
        <v>9.4331889999999998E-3</v>
      </c>
      <c r="EW36">
        <v>5.7397990000000005E-4</v>
      </c>
      <c r="EX36">
        <v>4.7269929999999996E-3</v>
      </c>
      <c r="EY36">
        <v>6.0629539999999997E-3</v>
      </c>
      <c r="EZ36">
        <v>1.1783399999999999E-3</v>
      </c>
      <c r="FA36">
        <v>8.9790699999999998E-4</v>
      </c>
      <c r="FB36">
        <v>9.4474529999999998E-4</v>
      </c>
      <c r="FC36">
        <v>1.919584E-3</v>
      </c>
      <c r="FD36">
        <v>4.1289529999999998E-4</v>
      </c>
      <c r="FE36">
        <v>2.1045660000000001E-2</v>
      </c>
      <c r="FF36">
        <v>9.4827699999999997E-3</v>
      </c>
      <c r="FG36">
        <v>5.4863200000000003E-3</v>
      </c>
      <c r="FH36">
        <v>5.7567589999999997E-4</v>
      </c>
      <c r="FI36">
        <v>1.45761E-3</v>
      </c>
      <c r="FJ36">
        <v>7.4767719999999996E-3</v>
      </c>
      <c r="FK36">
        <v>-0.233188179631903</v>
      </c>
      <c r="FL36">
        <v>-0.189403201091003</v>
      </c>
      <c r="FM36">
        <v>0.580786137196872</v>
      </c>
      <c r="FN36">
        <v>-0.229451832429417</v>
      </c>
      <c r="FO36">
        <v>0.46411319160780201</v>
      </c>
      <c r="FP36">
        <v>0.144346773118816</v>
      </c>
      <c r="FQ36">
        <v>0.127638875509509</v>
      </c>
      <c r="FR36">
        <v>-0.28687212561768299</v>
      </c>
      <c r="FS36">
        <v>-0.23623769553450599</v>
      </c>
      <c r="FT36">
        <v>6.2654641077687104E-2</v>
      </c>
      <c r="FU36">
        <v>7.0213743494934797E-2</v>
      </c>
      <c r="FV36">
        <v>-0.12616488078379601</v>
      </c>
      <c r="FW36">
        <v>7.4714915027703596E-2</v>
      </c>
      <c r="FX36">
        <v>-0.15821691850429601</v>
      </c>
      <c r="FY36">
        <v>-8.2900403518107305E-2</v>
      </c>
      <c r="FZ36">
        <v>0.60524871963368598</v>
      </c>
      <c r="GA36">
        <v>0.13710316832368</v>
      </c>
      <c r="GB36">
        <v>6.4985338092187206E-2</v>
      </c>
      <c r="GC36">
        <v>-0.115942498891811</v>
      </c>
      <c r="GD36">
        <v>-5.10871675336615E-2</v>
      </c>
      <c r="GE36">
        <v>-0.110710766904553</v>
      </c>
      <c r="GF36">
        <v>-7.8054143464415304E-2</v>
      </c>
      <c r="GG36">
        <v>-5.1970098837136498E-2</v>
      </c>
      <c r="GH36">
        <v>-4.5318630737411603E-2</v>
      </c>
      <c r="GI36">
        <v>2.4287887818242201E-2</v>
      </c>
      <c r="GJ36">
        <v>0.145014073796118</v>
      </c>
      <c r="GK36">
        <v>-0.102813342994411</v>
      </c>
      <c r="GL36">
        <v>-0.45522701177928199</v>
      </c>
      <c r="GM36">
        <v>-0.429949199317745</v>
      </c>
      <c r="GN36">
        <v>-0.32022685929360301</v>
      </c>
      <c r="GO36">
        <v>1.4984221673111101E-2</v>
      </c>
      <c r="GP36">
        <v>-0.34829130632439298</v>
      </c>
      <c r="GR36" s="66"/>
      <c r="GT36" s="66"/>
      <c r="GV36" s="66"/>
      <c r="GW36" s="65"/>
      <c r="GZ36" s="66"/>
      <c r="HK36" s="1"/>
      <c r="HL36" s="1"/>
      <c r="HM36" s="1"/>
      <c r="HN36" s="1"/>
      <c r="HO36" s="65"/>
      <c r="HP36" s="65"/>
      <c r="HQ36" s="65"/>
      <c r="HS36" s="65"/>
      <c r="HT36" s="65"/>
      <c r="HU36" s="65"/>
      <c r="HV36" s="65"/>
      <c r="HW36" s="65"/>
      <c r="HX36" s="65"/>
      <c r="JD36" s="66"/>
      <c r="JF36" s="66"/>
      <c r="JH36" s="66"/>
      <c r="JJ36" s="66"/>
      <c r="JL36" s="66"/>
      <c r="JN36" s="66"/>
    </row>
    <row r="37" spans="1:278" ht="15.75" x14ac:dyDescent="0.25">
      <c r="A37" s="3" t="s">
        <v>90</v>
      </c>
      <c r="B37" s="3" t="s">
        <v>90</v>
      </c>
      <c r="C37" s="2" t="s">
        <v>762</v>
      </c>
      <c r="D37" s="2" t="s">
        <v>479</v>
      </c>
      <c r="E37" s="2" t="s">
        <v>479</v>
      </c>
      <c r="F37" s="2">
        <v>36</v>
      </c>
      <c r="G37" s="2" t="s">
        <v>761</v>
      </c>
      <c r="H37" s="10" t="s">
        <v>656</v>
      </c>
      <c r="I37" s="2">
        <v>150</v>
      </c>
      <c r="J37" s="2">
        <v>100</v>
      </c>
      <c r="K37" s="12">
        <v>3.85</v>
      </c>
      <c r="L37" t="s">
        <v>265</v>
      </c>
      <c r="M37" s="2" t="s">
        <v>1120</v>
      </c>
      <c r="N37" s="2" t="s">
        <v>435</v>
      </c>
      <c r="O37" s="2" t="s">
        <v>653</v>
      </c>
      <c r="P37" s="2" t="s">
        <v>1124</v>
      </c>
      <c r="Q37" s="9" t="s">
        <v>662</v>
      </c>
      <c r="R37" s="2" t="str">
        <f t="shared" si="0"/>
        <v>CW_1_Section_1</v>
      </c>
      <c r="S37" s="2" t="str">
        <f t="shared" si="1"/>
        <v>CW_1_MF02</v>
      </c>
      <c r="T37" s="11" t="s">
        <v>751</v>
      </c>
      <c r="U37" s="1">
        <v>45580</v>
      </c>
      <c r="V37" s="2" t="s">
        <v>752</v>
      </c>
      <c r="W37" s="2" t="s">
        <v>663</v>
      </c>
      <c r="X37" s="2" t="s">
        <v>750</v>
      </c>
      <c r="Y37" s="2" t="str">
        <f t="shared" si="2"/>
        <v>T1_MF02</v>
      </c>
      <c r="Z37" s="2" t="str">
        <f t="shared" si="3"/>
        <v>T1_CW_1_MF02</v>
      </c>
      <c r="AA37" s="2" t="str">
        <f t="shared" si="4"/>
        <v>T1_0.60-0.80</v>
      </c>
      <c r="AB37" s="2">
        <v>64</v>
      </c>
      <c r="AC37" s="2">
        <v>2.105</v>
      </c>
      <c r="AD37" s="2">
        <v>-1.1599999999999999</v>
      </c>
      <c r="AE37" s="2">
        <v>1</v>
      </c>
      <c r="AF37" t="s">
        <v>31</v>
      </c>
      <c r="AG37" t="s">
        <v>1237</v>
      </c>
      <c r="AH37">
        <v>68</v>
      </c>
      <c r="AI37">
        <v>24</v>
      </c>
      <c r="AJ37">
        <v>0.74</v>
      </c>
      <c r="AK37">
        <v>0.46</v>
      </c>
      <c r="AL37">
        <v>13</v>
      </c>
      <c r="AM37">
        <v>-141</v>
      </c>
      <c r="AN37">
        <v>7.11</v>
      </c>
      <c r="AO37">
        <v>1215</v>
      </c>
      <c r="AP37">
        <v>0.2</v>
      </c>
      <c r="AQ37">
        <v>0.01</v>
      </c>
      <c r="AR37">
        <v>12</v>
      </c>
      <c r="AS37">
        <v>13</v>
      </c>
      <c r="AT37">
        <v>590</v>
      </c>
      <c r="AU37" s="32">
        <f t="shared" si="16"/>
        <v>0.22660350787351172</v>
      </c>
      <c r="AV37">
        <v>55</v>
      </c>
      <c r="AW37" s="32">
        <f t="shared" si="5"/>
        <v>2.1489038419795964E-2</v>
      </c>
      <c r="AX37">
        <v>460</v>
      </c>
      <c r="AY37" s="32">
        <f t="shared" si="17"/>
        <v>0.1819723085617406</v>
      </c>
      <c r="AZ37">
        <v>180</v>
      </c>
      <c r="BA37" s="32">
        <f t="shared" si="18"/>
        <v>7.120655552415936E-2</v>
      </c>
      <c r="BB37">
        <v>180</v>
      </c>
      <c r="BC37" s="32">
        <f t="shared" si="19"/>
        <v>7.120655552415936E-2</v>
      </c>
      <c r="BD37">
        <v>360</v>
      </c>
      <c r="BF37" s="48">
        <v>1465</v>
      </c>
      <c r="BG37" s="48">
        <f t="shared" si="20"/>
        <v>0.43006485485504831</v>
      </c>
      <c r="BH37">
        <v>3400</v>
      </c>
      <c r="BI37" s="32">
        <f t="shared" si="21"/>
        <v>1.273308886634938</v>
      </c>
      <c r="BJ37" s="47">
        <v>2700</v>
      </c>
      <c r="BK37" s="27">
        <f t="shared" si="22"/>
        <v>1.0111570570336272</v>
      </c>
      <c r="BL37" s="47">
        <v>85</v>
      </c>
      <c r="BM37" s="27">
        <f t="shared" si="23"/>
        <v>3.1276693606675864E-2</v>
      </c>
      <c r="BN37" s="47">
        <v>82</v>
      </c>
      <c r="BO37" s="27">
        <f t="shared" si="24"/>
        <v>3.08410608909928E-2</v>
      </c>
      <c r="BP37" s="47">
        <v>34</v>
      </c>
      <c r="BQ37" s="27">
        <f t="shared" si="25"/>
        <v>1.2681987727108652E-2</v>
      </c>
      <c r="BR37" s="47">
        <v>18</v>
      </c>
      <c r="BS37" s="27">
        <f t="shared" si="26"/>
        <v>6.66554452112439E-3</v>
      </c>
      <c r="BT37" s="47">
        <v>0.4</v>
      </c>
      <c r="BU37" s="27">
        <f t="shared" si="27"/>
        <v>1.4812321158054199E-4</v>
      </c>
      <c r="BV37" s="47">
        <v>0.88</v>
      </c>
      <c r="BW37" s="27">
        <f t="shared" si="28"/>
        <v>3.219777503090235E-4</v>
      </c>
      <c r="BX37" s="47">
        <v>0.78</v>
      </c>
      <c r="BY37" s="27">
        <f t="shared" si="29"/>
        <v>2.8538936959208902E-4</v>
      </c>
      <c r="BZ37" s="51">
        <f t="shared" si="30"/>
        <v>2921.0600000000004</v>
      </c>
      <c r="CA37" s="51">
        <f t="shared" si="31"/>
        <v>221.06</v>
      </c>
      <c r="CB37" s="27">
        <f t="shared" si="32"/>
        <v>1.0933778341110105</v>
      </c>
      <c r="CC37" s="27">
        <f t="shared" si="33"/>
        <v>8.2220777077383372E-2</v>
      </c>
      <c r="CD37">
        <v>6000</v>
      </c>
      <c r="CE37">
        <v>1800</v>
      </c>
      <c r="CF37">
        <v>45</v>
      </c>
      <c r="CG37">
        <v>7800</v>
      </c>
      <c r="CH37" s="32">
        <v>0.6</v>
      </c>
      <c r="CI37" s="32">
        <f t="shared" si="34"/>
        <v>1.0743061772605192E-2</v>
      </c>
      <c r="CJ37" s="32">
        <f t="shared" si="35"/>
        <v>1.0743061772605192E-2</v>
      </c>
      <c r="CK37" s="32">
        <v>1</v>
      </c>
      <c r="CL37" s="32">
        <f t="shared" si="36"/>
        <v>1.8204988166757693E-2</v>
      </c>
      <c r="CM37" s="32">
        <f t="shared" si="37"/>
        <v>3.6409976333515386E-2</v>
      </c>
      <c r="CN37" s="27">
        <v>66</v>
      </c>
      <c r="CO37" s="27">
        <f t="shared" si="38"/>
        <v>0.68707058088694561</v>
      </c>
      <c r="CP37" s="27">
        <f t="shared" si="39"/>
        <v>5.4965646470955649</v>
      </c>
      <c r="CQ37" s="57">
        <v>12</v>
      </c>
      <c r="CR37" s="57">
        <v>15.384615384615385</v>
      </c>
      <c r="CS37" s="57">
        <v>0.99937539038101186</v>
      </c>
      <c r="CT37" s="57">
        <f t="shared" si="40"/>
        <v>0.99937539038101186</v>
      </c>
      <c r="CU37" s="28">
        <v>12</v>
      </c>
      <c r="CV37" s="28">
        <v>15.384615384615385</v>
      </c>
      <c r="CW37" s="28">
        <v>0.99937539038101186</v>
      </c>
      <c r="CX37" s="28">
        <f t="shared" si="41"/>
        <v>0.99937539038101186</v>
      </c>
      <c r="CY37" s="32">
        <f t="shared" si="42"/>
        <v>6.9756402248594629</v>
      </c>
      <c r="CZ37" s="32">
        <f t="shared" si="43"/>
        <v>6.9756402248594629</v>
      </c>
      <c r="DA37" s="32">
        <f t="shared" si="44"/>
        <v>7.5756402248594625</v>
      </c>
      <c r="DB37" s="32">
        <f t="shared" si="45"/>
        <v>0.13564261817116316</v>
      </c>
      <c r="DC37" s="32">
        <f t="shared" si="46"/>
        <v>0.13564261817116316</v>
      </c>
      <c r="DD37" s="59">
        <f t="shared" si="47"/>
        <v>6.9756402248594629</v>
      </c>
      <c r="DE37" s="59">
        <f t="shared" si="48"/>
        <v>6.9756402248594629</v>
      </c>
      <c r="DF37" s="59">
        <f t="shared" si="49"/>
        <v>7.5756402248594625</v>
      </c>
      <c r="DG37" s="59">
        <f t="shared" si="50"/>
        <v>0.13564261817116316</v>
      </c>
      <c r="DH37" s="59">
        <f t="shared" si="51"/>
        <v>0.13564261817116316</v>
      </c>
      <c r="DI37" s="32">
        <f t="shared" si="52"/>
        <v>5.4965646470955649</v>
      </c>
      <c r="DJ37" s="32">
        <f t="shared" si="53"/>
        <v>8.5756402248594625</v>
      </c>
      <c r="DK37" s="32">
        <f t="shared" si="54"/>
        <v>0.17205259450467855</v>
      </c>
      <c r="DL37">
        <f t="shared" si="60"/>
        <v>1.1714279848856903</v>
      </c>
      <c r="DM37">
        <f t="shared" si="6"/>
        <v>3.1081702676813143E-2</v>
      </c>
      <c r="DN37">
        <f t="shared" si="7"/>
        <v>0.11579253690477556</v>
      </c>
      <c r="DO37">
        <f t="shared" si="8"/>
        <v>0.85312576041841137</v>
      </c>
      <c r="DP37">
        <f t="shared" si="55"/>
        <v>1.1714279848856903</v>
      </c>
      <c r="DQ37">
        <f t="shared" si="9"/>
        <v>3.1081702676813143E-2</v>
      </c>
      <c r="DR37">
        <f t="shared" si="10"/>
        <v>0.11579253690477556</v>
      </c>
      <c r="DS37">
        <f t="shared" si="11"/>
        <v>0.85312576041841137</v>
      </c>
      <c r="DT37" s="63">
        <f t="shared" si="12"/>
        <v>0.53194575660429599</v>
      </c>
      <c r="DU37" s="63">
        <f t="shared" si="13"/>
        <v>0.53194575660429599</v>
      </c>
      <c r="DV37" s="63">
        <f t="shared" si="14"/>
        <v>0.61416653368167928</v>
      </c>
      <c r="DW37" s="63">
        <f t="shared" si="56"/>
        <v>0.61416653368167928</v>
      </c>
      <c r="DX37" t="str">
        <f t="shared" si="57"/>
        <v>Insufficient Capacity</v>
      </c>
      <c r="DY37" t="str">
        <f t="shared" si="58"/>
        <v>Insufficient Capacity</v>
      </c>
      <c r="DZ37" t="str">
        <f t="shared" si="59"/>
        <v>Sulfate Dominant electron acceptor</v>
      </c>
      <c r="EA37" t="str">
        <f t="shared" si="15"/>
        <v>Sulfate Dominant electron acceptor</v>
      </c>
      <c r="EB37">
        <v>8.7974209999999997E-3</v>
      </c>
      <c r="EC37">
        <v>1.475168E-3</v>
      </c>
      <c r="ED37" s="66">
        <v>3.8286820000000002E-7</v>
      </c>
      <c r="EE37">
        <v>1.1507380000000001E-3</v>
      </c>
      <c r="EF37">
        <v>7.0248910000000001E-3</v>
      </c>
      <c r="EG37" s="66">
        <v>1.339583E-5</v>
      </c>
      <c r="EH37">
        <v>5.0378700000000001E-4</v>
      </c>
      <c r="EI37" s="66">
        <v>9.7145910000000002E-5</v>
      </c>
      <c r="EJ37">
        <v>3.3861580000000001E-4</v>
      </c>
      <c r="EK37">
        <v>4.2255979999999998E-4</v>
      </c>
      <c r="EL37">
        <v>6.5878650000000003E-4</v>
      </c>
      <c r="EM37">
        <v>7.8009740000000002E-4</v>
      </c>
      <c r="EN37">
        <v>1.9316540000000001E-3</v>
      </c>
      <c r="EO37">
        <v>7.87307E-4</v>
      </c>
      <c r="EP37">
        <v>3.5330840000000001E-3</v>
      </c>
      <c r="EQ37">
        <v>1.0779990000000001E-3</v>
      </c>
      <c r="ER37">
        <v>5.5293859999999998E-4</v>
      </c>
      <c r="ES37">
        <v>9.1774809999999995E-4</v>
      </c>
      <c r="ET37">
        <v>6.3814299999999996E-3</v>
      </c>
      <c r="EU37">
        <v>2.5822950000000001E-3</v>
      </c>
      <c r="EV37">
        <v>8.9087039999999999E-3</v>
      </c>
      <c r="EW37">
        <v>1.112996E-3</v>
      </c>
      <c r="EX37">
        <v>5.0811160000000001E-3</v>
      </c>
      <c r="EY37">
        <v>6.3262570000000001E-3</v>
      </c>
      <c r="EZ37">
        <v>2.080751E-3</v>
      </c>
      <c r="FA37">
        <v>1.283356E-3</v>
      </c>
      <c r="FB37">
        <v>1.3895579999999999E-3</v>
      </c>
      <c r="FC37">
        <v>2.098787E-3</v>
      </c>
      <c r="FD37">
        <v>4.829573E-4</v>
      </c>
      <c r="FE37">
        <v>2.512356E-2</v>
      </c>
      <c r="FF37">
        <v>1.390623E-2</v>
      </c>
      <c r="FG37">
        <v>8.3680309999999997E-3</v>
      </c>
      <c r="FH37">
        <v>9.0901800000000004E-4</v>
      </c>
      <c r="FI37">
        <v>1.7863919999999999E-3</v>
      </c>
      <c r="FJ37">
        <v>1.023055E-2</v>
      </c>
      <c r="FK37">
        <v>0.69776143639426702</v>
      </c>
      <c r="FL37">
        <v>0.42331457900377401</v>
      </c>
      <c r="FM37">
        <v>0.10316083179527499</v>
      </c>
      <c r="FN37">
        <v>0.52858140454332403</v>
      </c>
      <c r="FO37">
        <v>0.20203309998702401</v>
      </c>
      <c r="FP37">
        <v>-0.26712087297129899</v>
      </c>
      <c r="FQ37">
        <v>-0.53196112317113697</v>
      </c>
      <c r="FR37">
        <v>0.36872863198591199</v>
      </c>
      <c r="FS37">
        <v>1.1097987699752401</v>
      </c>
      <c r="FT37">
        <v>-5.1394632361521503E-2</v>
      </c>
      <c r="FU37">
        <v>-3.6165639279959201E-2</v>
      </c>
      <c r="FV37">
        <v>0.51150897717449895</v>
      </c>
      <c r="FW37">
        <v>-0.11408853242110201</v>
      </c>
      <c r="FX37">
        <v>0.33345677492335701</v>
      </c>
      <c r="FY37">
        <v>0.27619295562067803</v>
      </c>
      <c r="FZ37">
        <v>-0.30761465538973298</v>
      </c>
      <c r="GA37">
        <v>-7.0074436563096795E-2</v>
      </c>
      <c r="GB37">
        <v>7.7798989392388104E-3</v>
      </c>
      <c r="GC37">
        <v>0.54627388020205003</v>
      </c>
      <c r="GD37">
        <v>2.1154484013536898E-2</v>
      </c>
      <c r="GE37">
        <v>-6.8199156916001896E-2</v>
      </c>
      <c r="GF37">
        <v>0.490568074402426</v>
      </c>
      <c r="GG37">
        <v>0.305197202493523</v>
      </c>
      <c r="GH37">
        <v>0.340506991851521</v>
      </c>
      <c r="GI37">
        <v>0.11353895071644</v>
      </c>
      <c r="GJ37">
        <v>0.301748267817738</v>
      </c>
      <c r="GK37">
        <v>7.4298345210243297E-2</v>
      </c>
      <c r="GL37">
        <v>-7.2366538295427496E-2</v>
      </c>
      <c r="GM37">
        <v>-7.7883085226933E-3</v>
      </c>
      <c r="GN37">
        <v>0.13659320794343899</v>
      </c>
      <c r="GO37">
        <v>0.21838405683377601</v>
      </c>
      <c r="GP37">
        <v>-3.4714112404599498E-2</v>
      </c>
      <c r="GY37" s="65"/>
      <c r="HK37" s="1"/>
      <c r="HL37" s="1"/>
      <c r="HM37" s="65"/>
      <c r="HN37" s="1"/>
      <c r="HO37" s="65"/>
      <c r="HS37" s="65"/>
      <c r="HV37" s="65"/>
      <c r="HW37" s="65"/>
      <c r="HX37" s="65"/>
      <c r="JJ37" s="66"/>
      <c r="JL37" s="66"/>
      <c r="JN37" s="66"/>
    </row>
    <row r="38" spans="1:278" ht="15.75" x14ac:dyDescent="0.25">
      <c r="A38" s="3" t="s">
        <v>91</v>
      </c>
      <c r="B38" s="3" t="s">
        <v>91</v>
      </c>
      <c r="C38" s="2" t="s">
        <v>764</v>
      </c>
      <c r="D38" s="2" t="s">
        <v>480</v>
      </c>
      <c r="E38" s="2" t="s">
        <v>480</v>
      </c>
      <c r="F38" s="2">
        <v>37</v>
      </c>
      <c r="G38" s="2" t="s">
        <v>763</v>
      </c>
      <c r="H38" s="10" t="s">
        <v>656</v>
      </c>
      <c r="I38" s="2">
        <v>150</v>
      </c>
      <c r="J38" s="2">
        <v>100</v>
      </c>
      <c r="K38" s="12">
        <v>5.6</v>
      </c>
      <c r="L38" t="s">
        <v>268</v>
      </c>
      <c r="M38" s="2" t="s">
        <v>1120</v>
      </c>
      <c r="N38" s="2" t="s">
        <v>435</v>
      </c>
      <c r="O38" s="2" t="s">
        <v>666</v>
      </c>
      <c r="P38" s="2" t="s">
        <v>1131</v>
      </c>
      <c r="Q38" s="9" t="s">
        <v>667</v>
      </c>
      <c r="R38" s="2" t="str">
        <f t="shared" si="0"/>
        <v>CW_1_Section_2</v>
      </c>
      <c r="S38" s="2" t="str">
        <f t="shared" si="1"/>
        <v>CW_1_MF05</v>
      </c>
      <c r="T38" s="11" t="s">
        <v>751</v>
      </c>
      <c r="U38" s="1">
        <v>45580</v>
      </c>
      <c r="V38" s="2" t="s">
        <v>752</v>
      </c>
      <c r="W38" s="2" t="s">
        <v>655</v>
      </c>
      <c r="X38" s="2" t="s">
        <v>750</v>
      </c>
      <c r="Y38" s="2" t="str">
        <f t="shared" si="2"/>
        <v>T1_MF05</v>
      </c>
      <c r="Z38" s="2" t="str">
        <f t="shared" si="3"/>
        <v>T1_CW_1_MF05</v>
      </c>
      <c r="AA38" s="2" t="str">
        <f t="shared" si="4"/>
        <v>T1_0.15-0.30</v>
      </c>
      <c r="AB38" s="2">
        <v>64</v>
      </c>
      <c r="AC38" s="2">
        <v>2.105</v>
      </c>
      <c r="AD38" s="2">
        <v>-1.1599999999999999</v>
      </c>
      <c r="AE38" s="2">
        <v>1</v>
      </c>
      <c r="AF38" t="s">
        <v>33</v>
      </c>
      <c r="AG38" t="s">
        <v>1237</v>
      </c>
      <c r="AH38">
        <v>68</v>
      </c>
      <c r="AI38">
        <v>25</v>
      </c>
      <c r="AJ38">
        <v>1.2</v>
      </c>
      <c r="AK38">
        <v>3.5</v>
      </c>
      <c r="AL38">
        <v>12.8</v>
      </c>
      <c r="AM38">
        <v>-142</v>
      </c>
      <c r="AN38">
        <v>6.82</v>
      </c>
      <c r="AO38">
        <v>1462</v>
      </c>
      <c r="AP38">
        <v>0.2</v>
      </c>
      <c r="AQ38">
        <v>0.01</v>
      </c>
      <c r="AR38">
        <v>39</v>
      </c>
      <c r="AS38">
        <v>17</v>
      </c>
      <c r="AT38">
        <v>720</v>
      </c>
      <c r="AU38" s="32">
        <f t="shared" si="16"/>
        <v>0.27653309435411599</v>
      </c>
      <c r="AV38">
        <v>26</v>
      </c>
      <c r="AW38" s="32">
        <f t="shared" si="5"/>
        <v>1.0158454525721729E-2</v>
      </c>
      <c r="AX38">
        <v>340</v>
      </c>
      <c r="AY38" s="32">
        <f t="shared" si="17"/>
        <v>0.13450127154563435</v>
      </c>
      <c r="AZ38">
        <v>210</v>
      </c>
      <c r="BA38" s="32">
        <f t="shared" si="18"/>
        <v>8.3074314778185929E-2</v>
      </c>
      <c r="BB38">
        <v>170</v>
      </c>
      <c r="BC38" s="32">
        <f t="shared" si="19"/>
        <v>6.7250635772817174E-2</v>
      </c>
      <c r="BD38">
        <v>380</v>
      </c>
      <c r="BF38" s="48">
        <v>1466</v>
      </c>
      <c r="BG38" s="48">
        <f t="shared" si="20"/>
        <v>0.42119282042547207</v>
      </c>
      <c r="BH38">
        <v>210</v>
      </c>
      <c r="BI38" s="32">
        <f t="shared" si="21"/>
        <v>7.8645548880393226E-2</v>
      </c>
      <c r="BJ38" s="47">
        <v>190</v>
      </c>
      <c r="BK38" s="27">
        <f t="shared" si="22"/>
        <v>7.1155496606070068E-2</v>
      </c>
      <c r="BL38" s="47">
        <v>0.01</v>
      </c>
      <c r="BM38" s="27">
        <f t="shared" si="23"/>
        <v>3.6796110125501018E-6</v>
      </c>
      <c r="BN38" s="47">
        <v>0.01</v>
      </c>
      <c r="BO38" s="27">
        <f t="shared" si="24"/>
        <v>3.7611049867064394E-6</v>
      </c>
      <c r="BP38" s="47">
        <v>0.05</v>
      </c>
      <c r="BQ38" s="27">
        <f t="shared" si="25"/>
        <v>1.864998195163037E-5</v>
      </c>
      <c r="BR38" s="47">
        <v>0.05</v>
      </c>
      <c r="BS38" s="27">
        <f t="shared" si="26"/>
        <v>1.8515401447567749E-5</v>
      </c>
      <c r="BT38" s="47">
        <v>1E-3</v>
      </c>
      <c r="BU38" s="27">
        <f t="shared" si="27"/>
        <v>3.7030802895135499E-7</v>
      </c>
      <c r="BV38" s="47">
        <v>1E-3</v>
      </c>
      <c r="BW38" s="27">
        <f t="shared" si="28"/>
        <v>3.6588380716934485E-7</v>
      </c>
      <c r="BX38" s="47">
        <v>2E-3</v>
      </c>
      <c r="BY38" s="27">
        <f t="shared" si="29"/>
        <v>7.3176761433868969E-7</v>
      </c>
      <c r="BZ38" s="51">
        <f t="shared" si="30"/>
        <v>190.12400000000002</v>
      </c>
      <c r="CA38" s="51">
        <f t="shared" si="31"/>
        <v>0.12400000000000001</v>
      </c>
      <c r="CB38" s="27">
        <f t="shared" si="32"/>
        <v>7.1201570664918973E-2</v>
      </c>
      <c r="CC38" s="27">
        <f t="shared" si="33"/>
        <v>4.607405884891405E-5</v>
      </c>
      <c r="CD38">
        <v>360</v>
      </c>
      <c r="CE38">
        <v>2.5</v>
      </c>
      <c r="CF38" t="s">
        <v>19</v>
      </c>
      <c r="CG38">
        <v>370</v>
      </c>
      <c r="CH38" s="32">
        <v>24</v>
      </c>
      <c r="CI38" s="32">
        <f t="shared" si="34"/>
        <v>0.42972247090420768</v>
      </c>
      <c r="CJ38" s="32">
        <f t="shared" si="35"/>
        <v>0.42972247090420768</v>
      </c>
      <c r="CK38" s="32">
        <v>5</v>
      </c>
      <c r="CL38" s="32">
        <f t="shared" si="36"/>
        <v>9.1024940833788454E-2</v>
      </c>
      <c r="CM38" s="32">
        <f t="shared" si="37"/>
        <v>0.18204988166757691</v>
      </c>
      <c r="CN38" s="27">
        <v>0.5</v>
      </c>
      <c r="CO38" s="27">
        <f t="shared" si="38"/>
        <v>5.2050801582344368E-3</v>
      </c>
      <c r="CP38" s="27">
        <f t="shared" si="39"/>
        <v>4.1640641265875494E-2</v>
      </c>
      <c r="CQ38" s="57">
        <v>77.5</v>
      </c>
      <c r="CR38" s="57">
        <v>99.358974358974365</v>
      </c>
      <c r="CS38" s="57">
        <v>6.4542993962107014</v>
      </c>
      <c r="CT38" s="57">
        <f t="shared" si="40"/>
        <v>6.4542993962107014</v>
      </c>
      <c r="CU38" s="28">
        <v>0</v>
      </c>
      <c r="CV38" s="28">
        <v>0</v>
      </c>
      <c r="CW38" s="28">
        <v>0</v>
      </c>
      <c r="CX38" s="28">
        <f t="shared" si="41"/>
        <v>0</v>
      </c>
      <c r="CY38" s="32">
        <f t="shared" si="42"/>
        <v>45.051009785550697</v>
      </c>
      <c r="CZ38" s="32">
        <f t="shared" si="43"/>
        <v>45.051009785550697</v>
      </c>
      <c r="DA38" s="32">
        <f t="shared" si="44"/>
        <v>69.05100978555069</v>
      </c>
      <c r="DB38" s="32">
        <f t="shared" si="45"/>
        <v>1.2363654393115611</v>
      </c>
      <c r="DC38" s="32">
        <f t="shared" si="46"/>
        <v>1.2363654393115611</v>
      </c>
      <c r="DD38" s="59">
        <f t="shared" si="47"/>
        <v>0</v>
      </c>
      <c r="DE38" s="59">
        <f t="shared" si="48"/>
        <v>0</v>
      </c>
      <c r="DF38" s="59">
        <f t="shared" si="49"/>
        <v>24</v>
      </c>
      <c r="DG38" s="59">
        <f t="shared" si="50"/>
        <v>0.42972247090420768</v>
      </c>
      <c r="DH38" s="59">
        <f t="shared" si="51"/>
        <v>0.42972247090420768</v>
      </c>
      <c r="DI38" s="32">
        <f t="shared" si="52"/>
        <v>4.1640641265875494E-2</v>
      </c>
      <c r="DJ38" s="32">
        <f t="shared" si="53"/>
        <v>29</v>
      </c>
      <c r="DK38" s="32">
        <f t="shared" si="54"/>
        <v>0.61177235257178464</v>
      </c>
      <c r="DL38">
        <f t="shared" si="60"/>
        <v>7.8727147171898393</v>
      </c>
      <c r="DM38">
        <f t="shared" si="6"/>
        <v>2.3124155797246963E-2</v>
      </c>
      <c r="DN38">
        <f t="shared" si="7"/>
        <v>0.15704435937606043</v>
      </c>
      <c r="DO38">
        <f t="shared" si="8"/>
        <v>0.81983148482669266</v>
      </c>
      <c r="DP38">
        <f t="shared" si="55"/>
        <v>0.61177235257178464</v>
      </c>
      <c r="DQ38">
        <f t="shared" si="9"/>
        <v>0.29757781779819054</v>
      </c>
      <c r="DR38">
        <f t="shared" si="10"/>
        <v>0.70242218220180941</v>
      </c>
      <c r="DS38">
        <f t="shared" si="11"/>
        <v>0</v>
      </c>
      <c r="DT38" s="63">
        <f t="shared" si="12"/>
        <v>-7.3728763478839738</v>
      </c>
      <c r="DU38" s="63">
        <f t="shared" si="13"/>
        <v>-0.11193398326591936</v>
      </c>
      <c r="DV38" s="63">
        <f t="shared" si="14"/>
        <v>-7.3728302738251248</v>
      </c>
      <c r="DW38" s="63">
        <f t="shared" si="56"/>
        <v>-0.11188790920707042</v>
      </c>
      <c r="DX38" t="str">
        <f t="shared" si="57"/>
        <v>Sufficient Capacity</v>
      </c>
      <c r="DY38" t="str">
        <f t="shared" si="58"/>
        <v>Sufficient Capacity</v>
      </c>
      <c r="DZ38" t="str">
        <f t="shared" si="59"/>
        <v>Sulfate Dominant electron acceptor</v>
      </c>
      <c r="EA38" t="str">
        <f t="shared" si="15"/>
        <v>Manganese Dominant electron acceptor</v>
      </c>
      <c r="EB38">
        <v>9.9867440000000005E-3</v>
      </c>
      <c r="EC38">
        <v>1.6112380000000001E-3</v>
      </c>
      <c r="ED38" s="66">
        <v>5.4092279999999997E-6</v>
      </c>
      <c r="EE38">
        <v>5.050807E-4</v>
      </c>
      <c r="EF38">
        <v>3.5734249999999999E-3</v>
      </c>
      <c r="EG38" s="66">
        <v>1.5526509999999998E-5</v>
      </c>
      <c r="EH38">
        <v>2.6868809999999998E-4</v>
      </c>
      <c r="EI38">
        <v>1.0581699999999999E-4</v>
      </c>
      <c r="EJ38">
        <v>5.3033919999999997E-4</v>
      </c>
      <c r="EK38">
        <v>7.9364119999999995E-4</v>
      </c>
      <c r="EL38">
        <v>4.0390709999999999E-4</v>
      </c>
      <c r="EM38">
        <v>1.7840830000000001E-4</v>
      </c>
      <c r="EN38">
        <v>2.1425400000000001E-3</v>
      </c>
      <c r="EO38">
        <v>8.9750759999999996E-4</v>
      </c>
      <c r="EP38">
        <v>1.670604E-3</v>
      </c>
      <c r="EQ38">
        <v>1.3464950000000001E-3</v>
      </c>
      <c r="ER38">
        <v>3.1578390000000002E-4</v>
      </c>
      <c r="ES38">
        <v>5.788786E-4</v>
      </c>
      <c r="ET38">
        <v>1.285729E-2</v>
      </c>
      <c r="EU38">
        <v>3.1500830000000001E-3</v>
      </c>
      <c r="EV38">
        <v>9.294587E-3</v>
      </c>
      <c r="EW38">
        <v>5.2945179999999996E-4</v>
      </c>
      <c r="EX38">
        <v>5.0276770000000004E-3</v>
      </c>
      <c r="EY38">
        <v>6.3114440000000003E-3</v>
      </c>
      <c r="EZ38">
        <v>1.045966E-3</v>
      </c>
      <c r="FA38">
        <v>9.6645520000000003E-4</v>
      </c>
      <c r="FB38">
        <v>9.8692680000000001E-4</v>
      </c>
      <c r="FC38">
        <v>1.8654019999999999E-3</v>
      </c>
      <c r="FD38">
        <v>3.1042169999999998E-4</v>
      </c>
      <c r="FE38">
        <v>2.2139949999999999E-2</v>
      </c>
      <c r="FF38">
        <v>1.3722939999999999E-2</v>
      </c>
      <c r="FG38">
        <v>7.5637179999999997E-3</v>
      </c>
      <c r="FH38">
        <v>7.6098690000000004E-4</v>
      </c>
      <c r="FI38">
        <v>1.4176740000000001E-3</v>
      </c>
      <c r="FJ38">
        <v>1.0213450000000001E-2</v>
      </c>
      <c r="FK38">
        <v>-0.12567909977837899</v>
      </c>
      <c r="FL38">
        <v>-0.25262060045083801</v>
      </c>
      <c r="FM38">
        <v>0.25076625286889498</v>
      </c>
      <c r="FN38">
        <v>-0.10002092782036</v>
      </c>
      <c r="FO38">
        <v>0.28753021194116402</v>
      </c>
      <c r="FP38">
        <v>0.18152979752296</v>
      </c>
      <c r="FQ38">
        <v>9.8339371531408495E-2</v>
      </c>
      <c r="FR38">
        <v>-0.12048597328090201</v>
      </c>
      <c r="FS38">
        <v>-0.36554526998009101</v>
      </c>
      <c r="FT38">
        <v>5.2220778007237498E-2</v>
      </c>
      <c r="FU38">
        <v>9.4837687715342497E-2</v>
      </c>
      <c r="FV38">
        <v>-0.237476929061639</v>
      </c>
      <c r="FW38">
        <v>0.108309842668072</v>
      </c>
      <c r="FX38">
        <v>-0.22673207080520899</v>
      </c>
      <c r="FY38">
        <v>-0.184637212732779</v>
      </c>
      <c r="FZ38">
        <v>0.39290410009159699</v>
      </c>
      <c r="GA38">
        <v>0.12867582671810199</v>
      </c>
      <c r="GB38">
        <v>5.01833102771823E-2</v>
      </c>
      <c r="GC38">
        <v>-0.19669474555150401</v>
      </c>
      <c r="GD38">
        <v>1.05816099209335E-2</v>
      </c>
      <c r="GE38">
        <v>-7.0543413483518294E-2</v>
      </c>
      <c r="GF38">
        <v>-0.19721995150314001</v>
      </c>
      <c r="GG38">
        <v>2.1598346452726999E-2</v>
      </c>
      <c r="GH38">
        <v>-1.6381255441126901E-3</v>
      </c>
      <c r="GI38">
        <v>-4.3440286130111997E-3</v>
      </c>
      <c r="GJ38">
        <v>-0.14024828047040899</v>
      </c>
      <c r="GK38">
        <v>-5.2124037171659601E-2</v>
      </c>
      <c r="GL38">
        <v>-8.5634594402538497E-2</v>
      </c>
      <c r="GM38">
        <v>-0.108844052187532</v>
      </c>
      <c r="GN38">
        <v>-4.1155544496514401E-2</v>
      </c>
      <c r="GO38">
        <v>-1.27963860104723E-2</v>
      </c>
      <c r="GP38">
        <v>-3.6386975248253101E-2</v>
      </c>
      <c r="GR38" s="66"/>
      <c r="GT38" s="66"/>
      <c r="GV38" s="66"/>
      <c r="GW38" s="65"/>
      <c r="GZ38" s="66"/>
      <c r="HK38" s="1"/>
      <c r="HL38" s="1"/>
      <c r="HM38" s="1"/>
      <c r="HN38" s="1"/>
      <c r="HO38" s="65"/>
      <c r="HP38" s="65"/>
      <c r="HQ38" s="65"/>
      <c r="HV38" s="65"/>
      <c r="HW38" s="65"/>
      <c r="HX38" s="65"/>
      <c r="IZ38" s="66"/>
      <c r="JB38" s="66"/>
      <c r="JD38" s="66"/>
      <c r="JF38" s="66"/>
      <c r="JH38" s="66"/>
      <c r="JJ38" s="66"/>
      <c r="JL38" s="66"/>
      <c r="JN38" s="66"/>
      <c r="JP38" s="66"/>
      <c r="JR38" s="66"/>
    </row>
    <row r="39" spans="1:278" ht="15.75" x14ac:dyDescent="0.25">
      <c r="A39" s="3" t="s">
        <v>92</v>
      </c>
      <c r="B39" s="3" t="s">
        <v>92</v>
      </c>
      <c r="C39" s="2" t="s">
        <v>766</v>
      </c>
      <c r="D39" s="2" t="s">
        <v>481</v>
      </c>
      <c r="E39" s="2" t="s">
        <v>481</v>
      </c>
      <c r="F39" s="2">
        <v>38</v>
      </c>
      <c r="G39" s="2" t="s">
        <v>765</v>
      </c>
      <c r="H39" s="10" t="s">
        <v>656</v>
      </c>
      <c r="I39" s="2">
        <v>150</v>
      </c>
      <c r="J39" s="2">
        <v>100</v>
      </c>
      <c r="K39" s="12">
        <v>5.0999999999999996</v>
      </c>
      <c r="L39" t="s">
        <v>266</v>
      </c>
      <c r="M39" s="2" t="s">
        <v>1120</v>
      </c>
      <c r="N39" s="2" t="s">
        <v>435</v>
      </c>
      <c r="O39" s="2" t="s">
        <v>666</v>
      </c>
      <c r="P39" s="2" t="s">
        <v>1132</v>
      </c>
      <c r="Q39" s="9" t="s">
        <v>670</v>
      </c>
      <c r="R39" s="2" t="str">
        <f t="shared" si="0"/>
        <v>CW_1_Section_2</v>
      </c>
      <c r="S39" s="2" t="str">
        <f t="shared" si="1"/>
        <v>CW_1_MF06</v>
      </c>
      <c r="T39" s="11" t="s">
        <v>751</v>
      </c>
      <c r="U39" s="1">
        <v>45580</v>
      </c>
      <c r="V39" s="2" t="s">
        <v>752</v>
      </c>
      <c r="W39" s="2" t="s">
        <v>663</v>
      </c>
      <c r="X39" s="2" t="s">
        <v>750</v>
      </c>
      <c r="Y39" s="2" t="str">
        <f t="shared" si="2"/>
        <v>T1_MF06</v>
      </c>
      <c r="Z39" s="2" t="str">
        <f t="shared" si="3"/>
        <v>T1_CW_1_MF06</v>
      </c>
      <c r="AA39" s="2" t="str">
        <f t="shared" si="4"/>
        <v>T1_0.60-0.80</v>
      </c>
      <c r="AB39" s="2">
        <v>64</v>
      </c>
      <c r="AC39" s="2">
        <v>2.105</v>
      </c>
      <c r="AD39" s="2">
        <v>-1.1599999999999999</v>
      </c>
      <c r="AE39" s="2">
        <v>1</v>
      </c>
      <c r="AF39" t="s">
        <v>25</v>
      </c>
      <c r="AG39" t="s">
        <v>1237</v>
      </c>
      <c r="AH39">
        <v>68</v>
      </c>
      <c r="AI39">
        <v>24</v>
      </c>
      <c r="AJ39">
        <v>0.92</v>
      </c>
      <c r="AK39">
        <v>0.33</v>
      </c>
      <c r="AL39">
        <v>12.8</v>
      </c>
      <c r="AM39">
        <v>-154</v>
      </c>
      <c r="AN39">
        <v>7.08</v>
      </c>
      <c r="AO39">
        <v>1922</v>
      </c>
      <c r="AP39">
        <v>0.2</v>
      </c>
      <c r="AQ39">
        <v>0.01</v>
      </c>
      <c r="AR39">
        <v>12</v>
      </c>
      <c r="AS39">
        <v>12</v>
      </c>
      <c r="AT39">
        <v>590</v>
      </c>
      <c r="AU39" s="32">
        <f t="shared" si="16"/>
        <v>0.22660350787351172</v>
      </c>
      <c r="AV39">
        <v>14</v>
      </c>
      <c r="AW39" s="32">
        <f t="shared" si="5"/>
        <v>5.4699370523116995E-3</v>
      </c>
      <c r="AX39">
        <v>400</v>
      </c>
      <c r="AY39" s="32">
        <f t="shared" si="17"/>
        <v>0.15823679005368749</v>
      </c>
      <c r="AZ39">
        <v>120</v>
      </c>
      <c r="BA39" s="32">
        <f t="shared" si="18"/>
        <v>4.7471037016106249E-2</v>
      </c>
      <c r="BB39">
        <v>99</v>
      </c>
      <c r="BC39" s="32">
        <f t="shared" si="19"/>
        <v>3.9163605538287648E-2</v>
      </c>
      <c r="BD39">
        <v>219</v>
      </c>
      <c r="BF39" s="48">
        <v>1223</v>
      </c>
      <c r="BG39" s="48">
        <f t="shared" si="20"/>
        <v>0.39031023497951089</v>
      </c>
      <c r="BH39">
        <v>2600</v>
      </c>
      <c r="BI39" s="32">
        <f t="shared" si="21"/>
        <v>0.97370679566201146</v>
      </c>
      <c r="BJ39" s="47">
        <v>3000</v>
      </c>
      <c r="BK39" s="27">
        <f t="shared" si="22"/>
        <v>1.1235078411484747</v>
      </c>
      <c r="BL39" s="47">
        <v>120</v>
      </c>
      <c r="BM39" s="27">
        <f t="shared" si="23"/>
        <v>4.4155332150601224E-2</v>
      </c>
      <c r="BN39" s="47">
        <v>95</v>
      </c>
      <c r="BO39" s="27">
        <f t="shared" si="24"/>
        <v>3.5730497373711173E-2</v>
      </c>
      <c r="BP39" s="47">
        <v>29</v>
      </c>
      <c r="BQ39" s="27">
        <f t="shared" si="25"/>
        <v>1.0816989531945613E-2</v>
      </c>
      <c r="BR39" s="47">
        <v>0.4</v>
      </c>
      <c r="BS39" s="27">
        <f t="shared" si="26"/>
        <v>1.4812321158054199E-4</v>
      </c>
      <c r="BT39" s="47">
        <v>0.57999999999999996</v>
      </c>
      <c r="BU39" s="27">
        <f t="shared" si="27"/>
        <v>2.1477865679178588E-4</v>
      </c>
      <c r="BV39" s="47">
        <v>0.03</v>
      </c>
      <c r="BW39" s="27">
        <f t="shared" si="28"/>
        <v>1.0976514215080345E-5</v>
      </c>
      <c r="BX39" s="47">
        <v>2E-3</v>
      </c>
      <c r="BY39" s="27">
        <f t="shared" si="29"/>
        <v>7.3176761433868969E-7</v>
      </c>
      <c r="BZ39" s="51">
        <f t="shared" si="30"/>
        <v>3245.0120000000002</v>
      </c>
      <c r="CA39" s="51">
        <f t="shared" si="31"/>
        <v>245.01200000000003</v>
      </c>
      <c r="CB39" s="27">
        <f t="shared" si="32"/>
        <v>1.2145852703549345</v>
      </c>
      <c r="CC39" s="27">
        <f t="shared" si="33"/>
        <v>9.1077429206459753E-2</v>
      </c>
      <c r="CD39">
        <v>4700</v>
      </c>
      <c r="CE39">
        <v>1200</v>
      </c>
      <c r="CF39">
        <v>45</v>
      </c>
      <c r="CG39">
        <v>6000</v>
      </c>
      <c r="CH39" s="32">
        <v>3</v>
      </c>
      <c r="CI39" s="32">
        <f t="shared" si="34"/>
        <v>5.371530886302596E-2</v>
      </c>
      <c r="CJ39" s="32">
        <f t="shared" si="35"/>
        <v>5.371530886302596E-2</v>
      </c>
      <c r="CK39" s="32">
        <v>1.7</v>
      </c>
      <c r="CL39" s="32">
        <f t="shared" si="36"/>
        <v>3.0948479883488075E-2</v>
      </c>
      <c r="CM39" s="32">
        <f t="shared" si="37"/>
        <v>6.1896959766976151E-2</v>
      </c>
      <c r="CN39" s="27">
        <v>43</v>
      </c>
      <c r="CO39" s="27">
        <f t="shared" si="38"/>
        <v>0.44763689360816156</v>
      </c>
      <c r="CP39" s="27">
        <f t="shared" si="39"/>
        <v>3.5810951488652925</v>
      </c>
      <c r="CQ39" s="57">
        <v>35</v>
      </c>
      <c r="CR39" s="57">
        <v>44.871794871794876</v>
      </c>
      <c r="CS39" s="57">
        <v>2.9148448886112845</v>
      </c>
      <c r="CT39" s="57">
        <f t="shared" si="40"/>
        <v>2.9148448886112845</v>
      </c>
      <c r="CU39" s="28">
        <v>23</v>
      </c>
      <c r="CV39" s="28">
        <v>34.848484848484851</v>
      </c>
      <c r="CW39" s="28">
        <v>1.9154694982302727</v>
      </c>
      <c r="CX39" s="28">
        <f t="shared" si="41"/>
        <v>1.9154694982302727</v>
      </c>
      <c r="CY39" s="32">
        <f t="shared" si="42"/>
        <v>20.345617322506765</v>
      </c>
      <c r="CZ39" s="32">
        <f t="shared" si="43"/>
        <v>20.345617322506765</v>
      </c>
      <c r="DA39" s="32">
        <f t="shared" si="44"/>
        <v>23.345617322506765</v>
      </c>
      <c r="DB39" s="32">
        <f t="shared" si="45"/>
        <v>0.41800568169215335</v>
      </c>
      <c r="DC39" s="32">
        <f t="shared" si="46"/>
        <v>0.41800568169215335</v>
      </c>
      <c r="DD39" s="59">
        <f t="shared" si="47"/>
        <v>13.369977097647302</v>
      </c>
      <c r="DE39" s="59">
        <f t="shared" si="48"/>
        <v>13.369977097647302</v>
      </c>
      <c r="DF39" s="59">
        <f t="shared" si="49"/>
        <v>16.3699770976473</v>
      </c>
      <c r="DG39" s="59">
        <f t="shared" si="50"/>
        <v>0.29310612529359537</v>
      </c>
      <c r="DH39" s="59">
        <f t="shared" si="51"/>
        <v>0.29310612529359537</v>
      </c>
      <c r="DI39" s="32">
        <f t="shared" si="52"/>
        <v>3.5810951488652925</v>
      </c>
      <c r="DJ39" s="32">
        <f t="shared" si="53"/>
        <v>18.0699770976473</v>
      </c>
      <c r="DK39" s="32">
        <f t="shared" si="54"/>
        <v>0.35500308506057154</v>
      </c>
      <c r="DL39">
        <f t="shared" si="60"/>
        <v>3.394747530070414</v>
      </c>
      <c r="DM39">
        <f t="shared" si="6"/>
        <v>1.8233155549476836E-2</v>
      </c>
      <c r="DN39">
        <f t="shared" si="7"/>
        <v>0.12313306895122274</v>
      </c>
      <c r="DO39">
        <f t="shared" si="8"/>
        <v>0.85863377549930042</v>
      </c>
      <c r="DP39">
        <f t="shared" si="55"/>
        <v>2.2704725832908443</v>
      </c>
      <c r="DQ39">
        <f t="shared" si="9"/>
        <v>2.7261707638531408E-2</v>
      </c>
      <c r="DR39">
        <f t="shared" si="10"/>
        <v>0.12909476531478947</v>
      </c>
      <c r="DS39">
        <f t="shared" si="11"/>
        <v>0.843643527046679</v>
      </c>
      <c r="DT39" s="63">
        <f t="shared" si="12"/>
        <v>-2.0307304994288917</v>
      </c>
      <c r="DU39" s="63">
        <f t="shared" si="13"/>
        <v>-0.90645555264932209</v>
      </c>
      <c r="DV39" s="63">
        <f t="shared" si="14"/>
        <v>-1.9396530702224319</v>
      </c>
      <c r="DW39" s="63">
        <f t="shared" si="56"/>
        <v>-0.81537812344286231</v>
      </c>
      <c r="DX39" t="str">
        <f t="shared" si="57"/>
        <v>Sufficient Capacity</v>
      </c>
      <c r="DY39" t="str">
        <f t="shared" si="58"/>
        <v>Sufficient Capacity</v>
      </c>
      <c r="DZ39" t="str">
        <f t="shared" si="59"/>
        <v>Sulfate Dominant electron acceptor</v>
      </c>
      <c r="EA39" t="str">
        <f t="shared" si="15"/>
        <v>Sulfate Dominant electron acceptor</v>
      </c>
      <c r="EB39">
        <v>8.8504359999999997E-3</v>
      </c>
      <c r="EC39">
        <v>1.530928E-3</v>
      </c>
      <c r="ED39" s="66">
        <v>1.850642E-6</v>
      </c>
      <c r="EE39">
        <v>5.643089E-4</v>
      </c>
      <c r="EF39">
        <v>5.2009600000000001E-3</v>
      </c>
      <c r="EG39" s="66">
        <v>2.2646429999999999E-5</v>
      </c>
      <c r="EH39">
        <v>3.2642609999999997E-4</v>
      </c>
      <c r="EI39">
        <v>1.097029E-4</v>
      </c>
      <c r="EJ39">
        <v>5.7639140000000002E-4</v>
      </c>
      <c r="EK39">
        <v>8.7237139999999996E-4</v>
      </c>
      <c r="EL39">
        <v>5.1529470000000004E-4</v>
      </c>
      <c r="EM39">
        <v>2.926893E-4</v>
      </c>
      <c r="EN39">
        <v>2.2382669999999999E-3</v>
      </c>
      <c r="EO39">
        <v>9.5379389999999996E-4</v>
      </c>
      <c r="EP39">
        <v>1.9912440000000001E-3</v>
      </c>
      <c r="EQ39">
        <v>1.3912740000000001E-3</v>
      </c>
      <c r="ER39">
        <v>5.0564939999999997E-4</v>
      </c>
      <c r="ES39">
        <v>8.0687599999999999E-4</v>
      </c>
      <c r="ET39">
        <v>8.1294950000000005E-3</v>
      </c>
      <c r="EU39">
        <v>2.490122E-3</v>
      </c>
      <c r="EV39">
        <v>9.1960280000000002E-3</v>
      </c>
      <c r="EW39">
        <v>6.2450899999999998E-4</v>
      </c>
      <c r="EX39">
        <v>4.8421080000000003E-3</v>
      </c>
      <c r="EY39">
        <v>6.7966679999999996E-3</v>
      </c>
      <c r="EZ39">
        <v>1.4831239999999999E-3</v>
      </c>
      <c r="FA39">
        <v>8.5895399999999999E-4</v>
      </c>
      <c r="FB39">
        <v>8.7748929999999995E-4</v>
      </c>
      <c r="FC39">
        <v>1.7521500000000001E-3</v>
      </c>
      <c r="FD39">
        <v>4.0977279999999998E-4</v>
      </c>
      <c r="FE39">
        <v>2.5185010000000001E-2</v>
      </c>
      <c r="FF39">
        <v>1.5609629999999999E-2</v>
      </c>
      <c r="FG39">
        <v>8.4461299999999996E-3</v>
      </c>
      <c r="FH39">
        <v>8.8652109999999996E-4</v>
      </c>
      <c r="FI39">
        <v>1.3492759999999999E-3</v>
      </c>
      <c r="FJ39">
        <v>1.137782E-2</v>
      </c>
      <c r="FK39">
        <v>-1.4795521663625501E-2</v>
      </c>
      <c r="FL39">
        <v>0.12269810385124801</v>
      </c>
      <c r="FM39">
        <v>0.62821959091148305</v>
      </c>
      <c r="FN39">
        <v>9.4631427976530305E-2</v>
      </c>
      <c r="FO39">
        <v>0.32359482756098401</v>
      </c>
      <c r="FP39">
        <v>0.264799939509204</v>
      </c>
      <c r="FQ39">
        <v>0.19292315224880899</v>
      </c>
      <c r="FR39">
        <v>0.123068095706234</v>
      </c>
      <c r="FS39">
        <v>0.12949162312132001</v>
      </c>
      <c r="FT39">
        <v>9.59306426361861E-2</v>
      </c>
      <c r="FU39">
        <v>0.15566370979511199</v>
      </c>
      <c r="FV39">
        <v>-6.1902597692870202E-2</v>
      </c>
      <c r="FW39">
        <v>0.141024796868989</v>
      </c>
      <c r="FX39">
        <v>0.24405335406276199</v>
      </c>
      <c r="FY39">
        <v>0.147440004475935</v>
      </c>
      <c r="FZ39">
        <v>-6.5508059553004594E-2</v>
      </c>
      <c r="GA39">
        <v>-0.106421269718366</v>
      </c>
      <c r="GB39">
        <v>3.9522774279901397E-2</v>
      </c>
      <c r="GC39">
        <v>-3.1571136185639198E-2</v>
      </c>
      <c r="GD39">
        <v>-2.70262753891677E-2</v>
      </c>
      <c r="GE39">
        <v>3.52458513059872E-3</v>
      </c>
      <c r="GF39">
        <v>0.15198986211819801</v>
      </c>
      <c r="GG39">
        <v>-9.6321228391793107E-2</v>
      </c>
      <c r="GH39">
        <v>-0.119169236560078</v>
      </c>
      <c r="GI39">
        <v>-6.6977002791490201E-2</v>
      </c>
      <c r="GJ39">
        <v>0.137422883631349</v>
      </c>
      <c r="GK39">
        <v>7.6741270165594996E-2</v>
      </c>
      <c r="GL39">
        <v>4.3184552033122402E-2</v>
      </c>
      <c r="GM39">
        <v>1.5014278674812E-3</v>
      </c>
      <c r="GN39">
        <v>0.11153323867927201</v>
      </c>
      <c r="GO39">
        <v>-6.2245734123919802E-2</v>
      </c>
      <c r="GP39">
        <v>7.1573391836008901E-2</v>
      </c>
      <c r="GT39" s="66"/>
      <c r="GV39" s="66"/>
      <c r="GW39" s="65"/>
      <c r="GX39" s="65"/>
      <c r="GY39" s="65"/>
      <c r="HK39" s="1"/>
      <c r="HL39" s="1"/>
      <c r="HM39" s="65"/>
      <c r="HN39" s="1"/>
      <c r="HO39" s="65"/>
      <c r="HP39" s="65"/>
      <c r="HQ39" s="65"/>
      <c r="HS39" s="65"/>
      <c r="HT39" s="65"/>
      <c r="HU39" s="65"/>
      <c r="HV39" s="65"/>
      <c r="HW39" s="65"/>
      <c r="HX39" s="65"/>
      <c r="JJ39" s="66"/>
      <c r="JL39" s="66"/>
      <c r="JN39" s="66"/>
    </row>
    <row r="40" spans="1:278" ht="15.75" x14ac:dyDescent="0.25">
      <c r="A40" s="3" t="s">
        <v>93</v>
      </c>
      <c r="B40" s="3" t="s">
        <v>93</v>
      </c>
      <c r="C40" s="2" t="s">
        <v>768</v>
      </c>
      <c r="D40" s="2" t="s">
        <v>482</v>
      </c>
      <c r="E40" s="2" t="s">
        <v>482</v>
      </c>
      <c r="F40" s="2">
        <v>39</v>
      </c>
      <c r="G40" s="2" t="s">
        <v>767</v>
      </c>
      <c r="H40" s="10" t="s">
        <v>656</v>
      </c>
      <c r="I40" s="2">
        <v>150</v>
      </c>
      <c r="J40" s="2">
        <v>100</v>
      </c>
      <c r="K40" s="12">
        <v>6.5</v>
      </c>
      <c r="L40" t="s">
        <v>269</v>
      </c>
      <c r="M40" s="2" t="s">
        <v>1120</v>
      </c>
      <c r="N40" s="2" t="s">
        <v>435</v>
      </c>
      <c r="O40" s="2" t="s">
        <v>673</v>
      </c>
      <c r="P40" s="2" t="s">
        <v>1127</v>
      </c>
      <c r="Q40" s="9" t="s">
        <v>674</v>
      </c>
      <c r="R40" s="2" t="str">
        <f t="shared" si="0"/>
        <v>CW_1_Section_3</v>
      </c>
      <c r="S40" s="2" t="str">
        <f t="shared" si="1"/>
        <v>CW_1_MF09</v>
      </c>
      <c r="T40" s="11" t="s">
        <v>751</v>
      </c>
      <c r="U40" s="1">
        <v>45580</v>
      </c>
      <c r="V40" s="2" t="s">
        <v>752</v>
      </c>
      <c r="W40" s="2" t="s">
        <v>655</v>
      </c>
      <c r="X40" s="2" t="s">
        <v>750</v>
      </c>
      <c r="Y40" s="2" t="str">
        <f t="shared" si="2"/>
        <v>T1_MF09</v>
      </c>
      <c r="Z40" s="2" t="str">
        <f t="shared" si="3"/>
        <v>T1_CW_1_MF09</v>
      </c>
      <c r="AA40" s="2" t="str">
        <f t="shared" si="4"/>
        <v>T1_0.15-0.30</v>
      </c>
      <c r="AB40" s="2">
        <v>64</v>
      </c>
      <c r="AC40" s="2">
        <v>2.105</v>
      </c>
      <c r="AD40" s="2">
        <v>-1.1599999999999999</v>
      </c>
      <c r="AE40" s="2">
        <v>1</v>
      </c>
      <c r="AF40" t="s">
        <v>21</v>
      </c>
      <c r="AG40" t="s">
        <v>1237</v>
      </c>
      <c r="AH40">
        <v>67</v>
      </c>
      <c r="AI40">
        <v>26</v>
      </c>
      <c r="AJ40">
        <v>1.2</v>
      </c>
      <c r="AK40">
        <v>7.8</v>
      </c>
      <c r="AL40">
        <v>12.8</v>
      </c>
      <c r="AM40">
        <v>-92</v>
      </c>
      <c r="AN40">
        <v>6.98</v>
      </c>
      <c r="AO40">
        <v>536</v>
      </c>
      <c r="AP40" t="s">
        <v>443</v>
      </c>
      <c r="AQ40">
        <v>0.01</v>
      </c>
      <c r="AR40">
        <v>12</v>
      </c>
      <c r="AS40">
        <v>11</v>
      </c>
      <c r="AT40">
        <v>650</v>
      </c>
      <c r="AU40" s="32">
        <f t="shared" si="16"/>
        <v>0.24964793240302136</v>
      </c>
      <c r="AV40">
        <v>13</v>
      </c>
      <c r="AW40" s="32">
        <f t="shared" si="5"/>
        <v>5.0792272628608645E-3</v>
      </c>
      <c r="AX40">
        <v>160</v>
      </c>
      <c r="AY40" s="32">
        <f t="shared" si="17"/>
        <v>6.3294716021474989E-2</v>
      </c>
      <c r="AZ40">
        <v>140</v>
      </c>
      <c r="BA40" s="32">
        <f t="shared" si="18"/>
        <v>5.5382876518790619E-2</v>
      </c>
      <c r="BB40">
        <v>82</v>
      </c>
      <c r="BC40" s="32">
        <f t="shared" si="19"/>
        <v>3.2438541961005936E-2</v>
      </c>
      <c r="BD40">
        <v>222</v>
      </c>
      <c r="BF40" s="48">
        <v>1045</v>
      </c>
      <c r="BG40" s="48">
        <f t="shared" si="20"/>
        <v>0.31802187568735718</v>
      </c>
      <c r="BH40">
        <v>95</v>
      </c>
      <c r="BI40" s="32">
        <f t="shared" si="21"/>
        <v>3.5577748303035034E-2</v>
      </c>
      <c r="BJ40" s="47">
        <v>72</v>
      </c>
      <c r="BK40" s="27">
        <f t="shared" si="22"/>
        <v>2.6964188187563388E-2</v>
      </c>
      <c r="BL40" s="47">
        <v>0.01</v>
      </c>
      <c r="BM40" s="27">
        <f t="shared" si="23"/>
        <v>3.6796110125501018E-6</v>
      </c>
      <c r="BN40" s="47">
        <v>0.01</v>
      </c>
      <c r="BO40" s="27">
        <f t="shared" si="24"/>
        <v>3.7611049867064394E-6</v>
      </c>
      <c r="BP40" s="47">
        <v>5.0000000000000001E-3</v>
      </c>
      <c r="BQ40" s="27">
        <f t="shared" si="25"/>
        <v>1.8649981951630372E-6</v>
      </c>
      <c r="BR40" s="47">
        <v>0.04</v>
      </c>
      <c r="BS40" s="27">
        <f t="shared" si="26"/>
        <v>1.4812321158054199E-5</v>
      </c>
      <c r="BT40" s="47">
        <v>1E-3</v>
      </c>
      <c r="BU40" s="27">
        <f t="shared" si="27"/>
        <v>3.7030802895135499E-7</v>
      </c>
      <c r="BV40" s="47">
        <v>1E-3</v>
      </c>
      <c r="BW40" s="27">
        <f t="shared" si="28"/>
        <v>3.6588380716934485E-7</v>
      </c>
      <c r="BX40" s="47">
        <v>2E-3</v>
      </c>
      <c r="BY40" s="27">
        <f t="shared" si="29"/>
        <v>7.3176761433868969E-7</v>
      </c>
      <c r="BZ40" s="51">
        <f t="shared" si="30"/>
        <v>72.069000000000017</v>
      </c>
      <c r="CA40" s="51">
        <f t="shared" si="31"/>
        <v>6.9000000000000006E-2</v>
      </c>
      <c r="CB40" s="27">
        <f t="shared" si="32"/>
        <v>2.6989774182366318E-2</v>
      </c>
      <c r="CC40" s="27">
        <f t="shared" si="33"/>
        <v>2.5585994802933168E-5</v>
      </c>
      <c r="CD40">
        <v>170</v>
      </c>
      <c r="CE40">
        <v>30</v>
      </c>
      <c r="CF40" t="s">
        <v>19</v>
      </c>
      <c r="CG40">
        <v>190</v>
      </c>
      <c r="CH40" s="32">
        <v>23</v>
      </c>
      <c r="CI40" s="32">
        <f t="shared" si="34"/>
        <v>0.41181736794986568</v>
      </c>
      <c r="CJ40" s="32">
        <f t="shared" si="35"/>
        <v>0.41181736794986568</v>
      </c>
      <c r="CK40" s="32">
        <v>4.9000000000000004</v>
      </c>
      <c r="CL40" s="32">
        <f t="shared" si="36"/>
        <v>8.9204442017112695E-2</v>
      </c>
      <c r="CM40" s="32">
        <f t="shared" si="37"/>
        <v>0.17840888403422539</v>
      </c>
      <c r="CN40" s="27">
        <v>0.5</v>
      </c>
      <c r="CO40" s="27">
        <f t="shared" si="38"/>
        <v>5.2050801582344368E-3</v>
      </c>
      <c r="CP40" s="27">
        <f t="shared" si="39"/>
        <v>4.1640641265875494E-2</v>
      </c>
      <c r="CQ40" s="57">
        <v>77.5</v>
      </c>
      <c r="CR40" s="57">
        <v>99.358974358974365</v>
      </c>
      <c r="CS40" s="57">
        <v>6.4542993962107014</v>
      </c>
      <c r="CT40" s="57">
        <f t="shared" si="40"/>
        <v>6.4542993962107014</v>
      </c>
      <c r="CU40" s="28">
        <v>0</v>
      </c>
      <c r="CV40" s="28">
        <v>0</v>
      </c>
      <c r="CW40" s="28">
        <v>0</v>
      </c>
      <c r="CX40" s="28">
        <f t="shared" si="41"/>
        <v>0</v>
      </c>
      <c r="CY40" s="32">
        <f t="shared" si="42"/>
        <v>45.051009785550697</v>
      </c>
      <c r="CZ40" s="32">
        <f t="shared" si="43"/>
        <v>45.051009785550697</v>
      </c>
      <c r="DA40" s="32">
        <f t="shared" si="44"/>
        <v>68.05100978555069</v>
      </c>
      <c r="DB40" s="32">
        <f t="shared" si="45"/>
        <v>1.2184603363572191</v>
      </c>
      <c r="DC40" s="32">
        <f t="shared" si="46"/>
        <v>1.2184603363572191</v>
      </c>
      <c r="DD40" s="59">
        <f t="shared" si="47"/>
        <v>0</v>
      </c>
      <c r="DE40" s="59">
        <f t="shared" si="48"/>
        <v>0</v>
      </c>
      <c r="DF40" s="59">
        <f t="shared" si="49"/>
        <v>23</v>
      </c>
      <c r="DG40" s="59">
        <f t="shared" si="50"/>
        <v>0.41181736794986568</v>
      </c>
      <c r="DH40" s="59">
        <f t="shared" si="51"/>
        <v>0.41181736794986568</v>
      </c>
      <c r="DI40" s="32">
        <f t="shared" si="52"/>
        <v>4.1640641265875494E-2</v>
      </c>
      <c r="DJ40" s="32">
        <f t="shared" si="53"/>
        <v>27.9</v>
      </c>
      <c r="DK40" s="32">
        <f t="shared" si="54"/>
        <v>0.59022625198409107</v>
      </c>
      <c r="DL40">
        <f t="shared" si="60"/>
        <v>7.8511686166021457</v>
      </c>
      <c r="DM40">
        <f t="shared" si="6"/>
        <v>2.2723863509562195E-2</v>
      </c>
      <c r="DN40">
        <f t="shared" si="7"/>
        <v>0.1551947736519953</v>
      </c>
      <c r="DO40">
        <f t="shared" si="8"/>
        <v>0.82208136283844258</v>
      </c>
      <c r="DP40">
        <f t="shared" si="55"/>
        <v>0.59022625198409107</v>
      </c>
      <c r="DQ40">
        <f t="shared" si="9"/>
        <v>0.30227202438808876</v>
      </c>
      <c r="DR40">
        <f t="shared" si="10"/>
        <v>0.69772797561191124</v>
      </c>
      <c r="DS40">
        <f t="shared" si="11"/>
        <v>0</v>
      </c>
      <c r="DT40" s="63">
        <f t="shared" si="12"/>
        <v>-7.4975689926117539</v>
      </c>
      <c r="DU40" s="63">
        <f t="shared" si="13"/>
        <v>-0.23662662799369882</v>
      </c>
      <c r="DV40" s="63">
        <f t="shared" si="14"/>
        <v>-7.4975434066169502</v>
      </c>
      <c r="DW40" s="63">
        <f t="shared" si="56"/>
        <v>-0.23660104199889587</v>
      </c>
      <c r="DX40" t="str">
        <f t="shared" si="57"/>
        <v>Sufficient Capacity</v>
      </c>
      <c r="DY40" t="str">
        <f t="shared" si="58"/>
        <v>Sufficient Capacity</v>
      </c>
      <c r="DZ40" t="str">
        <f t="shared" si="59"/>
        <v>Sulfate Dominant electron acceptor</v>
      </c>
      <c r="EA40" t="str">
        <f t="shared" si="15"/>
        <v>Manganese Dominant electron acceptor</v>
      </c>
      <c r="EB40">
        <v>9.6470099999999993E-3</v>
      </c>
      <c r="EC40">
        <v>1.641743E-3</v>
      </c>
      <c r="ED40" s="66">
        <v>7.8376139999999997E-7</v>
      </c>
      <c r="EE40">
        <v>6.4510979999999999E-4</v>
      </c>
      <c r="EF40">
        <v>4.5626529999999998E-3</v>
      </c>
      <c r="EG40" s="66">
        <v>5.3306229999999998E-6</v>
      </c>
      <c r="EH40">
        <v>3.7941359999999998E-4</v>
      </c>
      <c r="EI40" s="66">
        <v>8.0460319999999994E-5</v>
      </c>
      <c r="EJ40">
        <v>5.8787360000000003E-4</v>
      </c>
      <c r="EK40">
        <v>8.2853919999999995E-4</v>
      </c>
      <c r="EL40">
        <v>4.423219E-4</v>
      </c>
      <c r="EM40">
        <v>2.9452500000000002E-4</v>
      </c>
      <c r="EN40">
        <v>2.0220519999999999E-3</v>
      </c>
      <c r="EO40">
        <v>7.7782630000000001E-4</v>
      </c>
      <c r="EP40">
        <v>2.0283649999999999E-3</v>
      </c>
      <c r="EQ40">
        <v>1.337045E-3</v>
      </c>
      <c r="ER40">
        <v>4.4827840000000001E-4</v>
      </c>
      <c r="ES40">
        <v>6.8917410000000001E-4</v>
      </c>
      <c r="ET40">
        <v>9.1635680000000004E-3</v>
      </c>
      <c r="EU40">
        <v>2.9830019999999998E-3</v>
      </c>
      <c r="EV40">
        <v>8.0733060000000006E-3</v>
      </c>
      <c r="EW40">
        <v>7.7485909999999996E-4</v>
      </c>
      <c r="EX40">
        <v>5.3248499999999999E-3</v>
      </c>
      <c r="EY40">
        <v>7.3006290000000003E-3</v>
      </c>
      <c r="EZ40">
        <v>1.258817E-3</v>
      </c>
      <c r="FA40">
        <v>1.1048220000000001E-3</v>
      </c>
      <c r="FB40">
        <v>1.17505E-3</v>
      </c>
      <c r="FC40">
        <v>1.818622E-3</v>
      </c>
      <c r="FD40">
        <v>4.158303E-4</v>
      </c>
      <c r="FE40">
        <v>2.611838E-2</v>
      </c>
      <c r="FF40">
        <v>1.6852349999999999E-2</v>
      </c>
      <c r="FG40">
        <v>9.4388969999999999E-3</v>
      </c>
      <c r="FH40">
        <v>9.3656649999999996E-4</v>
      </c>
      <c r="FI40">
        <v>1.5054210000000001E-3</v>
      </c>
      <c r="FJ40">
        <v>1.130688E-2</v>
      </c>
      <c r="FK40">
        <v>0.119023216599033</v>
      </c>
      <c r="FL40">
        <v>-8.24086748850128E-3</v>
      </c>
      <c r="FM40">
        <v>-0.81831451580018899</v>
      </c>
      <c r="FN40">
        <v>0.245054747779379</v>
      </c>
      <c r="FO40">
        <v>1.3583168540624699E-2</v>
      </c>
      <c r="FP40">
        <v>0.28452495449318599</v>
      </c>
      <c r="FQ40">
        <v>0.14137205175670201</v>
      </c>
      <c r="FR40">
        <v>-2.96329767512367E-2</v>
      </c>
      <c r="FS40">
        <v>0.135743875424745</v>
      </c>
      <c r="FT40">
        <v>-5.65842570720765E-3</v>
      </c>
      <c r="FU40">
        <v>-4.8280666108203397E-2</v>
      </c>
      <c r="FV40">
        <v>-4.3432116937213799E-2</v>
      </c>
      <c r="FW40">
        <v>0.10126687773175</v>
      </c>
      <c r="FX40">
        <v>0.123624278286437</v>
      </c>
      <c r="FY40">
        <v>-1.0236072328579499E-2</v>
      </c>
      <c r="FZ40">
        <v>5.4228756931296501E-2</v>
      </c>
      <c r="GA40">
        <v>7.4177201019706401E-2</v>
      </c>
      <c r="GB40">
        <v>-9.0685813599090906E-2</v>
      </c>
      <c r="GC40">
        <v>0.18414432919628801</v>
      </c>
      <c r="GD40">
        <v>6.8008103695650995E-2</v>
      </c>
      <c r="GE40">
        <v>7.5052601863737897E-2</v>
      </c>
      <c r="GF40">
        <v>-1.1988420795215201E-2</v>
      </c>
      <c r="GG40">
        <v>0.15540291670138201</v>
      </c>
      <c r="GH40">
        <v>0.17283198077082701</v>
      </c>
      <c r="GI40">
        <v>-2.9741536625024E-2</v>
      </c>
      <c r="GJ40">
        <v>0.15209726821206901</v>
      </c>
      <c r="GK40">
        <v>0.113131574951628</v>
      </c>
      <c r="GL40">
        <v>0.11978663349062101</v>
      </c>
      <c r="GM40">
        <v>0.11263220968306201</v>
      </c>
      <c r="GN40">
        <v>0.16644884042128499</v>
      </c>
      <c r="GO40">
        <v>4.7258706882119299E-2</v>
      </c>
      <c r="GP40">
        <v>6.53189356383308E-2</v>
      </c>
      <c r="GR40" s="66"/>
      <c r="GT40" s="66"/>
      <c r="GV40" s="66"/>
      <c r="GW40" s="65"/>
      <c r="GZ40" s="66"/>
      <c r="HK40" s="1"/>
      <c r="HL40" s="1"/>
      <c r="HM40" s="1"/>
      <c r="HN40" s="1"/>
      <c r="HO40" s="65"/>
      <c r="HP40" s="65"/>
      <c r="HQ40" s="65"/>
      <c r="HV40" s="65"/>
      <c r="HW40" s="65"/>
      <c r="HX40" s="65"/>
      <c r="JF40" s="66"/>
      <c r="JH40" s="66"/>
      <c r="JJ40" s="66"/>
      <c r="JL40" s="66"/>
      <c r="JN40" s="66"/>
    </row>
    <row r="41" spans="1:278" ht="15.75" x14ac:dyDescent="0.25">
      <c r="A41" s="3" t="s">
        <v>94</v>
      </c>
      <c r="B41" s="3" t="s">
        <v>94</v>
      </c>
      <c r="C41" s="2" t="s">
        <v>770</v>
      </c>
      <c r="D41" s="2" t="s">
        <v>483</v>
      </c>
      <c r="E41" s="2" t="s">
        <v>483</v>
      </c>
      <c r="F41" s="2">
        <v>40</v>
      </c>
      <c r="G41" s="2" t="s">
        <v>769</v>
      </c>
      <c r="H41" s="10" t="s">
        <v>656</v>
      </c>
      <c r="I41" s="2">
        <v>150</v>
      </c>
      <c r="J41" s="2">
        <v>100</v>
      </c>
      <c r="K41" s="12">
        <v>4.4000000000000004</v>
      </c>
      <c r="L41" t="s">
        <v>267</v>
      </c>
      <c r="M41" s="2" t="s">
        <v>1120</v>
      </c>
      <c r="N41" s="2" t="s">
        <v>435</v>
      </c>
      <c r="O41" s="2" t="s">
        <v>673</v>
      </c>
      <c r="P41" s="2" t="s">
        <v>1128</v>
      </c>
      <c r="Q41" s="9" t="s">
        <v>677</v>
      </c>
      <c r="R41" s="2" t="str">
        <f t="shared" si="0"/>
        <v>CW_1_Section_3</v>
      </c>
      <c r="S41" s="2" t="str">
        <f t="shared" si="1"/>
        <v>CW_1_MF10</v>
      </c>
      <c r="T41" s="11" t="s">
        <v>751</v>
      </c>
      <c r="U41" s="1">
        <v>45580</v>
      </c>
      <c r="V41" s="2" t="s">
        <v>752</v>
      </c>
      <c r="W41" s="2" t="s">
        <v>663</v>
      </c>
      <c r="X41" s="2" t="s">
        <v>750</v>
      </c>
      <c r="Y41" s="2" t="str">
        <f t="shared" si="2"/>
        <v>T1_MF10</v>
      </c>
      <c r="Z41" s="2" t="str">
        <f t="shared" si="3"/>
        <v>T1_CW_1_MF10</v>
      </c>
      <c r="AA41" s="2" t="str">
        <f t="shared" si="4"/>
        <v>T1_0.60-0.80</v>
      </c>
      <c r="AB41" s="2">
        <v>64</v>
      </c>
      <c r="AC41" s="2">
        <v>2.105</v>
      </c>
      <c r="AD41" s="2">
        <v>-1.1599999999999999</v>
      </c>
      <c r="AE41" s="2">
        <v>1</v>
      </c>
      <c r="AF41" t="s">
        <v>23</v>
      </c>
      <c r="AG41" t="s">
        <v>1237</v>
      </c>
      <c r="AH41">
        <v>68</v>
      </c>
      <c r="AI41">
        <v>26</v>
      </c>
      <c r="AJ41">
        <v>0.48</v>
      </c>
      <c r="AK41">
        <v>0.38</v>
      </c>
      <c r="AL41">
        <v>13</v>
      </c>
      <c r="AM41">
        <v>-98</v>
      </c>
      <c r="AN41">
        <v>7.01</v>
      </c>
      <c r="AO41">
        <v>890</v>
      </c>
      <c r="AP41" t="s">
        <v>443</v>
      </c>
      <c r="AQ41">
        <v>0.01</v>
      </c>
      <c r="AR41">
        <v>10</v>
      </c>
      <c r="AS41">
        <v>10</v>
      </c>
      <c r="AT41">
        <v>610</v>
      </c>
      <c r="AU41" s="32">
        <f t="shared" si="16"/>
        <v>0.23428498271668158</v>
      </c>
      <c r="AV41">
        <v>1</v>
      </c>
      <c r="AW41" s="32">
        <f t="shared" si="5"/>
        <v>3.9070978945083569E-4</v>
      </c>
      <c r="AX41">
        <v>370</v>
      </c>
      <c r="AY41" s="32">
        <f t="shared" si="17"/>
        <v>0.14636903079966093</v>
      </c>
      <c r="AZ41">
        <v>140</v>
      </c>
      <c r="BA41" s="32">
        <f t="shared" si="18"/>
        <v>5.5382876518790619E-2</v>
      </c>
      <c r="BB41">
        <v>79</v>
      </c>
      <c r="BC41" s="32">
        <f t="shared" si="19"/>
        <v>3.1251766035603278E-2</v>
      </c>
      <c r="BD41">
        <v>219</v>
      </c>
      <c r="BF41" s="48">
        <v>1206</v>
      </c>
      <c r="BG41" s="48">
        <f t="shared" si="20"/>
        <v>0.38104472330579331</v>
      </c>
      <c r="BH41">
        <v>2500</v>
      </c>
      <c r="BI41" s="32">
        <f t="shared" si="21"/>
        <v>0.93625653429039557</v>
      </c>
      <c r="BJ41" s="47">
        <v>2400</v>
      </c>
      <c r="BK41" s="27">
        <f t="shared" si="22"/>
        <v>0.89880627291877968</v>
      </c>
      <c r="BL41" s="47">
        <v>73</v>
      </c>
      <c r="BM41" s="27">
        <f t="shared" si="23"/>
        <v>2.6861160391615742E-2</v>
      </c>
      <c r="BN41" s="47">
        <v>55</v>
      </c>
      <c r="BO41" s="27">
        <f t="shared" si="24"/>
        <v>2.0686077426885417E-2</v>
      </c>
      <c r="BP41" s="47">
        <v>2</v>
      </c>
      <c r="BQ41" s="27">
        <f t="shared" si="25"/>
        <v>7.4599927806521475E-4</v>
      </c>
      <c r="BR41" s="47">
        <v>1</v>
      </c>
      <c r="BS41" s="27">
        <f t="shared" si="26"/>
        <v>3.70308028951355E-4</v>
      </c>
      <c r="BT41" s="47">
        <v>0.12</v>
      </c>
      <c r="BU41" s="27">
        <f t="shared" si="27"/>
        <v>4.44369634741626E-5</v>
      </c>
      <c r="BV41" s="47">
        <v>0.04</v>
      </c>
      <c r="BW41" s="27">
        <f t="shared" si="28"/>
        <v>1.4635352286773795E-5</v>
      </c>
      <c r="BX41" s="47">
        <v>2E-3</v>
      </c>
      <c r="BY41" s="27">
        <f t="shared" si="29"/>
        <v>7.3176761433868969E-7</v>
      </c>
      <c r="BZ41" s="51">
        <f t="shared" si="30"/>
        <v>2531.1619999999998</v>
      </c>
      <c r="CA41" s="51">
        <f t="shared" si="31"/>
        <v>131.16200000000001</v>
      </c>
      <c r="CB41" s="27">
        <f t="shared" si="32"/>
        <v>0.94752962212767267</v>
      </c>
      <c r="CC41" s="27">
        <f t="shared" si="33"/>
        <v>4.8723349208893006E-2</v>
      </c>
      <c r="CD41">
        <v>4100</v>
      </c>
      <c r="CE41">
        <v>730</v>
      </c>
      <c r="CF41" t="s">
        <v>19</v>
      </c>
      <c r="CG41">
        <v>4900</v>
      </c>
      <c r="CH41" s="32">
        <v>1.7</v>
      </c>
      <c r="CI41" s="32">
        <f t="shared" si="34"/>
        <v>3.0438675022381376E-2</v>
      </c>
      <c r="CJ41" s="32">
        <f t="shared" si="35"/>
        <v>3.0438675022381376E-2</v>
      </c>
      <c r="CK41" s="32">
        <v>2.1</v>
      </c>
      <c r="CL41" s="32">
        <f t="shared" si="36"/>
        <v>3.8230475150191151E-2</v>
      </c>
      <c r="CM41" s="32">
        <f t="shared" si="37"/>
        <v>7.6460950300382302E-2</v>
      </c>
      <c r="CN41" s="27">
        <v>44</v>
      </c>
      <c r="CO41" s="27">
        <f t="shared" si="38"/>
        <v>0.45804705392463041</v>
      </c>
      <c r="CP41" s="27">
        <f t="shared" si="39"/>
        <v>3.6643764313970433</v>
      </c>
      <c r="CQ41" s="57">
        <v>34</v>
      </c>
      <c r="CR41" s="57">
        <v>43.589743589743591</v>
      </c>
      <c r="CS41" s="57">
        <v>2.8315636060795337</v>
      </c>
      <c r="CT41" s="57">
        <f t="shared" si="40"/>
        <v>2.8315636060795337</v>
      </c>
      <c r="CU41" s="28">
        <v>-1</v>
      </c>
      <c r="CV41" s="28">
        <v>-2.3255813953488373</v>
      </c>
      <c r="CW41" s="28">
        <v>-8.3281282531750989E-2</v>
      </c>
      <c r="CX41" s="28">
        <f t="shared" si="41"/>
        <v>0</v>
      </c>
      <c r="CY41" s="32">
        <f t="shared" si="42"/>
        <v>19.764313970435143</v>
      </c>
      <c r="CZ41" s="32">
        <f t="shared" si="43"/>
        <v>19.764313970435143</v>
      </c>
      <c r="DA41" s="32">
        <f t="shared" si="44"/>
        <v>21.464313970435143</v>
      </c>
      <c r="DB41" s="32">
        <f t="shared" si="45"/>
        <v>0.38432075148496225</v>
      </c>
      <c r="DC41" s="32">
        <f t="shared" si="46"/>
        <v>0.38432075148496225</v>
      </c>
      <c r="DD41" s="59">
        <f t="shared" si="47"/>
        <v>-0.58130335207162187</v>
      </c>
      <c r="DE41" s="59">
        <f t="shared" si="48"/>
        <v>0</v>
      </c>
      <c r="DF41" s="59">
        <f t="shared" si="49"/>
        <v>1.7</v>
      </c>
      <c r="DG41" s="59">
        <f t="shared" si="50"/>
        <v>3.0438675022381376E-2</v>
      </c>
      <c r="DH41" s="59">
        <f t="shared" si="51"/>
        <v>3.0438675022381376E-2</v>
      </c>
      <c r="DI41" s="32">
        <f t="shared" si="52"/>
        <v>3.6643764313970433</v>
      </c>
      <c r="DJ41" s="32">
        <f t="shared" si="53"/>
        <v>3.8</v>
      </c>
      <c r="DK41" s="32">
        <f t="shared" si="54"/>
        <v>0.10689962532276368</v>
      </c>
      <c r="DL41">
        <f t="shared" si="60"/>
        <v>3.2923453078648781</v>
      </c>
      <c r="DM41">
        <f t="shared" si="6"/>
        <v>2.3223855079152696E-2</v>
      </c>
      <c r="DN41">
        <f t="shared" si="7"/>
        <v>0.11673160484317438</v>
      </c>
      <c r="DO41">
        <f t="shared" si="8"/>
        <v>0.86004454007767295</v>
      </c>
      <c r="DP41">
        <f t="shared" si="55"/>
        <v>0.10689962532276368</v>
      </c>
      <c r="DQ41">
        <f t="shared" si="9"/>
        <v>0.71525929178444347</v>
      </c>
      <c r="DR41">
        <f t="shared" si="10"/>
        <v>0.28474070821555658</v>
      </c>
      <c r="DS41">
        <f t="shared" si="11"/>
        <v>0</v>
      </c>
      <c r="DT41" s="63">
        <f t="shared" si="12"/>
        <v>-1.9750440502686892</v>
      </c>
      <c r="DU41" s="63">
        <f t="shared" si="13"/>
        <v>1.2104016322734252</v>
      </c>
      <c r="DV41" s="63">
        <f t="shared" si="14"/>
        <v>-1.9263207010597962</v>
      </c>
      <c r="DW41" s="63">
        <f t="shared" si="56"/>
        <v>1.2591249814823182</v>
      </c>
      <c r="DX41" t="str">
        <f t="shared" si="57"/>
        <v>Sufficient Capacity</v>
      </c>
      <c r="DY41" t="str">
        <f t="shared" si="58"/>
        <v>Insufficient Capacity</v>
      </c>
      <c r="DZ41" t="str">
        <f t="shared" si="59"/>
        <v>Sulfate Dominant electron acceptor</v>
      </c>
      <c r="EA41" t="str">
        <f t="shared" si="15"/>
        <v>Iron Dominant electron acceptor</v>
      </c>
      <c r="EB41">
        <v>8.9622790000000001E-3</v>
      </c>
      <c r="EC41">
        <v>1.3991019999999999E-3</v>
      </c>
      <c r="ED41" s="66">
        <v>2.3128519999999999E-5</v>
      </c>
      <c r="EE41">
        <v>5.7904430000000002E-4</v>
      </c>
      <c r="EF41">
        <v>4.9586220000000002E-3</v>
      </c>
      <c r="EG41" s="66">
        <v>3.0494569999999999E-5</v>
      </c>
      <c r="EH41">
        <v>3.0096190000000002E-4</v>
      </c>
      <c r="EI41">
        <v>1.430732E-4</v>
      </c>
      <c r="EJ41">
        <v>5.7287199999999999E-4</v>
      </c>
      <c r="EK41">
        <v>9.1958429999999998E-4</v>
      </c>
      <c r="EL41">
        <v>4.9603120000000004E-4</v>
      </c>
      <c r="EM41">
        <v>2.6042950000000002E-4</v>
      </c>
      <c r="EN41">
        <v>2.0723819999999998E-3</v>
      </c>
      <c r="EO41">
        <v>8.8196200000000002E-4</v>
      </c>
      <c r="EP41">
        <v>2.1285409999999999E-3</v>
      </c>
      <c r="EQ41">
        <v>1.2560130000000001E-3</v>
      </c>
      <c r="ER41">
        <v>4.53774E-4</v>
      </c>
      <c r="ES41">
        <v>7.3573780000000004E-4</v>
      </c>
      <c r="ET41">
        <v>1.0497940000000001E-2</v>
      </c>
      <c r="EU41">
        <v>2.7552369999999998E-3</v>
      </c>
      <c r="EV41">
        <v>8.9094410000000006E-3</v>
      </c>
      <c r="EW41">
        <v>7.0465260000000004E-4</v>
      </c>
      <c r="EX41">
        <v>4.6368240000000003E-3</v>
      </c>
      <c r="EY41">
        <v>7.0700329999999999E-3</v>
      </c>
      <c r="EZ41">
        <v>1.4016090000000001E-3</v>
      </c>
      <c r="FA41">
        <v>9.3691309999999997E-4</v>
      </c>
      <c r="FB41">
        <v>9.7472330000000003E-4</v>
      </c>
      <c r="FC41">
        <v>1.9542800000000001E-3</v>
      </c>
      <c r="FD41">
        <v>4.4583470000000001E-4</v>
      </c>
      <c r="FE41">
        <v>2.497243E-2</v>
      </c>
      <c r="FF41">
        <v>1.3272829999999999E-2</v>
      </c>
      <c r="FG41">
        <v>7.8226279999999999E-3</v>
      </c>
      <c r="FH41">
        <v>7.3725199999999998E-4</v>
      </c>
      <c r="FI41">
        <v>1.378656E-3</v>
      </c>
      <c r="FJ41">
        <v>9.2700009999999999E-3</v>
      </c>
      <c r="FK41">
        <v>1.0981667605451899E-2</v>
      </c>
      <c r="FL41">
        <v>7.4982759474922403E-2</v>
      </c>
      <c r="FM41">
        <v>0.92576600227593397</v>
      </c>
      <c r="FN41">
        <v>1.3411523512278501E-2</v>
      </c>
      <c r="FO41">
        <v>0.58917541229716597</v>
      </c>
      <c r="FP41">
        <v>0.25867530176053899</v>
      </c>
      <c r="FQ41">
        <v>0.24562962168872701</v>
      </c>
      <c r="FR41">
        <v>8.4967953668074095E-2</v>
      </c>
      <c r="FS41">
        <v>1.2712177460843899E-2</v>
      </c>
      <c r="FT41">
        <v>1.8927407252264501E-2</v>
      </c>
      <c r="FU41">
        <v>7.7365070600614594E-2</v>
      </c>
      <c r="FV41">
        <v>4.7746017441303596E-3</v>
      </c>
      <c r="FW41">
        <v>3.87473410472223E-2</v>
      </c>
      <c r="FX41">
        <v>0.13580908704908401</v>
      </c>
      <c r="FY41">
        <v>5.5143808783224599E-2</v>
      </c>
      <c r="FZ41">
        <v>0.19017218187710599</v>
      </c>
      <c r="GA41">
        <v>-5.24951066540069E-3</v>
      </c>
      <c r="GB41">
        <v>7.8626236000181003E-3</v>
      </c>
      <c r="GC41">
        <v>8.9168038229129096E-2</v>
      </c>
      <c r="GD41">
        <v>-7.03467893747316E-2</v>
      </c>
      <c r="GE41">
        <v>4.2957240544974497E-2</v>
      </c>
      <c r="GF41">
        <v>9.5460050574786195E-2</v>
      </c>
      <c r="GG41">
        <v>-9.4460631604968998E-3</v>
      </c>
      <c r="GH41">
        <v>-1.40803622448935E-2</v>
      </c>
      <c r="GI41">
        <v>4.2201231079039801E-2</v>
      </c>
      <c r="GJ41">
        <v>0.22176827938820301</v>
      </c>
      <c r="GK41">
        <v>6.8264710243163898E-2</v>
      </c>
      <c r="GL41">
        <v>-0.118984390852617</v>
      </c>
      <c r="GM41">
        <v>-7.5186360944992495E-2</v>
      </c>
      <c r="GN41">
        <v>-7.2841927542480506E-2</v>
      </c>
      <c r="GO41">
        <v>-4.0704774855486299E-2</v>
      </c>
      <c r="GP41">
        <v>-0.13330896691117</v>
      </c>
      <c r="GR41" s="66"/>
      <c r="GT41" s="66"/>
      <c r="GV41" s="66"/>
      <c r="GW41" s="65"/>
      <c r="GX41" s="65"/>
      <c r="HK41" s="1"/>
      <c r="HL41" s="1"/>
      <c r="HM41" s="65"/>
      <c r="HN41" s="1"/>
      <c r="HO41" s="65"/>
      <c r="HP41" s="65"/>
      <c r="HQ41" s="65"/>
      <c r="HS41" s="65"/>
      <c r="HV41" s="65"/>
      <c r="HW41" s="65"/>
      <c r="HX41" s="65"/>
    </row>
    <row r="42" spans="1:278" ht="15.75" x14ac:dyDescent="0.25">
      <c r="A42" s="3" t="s">
        <v>95</v>
      </c>
      <c r="B42" s="3" t="s">
        <v>95</v>
      </c>
      <c r="C42" s="2" t="s">
        <v>772</v>
      </c>
      <c r="D42" s="2" t="s">
        <v>484</v>
      </c>
      <c r="E42" s="2" t="s">
        <v>484</v>
      </c>
      <c r="F42" s="2">
        <v>41</v>
      </c>
      <c r="G42" s="2" t="s">
        <v>771</v>
      </c>
      <c r="H42" s="10" t="s">
        <v>656</v>
      </c>
      <c r="I42" s="2">
        <v>150</v>
      </c>
      <c r="J42" s="2">
        <v>100</v>
      </c>
      <c r="K42" s="12">
        <v>4.9000000000000004</v>
      </c>
      <c r="L42" t="s">
        <v>270</v>
      </c>
      <c r="M42" s="2" t="s">
        <v>1120</v>
      </c>
      <c r="N42" s="2" t="s">
        <v>436</v>
      </c>
      <c r="O42" s="2" t="s">
        <v>653</v>
      </c>
      <c r="P42" s="2" t="s">
        <v>1123</v>
      </c>
      <c r="Q42" s="9" t="s">
        <v>713</v>
      </c>
      <c r="R42" s="2" t="str">
        <f t="shared" si="0"/>
        <v>CW_2_Section_1</v>
      </c>
      <c r="S42" s="2" t="str">
        <f t="shared" si="1"/>
        <v>CW_2_MF01</v>
      </c>
      <c r="T42" s="11" t="s">
        <v>751</v>
      </c>
      <c r="U42" s="1">
        <v>45580</v>
      </c>
      <c r="V42" s="2" t="s">
        <v>752</v>
      </c>
      <c r="W42" s="2" t="s">
        <v>655</v>
      </c>
      <c r="X42" s="2" t="s">
        <v>750</v>
      </c>
      <c r="Y42" s="2" t="str">
        <f t="shared" si="2"/>
        <v>T1_MF01</v>
      </c>
      <c r="Z42" s="2" t="str">
        <f t="shared" si="3"/>
        <v>T1_CW_2_MF01</v>
      </c>
      <c r="AA42" s="2" t="str">
        <f t="shared" si="4"/>
        <v>T1_0.15-0.30</v>
      </c>
      <c r="AB42" s="2">
        <v>64</v>
      </c>
      <c r="AC42" s="2">
        <v>2.105</v>
      </c>
      <c r="AD42" s="2">
        <v>-1.1599999999999999</v>
      </c>
      <c r="AE42" s="2">
        <v>1</v>
      </c>
      <c r="AF42" t="s">
        <v>41</v>
      </c>
      <c r="AG42" t="s">
        <v>1237</v>
      </c>
      <c r="AH42">
        <v>68</v>
      </c>
      <c r="AI42">
        <v>25</v>
      </c>
      <c r="AJ42">
        <v>1.5</v>
      </c>
      <c r="AK42">
        <v>4.25</v>
      </c>
      <c r="AL42">
        <v>13</v>
      </c>
      <c r="AM42">
        <v>-97</v>
      </c>
      <c r="AN42">
        <v>6.88</v>
      </c>
      <c r="AO42">
        <v>686</v>
      </c>
      <c r="AP42">
        <v>0.2</v>
      </c>
      <c r="AQ42">
        <v>0.01</v>
      </c>
      <c r="AR42">
        <v>11</v>
      </c>
      <c r="AS42">
        <v>11</v>
      </c>
      <c r="AT42">
        <v>650</v>
      </c>
      <c r="AU42" s="32">
        <f t="shared" si="16"/>
        <v>0.24964793240302136</v>
      </c>
      <c r="AV42">
        <v>13</v>
      </c>
      <c r="AW42" s="32">
        <f t="shared" ref="AW42:AW74" si="61">($AV42/92140)*36</f>
        <v>5.0792272628608645E-3</v>
      </c>
      <c r="AX42">
        <v>430</v>
      </c>
      <c r="AY42" s="32">
        <f t="shared" si="17"/>
        <v>0.17010454930771404</v>
      </c>
      <c r="AZ42">
        <v>210</v>
      </c>
      <c r="BA42" s="32">
        <f t="shared" si="18"/>
        <v>8.3074314778185929E-2</v>
      </c>
      <c r="BB42">
        <v>200</v>
      </c>
      <c r="BC42" s="32">
        <f t="shared" si="19"/>
        <v>7.9118395026843744E-2</v>
      </c>
      <c r="BD42">
        <v>410</v>
      </c>
      <c r="BF42" s="48">
        <v>1503</v>
      </c>
      <c r="BG42" s="48">
        <f t="shared" si="20"/>
        <v>0.42483170897359623</v>
      </c>
      <c r="BH42">
        <v>250</v>
      </c>
      <c r="BI42" s="32">
        <f t="shared" si="21"/>
        <v>9.3625653429039557E-2</v>
      </c>
      <c r="BJ42" s="47">
        <v>230</v>
      </c>
      <c r="BK42" s="27">
        <f t="shared" si="22"/>
        <v>8.6135601154716385E-2</v>
      </c>
      <c r="BL42" s="47">
        <v>0.01</v>
      </c>
      <c r="BM42" s="27">
        <f t="shared" si="23"/>
        <v>3.6796110125501018E-6</v>
      </c>
      <c r="BN42" s="47">
        <v>0.01</v>
      </c>
      <c r="BO42" s="27">
        <f t="shared" si="24"/>
        <v>3.7611049867064394E-6</v>
      </c>
      <c r="BP42" s="47">
        <v>5.0000000000000001E-3</v>
      </c>
      <c r="BQ42" s="27">
        <f t="shared" si="25"/>
        <v>1.8649981951630372E-6</v>
      </c>
      <c r="BR42" s="47">
        <v>0.02</v>
      </c>
      <c r="BS42" s="27">
        <f t="shared" si="26"/>
        <v>7.4061605790270997E-6</v>
      </c>
      <c r="BT42" s="47">
        <v>1E-3</v>
      </c>
      <c r="BU42" s="27">
        <f t="shared" si="27"/>
        <v>3.7030802895135499E-7</v>
      </c>
      <c r="BV42" s="47">
        <v>1E-3</v>
      </c>
      <c r="BW42" s="27">
        <f t="shared" si="28"/>
        <v>3.6588380716934485E-7</v>
      </c>
      <c r="BX42" s="47">
        <v>2E-3</v>
      </c>
      <c r="BY42" s="27">
        <f t="shared" si="29"/>
        <v>7.3176761433868969E-7</v>
      </c>
      <c r="BZ42" s="51">
        <f t="shared" si="30"/>
        <v>230.04900000000001</v>
      </c>
      <c r="CA42" s="51">
        <f t="shared" si="31"/>
        <v>4.9000000000000002E-2</v>
      </c>
      <c r="CB42" s="27">
        <f t="shared" si="32"/>
        <v>8.615378098894029E-2</v>
      </c>
      <c r="CC42" s="27">
        <f t="shared" si="33"/>
        <v>1.8179834223906066E-5</v>
      </c>
      <c r="CD42">
        <v>480</v>
      </c>
      <c r="CE42">
        <v>2.5</v>
      </c>
      <c r="CF42">
        <v>30</v>
      </c>
      <c r="CG42">
        <v>590</v>
      </c>
      <c r="CH42" s="32">
        <v>18</v>
      </c>
      <c r="CI42" s="32">
        <f t="shared" si="34"/>
        <v>0.32229185317815578</v>
      </c>
      <c r="CJ42" s="32">
        <f t="shared" si="35"/>
        <v>0.32229185317815578</v>
      </c>
      <c r="CK42" s="32">
        <v>4.3</v>
      </c>
      <c r="CL42" s="32">
        <f t="shared" si="36"/>
        <v>7.8281449117058075E-2</v>
      </c>
      <c r="CM42" s="32">
        <f t="shared" si="37"/>
        <v>0.15656289823411615</v>
      </c>
      <c r="CN42" s="27">
        <v>22</v>
      </c>
      <c r="CO42" s="27">
        <f t="shared" si="38"/>
        <v>0.2290235269623152</v>
      </c>
      <c r="CP42" s="27">
        <f t="shared" si="39"/>
        <v>1.8321882156985216</v>
      </c>
      <c r="CQ42" s="57">
        <v>56</v>
      </c>
      <c r="CR42" s="57">
        <v>71.794871794871796</v>
      </c>
      <c r="CS42" s="57">
        <v>4.6637518217780549</v>
      </c>
      <c r="CT42" s="57">
        <f t="shared" si="40"/>
        <v>4.6637518217780549</v>
      </c>
      <c r="CU42" s="28">
        <v>56</v>
      </c>
      <c r="CV42" s="28">
        <v>71.794871794871796</v>
      </c>
      <c r="CW42" s="28">
        <v>4.6637518217780549</v>
      </c>
      <c r="CX42" s="28">
        <f t="shared" si="41"/>
        <v>4.6637518217780549</v>
      </c>
      <c r="CY42" s="32">
        <f t="shared" si="42"/>
        <v>32.552987716010826</v>
      </c>
      <c r="CZ42" s="32">
        <f t="shared" si="43"/>
        <v>32.552987716010826</v>
      </c>
      <c r="DA42" s="32">
        <f t="shared" si="44"/>
        <v>50.552987716010826</v>
      </c>
      <c r="DB42" s="32">
        <f t="shared" si="45"/>
        <v>0.90515644970475961</v>
      </c>
      <c r="DC42" s="32">
        <f t="shared" si="46"/>
        <v>0.90515644970475961</v>
      </c>
      <c r="DD42" s="59">
        <f t="shared" si="47"/>
        <v>32.552987716010826</v>
      </c>
      <c r="DE42" s="59">
        <f t="shared" si="48"/>
        <v>32.552987716010826</v>
      </c>
      <c r="DF42" s="59">
        <f t="shared" si="49"/>
        <v>50.552987716010826</v>
      </c>
      <c r="DG42" s="59">
        <f t="shared" si="50"/>
        <v>0.90515644970475961</v>
      </c>
      <c r="DH42" s="59">
        <f t="shared" si="51"/>
        <v>0.90515644970475961</v>
      </c>
      <c r="DI42" s="32">
        <f t="shared" si="52"/>
        <v>1.8321882156985216</v>
      </c>
      <c r="DJ42" s="32">
        <f t="shared" si="53"/>
        <v>54.852987716010823</v>
      </c>
      <c r="DK42" s="32">
        <f t="shared" si="54"/>
        <v>1.0617193479388758</v>
      </c>
      <c r="DL42">
        <f t="shared" si="60"/>
        <v>5.7254711697169309</v>
      </c>
      <c r="DM42">
        <f t="shared" ref="DM42:DM73" si="62">$CM42/$DL42</f>
        <v>2.7344980630101864E-2</v>
      </c>
      <c r="DN42">
        <f t="shared" ref="DN42:DN73" si="63">$DC42/$DL42</f>
        <v>0.15809291897098326</v>
      </c>
      <c r="DO42">
        <f t="shared" ref="DO42:DO73" si="64">$CT42/$DL42</f>
        <v>0.81456210039891486</v>
      </c>
      <c r="DP42">
        <f t="shared" si="55"/>
        <v>5.7254711697169309</v>
      </c>
      <c r="DQ42">
        <f t="shared" ref="DQ42:DQ73" si="65">$CM42/$DP42</f>
        <v>2.7344980630101864E-2</v>
      </c>
      <c r="DR42">
        <f t="shared" ref="DR42:DR73" si="66">$DH42/$DP42</f>
        <v>0.15809291897098326</v>
      </c>
      <c r="DS42">
        <f t="shared" ref="DS42:DS73" si="67">$CX42/$DP42</f>
        <v>0.81456210039891486</v>
      </c>
      <c r="DT42" s="63">
        <f t="shared" ref="DT42:DT73" si="68">($BG42+$BI42)-$DL42</f>
        <v>-5.2070138073142953</v>
      </c>
      <c r="DU42" s="63">
        <f t="shared" ref="DU42:DU73" si="69">($BG42+$BI42)-$DP42</f>
        <v>-5.2070138073142953</v>
      </c>
      <c r="DV42" s="63">
        <f t="shared" ref="DV42:DV73" si="70">($BG42+$BI42+$CC42)-$DL42</f>
        <v>-5.2069956274800715</v>
      </c>
      <c r="DW42" s="63">
        <f t="shared" ref="DW42:DW73" si="71">($BG42+$BI42+$CC42)-$DP42</f>
        <v>-5.2069956274800715</v>
      </c>
      <c r="DX42" t="str">
        <f t="shared" si="57"/>
        <v>Sufficient Capacity</v>
      </c>
      <c r="DY42" t="str">
        <f t="shared" si="58"/>
        <v>Sufficient Capacity</v>
      </c>
      <c r="DZ42" t="str">
        <f t="shared" si="59"/>
        <v>Sulfate Dominant electron acceptor</v>
      </c>
      <c r="EA42" t="str">
        <f t="shared" ref="EA42:EA73" si="72">IF(COUNT($DQ42:$DS42)=0, "No Data", IF(MAX($DQ42:$DS42)=$DS42, "Sulfate Dominant electron acceptor", IF(MAX($DQ42:$DS42)=$DQ42, "Iron Dominant electron acceptor", "Manganese Dominant electron acceptor")))</f>
        <v>Sulfate Dominant electron acceptor</v>
      </c>
      <c r="EB42">
        <v>9.6633129999999998E-3</v>
      </c>
      <c r="EC42">
        <v>1.8012429999999999E-3</v>
      </c>
      <c r="ED42" s="66">
        <v>2.4445029999999999E-6</v>
      </c>
      <c r="EE42">
        <v>5.9723529999999999E-4</v>
      </c>
      <c r="EF42">
        <v>3.9509109999999997E-3</v>
      </c>
      <c r="EG42" s="66">
        <v>1.652735E-5</v>
      </c>
      <c r="EH42">
        <v>3.440416E-4</v>
      </c>
      <c r="EI42" s="66">
        <v>4.9767320000000002E-5</v>
      </c>
      <c r="EJ42">
        <v>4.986185E-4</v>
      </c>
      <c r="EK42">
        <v>7.5902840000000005E-4</v>
      </c>
      <c r="EL42">
        <v>4.1633570000000001E-4</v>
      </c>
      <c r="EM42">
        <v>2.402444E-4</v>
      </c>
      <c r="EN42">
        <v>2.3017279999999998E-3</v>
      </c>
      <c r="EO42">
        <v>8.9984889999999995E-4</v>
      </c>
      <c r="EP42">
        <v>1.8927919999999999E-3</v>
      </c>
      <c r="EQ42">
        <v>1.0473489999999999E-3</v>
      </c>
      <c r="ER42">
        <v>3.54734E-4</v>
      </c>
      <c r="ES42">
        <v>6.8213080000000003E-4</v>
      </c>
      <c r="ET42">
        <v>7.8690640000000003E-3</v>
      </c>
      <c r="EU42">
        <v>2.9464819999999998E-3</v>
      </c>
      <c r="EV42">
        <v>8.1385820000000001E-3</v>
      </c>
      <c r="EW42">
        <v>5.9610800000000003E-4</v>
      </c>
      <c r="EX42">
        <v>4.8120979999999999E-3</v>
      </c>
      <c r="EY42">
        <v>6.5393730000000002E-3</v>
      </c>
      <c r="EZ42">
        <v>1.2162799999999999E-3</v>
      </c>
      <c r="FA42">
        <v>1.048741E-3</v>
      </c>
      <c r="FB42">
        <v>1.090988E-3</v>
      </c>
      <c r="FC42">
        <v>2.0422740000000002E-3</v>
      </c>
      <c r="FD42">
        <v>3.911198E-4</v>
      </c>
      <c r="FE42">
        <v>2.3874429999999999E-2</v>
      </c>
      <c r="FF42">
        <v>1.3424490000000001E-2</v>
      </c>
      <c r="FG42">
        <v>7.7449909999999997E-3</v>
      </c>
      <c r="FH42">
        <v>9.7221030000000004E-4</v>
      </c>
      <c r="FI42">
        <v>1.4573990000000001E-3</v>
      </c>
      <c r="FJ42">
        <v>9.8825240000000002E-3</v>
      </c>
      <c r="FK42">
        <v>4.1913854827351202E-2</v>
      </c>
      <c r="FL42">
        <v>-0.15219893484868499</v>
      </c>
      <c r="FM42">
        <v>0.31323395170079499</v>
      </c>
      <c r="FN42">
        <v>0.14719042514265901</v>
      </c>
      <c r="FO42">
        <v>-0.46682243138339602</v>
      </c>
      <c r="FP42">
        <v>0.119854269981473</v>
      </c>
      <c r="FQ42">
        <v>5.3747095936134998E-2</v>
      </c>
      <c r="FR42">
        <v>-9.0178968315385105E-2</v>
      </c>
      <c r="FS42">
        <v>-6.7963275181765995E-2</v>
      </c>
      <c r="FT42">
        <v>0.12388888210852</v>
      </c>
      <c r="FU42">
        <v>9.7442959762692502E-2</v>
      </c>
      <c r="FV42">
        <v>-0.112609179057412</v>
      </c>
      <c r="FW42">
        <v>-0.14293286758517201</v>
      </c>
      <c r="FX42">
        <v>-0.110421976854817</v>
      </c>
      <c r="FY42">
        <v>-2.0508568162909999E-2</v>
      </c>
      <c r="FZ42">
        <v>-9.8067742861704096E-2</v>
      </c>
      <c r="GA42">
        <v>6.1858941355703599E-2</v>
      </c>
      <c r="GB42">
        <v>-8.2632914053077905E-2</v>
      </c>
      <c r="GC42">
        <v>-7.8115018473805101E-2</v>
      </c>
      <c r="GD42">
        <v>-3.3243274831660202E-2</v>
      </c>
      <c r="GE42">
        <v>-3.50666176487291E-2</v>
      </c>
      <c r="GF42">
        <v>-4.6363791642086503E-2</v>
      </c>
      <c r="GG42">
        <v>0.103309077797896</v>
      </c>
      <c r="GH42">
        <v>9.8604988595609705E-2</v>
      </c>
      <c r="GI42">
        <v>8.6243284836021894E-2</v>
      </c>
      <c r="GJ42">
        <v>9.0833930788533301E-2</v>
      </c>
      <c r="GK42">
        <v>2.3300305642564498E-2</v>
      </c>
      <c r="GL42">
        <v>-0.10762282861214</v>
      </c>
      <c r="GM42">
        <v>-8.5160608599177401E-2</v>
      </c>
      <c r="GN42">
        <v>0.203800451064927</v>
      </c>
      <c r="GO42">
        <v>1.48394536807182E-2</v>
      </c>
      <c r="GP42">
        <v>-6.9324509642749305E-2</v>
      </c>
      <c r="GR42" s="66"/>
      <c r="GT42" s="66"/>
      <c r="GV42" s="66"/>
      <c r="GW42" s="65"/>
      <c r="GZ42" s="66"/>
      <c r="HK42" s="1"/>
      <c r="HL42" s="1"/>
      <c r="HM42" s="65"/>
      <c r="HN42" s="1"/>
      <c r="HO42" s="65"/>
      <c r="HP42" s="65"/>
      <c r="HQ42" s="65"/>
      <c r="HS42" s="65"/>
      <c r="HT42" s="65"/>
      <c r="HU42" s="65"/>
      <c r="HV42" s="65"/>
      <c r="HW42" s="65"/>
      <c r="HX42" s="65"/>
      <c r="IJ42" s="66"/>
      <c r="IL42" s="66"/>
      <c r="IZ42" s="66"/>
      <c r="JB42" s="66"/>
      <c r="JD42" s="66"/>
      <c r="JF42" s="66"/>
      <c r="JH42" s="66"/>
      <c r="JJ42" s="66"/>
      <c r="JL42" s="66"/>
      <c r="JN42" s="66"/>
      <c r="JP42" s="66"/>
      <c r="JR42" s="66"/>
    </row>
    <row r="43" spans="1:278" ht="15.75" x14ac:dyDescent="0.25">
      <c r="A43" s="3" t="s">
        <v>96</v>
      </c>
      <c r="B43" s="3" t="s">
        <v>96</v>
      </c>
      <c r="C43" s="2" t="s">
        <v>774</v>
      </c>
      <c r="D43" s="2" t="s">
        <v>485</v>
      </c>
      <c r="E43" s="2" t="s">
        <v>485</v>
      </c>
      <c r="F43" s="2">
        <v>42</v>
      </c>
      <c r="G43" s="2" t="s">
        <v>773</v>
      </c>
      <c r="H43" s="10" t="s">
        <v>656</v>
      </c>
      <c r="I43" s="2">
        <v>150</v>
      </c>
      <c r="J43" s="2">
        <v>100</v>
      </c>
      <c r="K43" s="12">
        <v>5.3</v>
      </c>
      <c r="L43" t="s">
        <v>271</v>
      </c>
      <c r="M43" s="2" t="s">
        <v>1120</v>
      </c>
      <c r="N43" s="2" t="s">
        <v>436</v>
      </c>
      <c r="O43" s="2" t="s">
        <v>653</v>
      </c>
      <c r="P43" s="2" t="s">
        <v>1124</v>
      </c>
      <c r="Q43" s="9" t="s">
        <v>716</v>
      </c>
      <c r="R43" s="2" t="str">
        <f t="shared" si="0"/>
        <v>CW_2_Section_1</v>
      </c>
      <c r="S43" s="2" t="str">
        <f t="shared" si="1"/>
        <v>CW_2_MF02</v>
      </c>
      <c r="T43" s="11" t="s">
        <v>751</v>
      </c>
      <c r="U43" s="1">
        <v>45580</v>
      </c>
      <c r="V43" s="2" t="s">
        <v>752</v>
      </c>
      <c r="W43" s="2" t="s">
        <v>663</v>
      </c>
      <c r="X43" s="2" t="s">
        <v>750</v>
      </c>
      <c r="Y43" s="2" t="str">
        <f t="shared" si="2"/>
        <v>T1_MF02</v>
      </c>
      <c r="Z43" s="2" t="str">
        <f t="shared" si="3"/>
        <v>T1_CW_2_MF02</v>
      </c>
      <c r="AA43" s="2" t="str">
        <f t="shared" si="4"/>
        <v>T1_0.60-0.80</v>
      </c>
      <c r="AB43" s="2">
        <v>64</v>
      </c>
      <c r="AC43" s="2">
        <v>2.105</v>
      </c>
      <c r="AD43" s="2">
        <v>-1.1599999999999999</v>
      </c>
      <c r="AE43" s="2">
        <v>1</v>
      </c>
      <c r="AF43" t="s">
        <v>43</v>
      </c>
      <c r="AG43" t="s">
        <v>1237</v>
      </c>
      <c r="AH43">
        <v>69</v>
      </c>
      <c r="AI43">
        <v>26</v>
      </c>
      <c r="AJ43">
        <v>0.68</v>
      </c>
      <c r="AK43">
        <v>0.25</v>
      </c>
      <c r="AL43">
        <v>12.5</v>
      </c>
      <c r="AM43">
        <v>-144</v>
      </c>
      <c r="AN43">
        <v>7.11</v>
      </c>
      <c r="AO43">
        <v>955</v>
      </c>
      <c r="AP43">
        <v>0.2</v>
      </c>
      <c r="AQ43">
        <v>0.01</v>
      </c>
      <c r="AR43">
        <v>11</v>
      </c>
      <c r="AS43">
        <v>12</v>
      </c>
      <c r="AT43">
        <v>810</v>
      </c>
      <c r="AU43" s="32">
        <f t="shared" si="16"/>
        <v>0.31109973114838052</v>
      </c>
      <c r="AV43">
        <v>100</v>
      </c>
      <c r="AW43" s="32">
        <f t="shared" si="61"/>
        <v>3.9070978945083573E-2</v>
      </c>
      <c r="AX43">
        <v>680</v>
      </c>
      <c r="AY43" s="32">
        <f t="shared" si="17"/>
        <v>0.2690025430912687</v>
      </c>
      <c r="AZ43">
        <v>240</v>
      </c>
      <c r="BA43" s="32">
        <f t="shared" si="18"/>
        <v>9.4942074032212498E-2</v>
      </c>
      <c r="BB43">
        <v>310</v>
      </c>
      <c r="BC43" s="32">
        <f t="shared" si="19"/>
        <v>0.12263351229160781</v>
      </c>
      <c r="BD43">
        <v>550</v>
      </c>
      <c r="BF43" s="48">
        <v>2140</v>
      </c>
      <c r="BG43" s="48">
        <f t="shared" si="20"/>
        <v>0.61917325318473282</v>
      </c>
      <c r="BH43">
        <v>4000</v>
      </c>
      <c r="BI43" s="32">
        <f t="shared" si="21"/>
        <v>1.4980104548646329</v>
      </c>
      <c r="BJ43" s="47">
        <v>3200</v>
      </c>
      <c r="BK43" s="27">
        <f t="shared" si="22"/>
        <v>1.1984083638917062</v>
      </c>
      <c r="BL43" s="47">
        <v>120</v>
      </c>
      <c r="BM43" s="27">
        <f t="shared" si="23"/>
        <v>4.4155332150601224E-2</v>
      </c>
      <c r="BN43" s="47">
        <v>110</v>
      </c>
      <c r="BO43" s="27">
        <f t="shared" si="24"/>
        <v>4.1372154853770833E-2</v>
      </c>
      <c r="BP43" s="47">
        <v>43</v>
      </c>
      <c r="BQ43" s="27">
        <f t="shared" si="25"/>
        <v>1.6038984478402119E-2</v>
      </c>
      <c r="BR43" s="47">
        <v>22</v>
      </c>
      <c r="BS43" s="27">
        <f t="shared" si="26"/>
        <v>8.1467766369298089E-3</v>
      </c>
      <c r="BT43" s="47">
        <v>4.4000000000000004</v>
      </c>
      <c r="BU43" s="27">
        <f t="shared" si="27"/>
        <v>1.629355327385962E-3</v>
      </c>
      <c r="BV43" s="47">
        <v>0.74</v>
      </c>
      <c r="BW43" s="27">
        <f t="shared" si="28"/>
        <v>2.7075401730531522E-4</v>
      </c>
      <c r="BX43" s="47">
        <v>0.64</v>
      </c>
      <c r="BY43" s="27">
        <f t="shared" si="29"/>
        <v>2.3416563658838071E-4</v>
      </c>
      <c r="BZ43" s="51">
        <f t="shared" si="30"/>
        <v>3500.7799999999997</v>
      </c>
      <c r="CA43" s="51">
        <f t="shared" si="31"/>
        <v>300.77999999999997</v>
      </c>
      <c r="CB43" s="27">
        <f t="shared" si="32"/>
        <v>1.3102558869926899</v>
      </c>
      <c r="CC43" s="27">
        <f t="shared" si="33"/>
        <v>0.11184752310098366</v>
      </c>
      <c r="CD43">
        <v>6100</v>
      </c>
      <c r="CE43">
        <v>1900</v>
      </c>
      <c r="CF43" t="s">
        <v>19</v>
      </c>
      <c r="CG43">
        <v>8100</v>
      </c>
      <c r="CH43" s="32">
        <v>1</v>
      </c>
      <c r="CI43" s="32">
        <f t="shared" si="34"/>
        <v>1.7905102954341987E-2</v>
      </c>
      <c r="CJ43" s="32">
        <f t="shared" si="35"/>
        <v>1.7905102954341987E-2</v>
      </c>
      <c r="CK43" s="32">
        <v>1.3</v>
      </c>
      <c r="CL43" s="32">
        <f t="shared" si="36"/>
        <v>2.3666484616785E-2</v>
      </c>
      <c r="CM43" s="32">
        <f t="shared" si="37"/>
        <v>4.7332969233569999E-2</v>
      </c>
      <c r="CN43" s="27">
        <v>66</v>
      </c>
      <c r="CO43" s="27">
        <f t="shared" si="38"/>
        <v>0.68707058088694561</v>
      </c>
      <c r="CP43" s="27">
        <f t="shared" si="39"/>
        <v>5.4965646470955649</v>
      </c>
      <c r="CQ43" s="57">
        <v>12</v>
      </c>
      <c r="CR43" s="57">
        <v>15.384615384615385</v>
      </c>
      <c r="CS43" s="57">
        <v>0.99937539038101186</v>
      </c>
      <c r="CT43" s="57">
        <f t="shared" si="40"/>
        <v>0.99937539038101186</v>
      </c>
      <c r="CU43" s="28">
        <v>12</v>
      </c>
      <c r="CV43" s="28">
        <v>15.384615384615385</v>
      </c>
      <c r="CW43" s="28">
        <v>0.99937539038101186</v>
      </c>
      <c r="CX43" s="28">
        <f t="shared" si="41"/>
        <v>0.99937539038101186</v>
      </c>
      <c r="CY43" s="32">
        <f t="shared" si="42"/>
        <v>6.9756402248594629</v>
      </c>
      <c r="CZ43" s="32">
        <f t="shared" si="43"/>
        <v>6.9756402248594629</v>
      </c>
      <c r="DA43" s="32">
        <f t="shared" si="44"/>
        <v>7.9756402248594629</v>
      </c>
      <c r="DB43" s="32">
        <f t="shared" si="45"/>
        <v>0.14280465935289996</v>
      </c>
      <c r="DC43" s="32">
        <f t="shared" si="46"/>
        <v>0.14280465935289996</v>
      </c>
      <c r="DD43" s="59">
        <f t="shared" si="47"/>
        <v>6.9756402248594629</v>
      </c>
      <c r="DE43" s="59">
        <f t="shared" si="48"/>
        <v>6.9756402248594629</v>
      </c>
      <c r="DF43" s="59">
        <f t="shared" si="49"/>
        <v>7.9756402248594629</v>
      </c>
      <c r="DG43" s="59">
        <f t="shared" si="50"/>
        <v>0.14280465935289996</v>
      </c>
      <c r="DH43" s="59">
        <f t="shared" si="51"/>
        <v>0.14280465935289996</v>
      </c>
      <c r="DI43" s="32">
        <f t="shared" si="52"/>
        <v>5.4965646470955649</v>
      </c>
      <c r="DJ43" s="32">
        <f t="shared" si="53"/>
        <v>9.2756402248594636</v>
      </c>
      <c r="DK43" s="32">
        <f t="shared" si="54"/>
        <v>0.19013762858646996</v>
      </c>
      <c r="DL43">
        <f t="shared" si="60"/>
        <v>1.1895130189674818</v>
      </c>
      <c r="DM43">
        <f t="shared" si="62"/>
        <v>3.9791888343227923E-2</v>
      </c>
      <c r="DN43">
        <f t="shared" si="63"/>
        <v>0.12005304446088107</v>
      </c>
      <c r="DO43">
        <f t="shared" si="64"/>
        <v>0.84015506719589095</v>
      </c>
      <c r="DP43">
        <f t="shared" si="55"/>
        <v>1.1895130189674818</v>
      </c>
      <c r="DQ43">
        <f t="shared" si="65"/>
        <v>3.9791888343227923E-2</v>
      </c>
      <c r="DR43">
        <f t="shared" si="66"/>
        <v>0.12005304446088107</v>
      </c>
      <c r="DS43">
        <f t="shared" si="67"/>
        <v>0.84015506719589095</v>
      </c>
      <c r="DT43" s="63">
        <f t="shared" si="68"/>
        <v>0.92767068908188377</v>
      </c>
      <c r="DU43" s="63">
        <f t="shared" si="69"/>
        <v>0.92767068908188377</v>
      </c>
      <c r="DV43" s="63">
        <f t="shared" si="70"/>
        <v>1.0395182121828672</v>
      </c>
      <c r="DW43" s="63">
        <f t="shared" si="71"/>
        <v>1.0395182121828672</v>
      </c>
      <c r="DX43" t="str">
        <f t="shared" si="57"/>
        <v>Insufficient Capacity</v>
      </c>
      <c r="DY43" t="str">
        <f t="shared" si="58"/>
        <v>Insufficient Capacity</v>
      </c>
      <c r="DZ43" t="str">
        <f t="shared" si="59"/>
        <v>Sulfate Dominant electron acceptor</v>
      </c>
      <c r="EA43" t="str">
        <f t="shared" si="72"/>
        <v>Sulfate Dominant electron acceptor</v>
      </c>
      <c r="EB43">
        <v>1.0112309999999999E-2</v>
      </c>
      <c r="EC43">
        <v>1.8687129999999999E-3</v>
      </c>
      <c r="ED43" s="66">
        <v>2.625308E-5</v>
      </c>
      <c r="EE43">
        <v>4.4282000000000002E-4</v>
      </c>
      <c r="EF43">
        <v>3.330202E-3</v>
      </c>
      <c r="EG43" s="66">
        <v>2.349057E-5</v>
      </c>
      <c r="EH43">
        <v>2.0474140000000001E-4</v>
      </c>
      <c r="EI43" s="66">
        <v>4.2581859999999997E-5</v>
      </c>
      <c r="EJ43">
        <v>3.6745970000000001E-4</v>
      </c>
      <c r="EK43">
        <v>5.9328630000000005E-4</v>
      </c>
      <c r="EL43">
        <v>4.8234649999999999E-4</v>
      </c>
      <c r="EM43">
        <v>1.775518E-4</v>
      </c>
      <c r="EN43">
        <v>1.833559E-3</v>
      </c>
      <c r="EO43">
        <v>5.8289919999999996E-4</v>
      </c>
      <c r="EP43">
        <v>1.544496E-3</v>
      </c>
      <c r="EQ43">
        <v>1.724316E-3</v>
      </c>
      <c r="ER43">
        <v>2.7487429999999998E-4</v>
      </c>
      <c r="ES43">
        <v>6.0324749999999996E-4</v>
      </c>
      <c r="ET43">
        <v>6.7656720000000004E-3</v>
      </c>
      <c r="EU43">
        <v>2.668456E-3</v>
      </c>
      <c r="EV43">
        <v>9.4093830000000003E-3</v>
      </c>
      <c r="EW43">
        <v>7.1280159999999998E-4</v>
      </c>
      <c r="EX43">
        <v>5.796804E-3</v>
      </c>
      <c r="EY43">
        <v>7.771605E-3</v>
      </c>
      <c r="EZ43">
        <v>9.4190699999999997E-4</v>
      </c>
      <c r="FA43">
        <v>6.5951319999999999E-4</v>
      </c>
      <c r="FB43">
        <v>6.7631379999999995E-4</v>
      </c>
      <c r="FC43">
        <v>1.564413E-3</v>
      </c>
      <c r="FD43">
        <v>3.0752740000000001E-4</v>
      </c>
      <c r="FE43">
        <v>2.1892180000000001E-2</v>
      </c>
      <c r="FF43">
        <v>2.2023620000000001E-2</v>
      </c>
      <c r="FG43">
        <v>1.1188760000000001E-2</v>
      </c>
      <c r="FH43">
        <v>1.0297920000000001E-3</v>
      </c>
      <c r="FI43">
        <v>1.227971E-3</v>
      </c>
      <c r="FJ43">
        <v>1.38992E-2</v>
      </c>
      <c r="FK43">
        <v>-0.25723395133414501</v>
      </c>
      <c r="FL43">
        <v>-0.32311215726819698</v>
      </c>
      <c r="FM43">
        <v>0.66481643132054102</v>
      </c>
      <c r="FN43">
        <v>-0.37182443574277801</v>
      </c>
      <c r="FO43">
        <v>-0.62275263411328297</v>
      </c>
      <c r="FP43">
        <v>-0.18537335153468301</v>
      </c>
      <c r="FQ43">
        <v>-0.19261501660118699</v>
      </c>
      <c r="FR43">
        <v>5.6991861144096503E-2</v>
      </c>
      <c r="FS43">
        <v>-0.37035761638043102</v>
      </c>
      <c r="FT43">
        <v>-0.10351237618223599</v>
      </c>
      <c r="FU43">
        <v>-0.33676962797535498</v>
      </c>
      <c r="FV43">
        <v>-0.31596452320953</v>
      </c>
      <c r="FW43">
        <v>0.35563537284496899</v>
      </c>
      <c r="FX43">
        <v>-0.36547628743361099</v>
      </c>
      <c r="FY43">
        <v>-0.143402436195807</v>
      </c>
      <c r="FZ43">
        <v>-0.24914527406140699</v>
      </c>
      <c r="GA43">
        <v>-3.7252946986774803E-2</v>
      </c>
      <c r="GB43">
        <v>6.2458505484988401E-2</v>
      </c>
      <c r="GC43">
        <v>0.100666243646342</v>
      </c>
      <c r="GD43">
        <v>0.15293029270531999</v>
      </c>
      <c r="GE43">
        <v>0.137568799792543</v>
      </c>
      <c r="GF43">
        <v>-0.30200954723163198</v>
      </c>
      <c r="GG43">
        <v>-0.36053461118181102</v>
      </c>
      <c r="GH43">
        <v>-0.37957682857520297</v>
      </c>
      <c r="GI43">
        <v>-0.180309934319306</v>
      </c>
      <c r="GJ43">
        <v>-0.149615787161758</v>
      </c>
      <c r="GK43">
        <v>-6.3378210664194704E-2</v>
      </c>
      <c r="GL43">
        <v>0.387412034327966</v>
      </c>
      <c r="GM43">
        <v>0.28270278253019199</v>
      </c>
      <c r="GN43">
        <v>0.26134043106494698</v>
      </c>
      <c r="GO43">
        <v>-0.15645067260874901</v>
      </c>
      <c r="GP43">
        <v>0.271738830159726</v>
      </c>
      <c r="GY43" s="65"/>
      <c r="HK43" s="1"/>
      <c r="HL43" s="1"/>
      <c r="HM43" s="65"/>
      <c r="HN43" s="1"/>
      <c r="HO43" s="65"/>
      <c r="HS43" s="65"/>
      <c r="HV43" s="65"/>
      <c r="HW43" s="65"/>
      <c r="HX43" s="65"/>
    </row>
    <row r="44" spans="1:278" ht="15.75" x14ac:dyDescent="0.25">
      <c r="A44" s="3" t="s">
        <v>97</v>
      </c>
      <c r="B44" s="3" t="s">
        <v>97</v>
      </c>
      <c r="C44" s="2" t="s">
        <v>776</v>
      </c>
      <c r="D44" s="2" t="s">
        <v>486</v>
      </c>
      <c r="E44" s="2" t="s">
        <v>486</v>
      </c>
      <c r="F44" s="2">
        <v>43</v>
      </c>
      <c r="G44" s="2" t="s">
        <v>775</v>
      </c>
      <c r="H44" s="10" t="s">
        <v>656</v>
      </c>
      <c r="I44" s="2">
        <v>150</v>
      </c>
      <c r="J44" s="2">
        <v>100</v>
      </c>
      <c r="K44" s="12">
        <v>17.05</v>
      </c>
      <c r="L44" t="s">
        <v>272</v>
      </c>
      <c r="M44" s="2" t="s">
        <v>1120</v>
      </c>
      <c r="N44" s="2" t="s">
        <v>436</v>
      </c>
      <c r="O44" s="2" t="s">
        <v>666</v>
      </c>
      <c r="P44" s="2" t="s">
        <v>1131</v>
      </c>
      <c r="Q44" s="9" t="s">
        <v>719</v>
      </c>
      <c r="R44" s="2" t="str">
        <f t="shared" si="0"/>
        <v>CW_2_Section_2</v>
      </c>
      <c r="S44" s="2" t="str">
        <f t="shared" si="1"/>
        <v>CW_2_MF05</v>
      </c>
      <c r="T44" s="11" t="s">
        <v>751</v>
      </c>
      <c r="U44" s="1">
        <v>45580</v>
      </c>
      <c r="V44" s="2" t="s">
        <v>752</v>
      </c>
      <c r="W44" s="2" t="s">
        <v>655</v>
      </c>
      <c r="X44" s="2" t="s">
        <v>750</v>
      </c>
      <c r="Y44" s="2" t="str">
        <f t="shared" si="2"/>
        <v>T1_MF05</v>
      </c>
      <c r="Z44" s="2" t="str">
        <f t="shared" si="3"/>
        <v>T1_CW_2_MF05</v>
      </c>
      <c r="AA44" s="2" t="str">
        <f t="shared" si="4"/>
        <v>T1_0.15-0.30</v>
      </c>
      <c r="AB44" s="2">
        <v>64</v>
      </c>
      <c r="AC44" s="2">
        <v>2.105</v>
      </c>
      <c r="AD44" s="2">
        <v>-1.1599999999999999</v>
      </c>
      <c r="AE44" s="2">
        <v>1</v>
      </c>
      <c r="AF44" t="s">
        <v>35</v>
      </c>
      <c r="AG44" t="s">
        <v>1237</v>
      </c>
      <c r="AH44">
        <v>58</v>
      </c>
      <c r="AI44">
        <v>12</v>
      </c>
      <c r="AJ44">
        <v>1.7</v>
      </c>
      <c r="AK44">
        <v>0.3</v>
      </c>
      <c r="AL44">
        <v>12.9</v>
      </c>
      <c r="AM44">
        <v>-104</v>
      </c>
      <c r="AN44">
        <v>7.44</v>
      </c>
      <c r="AO44">
        <v>920</v>
      </c>
      <c r="AP44">
        <v>0.2</v>
      </c>
      <c r="AQ44">
        <v>0.01</v>
      </c>
      <c r="AR44">
        <v>25</v>
      </c>
      <c r="AS44">
        <v>29</v>
      </c>
      <c r="AT44">
        <v>77</v>
      </c>
      <c r="AU44" s="32">
        <f t="shared" si="16"/>
        <v>2.9573678146204076E-2</v>
      </c>
      <c r="AV44">
        <v>1.2</v>
      </c>
      <c r="AW44" s="32">
        <f t="shared" si="61"/>
        <v>4.6885174734100283E-4</v>
      </c>
      <c r="AX44">
        <v>6</v>
      </c>
      <c r="AY44" s="32">
        <f t="shared" si="17"/>
        <v>2.3735518508053123E-3</v>
      </c>
      <c r="AZ44">
        <v>2.7</v>
      </c>
      <c r="BA44" s="32">
        <f t="shared" si="18"/>
        <v>1.0680983328623906E-3</v>
      </c>
      <c r="BB44">
        <v>2.7</v>
      </c>
      <c r="BC44" s="32">
        <f t="shared" si="19"/>
        <v>1.0680983328623906E-3</v>
      </c>
      <c r="BD44">
        <v>5.4</v>
      </c>
      <c r="BF44" s="48">
        <v>89.6</v>
      </c>
      <c r="BG44" s="48">
        <f t="shared" si="20"/>
        <v>3.2416081744350393E-2</v>
      </c>
      <c r="BH44">
        <v>21</v>
      </c>
      <c r="BI44" s="32">
        <f t="shared" si="21"/>
        <v>7.8645548880393219E-3</v>
      </c>
      <c r="BJ44" s="47">
        <v>21</v>
      </c>
      <c r="BK44" s="27">
        <f t="shared" si="22"/>
        <v>7.8645548880393219E-3</v>
      </c>
      <c r="BL44" s="47">
        <v>0.57999999999999996</v>
      </c>
      <c r="BM44" s="27">
        <f t="shared" si="23"/>
        <v>2.1341743872790587E-4</v>
      </c>
      <c r="BN44" s="47">
        <v>0.31</v>
      </c>
      <c r="BO44" s="27">
        <f t="shared" si="24"/>
        <v>1.1659425458789961E-4</v>
      </c>
      <c r="BP44" s="47">
        <v>0.1</v>
      </c>
      <c r="BQ44" s="27">
        <f t="shared" si="25"/>
        <v>3.729996390326074E-5</v>
      </c>
      <c r="BR44" s="47">
        <v>0.04</v>
      </c>
      <c r="BS44" s="27">
        <f t="shared" si="26"/>
        <v>1.4812321158054199E-5</v>
      </c>
      <c r="BT44" s="47">
        <v>1E-3</v>
      </c>
      <c r="BU44" s="27">
        <f t="shared" si="27"/>
        <v>3.7030802895135499E-7</v>
      </c>
      <c r="BV44" s="47">
        <v>1E-3</v>
      </c>
      <c r="BW44" s="27">
        <f t="shared" si="28"/>
        <v>3.6588380716934485E-7</v>
      </c>
      <c r="BX44" s="47">
        <v>2E-3</v>
      </c>
      <c r="BY44" s="27">
        <f t="shared" si="29"/>
        <v>7.3176761433868969E-7</v>
      </c>
      <c r="BZ44" s="51">
        <f t="shared" si="30"/>
        <v>22.033999999999999</v>
      </c>
      <c r="CA44" s="51">
        <f t="shared" si="31"/>
        <v>1.0339999999999996</v>
      </c>
      <c r="CB44" s="27">
        <f t="shared" si="32"/>
        <v>8.2481468258668988E-3</v>
      </c>
      <c r="CC44" s="27">
        <f t="shared" si="33"/>
        <v>3.8359193782757978E-4</v>
      </c>
      <c r="CD44">
        <v>2.5</v>
      </c>
      <c r="CE44">
        <v>2.5</v>
      </c>
      <c r="CF44" t="s">
        <v>19</v>
      </c>
      <c r="CG44">
        <v>5</v>
      </c>
      <c r="CH44" s="32">
        <v>21</v>
      </c>
      <c r="CI44" s="32">
        <f t="shared" si="34"/>
        <v>0.37600716204118173</v>
      </c>
      <c r="CJ44" s="32">
        <f t="shared" si="35"/>
        <v>0.37600716204118173</v>
      </c>
      <c r="CK44" s="32">
        <v>5.4</v>
      </c>
      <c r="CL44" s="32">
        <f t="shared" si="36"/>
        <v>9.8306936100491543E-2</v>
      </c>
      <c r="CM44" s="32">
        <f t="shared" si="37"/>
        <v>0.19661387220098309</v>
      </c>
      <c r="CN44" s="27">
        <v>0.5</v>
      </c>
      <c r="CO44" s="27">
        <f t="shared" si="38"/>
        <v>5.2050801582344368E-3</v>
      </c>
      <c r="CP44" s="27">
        <f t="shared" si="39"/>
        <v>4.1640641265875494E-2</v>
      </c>
      <c r="CQ44" s="57">
        <v>77.5</v>
      </c>
      <c r="CR44" s="57">
        <v>99.358974358974365</v>
      </c>
      <c r="CS44" s="57">
        <v>6.4542993962107014</v>
      </c>
      <c r="CT44" s="57">
        <f t="shared" si="40"/>
        <v>6.4542993962107014</v>
      </c>
      <c r="CU44" s="28">
        <v>21.5</v>
      </c>
      <c r="CV44" s="28">
        <v>97.727272727272734</v>
      </c>
      <c r="CW44" s="28">
        <v>1.7905475744326462</v>
      </c>
      <c r="CX44" s="28">
        <f t="shared" si="41"/>
        <v>1.7905475744326462</v>
      </c>
      <c r="CY44" s="32">
        <f t="shared" si="42"/>
        <v>45.051009785550697</v>
      </c>
      <c r="CZ44" s="32">
        <f t="shared" si="43"/>
        <v>45.051009785550697</v>
      </c>
      <c r="DA44" s="32">
        <f t="shared" si="44"/>
        <v>66.05100978555069</v>
      </c>
      <c r="DB44" s="32">
        <f t="shared" si="45"/>
        <v>1.1826501304485351</v>
      </c>
      <c r="DC44" s="32">
        <f t="shared" si="46"/>
        <v>1.1826501304485351</v>
      </c>
      <c r="DD44" s="59">
        <f t="shared" si="47"/>
        <v>12.49802206953987</v>
      </c>
      <c r="DE44" s="59">
        <f t="shared" si="48"/>
        <v>12.49802206953987</v>
      </c>
      <c r="DF44" s="59">
        <f t="shared" si="49"/>
        <v>33.498022069539871</v>
      </c>
      <c r="DG44" s="59">
        <f t="shared" si="50"/>
        <v>0.59978553392193146</v>
      </c>
      <c r="DH44" s="59">
        <f t="shared" si="51"/>
        <v>0.59978553392193146</v>
      </c>
      <c r="DI44" s="32">
        <f t="shared" si="52"/>
        <v>4.1640641265875494E-2</v>
      </c>
      <c r="DJ44" s="32">
        <f t="shared" si="53"/>
        <v>38.89802206953987</v>
      </c>
      <c r="DK44" s="32">
        <f t="shared" si="54"/>
        <v>0.79639940612291449</v>
      </c>
      <c r="DL44">
        <f t="shared" si="60"/>
        <v>7.8335633988602194</v>
      </c>
      <c r="DM44">
        <f t="shared" si="62"/>
        <v>2.5098906103139515E-2</v>
      </c>
      <c r="DN44">
        <f t="shared" si="63"/>
        <v>0.15097217833465293</v>
      </c>
      <c r="DO44">
        <f t="shared" si="64"/>
        <v>0.8239289155622076</v>
      </c>
      <c r="DP44">
        <f t="shared" si="55"/>
        <v>2.5869469805555605</v>
      </c>
      <c r="DQ44">
        <f t="shared" si="65"/>
        <v>7.6002281329615506E-2</v>
      </c>
      <c r="DR44">
        <f t="shared" si="66"/>
        <v>0.2318507253647403</v>
      </c>
      <c r="DS44">
        <f t="shared" si="67"/>
        <v>0.69214699330564433</v>
      </c>
      <c r="DT44" s="63">
        <f t="shared" si="68"/>
        <v>-7.7932827622278298</v>
      </c>
      <c r="DU44" s="63">
        <f t="shared" si="69"/>
        <v>-2.5466663439231709</v>
      </c>
      <c r="DV44" s="63">
        <f t="shared" si="70"/>
        <v>-7.7928991702900019</v>
      </c>
      <c r="DW44" s="63">
        <f t="shared" si="71"/>
        <v>-2.546282751985343</v>
      </c>
      <c r="DX44" t="str">
        <f t="shared" si="57"/>
        <v>Sufficient Capacity</v>
      </c>
      <c r="DY44" t="str">
        <f t="shared" si="58"/>
        <v>Sufficient Capacity</v>
      </c>
      <c r="DZ44" t="str">
        <f t="shared" si="59"/>
        <v>Sulfate Dominant electron acceptor</v>
      </c>
      <c r="EA44" t="str">
        <f t="shared" si="72"/>
        <v>Sulfate Dominant electron acceptor</v>
      </c>
      <c r="EB44">
        <v>9.1132869999999994E-3</v>
      </c>
      <c r="EC44">
        <v>1.4705880000000001E-3</v>
      </c>
      <c r="ED44" s="66">
        <v>4.6153859999999999E-6</v>
      </c>
      <c r="EE44">
        <v>7.731115E-4</v>
      </c>
      <c r="EF44">
        <v>5.9475470000000001E-3</v>
      </c>
      <c r="EG44" s="66">
        <v>6.0218859999999998E-5</v>
      </c>
      <c r="EH44">
        <v>4.1264930000000001E-4</v>
      </c>
      <c r="EI44">
        <v>1.4112289999999999E-4</v>
      </c>
      <c r="EJ44">
        <v>5.6654269999999998E-4</v>
      </c>
      <c r="EK44">
        <v>1.025691E-3</v>
      </c>
      <c r="EL44">
        <v>5.8536560000000001E-4</v>
      </c>
      <c r="EM44">
        <v>4.2611070000000002E-4</v>
      </c>
      <c r="EN44">
        <v>2.349949E-3</v>
      </c>
      <c r="EO44">
        <v>1.114938E-3</v>
      </c>
      <c r="EP44">
        <v>2.6165110000000002E-3</v>
      </c>
      <c r="EQ44">
        <v>9.0893759999999995E-4</v>
      </c>
      <c r="ER44">
        <v>4.9353199999999998E-4</v>
      </c>
      <c r="ES44">
        <v>1.0498269999999999E-3</v>
      </c>
      <c r="ET44">
        <v>7.988027E-3</v>
      </c>
      <c r="EU44">
        <v>2.6280460000000002E-3</v>
      </c>
      <c r="EV44">
        <v>7.8426529999999998E-3</v>
      </c>
      <c r="EW44">
        <v>7.8740009999999998E-4</v>
      </c>
      <c r="EX44">
        <v>4.1338149999999999E-3</v>
      </c>
      <c r="EY44">
        <v>6.8300169999999999E-3</v>
      </c>
      <c r="EZ44">
        <v>1.901453E-3</v>
      </c>
      <c r="FA44">
        <v>1.2096019999999999E-3</v>
      </c>
      <c r="FB44">
        <v>1.2496860000000001E-3</v>
      </c>
      <c r="FC44">
        <v>1.890554E-3</v>
      </c>
      <c r="FD44">
        <v>8.6892399999999998E-4</v>
      </c>
      <c r="FE44">
        <v>2.6658060000000001E-2</v>
      </c>
      <c r="FF44">
        <v>1.0931629999999999E-2</v>
      </c>
      <c r="FG44">
        <v>6.637062E-3</v>
      </c>
      <c r="FH44">
        <v>6.9598589999999997E-4</v>
      </c>
      <c r="FI44">
        <v>1.585941E-3</v>
      </c>
      <c r="FJ44">
        <v>7.4951829999999999E-3</v>
      </c>
      <c r="FK44">
        <v>0.300025963126689</v>
      </c>
      <c r="FL44">
        <v>0.25683374556235899</v>
      </c>
      <c r="FM44">
        <v>1.6062029595857299</v>
      </c>
      <c r="FN44">
        <v>0.329025924532586</v>
      </c>
      <c r="FO44">
        <v>0.57545016682935402</v>
      </c>
      <c r="FP44">
        <v>0.24756544842728001</v>
      </c>
      <c r="FQ44">
        <v>0.35482971236512101</v>
      </c>
      <c r="FR44">
        <v>0.25056573498801299</v>
      </c>
      <c r="FS44">
        <v>0.50507915795932001</v>
      </c>
      <c r="FT44">
        <v>0.14462236270633499</v>
      </c>
      <c r="FU44">
        <v>0.31177017638920501</v>
      </c>
      <c r="FV44">
        <v>0.211179584162943</v>
      </c>
      <c r="FW44">
        <v>-0.284673911289341</v>
      </c>
      <c r="FX44">
        <v>0.21979751003658499</v>
      </c>
      <c r="FY44">
        <v>0.410650671198527</v>
      </c>
      <c r="FZ44">
        <v>-8.3063069944350906E-2</v>
      </c>
      <c r="GA44">
        <v>-5.2512370704304701E-2</v>
      </c>
      <c r="GB44">
        <v>-0.11967170744097699</v>
      </c>
      <c r="GC44">
        <v>0.20019962833323299</v>
      </c>
      <c r="GD44">
        <v>-0.18517572907740901</v>
      </c>
      <c r="GE44">
        <v>8.4192556364026706E-3</v>
      </c>
      <c r="GF44">
        <v>0.40045751891480902</v>
      </c>
      <c r="GG44">
        <v>0.246010060561173</v>
      </c>
      <c r="GH44">
        <v>0.23441360064678099</v>
      </c>
      <c r="GI44">
        <v>9.0492997337339193E-3</v>
      </c>
      <c r="GJ44">
        <v>0.88907568846415697</v>
      </c>
      <c r="GK44">
        <v>0.13358383781709801</v>
      </c>
      <c r="GL44">
        <v>-0.313043057556539</v>
      </c>
      <c r="GM44">
        <v>-0.239537524737166</v>
      </c>
      <c r="GN44">
        <v>-0.13044228650966</v>
      </c>
      <c r="GO44">
        <v>9.9364035596619396E-2</v>
      </c>
      <c r="GP44">
        <v>-0.34583190682978698</v>
      </c>
      <c r="GR44" s="66"/>
      <c r="GT44" s="66"/>
      <c r="GV44" s="66"/>
      <c r="GW44" s="65"/>
      <c r="GX44" s="65"/>
      <c r="HK44" s="1"/>
      <c r="HL44" s="1"/>
      <c r="HM44" s="1"/>
      <c r="HN44" s="1"/>
      <c r="HO44" s="65"/>
      <c r="HP44" s="65"/>
      <c r="HQ44" s="65"/>
      <c r="HS44" s="65"/>
      <c r="HT44" s="65"/>
      <c r="HU44" s="65"/>
      <c r="HV44" s="65"/>
      <c r="HW44" s="65"/>
      <c r="HX44" s="65"/>
      <c r="JD44" s="66"/>
      <c r="JF44" s="66"/>
      <c r="JH44" s="66"/>
      <c r="JJ44" s="66"/>
      <c r="JL44" s="66"/>
      <c r="JN44" s="66"/>
    </row>
    <row r="45" spans="1:278" ht="15.75" x14ac:dyDescent="0.25">
      <c r="A45" s="3" t="s">
        <v>98</v>
      </c>
      <c r="B45" s="3" t="s">
        <v>98</v>
      </c>
      <c r="C45" s="2" t="s">
        <v>778</v>
      </c>
      <c r="D45" s="2" t="s">
        <v>487</v>
      </c>
      <c r="E45" s="2" t="s">
        <v>487</v>
      </c>
      <c r="F45" s="2">
        <v>44</v>
      </c>
      <c r="G45" s="2" t="s">
        <v>777</v>
      </c>
      <c r="H45" s="10" t="s">
        <v>656</v>
      </c>
      <c r="I45" s="2">
        <v>150</v>
      </c>
      <c r="J45" s="2">
        <v>100</v>
      </c>
      <c r="K45" s="12">
        <v>7.5</v>
      </c>
      <c r="L45" t="s">
        <v>273</v>
      </c>
      <c r="M45" s="2" t="s">
        <v>1120</v>
      </c>
      <c r="N45" s="2" t="s">
        <v>436</v>
      </c>
      <c r="O45" s="2" t="s">
        <v>666</v>
      </c>
      <c r="P45" s="2" t="s">
        <v>1132</v>
      </c>
      <c r="Q45" s="9" t="s">
        <v>722</v>
      </c>
      <c r="R45" s="2" t="str">
        <f t="shared" si="0"/>
        <v>CW_2_Section_2</v>
      </c>
      <c r="S45" s="2" t="str">
        <f t="shared" si="1"/>
        <v>CW_2_MF06</v>
      </c>
      <c r="T45" s="11" t="s">
        <v>751</v>
      </c>
      <c r="U45" s="1">
        <v>45580</v>
      </c>
      <c r="V45" s="2" t="s">
        <v>752</v>
      </c>
      <c r="W45" s="2" t="s">
        <v>663</v>
      </c>
      <c r="X45" s="2" t="s">
        <v>750</v>
      </c>
      <c r="Y45" s="2" t="str">
        <f t="shared" si="2"/>
        <v>T1_MF06</v>
      </c>
      <c r="Z45" s="2" t="str">
        <f t="shared" si="3"/>
        <v>T1_CW_2_MF06</v>
      </c>
      <c r="AA45" s="2" t="str">
        <f t="shared" si="4"/>
        <v>T1_0.60-0.80</v>
      </c>
      <c r="AB45" s="2">
        <v>64</v>
      </c>
      <c r="AC45" s="2">
        <v>2.105</v>
      </c>
      <c r="AD45" s="2">
        <v>-1.1599999999999999</v>
      </c>
      <c r="AE45" s="2">
        <v>1</v>
      </c>
      <c r="AF45" t="s">
        <v>37</v>
      </c>
      <c r="AG45" t="s">
        <v>1237</v>
      </c>
      <c r="AH45">
        <v>68</v>
      </c>
      <c r="AI45">
        <v>24</v>
      </c>
      <c r="AJ45">
        <v>1</v>
      </c>
      <c r="AK45">
        <v>0.52</v>
      </c>
      <c r="AL45">
        <v>13.8</v>
      </c>
      <c r="AM45">
        <v>-115</v>
      </c>
      <c r="AN45">
        <v>7.08</v>
      </c>
      <c r="AO45">
        <v>672</v>
      </c>
      <c r="AP45" t="s">
        <v>443</v>
      </c>
      <c r="AQ45">
        <v>0.01</v>
      </c>
      <c r="AR45">
        <v>12</v>
      </c>
      <c r="AS45">
        <v>12</v>
      </c>
      <c r="AT45">
        <v>650</v>
      </c>
      <c r="AU45" s="32">
        <f t="shared" si="16"/>
        <v>0.24964793240302136</v>
      </c>
      <c r="AV45">
        <v>45</v>
      </c>
      <c r="AW45" s="32">
        <f t="shared" si="61"/>
        <v>1.7581940525287606E-2</v>
      </c>
      <c r="AX45">
        <v>510</v>
      </c>
      <c r="AY45" s="32">
        <f t="shared" si="17"/>
        <v>0.20175190731845152</v>
      </c>
      <c r="AZ45">
        <v>180</v>
      </c>
      <c r="BA45" s="32">
        <f t="shared" si="18"/>
        <v>7.120655552415936E-2</v>
      </c>
      <c r="BB45">
        <v>200</v>
      </c>
      <c r="BC45" s="32">
        <f t="shared" si="19"/>
        <v>7.9118395026843744E-2</v>
      </c>
      <c r="BD45">
        <v>380</v>
      </c>
      <c r="BF45" s="48">
        <v>1585</v>
      </c>
      <c r="BG45" s="48">
        <f t="shared" si="20"/>
        <v>0.46898178024676052</v>
      </c>
      <c r="BH45">
        <v>2700</v>
      </c>
      <c r="BI45" s="32">
        <f t="shared" si="21"/>
        <v>1.0111570570336272</v>
      </c>
      <c r="BJ45" s="47">
        <v>2400</v>
      </c>
      <c r="BK45" s="27">
        <f t="shared" si="22"/>
        <v>0.89880627291877968</v>
      </c>
      <c r="BL45" s="47">
        <v>100</v>
      </c>
      <c r="BM45" s="27">
        <f t="shared" si="23"/>
        <v>3.6796110125501019E-2</v>
      </c>
      <c r="BN45" s="47">
        <v>72</v>
      </c>
      <c r="BO45" s="27">
        <f t="shared" si="24"/>
        <v>2.707995590428636E-2</v>
      </c>
      <c r="BP45" s="47">
        <v>26</v>
      </c>
      <c r="BQ45" s="27">
        <f t="shared" si="25"/>
        <v>9.6979906148477926E-3</v>
      </c>
      <c r="BR45" s="47">
        <v>8.6999999999999993</v>
      </c>
      <c r="BS45" s="27">
        <f t="shared" si="26"/>
        <v>3.2216798518767882E-3</v>
      </c>
      <c r="BT45" s="47">
        <v>1.8</v>
      </c>
      <c r="BU45" s="27">
        <f t="shared" si="27"/>
        <v>6.6655445211243904E-4</v>
      </c>
      <c r="BV45" s="47">
        <v>0.18</v>
      </c>
      <c r="BW45" s="27">
        <f t="shared" si="28"/>
        <v>6.5859085290482068E-5</v>
      </c>
      <c r="BX45" s="47">
        <v>0.12</v>
      </c>
      <c r="BY45" s="27">
        <f t="shared" si="29"/>
        <v>4.3906056860321379E-5</v>
      </c>
      <c r="BZ45" s="51">
        <f t="shared" si="30"/>
        <v>2608.7999999999997</v>
      </c>
      <c r="CA45" s="51">
        <f t="shared" si="31"/>
        <v>208.8</v>
      </c>
      <c r="CB45" s="27">
        <f t="shared" si="32"/>
        <v>0.97637832900955479</v>
      </c>
      <c r="CC45" s="27">
        <f t="shared" si="33"/>
        <v>7.7572056090775193E-2</v>
      </c>
      <c r="CD45">
        <v>4700</v>
      </c>
      <c r="CE45">
        <v>1200</v>
      </c>
      <c r="CF45" t="s">
        <v>19</v>
      </c>
      <c r="CG45">
        <v>6000</v>
      </c>
      <c r="CH45" s="32">
        <v>5.8</v>
      </c>
      <c r="CI45" s="32">
        <f t="shared" si="34"/>
        <v>0.10384959713518352</v>
      </c>
      <c r="CJ45" s="32">
        <f t="shared" si="35"/>
        <v>0.10384959713518352</v>
      </c>
      <c r="CK45" s="32">
        <v>2.6</v>
      </c>
      <c r="CL45" s="32">
        <f t="shared" si="36"/>
        <v>4.7332969233569999E-2</v>
      </c>
      <c r="CM45" s="32">
        <f t="shared" si="37"/>
        <v>9.4665938467139998E-2</v>
      </c>
      <c r="CN45" s="27">
        <v>42</v>
      </c>
      <c r="CO45" s="27">
        <f t="shared" si="38"/>
        <v>0.4372267332916927</v>
      </c>
      <c r="CP45" s="27">
        <f t="shared" si="39"/>
        <v>3.4978138663335416</v>
      </c>
      <c r="CQ45" s="57">
        <v>36</v>
      </c>
      <c r="CR45" s="57">
        <v>46.153846153846153</v>
      </c>
      <c r="CS45" s="57">
        <v>2.9981261711430354</v>
      </c>
      <c r="CT45" s="57">
        <f t="shared" si="40"/>
        <v>2.9981261711430354</v>
      </c>
      <c r="CU45" s="28">
        <v>24</v>
      </c>
      <c r="CV45" s="28">
        <v>36.363636363636367</v>
      </c>
      <c r="CW45" s="28">
        <v>1.9987507807620237</v>
      </c>
      <c r="CX45" s="28">
        <f t="shared" si="41"/>
        <v>1.9987507807620237</v>
      </c>
      <c r="CY45" s="32">
        <f t="shared" si="42"/>
        <v>20.926920674578387</v>
      </c>
      <c r="CZ45" s="32">
        <f t="shared" si="43"/>
        <v>20.926920674578387</v>
      </c>
      <c r="DA45" s="32">
        <f t="shared" si="44"/>
        <v>26.726920674578388</v>
      </c>
      <c r="DB45" s="32">
        <f t="shared" si="45"/>
        <v>0.4785482663308574</v>
      </c>
      <c r="DC45" s="32">
        <f t="shared" si="46"/>
        <v>0.4785482663308574</v>
      </c>
      <c r="DD45" s="59">
        <f t="shared" si="47"/>
        <v>13.951280449718926</v>
      </c>
      <c r="DE45" s="59">
        <f t="shared" si="48"/>
        <v>13.951280449718926</v>
      </c>
      <c r="DF45" s="59">
        <f t="shared" si="49"/>
        <v>19.751280449718926</v>
      </c>
      <c r="DG45" s="59">
        <f t="shared" si="50"/>
        <v>0.35364870993229947</v>
      </c>
      <c r="DH45" s="59">
        <f t="shared" si="51"/>
        <v>0.35364870993229947</v>
      </c>
      <c r="DI45" s="32">
        <f t="shared" si="52"/>
        <v>3.4978138663335416</v>
      </c>
      <c r="DJ45" s="32">
        <f t="shared" si="53"/>
        <v>22.351280449718928</v>
      </c>
      <c r="DK45" s="32">
        <f t="shared" si="54"/>
        <v>0.44831464839943946</v>
      </c>
      <c r="DL45">
        <f t="shared" si="60"/>
        <v>3.5713403759410327</v>
      </c>
      <c r="DM45">
        <f t="shared" si="62"/>
        <v>2.6507117357077996E-2</v>
      </c>
      <c r="DN45">
        <f t="shared" si="63"/>
        <v>0.13399682358889189</v>
      </c>
      <c r="DO45">
        <f t="shared" si="64"/>
        <v>0.83949605905403013</v>
      </c>
      <c r="DP45">
        <f t="shared" si="55"/>
        <v>2.4470654291614631</v>
      </c>
      <c r="DQ45">
        <f t="shared" si="65"/>
        <v>3.8685495426078256E-2</v>
      </c>
      <c r="DR45">
        <f t="shared" si="66"/>
        <v>0.14451951538275151</v>
      </c>
      <c r="DS45">
        <f t="shared" si="67"/>
        <v>0.81679498919117033</v>
      </c>
      <c r="DT45" s="63">
        <f t="shared" si="68"/>
        <v>-2.0912015386606448</v>
      </c>
      <c r="DU45" s="63">
        <f t="shared" si="69"/>
        <v>-0.96692659188107521</v>
      </c>
      <c r="DV45" s="63">
        <f t="shared" si="70"/>
        <v>-2.0136294825698697</v>
      </c>
      <c r="DW45" s="63">
        <f t="shared" si="71"/>
        <v>-0.8893545357903001</v>
      </c>
      <c r="DX45" t="str">
        <f t="shared" si="57"/>
        <v>Sufficient Capacity</v>
      </c>
      <c r="DY45" t="str">
        <f t="shared" si="58"/>
        <v>Sufficient Capacity</v>
      </c>
      <c r="DZ45" t="str">
        <f t="shared" si="59"/>
        <v>Sulfate Dominant electron acceptor</v>
      </c>
      <c r="EA45" t="str">
        <f t="shared" si="72"/>
        <v>Sulfate Dominant electron acceptor</v>
      </c>
      <c r="EB45">
        <v>1.0289349999999999E-2</v>
      </c>
      <c r="EC45">
        <v>1.659649E-3</v>
      </c>
      <c r="ED45" s="66">
        <v>3.8279110000000002E-7</v>
      </c>
      <c r="EE45">
        <v>3.2897180000000001E-4</v>
      </c>
      <c r="EF45">
        <v>2.895866E-3</v>
      </c>
      <c r="EG45" s="66">
        <v>1.0191160000000001E-5</v>
      </c>
      <c r="EH45">
        <v>1.6900389999999999E-4</v>
      </c>
      <c r="EI45" s="66">
        <v>6.1468889999999996E-5</v>
      </c>
      <c r="EJ45">
        <v>2.663907E-4</v>
      </c>
      <c r="EK45">
        <v>5.0351330000000002E-4</v>
      </c>
      <c r="EL45">
        <v>2.8521249999999997E-4</v>
      </c>
      <c r="EM45">
        <v>1.386863E-4</v>
      </c>
      <c r="EN45">
        <v>1.798406E-3</v>
      </c>
      <c r="EO45">
        <v>6.8774999999999999E-4</v>
      </c>
      <c r="EP45">
        <v>1.3600210000000001E-3</v>
      </c>
      <c r="EQ45">
        <v>1.5700079999999999E-3</v>
      </c>
      <c r="ER45">
        <v>2.2775049999999999E-4</v>
      </c>
      <c r="ES45">
        <v>4.7420550000000001E-4</v>
      </c>
      <c r="ET45">
        <v>9.3970849999999995E-3</v>
      </c>
      <c r="EU45">
        <v>2.835953E-3</v>
      </c>
      <c r="EV45">
        <v>9.4557210000000003E-3</v>
      </c>
      <c r="EW45">
        <v>7.1844379999999998E-4</v>
      </c>
      <c r="EX45">
        <v>5.4475330000000001E-3</v>
      </c>
      <c r="EY45">
        <v>7.439948E-3</v>
      </c>
      <c r="EZ45">
        <v>8.9917960000000005E-4</v>
      </c>
      <c r="FA45">
        <v>7.1936690000000002E-4</v>
      </c>
      <c r="FB45">
        <v>7.2003200000000001E-4</v>
      </c>
      <c r="FC45">
        <v>1.5870120000000001E-3</v>
      </c>
      <c r="FD45">
        <v>2.528912E-4</v>
      </c>
      <c r="FE45">
        <v>2.2578560000000001E-2</v>
      </c>
      <c r="FF45">
        <v>1.9865589999999999E-2</v>
      </c>
      <c r="FG45">
        <v>1.045606E-2</v>
      </c>
      <c r="FH45">
        <v>8.7968170000000002E-4</v>
      </c>
      <c r="FI45">
        <v>1.3737179999999999E-3</v>
      </c>
      <c r="FJ45">
        <v>1.2265379999999999E-2</v>
      </c>
      <c r="FK45">
        <v>-0.55442528546098202</v>
      </c>
      <c r="FL45">
        <v>-0.46286091734671098</v>
      </c>
      <c r="FM45">
        <v>-0.17026195484995499</v>
      </c>
      <c r="FN45">
        <v>-0.56365036357194398</v>
      </c>
      <c r="FO45">
        <v>-0.25564978193779297</v>
      </c>
      <c r="FP45">
        <v>-0.50702297616358705</v>
      </c>
      <c r="FQ45">
        <v>-0.35668197151019698</v>
      </c>
      <c r="FR45">
        <v>-0.46843635783264598</v>
      </c>
      <c r="FS45">
        <v>-0.61740546559825005</v>
      </c>
      <c r="FT45">
        <v>-0.122870546075976</v>
      </c>
      <c r="FU45">
        <v>-0.171358500773128</v>
      </c>
      <c r="FV45">
        <v>-0.44316202594255999</v>
      </c>
      <c r="FW45">
        <v>0.26188563762494399</v>
      </c>
      <c r="FX45">
        <v>-0.55353945816585803</v>
      </c>
      <c r="FY45">
        <v>-0.38408922442784899</v>
      </c>
      <c r="FZ45">
        <v>7.9392669237739397E-2</v>
      </c>
      <c r="GA45">
        <v>2.3625060916381301E-2</v>
      </c>
      <c r="GB45">
        <v>6.7371077733830595E-2</v>
      </c>
      <c r="GC45">
        <v>0.108550606772416</v>
      </c>
      <c r="GD45">
        <v>9.07864071539803E-2</v>
      </c>
      <c r="GE45">
        <v>9.3955952611032095E-2</v>
      </c>
      <c r="GF45">
        <v>-0.34843329877026502</v>
      </c>
      <c r="GG45">
        <v>-0.27366507866323603</v>
      </c>
      <c r="GH45">
        <v>-0.31693834262664</v>
      </c>
      <c r="GI45">
        <v>-0.165967605126811</v>
      </c>
      <c r="GJ45">
        <v>-0.34522061942139798</v>
      </c>
      <c r="GK45">
        <v>-3.2506922656431798E-2</v>
      </c>
      <c r="GL45">
        <v>0.284285609845081</v>
      </c>
      <c r="GM45">
        <v>0.21497479421020699</v>
      </c>
      <c r="GN45">
        <v>0.103788449477749</v>
      </c>
      <c r="GO45">
        <v>-4.4292953858828803E-2</v>
      </c>
      <c r="GP45">
        <v>0.14668820533715701</v>
      </c>
      <c r="GT45" s="66"/>
      <c r="GV45" s="66"/>
      <c r="HK45" s="1"/>
      <c r="HL45" s="1"/>
      <c r="HM45" s="65"/>
      <c r="HN45" s="1"/>
      <c r="HO45" s="65"/>
      <c r="HP45" s="65"/>
      <c r="HQ45" s="65"/>
      <c r="HS45" s="65"/>
      <c r="HT45" s="65"/>
      <c r="HU45" s="65"/>
      <c r="HV45" s="65"/>
      <c r="HW45" s="65"/>
      <c r="HX45" s="65"/>
      <c r="JJ45" s="66"/>
      <c r="JL45" s="66"/>
      <c r="JN45" s="66"/>
    </row>
    <row r="46" spans="1:278" ht="15.75" x14ac:dyDescent="0.25">
      <c r="A46" s="3" t="s">
        <v>99</v>
      </c>
      <c r="B46" s="3" t="s">
        <v>99</v>
      </c>
      <c r="C46" s="2" t="s">
        <v>780</v>
      </c>
      <c r="D46" s="2" t="s">
        <v>488</v>
      </c>
      <c r="E46" s="2" t="s">
        <v>488</v>
      </c>
      <c r="F46" s="2">
        <v>45</v>
      </c>
      <c r="G46" s="2" t="s">
        <v>779</v>
      </c>
      <c r="H46" s="10" t="s">
        <v>656</v>
      </c>
      <c r="I46" s="2">
        <v>150</v>
      </c>
      <c r="J46" s="2">
        <v>100</v>
      </c>
      <c r="K46" s="12">
        <v>6.1</v>
      </c>
      <c r="L46" t="s">
        <v>274</v>
      </c>
      <c r="M46" s="2" t="s">
        <v>1120</v>
      </c>
      <c r="N46" s="2" t="s">
        <v>436</v>
      </c>
      <c r="O46" s="2" t="s">
        <v>673</v>
      </c>
      <c r="P46" s="2" t="s">
        <v>1127</v>
      </c>
      <c r="Q46" s="9" t="s">
        <v>725</v>
      </c>
      <c r="R46" s="2" t="str">
        <f t="shared" si="0"/>
        <v>CW_2_Section_3</v>
      </c>
      <c r="S46" s="2" t="str">
        <f t="shared" si="1"/>
        <v>CW_2_MF09</v>
      </c>
      <c r="T46" s="11" t="s">
        <v>751</v>
      </c>
      <c r="U46" s="1">
        <v>45580</v>
      </c>
      <c r="V46" s="2" t="s">
        <v>752</v>
      </c>
      <c r="W46" s="2" t="s">
        <v>655</v>
      </c>
      <c r="X46" s="2" t="s">
        <v>750</v>
      </c>
      <c r="Y46" s="2" t="str">
        <f t="shared" si="2"/>
        <v>T1_MF09</v>
      </c>
      <c r="Z46" s="2" t="str">
        <f t="shared" si="3"/>
        <v>T1_CW_2_MF09</v>
      </c>
      <c r="AA46" s="2" t="str">
        <f t="shared" si="4"/>
        <v>T1_0.15-0.30</v>
      </c>
      <c r="AB46" s="2">
        <v>64</v>
      </c>
      <c r="AC46" s="2">
        <v>2.105</v>
      </c>
      <c r="AD46" s="2">
        <v>-1.1599999999999999</v>
      </c>
      <c r="AE46" s="2">
        <v>1</v>
      </c>
      <c r="AF46" t="s">
        <v>45</v>
      </c>
      <c r="AG46" t="s">
        <v>1237</v>
      </c>
      <c r="AH46">
        <v>69</v>
      </c>
      <c r="AI46">
        <v>24</v>
      </c>
      <c r="AJ46">
        <v>1.7</v>
      </c>
      <c r="AK46">
        <v>5.25</v>
      </c>
      <c r="AL46">
        <v>12.5</v>
      </c>
      <c r="AM46">
        <v>-112</v>
      </c>
      <c r="AN46">
        <v>6.91</v>
      </c>
      <c r="AO46">
        <v>488</v>
      </c>
      <c r="AP46">
        <v>0.2</v>
      </c>
      <c r="AQ46">
        <v>0.01</v>
      </c>
      <c r="AR46">
        <v>13</v>
      </c>
      <c r="AS46">
        <v>11</v>
      </c>
      <c r="AT46">
        <v>580</v>
      </c>
      <c r="AU46" s="32">
        <f t="shared" si="16"/>
        <v>0.22276277045192677</v>
      </c>
      <c r="AV46">
        <v>5.0999999999999996</v>
      </c>
      <c r="AW46" s="32">
        <f t="shared" si="61"/>
        <v>1.992619926199262E-3</v>
      </c>
      <c r="AX46">
        <v>180</v>
      </c>
      <c r="AY46" s="32">
        <f t="shared" si="17"/>
        <v>7.120655552415936E-2</v>
      </c>
      <c r="AZ46">
        <v>100</v>
      </c>
      <c r="BA46" s="32">
        <f t="shared" si="18"/>
        <v>3.9559197513421872E-2</v>
      </c>
      <c r="BB46">
        <v>90</v>
      </c>
      <c r="BC46" s="32">
        <f t="shared" si="19"/>
        <v>3.560327776207968E-2</v>
      </c>
      <c r="BD46">
        <v>190</v>
      </c>
      <c r="BF46" s="48">
        <v>955.1</v>
      </c>
      <c r="BG46" s="48">
        <f t="shared" si="20"/>
        <v>0.29596194590228542</v>
      </c>
      <c r="BH46">
        <v>27</v>
      </c>
      <c r="BI46" s="32">
        <f t="shared" si="21"/>
        <v>1.0111570570336272E-2</v>
      </c>
      <c r="BJ46" s="47">
        <v>32</v>
      </c>
      <c r="BK46" s="27">
        <f t="shared" si="22"/>
        <v>1.1984083638917061E-2</v>
      </c>
      <c r="BL46" s="47">
        <v>0.01</v>
      </c>
      <c r="BM46" s="27">
        <f t="shared" si="23"/>
        <v>3.6796110125501018E-6</v>
      </c>
      <c r="BN46" s="47">
        <v>0.01</v>
      </c>
      <c r="BO46" s="27">
        <f t="shared" si="24"/>
        <v>3.7611049867064394E-6</v>
      </c>
      <c r="BP46" s="47">
        <v>5.0000000000000001E-3</v>
      </c>
      <c r="BQ46" s="27">
        <f t="shared" si="25"/>
        <v>1.8649981951630372E-6</v>
      </c>
      <c r="BR46" s="47">
        <v>0.03</v>
      </c>
      <c r="BS46" s="27">
        <f t="shared" si="26"/>
        <v>1.110924086854065E-5</v>
      </c>
      <c r="BT46" s="47">
        <v>1E-3</v>
      </c>
      <c r="BU46" s="27">
        <f t="shared" si="27"/>
        <v>3.7030802895135499E-7</v>
      </c>
      <c r="BV46" s="47">
        <v>1E-3</v>
      </c>
      <c r="BW46" s="27">
        <f t="shared" si="28"/>
        <v>3.6588380716934485E-7</v>
      </c>
      <c r="BX46" s="47">
        <v>2E-3</v>
      </c>
      <c r="BY46" s="27">
        <f t="shared" si="29"/>
        <v>7.3176761433868969E-7</v>
      </c>
      <c r="BZ46" s="51">
        <f t="shared" si="30"/>
        <v>32.058999999999997</v>
      </c>
      <c r="CA46" s="51">
        <f t="shared" si="31"/>
        <v>5.9000000000000004E-2</v>
      </c>
      <c r="CB46" s="27">
        <f t="shared" si="32"/>
        <v>1.200596655343048E-2</v>
      </c>
      <c r="CC46" s="27">
        <f t="shared" si="33"/>
        <v>2.1882914513419617E-5</v>
      </c>
      <c r="CD46">
        <v>65</v>
      </c>
      <c r="CE46">
        <v>2.5</v>
      </c>
      <c r="CF46" t="s">
        <v>19</v>
      </c>
      <c r="CG46">
        <v>70</v>
      </c>
      <c r="CH46" s="32">
        <v>18</v>
      </c>
      <c r="CI46" s="32">
        <f t="shared" si="34"/>
        <v>0.32229185317815578</v>
      </c>
      <c r="CJ46" s="32">
        <f t="shared" si="35"/>
        <v>0.32229185317815578</v>
      </c>
      <c r="CK46" s="32">
        <v>3.9</v>
      </c>
      <c r="CL46" s="32">
        <f t="shared" si="36"/>
        <v>7.0999453850354999E-2</v>
      </c>
      <c r="CM46" s="32">
        <f t="shared" si="37"/>
        <v>0.14199890770071</v>
      </c>
      <c r="CN46" s="27">
        <v>0.5</v>
      </c>
      <c r="CO46" s="27">
        <f t="shared" si="38"/>
        <v>5.2050801582344368E-3</v>
      </c>
      <c r="CP46" s="27">
        <f t="shared" si="39"/>
        <v>4.1640641265875494E-2</v>
      </c>
      <c r="CQ46" s="57">
        <v>77.5</v>
      </c>
      <c r="CR46" s="57">
        <v>99.358974358974365</v>
      </c>
      <c r="CS46" s="57">
        <v>6.4542993962107014</v>
      </c>
      <c r="CT46" s="57">
        <f t="shared" si="40"/>
        <v>6.4542993962107014</v>
      </c>
      <c r="CU46" s="28">
        <v>0</v>
      </c>
      <c r="CV46" s="28">
        <v>0</v>
      </c>
      <c r="CW46" s="28">
        <v>0</v>
      </c>
      <c r="CX46" s="28">
        <f t="shared" si="41"/>
        <v>0</v>
      </c>
      <c r="CY46" s="32">
        <f t="shared" si="42"/>
        <v>45.051009785550697</v>
      </c>
      <c r="CZ46" s="32">
        <f t="shared" si="43"/>
        <v>45.051009785550697</v>
      </c>
      <c r="DA46" s="32">
        <f t="shared" si="44"/>
        <v>63.051009785550697</v>
      </c>
      <c r="DB46" s="32">
        <f t="shared" si="45"/>
        <v>1.1289348215855093</v>
      </c>
      <c r="DC46" s="32">
        <f t="shared" si="46"/>
        <v>1.1289348215855093</v>
      </c>
      <c r="DD46" s="59">
        <f t="shared" si="47"/>
        <v>0</v>
      </c>
      <c r="DE46" s="59">
        <f t="shared" si="48"/>
        <v>0</v>
      </c>
      <c r="DF46" s="59">
        <f t="shared" si="49"/>
        <v>18</v>
      </c>
      <c r="DG46" s="59">
        <f t="shared" si="50"/>
        <v>0.32229185317815578</v>
      </c>
      <c r="DH46" s="59">
        <f t="shared" si="51"/>
        <v>0.32229185317815578</v>
      </c>
      <c r="DI46" s="32">
        <f t="shared" si="52"/>
        <v>4.1640641265875494E-2</v>
      </c>
      <c r="DJ46" s="32">
        <f t="shared" si="53"/>
        <v>21.9</v>
      </c>
      <c r="DK46" s="32">
        <f t="shared" si="54"/>
        <v>0.46429076087886578</v>
      </c>
      <c r="DL46">
        <f t="shared" si="60"/>
        <v>7.7252331254969206</v>
      </c>
      <c r="DM46">
        <f t="shared" si="62"/>
        <v>1.8381180916346263E-2</v>
      </c>
      <c r="DN46">
        <f t="shared" si="63"/>
        <v>0.14613601987744432</v>
      </c>
      <c r="DO46">
        <f t="shared" si="64"/>
        <v>0.83548279920620938</v>
      </c>
      <c r="DP46">
        <f t="shared" si="55"/>
        <v>0.46429076087886578</v>
      </c>
      <c r="DQ46">
        <f t="shared" si="65"/>
        <v>0.30584047684239346</v>
      </c>
      <c r="DR46">
        <f t="shared" si="66"/>
        <v>0.69415952315760654</v>
      </c>
      <c r="DS46">
        <f t="shared" si="67"/>
        <v>0</v>
      </c>
      <c r="DT46" s="63">
        <f t="shared" si="68"/>
        <v>-7.4191596090242991</v>
      </c>
      <c r="DU46" s="63">
        <f t="shared" si="69"/>
        <v>-0.15821724440624407</v>
      </c>
      <c r="DV46" s="63">
        <f t="shared" si="70"/>
        <v>-7.4191377261097857</v>
      </c>
      <c r="DW46" s="63">
        <f t="shared" si="71"/>
        <v>-0.15819536149173063</v>
      </c>
      <c r="DX46" t="str">
        <f t="shared" si="57"/>
        <v>Sufficient Capacity</v>
      </c>
      <c r="DY46" t="str">
        <f t="shared" si="58"/>
        <v>Sufficient Capacity</v>
      </c>
      <c r="DZ46" t="str">
        <f t="shared" si="59"/>
        <v>Sulfate Dominant electron acceptor</v>
      </c>
      <c r="EA46" t="str">
        <f t="shared" si="72"/>
        <v>Manganese Dominant electron acceptor</v>
      </c>
      <c r="EB46">
        <v>9.2686869999999994E-3</v>
      </c>
      <c r="EC46">
        <v>1.4621390000000001E-3</v>
      </c>
      <c r="ED46" s="66">
        <v>6.3973139999999997E-6</v>
      </c>
      <c r="EE46">
        <v>7.2106899999999996E-4</v>
      </c>
      <c r="EF46">
        <v>4.9136789999999998E-3</v>
      </c>
      <c r="EG46" s="66">
        <v>2.7936340000000002E-5</v>
      </c>
      <c r="EH46">
        <v>4.2600439999999998E-4</v>
      </c>
      <c r="EI46">
        <v>1.0706810000000001E-4</v>
      </c>
      <c r="EJ46">
        <v>5.7218329999999997E-4</v>
      </c>
      <c r="EK46">
        <v>9.503507E-4</v>
      </c>
      <c r="EL46">
        <v>5.4615869999999995E-4</v>
      </c>
      <c r="EM46">
        <v>3.59806E-4</v>
      </c>
      <c r="EN46">
        <v>2.296967E-3</v>
      </c>
      <c r="EO46">
        <v>1.0061320000000001E-3</v>
      </c>
      <c r="EP46">
        <v>2.336276E-3</v>
      </c>
      <c r="EQ46">
        <v>1.064857E-3</v>
      </c>
      <c r="ER46">
        <v>4.1610349999999998E-4</v>
      </c>
      <c r="ES46">
        <v>8.9517009999999996E-4</v>
      </c>
      <c r="ET46">
        <v>1.038096E-2</v>
      </c>
      <c r="EU46">
        <v>2.7077999999999998E-3</v>
      </c>
      <c r="EV46">
        <v>8.0031459999999992E-3</v>
      </c>
      <c r="EW46">
        <v>7.5171030000000005E-4</v>
      </c>
      <c r="EX46">
        <v>4.4176969999999999E-3</v>
      </c>
      <c r="EY46">
        <v>6.576602E-3</v>
      </c>
      <c r="EZ46">
        <v>1.472517E-3</v>
      </c>
      <c r="FA46">
        <v>1.0938230000000001E-3</v>
      </c>
      <c r="FB46">
        <v>1.1353590000000001E-3</v>
      </c>
      <c r="FC46">
        <v>1.930976E-3</v>
      </c>
      <c r="FD46">
        <v>5.6601959999999995E-4</v>
      </c>
      <c r="FE46">
        <v>2.7099209999999999E-2</v>
      </c>
      <c r="FF46">
        <v>1.171351E-2</v>
      </c>
      <c r="FG46">
        <v>7.047322E-3</v>
      </c>
      <c r="FH46">
        <v>6.4510109999999996E-4</v>
      </c>
      <c r="FI46">
        <v>1.40197E-3</v>
      </c>
      <c r="FJ46">
        <v>8.5616279999999999E-3</v>
      </c>
      <c r="FK46">
        <v>0.230337514855084</v>
      </c>
      <c r="FL46">
        <v>6.5877828318560802E-2</v>
      </c>
      <c r="FM46">
        <v>0.83814571755813105</v>
      </c>
      <c r="FN46">
        <v>0.36087751970270099</v>
      </c>
      <c r="FO46">
        <v>0.29928410550792001</v>
      </c>
      <c r="FP46">
        <v>0.25747239028011498</v>
      </c>
      <c r="FQ46">
        <v>0.27853897595303101</v>
      </c>
      <c r="FR46">
        <v>0.18123871854798701</v>
      </c>
      <c r="FS46">
        <v>0.33594498360102598</v>
      </c>
      <c r="FT46">
        <v>0.12181829395209801</v>
      </c>
      <c r="FU46">
        <v>0.20908465419789399</v>
      </c>
      <c r="FV46">
        <v>9.7896041923892299E-2</v>
      </c>
      <c r="FW46">
        <v>-0.126354559418105</v>
      </c>
      <c r="FX46">
        <v>4.9143837699880101E-2</v>
      </c>
      <c r="FY46">
        <v>0.25128375960890398</v>
      </c>
      <c r="FZ46">
        <v>0.178966493448038</v>
      </c>
      <c r="GA46">
        <v>-2.2616477899780399E-2</v>
      </c>
      <c r="GB46">
        <v>-9.9414163041166695E-2</v>
      </c>
      <c r="GC46">
        <v>0.15381413318774101</v>
      </c>
      <c r="GD46">
        <v>-0.11875791891226201</v>
      </c>
      <c r="GE46">
        <v>-2.9389708386176501E-2</v>
      </c>
      <c r="GF46">
        <v>0.14481236963100799</v>
      </c>
      <c r="GG46">
        <v>0.14539757999987901</v>
      </c>
      <c r="GH46">
        <v>0.13847018136925399</v>
      </c>
      <c r="GI46">
        <v>3.0204966496599501E-2</v>
      </c>
      <c r="GJ46">
        <v>0.46044873044916701</v>
      </c>
      <c r="GK46">
        <v>0.14999687007555201</v>
      </c>
      <c r="GL46">
        <v>-0.24396060295452299</v>
      </c>
      <c r="GM46">
        <v>-0.179559233923544</v>
      </c>
      <c r="GN46">
        <v>-0.20636463931944901</v>
      </c>
      <c r="GO46">
        <v>-2.3935496039062101E-2</v>
      </c>
      <c r="GP46">
        <v>-0.21280209537749301</v>
      </c>
      <c r="GR46" s="66"/>
      <c r="GT46" s="66"/>
      <c r="GV46" s="66"/>
      <c r="GW46" s="65"/>
      <c r="GZ46" s="66"/>
      <c r="HK46" s="1"/>
      <c r="HL46" s="1"/>
      <c r="HM46" s="1"/>
      <c r="HN46" s="1"/>
      <c r="HO46" s="65"/>
      <c r="HP46" s="65"/>
      <c r="HQ46" s="65"/>
      <c r="HV46" s="65"/>
      <c r="HW46" s="65"/>
      <c r="HX46" s="65"/>
    </row>
    <row r="47" spans="1:278" ht="15.75" x14ac:dyDescent="0.25">
      <c r="A47" s="3" t="s">
        <v>100</v>
      </c>
      <c r="B47" s="3" t="s">
        <v>100</v>
      </c>
      <c r="C47" s="2" t="s">
        <v>782</v>
      </c>
      <c r="D47" s="2" t="s">
        <v>489</v>
      </c>
      <c r="E47" s="2" t="s">
        <v>489</v>
      </c>
      <c r="F47" s="2">
        <v>46</v>
      </c>
      <c r="G47" s="2" t="s">
        <v>781</v>
      </c>
      <c r="H47" s="10" t="s">
        <v>656</v>
      </c>
      <c r="I47" s="2">
        <v>150</v>
      </c>
      <c r="J47" s="2">
        <v>100</v>
      </c>
      <c r="K47" s="12">
        <v>5.2</v>
      </c>
      <c r="L47" t="s">
        <v>275</v>
      </c>
      <c r="M47" s="2" t="s">
        <v>1120</v>
      </c>
      <c r="N47" s="2" t="s">
        <v>436</v>
      </c>
      <c r="O47" s="2" t="s">
        <v>673</v>
      </c>
      <c r="P47" s="2" t="s">
        <v>1128</v>
      </c>
      <c r="Q47" s="9" t="s">
        <v>728</v>
      </c>
      <c r="R47" s="2" t="str">
        <f t="shared" si="0"/>
        <v>CW_2_Section_3</v>
      </c>
      <c r="S47" s="2" t="str">
        <f t="shared" si="1"/>
        <v>CW_2_MF10</v>
      </c>
      <c r="T47" s="11" t="s">
        <v>751</v>
      </c>
      <c r="U47" s="1">
        <v>45580</v>
      </c>
      <c r="V47" s="2" t="s">
        <v>752</v>
      </c>
      <c r="W47" s="2" t="s">
        <v>663</v>
      </c>
      <c r="X47" s="2" t="s">
        <v>750</v>
      </c>
      <c r="Y47" s="2" t="str">
        <f t="shared" si="2"/>
        <v>T1_MF10</v>
      </c>
      <c r="Z47" s="2" t="str">
        <f t="shared" si="3"/>
        <v>T1_CW_2_MF10</v>
      </c>
      <c r="AA47" s="2" t="str">
        <f t="shared" si="4"/>
        <v>T1_0.60-0.80</v>
      </c>
      <c r="AB47" s="2">
        <v>64</v>
      </c>
      <c r="AC47" s="2">
        <v>2.105</v>
      </c>
      <c r="AD47" s="2">
        <v>-1.1599999999999999</v>
      </c>
      <c r="AE47" s="2">
        <v>1</v>
      </c>
      <c r="AF47" t="s">
        <v>47</v>
      </c>
      <c r="AG47" t="s">
        <v>1237</v>
      </c>
      <c r="AH47">
        <v>69</v>
      </c>
      <c r="AI47">
        <v>27</v>
      </c>
      <c r="AJ47">
        <v>0.36</v>
      </c>
      <c r="AK47">
        <v>0.73</v>
      </c>
      <c r="AL47">
        <v>11.9</v>
      </c>
      <c r="AM47">
        <v>-105</v>
      </c>
      <c r="AN47">
        <v>7.01</v>
      </c>
      <c r="AO47">
        <v>610</v>
      </c>
      <c r="AP47">
        <v>0.2</v>
      </c>
      <c r="AQ47">
        <v>0.01</v>
      </c>
      <c r="AR47">
        <v>13</v>
      </c>
      <c r="AS47">
        <v>12</v>
      </c>
      <c r="AT47">
        <v>680</v>
      </c>
      <c r="AU47" s="32">
        <f t="shared" si="16"/>
        <v>0.26117014466777622</v>
      </c>
      <c r="AV47">
        <v>23</v>
      </c>
      <c r="AW47" s="32">
        <f t="shared" si="61"/>
        <v>8.98632515736922E-3</v>
      </c>
      <c r="AX47">
        <v>510</v>
      </c>
      <c r="AY47" s="32">
        <f t="shared" si="17"/>
        <v>0.20175190731845152</v>
      </c>
      <c r="AZ47">
        <v>180</v>
      </c>
      <c r="BA47" s="32">
        <f t="shared" si="18"/>
        <v>7.120655552415936E-2</v>
      </c>
      <c r="BB47">
        <v>120</v>
      </c>
      <c r="BC47" s="32">
        <f t="shared" si="19"/>
        <v>4.7471037016106249E-2</v>
      </c>
      <c r="BD47">
        <v>300</v>
      </c>
      <c r="BF47" s="48">
        <v>1513</v>
      </c>
      <c r="BG47" s="48">
        <f t="shared" si="20"/>
        <v>0.47190837714359701</v>
      </c>
      <c r="BH47">
        <v>2700</v>
      </c>
      <c r="BI47" s="32">
        <f t="shared" si="21"/>
        <v>1.0111570570336272</v>
      </c>
      <c r="BJ47" s="47">
        <v>2000</v>
      </c>
      <c r="BK47" s="27">
        <f t="shared" si="22"/>
        <v>0.74900522743231646</v>
      </c>
      <c r="BL47" s="47">
        <v>99</v>
      </c>
      <c r="BM47" s="27">
        <f t="shared" si="23"/>
        <v>3.6428149024246008E-2</v>
      </c>
      <c r="BN47" s="47">
        <v>68</v>
      </c>
      <c r="BO47" s="27">
        <f t="shared" si="24"/>
        <v>2.5575513909603786E-2</v>
      </c>
      <c r="BP47" s="47">
        <v>24</v>
      </c>
      <c r="BQ47" s="27">
        <f t="shared" si="25"/>
        <v>8.9519913367825769E-3</v>
      </c>
      <c r="BR47" s="47">
        <v>6.7</v>
      </c>
      <c r="BS47" s="27">
        <f t="shared" si="26"/>
        <v>2.4810637939740783E-3</v>
      </c>
      <c r="BT47" s="47">
        <v>1.2</v>
      </c>
      <c r="BU47" s="27">
        <f t="shared" si="27"/>
        <v>4.4436963474162597E-4</v>
      </c>
      <c r="BV47" s="47">
        <v>0.08</v>
      </c>
      <c r="BW47" s="27">
        <f t="shared" si="28"/>
        <v>2.9270704573547589E-5</v>
      </c>
      <c r="BX47" s="47">
        <v>0.04</v>
      </c>
      <c r="BY47" s="27">
        <f t="shared" si="29"/>
        <v>1.4635352286773795E-5</v>
      </c>
      <c r="BZ47" s="51">
        <f t="shared" si="30"/>
        <v>2199.0199999999995</v>
      </c>
      <c r="CA47" s="51">
        <f t="shared" si="31"/>
        <v>199.01999999999998</v>
      </c>
      <c r="CB47" s="27">
        <f t="shared" si="32"/>
        <v>0.82293022118852477</v>
      </c>
      <c r="CC47" s="27">
        <f t="shared" si="33"/>
        <v>7.3924993756208382E-2</v>
      </c>
      <c r="CD47">
        <v>5600</v>
      </c>
      <c r="CE47">
        <v>1300</v>
      </c>
      <c r="CF47" t="s">
        <v>19</v>
      </c>
      <c r="CG47">
        <v>6900</v>
      </c>
      <c r="CH47" s="32">
        <v>2</v>
      </c>
      <c r="CI47" s="32">
        <f t="shared" si="34"/>
        <v>3.5810205908683973E-2</v>
      </c>
      <c r="CJ47" s="32">
        <f t="shared" si="35"/>
        <v>3.5810205908683973E-2</v>
      </c>
      <c r="CK47" s="32">
        <v>2</v>
      </c>
      <c r="CL47" s="32">
        <f t="shared" si="36"/>
        <v>3.6409976333515386E-2</v>
      </c>
      <c r="CM47" s="32">
        <f t="shared" si="37"/>
        <v>7.2819952667030771E-2</v>
      </c>
      <c r="CN47" s="27">
        <v>47</v>
      </c>
      <c r="CO47" s="27">
        <f t="shared" si="38"/>
        <v>0.48927753487403702</v>
      </c>
      <c r="CP47" s="27">
        <f t="shared" si="39"/>
        <v>3.9142202789922962</v>
      </c>
      <c r="CQ47" s="57">
        <v>31</v>
      </c>
      <c r="CR47" s="57">
        <v>39.743589743589745</v>
      </c>
      <c r="CS47" s="57">
        <v>2.5817197584842808</v>
      </c>
      <c r="CT47" s="57">
        <f t="shared" si="40"/>
        <v>2.5817197584842808</v>
      </c>
      <c r="CU47" s="28">
        <v>-5</v>
      </c>
      <c r="CV47" s="28">
        <v>-11.904761904761903</v>
      </c>
      <c r="CW47" s="28">
        <v>-0.41640641265875494</v>
      </c>
      <c r="CX47" s="28">
        <f t="shared" si="41"/>
        <v>0</v>
      </c>
      <c r="CY47" s="32">
        <f t="shared" si="42"/>
        <v>18.020403914220278</v>
      </c>
      <c r="CZ47" s="32">
        <f t="shared" si="43"/>
        <v>18.020403914220278</v>
      </c>
      <c r="DA47" s="32">
        <f t="shared" si="44"/>
        <v>20.020403914220278</v>
      </c>
      <c r="DB47" s="32">
        <f t="shared" si="45"/>
        <v>0.35846739327162536</v>
      </c>
      <c r="DC47" s="32">
        <f t="shared" si="46"/>
        <v>0.35846739327162536</v>
      </c>
      <c r="DD47" s="59">
        <f t="shared" si="47"/>
        <v>-2.9065167603581092</v>
      </c>
      <c r="DE47" s="59">
        <f t="shared" si="48"/>
        <v>0</v>
      </c>
      <c r="DF47" s="59">
        <f t="shared" si="49"/>
        <v>2</v>
      </c>
      <c r="DG47" s="59">
        <f t="shared" si="50"/>
        <v>3.5810205908683973E-2</v>
      </c>
      <c r="DH47" s="59">
        <f t="shared" si="51"/>
        <v>3.5810205908683973E-2</v>
      </c>
      <c r="DI47" s="32">
        <f t="shared" si="52"/>
        <v>3.9142202789922962</v>
      </c>
      <c r="DJ47" s="32">
        <f t="shared" si="53"/>
        <v>4</v>
      </c>
      <c r="DK47" s="32">
        <f t="shared" si="54"/>
        <v>0.10863015857571474</v>
      </c>
      <c r="DL47">
        <f t="shared" si="60"/>
        <v>3.013007104422937</v>
      </c>
      <c r="DM47">
        <f t="shared" si="62"/>
        <v>2.4168530024418093E-2</v>
      </c>
      <c r="DN47">
        <f t="shared" si="63"/>
        <v>0.11897329838532872</v>
      </c>
      <c r="DO47">
        <f t="shared" si="64"/>
        <v>0.85685817159025324</v>
      </c>
      <c r="DP47">
        <f t="shared" si="55"/>
        <v>0.10863015857571474</v>
      </c>
      <c r="DQ47">
        <f t="shared" si="65"/>
        <v>0.67034747644481785</v>
      </c>
      <c r="DR47">
        <f t="shared" si="66"/>
        <v>0.3296525235551821</v>
      </c>
      <c r="DS47">
        <f t="shared" si="67"/>
        <v>0</v>
      </c>
      <c r="DT47" s="63">
        <f t="shared" si="68"/>
        <v>-1.5299416702457127</v>
      </c>
      <c r="DU47" s="63">
        <f t="shared" si="69"/>
        <v>1.3744352756015095</v>
      </c>
      <c r="DV47" s="63">
        <f t="shared" si="70"/>
        <v>-1.4560166764895044</v>
      </c>
      <c r="DW47" s="63">
        <f t="shared" si="71"/>
        <v>1.4483602693577178</v>
      </c>
      <c r="DX47" t="str">
        <f t="shared" si="57"/>
        <v>Sufficient Capacity</v>
      </c>
      <c r="DY47" t="str">
        <f t="shared" si="58"/>
        <v>Insufficient Capacity</v>
      </c>
      <c r="DZ47" t="str">
        <f t="shared" si="59"/>
        <v>Sulfate Dominant electron acceptor</v>
      </c>
      <c r="EA47" t="str">
        <f t="shared" si="72"/>
        <v>Iron Dominant electron acceptor</v>
      </c>
      <c r="EB47">
        <v>8.9807029999999996E-3</v>
      </c>
      <c r="EC47">
        <v>1.572492E-3</v>
      </c>
      <c r="ED47" s="66">
        <v>7.2042449999999995E-7</v>
      </c>
      <c r="EE47">
        <v>5.6234269999999999E-4</v>
      </c>
      <c r="EF47">
        <v>4.9365290000000003E-3</v>
      </c>
      <c r="EG47" s="66">
        <v>1.952844E-5</v>
      </c>
      <c r="EH47">
        <v>2.9527159999999999E-4</v>
      </c>
      <c r="EI47" s="66">
        <v>7.9411960000000002E-5</v>
      </c>
      <c r="EJ47">
        <v>5.7828670000000003E-4</v>
      </c>
      <c r="EK47">
        <v>8.8739199999999998E-4</v>
      </c>
      <c r="EL47">
        <v>4.7810840000000001E-4</v>
      </c>
      <c r="EM47">
        <v>2.8564490000000003E-4</v>
      </c>
      <c r="EN47">
        <v>2.0388369999999999E-3</v>
      </c>
      <c r="EO47">
        <v>8.5143420000000005E-4</v>
      </c>
      <c r="EP47">
        <v>2.0493360000000001E-3</v>
      </c>
      <c r="EQ47">
        <v>1.299419E-3</v>
      </c>
      <c r="ER47">
        <v>4.3040180000000002E-4</v>
      </c>
      <c r="ES47">
        <v>6.678284E-4</v>
      </c>
      <c r="ET47">
        <v>7.6973019999999996E-3</v>
      </c>
      <c r="EU47">
        <v>2.5653949999999998E-3</v>
      </c>
      <c r="EV47">
        <v>8.8987549999999995E-3</v>
      </c>
      <c r="EW47">
        <v>6.5641460000000001E-4</v>
      </c>
      <c r="EX47">
        <v>5.1554039999999997E-3</v>
      </c>
      <c r="EY47">
        <v>7.1038020000000002E-3</v>
      </c>
      <c r="EZ47">
        <v>1.330655E-3</v>
      </c>
      <c r="FA47">
        <v>8.6214240000000001E-4</v>
      </c>
      <c r="FB47">
        <v>8.9141109999999997E-4</v>
      </c>
      <c r="FC47">
        <v>1.691969E-3</v>
      </c>
      <c r="FD47">
        <v>4.1420630000000002E-4</v>
      </c>
      <c r="FE47">
        <v>2.469901E-2</v>
      </c>
      <c r="FF47">
        <v>1.983619E-2</v>
      </c>
      <c r="FG47">
        <v>1.0860959999999999E-2</v>
      </c>
      <c r="FH47">
        <v>7.749826E-4</v>
      </c>
      <c r="FI47">
        <v>1.407031E-3</v>
      </c>
      <c r="FJ47">
        <v>1.3003270000000001E-2</v>
      </c>
      <c r="FK47">
        <v>-1.8285867740628299E-2</v>
      </c>
      <c r="FL47">
        <v>7.05173325782011E-2</v>
      </c>
      <c r="FM47">
        <v>0.48008923188527702</v>
      </c>
      <c r="FN47">
        <v>-5.6765444099067296E-3</v>
      </c>
      <c r="FO47">
        <v>4.6801152789210899E-4</v>
      </c>
      <c r="FP47">
        <v>0.26808276214544302</v>
      </c>
      <c r="FQ47">
        <v>0.20999472538959801</v>
      </c>
      <c r="FR47">
        <v>4.8166610719500902E-2</v>
      </c>
      <c r="FS47">
        <v>0.105129417286495</v>
      </c>
      <c r="FT47">
        <v>2.6082841626546799E-3</v>
      </c>
      <c r="FU47">
        <v>4.2138321142673803E-2</v>
      </c>
      <c r="FV47">
        <v>-3.3146328504210003E-2</v>
      </c>
      <c r="FW47">
        <v>7.2722164226991695E-2</v>
      </c>
      <c r="FX47">
        <v>8.2929001301765795E-2</v>
      </c>
      <c r="FY47">
        <v>-4.1698742165364101E-2</v>
      </c>
      <c r="FZ47">
        <v>-0.120136987713847</v>
      </c>
      <c r="GA47">
        <v>-7.6640512110738995E-2</v>
      </c>
      <c r="GB47">
        <v>6.6625018939694396E-3</v>
      </c>
      <c r="GC47">
        <v>1.82557243269637E-2</v>
      </c>
      <c r="GD47">
        <v>3.5669046423179501E-2</v>
      </c>
      <c r="GE47">
        <v>4.7722226717595198E-2</v>
      </c>
      <c r="GF47">
        <v>4.3510490370137801E-2</v>
      </c>
      <c r="GG47">
        <v>-9.2616144065969394E-2</v>
      </c>
      <c r="GH47">
        <v>-0.10342828533644501</v>
      </c>
      <c r="GI47">
        <v>-0.10192766857598</v>
      </c>
      <c r="GJ47">
        <v>0.148184182759558</v>
      </c>
      <c r="GK47">
        <v>5.7255455765324599E-2</v>
      </c>
      <c r="GL47">
        <v>0.28280456766641598</v>
      </c>
      <c r="GM47">
        <v>0.25296778796168201</v>
      </c>
      <c r="GN47">
        <v>-2.2931110529778899E-2</v>
      </c>
      <c r="GO47">
        <v>-2.0332075836456898E-2</v>
      </c>
      <c r="GP47">
        <v>0.20510840992878701</v>
      </c>
      <c r="GT47" s="66"/>
      <c r="GV47" s="66"/>
      <c r="HK47" s="1"/>
      <c r="HL47" s="1"/>
      <c r="HM47" s="65"/>
      <c r="HN47" s="1"/>
      <c r="HO47" s="65"/>
      <c r="HP47" s="65"/>
      <c r="HQ47" s="65"/>
      <c r="HS47" s="65"/>
      <c r="HV47" s="65"/>
      <c r="HW47" s="65"/>
      <c r="HX47" s="65"/>
      <c r="JH47" s="66"/>
      <c r="JJ47" s="66"/>
      <c r="JL47" s="66"/>
      <c r="JN47" s="66"/>
    </row>
    <row r="48" spans="1:278" ht="15.75" x14ac:dyDescent="0.25">
      <c r="A48" s="3" t="s">
        <v>101</v>
      </c>
      <c r="B48" s="3" t="s">
        <v>101</v>
      </c>
      <c r="C48" s="2" t="s">
        <v>784</v>
      </c>
      <c r="D48" s="2" t="s">
        <v>490</v>
      </c>
      <c r="E48" s="2" t="s">
        <v>490</v>
      </c>
      <c r="F48" s="2">
        <v>47</v>
      </c>
      <c r="G48" s="2" t="s">
        <v>783</v>
      </c>
      <c r="H48" s="10" t="s">
        <v>656</v>
      </c>
      <c r="I48" s="2">
        <v>150</v>
      </c>
      <c r="J48" s="2">
        <v>100</v>
      </c>
      <c r="K48" s="12">
        <v>8.35</v>
      </c>
      <c r="L48" t="s">
        <v>277</v>
      </c>
      <c r="M48" s="2" t="s">
        <v>1120</v>
      </c>
      <c r="N48" s="2" t="s">
        <v>437</v>
      </c>
      <c r="O48" s="2" t="s">
        <v>653</v>
      </c>
      <c r="P48" s="2" t="s">
        <v>1123</v>
      </c>
      <c r="Q48" s="9" t="s">
        <v>731</v>
      </c>
      <c r="R48" s="2" t="str">
        <f t="shared" si="0"/>
        <v>CW_3_Section_1</v>
      </c>
      <c r="S48" s="2" t="str">
        <f t="shared" si="1"/>
        <v>CW_3_MF01</v>
      </c>
      <c r="T48" s="11" t="s">
        <v>751</v>
      </c>
      <c r="U48" s="1">
        <v>45582</v>
      </c>
      <c r="V48" s="2" t="s">
        <v>752</v>
      </c>
      <c r="W48" s="2" t="s">
        <v>655</v>
      </c>
      <c r="X48" s="2" t="s">
        <v>750</v>
      </c>
      <c r="Y48" s="2" t="str">
        <f t="shared" si="2"/>
        <v>T1_MF01</v>
      </c>
      <c r="Z48" s="2" t="str">
        <f t="shared" si="3"/>
        <v>T1_CW_3_MF01</v>
      </c>
      <c r="AA48" s="2" t="str">
        <f t="shared" si="4"/>
        <v>T1_0.15-0.30</v>
      </c>
      <c r="AB48" s="2">
        <v>64</v>
      </c>
      <c r="AC48" s="2">
        <v>2.105</v>
      </c>
      <c r="AD48" s="2">
        <v>-1.1599999999999999</v>
      </c>
      <c r="AE48" s="2">
        <v>1</v>
      </c>
      <c r="AF48" t="s">
        <v>51</v>
      </c>
      <c r="AG48" t="s">
        <v>1237</v>
      </c>
      <c r="AH48">
        <v>65</v>
      </c>
      <c r="AI48">
        <v>24</v>
      </c>
      <c r="AJ48">
        <v>5.0999999999999996</v>
      </c>
      <c r="AK48">
        <v>7.48</v>
      </c>
      <c r="AL48">
        <v>13.1</v>
      </c>
      <c r="AM48">
        <v>-95</v>
      </c>
      <c r="AN48">
        <v>6.99</v>
      </c>
      <c r="AO48">
        <v>1080</v>
      </c>
      <c r="AP48">
        <v>0.2</v>
      </c>
      <c r="AQ48">
        <v>0.01</v>
      </c>
      <c r="AR48">
        <v>31</v>
      </c>
      <c r="AS48">
        <v>14</v>
      </c>
      <c r="AT48">
        <v>380</v>
      </c>
      <c r="AU48" s="32">
        <f t="shared" si="16"/>
        <v>0.14594802202022789</v>
      </c>
      <c r="AV48">
        <v>9.1</v>
      </c>
      <c r="AW48" s="32">
        <f t="shared" si="61"/>
        <v>3.5554590840026047E-3</v>
      </c>
      <c r="AX48">
        <v>66</v>
      </c>
      <c r="AY48" s="32">
        <f t="shared" si="17"/>
        <v>2.6109070358858434E-2</v>
      </c>
      <c r="AZ48">
        <v>37</v>
      </c>
      <c r="BA48" s="32">
        <f t="shared" si="18"/>
        <v>1.4636903079966092E-2</v>
      </c>
      <c r="BB48">
        <v>27</v>
      </c>
      <c r="BC48" s="32">
        <f t="shared" si="19"/>
        <v>1.0680983328623906E-2</v>
      </c>
      <c r="BD48">
        <v>64</v>
      </c>
      <c r="BF48" s="48">
        <v>519.1</v>
      </c>
      <c r="BG48" s="48">
        <f t="shared" si="20"/>
        <v>0.17561255146308891</v>
      </c>
      <c r="BH48">
        <v>60</v>
      </c>
      <c r="BI48" s="32">
        <f t="shared" si="21"/>
        <v>2.2470156822969493E-2</v>
      </c>
      <c r="BJ48" s="47">
        <v>110</v>
      </c>
      <c r="BK48" s="27">
        <f t="shared" si="22"/>
        <v>4.1195287508777406E-2</v>
      </c>
      <c r="BL48" s="47">
        <v>3.8</v>
      </c>
      <c r="BM48" s="27">
        <f t="shared" si="23"/>
        <v>1.3982521847690386E-3</v>
      </c>
      <c r="BN48" s="47">
        <v>2.2000000000000002</v>
      </c>
      <c r="BO48" s="27">
        <f t="shared" si="24"/>
        <v>8.2744309707541669E-4</v>
      </c>
      <c r="BP48" s="47">
        <v>0.66</v>
      </c>
      <c r="BQ48" s="27">
        <f t="shared" si="25"/>
        <v>2.461797617615209E-4</v>
      </c>
      <c r="BR48" s="47">
        <v>0.24</v>
      </c>
      <c r="BS48" s="27">
        <f t="shared" si="26"/>
        <v>8.88739269483252E-5</v>
      </c>
      <c r="BT48" s="47">
        <v>0.01</v>
      </c>
      <c r="BU48" s="27">
        <f t="shared" si="27"/>
        <v>3.7030802895135499E-6</v>
      </c>
      <c r="BV48" s="47">
        <v>1E-3</v>
      </c>
      <c r="BW48" s="27">
        <f t="shared" si="28"/>
        <v>3.6588380716934485E-7</v>
      </c>
      <c r="BX48" s="47">
        <v>2E-3</v>
      </c>
      <c r="BY48" s="27">
        <f t="shared" si="29"/>
        <v>7.3176761433868969E-7</v>
      </c>
      <c r="BZ48" s="51">
        <f t="shared" si="30"/>
        <v>116.913</v>
      </c>
      <c r="CA48" s="51">
        <f t="shared" si="31"/>
        <v>6.9130000000000003</v>
      </c>
      <c r="CB48" s="27">
        <f t="shared" si="32"/>
        <v>4.3760837211042722E-2</v>
      </c>
      <c r="CC48" s="27">
        <f t="shared" si="33"/>
        <v>2.5655497022653235E-3</v>
      </c>
      <c r="CD48">
        <v>75</v>
      </c>
      <c r="CE48">
        <v>2.5</v>
      </c>
      <c r="CF48" t="s">
        <v>19</v>
      </c>
      <c r="CG48">
        <v>95</v>
      </c>
      <c r="CH48" s="32">
        <v>26</v>
      </c>
      <c r="CI48" s="32">
        <f t="shared" si="34"/>
        <v>0.46553267681289168</v>
      </c>
      <c r="CJ48" s="32">
        <f t="shared" si="35"/>
        <v>0.46553267681289168</v>
      </c>
      <c r="CK48" s="32">
        <v>4.5999999999999996</v>
      </c>
      <c r="CL48" s="32">
        <f t="shared" si="36"/>
        <v>8.3742945567085378E-2</v>
      </c>
      <c r="CM48" s="32">
        <f t="shared" si="37"/>
        <v>0.16748589113417076</v>
      </c>
      <c r="CN48" s="27">
        <v>0.5</v>
      </c>
      <c r="CO48" s="27">
        <f t="shared" si="38"/>
        <v>5.2050801582344368E-3</v>
      </c>
      <c r="CP48" s="27">
        <f t="shared" si="39"/>
        <v>4.1640641265875494E-2</v>
      </c>
      <c r="CQ48" s="57">
        <v>77.5</v>
      </c>
      <c r="CR48" s="57">
        <v>99.358974358974365</v>
      </c>
      <c r="CS48" s="57">
        <v>6.4542993962107014</v>
      </c>
      <c r="CT48" s="57">
        <f t="shared" si="40"/>
        <v>6.4542993962107014</v>
      </c>
      <c r="CU48" s="28">
        <v>77.5</v>
      </c>
      <c r="CV48" s="28">
        <v>99.358974358974365</v>
      </c>
      <c r="CW48" s="28">
        <v>6.4542993962107014</v>
      </c>
      <c r="CX48" s="28">
        <f t="shared" si="41"/>
        <v>6.4542993962107014</v>
      </c>
      <c r="CY48" s="32">
        <f t="shared" si="42"/>
        <v>45.051009785550697</v>
      </c>
      <c r="CZ48" s="32">
        <f t="shared" si="43"/>
        <v>45.051009785550697</v>
      </c>
      <c r="DA48" s="32">
        <f t="shared" si="44"/>
        <v>71.05100978555069</v>
      </c>
      <c r="DB48" s="32">
        <f t="shared" si="45"/>
        <v>1.2721756452202451</v>
      </c>
      <c r="DC48" s="32">
        <f t="shared" si="46"/>
        <v>1.2721756452202451</v>
      </c>
      <c r="DD48" s="59">
        <f t="shared" si="47"/>
        <v>45.051009785550697</v>
      </c>
      <c r="DE48" s="59">
        <f t="shared" si="48"/>
        <v>45.051009785550697</v>
      </c>
      <c r="DF48" s="59">
        <f t="shared" si="49"/>
        <v>71.05100978555069</v>
      </c>
      <c r="DG48" s="59">
        <f t="shared" si="50"/>
        <v>1.2721756452202451</v>
      </c>
      <c r="DH48" s="59">
        <f t="shared" si="51"/>
        <v>1.2721756452202451</v>
      </c>
      <c r="DI48" s="32">
        <f t="shared" si="52"/>
        <v>4.1640641265875494E-2</v>
      </c>
      <c r="DJ48" s="32">
        <f t="shared" si="53"/>
        <v>75.651009785550684</v>
      </c>
      <c r="DK48" s="32">
        <f t="shared" si="54"/>
        <v>1.4396615363544158</v>
      </c>
      <c r="DL48">
        <f t="shared" si="60"/>
        <v>7.8939609325651174</v>
      </c>
      <c r="DM48">
        <f t="shared" si="62"/>
        <v>2.1216964786744487E-2</v>
      </c>
      <c r="DN48">
        <f t="shared" si="63"/>
        <v>0.16115808731357067</v>
      </c>
      <c r="DO48">
        <f t="shared" si="64"/>
        <v>0.81762494789968476</v>
      </c>
      <c r="DP48">
        <f t="shared" si="55"/>
        <v>7.8939609325651174</v>
      </c>
      <c r="DQ48">
        <f t="shared" si="65"/>
        <v>2.1216964786744487E-2</v>
      </c>
      <c r="DR48">
        <f t="shared" si="66"/>
        <v>0.16115808731357067</v>
      </c>
      <c r="DS48">
        <f t="shared" si="67"/>
        <v>0.81762494789968476</v>
      </c>
      <c r="DT48" s="63">
        <f t="shared" si="68"/>
        <v>-7.6958782242790589</v>
      </c>
      <c r="DU48" s="63">
        <f t="shared" si="69"/>
        <v>-7.6958782242790589</v>
      </c>
      <c r="DV48" s="63">
        <f t="shared" si="70"/>
        <v>-7.6933126745767941</v>
      </c>
      <c r="DW48" s="63">
        <f t="shared" si="71"/>
        <v>-7.6933126745767941</v>
      </c>
      <c r="DX48" t="str">
        <f t="shared" si="57"/>
        <v>Sufficient Capacity</v>
      </c>
      <c r="DY48" t="str">
        <f t="shared" si="58"/>
        <v>Sufficient Capacity</v>
      </c>
      <c r="DZ48" t="str">
        <f t="shared" si="59"/>
        <v>Sulfate Dominant electron acceptor</v>
      </c>
      <c r="EA48" t="str">
        <f t="shared" si="72"/>
        <v>Sulfate Dominant electron acceptor</v>
      </c>
      <c r="EB48">
        <v>9.1711520000000001E-3</v>
      </c>
      <c r="EC48">
        <v>1.2823070000000001E-3</v>
      </c>
      <c r="ED48" s="66">
        <v>3.0361060000000002E-6</v>
      </c>
      <c r="EE48">
        <v>6.8116550000000002E-4</v>
      </c>
      <c r="EF48">
        <v>4.706104E-3</v>
      </c>
      <c r="EG48" s="66">
        <v>1.957851E-5</v>
      </c>
      <c r="EH48">
        <v>3.9916650000000001E-4</v>
      </c>
      <c r="EI48">
        <v>1.09578E-4</v>
      </c>
      <c r="EJ48">
        <v>5.1003259999999999E-4</v>
      </c>
      <c r="EK48">
        <v>8.60215E-4</v>
      </c>
      <c r="EL48">
        <v>4.6172109999999999E-4</v>
      </c>
      <c r="EM48">
        <v>3.2357559999999998E-4</v>
      </c>
      <c r="EN48">
        <v>2.2616590000000001E-3</v>
      </c>
      <c r="EO48">
        <v>9.0695529999999997E-4</v>
      </c>
      <c r="EP48">
        <v>2.349046E-3</v>
      </c>
      <c r="EQ48">
        <v>1.271919E-3</v>
      </c>
      <c r="ER48">
        <v>3.791849E-4</v>
      </c>
      <c r="ES48">
        <v>8.3612219999999998E-4</v>
      </c>
      <c r="ET48">
        <v>1.3605310000000001E-2</v>
      </c>
      <c r="EU48">
        <v>2.920036E-3</v>
      </c>
      <c r="EV48">
        <v>8.9789280000000006E-3</v>
      </c>
      <c r="EW48">
        <v>6.5702709999999995E-4</v>
      </c>
      <c r="EX48">
        <v>4.564813E-3</v>
      </c>
      <c r="EY48">
        <v>6.4812589999999996E-3</v>
      </c>
      <c r="EZ48">
        <v>1.4280409999999999E-3</v>
      </c>
      <c r="FA48">
        <v>1.1040360000000001E-3</v>
      </c>
      <c r="FB48">
        <v>1.153919E-3</v>
      </c>
      <c r="FC48">
        <v>1.889878E-3</v>
      </c>
      <c r="FD48">
        <v>4.3270359999999998E-4</v>
      </c>
      <c r="FE48">
        <v>2.456113E-2</v>
      </c>
      <c r="FF48">
        <v>1.1535739999999999E-2</v>
      </c>
      <c r="FG48">
        <v>6.846357E-3</v>
      </c>
      <c r="FH48">
        <v>6.0238809999999996E-4</v>
      </c>
      <c r="FI48">
        <v>1.4319319999999999E-3</v>
      </c>
      <c r="FJ48">
        <v>8.2655890000000003E-3</v>
      </c>
      <c r="FK48">
        <v>0.173407983320058</v>
      </c>
      <c r="FL48">
        <v>2.2715269427068901E-2</v>
      </c>
      <c r="FM48">
        <v>0.48264990344668701</v>
      </c>
      <c r="FN48">
        <v>0.29580646792851301</v>
      </c>
      <c r="FO48">
        <v>0.32245564933335702</v>
      </c>
      <c r="FP48">
        <v>0.14248764093355601</v>
      </c>
      <c r="FQ48">
        <v>0.17889025958848001</v>
      </c>
      <c r="FR48">
        <v>1.32901548357962E-2</v>
      </c>
      <c r="FS48">
        <v>0.22981276690351399</v>
      </c>
      <c r="FT48">
        <v>0.10632735169589</v>
      </c>
      <c r="FU48">
        <v>0.10530926497115101</v>
      </c>
      <c r="FV48">
        <v>0.10334712153845001</v>
      </c>
      <c r="FW48">
        <v>5.1331706381346501E-2</v>
      </c>
      <c r="FX48">
        <v>-4.3766240780300301E-2</v>
      </c>
      <c r="FY48">
        <v>0.18304477817783699</v>
      </c>
      <c r="FZ48">
        <v>0.449453292153843</v>
      </c>
      <c r="GA48">
        <v>5.2842969992661401E-2</v>
      </c>
      <c r="GB48">
        <v>1.5631621377711E-2</v>
      </c>
      <c r="GC48">
        <v>1.9188388554694E-2</v>
      </c>
      <c r="GD48">
        <v>-8.5998889136530601E-2</v>
      </c>
      <c r="GE48">
        <v>-4.3993125346473101E-2</v>
      </c>
      <c r="GF48">
        <v>0.114142763152355</v>
      </c>
      <c r="GG48">
        <v>0.15469123669915899</v>
      </c>
      <c r="GH48">
        <v>0.15468525586975801</v>
      </c>
      <c r="GI48">
        <v>8.6916686443743191E-3</v>
      </c>
      <c r="GJ48">
        <v>0.19187299091860899</v>
      </c>
      <c r="GK48">
        <v>5.1657405898827898E-2</v>
      </c>
      <c r="GL48">
        <v>-0.259253437311524</v>
      </c>
      <c r="GM48">
        <v>-0.20849023443967099</v>
      </c>
      <c r="GN48">
        <v>-0.27486976604368502</v>
      </c>
      <c r="GO48">
        <v>-2.78930504223052E-3</v>
      </c>
      <c r="GP48">
        <v>-0.247991461262174</v>
      </c>
      <c r="GR48" s="66"/>
      <c r="GT48" s="66"/>
      <c r="GV48" s="66"/>
      <c r="GW48" s="65"/>
      <c r="GX48" s="65"/>
      <c r="HK48" s="1"/>
      <c r="HL48" s="1"/>
      <c r="HM48" s="1"/>
      <c r="HN48" s="1"/>
      <c r="HO48" s="65"/>
      <c r="HP48" s="65"/>
      <c r="HQ48" s="65"/>
      <c r="HS48" s="65"/>
      <c r="HT48" s="65"/>
      <c r="HU48" s="65"/>
      <c r="HV48" s="65"/>
      <c r="HW48" s="65"/>
      <c r="HX48" s="65"/>
      <c r="JJ48" s="66"/>
      <c r="JL48" s="66"/>
      <c r="JN48" s="66"/>
    </row>
    <row r="49" spans="1:278" ht="15.75" x14ac:dyDescent="0.25">
      <c r="A49" s="3" t="s">
        <v>102</v>
      </c>
      <c r="B49" s="3" t="s">
        <v>102</v>
      </c>
      <c r="C49" s="2" t="s">
        <v>786</v>
      </c>
      <c r="D49" s="2" t="s">
        <v>491</v>
      </c>
      <c r="E49" s="2" t="s">
        <v>491</v>
      </c>
      <c r="F49" s="2">
        <v>48</v>
      </c>
      <c r="G49" s="2" t="s">
        <v>785</v>
      </c>
      <c r="H49" s="10" t="s">
        <v>656</v>
      </c>
      <c r="I49" s="2">
        <v>150</v>
      </c>
      <c r="J49" s="2">
        <v>100</v>
      </c>
      <c r="K49" s="12">
        <v>5</v>
      </c>
      <c r="L49" t="s">
        <v>276</v>
      </c>
      <c r="M49" s="2" t="s">
        <v>1120</v>
      </c>
      <c r="N49" s="2" t="s">
        <v>437</v>
      </c>
      <c r="O49" s="2" t="s">
        <v>653</v>
      </c>
      <c r="P49" s="2" t="s">
        <v>1124</v>
      </c>
      <c r="Q49" s="9" t="s">
        <v>734</v>
      </c>
      <c r="R49" s="2" t="str">
        <f t="shared" si="0"/>
        <v>CW_3_Section_1</v>
      </c>
      <c r="S49" s="2" t="str">
        <f t="shared" si="1"/>
        <v>CW_3_MF02</v>
      </c>
      <c r="T49" s="11" t="s">
        <v>751</v>
      </c>
      <c r="U49" s="1">
        <v>45580</v>
      </c>
      <c r="V49" s="2" t="s">
        <v>752</v>
      </c>
      <c r="W49" s="2" t="s">
        <v>663</v>
      </c>
      <c r="X49" s="2" t="s">
        <v>750</v>
      </c>
      <c r="Y49" s="2" t="str">
        <f t="shared" si="2"/>
        <v>T1_MF02</v>
      </c>
      <c r="Z49" s="2" t="str">
        <f t="shared" si="3"/>
        <v>T1_CW_3_MF02</v>
      </c>
      <c r="AA49" s="2" t="str">
        <f t="shared" si="4"/>
        <v>T1_0.60-0.80</v>
      </c>
      <c r="AB49" s="2">
        <v>64</v>
      </c>
      <c r="AC49" s="2">
        <v>2.105</v>
      </c>
      <c r="AD49" s="2">
        <v>-1.1599999999999999</v>
      </c>
      <c r="AE49" s="2">
        <v>1</v>
      </c>
      <c r="AF49" t="s">
        <v>53</v>
      </c>
      <c r="AG49" t="s">
        <v>1237</v>
      </c>
      <c r="AH49">
        <v>70</v>
      </c>
      <c r="AI49">
        <v>26</v>
      </c>
      <c r="AJ49">
        <v>0.76</v>
      </c>
      <c r="AK49">
        <v>0.45</v>
      </c>
      <c r="AL49">
        <v>13.1</v>
      </c>
      <c r="AM49">
        <v>-128</v>
      </c>
      <c r="AN49">
        <v>7.08</v>
      </c>
      <c r="AO49">
        <v>556</v>
      </c>
      <c r="AP49">
        <v>0.2</v>
      </c>
      <c r="AQ49">
        <v>0.01</v>
      </c>
      <c r="AR49">
        <v>11</v>
      </c>
      <c r="AS49">
        <v>11</v>
      </c>
      <c r="AT49">
        <v>800</v>
      </c>
      <c r="AU49" s="32">
        <f t="shared" si="16"/>
        <v>0.30725899372679555</v>
      </c>
      <c r="AV49">
        <v>47</v>
      </c>
      <c r="AW49" s="32">
        <f t="shared" si="61"/>
        <v>1.8363360104189274E-2</v>
      </c>
      <c r="AX49">
        <v>600</v>
      </c>
      <c r="AY49" s="32">
        <f t="shared" si="17"/>
        <v>0.23735518508053122</v>
      </c>
      <c r="AZ49">
        <v>250</v>
      </c>
      <c r="BA49" s="32">
        <f t="shared" si="18"/>
        <v>9.8897993783554669E-2</v>
      </c>
      <c r="BB49">
        <v>220</v>
      </c>
      <c r="BC49" s="32">
        <f t="shared" si="19"/>
        <v>8.7030234529528114E-2</v>
      </c>
      <c r="BD49">
        <v>470</v>
      </c>
      <c r="BF49" s="48">
        <v>1917</v>
      </c>
      <c r="BG49" s="48">
        <f t="shared" si="20"/>
        <v>0.56297753891151603</v>
      </c>
      <c r="BH49">
        <v>3900</v>
      </c>
      <c r="BI49" s="32">
        <f t="shared" si="21"/>
        <v>1.460560193493017</v>
      </c>
      <c r="BJ49" s="47">
        <v>3500</v>
      </c>
      <c r="BK49" s="27">
        <f t="shared" si="22"/>
        <v>1.3107591480065537</v>
      </c>
      <c r="BL49" s="47">
        <v>120</v>
      </c>
      <c r="BM49" s="27">
        <f t="shared" si="23"/>
        <v>4.4155332150601224E-2</v>
      </c>
      <c r="BN49" s="47">
        <v>120</v>
      </c>
      <c r="BO49" s="27">
        <f t="shared" si="24"/>
        <v>4.5133259840477273E-2</v>
      </c>
      <c r="BP49" s="47">
        <v>38</v>
      </c>
      <c r="BQ49" s="27">
        <f t="shared" si="25"/>
        <v>1.4173986283239081E-2</v>
      </c>
      <c r="BR49" s="47">
        <v>18</v>
      </c>
      <c r="BS49" s="27">
        <f t="shared" si="26"/>
        <v>6.66554452112439E-3</v>
      </c>
      <c r="BT49" s="47">
        <v>3.9</v>
      </c>
      <c r="BU49" s="27">
        <f t="shared" si="27"/>
        <v>1.4442013129102845E-3</v>
      </c>
      <c r="BV49" s="47">
        <v>0.51</v>
      </c>
      <c r="BW49" s="27">
        <f t="shared" si="28"/>
        <v>1.8660074165636589E-4</v>
      </c>
      <c r="BX49" s="47">
        <v>0.41</v>
      </c>
      <c r="BY49" s="27">
        <f t="shared" si="29"/>
        <v>1.5001236093943138E-4</v>
      </c>
      <c r="BZ49" s="51">
        <f t="shared" si="30"/>
        <v>3800.82</v>
      </c>
      <c r="CA49" s="51">
        <f t="shared" si="31"/>
        <v>300.82</v>
      </c>
      <c r="CB49" s="27">
        <f t="shared" si="32"/>
        <v>1.4226680852175018</v>
      </c>
      <c r="CC49" s="27">
        <f t="shared" si="33"/>
        <v>0.11190893721094806</v>
      </c>
      <c r="CD49">
        <v>5400</v>
      </c>
      <c r="CE49">
        <v>1500</v>
      </c>
      <c r="CF49" t="s">
        <v>19</v>
      </c>
      <c r="CG49">
        <v>7000</v>
      </c>
      <c r="CH49" s="32">
        <v>0.7</v>
      </c>
      <c r="CI49" s="32">
        <f t="shared" si="34"/>
        <v>1.253357206803939E-2</v>
      </c>
      <c r="CJ49" s="32">
        <f t="shared" si="35"/>
        <v>1.253357206803939E-2</v>
      </c>
      <c r="CK49" s="32">
        <v>1.2</v>
      </c>
      <c r="CL49" s="32">
        <f t="shared" si="36"/>
        <v>2.1845985800109231E-2</v>
      </c>
      <c r="CM49" s="32">
        <f t="shared" si="37"/>
        <v>4.3691971600218461E-2</v>
      </c>
      <c r="CN49" s="27">
        <v>61</v>
      </c>
      <c r="CO49" s="27">
        <f t="shared" si="38"/>
        <v>0.6350197793046013</v>
      </c>
      <c r="CP49" s="27">
        <f t="shared" si="39"/>
        <v>5.0801582344368104</v>
      </c>
      <c r="CQ49" s="57">
        <v>17</v>
      </c>
      <c r="CR49" s="57">
        <v>21.794871794871796</v>
      </c>
      <c r="CS49" s="57">
        <v>1.4157818030397669</v>
      </c>
      <c r="CT49" s="57">
        <f t="shared" si="40"/>
        <v>1.4157818030397669</v>
      </c>
      <c r="CU49" s="28">
        <v>17</v>
      </c>
      <c r="CV49" s="28">
        <v>21.794871794871796</v>
      </c>
      <c r="CW49" s="28">
        <v>1.4157818030397669</v>
      </c>
      <c r="CX49" s="28">
        <f t="shared" si="41"/>
        <v>1.4157818030397669</v>
      </c>
      <c r="CY49" s="32">
        <f t="shared" si="42"/>
        <v>9.8821569852175717</v>
      </c>
      <c r="CZ49" s="32">
        <f t="shared" si="43"/>
        <v>9.8821569852175717</v>
      </c>
      <c r="DA49" s="32">
        <f t="shared" si="44"/>
        <v>10.582156985217571</v>
      </c>
      <c r="DB49" s="32">
        <f t="shared" si="45"/>
        <v>0.18947461029932983</v>
      </c>
      <c r="DC49" s="32">
        <f t="shared" si="46"/>
        <v>0.18947461029932983</v>
      </c>
      <c r="DD49" s="59">
        <f t="shared" si="47"/>
        <v>9.8821569852175717</v>
      </c>
      <c r="DE49" s="59">
        <f t="shared" si="48"/>
        <v>9.8821569852175717</v>
      </c>
      <c r="DF49" s="59">
        <f t="shared" si="49"/>
        <v>10.582156985217571</v>
      </c>
      <c r="DG49" s="59">
        <f t="shared" si="50"/>
        <v>0.18947461029932983</v>
      </c>
      <c r="DH49" s="59">
        <f t="shared" si="51"/>
        <v>0.18947461029932983</v>
      </c>
      <c r="DI49" s="32">
        <f t="shared" si="52"/>
        <v>5.0801582344368104</v>
      </c>
      <c r="DJ49" s="32">
        <f t="shared" si="53"/>
        <v>11.78215698521757</v>
      </c>
      <c r="DK49" s="32">
        <f t="shared" si="54"/>
        <v>0.23316658189954828</v>
      </c>
      <c r="DL49">
        <f t="shared" si="60"/>
        <v>1.6489483849393152</v>
      </c>
      <c r="DM49">
        <f t="shared" si="62"/>
        <v>2.6496870368581258E-2</v>
      </c>
      <c r="DN49">
        <f t="shared" si="63"/>
        <v>0.11490633183542788</v>
      </c>
      <c r="DO49">
        <f t="shared" si="64"/>
        <v>0.85859679779599085</v>
      </c>
      <c r="DP49">
        <f t="shared" si="55"/>
        <v>1.6489483849393152</v>
      </c>
      <c r="DQ49">
        <f t="shared" si="65"/>
        <v>2.6496870368581258E-2</v>
      </c>
      <c r="DR49">
        <f t="shared" si="66"/>
        <v>0.11490633183542788</v>
      </c>
      <c r="DS49">
        <f t="shared" si="67"/>
        <v>0.85859679779599085</v>
      </c>
      <c r="DT49" s="63">
        <f t="shared" si="68"/>
        <v>0.37458934746521799</v>
      </c>
      <c r="DU49" s="63">
        <f t="shared" si="69"/>
        <v>0.37458934746521799</v>
      </c>
      <c r="DV49" s="63">
        <f t="shared" si="70"/>
        <v>0.48649828467616607</v>
      </c>
      <c r="DW49" s="63">
        <f t="shared" si="71"/>
        <v>0.48649828467616607</v>
      </c>
      <c r="DX49" t="str">
        <f t="shared" si="57"/>
        <v>Insufficient Capacity</v>
      </c>
      <c r="DY49" t="str">
        <f t="shared" si="58"/>
        <v>Insufficient Capacity</v>
      </c>
      <c r="DZ49" t="str">
        <f t="shared" si="59"/>
        <v>Sulfate Dominant electron acceptor</v>
      </c>
      <c r="EA49" t="str">
        <f t="shared" si="72"/>
        <v>Sulfate Dominant electron acceptor</v>
      </c>
      <c r="EB49">
        <v>9.3495980000000006E-3</v>
      </c>
      <c r="EC49">
        <v>1.5975220000000001E-3</v>
      </c>
      <c r="ED49" s="66">
        <v>2.3324010000000001E-6</v>
      </c>
      <c r="EE49">
        <v>6.0268340000000004E-4</v>
      </c>
      <c r="EF49">
        <v>4.388889E-3</v>
      </c>
      <c r="EG49" s="66">
        <v>5.1867039999999999E-6</v>
      </c>
      <c r="EH49">
        <v>2.491142E-4</v>
      </c>
      <c r="EI49" s="66">
        <v>7.3910279999999995E-5</v>
      </c>
      <c r="EJ49">
        <v>2.7180329999999998E-4</v>
      </c>
      <c r="EK49">
        <v>4.0024469999999998E-4</v>
      </c>
      <c r="EL49">
        <v>4.1211040000000001E-4</v>
      </c>
      <c r="EM49">
        <v>3.6309519999999998E-4</v>
      </c>
      <c r="EN49">
        <v>1.9467670000000001E-3</v>
      </c>
      <c r="EO49">
        <v>8.4915320000000002E-4</v>
      </c>
      <c r="EP49">
        <v>2.2090500000000002E-3</v>
      </c>
      <c r="EQ49">
        <v>1.2762940000000001E-3</v>
      </c>
      <c r="ER49">
        <v>3.2602720000000001E-4</v>
      </c>
      <c r="ES49">
        <v>5.4473119999999997E-4</v>
      </c>
      <c r="ET49">
        <v>7.7405249999999998E-3</v>
      </c>
      <c r="EU49">
        <v>2.5845809999999999E-3</v>
      </c>
      <c r="EV49">
        <v>9.3547370000000001E-3</v>
      </c>
      <c r="EW49">
        <v>6.9623850000000002E-4</v>
      </c>
      <c r="EX49">
        <v>5.5206839999999997E-3</v>
      </c>
      <c r="EY49">
        <v>6.8259669999999996E-3</v>
      </c>
      <c r="EZ49">
        <v>1.1729329999999999E-3</v>
      </c>
      <c r="FA49">
        <v>8.3831900000000002E-4</v>
      </c>
      <c r="FB49">
        <v>8.891684E-4</v>
      </c>
      <c r="FC49">
        <v>1.802056E-3</v>
      </c>
      <c r="FD49">
        <v>2.907276E-4</v>
      </c>
      <c r="FE49">
        <v>2.2951969999999999E-2</v>
      </c>
      <c r="FF49">
        <v>2.018379E-2</v>
      </c>
      <c r="FG49">
        <v>1.092009E-2</v>
      </c>
      <c r="FH49">
        <v>7.7108109999999999E-4</v>
      </c>
      <c r="FI49">
        <v>1.2289460000000001E-3</v>
      </c>
      <c r="FJ49">
        <v>1.401608E-2</v>
      </c>
      <c r="FK49">
        <v>5.0994699118323397E-2</v>
      </c>
      <c r="FL49">
        <v>-4.7069000194114502E-2</v>
      </c>
      <c r="FM49">
        <v>-0.84568420470115402</v>
      </c>
      <c r="FN49">
        <v>-0.17566072928963999</v>
      </c>
      <c r="FO49">
        <v>-7.1329049923696694E-2</v>
      </c>
      <c r="FP49">
        <v>-0.486908361386855</v>
      </c>
      <c r="FQ49">
        <v>-0.58621598834905297</v>
      </c>
      <c r="FR49">
        <v>-0.10037959968493999</v>
      </c>
      <c r="FS49">
        <v>0.34504504512671302</v>
      </c>
      <c r="FT49">
        <v>-4.3601215146858302E-2</v>
      </c>
      <c r="FU49">
        <v>3.9455717040222098E-2</v>
      </c>
      <c r="FV49">
        <v>4.1900392110366398E-2</v>
      </c>
      <c r="FW49">
        <v>5.4765488642680701E-2</v>
      </c>
      <c r="FX49">
        <v>-0.19480937622422301</v>
      </c>
      <c r="FY49">
        <v>-0.24543753448803299</v>
      </c>
      <c r="FZ49">
        <v>-0.114537350803626</v>
      </c>
      <c r="GA49">
        <v>-6.9189569130954504E-2</v>
      </c>
      <c r="GB49">
        <v>5.6633968603988699E-2</v>
      </c>
      <c r="GC49">
        <v>7.7155396872780294E-2</v>
      </c>
      <c r="GD49">
        <v>0.104125327166896</v>
      </c>
      <c r="GE49">
        <v>7.8261090541076293E-3</v>
      </c>
      <c r="GF49">
        <v>-8.2653362297023997E-2</v>
      </c>
      <c r="GG49">
        <v>-0.120637901997822</v>
      </c>
      <c r="GH49">
        <v>-0.105947354196847</v>
      </c>
      <c r="GI49">
        <v>-3.8892372794313297E-2</v>
      </c>
      <c r="GJ49">
        <v>-0.20579322983125101</v>
      </c>
      <c r="GK49">
        <v>-1.61039344911105E-2</v>
      </c>
      <c r="GL49">
        <v>0.300176327545354</v>
      </c>
      <c r="GM49">
        <v>0.25839729161372899</v>
      </c>
      <c r="GN49">
        <v>-2.79781319192836E-2</v>
      </c>
      <c r="GO49">
        <v>-0.15565699496218499</v>
      </c>
      <c r="GP49">
        <v>0.28011278757651098</v>
      </c>
      <c r="GY49" s="65"/>
      <c r="HK49" s="1"/>
      <c r="HL49" s="1"/>
      <c r="HM49" s="65"/>
      <c r="HN49" s="1"/>
      <c r="HO49" s="65"/>
      <c r="HP49" s="65"/>
      <c r="HQ49" s="65"/>
      <c r="HS49" s="65"/>
      <c r="HT49" s="65"/>
      <c r="HU49" s="65"/>
      <c r="HV49" s="65"/>
      <c r="HW49" s="65"/>
      <c r="HX49" s="65"/>
      <c r="JH49" s="66"/>
      <c r="JJ49" s="66"/>
      <c r="JL49" s="66"/>
      <c r="JN49" s="66"/>
    </row>
    <row r="50" spans="1:278" ht="15.75" x14ac:dyDescent="0.25">
      <c r="A50" s="3" t="s">
        <v>103</v>
      </c>
      <c r="B50" s="3" t="s">
        <v>103</v>
      </c>
      <c r="C50" s="2" t="s">
        <v>788</v>
      </c>
      <c r="D50" s="2" t="s">
        <v>492</v>
      </c>
      <c r="E50" s="2" t="s">
        <v>492</v>
      </c>
      <c r="F50" s="2">
        <v>49</v>
      </c>
      <c r="G50" s="2" t="s">
        <v>787</v>
      </c>
      <c r="H50" s="10" t="s">
        <v>656</v>
      </c>
      <c r="I50" s="2">
        <v>150</v>
      </c>
      <c r="J50" s="2">
        <v>100</v>
      </c>
      <c r="K50" s="12">
        <v>6.25</v>
      </c>
      <c r="L50" t="s">
        <v>278</v>
      </c>
      <c r="M50" s="2" t="s">
        <v>1120</v>
      </c>
      <c r="N50" s="2" t="s">
        <v>437</v>
      </c>
      <c r="O50" s="2" t="s">
        <v>666</v>
      </c>
      <c r="P50" s="2" t="s">
        <v>1131</v>
      </c>
      <c r="Q50" s="9" t="s">
        <v>737</v>
      </c>
      <c r="R50" s="2" t="str">
        <f t="shared" si="0"/>
        <v>CW_3_Section_2</v>
      </c>
      <c r="S50" s="2" t="str">
        <f t="shared" si="1"/>
        <v>CW_3_MF05</v>
      </c>
      <c r="T50" s="11" t="s">
        <v>751</v>
      </c>
      <c r="U50" s="1">
        <v>45582</v>
      </c>
      <c r="V50" s="2" t="s">
        <v>752</v>
      </c>
      <c r="W50" s="2" t="s">
        <v>655</v>
      </c>
      <c r="X50" s="2" t="s">
        <v>750</v>
      </c>
      <c r="Y50" s="2" t="str">
        <f t="shared" si="2"/>
        <v>T1_MF05</v>
      </c>
      <c r="Z50" s="2" t="str">
        <f t="shared" si="3"/>
        <v>T1_CW_3_MF05</v>
      </c>
      <c r="AA50" s="2" t="str">
        <f t="shared" si="4"/>
        <v>T1_0.15-0.30</v>
      </c>
      <c r="AB50" s="2">
        <v>64</v>
      </c>
      <c r="AC50" s="2">
        <v>2.105</v>
      </c>
      <c r="AD50" s="2">
        <v>-1.1599999999999999</v>
      </c>
      <c r="AE50" s="2">
        <v>1</v>
      </c>
      <c r="AF50" t="s">
        <v>55</v>
      </c>
      <c r="AG50" t="s">
        <v>1237</v>
      </c>
      <c r="AH50">
        <v>70</v>
      </c>
      <c r="AI50">
        <v>0.2</v>
      </c>
      <c r="AJ50">
        <v>0.26</v>
      </c>
      <c r="AK50">
        <v>8.81</v>
      </c>
      <c r="AL50">
        <v>13.8</v>
      </c>
      <c r="AM50">
        <v>-55</v>
      </c>
      <c r="AN50">
        <v>7.08</v>
      </c>
      <c r="AO50">
        <v>496</v>
      </c>
      <c r="AP50">
        <v>0.2</v>
      </c>
      <c r="AQ50">
        <v>0.01</v>
      </c>
      <c r="AR50">
        <v>1.1000000000000001</v>
      </c>
      <c r="AS50">
        <v>2.1</v>
      </c>
      <c r="AT50">
        <v>1.8</v>
      </c>
      <c r="AU50" s="32">
        <f t="shared" si="16"/>
        <v>6.9133273588529E-4</v>
      </c>
      <c r="AV50">
        <v>0.02</v>
      </c>
      <c r="AW50" s="32">
        <f t="shared" si="61"/>
        <v>7.8141957890167132E-6</v>
      </c>
      <c r="AX50">
        <v>3.3</v>
      </c>
      <c r="AY50" s="32">
        <f t="shared" si="17"/>
        <v>1.3054535179429217E-3</v>
      </c>
      <c r="AZ50">
        <v>1.8</v>
      </c>
      <c r="BA50" s="32">
        <f t="shared" si="18"/>
        <v>7.120655552415937E-4</v>
      </c>
      <c r="BB50">
        <v>1.7</v>
      </c>
      <c r="BC50" s="32">
        <f t="shared" si="19"/>
        <v>6.7250635772817175E-4</v>
      </c>
      <c r="BD50">
        <v>3.5</v>
      </c>
      <c r="BF50" s="48">
        <v>8.74</v>
      </c>
      <c r="BG50" s="48">
        <f t="shared" si="20"/>
        <v>2.0046004496172285E-3</v>
      </c>
      <c r="BH50">
        <v>0.98</v>
      </c>
      <c r="BI50" s="32">
        <f t="shared" si="21"/>
        <v>3.6701256144183508E-4</v>
      </c>
      <c r="BJ50" s="47">
        <v>0.85</v>
      </c>
      <c r="BK50" s="27">
        <f t="shared" si="22"/>
        <v>3.1832722165873448E-4</v>
      </c>
      <c r="BL50" s="47">
        <v>0.01</v>
      </c>
      <c r="BM50" s="27">
        <f t="shared" si="23"/>
        <v>3.6796110125501018E-6</v>
      </c>
      <c r="BN50" s="47">
        <v>0.01</v>
      </c>
      <c r="BO50" s="27">
        <f t="shared" si="24"/>
        <v>3.7611049867064394E-6</v>
      </c>
      <c r="BP50" s="47">
        <v>5.0000000000000001E-3</v>
      </c>
      <c r="BQ50" s="27">
        <f t="shared" si="25"/>
        <v>1.8649981951630372E-6</v>
      </c>
      <c r="BR50" s="47">
        <v>0.03</v>
      </c>
      <c r="BS50" s="27">
        <f t="shared" si="26"/>
        <v>1.110924086854065E-5</v>
      </c>
      <c r="BT50" s="47">
        <v>1E-3</v>
      </c>
      <c r="BU50" s="27">
        <f t="shared" si="27"/>
        <v>3.7030802895135499E-7</v>
      </c>
      <c r="BV50" s="47">
        <v>0.01</v>
      </c>
      <c r="BW50" s="27">
        <f t="shared" si="28"/>
        <v>3.6588380716934487E-6</v>
      </c>
      <c r="BX50" s="47">
        <v>2E-3</v>
      </c>
      <c r="BY50" s="27">
        <f t="shared" si="29"/>
        <v>7.3176761433868969E-7</v>
      </c>
      <c r="BZ50" s="51">
        <f t="shared" si="30"/>
        <v>0.91800000000000004</v>
      </c>
      <c r="CA50" s="51">
        <f t="shared" si="31"/>
        <v>6.8000000000000005E-2</v>
      </c>
      <c r="CB50" s="27">
        <f t="shared" si="32"/>
        <v>3.4350309043667816E-4</v>
      </c>
      <c r="CC50" s="27">
        <f t="shared" si="33"/>
        <v>2.5175868777943722E-5</v>
      </c>
      <c r="CD50">
        <v>2.5</v>
      </c>
      <c r="CE50">
        <v>2.5</v>
      </c>
      <c r="CF50" t="s">
        <v>19</v>
      </c>
      <c r="CG50">
        <v>5</v>
      </c>
      <c r="CH50" s="32">
        <v>1.4</v>
      </c>
      <c r="CI50" s="32">
        <f t="shared" si="34"/>
        <v>2.506714413607878E-2</v>
      </c>
      <c r="CJ50" s="32">
        <f t="shared" si="35"/>
        <v>2.506714413607878E-2</v>
      </c>
      <c r="CK50" s="32">
        <v>6</v>
      </c>
      <c r="CL50" s="32">
        <f t="shared" si="36"/>
        <v>0.10922992900054615</v>
      </c>
      <c r="CM50" s="32">
        <f t="shared" si="37"/>
        <v>0.2184598580010923</v>
      </c>
      <c r="CN50" s="27">
        <v>36</v>
      </c>
      <c r="CO50" s="27">
        <f t="shared" si="38"/>
        <v>0.37476577139287942</v>
      </c>
      <c r="CP50" s="27">
        <f t="shared" si="39"/>
        <v>2.9981261711430354</v>
      </c>
      <c r="CQ50" s="57">
        <v>42</v>
      </c>
      <c r="CR50" s="57">
        <v>53.846153846153847</v>
      </c>
      <c r="CS50" s="57">
        <v>3.4978138663335416</v>
      </c>
      <c r="CT50" s="57">
        <f t="shared" si="40"/>
        <v>3.4978138663335416</v>
      </c>
      <c r="CU50" s="28">
        <v>-35.5</v>
      </c>
      <c r="CV50" s="28">
        <v>-7100</v>
      </c>
      <c r="CW50" s="28">
        <v>-2.9564855298771602</v>
      </c>
      <c r="CX50" s="28">
        <f t="shared" si="41"/>
        <v>0</v>
      </c>
      <c r="CY50" s="32">
        <f t="shared" si="42"/>
        <v>24.414740787008117</v>
      </c>
      <c r="CZ50" s="32">
        <f t="shared" si="43"/>
        <v>24.414740787008117</v>
      </c>
      <c r="DA50" s="32">
        <f t="shared" si="44"/>
        <v>25.814740787008116</v>
      </c>
      <c r="DB50" s="32">
        <f t="shared" si="45"/>
        <v>0.46221559153103159</v>
      </c>
      <c r="DC50" s="32">
        <f t="shared" si="46"/>
        <v>0.46221559153103159</v>
      </c>
      <c r="DD50" s="59">
        <f t="shared" si="47"/>
        <v>-20.636268998542576</v>
      </c>
      <c r="DE50" s="59">
        <f t="shared" si="48"/>
        <v>0</v>
      </c>
      <c r="DF50" s="59">
        <f t="shared" si="49"/>
        <v>1.4</v>
      </c>
      <c r="DG50" s="59">
        <f t="shared" si="50"/>
        <v>2.506714413607878E-2</v>
      </c>
      <c r="DH50" s="59">
        <f t="shared" si="51"/>
        <v>2.506714413607878E-2</v>
      </c>
      <c r="DI50" s="32">
        <f t="shared" si="52"/>
        <v>2.9981261711430354</v>
      </c>
      <c r="DJ50" s="32">
        <f t="shared" si="53"/>
        <v>7.4</v>
      </c>
      <c r="DK50" s="32">
        <f t="shared" si="54"/>
        <v>0.24352700213717107</v>
      </c>
      <c r="DL50">
        <f t="shared" si="60"/>
        <v>4.1784893158656651</v>
      </c>
      <c r="DM50">
        <f t="shared" si="62"/>
        <v>5.2282019047315331E-2</v>
      </c>
      <c r="DN50">
        <f t="shared" si="63"/>
        <v>0.11061787085969216</v>
      </c>
      <c r="DO50">
        <f t="shared" si="64"/>
        <v>0.83710011009299257</v>
      </c>
      <c r="DP50">
        <f t="shared" si="55"/>
        <v>0.24352700213717107</v>
      </c>
      <c r="DQ50">
        <f t="shared" si="65"/>
        <v>0.89706626404426704</v>
      </c>
      <c r="DR50">
        <f t="shared" si="66"/>
        <v>0.10293373595573295</v>
      </c>
      <c r="DS50">
        <f t="shared" si="67"/>
        <v>0</v>
      </c>
      <c r="DT50" s="63">
        <f t="shared" si="68"/>
        <v>-4.1761177028546062</v>
      </c>
      <c r="DU50" s="63">
        <f t="shared" si="69"/>
        <v>-0.24115538912611201</v>
      </c>
      <c r="DV50" s="63">
        <f t="shared" si="70"/>
        <v>-4.176092526985828</v>
      </c>
      <c r="DW50" s="63">
        <f t="shared" si="71"/>
        <v>-0.24113021325733405</v>
      </c>
      <c r="DX50" t="str">
        <f t="shared" si="57"/>
        <v>Sufficient Capacity</v>
      </c>
      <c r="DY50" t="str">
        <f t="shared" si="58"/>
        <v>Sufficient Capacity</v>
      </c>
      <c r="DZ50" t="str">
        <f t="shared" si="59"/>
        <v>Sulfate Dominant electron acceptor</v>
      </c>
      <c r="EA50" t="str">
        <f t="shared" si="72"/>
        <v>Iron Dominant electron acceptor</v>
      </c>
      <c r="EB50">
        <v>1.030668E-2</v>
      </c>
      <c r="EC50">
        <v>1.8910279999999999E-3</v>
      </c>
      <c r="ED50" s="66">
        <v>9.8882750000000006E-8</v>
      </c>
      <c r="EE50">
        <v>2.014901E-4</v>
      </c>
      <c r="EF50">
        <v>2.70456E-3</v>
      </c>
      <c r="EG50" s="66">
        <v>6.8943880000000001E-6</v>
      </c>
      <c r="EH50" s="66">
        <v>9.4274779999999999E-5</v>
      </c>
      <c r="EI50" s="66">
        <v>5.243982E-5</v>
      </c>
      <c r="EJ50">
        <v>2.9147770000000002E-4</v>
      </c>
      <c r="EK50">
        <v>4.8278950000000002E-4</v>
      </c>
      <c r="EL50">
        <v>3.0099960000000002E-4</v>
      </c>
      <c r="EM50" s="66">
        <v>6.026829E-5</v>
      </c>
      <c r="EN50">
        <v>1.829972E-3</v>
      </c>
      <c r="EO50">
        <v>6.6872519999999996E-4</v>
      </c>
      <c r="EP50">
        <v>1.2279000000000001E-3</v>
      </c>
      <c r="EQ50">
        <v>1.745297E-3</v>
      </c>
      <c r="ER50">
        <v>2.34193E-4</v>
      </c>
      <c r="ES50">
        <v>4.2800660000000002E-4</v>
      </c>
      <c r="ET50">
        <v>6.9087940000000002E-3</v>
      </c>
      <c r="EU50">
        <v>2.6158549999999998E-3</v>
      </c>
      <c r="EV50">
        <v>9.9245849999999997E-3</v>
      </c>
      <c r="EW50">
        <v>5.4891290000000001E-4</v>
      </c>
      <c r="EX50">
        <v>5.9730479999999999E-3</v>
      </c>
      <c r="EY50">
        <v>7.6243860000000004E-3</v>
      </c>
      <c r="EZ50">
        <v>6.3744639999999998E-4</v>
      </c>
      <c r="FA50">
        <v>4.4144259999999999E-4</v>
      </c>
      <c r="FB50">
        <v>4.5434339999999998E-4</v>
      </c>
      <c r="FC50">
        <v>1.4464320000000001E-3</v>
      </c>
      <c r="FD50">
        <v>2.654229E-4</v>
      </c>
      <c r="FE50">
        <v>2.022144E-2</v>
      </c>
      <c r="FF50">
        <v>2.40685E-2</v>
      </c>
      <c r="FG50">
        <v>1.191615E-2</v>
      </c>
      <c r="FH50">
        <v>9.5378620000000005E-4</v>
      </c>
      <c r="FI50">
        <v>1.009502E-3</v>
      </c>
      <c r="FJ50">
        <v>1.569893E-2</v>
      </c>
      <c r="FK50">
        <v>-1.0446570696008599</v>
      </c>
      <c r="FL50">
        <v>-0.53120588275136005</v>
      </c>
      <c r="FM50">
        <v>-0.56107488536595695</v>
      </c>
      <c r="FN50">
        <v>-1.1473584456086401</v>
      </c>
      <c r="FO50">
        <v>-0.41451474870927402</v>
      </c>
      <c r="FP50">
        <v>-0.417023502303972</v>
      </c>
      <c r="FQ50">
        <v>-0.39871135756327297</v>
      </c>
      <c r="FR50">
        <v>-0.414561938459996</v>
      </c>
      <c r="FS50">
        <v>-1.4508139189395299</v>
      </c>
      <c r="FT50">
        <v>-0.10547059689675101</v>
      </c>
      <c r="FU50">
        <v>-0.199410687167378</v>
      </c>
      <c r="FV50">
        <v>-0.54535677356344703</v>
      </c>
      <c r="FW50">
        <v>0.36772966448129002</v>
      </c>
      <c r="FX50">
        <v>-0.52564462796003897</v>
      </c>
      <c r="FY50">
        <v>-0.48659138044989703</v>
      </c>
      <c r="FZ50">
        <v>-0.228211772681957</v>
      </c>
      <c r="GA50">
        <v>-5.7161971054454398E-2</v>
      </c>
      <c r="GB50">
        <v>0.115766134678539</v>
      </c>
      <c r="GC50">
        <v>-0.16059710034841099</v>
      </c>
      <c r="GD50">
        <v>0.182880911391612</v>
      </c>
      <c r="GE50">
        <v>0.118443887698801</v>
      </c>
      <c r="GF50">
        <v>-0.69244589575318205</v>
      </c>
      <c r="GG50">
        <v>-0.76198859803510099</v>
      </c>
      <c r="GH50">
        <v>-0.77738069830399803</v>
      </c>
      <c r="GI50">
        <v>-0.25872077377431801</v>
      </c>
      <c r="GJ50">
        <v>-0.29685557310087601</v>
      </c>
      <c r="GK50">
        <v>-0.14276427841993</v>
      </c>
      <c r="GL50">
        <v>0.476200452155988</v>
      </c>
      <c r="GM50">
        <v>0.34568770246131603</v>
      </c>
      <c r="GN50">
        <v>0.18466784929925201</v>
      </c>
      <c r="GO50">
        <v>-0.35235674647207299</v>
      </c>
      <c r="GP50">
        <v>0.39350010280171499</v>
      </c>
      <c r="GR50" s="66"/>
      <c r="GT50" s="66"/>
      <c r="GV50" s="66"/>
      <c r="GZ50" s="66"/>
      <c r="HK50" s="1"/>
      <c r="HL50" s="1"/>
      <c r="HM50" s="65"/>
      <c r="HN50" s="1"/>
      <c r="HO50" s="65"/>
      <c r="HP50" s="65"/>
      <c r="HQ50" s="65"/>
      <c r="HT50" s="65"/>
      <c r="HV50" s="65"/>
      <c r="HW50" s="65"/>
      <c r="HX50" s="65"/>
      <c r="IZ50" s="66"/>
      <c r="JB50" s="66"/>
      <c r="JD50" s="66"/>
      <c r="JF50" s="66"/>
      <c r="JH50" s="66"/>
      <c r="JJ50" s="66"/>
      <c r="JL50" s="66"/>
      <c r="JN50" s="66"/>
    </row>
    <row r="51" spans="1:278" ht="15.75" x14ac:dyDescent="0.25">
      <c r="A51" s="3" t="s">
        <v>104</v>
      </c>
      <c r="B51" s="3" t="s">
        <v>104</v>
      </c>
      <c r="C51" s="2" t="s">
        <v>790</v>
      </c>
      <c r="D51" s="2" t="s">
        <v>493</v>
      </c>
      <c r="E51" s="2" t="s">
        <v>493</v>
      </c>
      <c r="F51" s="2">
        <v>50</v>
      </c>
      <c r="G51" s="2" t="s">
        <v>789</v>
      </c>
      <c r="H51" s="10" t="s">
        <v>656</v>
      </c>
      <c r="I51" s="2">
        <v>150</v>
      </c>
      <c r="J51" s="2">
        <v>100</v>
      </c>
      <c r="K51" s="12">
        <v>8.9499999999999993</v>
      </c>
      <c r="L51" t="s">
        <v>279</v>
      </c>
      <c r="M51" s="2" t="s">
        <v>1120</v>
      </c>
      <c r="N51" s="2" t="s">
        <v>437</v>
      </c>
      <c r="O51" s="2" t="s">
        <v>666</v>
      </c>
      <c r="P51" s="2" t="s">
        <v>1132</v>
      </c>
      <c r="Q51" s="9" t="s">
        <v>740</v>
      </c>
      <c r="R51" s="2" t="str">
        <f t="shared" si="0"/>
        <v>CW_3_Section_2</v>
      </c>
      <c r="S51" s="2" t="str">
        <f t="shared" si="1"/>
        <v>CW_3_MF06</v>
      </c>
      <c r="T51" s="11" t="s">
        <v>751</v>
      </c>
      <c r="U51" s="1">
        <v>45582</v>
      </c>
      <c r="V51" s="2" t="s">
        <v>752</v>
      </c>
      <c r="W51" s="2" t="s">
        <v>663</v>
      </c>
      <c r="X51" s="2" t="s">
        <v>750</v>
      </c>
      <c r="Y51" s="2" t="str">
        <f t="shared" si="2"/>
        <v>T1_MF06</v>
      </c>
      <c r="Z51" s="2" t="str">
        <f t="shared" si="3"/>
        <v>T1_CW_3_MF06</v>
      </c>
      <c r="AA51" s="2" t="str">
        <f t="shared" si="4"/>
        <v>T1_0.60-0.80</v>
      </c>
      <c r="AB51" s="2">
        <v>64</v>
      </c>
      <c r="AC51" s="2">
        <v>2.105</v>
      </c>
      <c r="AD51" s="2">
        <v>-1.1599999999999999</v>
      </c>
      <c r="AE51" s="2">
        <v>1</v>
      </c>
      <c r="AF51" t="s">
        <v>57</v>
      </c>
      <c r="AG51" t="s">
        <v>1237</v>
      </c>
      <c r="AH51">
        <v>68</v>
      </c>
      <c r="AI51">
        <v>29</v>
      </c>
      <c r="AJ51">
        <v>0.68</v>
      </c>
      <c r="AK51">
        <v>0.51</v>
      </c>
      <c r="AL51">
        <v>12.8</v>
      </c>
      <c r="AM51">
        <v>-109</v>
      </c>
      <c r="AN51">
        <v>7.05</v>
      </c>
      <c r="AO51">
        <v>593</v>
      </c>
      <c r="AP51">
        <v>0.2</v>
      </c>
      <c r="AQ51">
        <v>0.01</v>
      </c>
      <c r="AR51">
        <v>9.6999999999999993</v>
      </c>
      <c r="AS51">
        <v>13</v>
      </c>
      <c r="AT51">
        <v>440</v>
      </c>
      <c r="AU51" s="32">
        <f t="shared" si="16"/>
        <v>0.16899244654973755</v>
      </c>
      <c r="AV51">
        <v>29</v>
      </c>
      <c r="AW51" s="32">
        <f t="shared" si="61"/>
        <v>1.1330583894074235E-2</v>
      </c>
      <c r="AX51">
        <v>370</v>
      </c>
      <c r="AY51" s="32">
        <f t="shared" si="17"/>
        <v>0.14636903079966093</v>
      </c>
      <c r="AZ51">
        <v>140</v>
      </c>
      <c r="BA51" s="32">
        <f t="shared" si="18"/>
        <v>5.5382876518790619E-2</v>
      </c>
      <c r="BB51">
        <v>150</v>
      </c>
      <c r="BC51" s="32">
        <f t="shared" si="19"/>
        <v>5.9338796270132804E-2</v>
      </c>
      <c r="BD51">
        <v>290</v>
      </c>
      <c r="BF51" s="48">
        <v>1129</v>
      </c>
      <c r="BG51" s="48">
        <f t="shared" si="20"/>
        <v>0.32669206124347272</v>
      </c>
      <c r="BH51">
        <v>2300</v>
      </c>
      <c r="BI51" s="32">
        <f t="shared" si="21"/>
        <v>0.8613560115471639</v>
      </c>
      <c r="BJ51" s="47">
        <v>3000</v>
      </c>
      <c r="BK51" s="27">
        <f t="shared" si="22"/>
        <v>1.1235078411484747</v>
      </c>
      <c r="BL51" s="47">
        <v>120</v>
      </c>
      <c r="BM51" s="27">
        <f t="shared" si="23"/>
        <v>4.4155332150601224E-2</v>
      </c>
      <c r="BN51" s="47">
        <v>110</v>
      </c>
      <c r="BO51" s="27">
        <f t="shared" si="24"/>
        <v>4.1372154853770833E-2</v>
      </c>
      <c r="BP51" s="47">
        <v>47</v>
      </c>
      <c r="BQ51" s="27">
        <f t="shared" si="25"/>
        <v>1.7530983034532547E-2</v>
      </c>
      <c r="BR51" s="47">
        <v>29</v>
      </c>
      <c r="BS51" s="27">
        <f t="shared" si="26"/>
        <v>1.0738932839589295E-2</v>
      </c>
      <c r="BT51" s="47">
        <v>4.7</v>
      </c>
      <c r="BU51" s="27">
        <f t="shared" si="27"/>
        <v>1.7404477360713684E-3</v>
      </c>
      <c r="BV51" s="47">
        <v>1.2</v>
      </c>
      <c r="BW51" s="27">
        <f t="shared" si="28"/>
        <v>4.3906056860321384E-4</v>
      </c>
      <c r="BX51" s="47">
        <v>1.2</v>
      </c>
      <c r="BY51" s="27">
        <f t="shared" si="29"/>
        <v>4.3906056860321384E-4</v>
      </c>
      <c r="BZ51" s="51">
        <f t="shared" si="30"/>
        <v>3313.0999999999995</v>
      </c>
      <c r="CA51" s="51">
        <f t="shared" si="31"/>
        <v>313.09999999999997</v>
      </c>
      <c r="CB51" s="27">
        <f t="shared" si="32"/>
        <v>1.2399238129002466</v>
      </c>
      <c r="CC51" s="27">
        <f t="shared" si="33"/>
        <v>0.11641597175177168</v>
      </c>
      <c r="CD51">
        <v>4700</v>
      </c>
      <c r="CE51">
        <v>1500</v>
      </c>
      <c r="CF51" t="s">
        <v>19</v>
      </c>
      <c r="CG51">
        <v>6200</v>
      </c>
      <c r="CH51" s="32">
        <v>0.6</v>
      </c>
      <c r="CI51" s="32">
        <f t="shared" si="34"/>
        <v>1.0743061772605192E-2</v>
      </c>
      <c r="CJ51" s="32">
        <f t="shared" si="35"/>
        <v>1.0743061772605192E-2</v>
      </c>
      <c r="CK51" s="32">
        <v>1.1000000000000001</v>
      </c>
      <c r="CL51" s="32">
        <f t="shared" si="36"/>
        <v>2.0025486983433462E-2</v>
      </c>
      <c r="CM51" s="32">
        <f t="shared" si="37"/>
        <v>4.0050973966866923E-2</v>
      </c>
      <c r="CN51" s="27">
        <v>70</v>
      </c>
      <c r="CO51" s="27">
        <f t="shared" si="38"/>
        <v>0.72871122215282114</v>
      </c>
      <c r="CP51" s="27">
        <f t="shared" si="39"/>
        <v>5.8296897772225691</v>
      </c>
      <c r="CQ51" s="57">
        <v>8</v>
      </c>
      <c r="CR51" s="57">
        <v>10.256410256410255</v>
      </c>
      <c r="CS51" s="57">
        <v>0.66625026025400791</v>
      </c>
      <c r="CT51" s="57">
        <f t="shared" si="40"/>
        <v>0.66625026025400791</v>
      </c>
      <c r="CU51" s="28">
        <v>-9</v>
      </c>
      <c r="CV51" s="28">
        <v>-14.754098360655737</v>
      </c>
      <c r="CW51" s="28">
        <v>-0.74953154278575884</v>
      </c>
      <c r="CX51" s="28">
        <f t="shared" si="41"/>
        <v>0</v>
      </c>
      <c r="CY51" s="32">
        <f t="shared" si="42"/>
        <v>4.650426816572975</v>
      </c>
      <c r="CZ51" s="32">
        <f t="shared" si="43"/>
        <v>4.650426816572975</v>
      </c>
      <c r="DA51" s="32">
        <f t="shared" si="44"/>
        <v>5.2504268165729746</v>
      </c>
      <c r="DB51" s="32">
        <f t="shared" si="45"/>
        <v>9.4009432704977164E-2</v>
      </c>
      <c r="DC51" s="32">
        <f t="shared" si="46"/>
        <v>9.4009432704977164E-2</v>
      </c>
      <c r="DD51" s="59">
        <f t="shared" si="47"/>
        <v>-5.2317301686445967</v>
      </c>
      <c r="DE51" s="59">
        <f t="shared" si="48"/>
        <v>0</v>
      </c>
      <c r="DF51" s="59">
        <f t="shared" si="49"/>
        <v>0.6</v>
      </c>
      <c r="DG51" s="59">
        <f t="shared" si="50"/>
        <v>1.0743061772605192E-2</v>
      </c>
      <c r="DH51" s="59">
        <f t="shared" si="51"/>
        <v>1.0743061772605192E-2</v>
      </c>
      <c r="DI51" s="32">
        <f t="shared" si="52"/>
        <v>5.8296897772225691</v>
      </c>
      <c r="DJ51" s="32">
        <f t="shared" si="53"/>
        <v>1.7000000000000002</v>
      </c>
      <c r="DK51" s="32">
        <f t="shared" si="54"/>
        <v>5.0794035739472117E-2</v>
      </c>
      <c r="DL51">
        <f t="shared" si="60"/>
        <v>0.80031066692585195</v>
      </c>
      <c r="DM51">
        <f t="shared" si="62"/>
        <v>5.0044283578913745E-2</v>
      </c>
      <c r="DN51">
        <f t="shared" si="63"/>
        <v>0.11746617481194593</v>
      </c>
      <c r="DO51">
        <f t="shared" si="64"/>
        <v>0.83248954160914035</v>
      </c>
      <c r="DP51">
        <f t="shared" si="55"/>
        <v>5.0794035739472117E-2</v>
      </c>
      <c r="DQ51">
        <f t="shared" si="65"/>
        <v>0.7884975742485304</v>
      </c>
      <c r="DR51">
        <f t="shared" si="66"/>
        <v>0.21150242575146955</v>
      </c>
      <c r="DS51">
        <f t="shared" si="67"/>
        <v>0</v>
      </c>
      <c r="DT51" s="63">
        <f t="shared" si="68"/>
        <v>0.38773740586478467</v>
      </c>
      <c r="DU51" s="63">
        <f t="shared" si="69"/>
        <v>1.1372540370511646</v>
      </c>
      <c r="DV51" s="63">
        <f t="shared" si="70"/>
        <v>0.50415337761655632</v>
      </c>
      <c r="DW51" s="63">
        <f t="shared" si="71"/>
        <v>1.2536700088029362</v>
      </c>
      <c r="DX51" t="str">
        <f t="shared" si="57"/>
        <v>Insufficient Capacity</v>
      </c>
      <c r="DY51" t="str">
        <f t="shared" si="58"/>
        <v>Insufficient Capacity</v>
      </c>
      <c r="DZ51" t="str">
        <f t="shared" si="59"/>
        <v>Sulfate Dominant electron acceptor</v>
      </c>
      <c r="EA51" t="str">
        <f t="shared" si="72"/>
        <v>Iron Dominant electron acceptor</v>
      </c>
      <c r="EB51">
        <v>1.055088E-2</v>
      </c>
      <c r="EC51">
        <v>1.937212E-3</v>
      </c>
      <c r="ED51">
        <v>0</v>
      </c>
      <c r="EE51">
        <v>5.9377509999999998E-4</v>
      </c>
      <c r="EF51">
        <v>4.8806470000000001E-3</v>
      </c>
      <c r="EG51" s="66">
        <v>1.7809330000000001E-5</v>
      </c>
      <c r="EH51">
        <v>3.2995490000000001E-4</v>
      </c>
      <c r="EI51" s="66">
        <v>6.9375920000000002E-5</v>
      </c>
      <c r="EJ51">
        <v>3.8890909999999998E-4</v>
      </c>
      <c r="EK51">
        <v>6.1800039999999998E-4</v>
      </c>
      <c r="EL51">
        <v>4.5659660000000002E-4</v>
      </c>
      <c r="EM51">
        <v>3.1222599999999997E-4</v>
      </c>
      <c r="EN51">
        <v>1.959616E-3</v>
      </c>
      <c r="EO51">
        <v>8.6563389999999997E-4</v>
      </c>
      <c r="EP51">
        <v>2.2273100000000001E-3</v>
      </c>
      <c r="EQ51">
        <v>1.184488E-3</v>
      </c>
      <c r="ER51">
        <v>4.1725300000000002E-4</v>
      </c>
      <c r="ES51">
        <v>6.8511129999999996E-4</v>
      </c>
      <c r="ET51">
        <v>7.2623059999999996E-3</v>
      </c>
      <c r="EU51">
        <v>2.7654860000000002E-3</v>
      </c>
      <c r="EV51">
        <v>8.140708E-3</v>
      </c>
      <c r="EW51">
        <v>5.4072820000000005E-4</v>
      </c>
      <c r="EX51">
        <v>4.6606099999999999E-3</v>
      </c>
      <c r="EY51">
        <v>6.8499590000000001E-3</v>
      </c>
      <c r="EZ51">
        <v>1.421488E-3</v>
      </c>
      <c r="FA51">
        <v>1.061607E-3</v>
      </c>
      <c r="FB51">
        <v>1.0849659999999999E-3</v>
      </c>
      <c r="FC51">
        <v>1.793116E-3</v>
      </c>
      <c r="FD51">
        <v>3.3120440000000001E-4</v>
      </c>
      <c r="FE51">
        <v>2.4559049999999999E-2</v>
      </c>
      <c r="FF51">
        <v>1.5658999999999999E-2</v>
      </c>
      <c r="FG51">
        <v>8.7110610000000008E-3</v>
      </c>
      <c r="FH51">
        <v>8.6393600000000004E-4</v>
      </c>
      <c r="FI51">
        <v>1.602685E-3</v>
      </c>
      <c r="FJ51">
        <v>1.136067E-2</v>
      </c>
      <c r="FK51">
        <v>3.6103309872593997E-2</v>
      </c>
      <c r="FL51">
        <v>5.91326729626305E-2</v>
      </c>
      <c r="FM51">
        <v>0.38793984457812503</v>
      </c>
      <c r="FN51">
        <v>0.105383823302293</v>
      </c>
      <c r="FO51">
        <v>-0.13464114186467199</v>
      </c>
      <c r="FP51">
        <v>-0.12864136409115801</v>
      </c>
      <c r="FQ51">
        <v>-0.151802993707609</v>
      </c>
      <c r="FR51">
        <v>2.1294134211045099E-3</v>
      </c>
      <c r="FS51">
        <v>0.19410727085506199</v>
      </c>
      <c r="FT51">
        <v>-3.7022727406009502E-2</v>
      </c>
      <c r="FU51">
        <v>5.8678170333483798E-2</v>
      </c>
      <c r="FV51">
        <v>5.0132412558387102E-2</v>
      </c>
      <c r="FW51">
        <v>-1.9884463555207801E-2</v>
      </c>
      <c r="FX51">
        <v>5.1902562756992197E-2</v>
      </c>
      <c r="FY51">
        <v>-1.6148689658225902E-2</v>
      </c>
      <c r="FZ51">
        <v>-0.17830945630561301</v>
      </c>
      <c r="GA51">
        <v>-1.5365869145727001E-3</v>
      </c>
      <c r="GB51">
        <v>-8.2371723299416999E-2</v>
      </c>
      <c r="GC51">
        <v>-0.175620127534306</v>
      </c>
      <c r="GD51">
        <v>-6.5230097630717396E-2</v>
      </c>
      <c r="GE51">
        <v>1.1334759892529999E-2</v>
      </c>
      <c r="GF51">
        <v>0.109543398448976</v>
      </c>
      <c r="GG51">
        <v>0.115502478515024</v>
      </c>
      <c r="GH51">
        <v>9.3069930984473401E-2</v>
      </c>
      <c r="GI51">
        <v>-4.3865719508715102E-2</v>
      </c>
      <c r="GJ51">
        <v>-7.5444268682697505E-2</v>
      </c>
      <c r="GK51">
        <v>5.1572715655378701E-2</v>
      </c>
      <c r="GL51">
        <v>4.6342352104646899E-2</v>
      </c>
      <c r="GM51">
        <v>3.2386677025268498E-2</v>
      </c>
      <c r="GN51">
        <v>8.5727003968180795E-2</v>
      </c>
      <c r="GO51">
        <v>0.109866461347589</v>
      </c>
      <c r="GP51">
        <v>7.00649360632664E-2</v>
      </c>
      <c r="GY51" s="65"/>
      <c r="HK51" s="1"/>
      <c r="HL51" s="1"/>
      <c r="HM51" s="65"/>
      <c r="HN51" s="1"/>
      <c r="HO51" s="65"/>
      <c r="HS51" s="65"/>
      <c r="HV51" s="65"/>
      <c r="HW51" s="65"/>
      <c r="HX51" s="65"/>
    </row>
    <row r="52" spans="1:278" ht="15.75" x14ac:dyDescent="0.25">
      <c r="A52" s="3" t="s">
        <v>105</v>
      </c>
      <c r="B52" s="3" t="s">
        <v>105</v>
      </c>
      <c r="C52" s="2" t="s">
        <v>792</v>
      </c>
      <c r="D52" s="2" t="s">
        <v>494</v>
      </c>
      <c r="E52" s="2" t="s">
        <v>494</v>
      </c>
      <c r="F52" s="2">
        <v>51</v>
      </c>
      <c r="G52" s="2" t="s">
        <v>791</v>
      </c>
      <c r="H52" s="10" t="s">
        <v>656</v>
      </c>
      <c r="I52" s="2">
        <v>150</v>
      </c>
      <c r="J52" s="2">
        <v>100</v>
      </c>
      <c r="K52" s="12">
        <v>9.9</v>
      </c>
      <c r="L52" t="s">
        <v>280</v>
      </c>
      <c r="M52" s="2" t="s">
        <v>1120</v>
      </c>
      <c r="N52" s="2" t="s">
        <v>437</v>
      </c>
      <c r="O52" s="2" t="s">
        <v>673</v>
      </c>
      <c r="P52" s="2" t="s">
        <v>1127</v>
      </c>
      <c r="Q52" s="9" t="s">
        <v>743</v>
      </c>
      <c r="R52" s="2" t="str">
        <f t="shared" si="0"/>
        <v>CW_3_Section_3</v>
      </c>
      <c r="S52" s="2" t="str">
        <f t="shared" si="1"/>
        <v>CW_3_MF09</v>
      </c>
      <c r="T52" s="11" t="s">
        <v>751</v>
      </c>
      <c r="U52" s="1">
        <v>45582</v>
      </c>
      <c r="V52" s="2" t="s">
        <v>752</v>
      </c>
      <c r="W52" s="2" t="s">
        <v>655</v>
      </c>
      <c r="X52" s="2" t="s">
        <v>750</v>
      </c>
      <c r="Y52" s="2" t="str">
        <f t="shared" si="2"/>
        <v>T1_MF09</v>
      </c>
      <c r="Z52" s="2" t="str">
        <f t="shared" si="3"/>
        <v>T1_CW_3_MF09</v>
      </c>
      <c r="AA52" s="2" t="str">
        <f t="shared" si="4"/>
        <v>T1_0.15-0.30</v>
      </c>
      <c r="AB52" s="2">
        <v>64</v>
      </c>
      <c r="AC52" s="2">
        <v>2.105</v>
      </c>
      <c r="AD52" s="2">
        <v>-1.1599999999999999</v>
      </c>
      <c r="AE52" s="2">
        <v>1</v>
      </c>
      <c r="AF52" t="s">
        <v>59</v>
      </c>
      <c r="AG52" t="s">
        <v>1237</v>
      </c>
      <c r="AH52">
        <v>56</v>
      </c>
      <c r="AI52">
        <v>17</v>
      </c>
      <c r="AJ52">
        <v>2.2999999999999998</v>
      </c>
      <c r="AK52">
        <v>6.88</v>
      </c>
      <c r="AL52">
        <v>12.8</v>
      </c>
      <c r="AM52">
        <v>-99</v>
      </c>
      <c r="AN52">
        <v>6.9</v>
      </c>
      <c r="AO52">
        <v>606</v>
      </c>
      <c r="AP52">
        <v>0.2</v>
      </c>
      <c r="AQ52">
        <v>0.01</v>
      </c>
      <c r="AR52">
        <v>22</v>
      </c>
      <c r="AS52">
        <v>22</v>
      </c>
      <c r="AT52">
        <v>43</v>
      </c>
      <c r="AU52" s="32">
        <f t="shared" si="16"/>
        <v>1.651517091281526E-2</v>
      </c>
      <c r="AV52">
        <v>1.2</v>
      </c>
      <c r="AW52" s="32">
        <f t="shared" si="61"/>
        <v>4.6885174734100283E-4</v>
      </c>
      <c r="AX52">
        <v>26</v>
      </c>
      <c r="AY52" s="32">
        <f t="shared" si="17"/>
        <v>1.0285391353489687E-2</v>
      </c>
      <c r="AZ52">
        <v>9.4</v>
      </c>
      <c r="BA52" s="32">
        <f t="shared" si="18"/>
        <v>3.7185645662616562E-3</v>
      </c>
      <c r="BB52">
        <v>9.9</v>
      </c>
      <c r="BC52" s="32">
        <f t="shared" si="19"/>
        <v>3.9163605538287656E-3</v>
      </c>
      <c r="BD52">
        <v>19.3</v>
      </c>
      <c r="BF52" s="48">
        <v>89.5</v>
      </c>
      <c r="BG52" s="48">
        <f t="shared" si="20"/>
        <v>2.7269414013645951E-2</v>
      </c>
      <c r="BH52">
        <v>190</v>
      </c>
      <c r="BI52" s="32">
        <f t="shared" si="21"/>
        <v>7.1155496606070068E-2</v>
      </c>
      <c r="BJ52" s="47">
        <v>110</v>
      </c>
      <c r="BK52" s="27">
        <f t="shared" si="22"/>
        <v>4.1195287508777406E-2</v>
      </c>
      <c r="BL52" s="47">
        <v>0.5</v>
      </c>
      <c r="BM52" s="27">
        <f t="shared" si="23"/>
        <v>1.8398055062750508E-4</v>
      </c>
      <c r="BN52" s="47">
        <v>0.5</v>
      </c>
      <c r="BO52" s="27">
        <f t="shared" si="24"/>
        <v>1.8805524933532196E-4</v>
      </c>
      <c r="BP52" s="47">
        <v>0.25</v>
      </c>
      <c r="BQ52" s="27">
        <f t="shared" si="25"/>
        <v>9.3249909758151843E-5</v>
      </c>
      <c r="BR52" s="47">
        <v>0.05</v>
      </c>
      <c r="BS52" s="27">
        <f t="shared" si="26"/>
        <v>1.8515401447567749E-5</v>
      </c>
      <c r="BT52" s="47">
        <v>0.05</v>
      </c>
      <c r="BU52" s="27">
        <f t="shared" si="27"/>
        <v>1.8515401447567749E-5</v>
      </c>
      <c r="BV52" s="47">
        <v>1E-3</v>
      </c>
      <c r="BW52" s="27">
        <f t="shared" si="28"/>
        <v>3.6588380716934485E-7</v>
      </c>
      <c r="BX52" s="47">
        <v>2E-3</v>
      </c>
      <c r="BY52" s="27">
        <f t="shared" si="29"/>
        <v>7.3176761433868969E-7</v>
      </c>
      <c r="BZ52" s="51">
        <f t="shared" si="30"/>
        <v>111.35299999999999</v>
      </c>
      <c r="CA52" s="51">
        <f t="shared" si="31"/>
        <v>1.353</v>
      </c>
      <c r="CB52" s="27">
        <f t="shared" si="32"/>
        <v>4.1698701672815024E-2</v>
      </c>
      <c r="CC52" s="27">
        <f t="shared" si="33"/>
        <v>5.0341416403762245E-4</v>
      </c>
      <c r="CD52">
        <v>230</v>
      </c>
      <c r="CE52">
        <v>50</v>
      </c>
      <c r="CF52" t="s">
        <v>19</v>
      </c>
      <c r="CG52">
        <v>280</v>
      </c>
      <c r="CH52" s="32">
        <v>25</v>
      </c>
      <c r="CI52" s="32">
        <f t="shared" si="34"/>
        <v>0.44762757385854968</v>
      </c>
      <c r="CJ52" s="32">
        <f t="shared" si="35"/>
        <v>0.44762757385854968</v>
      </c>
      <c r="CK52" s="32">
        <v>5.0999999999999996</v>
      </c>
      <c r="CL52" s="32">
        <f t="shared" si="36"/>
        <v>9.2845439650464226E-2</v>
      </c>
      <c r="CM52" s="32">
        <f t="shared" si="37"/>
        <v>0.18569087930092845</v>
      </c>
      <c r="CN52" s="27">
        <v>0.5</v>
      </c>
      <c r="CO52" s="27">
        <f t="shared" si="38"/>
        <v>5.2050801582344368E-3</v>
      </c>
      <c r="CP52" s="27">
        <f t="shared" si="39"/>
        <v>4.1640641265875494E-2</v>
      </c>
      <c r="CQ52" s="57">
        <v>77.5</v>
      </c>
      <c r="CR52" s="57">
        <v>99.358974358974365</v>
      </c>
      <c r="CS52" s="57">
        <v>6.4542993962107014</v>
      </c>
      <c r="CT52" s="57">
        <f t="shared" si="40"/>
        <v>6.4542993962107014</v>
      </c>
      <c r="CU52" s="28">
        <v>35.5</v>
      </c>
      <c r="CV52" s="28">
        <v>98.611111111111114</v>
      </c>
      <c r="CW52" s="28">
        <v>2.9564855298771602</v>
      </c>
      <c r="CX52" s="28">
        <f t="shared" si="41"/>
        <v>2.9564855298771602</v>
      </c>
      <c r="CY52" s="32">
        <f t="shared" si="42"/>
        <v>45.051009785550697</v>
      </c>
      <c r="CZ52" s="32">
        <f t="shared" si="43"/>
        <v>45.051009785550697</v>
      </c>
      <c r="DA52" s="32">
        <f t="shared" si="44"/>
        <v>70.05100978555069</v>
      </c>
      <c r="DB52" s="32">
        <f t="shared" si="45"/>
        <v>1.2542705422659031</v>
      </c>
      <c r="DC52" s="32">
        <f t="shared" si="46"/>
        <v>1.2542705422659031</v>
      </c>
      <c r="DD52" s="59">
        <f t="shared" si="47"/>
        <v>20.636268998542576</v>
      </c>
      <c r="DE52" s="59">
        <f t="shared" si="48"/>
        <v>20.636268998542576</v>
      </c>
      <c r="DF52" s="59">
        <f t="shared" si="49"/>
        <v>45.636268998542576</v>
      </c>
      <c r="DG52" s="59">
        <f t="shared" si="50"/>
        <v>0.81712209487095033</v>
      </c>
      <c r="DH52" s="59">
        <f t="shared" si="51"/>
        <v>0.81712209487095033</v>
      </c>
      <c r="DI52" s="32">
        <f t="shared" si="52"/>
        <v>4.1640641265875494E-2</v>
      </c>
      <c r="DJ52" s="32">
        <f t="shared" si="53"/>
        <v>50.736268998542577</v>
      </c>
      <c r="DK52" s="32">
        <f t="shared" si="54"/>
        <v>1.0028129741718788</v>
      </c>
      <c r="DL52">
        <f t="shared" si="60"/>
        <v>7.8942608177775329</v>
      </c>
      <c r="DM52">
        <f t="shared" si="62"/>
        <v>2.3522263019580079E-2</v>
      </c>
      <c r="DN52">
        <f t="shared" si="63"/>
        <v>0.15888384881347475</v>
      </c>
      <c r="DO52">
        <f t="shared" si="64"/>
        <v>0.81759388816694523</v>
      </c>
      <c r="DP52">
        <f t="shared" si="55"/>
        <v>3.9592985040490389</v>
      </c>
      <c r="DQ52">
        <f t="shared" si="65"/>
        <v>4.6899944298473266E-2</v>
      </c>
      <c r="DR52">
        <f t="shared" si="66"/>
        <v>0.20638052272020097</v>
      </c>
      <c r="DS52">
        <f t="shared" si="67"/>
        <v>0.74671953298132576</v>
      </c>
      <c r="DT52" s="63">
        <f t="shared" si="68"/>
        <v>-7.7958359071578167</v>
      </c>
      <c r="DU52" s="63">
        <f t="shared" si="69"/>
        <v>-3.8608735934293228</v>
      </c>
      <c r="DV52" s="63">
        <f t="shared" si="70"/>
        <v>-7.7953324929937793</v>
      </c>
      <c r="DW52" s="63">
        <f t="shared" si="71"/>
        <v>-3.8603701792652854</v>
      </c>
      <c r="DX52" t="str">
        <f t="shared" si="57"/>
        <v>Sufficient Capacity</v>
      </c>
      <c r="DY52" t="str">
        <f t="shared" si="58"/>
        <v>Sufficient Capacity</v>
      </c>
      <c r="DZ52" t="str">
        <f t="shared" si="59"/>
        <v>Sulfate Dominant electron acceptor</v>
      </c>
      <c r="EA52" t="str">
        <f t="shared" si="72"/>
        <v>Sulfate Dominant electron acceptor</v>
      </c>
      <c r="EB52">
        <v>9.5313480000000003E-3</v>
      </c>
      <c r="EC52">
        <v>1.504792E-3</v>
      </c>
      <c r="ED52" s="66">
        <v>2.9266870000000001E-6</v>
      </c>
      <c r="EE52">
        <v>9.1591589999999998E-4</v>
      </c>
      <c r="EF52">
        <v>4.8959779999999996E-3</v>
      </c>
      <c r="EG52" s="66">
        <v>5.290371E-6</v>
      </c>
      <c r="EH52">
        <v>5.5084160000000004E-4</v>
      </c>
      <c r="EI52" s="66">
        <v>6.7434940000000003E-5</v>
      </c>
      <c r="EJ52">
        <v>5.8758309999999995E-4</v>
      </c>
      <c r="EK52">
        <v>9.0589209999999997E-4</v>
      </c>
      <c r="EL52">
        <v>5.6578249999999998E-4</v>
      </c>
      <c r="EM52">
        <v>4.0151519999999998E-4</v>
      </c>
      <c r="EN52">
        <v>2.0772830000000001E-3</v>
      </c>
      <c r="EO52">
        <v>7.9612409999999998E-4</v>
      </c>
      <c r="EP52">
        <v>2.5361379999999998E-3</v>
      </c>
      <c r="EQ52">
        <v>1.2497630000000001E-3</v>
      </c>
      <c r="ER52">
        <v>4.2537599999999999E-4</v>
      </c>
      <c r="ES52">
        <v>9.2200970000000002E-4</v>
      </c>
      <c r="ET52">
        <v>9.4756649999999994E-3</v>
      </c>
      <c r="EU52">
        <v>2.7428819999999999E-3</v>
      </c>
      <c r="EV52">
        <v>7.75904E-3</v>
      </c>
      <c r="EW52">
        <v>7.2237530000000003E-4</v>
      </c>
      <c r="EX52">
        <v>4.8988840000000001E-3</v>
      </c>
      <c r="EY52">
        <v>7.0354349999999996E-3</v>
      </c>
      <c r="EZ52">
        <v>1.3794759999999999E-3</v>
      </c>
      <c r="FA52">
        <v>1.18732E-3</v>
      </c>
      <c r="FB52">
        <v>1.2283350000000001E-3</v>
      </c>
      <c r="FC52">
        <v>1.822562E-3</v>
      </c>
      <c r="FD52">
        <v>4.349008E-4</v>
      </c>
      <c r="FE52">
        <v>2.8527179999999999E-2</v>
      </c>
      <c r="FF52">
        <v>1.641596E-2</v>
      </c>
      <c r="FG52">
        <v>9.1652529999999999E-3</v>
      </c>
      <c r="FH52">
        <v>8.8680539999999998E-4</v>
      </c>
      <c r="FI52">
        <v>1.347509E-3</v>
      </c>
      <c r="FJ52">
        <v>1.1046250000000001E-2</v>
      </c>
      <c r="FK52">
        <v>0.469527229965094</v>
      </c>
      <c r="FL52">
        <v>6.2268931654450903E-2</v>
      </c>
      <c r="FM52">
        <v>-0.82589425696463603</v>
      </c>
      <c r="FN52">
        <v>0.61787513535758898</v>
      </c>
      <c r="FO52">
        <v>-0.16301769388185899</v>
      </c>
      <c r="FP52">
        <v>0.28403067851362102</v>
      </c>
      <c r="FQ52">
        <v>0.23062810561359701</v>
      </c>
      <c r="FR52">
        <v>0.21653885442767801</v>
      </c>
      <c r="FS52">
        <v>0.44562537699515897</v>
      </c>
      <c r="FT52">
        <v>2.1289526738441599E-2</v>
      </c>
      <c r="FU52">
        <v>-2.50288223626631E-2</v>
      </c>
      <c r="FV52">
        <v>0.17998028475046901</v>
      </c>
      <c r="FW52">
        <v>3.3758856074165997E-2</v>
      </c>
      <c r="FX52">
        <v>7.1183293991991206E-2</v>
      </c>
      <c r="FY52">
        <v>0.280825747635082</v>
      </c>
      <c r="FZ52">
        <v>8.7720067639916799E-2</v>
      </c>
      <c r="GA52">
        <v>-9.7437825412960404E-3</v>
      </c>
      <c r="GB52">
        <v>-0.13039026221644401</v>
      </c>
      <c r="GC52">
        <v>0.11400793275797</v>
      </c>
      <c r="GD52">
        <v>-1.5369014414591001E-2</v>
      </c>
      <c r="GE52">
        <v>3.8051615381196099E-2</v>
      </c>
      <c r="GF52">
        <v>7.95429050785703E-2</v>
      </c>
      <c r="GG52">
        <v>0.22741734717029599</v>
      </c>
      <c r="GH52">
        <v>0.217180874712949</v>
      </c>
      <c r="GI52">
        <v>-2.75774045527424E-2</v>
      </c>
      <c r="GJ52">
        <v>0.19693798297552301</v>
      </c>
      <c r="GK52">
        <v>0.201349610923584</v>
      </c>
      <c r="GL52">
        <v>9.35505528795577E-2</v>
      </c>
      <c r="GM52">
        <v>8.3212565502442701E-2</v>
      </c>
      <c r="GN52">
        <v>0.111853879015314</v>
      </c>
      <c r="GO52">
        <v>-6.3556183605705904E-2</v>
      </c>
      <c r="GP52">
        <v>4.19985494862836E-2</v>
      </c>
      <c r="GR52" s="66"/>
      <c r="GT52" s="66"/>
      <c r="GV52" s="66"/>
      <c r="GW52" s="65"/>
      <c r="GX52" s="65"/>
      <c r="HK52" s="1"/>
      <c r="HL52" s="1"/>
      <c r="HM52" s="1"/>
      <c r="HN52" s="1"/>
      <c r="HO52" s="65"/>
      <c r="HP52" s="65"/>
      <c r="HQ52" s="65"/>
      <c r="HS52" s="65"/>
      <c r="HT52" s="65"/>
      <c r="HU52" s="65"/>
      <c r="HV52" s="65"/>
      <c r="HW52" s="65"/>
      <c r="HX52" s="65"/>
      <c r="IZ52" s="66"/>
      <c r="JB52" s="66"/>
      <c r="JD52" s="66"/>
      <c r="JF52" s="66"/>
      <c r="JH52" s="66"/>
      <c r="JJ52" s="66"/>
      <c r="JL52" s="66"/>
      <c r="JN52" s="66"/>
      <c r="JP52" s="66"/>
      <c r="JR52" s="66"/>
    </row>
    <row r="53" spans="1:278" ht="15.75" x14ac:dyDescent="0.25">
      <c r="A53" s="3" t="s">
        <v>106</v>
      </c>
      <c r="B53" s="3" t="s">
        <v>106</v>
      </c>
      <c r="C53" s="2" t="s">
        <v>794</v>
      </c>
      <c r="D53" s="2" t="s">
        <v>495</v>
      </c>
      <c r="E53" s="2" t="s">
        <v>495</v>
      </c>
      <c r="F53" s="2">
        <v>52</v>
      </c>
      <c r="G53" s="2" t="s">
        <v>793</v>
      </c>
      <c r="H53" s="10" t="s">
        <v>656</v>
      </c>
      <c r="I53" s="2">
        <v>150</v>
      </c>
      <c r="J53" s="2">
        <v>100</v>
      </c>
      <c r="K53" s="12">
        <v>7.5</v>
      </c>
      <c r="L53" t="s">
        <v>281</v>
      </c>
      <c r="M53" s="2" t="s">
        <v>1120</v>
      </c>
      <c r="N53" s="2" t="s">
        <v>437</v>
      </c>
      <c r="O53" s="2" t="s">
        <v>673</v>
      </c>
      <c r="P53" s="2" t="s">
        <v>1128</v>
      </c>
      <c r="Q53" s="9" t="s">
        <v>746</v>
      </c>
      <c r="R53" s="2" t="str">
        <f t="shared" si="0"/>
        <v>CW_3_Section_3</v>
      </c>
      <c r="S53" s="2" t="str">
        <f t="shared" si="1"/>
        <v>CW_3_MF10</v>
      </c>
      <c r="T53" s="11" t="s">
        <v>751</v>
      </c>
      <c r="U53" s="1">
        <v>45582</v>
      </c>
      <c r="V53" s="2" t="s">
        <v>752</v>
      </c>
      <c r="W53" s="2" t="s">
        <v>663</v>
      </c>
      <c r="X53" s="2" t="s">
        <v>750</v>
      </c>
      <c r="Y53" s="2" t="str">
        <f t="shared" si="2"/>
        <v>T1_MF10</v>
      </c>
      <c r="Z53" s="2" t="str">
        <f t="shared" si="3"/>
        <v>T1_CW_3_MF10</v>
      </c>
      <c r="AA53" s="2" t="str">
        <f t="shared" si="4"/>
        <v>T1_0.60-0.80</v>
      </c>
      <c r="AB53" s="2">
        <v>64</v>
      </c>
      <c r="AC53" s="2">
        <v>2.105</v>
      </c>
      <c r="AD53" s="2">
        <v>-1.1599999999999999</v>
      </c>
      <c r="AE53" s="2">
        <v>1</v>
      </c>
      <c r="AF53" t="s">
        <v>61</v>
      </c>
      <c r="AG53" t="s">
        <v>1237</v>
      </c>
      <c r="AH53">
        <v>68</v>
      </c>
      <c r="AI53">
        <v>29</v>
      </c>
      <c r="AJ53">
        <v>0.68</v>
      </c>
      <c r="AK53">
        <v>0.53</v>
      </c>
      <c r="AL53">
        <v>12.9</v>
      </c>
      <c r="AM53">
        <v>-84</v>
      </c>
      <c r="AN53">
        <v>7.21</v>
      </c>
      <c r="AO53">
        <v>470</v>
      </c>
      <c r="AP53">
        <v>0.2</v>
      </c>
      <c r="AQ53">
        <v>0.01</v>
      </c>
      <c r="AR53">
        <v>11</v>
      </c>
      <c r="AS53">
        <v>11</v>
      </c>
      <c r="AT53">
        <v>660</v>
      </c>
      <c r="AU53" s="32">
        <f t="shared" si="16"/>
        <v>0.25348866982460633</v>
      </c>
      <c r="AV53">
        <v>1</v>
      </c>
      <c r="AW53" s="32">
        <f t="shared" si="61"/>
        <v>3.9070978945083569E-4</v>
      </c>
      <c r="AX53">
        <v>500</v>
      </c>
      <c r="AY53" s="32">
        <f t="shared" si="17"/>
        <v>0.19779598756710934</v>
      </c>
      <c r="AZ53">
        <v>150</v>
      </c>
      <c r="BA53" s="32">
        <f t="shared" si="18"/>
        <v>5.9338796270132804E-2</v>
      </c>
      <c r="BB53">
        <v>110</v>
      </c>
      <c r="BC53" s="32">
        <f t="shared" si="19"/>
        <v>4.3515117264764057E-2</v>
      </c>
      <c r="BD53">
        <v>260</v>
      </c>
      <c r="BF53" s="48">
        <v>1427</v>
      </c>
      <c r="BG53" s="48">
        <f t="shared" si="20"/>
        <v>0.45167536718116652</v>
      </c>
      <c r="BH53">
        <v>2100</v>
      </c>
      <c r="BI53" s="32">
        <f t="shared" si="21"/>
        <v>0.78645548880393235</v>
      </c>
      <c r="BJ53" s="47">
        <v>1900</v>
      </c>
      <c r="BK53" s="27">
        <f t="shared" si="22"/>
        <v>0.71155496606070068</v>
      </c>
      <c r="BL53" s="47">
        <v>120</v>
      </c>
      <c r="BM53" s="27">
        <f t="shared" si="23"/>
        <v>4.4155332150601224E-2</v>
      </c>
      <c r="BN53" s="47">
        <v>93</v>
      </c>
      <c r="BO53" s="27">
        <f t="shared" si="24"/>
        <v>3.4978276376369882E-2</v>
      </c>
      <c r="BP53" s="47">
        <v>30</v>
      </c>
      <c r="BQ53" s="27">
        <f t="shared" si="25"/>
        <v>1.1189989170978222E-2</v>
      </c>
      <c r="BR53" s="47">
        <v>9</v>
      </c>
      <c r="BS53" s="27">
        <f t="shared" si="26"/>
        <v>3.332772260562195E-3</v>
      </c>
      <c r="BT53" s="47">
        <v>1.4</v>
      </c>
      <c r="BU53" s="27">
        <f t="shared" si="27"/>
        <v>5.1843124053189689E-4</v>
      </c>
      <c r="BV53" s="47">
        <v>0.06</v>
      </c>
      <c r="BW53" s="27">
        <f t="shared" si="28"/>
        <v>2.1953028430160689E-5</v>
      </c>
      <c r="BX53" s="47">
        <v>0.03</v>
      </c>
      <c r="BY53" s="27">
        <f t="shared" si="29"/>
        <v>1.0976514215080345E-5</v>
      </c>
      <c r="BZ53" s="51">
        <f t="shared" si="30"/>
        <v>2153.4900000000002</v>
      </c>
      <c r="CA53" s="51">
        <f t="shared" si="31"/>
        <v>253.49</v>
      </c>
      <c r="CB53" s="27">
        <f t="shared" si="32"/>
        <v>0.80576269680238921</v>
      </c>
      <c r="CC53" s="27">
        <f t="shared" si="33"/>
        <v>9.4207730741688658E-2</v>
      </c>
      <c r="CD53">
        <v>3700</v>
      </c>
      <c r="CE53">
        <v>980</v>
      </c>
      <c r="CF53" t="s">
        <v>19</v>
      </c>
      <c r="CG53">
        <v>4700</v>
      </c>
      <c r="CH53" s="32">
        <v>1.2</v>
      </c>
      <c r="CI53" s="32">
        <f t="shared" si="34"/>
        <v>2.1486123545210383E-2</v>
      </c>
      <c r="CJ53" s="32">
        <f t="shared" si="35"/>
        <v>2.1486123545210383E-2</v>
      </c>
      <c r="CK53" s="32">
        <v>1.6</v>
      </c>
      <c r="CL53" s="32">
        <f t="shared" si="36"/>
        <v>2.912798106681231E-2</v>
      </c>
      <c r="CM53" s="32">
        <f t="shared" si="37"/>
        <v>5.825596213362462E-2</v>
      </c>
      <c r="CN53" s="27">
        <v>50</v>
      </c>
      <c r="CO53" s="27">
        <f t="shared" si="38"/>
        <v>0.52050801582344364</v>
      </c>
      <c r="CP53" s="27">
        <f t="shared" si="39"/>
        <v>4.1640641265875491</v>
      </c>
      <c r="CQ53" s="57">
        <v>28</v>
      </c>
      <c r="CR53" s="57">
        <v>35.897435897435898</v>
      </c>
      <c r="CS53" s="57">
        <v>2.3318759108890275</v>
      </c>
      <c r="CT53" s="57">
        <f t="shared" si="40"/>
        <v>2.3318759108890275</v>
      </c>
      <c r="CU53" s="28">
        <v>20</v>
      </c>
      <c r="CV53" s="28">
        <v>28.571428571428569</v>
      </c>
      <c r="CW53" s="28">
        <v>1.6656256506350198</v>
      </c>
      <c r="CX53" s="28">
        <f t="shared" si="41"/>
        <v>1.6656256506350198</v>
      </c>
      <c r="CY53" s="32">
        <f t="shared" si="42"/>
        <v>16.276493858005413</v>
      </c>
      <c r="CZ53" s="32">
        <f t="shared" si="43"/>
        <v>16.276493858005413</v>
      </c>
      <c r="DA53" s="32">
        <f t="shared" si="44"/>
        <v>17.476493858005412</v>
      </c>
      <c r="DB53" s="32">
        <f t="shared" si="45"/>
        <v>0.31291842180851231</v>
      </c>
      <c r="DC53" s="32">
        <f t="shared" si="46"/>
        <v>0.31291842180851231</v>
      </c>
      <c r="DD53" s="59">
        <f t="shared" si="47"/>
        <v>11.626067041432437</v>
      </c>
      <c r="DE53" s="59">
        <f t="shared" si="48"/>
        <v>11.626067041432437</v>
      </c>
      <c r="DF53" s="59">
        <f t="shared" si="49"/>
        <v>12.826067041432436</v>
      </c>
      <c r="DG53" s="59">
        <f t="shared" si="50"/>
        <v>0.2296520508761403</v>
      </c>
      <c r="DH53" s="59">
        <f t="shared" si="51"/>
        <v>0.2296520508761403</v>
      </c>
      <c r="DI53" s="32">
        <f t="shared" si="52"/>
        <v>4.1640641265875491</v>
      </c>
      <c r="DJ53" s="32">
        <f t="shared" si="53"/>
        <v>14.426067041432436</v>
      </c>
      <c r="DK53" s="32">
        <f t="shared" si="54"/>
        <v>0.28790801300976493</v>
      </c>
      <c r="DL53">
        <f t="shared" si="60"/>
        <v>2.7030502948311645</v>
      </c>
      <c r="DM53">
        <f t="shared" si="62"/>
        <v>2.1551934214847211E-2</v>
      </c>
      <c r="DN53">
        <f t="shared" si="63"/>
        <v>0.11576492764743675</v>
      </c>
      <c r="DO53">
        <f t="shared" si="64"/>
        <v>0.86268313813771602</v>
      </c>
      <c r="DP53">
        <f t="shared" si="55"/>
        <v>1.9535336636447846</v>
      </c>
      <c r="DQ53">
        <f t="shared" si="65"/>
        <v>2.9820813031158203E-2</v>
      </c>
      <c r="DR53">
        <f t="shared" si="66"/>
        <v>0.1175572528643655</v>
      </c>
      <c r="DS53">
        <f t="shared" si="67"/>
        <v>0.85262193410447629</v>
      </c>
      <c r="DT53" s="63">
        <f t="shared" si="68"/>
        <v>-1.4649194388460658</v>
      </c>
      <c r="DU53" s="63">
        <f t="shared" si="69"/>
        <v>-0.71540280765968589</v>
      </c>
      <c r="DV53" s="63">
        <f t="shared" si="70"/>
        <v>-1.3707117081043771</v>
      </c>
      <c r="DW53" s="63">
        <f t="shared" si="71"/>
        <v>-0.62119507691799725</v>
      </c>
      <c r="DX53" t="str">
        <f t="shared" si="57"/>
        <v>Sufficient Capacity</v>
      </c>
      <c r="DY53" t="str">
        <f t="shared" si="58"/>
        <v>Sufficient Capacity</v>
      </c>
      <c r="DZ53" t="str">
        <f t="shared" si="59"/>
        <v>Sulfate Dominant electron acceptor</v>
      </c>
      <c r="EA53" t="str">
        <f t="shared" si="72"/>
        <v>Sulfate Dominant electron acceptor</v>
      </c>
      <c r="EB53">
        <v>9.1803389999999992E-3</v>
      </c>
      <c r="EC53">
        <v>1.6367350000000001E-3</v>
      </c>
      <c r="ED53" s="66">
        <v>1.2756980000000001E-6</v>
      </c>
      <c r="EE53">
        <v>7.6101580000000003E-4</v>
      </c>
      <c r="EF53">
        <v>5.214659E-3</v>
      </c>
      <c r="EG53" s="66">
        <v>3.7680079999999997E-5</v>
      </c>
      <c r="EH53">
        <v>3.713756E-4</v>
      </c>
      <c r="EI53">
        <v>1.0603570000000001E-4</v>
      </c>
      <c r="EJ53">
        <v>6.9389379999999995E-4</v>
      </c>
      <c r="EK53">
        <v>1.0487879999999999E-3</v>
      </c>
      <c r="EL53">
        <v>6.6040429999999995E-4</v>
      </c>
      <c r="EM53">
        <v>3.6784289999999999E-4</v>
      </c>
      <c r="EN53">
        <v>2.1572200000000001E-3</v>
      </c>
      <c r="EO53">
        <v>8.6187190000000004E-4</v>
      </c>
      <c r="EP53">
        <v>2.1999709999999998E-3</v>
      </c>
      <c r="EQ53">
        <v>1.2768269999999999E-3</v>
      </c>
      <c r="ER53">
        <v>5.2785519999999999E-4</v>
      </c>
      <c r="ES53">
        <v>8.5784260000000003E-4</v>
      </c>
      <c r="ET53">
        <v>6.9611639999999997E-3</v>
      </c>
      <c r="EU53">
        <v>2.7018910000000001E-3</v>
      </c>
      <c r="EV53">
        <v>8.5312410000000002E-3</v>
      </c>
      <c r="EW53">
        <v>7.1782319999999999E-4</v>
      </c>
      <c r="EX53">
        <v>5.1873379999999997E-3</v>
      </c>
      <c r="EY53">
        <v>7.457806E-3</v>
      </c>
      <c r="EZ53">
        <v>1.3286120000000001E-3</v>
      </c>
      <c r="FA53">
        <v>9.73729E-4</v>
      </c>
      <c r="FB53">
        <v>1.024912E-3</v>
      </c>
      <c r="FC53">
        <v>1.748288E-3</v>
      </c>
      <c r="FD53">
        <v>4.5462909999999999E-4</v>
      </c>
      <c r="FE53">
        <v>2.5461290000000001E-2</v>
      </c>
      <c r="FF53">
        <v>1.8635929999999998E-2</v>
      </c>
      <c r="FG53">
        <v>1.0155880000000001E-2</v>
      </c>
      <c r="FH53">
        <v>9.0168979999999995E-4</v>
      </c>
      <c r="FI53">
        <v>1.442584E-3</v>
      </c>
      <c r="FJ53">
        <v>1.193759E-2</v>
      </c>
      <c r="FK53">
        <v>0.28425680153425398</v>
      </c>
      <c r="FL53">
        <v>0.12532857793042901</v>
      </c>
      <c r="FM53">
        <v>1.13734894014733</v>
      </c>
      <c r="FN53">
        <v>0.22364179424727701</v>
      </c>
      <c r="FO53">
        <v>0.28959485475844798</v>
      </c>
      <c r="FP53">
        <v>0.45033191854999499</v>
      </c>
      <c r="FQ53">
        <v>0.37709839232215497</v>
      </c>
      <c r="FR53">
        <v>0.37118134892577098</v>
      </c>
      <c r="FS53">
        <v>0.35803593113890497</v>
      </c>
      <c r="FT53">
        <v>5.9049092628960402E-2</v>
      </c>
      <c r="FU53">
        <v>5.4322751154003E-2</v>
      </c>
      <c r="FV53">
        <v>3.7782011711430002E-2</v>
      </c>
      <c r="FW53">
        <v>5.5183016842669901E-2</v>
      </c>
      <c r="FX53">
        <v>0.287031813977491</v>
      </c>
      <c r="FY53">
        <v>0.20869063630197901</v>
      </c>
      <c r="FZ53">
        <v>-0.22066016381995501</v>
      </c>
      <c r="GA53">
        <v>-2.4801076742873501E-2</v>
      </c>
      <c r="GB53">
        <v>-3.5514039978864702E-2</v>
      </c>
      <c r="GC53">
        <v>0.10768642199532</v>
      </c>
      <c r="GD53">
        <v>4.1844217664522197E-2</v>
      </c>
      <c r="GE53">
        <v>9.6353362120323596E-2</v>
      </c>
      <c r="GF53">
        <v>4.1973976434576302E-2</v>
      </c>
      <c r="GG53">
        <v>2.90964325401264E-2</v>
      </c>
      <c r="GH53">
        <v>3.6128036134774902E-2</v>
      </c>
      <c r="GI53">
        <v>-6.9183584691817401E-2</v>
      </c>
      <c r="GJ53">
        <v>0.241301945558552</v>
      </c>
      <c r="GK53">
        <v>8.7651553466073104E-2</v>
      </c>
      <c r="GL53">
        <v>0.22038795831798499</v>
      </c>
      <c r="GM53">
        <v>0.185845927669855</v>
      </c>
      <c r="GN53">
        <v>0.12849887045741301</v>
      </c>
      <c r="GO53">
        <v>4.6220635207214799E-3</v>
      </c>
      <c r="GP53">
        <v>0.119599790681651</v>
      </c>
      <c r="GT53" s="66"/>
      <c r="GV53" s="66"/>
      <c r="HK53" s="1"/>
      <c r="HL53" s="1"/>
      <c r="HM53" s="65"/>
      <c r="HN53" s="1"/>
      <c r="HO53" s="65"/>
      <c r="HP53" s="65"/>
      <c r="HQ53" s="65"/>
      <c r="HS53" s="65"/>
      <c r="HT53" s="65"/>
      <c r="HU53" s="65"/>
      <c r="HV53" s="65"/>
      <c r="HW53" s="65"/>
      <c r="HX53" s="65"/>
      <c r="JJ53" s="66"/>
      <c r="JL53" s="66"/>
      <c r="JN53" s="66"/>
    </row>
    <row r="54" spans="1:278" ht="15.75" x14ac:dyDescent="0.25">
      <c r="A54" s="29" t="s">
        <v>107</v>
      </c>
      <c r="B54" s="29" t="s">
        <v>107</v>
      </c>
      <c r="C54" s="29" t="s">
        <v>796</v>
      </c>
      <c r="D54" s="29" t="s">
        <v>496</v>
      </c>
      <c r="E54" s="29" t="s">
        <v>496</v>
      </c>
      <c r="F54" s="29">
        <v>53</v>
      </c>
      <c r="G54" s="29" t="s">
        <v>795</v>
      </c>
      <c r="H54" s="30" t="s">
        <v>656</v>
      </c>
      <c r="I54" s="29">
        <v>150</v>
      </c>
      <c r="J54" s="29">
        <v>65</v>
      </c>
      <c r="K54" s="29">
        <v>5.8</v>
      </c>
      <c r="L54" s="32" t="s">
        <v>289</v>
      </c>
      <c r="M54" s="29" t="s">
        <v>1118</v>
      </c>
      <c r="N54" s="29" t="s">
        <v>688</v>
      </c>
      <c r="O54" s="29" t="s">
        <v>687</v>
      </c>
      <c r="P54" s="29" t="s">
        <v>1118</v>
      </c>
      <c r="Q54" s="29" t="s">
        <v>443</v>
      </c>
      <c r="R54" s="2" t="str">
        <f t="shared" si="0"/>
        <v>CW_0_Section_0</v>
      </c>
      <c r="S54" s="2" t="str">
        <f t="shared" si="1"/>
        <v>CW_0_INF</v>
      </c>
      <c r="T54" s="31" t="s">
        <v>798</v>
      </c>
      <c r="U54" s="33">
        <v>45643</v>
      </c>
      <c r="V54" s="29" t="s">
        <v>799</v>
      </c>
      <c r="W54" s="29" t="s">
        <v>1118</v>
      </c>
      <c r="X54" s="29" t="s">
        <v>797</v>
      </c>
      <c r="Y54" s="2" t="str">
        <f t="shared" si="2"/>
        <v>T2_INF</v>
      </c>
      <c r="Z54" s="2" t="str">
        <f t="shared" si="3"/>
        <v>T2_CW_0_INF</v>
      </c>
      <c r="AA54" s="2" t="str">
        <f t="shared" si="4"/>
        <v>T2_INF</v>
      </c>
      <c r="AB54" s="2">
        <v>127</v>
      </c>
      <c r="AC54" s="2">
        <v>4.1769999999999996</v>
      </c>
      <c r="AD54" s="2">
        <v>-0.76</v>
      </c>
      <c r="AE54" s="2">
        <v>2</v>
      </c>
      <c r="AF54" s="32" t="s">
        <v>27</v>
      </c>
      <c r="AG54" t="s">
        <v>1237</v>
      </c>
      <c r="AH54" s="32">
        <v>68</v>
      </c>
      <c r="AI54" s="32">
        <v>29</v>
      </c>
      <c r="AJ54" s="32">
        <v>0.9</v>
      </c>
      <c r="AK54" s="32" t="s">
        <v>443</v>
      </c>
      <c r="AL54" s="32" t="s">
        <v>443</v>
      </c>
      <c r="AM54" s="32" t="s">
        <v>443</v>
      </c>
      <c r="AN54" s="32" t="s">
        <v>443</v>
      </c>
      <c r="AO54" s="32" t="s">
        <v>443</v>
      </c>
      <c r="AP54" s="32" t="s">
        <v>443</v>
      </c>
      <c r="AQ54" s="32">
        <v>0.01</v>
      </c>
      <c r="AR54" s="32">
        <v>16</v>
      </c>
      <c r="AS54" s="32">
        <v>50</v>
      </c>
      <c r="AT54" s="32">
        <v>610</v>
      </c>
      <c r="AU54" s="32">
        <f t="shared" si="16"/>
        <v>0.23428498271668158</v>
      </c>
      <c r="AV54" s="32">
        <v>140</v>
      </c>
      <c r="AW54" s="32">
        <f t="shared" si="61"/>
        <v>5.4699370523116998E-2</v>
      </c>
      <c r="AX54" s="32">
        <v>690</v>
      </c>
      <c r="AY54" s="32">
        <f t="shared" si="17"/>
        <v>0.27295846284261088</v>
      </c>
      <c r="AZ54" s="32">
        <v>260</v>
      </c>
      <c r="BA54" s="32">
        <f t="shared" si="18"/>
        <v>0.10285391353489687</v>
      </c>
      <c r="BB54" s="32">
        <v>450</v>
      </c>
      <c r="BC54" s="32">
        <f t="shared" si="19"/>
        <v>0.17801638881039844</v>
      </c>
      <c r="BD54" s="32">
        <v>710</v>
      </c>
      <c r="BE54" s="32"/>
      <c r="BF54" s="48">
        <v>2150</v>
      </c>
      <c r="BG54" s="48">
        <f t="shared" si="20"/>
        <v>0.56194281608240948</v>
      </c>
      <c r="BH54" s="32">
        <v>5400</v>
      </c>
      <c r="BI54" s="32">
        <f t="shared" si="21"/>
        <v>2.0223141140672545</v>
      </c>
      <c r="BJ54" s="47">
        <v>3700</v>
      </c>
      <c r="BK54" s="27">
        <f t="shared" si="22"/>
        <v>1.3856596707497855</v>
      </c>
      <c r="BL54" s="47">
        <v>250</v>
      </c>
      <c r="BM54" s="27">
        <f t="shared" si="23"/>
        <v>9.1990275313752548E-2</v>
      </c>
      <c r="BN54" s="47">
        <v>210</v>
      </c>
      <c r="BO54" s="27">
        <f t="shared" si="24"/>
        <v>7.8983204720835226E-2</v>
      </c>
      <c r="BP54" s="47">
        <v>130</v>
      </c>
      <c r="BQ54" s="27">
        <f t="shared" si="25"/>
        <v>4.8489953074238958E-2</v>
      </c>
      <c r="BR54" s="47">
        <v>130</v>
      </c>
      <c r="BS54" s="27">
        <f t="shared" si="26"/>
        <v>4.8140043763676151E-2</v>
      </c>
      <c r="BT54" s="47">
        <v>28</v>
      </c>
      <c r="BU54" s="27">
        <f t="shared" si="27"/>
        <v>1.0368624810637939E-2</v>
      </c>
      <c r="BV54" s="47">
        <v>12</v>
      </c>
      <c r="BW54" s="27">
        <f t="shared" si="28"/>
        <v>4.3906056860321388E-3</v>
      </c>
      <c r="BX54" s="47">
        <v>15</v>
      </c>
      <c r="BY54" s="27">
        <f t="shared" si="29"/>
        <v>5.4882571075401728E-3</v>
      </c>
      <c r="BZ54" s="51">
        <f t="shared" si="30"/>
        <v>4475</v>
      </c>
      <c r="CA54" s="51">
        <f t="shared" si="31"/>
        <v>775</v>
      </c>
      <c r="CB54" s="27">
        <f t="shared" si="32"/>
        <v>1.6735106352264983</v>
      </c>
      <c r="CC54" s="27">
        <f t="shared" si="33"/>
        <v>0.28785096447671316</v>
      </c>
      <c r="CD54" s="32">
        <v>9000</v>
      </c>
      <c r="CE54" s="32">
        <v>4700</v>
      </c>
      <c r="CF54" s="32" t="s">
        <v>19</v>
      </c>
      <c r="CG54" s="32">
        <v>14000</v>
      </c>
      <c r="CH54" s="32">
        <v>1.2</v>
      </c>
      <c r="CI54" s="32">
        <f t="shared" si="34"/>
        <v>2.1486123545210383E-2</v>
      </c>
      <c r="CJ54" s="32">
        <f t="shared" si="35"/>
        <v>2.1486123545210383E-2</v>
      </c>
      <c r="CK54" s="32">
        <v>0.9</v>
      </c>
      <c r="CL54" s="32">
        <f t="shared" si="36"/>
        <v>1.6384489350081924E-2</v>
      </c>
      <c r="CM54" s="32">
        <f t="shared" si="37"/>
        <v>3.2768978700163848E-2</v>
      </c>
      <c r="CN54" s="32">
        <v>81</v>
      </c>
      <c r="CO54" s="32">
        <f t="shared" si="38"/>
        <v>0.84322298563397879</v>
      </c>
      <c r="CP54" s="32">
        <f t="shared" si="39"/>
        <v>6.7457838850718304</v>
      </c>
      <c r="CQ54" s="57">
        <v>0</v>
      </c>
      <c r="CR54" s="57">
        <v>0</v>
      </c>
      <c r="CS54" s="57">
        <v>0</v>
      </c>
      <c r="CT54" s="57">
        <f t="shared" si="40"/>
        <v>0</v>
      </c>
      <c r="CU54" s="28">
        <v>0</v>
      </c>
      <c r="CV54" s="28">
        <v>0</v>
      </c>
      <c r="CW54" s="28">
        <v>0</v>
      </c>
      <c r="CX54" s="28">
        <f t="shared" si="41"/>
        <v>0</v>
      </c>
      <c r="CY54" s="32">
        <f t="shared" si="42"/>
        <v>0</v>
      </c>
      <c r="CZ54" s="32">
        <f t="shared" si="43"/>
        <v>0</v>
      </c>
      <c r="DA54" s="32">
        <f t="shared" si="44"/>
        <v>1.2</v>
      </c>
      <c r="DB54" s="32">
        <f t="shared" si="45"/>
        <v>2.1486123545210383E-2</v>
      </c>
      <c r="DC54" s="32">
        <f t="shared" si="46"/>
        <v>2.1486123545210383E-2</v>
      </c>
      <c r="DD54" s="59">
        <f t="shared" si="47"/>
        <v>0</v>
      </c>
      <c r="DE54" s="59">
        <f t="shared" si="48"/>
        <v>0</v>
      </c>
      <c r="DF54" s="59">
        <f t="shared" si="49"/>
        <v>1.2</v>
      </c>
      <c r="DG54" s="59">
        <f t="shared" si="50"/>
        <v>2.1486123545210383E-2</v>
      </c>
      <c r="DH54" s="59">
        <f t="shared" si="51"/>
        <v>2.1486123545210383E-2</v>
      </c>
      <c r="DI54" s="32">
        <f t="shared" si="52"/>
        <v>6.7457838850718304</v>
      </c>
      <c r="DJ54" s="32">
        <f t="shared" si="53"/>
        <v>2.1</v>
      </c>
      <c r="DK54" s="32">
        <f t="shared" si="54"/>
        <v>5.4255102245374234E-2</v>
      </c>
      <c r="DL54">
        <f t="shared" si="60"/>
        <v>5.4255102245374234E-2</v>
      </c>
      <c r="DM54">
        <f t="shared" si="62"/>
        <v>0.6039796690818644</v>
      </c>
      <c r="DN54">
        <f t="shared" si="63"/>
        <v>0.39602033091813554</v>
      </c>
      <c r="DO54">
        <f t="shared" si="64"/>
        <v>0</v>
      </c>
      <c r="DP54">
        <f t="shared" si="55"/>
        <v>5.4255102245374234E-2</v>
      </c>
      <c r="DQ54">
        <f t="shared" si="65"/>
        <v>0.6039796690818644</v>
      </c>
      <c r="DR54">
        <f t="shared" si="66"/>
        <v>0.39602033091813554</v>
      </c>
      <c r="DS54">
        <f t="shared" si="67"/>
        <v>0</v>
      </c>
      <c r="DT54" s="63">
        <f t="shared" si="68"/>
        <v>2.5300018279042895</v>
      </c>
      <c r="DU54" s="63">
        <f t="shared" si="69"/>
        <v>2.5300018279042895</v>
      </c>
      <c r="DV54" s="63">
        <f t="shared" si="70"/>
        <v>2.8178527923810028</v>
      </c>
      <c r="DW54" s="63">
        <f t="shared" si="71"/>
        <v>2.8178527923810028</v>
      </c>
      <c r="DX54" t="str">
        <f t="shared" si="57"/>
        <v>Insufficient Capacity</v>
      </c>
      <c r="DY54" t="str">
        <f t="shared" si="58"/>
        <v>Insufficient Capacity</v>
      </c>
      <c r="DZ54" t="str">
        <f t="shared" si="59"/>
        <v>Iron Dominant electron acceptor</v>
      </c>
      <c r="EA54" t="str">
        <f t="shared" si="72"/>
        <v>Iron Dominant electron acceptor</v>
      </c>
      <c r="EB54">
        <v>1.139766E-2</v>
      </c>
      <c r="EC54">
        <v>2.1061740000000002E-3</v>
      </c>
      <c r="ED54">
        <v>0</v>
      </c>
      <c r="EE54" s="66">
        <v>8.5959009999999995E-5</v>
      </c>
      <c r="EF54">
        <v>1.7684300000000001E-3</v>
      </c>
      <c r="EG54" s="66">
        <v>2.1716199999999998E-6</v>
      </c>
      <c r="EH54" s="66">
        <v>5.7760339999999999E-5</v>
      </c>
      <c r="EI54" s="66">
        <v>1.822049E-6</v>
      </c>
      <c r="EJ54">
        <v>2.341675E-4</v>
      </c>
      <c r="EK54">
        <v>3.551564E-4</v>
      </c>
      <c r="EL54">
        <v>2.5516690000000001E-4</v>
      </c>
      <c r="EM54" s="66">
        <v>2.3297559999999999E-5</v>
      </c>
      <c r="EN54">
        <v>1.5773499999999999E-3</v>
      </c>
      <c r="EO54">
        <v>3.2242810000000002E-4</v>
      </c>
      <c r="EP54">
        <v>1.013531E-3</v>
      </c>
      <c r="EQ54">
        <v>2.042622E-3</v>
      </c>
      <c r="ER54">
        <v>1.561651E-4</v>
      </c>
      <c r="ES54">
        <v>3.9788099999999999E-4</v>
      </c>
      <c r="ET54">
        <v>6.4801420000000004E-3</v>
      </c>
      <c r="EU54">
        <v>2.7372080000000001E-3</v>
      </c>
      <c r="EV54">
        <v>1.0329380000000001E-2</v>
      </c>
      <c r="EW54">
        <v>6.2031610000000002E-4</v>
      </c>
      <c r="EX54">
        <v>6.3117119999999997E-3</v>
      </c>
      <c r="EY54">
        <v>8.0516749999999995E-3</v>
      </c>
      <c r="EZ54">
        <v>3.7875410000000001E-4</v>
      </c>
      <c r="FA54">
        <v>2.2358299999999999E-4</v>
      </c>
      <c r="FB54">
        <v>2.4594660000000002E-4</v>
      </c>
      <c r="FC54">
        <v>1.2974849999999999E-3</v>
      </c>
      <c r="FD54">
        <v>3.1004090000000002E-4</v>
      </c>
      <c r="FE54">
        <v>1.787921E-2</v>
      </c>
      <c r="FF54">
        <v>2.4975879999999999E-2</v>
      </c>
      <c r="FG54">
        <v>1.1636000000000001E-2</v>
      </c>
      <c r="FH54">
        <v>1.146949E-3</v>
      </c>
      <c r="FI54">
        <v>1.0925799999999999E-3</v>
      </c>
      <c r="FJ54">
        <v>1.539016E-2</v>
      </c>
      <c r="FK54">
        <v>-1.89652676354362</v>
      </c>
      <c r="FL54">
        <v>-0.95605297276769796</v>
      </c>
      <c r="FM54">
        <v>-1.7163091998948501</v>
      </c>
      <c r="FN54">
        <v>-1.63726977415799</v>
      </c>
      <c r="FO54">
        <v>-3.77421928310486</v>
      </c>
      <c r="FP54">
        <v>-0.63595033305822701</v>
      </c>
      <c r="FQ54">
        <v>-0.70573384257813598</v>
      </c>
      <c r="FR54">
        <v>-0.57975303344011397</v>
      </c>
      <c r="FS54">
        <v>-2.4012713796494598</v>
      </c>
      <c r="FT54">
        <v>-0.25402503933765103</v>
      </c>
      <c r="FU54">
        <v>-0.92890373493451395</v>
      </c>
      <c r="FV54">
        <v>-0.73722189323114096</v>
      </c>
      <c r="FW54">
        <v>0.52503919942667499</v>
      </c>
      <c r="FX54">
        <v>-0.93087640875022704</v>
      </c>
      <c r="FY54">
        <v>-0.55957703087189203</v>
      </c>
      <c r="FZ54">
        <v>-0.292264441857982</v>
      </c>
      <c r="GA54">
        <v>-1.18145521919955E-2</v>
      </c>
      <c r="GB54">
        <v>0.15574338455074299</v>
      </c>
      <c r="GC54">
        <v>-3.8307690351431702E-2</v>
      </c>
      <c r="GD54">
        <v>0.238030516637187</v>
      </c>
      <c r="GE54">
        <v>0.17297223735789799</v>
      </c>
      <c r="GF54">
        <v>-1.21302890897211</v>
      </c>
      <c r="GG54">
        <v>-1.4422538885338001</v>
      </c>
      <c r="GH54">
        <v>-1.3911195588957199</v>
      </c>
      <c r="GI54">
        <v>-0.36739283278172902</v>
      </c>
      <c r="GJ54">
        <v>-0.141475751869368</v>
      </c>
      <c r="GK54">
        <v>-0.26586912076962199</v>
      </c>
      <c r="GL54">
        <v>0.51320707969044699</v>
      </c>
      <c r="GM54">
        <v>0.32189682020564703</v>
      </c>
      <c r="GN54">
        <v>0.36908896430398702</v>
      </c>
      <c r="GO54">
        <v>-0.27327201456836903</v>
      </c>
      <c r="GP54">
        <v>0.37363588979422602</v>
      </c>
      <c r="GY54" s="65"/>
      <c r="HK54" s="1"/>
      <c r="HL54" s="1"/>
      <c r="HM54" s="65"/>
      <c r="HN54" s="1"/>
      <c r="IZ54" s="66"/>
      <c r="JB54" s="66"/>
      <c r="JD54" s="66"/>
      <c r="JF54" s="66"/>
      <c r="JH54" s="66"/>
      <c r="JJ54" s="66"/>
      <c r="JL54" s="66"/>
      <c r="JN54" s="66"/>
      <c r="JP54" s="66"/>
      <c r="JR54" s="66"/>
    </row>
    <row r="55" spans="1:278" ht="15.75" x14ac:dyDescent="0.25">
      <c r="A55" s="4" t="s">
        <v>108</v>
      </c>
      <c r="B55" s="4" t="s">
        <v>108</v>
      </c>
      <c r="C55" s="2" t="s">
        <v>801</v>
      </c>
      <c r="D55" s="2" t="s">
        <v>497</v>
      </c>
      <c r="E55" s="2" t="s">
        <v>497</v>
      </c>
      <c r="F55" s="2">
        <v>54</v>
      </c>
      <c r="G55" s="2" t="s">
        <v>800</v>
      </c>
      <c r="H55" s="10" t="s">
        <v>656</v>
      </c>
      <c r="I55" s="2">
        <v>150</v>
      </c>
      <c r="J55" s="2">
        <v>65</v>
      </c>
      <c r="K55" s="2">
        <v>6.9</v>
      </c>
      <c r="L55" t="s">
        <v>288</v>
      </c>
      <c r="M55" s="2" t="s">
        <v>1119</v>
      </c>
      <c r="N55" s="2" t="s">
        <v>435</v>
      </c>
      <c r="O55" s="2" t="s">
        <v>694</v>
      </c>
      <c r="P55" s="2" t="s">
        <v>1119</v>
      </c>
      <c r="Q55" s="2" t="s">
        <v>443</v>
      </c>
      <c r="R55" s="2" t="str">
        <f t="shared" si="0"/>
        <v>CW_1_Section_5</v>
      </c>
      <c r="S55" s="2" t="str">
        <f t="shared" si="1"/>
        <v>CW_1_EFF</v>
      </c>
      <c r="T55" s="11" t="s">
        <v>798</v>
      </c>
      <c r="U55" s="1">
        <v>45643</v>
      </c>
      <c r="V55" s="2" t="s">
        <v>799</v>
      </c>
      <c r="W55" s="2" t="s">
        <v>1119</v>
      </c>
      <c r="X55" s="2" t="s">
        <v>797</v>
      </c>
      <c r="Y55" s="2" t="str">
        <f t="shared" si="2"/>
        <v>T2_EFF</v>
      </c>
      <c r="Z55" s="2" t="str">
        <f t="shared" si="3"/>
        <v>T2_CW_1_EFF</v>
      </c>
      <c r="AA55" s="2" t="str">
        <f t="shared" si="4"/>
        <v>T2_EFF</v>
      </c>
      <c r="AB55" s="2">
        <v>127</v>
      </c>
      <c r="AC55" s="2">
        <v>4.1769999999999996</v>
      </c>
      <c r="AD55" s="2">
        <v>-0.76</v>
      </c>
      <c r="AE55" s="2">
        <v>2</v>
      </c>
      <c r="AF55" t="s">
        <v>18</v>
      </c>
      <c r="AG55" t="s">
        <v>1237</v>
      </c>
      <c r="AH55">
        <v>58</v>
      </c>
      <c r="AI55">
        <v>16</v>
      </c>
      <c r="AJ55">
        <v>0.97</v>
      </c>
      <c r="AK55">
        <v>4.5</v>
      </c>
      <c r="AL55">
        <v>9.6</v>
      </c>
      <c r="AM55">
        <v>-80</v>
      </c>
      <c r="AN55">
        <v>7.08</v>
      </c>
      <c r="AO55">
        <v>940</v>
      </c>
      <c r="AP55">
        <v>0.2</v>
      </c>
      <c r="AQ55">
        <v>0.01</v>
      </c>
      <c r="AR55">
        <v>17</v>
      </c>
      <c r="AS55">
        <v>11</v>
      </c>
      <c r="AT55">
        <v>140</v>
      </c>
      <c r="AU55" s="32">
        <f t="shared" si="16"/>
        <v>5.3770323902189221E-2</v>
      </c>
      <c r="AV55">
        <v>0.5</v>
      </c>
      <c r="AW55" s="32">
        <f t="shared" si="61"/>
        <v>1.9535489472541785E-4</v>
      </c>
      <c r="AX55">
        <v>73</v>
      </c>
      <c r="AY55" s="32">
        <f t="shared" si="17"/>
        <v>2.8878214184797964E-2</v>
      </c>
      <c r="AZ55">
        <v>40</v>
      </c>
      <c r="BA55" s="32">
        <f t="shared" si="18"/>
        <v>1.5823679005368747E-2</v>
      </c>
      <c r="BB55">
        <v>17</v>
      </c>
      <c r="BC55" s="32">
        <f t="shared" si="19"/>
        <v>6.725063577281718E-3</v>
      </c>
      <c r="BD55">
        <v>57</v>
      </c>
      <c r="BF55" s="48">
        <v>273.5</v>
      </c>
      <c r="BG55" s="48">
        <f t="shared" si="20"/>
        <v>8.2843892981712602E-2</v>
      </c>
      <c r="BH55">
        <v>530</v>
      </c>
      <c r="BI55" s="32">
        <f t="shared" si="21"/>
        <v>0.19848638526956386</v>
      </c>
      <c r="BJ55" s="47">
        <v>150</v>
      </c>
      <c r="BK55" s="27">
        <f t="shared" si="22"/>
        <v>5.617539205742373E-2</v>
      </c>
      <c r="BL55" s="47">
        <v>25</v>
      </c>
      <c r="BM55" s="27">
        <f t="shared" si="23"/>
        <v>9.1990275313752548E-3</v>
      </c>
      <c r="BN55" s="47">
        <v>26</v>
      </c>
      <c r="BO55" s="27">
        <f t="shared" si="24"/>
        <v>9.7788729654367419E-3</v>
      </c>
      <c r="BP55" s="47">
        <v>7.9</v>
      </c>
      <c r="BQ55" s="27">
        <f t="shared" si="25"/>
        <v>2.9466971483575986E-3</v>
      </c>
      <c r="BR55" s="47">
        <v>1.6</v>
      </c>
      <c r="BS55" s="27">
        <f t="shared" si="26"/>
        <v>5.9249284632216796E-4</v>
      </c>
      <c r="BT55" s="47">
        <v>0.2</v>
      </c>
      <c r="BU55" s="27">
        <f t="shared" si="27"/>
        <v>7.4061605790270996E-5</v>
      </c>
      <c r="BV55" s="47">
        <v>0.03</v>
      </c>
      <c r="BW55" s="27">
        <f t="shared" si="28"/>
        <v>1.0976514215080345E-5</v>
      </c>
      <c r="BX55" s="47">
        <v>2E-3</v>
      </c>
      <c r="BY55" s="27">
        <f t="shared" si="29"/>
        <v>7.3176761433868969E-7</v>
      </c>
      <c r="BZ55" s="51">
        <f t="shared" si="30"/>
        <v>210.732</v>
      </c>
      <c r="CA55" s="51">
        <f t="shared" si="31"/>
        <v>60.732000000000006</v>
      </c>
      <c r="CB55" s="27">
        <f t="shared" si="32"/>
        <v>7.8778252436535176E-2</v>
      </c>
      <c r="CC55" s="27">
        <f t="shared" si="33"/>
        <v>2.2602860379111453E-2</v>
      </c>
      <c r="CD55">
        <v>1100</v>
      </c>
      <c r="CE55">
        <v>320</v>
      </c>
      <c r="CF55" t="s">
        <v>19</v>
      </c>
      <c r="CG55">
        <v>1400</v>
      </c>
      <c r="CH55" s="32">
        <v>10</v>
      </c>
      <c r="CI55" s="32">
        <f t="shared" si="34"/>
        <v>0.17905102954341987</v>
      </c>
      <c r="CJ55" s="32">
        <f t="shared" si="35"/>
        <v>0.17905102954341987</v>
      </c>
      <c r="CK55" s="32">
        <v>3.3</v>
      </c>
      <c r="CL55" s="32">
        <f t="shared" si="36"/>
        <v>6.0076460950300378E-2</v>
      </c>
      <c r="CM55" s="32">
        <f t="shared" si="37"/>
        <v>0.12015292190060076</v>
      </c>
      <c r="CN55" s="27">
        <v>16</v>
      </c>
      <c r="CO55" s="27">
        <f t="shared" si="38"/>
        <v>0.16656256506350198</v>
      </c>
      <c r="CP55" s="27">
        <f t="shared" si="39"/>
        <v>1.3325005205080158</v>
      </c>
      <c r="CQ55" s="57">
        <v>65</v>
      </c>
      <c r="CR55" s="57">
        <v>80.246913580246911</v>
      </c>
      <c r="CS55" s="57">
        <v>5.4132833645638145</v>
      </c>
      <c r="CT55" s="57">
        <f t="shared" si="40"/>
        <v>5.4132833645638145</v>
      </c>
      <c r="CU55" s="28">
        <v>34</v>
      </c>
      <c r="CV55" s="28">
        <v>68</v>
      </c>
      <c r="CW55" s="28">
        <v>2.8315636060795337</v>
      </c>
      <c r="CX55" s="28">
        <f t="shared" si="41"/>
        <v>2.8315636060795337</v>
      </c>
      <c r="CY55" s="32">
        <f t="shared" si="42"/>
        <v>37.784717884655421</v>
      </c>
      <c r="CZ55" s="32">
        <f t="shared" si="43"/>
        <v>37.784717884655421</v>
      </c>
      <c r="DA55" s="32">
        <f t="shared" si="44"/>
        <v>47.784717884655421</v>
      </c>
      <c r="DB55" s="32">
        <f t="shared" si="45"/>
        <v>0.85559029336894221</v>
      </c>
      <c r="DC55" s="32">
        <f t="shared" si="46"/>
        <v>0.85559029336894221</v>
      </c>
      <c r="DD55" s="59">
        <f t="shared" si="47"/>
        <v>19.764313970435143</v>
      </c>
      <c r="DE55" s="59">
        <f t="shared" si="48"/>
        <v>19.764313970435143</v>
      </c>
      <c r="DF55" s="59">
        <f t="shared" si="49"/>
        <v>29.764313970435143</v>
      </c>
      <c r="DG55" s="59">
        <f t="shared" si="50"/>
        <v>0.53293310600600075</v>
      </c>
      <c r="DH55" s="59">
        <f t="shared" si="51"/>
        <v>0.53293310600600075</v>
      </c>
      <c r="DI55" s="32">
        <f t="shared" si="52"/>
        <v>1.3325005205080158</v>
      </c>
      <c r="DJ55" s="32">
        <f t="shared" si="53"/>
        <v>33.064313970435144</v>
      </c>
      <c r="DK55" s="32">
        <f t="shared" si="54"/>
        <v>0.65308602790660153</v>
      </c>
      <c r="DL55">
        <f t="shared" si="60"/>
        <v>6.3890265798333576</v>
      </c>
      <c r="DM55">
        <f t="shared" si="62"/>
        <v>1.8806138994609513E-2</v>
      </c>
      <c r="DN55">
        <f t="shared" si="63"/>
        <v>0.13391559460240315</v>
      </c>
      <c r="DO55">
        <f t="shared" si="64"/>
        <v>0.84727826640298731</v>
      </c>
      <c r="DP55">
        <f t="shared" si="55"/>
        <v>3.4846496339861353</v>
      </c>
      <c r="DQ55">
        <f t="shared" si="65"/>
        <v>3.4480632063762548E-2</v>
      </c>
      <c r="DR55">
        <f t="shared" si="66"/>
        <v>0.15293735726204755</v>
      </c>
      <c r="DS55">
        <f t="shared" si="67"/>
        <v>0.81258201067418989</v>
      </c>
      <c r="DT55" s="63">
        <f t="shared" si="68"/>
        <v>-6.1076963015820809</v>
      </c>
      <c r="DU55" s="63">
        <f t="shared" si="69"/>
        <v>-3.2033193557348589</v>
      </c>
      <c r="DV55" s="63">
        <f t="shared" si="70"/>
        <v>-6.0850934412029698</v>
      </c>
      <c r="DW55" s="63">
        <f t="shared" si="71"/>
        <v>-3.1807164953557474</v>
      </c>
      <c r="DX55" t="str">
        <f t="shared" si="57"/>
        <v>Sufficient Capacity</v>
      </c>
      <c r="DY55" t="str">
        <f t="shared" si="58"/>
        <v>Sufficient Capacity</v>
      </c>
      <c r="DZ55" t="str">
        <f t="shared" si="59"/>
        <v>Sulfate Dominant electron acceptor</v>
      </c>
      <c r="EA55" t="str">
        <f t="shared" si="72"/>
        <v>Sulfate Dominant electron acceptor</v>
      </c>
      <c r="EB55">
        <v>1.124703E-2</v>
      </c>
      <c r="EC55">
        <v>1.9888499999999999E-3</v>
      </c>
      <c r="ED55" s="66">
        <v>1.749025E-7</v>
      </c>
      <c r="EE55">
        <v>5.2112649999999996E-4</v>
      </c>
      <c r="EF55">
        <v>3.5574420000000001E-3</v>
      </c>
      <c r="EG55" s="66">
        <v>3.3913500000000001E-6</v>
      </c>
      <c r="EH55">
        <v>3.1655410000000001E-4</v>
      </c>
      <c r="EI55" s="66">
        <v>7.0245360000000001E-5</v>
      </c>
      <c r="EJ55">
        <v>4.3732979999999997E-4</v>
      </c>
      <c r="EK55">
        <v>6.6856830000000002E-4</v>
      </c>
      <c r="EL55">
        <v>3.9424749999999998E-4</v>
      </c>
      <c r="EM55">
        <v>2.4010549999999999E-4</v>
      </c>
      <c r="EN55">
        <v>2.295652E-3</v>
      </c>
      <c r="EO55">
        <v>1.099194E-3</v>
      </c>
      <c r="EP55">
        <v>1.8653229999999999E-3</v>
      </c>
      <c r="EQ55">
        <v>1.484911E-3</v>
      </c>
      <c r="ER55">
        <v>3.1263889999999999E-4</v>
      </c>
      <c r="ES55">
        <v>5.8437319999999997E-4</v>
      </c>
      <c r="ET55">
        <v>1.202698E-2</v>
      </c>
      <c r="EU55">
        <v>2.9523890000000001E-3</v>
      </c>
      <c r="EV55">
        <v>9.7167409999999992E-3</v>
      </c>
      <c r="EW55">
        <v>5.4705889999999999E-4</v>
      </c>
      <c r="EX55">
        <v>4.8931590000000002E-3</v>
      </c>
      <c r="EY55">
        <v>6.1506729999999997E-3</v>
      </c>
      <c r="EZ55">
        <v>9.97871E-4</v>
      </c>
      <c r="FA55">
        <v>1.0201539999999999E-3</v>
      </c>
      <c r="FB55">
        <v>9.8584790000000007E-4</v>
      </c>
      <c r="FC55">
        <v>1.579364E-3</v>
      </c>
      <c r="FD55">
        <v>2.6959660000000003E-4</v>
      </c>
      <c r="FE55">
        <v>2.368748E-2</v>
      </c>
      <c r="FF55">
        <v>1.463886E-2</v>
      </c>
      <c r="FG55">
        <v>7.8428370000000001E-3</v>
      </c>
      <c r="FH55">
        <v>6.4214549999999995E-4</v>
      </c>
      <c r="FI55">
        <v>1.2350919999999999E-3</v>
      </c>
      <c r="FJ55">
        <v>1.1492769999999999E-2</v>
      </c>
      <c r="FK55">
        <v>-9.4404503682039995E-2</v>
      </c>
      <c r="FL55">
        <v>-0.25710337281643802</v>
      </c>
      <c r="FM55">
        <v>-1.2705545604925299</v>
      </c>
      <c r="FN55">
        <v>6.3922003894692395E-2</v>
      </c>
      <c r="FO55">
        <v>-0.12218671889419699</v>
      </c>
      <c r="FP55">
        <v>-1.12994027755526E-2</v>
      </c>
      <c r="FQ55">
        <v>-7.3153538056030407E-2</v>
      </c>
      <c r="FR55">
        <v>-0.14469198963538199</v>
      </c>
      <c r="FS55">
        <v>-6.8541603620562205E-2</v>
      </c>
      <c r="FT55">
        <v>0.12124563593891</v>
      </c>
      <c r="FU55">
        <v>0.29754856236009097</v>
      </c>
      <c r="FV55">
        <v>-0.12722793829918999</v>
      </c>
      <c r="FW55">
        <v>0.20615976053500501</v>
      </c>
      <c r="FX55">
        <v>-0.23674133926871599</v>
      </c>
      <c r="FY55">
        <v>-0.175190176649242</v>
      </c>
      <c r="FZ55">
        <v>0.32614559383969999</v>
      </c>
      <c r="GA55">
        <v>6.3861698145751197E-2</v>
      </c>
      <c r="GB55">
        <v>9.4601396766406304E-2</v>
      </c>
      <c r="GC55">
        <v>-0.16398040230658201</v>
      </c>
      <c r="GD55">
        <v>-1.65383313083831E-2</v>
      </c>
      <c r="GE55">
        <v>-9.6346400236619403E-2</v>
      </c>
      <c r="GF55">
        <v>-0.24429208137977401</v>
      </c>
      <c r="GG55">
        <v>7.5672276972198901E-2</v>
      </c>
      <c r="GH55">
        <v>-2.7319150250546499E-3</v>
      </c>
      <c r="GI55">
        <v>-0.17079837372347301</v>
      </c>
      <c r="GJ55">
        <v>-0.28125320844704699</v>
      </c>
      <c r="GK55">
        <v>1.5438932421428599E-2</v>
      </c>
      <c r="GL55">
        <v>-2.1023842809889001E-2</v>
      </c>
      <c r="GM55">
        <v>-7.2606289276445898E-2</v>
      </c>
      <c r="GN55">
        <v>-0.21095677449215</v>
      </c>
      <c r="GO55">
        <v>-0.150668425187136</v>
      </c>
      <c r="GP55">
        <v>8.1625687641253997E-2</v>
      </c>
      <c r="GR55" s="66"/>
      <c r="GT55" s="66"/>
      <c r="GV55" s="66"/>
      <c r="GW55" s="65"/>
      <c r="GX55" s="65"/>
      <c r="HK55" s="1"/>
      <c r="HL55" s="1"/>
      <c r="HM55" s="65"/>
      <c r="HN55" s="1"/>
      <c r="HO55" s="65"/>
      <c r="HP55" s="65"/>
      <c r="HQ55" s="65"/>
      <c r="HT55" s="65"/>
      <c r="HU55" s="65"/>
      <c r="HV55" s="65"/>
      <c r="HW55" s="65"/>
      <c r="HX55" s="65"/>
      <c r="JH55" s="66"/>
      <c r="JJ55" s="66"/>
      <c r="JL55" s="66"/>
      <c r="JN55" s="66"/>
    </row>
    <row r="56" spans="1:278" ht="15.75" x14ac:dyDescent="0.25">
      <c r="A56" s="4" t="s">
        <v>109</v>
      </c>
      <c r="B56" s="4" t="s">
        <v>109</v>
      </c>
      <c r="C56" s="2" t="s">
        <v>803</v>
      </c>
      <c r="D56" s="2" t="s">
        <v>498</v>
      </c>
      <c r="E56" s="2" t="s">
        <v>498</v>
      </c>
      <c r="F56" s="2">
        <v>55</v>
      </c>
      <c r="G56" s="2" t="s">
        <v>802</v>
      </c>
      <c r="H56" s="10" t="s">
        <v>656</v>
      </c>
      <c r="I56" s="2">
        <v>150</v>
      </c>
      <c r="J56" s="2">
        <v>65</v>
      </c>
      <c r="K56" s="2">
        <v>4.5</v>
      </c>
      <c r="L56" t="s">
        <v>296</v>
      </c>
      <c r="M56" s="2" t="s">
        <v>1119</v>
      </c>
      <c r="N56" s="2" t="s">
        <v>436</v>
      </c>
      <c r="O56" s="2" t="s">
        <v>694</v>
      </c>
      <c r="P56" s="2" t="s">
        <v>1119</v>
      </c>
      <c r="Q56" s="2" t="s">
        <v>443</v>
      </c>
      <c r="R56" s="2" t="str">
        <f t="shared" si="0"/>
        <v>CW_2_Section_5</v>
      </c>
      <c r="S56" s="2" t="str">
        <f t="shared" si="1"/>
        <v>CW_2_EFF</v>
      </c>
      <c r="T56" s="11" t="s">
        <v>798</v>
      </c>
      <c r="U56" s="1">
        <v>45643</v>
      </c>
      <c r="V56" s="2" t="s">
        <v>799</v>
      </c>
      <c r="W56" s="2" t="s">
        <v>1119</v>
      </c>
      <c r="X56" s="2" t="s">
        <v>797</v>
      </c>
      <c r="Y56" s="2" t="str">
        <f t="shared" si="2"/>
        <v>T2_EFF</v>
      </c>
      <c r="Z56" s="2" t="str">
        <f t="shared" si="3"/>
        <v>T2_CW_2_EFF</v>
      </c>
      <c r="AA56" s="2" t="str">
        <f t="shared" si="4"/>
        <v>T2_EFF</v>
      </c>
      <c r="AB56" s="2">
        <v>127</v>
      </c>
      <c r="AC56" s="2">
        <v>4.1769999999999996</v>
      </c>
      <c r="AD56" s="2">
        <v>-0.76</v>
      </c>
      <c r="AE56" s="2">
        <v>2</v>
      </c>
      <c r="AF56" t="s">
        <v>39</v>
      </c>
      <c r="AG56" t="s">
        <v>1237</v>
      </c>
      <c r="AH56">
        <v>67</v>
      </c>
      <c r="AI56">
        <v>26</v>
      </c>
      <c r="AJ56">
        <v>0.57999999999999996</v>
      </c>
      <c r="AK56">
        <v>0.51</v>
      </c>
      <c r="AL56">
        <v>9.5</v>
      </c>
      <c r="AM56">
        <v>-87</v>
      </c>
      <c r="AN56">
        <v>7.09</v>
      </c>
      <c r="AO56">
        <v>615</v>
      </c>
      <c r="AP56">
        <v>0.2</v>
      </c>
      <c r="AQ56">
        <v>0.01</v>
      </c>
      <c r="AR56">
        <v>11</v>
      </c>
      <c r="AS56">
        <v>12</v>
      </c>
      <c r="AT56">
        <v>670</v>
      </c>
      <c r="AU56" s="32">
        <f t="shared" si="16"/>
        <v>0.2573294072461913</v>
      </c>
      <c r="AV56">
        <v>14</v>
      </c>
      <c r="AW56" s="32">
        <f t="shared" si="61"/>
        <v>5.4699370523116995E-3</v>
      </c>
      <c r="AX56">
        <v>410</v>
      </c>
      <c r="AY56" s="32">
        <f t="shared" si="17"/>
        <v>0.16219270980502967</v>
      </c>
      <c r="AZ56">
        <v>250</v>
      </c>
      <c r="BA56" s="32">
        <f t="shared" si="18"/>
        <v>9.8897993783554669E-2</v>
      </c>
      <c r="BB56">
        <v>200</v>
      </c>
      <c r="BC56" s="32">
        <f t="shared" si="19"/>
        <v>7.9118395026843744E-2</v>
      </c>
      <c r="BD56">
        <v>450</v>
      </c>
      <c r="BF56" s="48">
        <v>1544</v>
      </c>
      <c r="BG56" s="48">
        <f t="shared" si="20"/>
        <v>0.42499205410353269</v>
      </c>
      <c r="BH56">
        <v>2700</v>
      </c>
      <c r="BI56" s="32">
        <f t="shared" si="21"/>
        <v>1.0111570570336272</v>
      </c>
      <c r="BJ56" s="47">
        <v>350</v>
      </c>
      <c r="BK56" s="27">
        <f t="shared" si="22"/>
        <v>0.13107591480065539</v>
      </c>
      <c r="BL56" s="47">
        <v>110</v>
      </c>
      <c r="BM56" s="27">
        <f t="shared" si="23"/>
        <v>4.0475721138051118E-2</v>
      </c>
      <c r="BN56" s="47">
        <v>100</v>
      </c>
      <c r="BO56" s="27">
        <f t="shared" si="24"/>
        <v>3.7611049867064393E-2</v>
      </c>
      <c r="BP56" s="47">
        <v>44</v>
      </c>
      <c r="BQ56" s="27">
        <f t="shared" si="25"/>
        <v>1.6411984117434726E-2</v>
      </c>
      <c r="BR56" s="47">
        <v>3.1</v>
      </c>
      <c r="BS56" s="27">
        <f t="shared" si="26"/>
        <v>1.1479548897492004E-3</v>
      </c>
      <c r="BT56" s="47">
        <v>0.5</v>
      </c>
      <c r="BU56" s="27">
        <f t="shared" si="27"/>
        <v>1.851540144756775E-4</v>
      </c>
      <c r="BV56" s="47">
        <v>0.04</v>
      </c>
      <c r="BW56" s="27">
        <f t="shared" si="28"/>
        <v>1.4635352286773795E-5</v>
      </c>
      <c r="BX56" s="47">
        <v>0.04</v>
      </c>
      <c r="BY56" s="27">
        <f t="shared" si="29"/>
        <v>1.4635352286773795E-5</v>
      </c>
      <c r="BZ56" s="51">
        <f t="shared" si="30"/>
        <v>607.67999999999995</v>
      </c>
      <c r="CA56" s="51">
        <f t="shared" si="31"/>
        <v>257.68000000000006</v>
      </c>
      <c r="CB56" s="27">
        <f t="shared" si="32"/>
        <v>0.22693704953200405</v>
      </c>
      <c r="CC56" s="27">
        <f t="shared" si="33"/>
        <v>9.5861134731348649E-2</v>
      </c>
      <c r="CD56">
        <v>4600</v>
      </c>
      <c r="CE56">
        <v>1400</v>
      </c>
      <c r="CF56" t="s">
        <v>19</v>
      </c>
      <c r="CG56">
        <v>6000</v>
      </c>
      <c r="CH56" s="32">
        <v>1.4</v>
      </c>
      <c r="CI56" s="32">
        <f t="shared" si="34"/>
        <v>2.506714413607878E-2</v>
      </c>
      <c r="CJ56" s="32">
        <f t="shared" si="35"/>
        <v>2.506714413607878E-2</v>
      </c>
      <c r="CK56" s="32">
        <v>1.2</v>
      </c>
      <c r="CL56" s="32">
        <f t="shared" si="36"/>
        <v>2.1845985800109231E-2</v>
      </c>
      <c r="CM56" s="32">
        <f t="shared" si="37"/>
        <v>4.3691971600218461E-2</v>
      </c>
      <c r="CN56" s="27">
        <v>55</v>
      </c>
      <c r="CO56" s="27">
        <f t="shared" si="38"/>
        <v>0.57255881740578807</v>
      </c>
      <c r="CP56" s="27">
        <f t="shared" si="39"/>
        <v>4.5804705392463045</v>
      </c>
      <c r="CQ56" s="57">
        <v>26</v>
      </c>
      <c r="CR56" s="57">
        <v>32.098765432098766</v>
      </c>
      <c r="CS56" s="57">
        <v>2.1653133458255258</v>
      </c>
      <c r="CT56" s="57">
        <f t="shared" si="40"/>
        <v>2.1653133458255258</v>
      </c>
      <c r="CU56" s="28">
        <v>-13</v>
      </c>
      <c r="CV56" s="28">
        <v>-30.952380952380953</v>
      </c>
      <c r="CW56" s="28">
        <v>-1.0826566729127629</v>
      </c>
      <c r="CX56" s="28">
        <f t="shared" si="41"/>
        <v>0</v>
      </c>
      <c r="CY56" s="32">
        <f t="shared" si="42"/>
        <v>15.113887153862169</v>
      </c>
      <c r="CZ56" s="32">
        <f t="shared" si="43"/>
        <v>15.113887153862169</v>
      </c>
      <c r="DA56" s="32">
        <f t="shared" si="44"/>
        <v>16.513887153862168</v>
      </c>
      <c r="DB56" s="32">
        <f t="shared" si="45"/>
        <v>0.29568284966628772</v>
      </c>
      <c r="DC56" s="32">
        <f t="shared" si="46"/>
        <v>0.29568284966628772</v>
      </c>
      <c r="DD56" s="59">
        <f t="shared" si="47"/>
        <v>-7.5569435769310846</v>
      </c>
      <c r="DE56" s="59">
        <f t="shared" si="48"/>
        <v>0</v>
      </c>
      <c r="DF56" s="59">
        <f t="shared" si="49"/>
        <v>1.4</v>
      </c>
      <c r="DG56" s="59">
        <f t="shared" si="50"/>
        <v>2.506714413607878E-2</v>
      </c>
      <c r="DH56" s="59">
        <f t="shared" si="51"/>
        <v>2.506714413607878E-2</v>
      </c>
      <c r="DI56" s="32">
        <f t="shared" si="52"/>
        <v>4.5804705392463045</v>
      </c>
      <c r="DJ56" s="32">
        <f t="shared" si="53"/>
        <v>2.5999999999999996</v>
      </c>
      <c r="DK56" s="32">
        <f t="shared" si="54"/>
        <v>6.8759115736297241E-2</v>
      </c>
      <c r="DL56">
        <f t="shared" si="60"/>
        <v>2.504688167092032</v>
      </c>
      <c r="DM56">
        <f t="shared" si="62"/>
        <v>1.7444076342223981E-2</v>
      </c>
      <c r="DN56">
        <f t="shared" si="63"/>
        <v>0.11805176131349654</v>
      </c>
      <c r="DO56">
        <f t="shared" si="64"/>
        <v>0.86450416234427951</v>
      </c>
      <c r="DP56">
        <f t="shared" si="55"/>
        <v>6.8759115736297241E-2</v>
      </c>
      <c r="DQ56">
        <f t="shared" si="65"/>
        <v>0.63543533293511967</v>
      </c>
      <c r="DR56">
        <f t="shared" si="66"/>
        <v>0.36456466706488039</v>
      </c>
      <c r="DS56">
        <f t="shared" si="67"/>
        <v>0</v>
      </c>
      <c r="DT56" s="63">
        <f t="shared" si="68"/>
        <v>-1.0685390559548722</v>
      </c>
      <c r="DU56" s="63">
        <f t="shared" si="69"/>
        <v>1.3673899954008626</v>
      </c>
      <c r="DV56" s="63">
        <f t="shared" si="70"/>
        <v>-0.97267792122352348</v>
      </c>
      <c r="DW56" s="63">
        <f t="shared" si="71"/>
        <v>1.4632511301322113</v>
      </c>
      <c r="DX56" t="str">
        <f t="shared" si="57"/>
        <v>Sufficient Capacity</v>
      </c>
      <c r="DY56" t="str">
        <f t="shared" si="58"/>
        <v>Insufficient Capacity</v>
      </c>
      <c r="DZ56" t="str">
        <f t="shared" si="59"/>
        <v>Sulfate Dominant electron acceptor</v>
      </c>
      <c r="EA56" t="str">
        <f t="shared" si="72"/>
        <v>Iron Dominant electron acceptor</v>
      </c>
      <c r="EB56">
        <v>8.5128719999999995E-3</v>
      </c>
      <c r="EC56">
        <v>1.4811819999999999E-3</v>
      </c>
      <c r="ED56">
        <v>0</v>
      </c>
      <c r="EE56">
        <v>1.112053E-3</v>
      </c>
      <c r="EF56">
        <v>7.4294809999999999E-3</v>
      </c>
      <c r="EG56" s="66">
        <v>9.3607550000000005E-6</v>
      </c>
      <c r="EH56">
        <v>6.2108379999999998E-4</v>
      </c>
      <c r="EI56" s="66">
        <v>6.7354560000000005E-5</v>
      </c>
      <c r="EJ56">
        <v>8.0749429999999996E-4</v>
      </c>
      <c r="EK56">
        <v>1.176641E-3</v>
      </c>
      <c r="EL56">
        <v>7.4245050000000003E-4</v>
      </c>
      <c r="EM56">
        <v>6.2810749999999999E-4</v>
      </c>
      <c r="EN56">
        <v>2.015073E-3</v>
      </c>
      <c r="EO56">
        <v>8.3070599999999996E-4</v>
      </c>
      <c r="EP56">
        <v>3.1233110000000001E-3</v>
      </c>
      <c r="EQ56">
        <v>8.2708610000000002E-4</v>
      </c>
      <c r="ER56">
        <v>6.9815290000000004E-4</v>
      </c>
      <c r="ES56">
        <v>9.0890619999999997E-4</v>
      </c>
      <c r="ET56">
        <v>5.732376E-3</v>
      </c>
      <c r="EU56">
        <v>2.5682999999999999E-3</v>
      </c>
      <c r="EV56">
        <v>8.1020550000000004E-3</v>
      </c>
      <c r="EW56">
        <v>8.5395529999999999E-4</v>
      </c>
      <c r="EX56">
        <v>4.8138870000000002E-3</v>
      </c>
      <c r="EY56">
        <v>6.5578809999999998E-3</v>
      </c>
      <c r="EZ56">
        <v>1.9895189999999999E-3</v>
      </c>
      <c r="FA56">
        <v>1.352085E-3</v>
      </c>
      <c r="FB56">
        <v>1.4439500000000001E-3</v>
      </c>
      <c r="FC56">
        <v>2.2132879999999999E-3</v>
      </c>
      <c r="FD56">
        <v>4.7446389999999998E-4</v>
      </c>
      <c r="FE56">
        <v>2.578679E-2</v>
      </c>
      <c r="FF56">
        <v>1.522455E-2</v>
      </c>
      <c r="FG56">
        <v>9.4093679999999996E-3</v>
      </c>
      <c r="FH56">
        <v>8.6561299999999999E-4</v>
      </c>
      <c r="FI56">
        <v>1.841128E-3</v>
      </c>
      <c r="FJ56">
        <v>1.053841E-2</v>
      </c>
      <c r="FK56">
        <v>0.66356581727828001</v>
      </c>
      <c r="FL56">
        <v>0.47931088425693202</v>
      </c>
      <c r="FM56">
        <v>-0.25525668307120197</v>
      </c>
      <c r="FN56">
        <v>0.73789386131686896</v>
      </c>
      <c r="FO56">
        <v>-0.164210368526815</v>
      </c>
      <c r="FP56">
        <v>0.60194899193782203</v>
      </c>
      <c r="FQ56">
        <v>0.49212694957588299</v>
      </c>
      <c r="FR56">
        <v>0.48828532748353198</v>
      </c>
      <c r="FS56">
        <v>0.89309131645536899</v>
      </c>
      <c r="FT56">
        <v>-9.1158400563191595E-3</v>
      </c>
      <c r="FU56">
        <v>1.7492041065253299E-2</v>
      </c>
      <c r="FV56">
        <v>0.38823149032862198</v>
      </c>
      <c r="FW56">
        <v>-0.37904155539587098</v>
      </c>
      <c r="FX56">
        <v>0.56664794352151504</v>
      </c>
      <c r="FY56">
        <v>0.26651190206041397</v>
      </c>
      <c r="FZ56">
        <v>-0.41487676109736998</v>
      </c>
      <c r="GA56">
        <v>-7.5508773544241195E-2</v>
      </c>
      <c r="GB56">
        <v>-8.7131144213731901E-2</v>
      </c>
      <c r="GC56">
        <v>0.281341973321659</v>
      </c>
      <c r="GD56">
        <v>-3.2871572606776298E-2</v>
      </c>
      <c r="GE56">
        <v>-3.22403744805628E-2</v>
      </c>
      <c r="GF56">
        <v>0.44573208914000501</v>
      </c>
      <c r="GG56">
        <v>0.35736652614728798</v>
      </c>
      <c r="GH56">
        <v>0.37890369472093399</v>
      </c>
      <c r="GI56">
        <v>0.16665858460359601</v>
      </c>
      <c r="GJ56">
        <v>0.28400555894173601</v>
      </c>
      <c r="GK56">
        <v>0.100354639205314</v>
      </c>
      <c r="GL56">
        <v>1.8205777050249099E-2</v>
      </c>
      <c r="GM56">
        <v>0.109498868321486</v>
      </c>
      <c r="GN56">
        <v>8.7666238445548203E-2</v>
      </c>
      <c r="GO56">
        <v>0.24856454084509799</v>
      </c>
      <c r="GP56">
        <v>-5.0657765201123101E-3</v>
      </c>
      <c r="GT56" s="66"/>
      <c r="GV56" s="66"/>
      <c r="HK56" s="1"/>
      <c r="HL56" s="1"/>
      <c r="HM56" s="65"/>
      <c r="HN56" s="1"/>
      <c r="HO56" s="65"/>
      <c r="HP56" s="65"/>
      <c r="HQ56" s="65"/>
      <c r="HS56" s="65"/>
      <c r="HT56" s="65"/>
      <c r="HV56" s="65"/>
      <c r="HW56" s="65"/>
      <c r="HX56" s="65"/>
      <c r="IZ56" s="66"/>
      <c r="JB56" s="66"/>
      <c r="JD56" s="66"/>
      <c r="JF56" s="66"/>
      <c r="JH56" s="66"/>
      <c r="JJ56" s="66"/>
      <c r="JL56" s="66"/>
      <c r="JN56" s="66"/>
      <c r="JP56" s="66"/>
      <c r="JR56" s="66"/>
    </row>
    <row r="57" spans="1:278" ht="15.75" x14ac:dyDescent="0.25">
      <c r="A57" s="4" t="s">
        <v>110</v>
      </c>
      <c r="B57" s="4" t="s">
        <v>110</v>
      </c>
      <c r="C57" s="2" t="s">
        <v>805</v>
      </c>
      <c r="D57" s="2" t="s">
        <v>499</v>
      </c>
      <c r="E57" s="2" t="s">
        <v>499</v>
      </c>
      <c r="F57" s="2">
        <v>56</v>
      </c>
      <c r="G57" s="2" t="s">
        <v>804</v>
      </c>
      <c r="H57" s="10" t="s">
        <v>656</v>
      </c>
      <c r="I57" s="2">
        <v>150</v>
      </c>
      <c r="J57" s="2">
        <v>65</v>
      </c>
      <c r="K57" s="2">
        <v>7.3</v>
      </c>
      <c r="L57" t="s">
        <v>297</v>
      </c>
      <c r="M57" s="2" t="s">
        <v>1119</v>
      </c>
      <c r="N57" s="2" t="s">
        <v>437</v>
      </c>
      <c r="O57" s="2" t="s">
        <v>694</v>
      </c>
      <c r="P57" s="2" t="s">
        <v>1119</v>
      </c>
      <c r="Q57" s="2" t="s">
        <v>443</v>
      </c>
      <c r="R57" s="2" t="str">
        <f t="shared" si="0"/>
        <v>CW_3_Section_5</v>
      </c>
      <c r="S57" s="2" t="str">
        <f t="shared" si="1"/>
        <v>CW_3_EFF</v>
      </c>
      <c r="T57" s="11" t="s">
        <v>798</v>
      </c>
      <c r="U57" s="1">
        <v>45643</v>
      </c>
      <c r="V57" s="2" t="s">
        <v>799</v>
      </c>
      <c r="W57" s="2" t="s">
        <v>1119</v>
      </c>
      <c r="X57" s="2" t="s">
        <v>797</v>
      </c>
      <c r="Y57" s="2" t="str">
        <f t="shared" si="2"/>
        <v>T2_EFF</v>
      </c>
      <c r="Z57" s="2" t="str">
        <f t="shared" si="3"/>
        <v>T2_CW_3_EFF</v>
      </c>
      <c r="AA57" s="2" t="str">
        <f t="shared" si="4"/>
        <v>T2_EFF</v>
      </c>
      <c r="AB57" s="2">
        <v>127</v>
      </c>
      <c r="AC57" s="2">
        <v>4.1769999999999996</v>
      </c>
      <c r="AD57" s="2">
        <v>-0.76</v>
      </c>
      <c r="AE57" s="2">
        <v>2</v>
      </c>
      <c r="AF57" t="s">
        <v>49</v>
      </c>
      <c r="AG57" t="s">
        <v>1237</v>
      </c>
      <c r="AH57">
        <v>51</v>
      </c>
      <c r="AI57">
        <v>22</v>
      </c>
      <c r="AJ57">
        <v>0.73</v>
      </c>
      <c r="AK57">
        <v>0.52</v>
      </c>
      <c r="AL57">
        <v>9.5</v>
      </c>
      <c r="AM57">
        <v>-82</v>
      </c>
      <c r="AN57">
        <v>6.99</v>
      </c>
      <c r="AO57">
        <v>799</v>
      </c>
      <c r="AP57">
        <v>0.2</v>
      </c>
      <c r="AQ57">
        <v>0.01</v>
      </c>
      <c r="AR57">
        <v>10</v>
      </c>
      <c r="AS57">
        <v>10</v>
      </c>
      <c r="AT57">
        <v>230</v>
      </c>
      <c r="AU57" s="32">
        <f t="shared" si="16"/>
        <v>8.833696069645372E-2</v>
      </c>
      <c r="AV57">
        <v>6.8</v>
      </c>
      <c r="AW57" s="32">
        <f t="shared" si="61"/>
        <v>2.6568265682656825E-3</v>
      </c>
      <c r="AX57">
        <v>190</v>
      </c>
      <c r="AY57" s="32">
        <f t="shared" si="17"/>
        <v>7.5162475275501545E-2</v>
      </c>
      <c r="AZ57">
        <v>65</v>
      </c>
      <c r="BA57" s="32">
        <f t="shared" si="18"/>
        <v>2.5713478383724217E-2</v>
      </c>
      <c r="BB57">
        <v>44</v>
      </c>
      <c r="BC57" s="32">
        <f t="shared" si="19"/>
        <v>1.7406046905905623E-2</v>
      </c>
      <c r="BD57">
        <v>109</v>
      </c>
      <c r="BF57" s="48">
        <v>535.79999999999995</v>
      </c>
      <c r="BG57" s="48">
        <f t="shared" si="20"/>
        <v>0.16615626254022095</v>
      </c>
      <c r="BH57">
        <v>1100</v>
      </c>
      <c r="BI57" s="32">
        <f t="shared" si="21"/>
        <v>0.41195287508777401</v>
      </c>
      <c r="BJ57" s="47">
        <v>0.79</v>
      </c>
      <c r="BK57" s="27">
        <f t="shared" si="22"/>
        <v>2.9585706483576502E-4</v>
      </c>
      <c r="BL57" s="47">
        <v>1.8</v>
      </c>
      <c r="BM57" s="27">
        <f t="shared" si="23"/>
        <v>6.6232998225901839E-4</v>
      </c>
      <c r="BN57" s="47">
        <v>5.5</v>
      </c>
      <c r="BO57" s="27">
        <f t="shared" si="24"/>
        <v>2.0686077426885418E-3</v>
      </c>
      <c r="BP57" s="47">
        <v>1.8</v>
      </c>
      <c r="BQ57" s="27">
        <f t="shared" si="25"/>
        <v>6.7139935025869329E-4</v>
      </c>
      <c r="BR57" s="47">
        <v>0.35</v>
      </c>
      <c r="BS57" s="27">
        <f t="shared" si="26"/>
        <v>1.2960781013297422E-4</v>
      </c>
      <c r="BT57" s="47">
        <v>7.0000000000000007E-2</v>
      </c>
      <c r="BU57" s="27">
        <f t="shared" si="27"/>
        <v>2.5921562026594851E-5</v>
      </c>
      <c r="BV57" s="47">
        <v>1E-3</v>
      </c>
      <c r="BW57" s="27">
        <f t="shared" si="28"/>
        <v>3.6588380716934485E-7</v>
      </c>
      <c r="BX57" s="47">
        <v>2E-3</v>
      </c>
      <c r="BY57" s="27">
        <f t="shared" si="29"/>
        <v>7.3176761433868969E-7</v>
      </c>
      <c r="BZ57" s="51">
        <f t="shared" si="30"/>
        <v>10.313000000000001</v>
      </c>
      <c r="CA57" s="51">
        <f t="shared" si="31"/>
        <v>9.5229999999999997</v>
      </c>
      <c r="CB57" s="27">
        <f t="shared" si="32"/>
        <v>3.8548211636230956E-3</v>
      </c>
      <c r="CC57" s="27">
        <f t="shared" si="33"/>
        <v>3.5589640987873307E-3</v>
      </c>
      <c r="CD57">
        <v>1500</v>
      </c>
      <c r="CE57">
        <v>410</v>
      </c>
      <c r="CF57" t="s">
        <v>19</v>
      </c>
      <c r="CG57">
        <v>2000</v>
      </c>
      <c r="CH57" s="32">
        <v>1.1000000000000001</v>
      </c>
      <c r="CI57" s="32">
        <f t="shared" si="34"/>
        <v>1.9695613249776187E-2</v>
      </c>
      <c r="CJ57" s="32">
        <f t="shared" si="35"/>
        <v>1.9695613249776187E-2</v>
      </c>
      <c r="CK57" s="32">
        <v>0.5</v>
      </c>
      <c r="CL57" s="32">
        <f t="shared" si="36"/>
        <v>9.1024940833788464E-3</v>
      </c>
      <c r="CM57" s="32">
        <f t="shared" si="37"/>
        <v>1.8204988166757693E-2</v>
      </c>
      <c r="CN57" s="27">
        <v>31</v>
      </c>
      <c r="CO57" s="27">
        <f t="shared" si="38"/>
        <v>0.3227149698105351</v>
      </c>
      <c r="CP57" s="27">
        <f t="shared" si="39"/>
        <v>2.5817197584842808</v>
      </c>
      <c r="CQ57" s="57">
        <v>50</v>
      </c>
      <c r="CR57" s="57">
        <v>61.728395061728392</v>
      </c>
      <c r="CS57" s="57">
        <v>4.1640641265875491</v>
      </c>
      <c r="CT57" s="57">
        <f t="shared" si="40"/>
        <v>4.1640641265875491</v>
      </c>
      <c r="CU57" s="28">
        <v>15</v>
      </c>
      <c r="CV57" s="28">
        <v>32.608695652173914</v>
      </c>
      <c r="CW57" s="28">
        <v>1.2492192379762648</v>
      </c>
      <c r="CX57" s="28">
        <f t="shared" si="41"/>
        <v>1.2492192379762648</v>
      </c>
      <c r="CY57" s="32">
        <f t="shared" si="42"/>
        <v>29.065167603581095</v>
      </c>
      <c r="CZ57" s="32">
        <f t="shared" si="43"/>
        <v>29.065167603581095</v>
      </c>
      <c r="DA57" s="32">
        <f t="shared" si="44"/>
        <v>30.165167603581097</v>
      </c>
      <c r="DB57" s="32">
        <f t="shared" si="45"/>
        <v>0.54011043157710104</v>
      </c>
      <c r="DC57" s="32">
        <f t="shared" si="46"/>
        <v>0.54011043157710104</v>
      </c>
      <c r="DD57" s="59">
        <f t="shared" si="47"/>
        <v>8.7195502810743282</v>
      </c>
      <c r="DE57" s="59">
        <f t="shared" si="48"/>
        <v>8.7195502810743282</v>
      </c>
      <c r="DF57" s="59">
        <f t="shared" si="49"/>
        <v>9.8195502810743278</v>
      </c>
      <c r="DG57" s="59">
        <f t="shared" si="50"/>
        <v>0.17582005874797363</v>
      </c>
      <c r="DH57" s="59">
        <f t="shared" si="51"/>
        <v>0.17582005874797363</v>
      </c>
      <c r="DI57" s="32">
        <f t="shared" si="52"/>
        <v>2.5817197584842808</v>
      </c>
      <c r="DJ57" s="32">
        <f t="shared" si="53"/>
        <v>10.319550281074328</v>
      </c>
      <c r="DK57" s="32">
        <f t="shared" si="54"/>
        <v>0.19402504691473133</v>
      </c>
      <c r="DL57">
        <f t="shared" si="60"/>
        <v>4.7223795463314078</v>
      </c>
      <c r="DM57">
        <f t="shared" si="62"/>
        <v>3.8550455312090031E-3</v>
      </c>
      <c r="DN57">
        <f t="shared" si="63"/>
        <v>0.11437251628719407</v>
      </c>
      <c r="DO57">
        <f t="shared" si="64"/>
        <v>0.8817724381815969</v>
      </c>
      <c r="DP57">
        <f t="shared" si="55"/>
        <v>1.4432442848909961</v>
      </c>
      <c r="DQ57">
        <f t="shared" si="65"/>
        <v>1.2613934007805657E-2</v>
      </c>
      <c r="DR57">
        <f t="shared" si="66"/>
        <v>0.12182279922296924</v>
      </c>
      <c r="DS57">
        <f t="shared" si="67"/>
        <v>0.86556326676922513</v>
      </c>
      <c r="DT57" s="63">
        <f t="shared" si="68"/>
        <v>-4.144270408703413</v>
      </c>
      <c r="DU57" s="63">
        <f t="shared" si="69"/>
        <v>-0.86513514726300111</v>
      </c>
      <c r="DV57" s="63">
        <f t="shared" si="70"/>
        <v>-4.1407114446046256</v>
      </c>
      <c r="DW57" s="63">
        <f t="shared" si="71"/>
        <v>-0.8615761831642138</v>
      </c>
      <c r="DX57" t="str">
        <f t="shared" si="57"/>
        <v>Sufficient Capacity</v>
      </c>
      <c r="DY57" t="str">
        <f t="shared" si="58"/>
        <v>Sufficient Capacity</v>
      </c>
      <c r="DZ57" t="str">
        <f t="shared" si="59"/>
        <v>Sulfate Dominant electron acceptor</v>
      </c>
      <c r="EA57" t="str">
        <f t="shared" si="72"/>
        <v>Sulfate Dominant electron acceptor</v>
      </c>
      <c r="EB57">
        <v>7.4444919999999996E-3</v>
      </c>
      <c r="EC57">
        <v>1.1805520000000001E-3</v>
      </c>
      <c r="ED57" s="66">
        <v>1.344246E-6</v>
      </c>
      <c r="EE57">
        <v>1.114538E-3</v>
      </c>
      <c r="EF57">
        <v>6.7792490000000002E-3</v>
      </c>
      <c r="EG57" s="66">
        <v>3.2711630000000002E-5</v>
      </c>
      <c r="EH57">
        <v>5.5615790000000003E-4</v>
      </c>
      <c r="EI57">
        <v>1.568323E-4</v>
      </c>
      <c r="EJ57">
        <v>5.7390480000000003E-4</v>
      </c>
      <c r="EK57">
        <v>1.0566239999999999E-3</v>
      </c>
      <c r="EL57">
        <v>7.0732260000000002E-4</v>
      </c>
      <c r="EM57">
        <v>4.2558640000000002E-4</v>
      </c>
      <c r="EN57">
        <v>2.3123869999999999E-3</v>
      </c>
      <c r="EO57">
        <v>9.6782580000000001E-4</v>
      </c>
      <c r="EP57">
        <v>3.0113399999999999E-3</v>
      </c>
      <c r="EQ57">
        <v>6.6433029999999997E-4</v>
      </c>
      <c r="ER57">
        <v>6.8917700000000002E-4</v>
      </c>
      <c r="ES57">
        <v>1.2823909999999999E-3</v>
      </c>
      <c r="ET57">
        <v>5.1939780000000001E-3</v>
      </c>
      <c r="EU57">
        <v>2.0694709999999998E-3</v>
      </c>
      <c r="EV57">
        <v>5.9289809999999998E-3</v>
      </c>
      <c r="EW57">
        <v>8.88309E-4</v>
      </c>
      <c r="EX57">
        <v>3.683202E-3</v>
      </c>
      <c r="EY57">
        <v>7.9096410000000002E-3</v>
      </c>
      <c r="EZ57">
        <v>2.125343E-3</v>
      </c>
      <c r="FA57">
        <v>2.0223730000000001E-3</v>
      </c>
      <c r="FB57">
        <v>2.0110290000000001E-3</v>
      </c>
      <c r="FC57">
        <v>2.4579459999999999E-3</v>
      </c>
      <c r="FD57">
        <v>4.6008460000000002E-4</v>
      </c>
      <c r="FE57">
        <v>3.3020149999999998E-2</v>
      </c>
      <c r="FF57">
        <v>1.4884339999999999E-2</v>
      </c>
      <c r="FG57">
        <v>1.019393E-2</v>
      </c>
      <c r="FH57">
        <v>1.112467E-3</v>
      </c>
      <c r="FI57">
        <v>1.670707E-3</v>
      </c>
      <c r="FJ57">
        <v>9.6207340000000006E-3</v>
      </c>
      <c r="FK57">
        <v>0.66579792998488496</v>
      </c>
      <c r="FL57">
        <v>0.38772120877411398</v>
      </c>
      <c r="FM57">
        <v>0.995948039463599</v>
      </c>
      <c r="FN57">
        <v>0.62748009158618701</v>
      </c>
      <c r="FO57">
        <v>0.68099610649562903</v>
      </c>
      <c r="FP57">
        <v>0.26047652459524401</v>
      </c>
      <c r="FQ57">
        <v>0.38454210042480402</v>
      </c>
      <c r="FR57">
        <v>0.43981598172254399</v>
      </c>
      <c r="FS57">
        <v>0.50384796892220995</v>
      </c>
      <c r="FT57">
        <v>0.12850906125907399</v>
      </c>
      <c r="FU57">
        <v>0.17026821182657301</v>
      </c>
      <c r="FV57">
        <v>0.351722995672831</v>
      </c>
      <c r="FW57">
        <v>-0.59817089069250096</v>
      </c>
      <c r="FX57">
        <v>0.55370794237818199</v>
      </c>
      <c r="FY57">
        <v>0.61075158670609098</v>
      </c>
      <c r="FZ57">
        <v>-0.51350698798725303</v>
      </c>
      <c r="GA57">
        <v>-0.291459955916817</v>
      </c>
      <c r="GB57">
        <v>-0.399396517286011</v>
      </c>
      <c r="GC57">
        <v>0.32078277825994</v>
      </c>
      <c r="GD57">
        <v>-0.30059395593763799</v>
      </c>
      <c r="GE57">
        <v>0.15517448819951099</v>
      </c>
      <c r="GF57">
        <v>0.51177238927814495</v>
      </c>
      <c r="GG57">
        <v>0.75999025508685403</v>
      </c>
      <c r="GH57">
        <v>0.71016781226133996</v>
      </c>
      <c r="GI57">
        <v>0.27150543374279801</v>
      </c>
      <c r="GJ57">
        <v>0.253230409486977</v>
      </c>
      <c r="GK57">
        <v>0.34761027508937398</v>
      </c>
      <c r="GL57">
        <v>-4.39382591350057E-3</v>
      </c>
      <c r="GM57">
        <v>0.189585524682582</v>
      </c>
      <c r="GN57">
        <v>0.33856366266091298</v>
      </c>
      <c r="GO57">
        <v>0.15143300371368901</v>
      </c>
      <c r="GP57">
        <v>-9.6171893220527799E-2</v>
      </c>
      <c r="GR57" s="66"/>
      <c r="GT57" s="66"/>
      <c r="GV57" s="66"/>
      <c r="GW57" s="65"/>
      <c r="GX57" s="65"/>
      <c r="HK57" s="1"/>
      <c r="HL57" s="1"/>
      <c r="HM57" s="65"/>
      <c r="HN57" s="1"/>
      <c r="HO57" s="65"/>
      <c r="HP57" s="65"/>
      <c r="HQ57" s="65"/>
      <c r="HS57" s="65"/>
      <c r="HT57" s="65"/>
      <c r="HU57" s="65"/>
      <c r="HV57" s="65"/>
      <c r="HW57" s="65"/>
      <c r="HX57" s="65"/>
    </row>
    <row r="58" spans="1:278" ht="15.75" x14ac:dyDescent="0.25">
      <c r="A58" s="4" t="s">
        <v>111</v>
      </c>
      <c r="B58" s="4" t="s">
        <v>111</v>
      </c>
      <c r="C58" s="2" t="s">
        <v>807</v>
      </c>
      <c r="D58" s="2" t="s">
        <v>500</v>
      </c>
      <c r="E58" s="2" t="s">
        <v>500</v>
      </c>
      <c r="F58" s="2">
        <v>57</v>
      </c>
      <c r="G58" s="2" t="s">
        <v>806</v>
      </c>
      <c r="H58" s="10" t="s">
        <v>656</v>
      </c>
      <c r="I58" s="2">
        <v>150</v>
      </c>
      <c r="J58" s="2">
        <v>65</v>
      </c>
      <c r="K58" s="2">
        <v>13.5</v>
      </c>
      <c r="L58" t="s">
        <v>282</v>
      </c>
      <c r="M58" s="2" t="s">
        <v>1120</v>
      </c>
      <c r="N58" s="2" t="s">
        <v>435</v>
      </c>
      <c r="O58" s="2" t="s">
        <v>653</v>
      </c>
      <c r="P58" s="2" t="s">
        <v>1123</v>
      </c>
      <c r="Q58" s="9" t="s">
        <v>654</v>
      </c>
      <c r="R58" s="2" t="str">
        <f t="shared" si="0"/>
        <v>CW_1_Section_1</v>
      </c>
      <c r="S58" s="2" t="str">
        <f t="shared" si="1"/>
        <v>CW_1_MF01</v>
      </c>
      <c r="T58" s="11" t="s">
        <v>798</v>
      </c>
      <c r="U58" s="1">
        <v>45643</v>
      </c>
      <c r="V58" s="2" t="s">
        <v>799</v>
      </c>
      <c r="W58" s="2" t="s">
        <v>655</v>
      </c>
      <c r="X58" s="2" t="s">
        <v>797</v>
      </c>
      <c r="Y58" s="2" t="str">
        <f t="shared" si="2"/>
        <v>T2_MF01</v>
      </c>
      <c r="Z58" s="2" t="str">
        <f t="shared" si="3"/>
        <v>T2_CW_1_MF01</v>
      </c>
      <c r="AA58" s="2" t="str">
        <f t="shared" si="4"/>
        <v>T2_0.15-0.30</v>
      </c>
      <c r="AB58" s="2">
        <v>127</v>
      </c>
      <c r="AC58" s="2">
        <v>4.1769999999999996</v>
      </c>
      <c r="AD58" s="2">
        <v>-0.76</v>
      </c>
      <c r="AE58" s="2">
        <v>2</v>
      </c>
      <c r="AF58" t="s">
        <v>29</v>
      </c>
      <c r="AG58" t="s">
        <v>1237</v>
      </c>
      <c r="AH58">
        <v>67</v>
      </c>
      <c r="AI58">
        <v>27</v>
      </c>
      <c r="AJ58">
        <v>1.9</v>
      </c>
      <c r="AK58">
        <v>2.2999999999999998</v>
      </c>
      <c r="AL58">
        <v>9.5</v>
      </c>
      <c r="AM58">
        <v>-123</v>
      </c>
      <c r="AN58">
        <v>6.95</v>
      </c>
      <c r="AO58">
        <v>965</v>
      </c>
      <c r="AP58">
        <v>0.2</v>
      </c>
      <c r="AQ58">
        <v>0.01</v>
      </c>
      <c r="AR58">
        <v>11</v>
      </c>
      <c r="AS58">
        <v>11</v>
      </c>
      <c r="AT58">
        <v>480</v>
      </c>
      <c r="AU58" s="32">
        <f t="shared" si="16"/>
        <v>0.18435539623607733</v>
      </c>
      <c r="AV58">
        <v>1</v>
      </c>
      <c r="AW58" s="32">
        <f t="shared" si="61"/>
        <v>3.9070978945083569E-4</v>
      </c>
      <c r="AX58">
        <v>480</v>
      </c>
      <c r="AY58" s="32">
        <f t="shared" si="17"/>
        <v>0.189884148064425</v>
      </c>
      <c r="AZ58">
        <v>270</v>
      </c>
      <c r="BA58" s="32">
        <f t="shared" si="18"/>
        <v>0.10680983328623904</v>
      </c>
      <c r="BB58">
        <v>140</v>
      </c>
      <c r="BC58" s="32">
        <f t="shared" si="19"/>
        <v>5.5382876518790619E-2</v>
      </c>
      <c r="BD58">
        <v>410</v>
      </c>
      <c r="BF58" s="48">
        <v>1377</v>
      </c>
      <c r="BG58" s="48">
        <f t="shared" si="20"/>
        <v>0.37463025408995315</v>
      </c>
      <c r="BH58">
        <v>1600</v>
      </c>
      <c r="BI58" s="32">
        <f t="shared" si="21"/>
        <v>0.59920418194585312</v>
      </c>
      <c r="BJ58" s="47">
        <v>4.8</v>
      </c>
      <c r="BK58" s="27">
        <f t="shared" si="22"/>
        <v>1.7976125458375593E-3</v>
      </c>
      <c r="BL58" s="47">
        <v>0.01</v>
      </c>
      <c r="BM58" s="27">
        <f t="shared" si="23"/>
        <v>3.6796110125501018E-6</v>
      </c>
      <c r="BN58" s="47">
        <v>0.16</v>
      </c>
      <c r="BO58" s="27">
        <f t="shared" si="24"/>
        <v>6.0177679787303031E-5</v>
      </c>
      <c r="BP58" s="47">
        <v>0.1</v>
      </c>
      <c r="BQ58" s="27">
        <f t="shared" si="25"/>
        <v>3.729996390326074E-5</v>
      </c>
      <c r="BR58" s="47">
        <v>0.09</v>
      </c>
      <c r="BS58" s="27">
        <f t="shared" si="26"/>
        <v>3.3327722605621947E-5</v>
      </c>
      <c r="BT58" s="47">
        <v>0.01</v>
      </c>
      <c r="BU58" s="27">
        <f t="shared" si="27"/>
        <v>3.7030802895135499E-6</v>
      </c>
      <c r="BV58" s="47">
        <v>0.01</v>
      </c>
      <c r="BW58" s="27">
        <f t="shared" si="28"/>
        <v>3.6588380716934487E-6</v>
      </c>
      <c r="BX58" s="47">
        <v>2E-3</v>
      </c>
      <c r="BY58" s="27">
        <f t="shared" si="29"/>
        <v>7.3176761433868969E-7</v>
      </c>
      <c r="BZ58" s="51">
        <f t="shared" si="30"/>
        <v>5.1819999999999986</v>
      </c>
      <c r="CA58" s="51">
        <f t="shared" si="31"/>
        <v>0.38200000000000001</v>
      </c>
      <c r="CB58" s="27">
        <f t="shared" si="32"/>
        <v>1.9401912091218411E-3</v>
      </c>
      <c r="CC58" s="27">
        <f t="shared" si="33"/>
        <v>1.4257866328428151E-4</v>
      </c>
      <c r="CD58">
        <v>2000</v>
      </c>
      <c r="CE58">
        <v>35</v>
      </c>
      <c r="CF58" t="s">
        <v>19</v>
      </c>
      <c r="CG58">
        <v>2100</v>
      </c>
      <c r="CH58" s="32">
        <v>23</v>
      </c>
      <c r="CI58" s="32">
        <f t="shared" si="34"/>
        <v>0.41181736794986568</v>
      </c>
      <c r="CJ58" s="32">
        <f t="shared" si="35"/>
        <v>0.41181736794986568</v>
      </c>
      <c r="CK58" s="32">
        <v>3.9</v>
      </c>
      <c r="CL58" s="32">
        <f t="shared" si="36"/>
        <v>7.0999453850354999E-2</v>
      </c>
      <c r="CM58" s="32">
        <f t="shared" si="37"/>
        <v>0.14199890770071</v>
      </c>
      <c r="CN58" s="27">
        <v>32</v>
      </c>
      <c r="CO58" s="27">
        <f t="shared" si="38"/>
        <v>0.33312513012700395</v>
      </c>
      <c r="CP58" s="27">
        <f t="shared" si="39"/>
        <v>2.6650010410160316</v>
      </c>
      <c r="CQ58" s="57">
        <v>49</v>
      </c>
      <c r="CR58" s="57">
        <v>60.493827160493829</v>
      </c>
      <c r="CS58" s="57">
        <v>4.0807828440557987</v>
      </c>
      <c r="CT58" s="57">
        <f t="shared" si="40"/>
        <v>4.0807828440557987</v>
      </c>
      <c r="CU58" s="28">
        <v>49</v>
      </c>
      <c r="CV58" s="28">
        <v>60.493827160493829</v>
      </c>
      <c r="CW58" s="28">
        <v>4.0807828440557987</v>
      </c>
      <c r="CX58" s="28">
        <f t="shared" si="41"/>
        <v>4.0807828440557987</v>
      </c>
      <c r="CY58" s="32">
        <f t="shared" si="42"/>
        <v>28.483864251509473</v>
      </c>
      <c r="CZ58" s="32">
        <f t="shared" si="43"/>
        <v>28.483864251509473</v>
      </c>
      <c r="DA58" s="32">
        <f t="shared" si="44"/>
        <v>51.483864251509473</v>
      </c>
      <c r="DB58" s="32">
        <f t="shared" si="45"/>
        <v>0.92182388991064412</v>
      </c>
      <c r="DC58" s="32">
        <f t="shared" si="46"/>
        <v>0.92182388991064412</v>
      </c>
      <c r="DD58" s="59">
        <f t="shared" si="47"/>
        <v>28.483864251509473</v>
      </c>
      <c r="DE58" s="59">
        <f t="shared" si="48"/>
        <v>28.483864251509473</v>
      </c>
      <c r="DF58" s="59">
        <f t="shared" si="49"/>
        <v>51.483864251509473</v>
      </c>
      <c r="DG58" s="59">
        <f t="shared" si="50"/>
        <v>0.92182388991064412</v>
      </c>
      <c r="DH58" s="59">
        <f t="shared" si="51"/>
        <v>0.92182388991064412</v>
      </c>
      <c r="DI58" s="32">
        <f t="shared" si="52"/>
        <v>2.6650010410160316</v>
      </c>
      <c r="DJ58" s="32">
        <f t="shared" si="53"/>
        <v>55.383864251509472</v>
      </c>
      <c r="DK58" s="32">
        <f t="shared" si="54"/>
        <v>1.0638227976113541</v>
      </c>
      <c r="DL58">
        <f t="shared" si="60"/>
        <v>5.1446056416671526</v>
      </c>
      <c r="DM58">
        <f t="shared" si="62"/>
        <v>2.7601514594361418E-2</v>
      </c>
      <c r="DN58">
        <f t="shared" si="63"/>
        <v>0.1791826145904391</v>
      </c>
      <c r="DO58">
        <f t="shared" si="64"/>
        <v>0.79321587081519951</v>
      </c>
      <c r="DP58">
        <f t="shared" si="55"/>
        <v>5.1446056416671526</v>
      </c>
      <c r="DQ58">
        <f t="shared" si="65"/>
        <v>2.7601514594361418E-2</v>
      </c>
      <c r="DR58">
        <f t="shared" si="66"/>
        <v>0.1791826145904391</v>
      </c>
      <c r="DS58">
        <f t="shared" si="67"/>
        <v>0.79321587081519951</v>
      </c>
      <c r="DT58" s="63">
        <f t="shared" si="68"/>
        <v>-4.1707712056313468</v>
      </c>
      <c r="DU58" s="63">
        <f t="shared" si="69"/>
        <v>-4.1707712056313468</v>
      </c>
      <c r="DV58" s="63">
        <f t="shared" si="70"/>
        <v>-4.1706286269680621</v>
      </c>
      <c r="DW58" s="63">
        <f t="shared" si="71"/>
        <v>-4.1706286269680621</v>
      </c>
      <c r="DX58" t="str">
        <f t="shared" si="57"/>
        <v>Sufficient Capacity</v>
      </c>
      <c r="DY58" t="str">
        <f t="shared" si="58"/>
        <v>Sufficient Capacity</v>
      </c>
      <c r="DZ58" t="str">
        <f t="shared" si="59"/>
        <v>Sulfate Dominant electron acceptor</v>
      </c>
      <c r="EA58" t="str">
        <f t="shared" si="72"/>
        <v>Sulfate Dominant electron acceptor</v>
      </c>
      <c r="EB58">
        <v>1.0727570000000001E-2</v>
      </c>
      <c r="EC58">
        <v>1.6280839999999999E-3</v>
      </c>
      <c r="ED58" s="66">
        <v>6.8356020000000005E-7</v>
      </c>
      <c r="EE58">
        <v>3.2920909999999999E-4</v>
      </c>
      <c r="EF58">
        <v>2.8368709999999999E-3</v>
      </c>
      <c r="EG58" s="66">
        <v>1.509841E-5</v>
      </c>
      <c r="EH58">
        <v>1.5190630000000001E-4</v>
      </c>
      <c r="EI58">
        <v>1.200593E-4</v>
      </c>
      <c r="EJ58">
        <v>3.4829179999999998E-4</v>
      </c>
      <c r="EK58">
        <v>5.8930460000000001E-4</v>
      </c>
      <c r="EL58">
        <v>3.420028E-4</v>
      </c>
      <c r="EM58">
        <v>1.3876310000000001E-4</v>
      </c>
      <c r="EN58">
        <v>2.0172219999999999E-3</v>
      </c>
      <c r="EO58">
        <v>7.0308070000000005E-4</v>
      </c>
      <c r="EP58">
        <v>1.7580110000000001E-3</v>
      </c>
      <c r="EQ58">
        <v>1.311892E-3</v>
      </c>
      <c r="ER58">
        <v>2.3714919999999999E-4</v>
      </c>
      <c r="ES58">
        <v>5.3394300000000005E-4</v>
      </c>
      <c r="ET58">
        <v>1.7864580000000001E-2</v>
      </c>
      <c r="EU58">
        <v>3.336178E-3</v>
      </c>
      <c r="EV58">
        <v>8.8812060000000009E-3</v>
      </c>
      <c r="EW58">
        <v>4.9628699999999999E-4</v>
      </c>
      <c r="EX58">
        <v>5.4874140000000004E-3</v>
      </c>
      <c r="EY58">
        <v>6.6990579999999999E-3</v>
      </c>
      <c r="EZ58">
        <v>8.4813800000000002E-4</v>
      </c>
      <c r="FA58">
        <v>8.0315159999999998E-4</v>
      </c>
      <c r="FB58">
        <v>8.6634730000000005E-4</v>
      </c>
      <c r="FC58">
        <v>1.9280650000000001E-3</v>
      </c>
      <c r="FD58">
        <v>3.502809E-4</v>
      </c>
      <c r="FE58">
        <v>2.0823500000000002E-2</v>
      </c>
      <c r="FF58">
        <v>1.050478E-2</v>
      </c>
      <c r="FG58">
        <v>5.7528240000000001E-3</v>
      </c>
      <c r="FH58">
        <v>5.5469700000000005E-4</v>
      </c>
      <c r="FI58">
        <v>1.4132000000000001E-3</v>
      </c>
      <c r="FJ58">
        <v>8.6669940000000008E-3</v>
      </c>
      <c r="FK58">
        <v>-0.55370420707574797</v>
      </c>
      <c r="FL58">
        <v>-0.483443435856031</v>
      </c>
      <c r="FM58">
        <v>0.22280680756257901</v>
      </c>
      <c r="FN58">
        <v>-0.67030827175577101</v>
      </c>
      <c r="FO58">
        <v>0.41380481228397298</v>
      </c>
      <c r="FP58">
        <v>-0.23894637013849801</v>
      </c>
      <c r="FQ58">
        <v>-0.19934890072950701</v>
      </c>
      <c r="FR58">
        <v>-0.286851950140741</v>
      </c>
      <c r="FS58">
        <v>-0.61685185112324004</v>
      </c>
      <c r="FT58">
        <v>-8.0499457189944206E-3</v>
      </c>
      <c r="FU58">
        <v>-0.14931222161433499</v>
      </c>
      <c r="FV58">
        <v>-0.18647911039401499</v>
      </c>
      <c r="FW58">
        <v>8.2275292796798502E-2</v>
      </c>
      <c r="FX58">
        <v>-0.51310071076766495</v>
      </c>
      <c r="FY58">
        <v>-0.26544090478367199</v>
      </c>
      <c r="FZ58">
        <v>0.72181311598095299</v>
      </c>
      <c r="GA58">
        <v>0.18607286540854401</v>
      </c>
      <c r="GB58">
        <v>4.6884811749494703E-3</v>
      </c>
      <c r="GC58">
        <v>-0.26138248876069298</v>
      </c>
      <c r="GD58">
        <v>9.8080667807706398E-2</v>
      </c>
      <c r="GE58">
        <v>-1.09409874649238E-2</v>
      </c>
      <c r="GF58">
        <v>-0.40687273241868399</v>
      </c>
      <c r="GG58">
        <v>-0.16349311014420501</v>
      </c>
      <c r="GH58">
        <v>-0.13194813066490599</v>
      </c>
      <c r="GI58">
        <v>2.8696301233837901E-2</v>
      </c>
      <c r="GJ58">
        <v>-1.9444572105915499E-2</v>
      </c>
      <c r="GK58">
        <v>-0.113425549446501</v>
      </c>
      <c r="GL58">
        <v>-0.35287308778936799</v>
      </c>
      <c r="GM58">
        <v>-0.38251605574834402</v>
      </c>
      <c r="GN58">
        <v>-0.35734966930044398</v>
      </c>
      <c r="GO58">
        <v>-1.5957249916813701E-2</v>
      </c>
      <c r="GP58">
        <v>-0.200570436492891</v>
      </c>
      <c r="GR58" s="66"/>
      <c r="GT58" s="66"/>
      <c r="GV58" s="66"/>
      <c r="GW58" s="65"/>
      <c r="HK58" s="1"/>
      <c r="HL58" s="1"/>
      <c r="HM58" s="65"/>
      <c r="HN58" s="1"/>
      <c r="HO58" s="65"/>
      <c r="HP58" s="65"/>
      <c r="HQ58" s="65"/>
      <c r="HS58" s="65"/>
      <c r="HT58" s="65"/>
      <c r="HU58" s="65"/>
      <c r="HV58" s="65"/>
      <c r="HW58" s="65"/>
      <c r="HX58" s="65"/>
      <c r="IZ58" s="66"/>
      <c r="JB58" s="66"/>
      <c r="JD58" s="66"/>
      <c r="JF58" s="66"/>
      <c r="JH58" s="66"/>
      <c r="JJ58" s="66"/>
      <c r="JL58" s="66"/>
      <c r="JN58" s="66"/>
      <c r="JP58" s="66"/>
      <c r="JR58" s="66"/>
    </row>
    <row r="59" spans="1:278" ht="15.75" x14ac:dyDescent="0.25">
      <c r="A59" s="4" t="s">
        <v>112</v>
      </c>
      <c r="B59" s="4" t="s">
        <v>112</v>
      </c>
      <c r="C59" s="2" t="s">
        <v>809</v>
      </c>
      <c r="D59" s="2" t="s">
        <v>501</v>
      </c>
      <c r="E59" s="2" t="s">
        <v>501</v>
      </c>
      <c r="F59" s="2">
        <v>58</v>
      </c>
      <c r="G59" s="2" t="s">
        <v>808</v>
      </c>
      <c r="H59" s="10" t="s">
        <v>656</v>
      </c>
      <c r="I59" s="2">
        <v>150</v>
      </c>
      <c r="J59" s="2">
        <v>65</v>
      </c>
      <c r="K59" s="2">
        <v>5.3</v>
      </c>
      <c r="L59" t="s">
        <v>283</v>
      </c>
      <c r="M59" s="2" t="s">
        <v>1120</v>
      </c>
      <c r="N59" s="2" t="s">
        <v>435</v>
      </c>
      <c r="O59" s="2" t="s">
        <v>653</v>
      </c>
      <c r="P59" s="2" t="s">
        <v>1124</v>
      </c>
      <c r="Q59" s="9" t="s">
        <v>662</v>
      </c>
      <c r="R59" s="2" t="str">
        <f t="shared" si="0"/>
        <v>CW_1_Section_1</v>
      </c>
      <c r="S59" s="2" t="str">
        <f t="shared" si="1"/>
        <v>CW_1_MF02</v>
      </c>
      <c r="T59" s="11" t="s">
        <v>798</v>
      </c>
      <c r="U59" s="1">
        <v>45643</v>
      </c>
      <c r="V59" s="2" t="s">
        <v>799</v>
      </c>
      <c r="W59" s="2" t="s">
        <v>663</v>
      </c>
      <c r="X59" s="2" t="s">
        <v>797</v>
      </c>
      <c r="Y59" s="2" t="str">
        <f t="shared" si="2"/>
        <v>T2_MF02</v>
      </c>
      <c r="Z59" s="2" t="str">
        <f t="shared" si="3"/>
        <v>T2_CW_1_MF02</v>
      </c>
      <c r="AA59" s="2" t="str">
        <f t="shared" si="4"/>
        <v>T2_0.60-0.80</v>
      </c>
      <c r="AB59" s="2">
        <v>127</v>
      </c>
      <c r="AC59" s="2">
        <v>4.1769999999999996</v>
      </c>
      <c r="AD59" s="2">
        <v>-0.76</v>
      </c>
      <c r="AE59" s="2">
        <v>2</v>
      </c>
      <c r="AF59" t="s">
        <v>31</v>
      </c>
      <c r="AG59" t="s">
        <v>1237</v>
      </c>
      <c r="AH59">
        <v>68</v>
      </c>
      <c r="AI59">
        <v>28</v>
      </c>
      <c r="AJ59">
        <v>0.84</v>
      </c>
      <c r="AK59">
        <v>0.39</v>
      </c>
      <c r="AL59">
        <v>9.1999999999999993</v>
      </c>
      <c r="AM59">
        <v>-153</v>
      </c>
      <c r="AN59">
        <v>7.08</v>
      </c>
      <c r="AO59">
        <v>890</v>
      </c>
      <c r="AP59">
        <v>0.1</v>
      </c>
      <c r="AQ59">
        <v>0.01</v>
      </c>
      <c r="AR59">
        <v>13</v>
      </c>
      <c r="AS59">
        <v>13</v>
      </c>
      <c r="AT59">
        <v>480</v>
      </c>
      <c r="AU59" s="32">
        <f t="shared" si="16"/>
        <v>0.18435539623607733</v>
      </c>
      <c r="AV59">
        <v>60</v>
      </c>
      <c r="AW59" s="32">
        <f t="shared" si="61"/>
        <v>2.3442587367050141E-2</v>
      </c>
      <c r="AX59">
        <v>360</v>
      </c>
      <c r="AY59" s="32">
        <f t="shared" si="17"/>
        <v>0.14241311104831872</v>
      </c>
      <c r="AZ59">
        <v>190</v>
      </c>
      <c r="BA59" s="32">
        <f t="shared" si="18"/>
        <v>7.5162475275501545E-2</v>
      </c>
      <c r="BB59">
        <v>220</v>
      </c>
      <c r="BC59" s="32">
        <f t="shared" si="19"/>
        <v>8.7030234529528114E-2</v>
      </c>
      <c r="BD59">
        <v>410</v>
      </c>
      <c r="BF59" s="48">
        <v>1310</v>
      </c>
      <c r="BG59" s="48">
        <f t="shared" si="20"/>
        <v>0.35021109465144618</v>
      </c>
      <c r="BH59">
        <v>2700</v>
      </c>
      <c r="BI59" s="32">
        <f t="shared" si="21"/>
        <v>1.0111570570336272</v>
      </c>
      <c r="BJ59" s="47">
        <v>2600</v>
      </c>
      <c r="BK59" s="27">
        <f t="shared" si="22"/>
        <v>0.97370679566201146</v>
      </c>
      <c r="BL59" s="47">
        <v>140</v>
      </c>
      <c r="BM59" s="27">
        <f t="shared" si="23"/>
        <v>5.1514554175701423E-2</v>
      </c>
      <c r="BN59" s="47">
        <v>140</v>
      </c>
      <c r="BO59" s="27">
        <f t="shared" si="24"/>
        <v>5.2655469813890153E-2</v>
      </c>
      <c r="BP59" s="47">
        <v>53</v>
      </c>
      <c r="BQ59" s="27">
        <f t="shared" si="25"/>
        <v>1.9768980868728192E-2</v>
      </c>
      <c r="BR59" s="47">
        <v>24</v>
      </c>
      <c r="BS59" s="27">
        <f t="shared" si="26"/>
        <v>8.8873926948325205E-3</v>
      </c>
      <c r="BT59" s="47">
        <v>4.4000000000000004</v>
      </c>
      <c r="BU59" s="27">
        <f t="shared" si="27"/>
        <v>1.629355327385962E-3</v>
      </c>
      <c r="BV59" s="47">
        <v>0.69</v>
      </c>
      <c r="BW59" s="27">
        <f t="shared" si="28"/>
        <v>2.5245982694684793E-4</v>
      </c>
      <c r="BX59" s="47">
        <v>0.6</v>
      </c>
      <c r="BY59" s="27">
        <f t="shared" si="29"/>
        <v>2.1953028430160692E-4</v>
      </c>
      <c r="BZ59" s="51">
        <f t="shared" si="30"/>
        <v>2962.69</v>
      </c>
      <c r="CA59" s="51">
        <f t="shared" si="31"/>
        <v>362.69</v>
      </c>
      <c r="CB59" s="27">
        <f t="shared" si="32"/>
        <v>1.1086345386537984</v>
      </c>
      <c r="CC59" s="27">
        <f t="shared" si="33"/>
        <v>0.1349277429917867</v>
      </c>
      <c r="CD59">
        <v>5500</v>
      </c>
      <c r="CE59">
        <v>1900</v>
      </c>
      <c r="CF59" t="s">
        <v>19</v>
      </c>
      <c r="CG59">
        <v>7400</v>
      </c>
      <c r="CH59" s="32">
        <v>0.4</v>
      </c>
      <c r="CI59" s="32">
        <f t="shared" si="34"/>
        <v>7.162041181736795E-3</v>
      </c>
      <c r="CJ59" s="32">
        <f t="shared" si="35"/>
        <v>7.162041181736795E-3</v>
      </c>
      <c r="CK59" s="32">
        <v>0.9</v>
      </c>
      <c r="CL59" s="32">
        <f t="shared" si="36"/>
        <v>1.6384489350081924E-2</v>
      </c>
      <c r="CM59" s="32">
        <f t="shared" si="37"/>
        <v>3.2768978700163848E-2</v>
      </c>
      <c r="CN59" s="27">
        <v>68</v>
      </c>
      <c r="CO59" s="27">
        <f t="shared" si="38"/>
        <v>0.70789090151988343</v>
      </c>
      <c r="CP59" s="27">
        <f t="shared" si="39"/>
        <v>5.6631272121590674</v>
      </c>
      <c r="CQ59" s="57">
        <v>13</v>
      </c>
      <c r="CR59" s="57">
        <v>16.049382716049383</v>
      </c>
      <c r="CS59" s="57">
        <v>1.0826566729127629</v>
      </c>
      <c r="CT59" s="57">
        <f t="shared" si="40"/>
        <v>1.0826566729127629</v>
      </c>
      <c r="CU59" s="28">
        <v>13</v>
      </c>
      <c r="CV59" s="28">
        <v>16.049382716049383</v>
      </c>
      <c r="CW59" s="28">
        <v>1.0826566729127629</v>
      </c>
      <c r="CX59" s="28">
        <f t="shared" si="41"/>
        <v>1.0826566729127629</v>
      </c>
      <c r="CY59" s="32">
        <f t="shared" si="42"/>
        <v>7.5569435769310846</v>
      </c>
      <c r="CZ59" s="32">
        <f t="shared" si="43"/>
        <v>7.5569435769310846</v>
      </c>
      <c r="DA59" s="32">
        <f t="shared" si="44"/>
        <v>7.956943576931085</v>
      </c>
      <c r="DB59" s="32">
        <f t="shared" si="45"/>
        <v>0.14246989394684126</v>
      </c>
      <c r="DC59" s="32">
        <f t="shared" si="46"/>
        <v>0.14246989394684126</v>
      </c>
      <c r="DD59" s="59">
        <f t="shared" si="47"/>
        <v>7.5569435769310846</v>
      </c>
      <c r="DE59" s="59">
        <f t="shared" si="48"/>
        <v>7.5569435769310846</v>
      </c>
      <c r="DF59" s="59">
        <f t="shared" si="49"/>
        <v>7.956943576931085</v>
      </c>
      <c r="DG59" s="59">
        <f t="shared" si="50"/>
        <v>0.14246989394684126</v>
      </c>
      <c r="DH59" s="59">
        <f t="shared" si="51"/>
        <v>0.14246989394684126</v>
      </c>
      <c r="DI59" s="32">
        <f t="shared" si="52"/>
        <v>5.6631272121590674</v>
      </c>
      <c r="DJ59" s="32">
        <f t="shared" si="53"/>
        <v>8.8569435769310854</v>
      </c>
      <c r="DK59" s="32">
        <f t="shared" si="54"/>
        <v>0.17523887264700511</v>
      </c>
      <c r="DL59">
        <f t="shared" si="60"/>
        <v>1.257895545559768</v>
      </c>
      <c r="DM59">
        <f t="shared" si="62"/>
        <v>2.6050635774834179E-2</v>
      </c>
      <c r="DN59">
        <f t="shared" si="63"/>
        <v>0.1132605123292981</v>
      </c>
      <c r="DO59">
        <f t="shared" si="64"/>
        <v>0.86068885189586775</v>
      </c>
      <c r="DP59">
        <f t="shared" si="55"/>
        <v>1.257895545559768</v>
      </c>
      <c r="DQ59">
        <f t="shared" si="65"/>
        <v>2.6050635774834179E-2</v>
      </c>
      <c r="DR59">
        <f t="shared" si="66"/>
        <v>0.1132605123292981</v>
      </c>
      <c r="DS59">
        <f t="shared" si="67"/>
        <v>0.86068885189586775</v>
      </c>
      <c r="DT59" s="63">
        <f t="shared" si="68"/>
        <v>0.10347260612530551</v>
      </c>
      <c r="DU59" s="63">
        <f t="shared" si="69"/>
        <v>0.10347260612530551</v>
      </c>
      <c r="DV59" s="63">
        <f t="shared" si="70"/>
        <v>0.23840034911709229</v>
      </c>
      <c r="DW59" s="63">
        <f t="shared" si="71"/>
        <v>0.23840034911709229</v>
      </c>
      <c r="DX59" t="str">
        <f t="shared" si="57"/>
        <v>Insufficient Capacity</v>
      </c>
      <c r="DY59" t="str">
        <f t="shared" si="58"/>
        <v>Insufficient Capacity</v>
      </c>
      <c r="DZ59" t="str">
        <f t="shared" si="59"/>
        <v>Sulfate Dominant electron acceptor</v>
      </c>
      <c r="EA59" t="str">
        <f t="shared" si="72"/>
        <v>Sulfate Dominant electron acceptor</v>
      </c>
      <c r="EB59">
        <v>9.7433229999999999E-3</v>
      </c>
      <c r="EC59">
        <v>1.6520930000000001E-3</v>
      </c>
      <c r="ED59" s="66">
        <v>7.752671E-7</v>
      </c>
      <c r="EE59">
        <v>4.1084159999999999E-4</v>
      </c>
      <c r="EF59">
        <v>3.9358550000000003E-3</v>
      </c>
      <c r="EG59" s="66">
        <v>2.120712E-5</v>
      </c>
      <c r="EH59">
        <v>2.0831180000000001E-4</v>
      </c>
      <c r="EI59" s="66">
        <v>5.3814789999999998E-5</v>
      </c>
      <c r="EJ59">
        <v>5.7327929999999999E-4</v>
      </c>
      <c r="EK59">
        <v>8.8714700000000002E-4</v>
      </c>
      <c r="EL59">
        <v>4.4028189999999998E-4</v>
      </c>
      <c r="EM59">
        <v>1.980505E-4</v>
      </c>
      <c r="EN59">
        <v>2.0493389999999998E-3</v>
      </c>
      <c r="EO59">
        <v>6.666574E-4</v>
      </c>
      <c r="EP59">
        <v>1.6355370000000001E-3</v>
      </c>
      <c r="EQ59">
        <v>1.6853459999999999E-3</v>
      </c>
      <c r="ER59">
        <v>3.3894509999999998E-4</v>
      </c>
      <c r="ES59">
        <v>6.7357650000000001E-4</v>
      </c>
      <c r="ET59">
        <v>8.5419780000000004E-3</v>
      </c>
      <c r="EU59">
        <v>2.6587379999999999E-3</v>
      </c>
      <c r="EV59">
        <v>9.7402740000000002E-3</v>
      </c>
      <c r="EW59">
        <v>6.8957570000000002E-4</v>
      </c>
      <c r="EX59">
        <v>5.5466810000000004E-3</v>
      </c>
      <c r="EY59">
        <v>7.0827340000000003E-3</v>
      </c>
      <c r="EZ59">
        <v>9.4528630000000004E-4</v>
      </c>
      <c r="FA59">
        <v>6.1214769999999997E-4</v>
      </c>
      <c r="FB59">
        <v>6.51097E-4</v>
      </c>
      <c r="FC59">
        <v>1.633565E-3</v>
      </c>
      <c r="FD59">
        <v>4.5842499999999999E-4</v>
      </c>
      <c r="FE59">
        <v>1.991507E-2</v>
      </c>
      <c r="FF59">
        <v>1.8325020000000001E-2</v>
      </c>
      <c r="FG59">
        <v>9.3223709999999994E-3</v>
      </c>
      <c r="FH59">
        <v>9.552626E-4</v>
      </c>
      <c r="FI59">
        <v>1.2056669999999999E-3</v>
      </c>
      <c r="FJ59">
        <v>1.2307490000000001E-2</v>
      </c>
      <c r="FK59">
        <v>-0.33218957951681</v>
      </c>
      <c r="FL59">
        <v>-0.156016981000902</v>
      </c>
      <c r="FM59">
        <v>0.56255434164907003</v>
      </c>
      <c r="FN59">
        <v>-0.354536159425548</v>
      </c>
      <c r="FO59">
        <v>-0.38863263865368902</v>
      </c>
      <c r="FP59">
        <v>0.259386028201534</v>
      </c>
      <c r="FQ59">
        <v>0.20971859733430401</v>
      </c>
      <c r="FR59">
        <v>-3.4255670722822998E-2</v>
      </c>
      <c r="FS59">
        <v>-0.26109796502770299</v>
      </c>
      <c r="FT59">
        <v>7.7460390447088301E-3</v>
      </c>
      <c r="FU59">
        <v>-0.20250762980044501</v>
      </c>
      <c r="FV59">
        <v>-0.25869097595631901</v>
      </c>
      <c r="FW59">
        <v>0.33277580670729601</v>
      </c>
      <c r="FX59">
        <v>-0.155952042330218</v>
      </c>
      <c r="FY59">
        <v>-3.3128421327396601E-2</v>
      </c>
      <c r="FZ59">
        <v>-1.6014268655602799E-2</v>
      </c>
      <c r="GA59">
        <v>-4.0901400855683598E-2</v>
      </c>
      <c r="GB59">
        <v>9.7020371257114504E-2</v>
      </c>
      <c r="GC59">
        <v>6.7539603732941003E-2</v>
      </c>
      <c r="GD59">
        <v>0.10882329236723</v>
      </c>
      <c r="GE59">
        <v>4.47520843956015E-2</v>
      </c>
      <c r="GF59">
        <v>-0.298428246246907</v>
      </c>
      <c r="GG59">
        <v>-0.435063005038057</v>
      </c>
      <c r="GH59">
        <v>-0.41757536544851998</v>
      </c>
      <c r="GI59">
        <v>-0.137055864953882</v>
      </c>
      <c r="GJ59">
        <v>0.24961672530551701</v>
      </c>
      <c r="GK59">
        <v>-0.15803097452776399</v>
      </c>
      <c r="GL59">
        <v>0.20356385971864499</v>
      </c>
      <c r="GM59">
        <v>0.100210075057848</v>
      </c>
      <c r="GN59">
        <v>0.18621458848616601</v>
      </c>
      <c r="GO59">
        <v>-0.17478094564563901</v>
      </c>
      <c r="GP59">
        <v>0.15011556577339999</v>
      </c>
      <c r="GY59" s="65"/>
      <c r="HK59" s="1"/>
      <c r="HL59" s="1"/>
      <c r="HM59" s="65"/>
      <c r="HN59" s="1"/>
      <c r="HO59" s="65"/>
      <c r="HP59" s="65"/>
      <c r="HQ59" s="65"/>
      <c r="HS59" s="65"/>
      <c r="HT59" s="65"/>
      <c r="HU59" s="65"/>
      <c r="HV59" s="65"/>
      <c r="HW59" s="65"/>
      <c r="HX59" s="65"/>
      <c r="JJ59" s="66"/>
      <c r="JL59" s="66"/>
      <c r="JN59" s="66"/>
    </row>
    <row r="60" spans="1:278" ht="15.75" x14ac:dyDescent="0.25">
      <c r="A60" s="4" t="s">
        <v>113</v>
      </c>
      <c r="B60" s="4" t="s">
        <v>113</v>
      </c>
      <c r="C60" s="2" t="s">
        <v>811</v>
      </c>
      <c r="D60" s="2" t="s">
        <v>502</v>
      </c>
      <c r="E60" s="2" t="s">
        <v>502</v>
      </c>
      <c r="F60" s="2">
        <v>59</v>
      </c>
      <c r="G60" s="2" t="s">
        <v>810</v>
      </c>
      <c r="H60" s="10" t="s">
        <v>656</v>
      </c>
      <c r="I60" s="2">
        <v>150</v>
      </c>
      <c r="J60" s="2">
        <v>65</v>
      </c>
      <c r="K60" s="2">
        <v>5.8</v>
      </c>
      <c r="L60" t="s">
        <v>284</v>
      </c>
      <c r="M60" s="2" t="s">
        <v>1120</v>
      </c>
      <c r="N60" s="2" t="s">
        <v>435</v>
      </c>
      <c r="O60" s="2" t="s">
        <v>666</v>
      </c>
      <c r="P60" s="2" t="s">
        <v>1131</v>
      </c>
      <c r="Q60" s="9" t="s">
        <v>667</v>
      </c>
      <c r="R60" s="2" t="str">
        <f t="shared" si="0"/>
        <v>CW_1_Section_2</v>
      </c>
      <c r="S60" s="2" t="str">
        <f t="shared" si="1"/>
        <v>CW_1_MF05</v>
      </c>
      <c r="T60" s="11" t="s">
        <v>798</v>
      </c>
      <c r="U60" s="1">
        <v>45643</v>
      </c>
      <c r="V60" s="2" t="s">
        <v>799</v>
      </c>
      <c r="W60" s="2" t="s">
        <v>655</v>
      </c>
      <c r="X60" s="2" t="s">
        <v>797</v>
      </c>
      <c r="Y60" s="2" t="str">
        <f t="shared" si="2"/>
        <v>T2_MF05</v>
      </c>
      <c r="Z60" s="2" t="str">
        <f t="shared" si="3"/>
        <v>T2_CW_1_MF05</v>
      </c>
      <c r="AA60" s="2" t="str">
        <f t="shared" si="4"/>
        <v>T2_0.15-0.30</v>
      </c>
      <c r="AB60" s="2">
        <v>127</v>
      </c>
      <c r="AC60" s="2">
        <v>4.1769999999999996</v>
      </c>
      <c r="AD60" s="2">
        <v>-0.76</v>
      </c>
      <c r="AE60" s="2">
        <v>2</v>
      </c>
      <c r="AF60" t="s">
        <v>33</v>
      </c>
      <c r="AG60" t="s">
        <v>1237</v>
      </c>
      <c r="AH60">
        <v>67</v>
      </c>
      <c r="AI60">
        <v>26</v>
      </c>
      <c r="AJ60">
        <v>1.4</v>
      </c>
      <c r="AK60">
        <v>3.1</v>
      </c>
      <c r="AL60">
        <v>9.6</v>
      </c>
      <c r="AM60">
        <v>-122</v>
      </c>
      <c r="AN60">
        <v>6.99</v>
      </c>
      <c r="AO60">
        <v>1280</v>
      </c>
      <c r="AP60">
        <v>0.2</v>
      </c>
      <c r="AQ60">
        <v>0.01</v>
      </c>
      <c r="AR60">
        <v>11</v>
      </c>
      <c r="AS60">
        <v>11</v>
      </c>
      <c r="AT60">
        <v>570</v>
      </c>
      <c r="AU60" s="32">
        <f t="shared" si="16"/>
        <v>0.21892203303034183</v>
      </c>
      <c r="AV60">
        <v>11</v>
      </c>
      <c r="AW60" s="32">
        <f t="shared" si="61"/>
        <v>4.2978076839591921E-3</v>
      </c>
      <c r="AX60">
        <v>450</v>
      </c>
      <c r="AY60" s="32">
        <f t="shared" si="17"/>
        <v>0.17801638881039844</v>
      </c>
      <c r="AZ60">
        <v>250</v>
      </c>
      <c r="BA60" s="32">
        <f t="shared" si="18"/>
        <v>9.8897993783554669E-2</v>
      </c>
      <c r="BB60">
        <v>150</v>
      </c>
      <c r="BC60" s="32">
        <f t="shared" si="19"/>
        <v>5.9338796270132804E-2</v>
      </c>
      <c r="BD60">
        <v>400</v>
      </c>
      <c r="BF60" s="48">
        <v>1431</v>
      </c>
      <c r="BG60" s="48">
        <f t="shared" si="20"/>
        <v>0.40123622952469945</v>
      </c>
      <c r="BH60">
        <v>1100</v>
      </c>
      <c r="BI60" s="32">
        <f t="shared" si="21"/>
        <v>0.41195287508777401</v>
      </c>
      <c r="BJ60" s="47">
        <v>840</v>
      </c>
      <c r="BK60" s="27">
        <f t="shared" si="22"/>
        <v>0.3145821955215729</v>
      </c>
      <c r="BL60" s="47">
        <v>0.01</v>
      </c>
      <c r="BM60" s="27">
        <f t="shared" si="23"/>
        <v>3.6796110125501018E-6</v>
      </c>
      <c r="BN60" s="47">
        <v>0.01</v>
      </c>
      <c r="BO60" s="27">
        <f t="shared" si="24"/>
        <v>3.7611049867064394E-6</v>
      </c>
      <c r="BP60" s="47">
        <v>0.05</v>
      </c>
      <c r="BQ60" s="27">
        <f t="shared" si="25"/>
        <v>1.864998195163037E-5</v>
      </c>
      <c r="BR60" s="47">
        <v>0.06</v>
      </c>
      <c r="BS60" s="27">
        <f t="shared" si="26"/>
        <v>2.22184817370813E-5</v>
      </c>
      <c r="BT60" s="47">
        <v>0.01</v>
      </c>
      <c r="BU60" s="27">
        <f t="shared" si="27"/>
        <v>3.7030802895135499E-6</v>
      </c>
      <c r="BV60" s="47">
        <v>1E-3</v>
      </c>
      <c r="BW60" s="27">
        <f t="shared" si="28"/>
        <v>3.6588380716934485E-7</v>
      </c>
      <c r="BX60" s="47">
        <v>2E-3</v>
      </c>
      <c r="BY60" s="27">
        <f t="shared" si="29"/>
        <v>7.3176761433868969E-7</v>
      </c>
      <c r="BZ60" s="51">
        <f t="shared" si="30"/>
        <v>840.1429999999998</v>
      </c>
      <c r="CA60" s="51">
        <f t="shared" si="31"/>
        <v>0.14300000000000002</v>
      </c>
      <c r="CB60" s="27">
        <f t="shared" si="32"/>
        <v>0.31463530543297191</v>
      </c>
      <c r="CC60" s="27">
        <f t="shared" si="33"/>
        <v>5.3109911398989796E-5</v>
      </c>
      <c r="CD60">
        <v>1700</v>
      </c>
      <c r="CE60">
        <v>2.5</v>
      </c>
      <c r="CF60" t="s">
        <v>19</v>
      </c>
      <c r="CG60">
        <v>1700</v>
      </c>
      <c r="CH60" s="32">
        <v>23</v>
      </c>
      <c r="CI60" s="32">
        <f t="shared" si="34"/>
        <v>0.41181736794986568</v>
      </c>
      <c r="CJ60" s="32">
        <f t="shared" si="35"/>
        <v>0.41181736794986568</v>
      </c>
      <c r="CK60" s="32">
        <v>4</v>
      </c>
      <c r="CL60" s="32">
        <f t="shared" si="36"/>
        <v>7.2819952667030771E-2</v>
      </c>
      <c r="CM60" s="32">
        <f t="shared" si="37"/>
        <v>0.14563990533406154</v>
      </c>
      <c r="CN60" s="27">
        <v>16</v>
      </c>
      <c r="CO60" s="27">
        <f t="shared" si="38"/>
        <v>0.16656256506350198</v>
      </c>
      <c r="CP60" s="27">
        <f t="shared" si="39"/>
        <v>1.3325005205080158</v>
      </c>
      <c r="CQ60" s="57">
        <v>65</v>
      </c>
      <c r="CR60" s="57">
        <v>80.246913580246911</v>
      </c>
      <c r="CS60" s="57">
        <v>5.4132833645638145</v>
      </c>
      <c r="CT60" s="57">
        <f t="shared" si="40"/>
        <v>5.4132833645638145</v>
      </c>
      <c r="CU60" s="28">
        <v>16</v>
      </c>
      <c r="CV60" s="28">
        <v>50</v>
      </c>
      <c r="CW60" s="28">
        <v>1.3325005205080158</v>
      </c>
      <c r="CX60" s="28">
        <f t="shared" si="41"/>
        <v>1.3325005205080158</v>
      </c>
      <c r="CY60" s="32">
        <f t="shared" si="42"/>
        <v>37.784717884655421</v>
      </c>
      <c r="CZ60" s="32">
        <f t="shared" si="43"/>
        <v>37.784717884655421</v>
      </c>
      <c r="DA60" s="32">
        <f t="shared" si="44"/>
        <v>60.784717884655421</v>
      </c>
      <c r="DB60" s="32">
        <f t="shared" si="45"/>
        <v>1.0883566317753881</v>
      </c>
      <c r="DC60" s="32">
        <f t="shared" si="46"/>
        <v>1.0883566317753881</v>
      </c>
      <c r="DD60" s="59">
        <f t="shared" si="47"/>
        <v>9.3008536331459499</v>
      </c>
      <c r="DE60" s="59">
        <f t="shared" si="48"/>
        <v>9.3008536331459499</v>
      </c>
      <c r="DF60" s="59">
        <f t="shared" si="49"/>
        <v>32.300853633145948</v>
      </c>
      <c r="DG60" s="59">
        <f t="shared" si="50"/>
        <v>0.57835010981460966</v>
      </c>
      <c r="DH60" s="59">
        <f t="shared" si="51"/>
        <v>0.57835010981460966</v>
      </c>
      <c r="DI60" s="32">
        <f t="shared" si="52"/>
        <v>1.3325005205080158</v>
      </c>
      <c r="DJ60" s="32">
        <f t="shared" si="53"/>
        <v>36.300853633145948</v>
      </c>
      <c r="DK60" s="32">
        <f t="shared" si="54"/>
        <v>0.72399001514867123</v>
      </c>
      <c r="DL60">
        <f t="shared" si="60"/>
        <v>6.6472799016732642</v>
      </c>
      <c r="DM60">
        <f t="shared" si="62"/>
        <v>2.1909699529487365E-2</v>
      </c>
      <c r="DN60">
        <f t="shared" si="63"/>
        <v>0.16372962292462293</v>
      </c>
      <c r="DO60">
        <f t="shared" si="64"/>
        <v>0.8143606775458897</v>
      </c>
      <c r="DP60">
        <f t="shared" si="55"/>
        <v>2.0564905356566872</v>
      </c>
      <c r="DQ60">
        <f t="shared" si="65"/>
        <v>7.081963316089622E-2</v>
      </c>
      <c r="DR60">
        <f t="shared" si="66"/>
        <v>0.28123159323460173</v>
      </c>
      <c r="DS60">
        <f t="shared" si="67"/>
        <v>0.64794877360450198</v>
      </c>
      <c r="DT60" s="63">
        <f t="shared" si="68"/>
        <v>-5.8340907970607905</v>
      </c>
      <c r="DU60" s="63">
        <f t="shared" si="69"/>
        <v>-1.2433014310442136</v>
      </c>
      <c r="DV60" s="63">
        <f t="shared" si="70"/>
        <v>-5.834037687149392</v>
      </c>
      <c r="DW60" s="63">
        <f t="shared" si="71"/>
        <v>-1.2432483211328147</v>
      </c>
      <c r="DX60" t="str">
        <f t="shared" si="57"/>
        <v>Sufficient Capacity</v>
      </c>
      <c r="DY60" t="str">
        <f t="shared" si="58"/>
        <v>Sufficient Capacity</v>
      </c>
      <c r="DZ60" t="str">
        <f t="shared" si="59"/>
        <v>Sulfate Dominant electron acceptor</v>
      </c>
      <c r="EA60" t="str">
        <f t="shared" si="72"/>
        <v>Sulfate Dominant electron acceptor</v>
      </c>
      <c r="EB60">
        <v>9.6758309999999993E-3</v>
      </c>
      <c r="EC60">
        <v>9.0292210000000005E-4</v>
      </c>
      <c r="ED60" s="66">
        <v>1.0730759999999999E-6</v>
      </c>
      <c r="EE60">
        <v>2.0962180000000001E-4</v>
      </c>
      <c r="EF60">
        <v>2.1502499999999998E-3</v>
      </c>
      <c r="EG60" s="66">
        <v>7.7473880000000002E-6</v>
      </c>
      <c r="EH60">
        <v>1.109239E-4</v>
      </c>
      <c r="EI60">
        <v>1.814819E-4</v>
      </c>
      <c r="EJ60">
        <v>3.394491E-4</v>
      </c>
      <c r="EK60">
        <v>5.8470850000000003E-4</v>
      </c>
      <c r="EL60">
        <v>1.90504E-4</v>
      </c>
      <c r="EM60" s="66">
        <v>5.7389100000000003E-5</v>
      </c>
      <c r="EN60">
        <v>1.708862E-3</v>
      </c>
      <c r="EO60">
        <v>6.8547629999999996E-4</v>
      </c>
      <c r="EP60">
        <v>1.205383E-3</v>
      </c>
      <c r="EQ60">
        <v>1.7276500000000001E-3</v>
      </c>
      <c r="ER60">
        <v>1.472872E-4</v>
      </c>
      <c r="ES60">
        <v>3.643656E-4</v>
      </c>
      <c r="ET60">
        <v>2.373312E-2</v>
      </c>
      <c r="EU60">
        <v>3.712389E-3</v>
      </c>
      <c r="EV60">
        <v>1.130256E-2</v>
      </c>
      <c r="EW60">
        <v>3.8033419999999998E-4</v>
      </c>
      <c r="EX60">
        <v>4.9347130000000003E-3</v>
      </c>
      <c r="EY60">
        <v>5.5994779999999997E-3</v>
      </c>
      <c r="EZ60">
        <v>7.256745E-4</v>
      </c>
      <c r="FA60">
        <v>5.3452440000000001E-4</v>
      </c>
      <c r="FB60">
        <v>5.4255000000000004E-4</v>
      </c>
      <c r="FC60">
        <v>1.6414299999999999E-3</v>
      </c>
      <c r="FD60">
        <v>1.5551270000000001E-4</v>
      </c>
      <c r="FE60">
        <v>1.6651849999999999E-2</v>
      </c>
      <c r="FF60">
        <v>9.1308009999999992E-3</v>
      </c>
      <c r="FG60">
        <v>4.4800739999999997E-3</v>
      </c>
      <c r="FH60">
        <v>4.8095929999999998E-4</v>
      </c>
      <c r="FI60">
        <v>1.1971919999999999E-3</v>
      </c>
      <c r="FJ60">
        <v>7.5148100000000002E-3</v>
      </c>
      <c r="FK60">
        <v>-1.0050923635949001</v>
      </c>
      <c r="FL60">
        <v>-0.76056100563197404</v>
      </c>
      <c r="FM60">
        <v>-0.44442687840177397</v>
      </c>
      <c r="FN60">
        <v>-0.98472777454634597</v>
      </c>
      <c r="FO60">
        <v>0.82697494910957703</v>
      </c>
      <c r="FP60">
        <v>-0.264662994914174</v>
      </c>
      <c r="FQ60">
        <v>-0.207178665968732</v>
      </c>
      <c r="FR60">
        <v>-0.87199768258269295</v>
      </c>
      <c r="FS60">
        <v>-1.4997656238847299</v>
      </c>
      <c r="FT60">
        <v>-0.17394361118950799</v>
      </c>
      <c r="FU60">
        <v>-0.17466997547727101</v>
      </c>
      <c r="FV60">
        <v>-0.56386480798267902</v>
      </c>
      <c r="FW60">
        <v>0.35756702630660397</v>
      </c>
      <c r="FX60">
        <v>-0.98940576748853803</v>
      </c>
      <c r="FY60">
        <v>-0.64757223730018099</v>
      </c>
      <c r="FZ60">
        <v>1.00586467538306</v>
      </c>
      <c r="GA60">
        <v>0.29292262971328098</v>
      </c>
      <c r="GB60">
        <v>0.24578037131409899</v>
      </c>
      <c r="GC60">
        <v>-0.52748653728238803</v>
      </c>
      <c r="GD60">
        <v>-8.0819233230506899E-3</v>
      </c>
      <c r="GE60">
        <v>-0.190234527851564</v>
      </c>
      <c r="GF60">
        <v>-0.56281452363985995</v>
      </c>
      <c r="GG60">
        <v>-0.57065921873839998</v>
      </c>
      <c r="GH60">
        <v>-0.59995375102734405</v>
      </c>
      <c r="GI60">
        <v>-0.13225279495217701</v>
      </c>
      <c r="GJ60">
        <v>-0.83145257581967702</v>
      </c>
      <c r="GK60">
        <v>-0.33698638472850201</v>
      </c>
      <c r="GL60">
        <v>-0.49305005595089701</v>
      </c>
      <c r="GM60">
        <v>-0.63256735627968996</v>
      </c>
      <c r="GN60">
        <v>-0.49998903687711899</v>
      </c>
      <c r="GO60">
        <v>-0.18183507170419</v>
      </c>
      <c r="GP60">
        <v>-0.34321671424626699</v>
      </c>
      <c r="GR60" s="66"/>
      <c r="GT60" s="66"/>
      <c r="GV60" s="66"/>
      <c r="GW60" s="65"/>
      <c r="GZ60" s="66"/>
      <c r="HK60" s="1"/>
      <c r="HL60" s="1"/>
      <c r="HM60" s="65"/>
      <c r="HN60" s="1"/>
      <c r="HO60" s="65"/>
      <c r="HP60" s="65"/>
      <c r="HQ60" s="65"/>
      <c r="HT60" s="65"/>
      <c r="HU60" s="65"/>
      <c r="HV60" s="65"/>
      <c r="HW60" s="65"/>
      <c r="HX60" s="65"/>
      <c r="JF60" s="66"/>
      <c r="JH60" s="66"/>
      <c r="JJ60" s="66"/>
      <c r="JL60" s="66"/>
      <c r="JN60" s="66"/>
    </row>
    <row r="61" spans="1:278" ht="15.75" x14ac:dyDescent="0.25">
      <c r="A61" s="4" t="s">
        <v>114</v>
      </c>
      <c r="B61" s="4" t="s">
        <v>114</v>
      </c>
      <c r="C61" s="2" t="s">
        <v>813</v>
      </c>
      <c r="D61" s="2" t="s">
        <v>503</v>
      </c>
      <c r="E61" s="2" t="s">
        <v>503</v>
      </c>
      <c r="F61" s="2">
        <v>60</v>
      </c>
      <c r="G61" s="2" t="s">
        <v>812</v>
      </c>
      <c r="H61" s="10" t="s">
        <v>656</v>
      </c>
      <c r="I61" s="2">
        <v>150</v>
      </c>
      <c r="J61" s="2">
        <v>65</v>
      </c>
      <c r="K61" s="2">
        <v>6.9</v>
      </c>
      <c r="L61" t="s">
        <v>285</v>
      </c>
      <c r="M61" s="2" t="s">
        <v>1120</v>
      </c>
      <c r="N61" s="2" t="s">
        <v>435</v>
      </c>
      <c r="O61" s="2" t="s">
        <v>666</v>
      </c>
      <c r="P61" s="2" t="s">
        <v>1132</v>
      </c>
      <c r="Q61" s="9" t="s">
        <v>670</v>
      </c>
      <c r="R61" s="2" t="str">
        <f t="shared" si="0"/>
        <v>CW_1_Section_2</v>
      </c>
      <c r="S61" s="2" t="str">
        <f t="shared" si="1"/>
        <v>CW_1_MF06</v>
      </c>
      <c r="T61" s="11" t="s">
        <v>798</v>
      </c>
      <c r="U61" s="1">
        <v>45643</v>
      </c>
      <c r="V61" s="2" t="s">
        <v>799</v>
      </c>
      <c r="W61" s="2" t="s">
        <v>663</v>
      </c>
      <c r="X61" s="2" t="s">
        <v>797</v>
      </c>
      <c r="Y61" s="2" t="str">
        <f t="shared" si="2"/>
        <v>T2_MF06</v>
      </c>
      <c r="Z61" s="2" t="str">
        <f t="shared" si="3"/>
        <v>T2_CW_1_MF06</v>
      </c>
      <c r="AA61" s="2" t="str">
        <f t="shared" si="4"/>
        <v>T2_0.60-0.80</v>
      </c>
      <c r="AB61" s="2">
        <v>127</v>
      </c>
      <c r="AC61" s="2">
        <v>4.1769999999999996</v>
      </c>
      <c r="AD61" s="2">
        <v>-0.76</v>
      </c>
      <c r="AE61" s="2">
        <v>2</v>
      </c>
      <c r="AF61" t="s">
        <v>25</v>
      </c>
      <c r="AG61" t="s">
        <v>1237</v>
      </c>
      <c r="AH61">
        <v>67</v>
      </c>
      <c r="AI61">
        <v>27</v>
      </c>
      <c r="AJ61">
        <v>0.91</v>
      </c>
      <c r="AK61">
        <v>0.39</v>
      </c>
      <c r="AL61">
        <v>9.6</v>
      </c>
      <c r="AM61">
        <v>-139</v>
      </c>
      <c r="AN61">
        <v>7.12</v>
      </c>
      <c r="AO61">
        <v>1340</v>
      </c>
      <c r="AP61">
        <v>0.2</v>
      </c>
      <c r="AQ61">
        <v>0.01</v>
      </c>
      <c r="AR61">
        <v>12</v>
      </c>
      <c r="AS61">
        <v>12</v>
      </c>
      <c r="AT61">
        <v>550</v>
      </c>
      <c r="AU61" s="32">
        <f t="shared" si="16"/>
        <v>0.21124055818717194</v>
      </c>
      <c r="AV61">
        <v>75</v>
      </c>
      <c r="AW61" s="32">
        <f t="shared" si="61"/>
        <v>2.9303234208812676E-2</v>
      </c>
      <c r="AX61">
        <v>440</v>
      </c>
      <c r="AY61" s="32">
        <f t="shared" si="17"/>
        <v>0.17406046905905623</v>
      </c>
      <c r="AZ61">
        <v>180</v>
      </c>
      <c r="BA61" s="32">
        <f t="shared" si="18"/>
        <v>7.120655552415936E-2</v>
      </c>
      <c r="BB61">
        <v>190</v>
      </c>
      <c r="BC61" s="32">
        <f t="shared" si="19"/>
        <v>7.5162475275501545E-2</v>
      </c>
      <c r="BD61">
        <v>370</v>
      </c>
      <c r="BF61" s="48">
        <v>1435</v>
      </c>
      <c r="BG61" s="48">
        <f t="shared" si="20"/>
        <v>0.41460426145504081</v>
      </c>
      <c r="BH61">
        <v>2600</v>
      </c>
      <c r="BI61" s="32">
        <f t="shared" si="21"/>
        <v>0.97370679566201146</v>
      </c>
      <c r="BJ61" s="47">
        <v>1800</v>
      </c>
      <c r="BK61" s="27">
        <f t="shared" si="22"/>
        <v>0.6741047046890849</v>
      </c>
      <c r="BL61" s="47">
        <v>120</v>
      </c>
      <c r="BM61" s="27">
        <f t="shared" si="23"/>
        <v>4.4155332150601224E-2</v>
      </c>
      <c r="BN61" s="47">
        <v>120</v>
      </c>
      <c r="BO61" s="27">
        <f t="shared" si="24"/>
        <v>4.5133259840477273E-2</v>
      </c>
      <c r="BP61" s="47">
        <v>35</v>
      </c>
      <c r="BQ61" s="27">
        <f t="shared" si="25"/>
        <v>1.3054987366141258E-2</v>
      </c>
      <c r="BR61" s="47">
        <v>6.5</v>
      </c>
      <c r="BS61" s="27">
        <f t="shared" si="26"/>
        <v>2.4070021881838072E-3</v>
      </c>
      <c r="BT61" s="47">
        <v>0.63</v>
      </c>
      <c r="BU61" s="27">
        <f t="shared" si="27"/>
        <v>2.3329405823935365E-4</v>
      </c>
      <c r="BV61" s="47">
        <v>0.03</v>
      </c>
      <c r="BW61" s="27">
        <f t="shared" si="28"/>
        <v>1.0976514215080345E-5</v>
      </c>
      <c r="BX61" s="47">
        <v>2E-3</v>
      </c>
      <c r="BY61" s="27">
        <f t="shared" si="29"/>
        <v>7.3176761433868969E-7</v>
      </c>
      <c r="BZ61" s="51">
        <f t="shared" si="30"/>
        <v>2082.1620000000003</v>
      </c>
      <c r="CA61" s="51">
        <f t="shared" si="31"/>
        <v>282.16199999999998</v>
      </c>
      <c r="CB61" s="27">
        <f t="shared" si="32"/>
        <v>0.77910028857455726</v>
      </c>
      <c r="CC61" s="27">
        <f t="shared" si="33"/>
        <v>0.10499558388547234</v>
      </c>
      <c r="CD61">
        <v>3700</v>
      </c>
      <c r="CE61">
        <v>1200</v>
      </c>
      <c r="CF61" t="s">
        <v>19</v>
      </c>
      <c r="CG61">
        <v>4900</v>
      </c>
      <c r="CH61" s="32">
        <v>2.2000000000000002</v>
      </c>
      <c r="CI61" s="32">
        <f t="shared" si="34"/>
        <v>3.9391226499552373E-2</v>
      </c>
      <c r="CJ61" s="32">
        <f t="shared" si="35"/>
        <v>3.9391226499552373E-2</v>
      </c>
      <c r="CK61" s="32">
        <v>0.9</v>
      </c>
      <c r="CL61" s="32">
        <f t="shared" si="36"/>
        <v>1.6384489350081924E-2</v>
      </c>
      <c r="CM61" s="32">
        <f t="shared" si="37"/>
        <v>3.2768978700163848E-2</v>
      </c>
      <c r="CN61" s="27">
        <v>42</v>
      </c>
      <c r="CO61" s="27">
        <f t="shared" si="38"/>
        <v>0.4372267332916927</v>
      </c>
      <c r="CP61" s="27">
        <f t="shared" si="39"/>
        <v>3.4978138663335416</v>
      </c>
      <c r="CQ61" s="57">
        <v>39</v>
      </c>
      <c r="CR61" s="57">
        <v>48.148148148148145</v>
      </c>
      <c r="CS61" s="57">
        <v>3.2479700187382883</v>
      </c>
      <c r="CT61" s="57">
        <f t="shared" si="40"/>
        <v>3.2479700187382883</v>
      </c>
      <c r="CU61" s="28">
        <v>26</v>
      </c>
      <c r="CV61" s="28">
        <v>38.235294117647058</v>
      </c>
      <c r="CW61" s="28">
        <v>2.1653133458255258</v>
      </c>
      <c r="CX61" s="28">
        <f t="shared" si="41"/>
        <v>2.1653133458255258</v>
      </c>
      <c r="CY61" s="32">
        <f t="shared" si="42"/>
        <v>22.670830730793252</v>
      </c>
      <c r="CZ61" s="32">
        <f t="shared" si="43"/>
        <v>22.670830730793252</v>
      </c>
      <c r="DA61" s="32">
        <f t="shared" si="44"/>
        <v>24.870830730793251</v>
      </c>
      <c r="DB61" s="32">
        <f t="shared" si="45"/>
        <v>0.44531478479486575</v>
      </c>
      <c r="DC61" s="32">
        <f t="shared" si="46"/>
        <v>0.44531478479486575</v>
      </c>
      <c r="DD61" s="59">
        <f t="shared" si="47"/>
        <v>15.113887153862169</v>
      </c>
      <c r="DE61" s="59">
        <f t="shared" si="48"/>
        <v>15.113887153862169</v>
      </c>
      <c r="DF61" s="59">
        <f t="shared" si="49"/>
        <v>17.313887153862169</v>
      </c>
      <c r="DG61" s="59">
        <f t="shared" si="50"/>
        <v>0.31000693202976132</v>
      </c>
      <c r="DH61" s="59">
        <f t="shared" si="51"/>
        <v>0.31000693202976132</v>
      </c>
      <c r="DI61" s="32">
        <f t="shared" si="52"/>
        <v>3.4978138663335416</v>
      </c>
      <c r="DJ61" s="32">
        <f t="shared" si="53"/>
        <v>18.213887153862167</v>
      </c>
      <c r="DK61" s="32">
        <f t="shared" si="54"/>
        <v>0.34277591072992519</v>
      </c>
      <c r="DL61">
        <f t="shared" si="60"/>
        <v>3.726053782233318</v>
      </c>
      <c r="DM61">
        <f t="shared" si="62"/>
        <v>8.794553330500457E-3</v>
      </c>
      <c r="DN61">
        <f t="shared" si="63"/>
        <v>0.11951378343442844</v>
      </c>
      <c r="DO61">
        <f t="shared" si="64"/>
        <v>0.87169166323507108</v>
      </c>
      <c r="DP61">
        <f t="shared" si="55"/>
        <v>2.5080892565554511</v>
      </c>
      <c r="DQ61">
        <f t="shared" si="65"/>
        <v>1.3065316002815613E-2</v>
      </c>
      <c r="DR61">
        <f t="shared" si="66"/>
        <v>0.12360283080814967</v>
      </c>
      <c r="DS61">
        <f t="shared" si="67"/>
        <v>0.86333185318903471</v>
      </c>
      <c r="DT61" s="63">
        <f t="shared" si="68"/>
        <v>-2.3377427251162657</v>
      </c>
      <c r="DU61" s="63">
        <f t="shared" si="69"/>
        <v>-1.1197781994383988</v>
      </c>
      <c r="DV61" s="63">
        <f t="shared" si="70"/>
        <v>-2.2327471412307931</v>
      </c>
      <c r="DW61" s="63">
        <f t="shared" si="71"/>
        <v>-1.0147826155529265</v>
      </c>
      <c r="DX61" t="str">
        <f t="shared" si="57"/>
        <v>Sufficient Capacity</v>
      </c>
      <c r="DY61" t="str">
        <f t="shared" si="58"/>
        <v>Sufficient Capacity</v>
      </c>
      <c r="DZ61" t="str">
        <f t="shared" si="59"/>
        <v>Sulfate Dominant electron acceptor</v>
      </c>
      <c r="EA61" t="str">
        <f t="shared" si="72"/>
        <v>Sulfate Dominant electron acceptor</v>
      </c>
      <c r="EB61">
        <v>9.4132869999999993E-3</v>
      </c>
      <c r="EC61">
        <v>1.602231E-3</v>
      </c>
      <c r="ED61" s="66">
        <v>4.2997339999999998E-7</v>
      </c>
      <c r="EE61">
        <v>4.284119E-4</v>
      </c>
      <c r="EF61">
        <v>4.2876119999999997E-3</v>
      </c>
      <c r="EG61" s="66">
        <v>1.7804730000000001E-5</v>
      </c>
      <c r="EH61">
        <v>2.137343E-4</v>
      </c>
      <c r="EI61" s="66">
        <v>9.9292900000000006E-5</v>
      </c>
      <c r="EJ61">
        <v>5.2355100000000003E-4</v>
      </c>
      <c r="EK61">
        <v>7.9352480000000004E-4</v>
      </c>
      <c r="EL61">
        <v>4.0630000000000001E-4</v>
      </c>
      <c r="EM61">
        <v>1.71903E-4</v>
      </c>
      <c r="EN61">
        <v>2.1359959999999998E-3</v>
      </c>
      <c r="EO61">
        <v>8.5455199999999996E-4</v>
      </c>
      <c r="EP61">
        <v>1.6070749999999999E-3</v>
      </c>
      <c r="EQ61">
        <v>1.417207E-3</v>
      </c>
      <c r="ER61">
        <v>4.1631630000000001E-4</v>
      </c>
      <c r="ES61">
        <v>6.3601339999999997E-4</v>
      </c>
      <c r="ET61">
        <v>9.1848810000000006E-3</v>
      </c>
      <c r="EU61">
        <v>2.755052E-3</v>
      </c>
      <c r="EV61">
        <v>9.4442380000000006E-3</v>
      </c>
      <c r="EW61">
        <v>5.5759690000000003E-4</v>
      </c>
      <c r="EX61">
        <v>5.1561469999999998E-3</v>
      </c>
      <c r="EY61">
        <v>6.7063940000000001E-3</v>
      </c>
      <c r="EZ61">
        <v>1.159389E-3</v>
      </c>
      <c r="FA61">
        <v>7.0812679999999995E-4</v>
      </c>
      <c r="FB61">
        <v>7.3129119999999998E-4</v>
      </c>
      <c r="FC61">
        <v>1.7809410000000001E-3</v>
      </c>
      <c r="FD61">
        <v>3.1654810000000003E-4</v>
      </c>
      <c r="FE61">
        <v>2.1981750000000001E-2</v>
      </c>
      <c r="FF61">
        <v>1.562378E-2</v>
      </c>
      <c r="FG61">
        <v>8.3181439999999995E-3</v>
      </c>
      <c r="FH61">
        <v>9.2528879999999997E-4</v>
      </c>
      <c r="FI61">
        <v>1.2949610000000001E-3</v>
      </c>
      <c r="FJ61">
        <v>1.166216E-2</v>
      </c>
      <c r="FK61">
        <v>-0.29031220230138499</v>
      </c>
      <c r="FL61">
        <v>-7.04151854815738E-2</v>
      </c>
      <c r="FM61">
        <v>0.38768151963423603</v>
      </c>
      <c r="FN61">
        <v>-0.32883850032495898</v>
      </c>
      <c r="FO61">
        <v>0.22389309288671699</v>
      </c>
      <c r="FP61">
        <v>0.16864744245834601</v>
      </c>
      <c r="FQ61">
        <v>9.8192695002036395E-2</v>
      </c>
      <c r="FR61">
        <v>-0.11457907131065299</v>
      </c>
      <c r="FS61">
        <v>-0.40268964946393798</v>
      </c>
      <c r="FT61">
        <v>4.9161785350440503E-2</v>
      </c>
      <c r="FU61">
        <v>4.5793454427046E-2</v>
      </c>
      <c r="FV61">
        <v>-0.27624641026626701</v>
      </c>
      <c r="FW61">
        <v>0.15949295605025199</v>
      </c>
      <c r="FX61">
        <v>4.9655118197137901E-2</v>
      </c>
      <c r="FY61">
        <v>-9.0510364172986094E-2</v>
      </c>
      <c r="FZ61">
        <v>5.6551897114479402E-2</v>
      </c>
      <c r="GA61">
        <v>-5.3166577787626696E-3</v>
      </c>
      <c r="GB61">
        <v>6.6155942673173498E-2</v>
      </c>
      <c r="GC61">
        <v>-0.14490057728667999</v>
      </c>
      <c r="GD61">
        <v>3.5813156654760397E-2</v>
      </c>
      <c r="GE61">
        <v>-9.8465072889011296E-3</v>
      </c>
      <c r="GF61">
        <v>-9.4267669625011805E-2</v>
      </c>
      <c r="GG61">
        <v>-0.28941342459874703</v>
      </c>
      <c r="GH61">
        <v>-0.301422259254297</v>
      </c>
      <c r="GI61">
        <v>-5.0678731776855598E-2</v>
      </c>
      <c r="GJ61">
        <v>-0.12070477136893</v>
      </c>
      <c r="GK61">
        <v>-5.9295142453144899E-2</v>
      </c>
      <c r="GL61">
        <v>4.4090633115404301E-2</v>
      </c>
      <c r="GM61">
        <v>-1.3767767402625501E-2</v>
      </c>
      <c r="GN61">
        <v>0.15433421698111999</v>
      </c>
      <c r="GO61">
        <v>-0.103333307551773</v>
      </c>
      <c r="GP61">
        <v>9.6256958115679594E-2</v>
      </c>
      <c r="GT61" s="66"/>
      <c r="GV61" s="66"/>
      <c r="GW61" s="65"/>
      <c r="GX61" s="65"/>
      <c r="HK61" s="1"/>
      <c r="HL61" s="1"/>
      <c r="HM61" s="65"/>
      <c r="HN61" s="1"/>
      <c r="HO61" s="65"/>
      <c r="HP61" s="65"/>
      <c r="HQ61" s="65"/>
      <c r="HS61" s="65"/>
      <c r="HT61" s="65"/>
      <c r="HU61" s="65"/>
      <c r="HV61" s="65"/>
      <c r="HW61" s="65"/>
      <c r="HX61" s="65"/>
      <c r="JJ61" s="66"/>
      <c r="JL61" s="66"/>
      <c r="JN61" s="66"/>
    </row>
    <row r="62" spans="1:278" ht="15.75" x14ac:dyDescent="0.25">
      <c r="A62" s="4" t="s">
        <v>115</v>
      </c>
      <c r="B62" s="4" t="s">
        <v>115</v>
      </c>
      <c r="C62" s="2" t="s">
        <v>815</v>
      </c>
      <c r="D62" s="2" t="s">
        <v>504</v>
      </c>
      <c r="E62" s="2" t="s">
        <v>504</v>
      </c>
      <c r="F62" s="2">
        <v>61</v>
      </c>
      <c r="G62" s="2" t="s">
        <v>814</v>
      </c>
      <c r="H62" s="10" t="s">
        <v>656</v>
      </c>
      <c r="I62" s="2">
        <v>150</v>
      </c>
      <c r="J62" s="2">
        <v>65</v>
      </c>
      <c r="K62" s="2">
        <v>9.1</v>
      </c>
      <c r="L62" t="s">
        <v>286</v>
      </c>
      <c r="M62" s="2" t="s">
        <v>1120</v>
      </c>
      <c r="N62" s="2" t="s">
        <v>435</v>
      </c>
      <c r="O62" s="2" t="s">
        <v>673</v>
      </c>
      <c r="P62" s="2" t="s">
        <v>1127</v>
      </c>
      <c r="Q62" s="9" t="s">
        <v>674</v>
      </c>
      <c r="R62" s="2" t="str">
        <f t="shared" si="0"/>
        <v>CW_1_Section_3</v>
      </c>
      <c r="S62" s="2" t="str">
        <f t="shared" si="1"/>
        <v>CW_1_MF09</v>
      </c>
      <c r="T62" s="11" t="s">
        <v>798</v>
      </c>
      <c r="U62" s="1">
        <v>45643</v>
      </c>
      <c r="V62" s="2" t="s">
        <v>799</v>
      </c>
      <c r="W62" s="2" t="s">
        <v>655</v>
      </c>
      <c r="X62" s="2" t="s">
        <v>797</v>
      </c>
      <c r="Y62" s="2" t="str">
        <f t="shared" si="2"/>
        <v>T2_MF09</v>
      </c>
      <c r="Z62" s="2" t="str">
        <f t="shared" si="3"/>
        <v>T2_CW_1_MF09</v>
      </c>
      <c r="AA62" s="2" t="str">
        <f t="shared" si="4"/>
        <v>T2_0.15-0.30</v>
      </c>
      <c r="AB62" s="2">
        <v>127</v>
      </c>
      <c r="AC62" s="2">
        <v>4.1769999999999996</v>
      </c>
      <c r="AD62" s="2">
        <v>-0.76</v>
      </c>
      <c r="AE62" s="2">
        <v>2</v>
      </c>
      <c r="AF62" t="s">
        <v>21</v>
      </c>
      <c r="AG62" t="s">
        <v>1237</v>
      </c>
      <c r="AH62">
        <v>65</v>
      </c>
      <c r="AI62">
        <v>26</v>
      </c>
      <c r="AJ62">
        <v>0.93</v>
      </c>
      <c r="AK62">
        <v>3.08</v>
      </c>
      <c r="AL62">
        <v>9.8000000000000007</v>
      </c>
      <c r="AM62">
        <v>-108</v>
      </c>
      <c r="AN62">
        <v>7.09</v>
      </c>
      <c r="AO62">
        <v>855</v>
      </c>
      <c r="AP62">
        <v>0.2</v>
      </c>
      <c r="AQ62">
        <v>0.01</v>
      </c>
      <c r="AR62">
        <v>9.8000000000000007</v>
      </c>
      <c r="AS62">
        <v>9.8000000000000007</v>
      </c>
      <c r="AT62">
        <v>330</v>
      </c>
      <c r="AU62" s="32">
        <f t="shared" si="16"/>
        <v>0.12674433491230316</v>
      </c>
      <c r="AV62">
        <v>0.5</v>
      </c>
      <c r="AW62" s="32">
        <f t="shared" si="61"/>
        <v>1.9535489472541785E-4</v>
      </c>
      <c r="AX62">
        <v>130</v>
      </c>
      <c r="AY62" s="32">
        <f t="shared" si="17"/>
        <v>5.1426956767448434E-2</v>
      </c>
      <c r="AZ62">
        <v>140</v>
      </c>
      <c r="BA62" s="32">
        <f t="shared" si="18"/>
        <v>5.5382876518790619E-2</v>
      </c>
      <c r="BB62">
        <v>65</v>
      </c>
      <c r="BC62" s="32">
        <f t="shared" si="19"/>
        <v>2.5713478383724217E-2</v>
      </c>
      <c r="BD62">
        <v>205</v>
      </c>
      <c r="BF62" s="48">
        <v>668.5</v>
      </c>
      <c r="BG62" s="48">
        <f t="shared" si="20"/>
        <v>0.17836664657447701</v>
      </c>
      <c r="BH62">
        <v>230</v>
      </c>
      <c r="BI62" s="32">
        <f t="shared" si="21"/>
        <v>8.6135601154716385E-2</v>
      </c>
      <c r="BJ62" s="47">
        <v>320</v>
      </c>
      <c r="BK62" s="27">
        <f t="shared" si="22"/>
        <v>0.11984083638917062</v>
      </c>
      <c r="BL62" s="47">
        <v>0.01</v>
      </c>
      <c r="BM62" s="27">
        <f t="shared" si="23"/>
        <v>3.6796110125501018E-6</v>
      </c>
      <c r="BN62" s="47">
        <v>0.01</v>
      </c>
      <c r="BO62" s="27">
        <f t="shared" si="24"/>
        <v>3.7611049867064394E-6</v>
      </c>
      <c r="BP62" s="47">
        <v>5.0000000000000001E-3</v>
      </c>
      <c r="BQ62" s="27">
        <f t="shared" si="25"/>
        <v>1.8649981951630372E-6</v>
      </c>
      <c r="BR62" s="47">
        <v>1E-3</v>
      </c>
      <c r="BS62" s="27">
        <f t="shared" si="26"/>
        <v>3.7030802895135499E-7</v>
      </c>
      <c r="BT62" s="47">
        <v>1E-3</v>
      </c>
      <c r="BU62" s="27">
        <f t="shared" si="27"/>
        <v>3.7030802895135499E-7</v>
      </c>
      <c r="BV62" s="47">
        <v>1E-3</v>
      </c>
      <c r="BW62" s="27">
        <f t="shared" si="28"/>
        <v>3.6588380716934485E-7</v>
      </c>
      <c r="BX62" s="47">
        <v>2E-3</v>
      </c>
      <c r="BY62" s="27">
        <f t="shared" si="29"/>
        <v>7.3176761433868969E-7</v>
      </c>
      <c r="BZ62" s="51">
        <f t="shared" si="30"/>
        <v>320.02999999999992</v>
      </c>
      <c r="CA62" s="51">
        <f t="shared" si="31"/>
        <v>3.0000000000000006E-2</v>
      </c>
      <c r="CB62" s="27">
        <f t="shared" si="32"/>
        <v>0.11985198037084445</v>
      </c>
      <c r="CC62" s="27">
        <f t="shared" si="33"/>
        <v>1.1143981673830322E-5</v>
      </c>
      <c r="CD62">
        <v>460</v>
      </c>
      <c r="CE62">
        <v>25</v>
      </c>
      <c r="CF62" t="s">
        <v>19</v>
      </c>
      <c r="CG62">
        <v>500</v>
      </c>
      <c r="CH62" s="32">
        <v>23</v>
      </c>
      <c r="CI62" s="32">
        <f t="shared" si="34"/>
        <v>0.41181736794986568</v>
      </c>
      <c r="CJ62" s="32">
        <f t="shared" si="35"/>
        <v>0.41181736794986568</v>
      </c>
      <c r="CK62" s="32">
        <v>3.6</v>
      </c>
      <c r="CL62" s="32">
        <f t="shared" si="36"/>
        <v>6.5537957400327695E-2</v>
      </c>
      <c r="CM62" s="32">
        <f t="shared" si="37"/>
        <v>0.13107591480065539</v>
      </c>
      <c r="CN62" s="27">
        <v>0.5</v>
      </c>
      <c r="CO62" s="27">
        <f t="shared" si="38"/>
        <v>5.2050801582344368E-3</v>
      </c>
      <c r="CP62" s="27">
        <f t="shared" si="39"/>
        <v>4.1640641265875494E-2</v>
      </c>
      <c r="CQ62" s="57">
        <v>80.5</v>
      </c>
      <c r="CR62" s="57">
        <v>99.382716049382708</v>
      </c>
      <c r="CS62" s="57">
        <v>6.7041432438059543</v>
      </c>
      <c r="CT62" s="57">
        <f t="shared" si="40"/>
        <v>6.7041432438059543</v>
      </c>
      <c r="CU62" s="28">
        <v>15.5</v>
      </c>
      <c r="CV62" s="28">
        <v>96.875</v>
      </c>
      <c r="CW62" s="28">
        <v>1.2908598792421404</v>
      </c>
      <c r="CX62" s="28">
        <f t="shared" si="41"/>
        <v>1.2908598792421404</v>
      </c>
      <c r="CY62" s="32">
        <f t="shared" si="42"/>
        <v>46.794919841765562</v>
      </c>
      <c r="CZ62" s="32">
        <f t="shared" si="43"/>
        <v>46.794919841765562</v>
      </c>
      <c r="DA62" s="32">
        <f t="shared" si="44"/>
        <v>69.794919841765562</v>
      </c>
      <c r="DB62" s="32">
        <f t="shared" si="45"/>
        <v>1.2496852254568587</v>
      </c>
      <c r="DC62" s="32">
        <f t="shared" si="46"/>
        <v>1.2496852254568587</v>
      </c>
      <c r="DD62" s="59">
        <f t="shared" si="47"/>
        <v>9.010201957110139</v>
      </c>
      <c r="DE62" s="59">
        <f t="shared" si="48"/>
        <v>9.010201957110139</v>
      </c>
      <c r="DF62" s="59">
        <f t="shared" si="49"/>
        <v>32.010201957110141</v>
      </c>
      <c r="DG62" s="59">
        <f t="shared" si="50"/>
        <v>0.57314596163133646</v>
      </c>
      <c r="DH62" s="59">
        <f t="shared" si="51"/>
        <v>0.57314596163133646</v>
      </c>
      <c r="DI62" s="32">
        <f t="shared" si="52"/>
        <v>4.1640641265875494E-2</v>
      </c>
      <c r="DJ62" s="32">
        <f t="shared" si="53"/>
        <v>35.610201957110142</v>
      </c>
      <c r="DK62" s="32">
        <f t="shared" si="54"/>
        <v>0.70422187643199186</v>
      </c>
      <c r="DL62">
        <f t="shared" si="60"/>
        <v>8.0849043840634689</v>
      </c>
      <c r="DM62">
        <f t="shared" si="62"/>
        <v>1.6212426093625203E-2</v>
      </c>
      <c r="DN62">
        <f t="shared" si="63"/>
        <v>0.15457019231052024</v>
      </c>
      <c r="DO62">
        <f t="shared" si="64"/>
        <v>0.82921738159585445</v>
      </c>
      <c r="DP62">
        <f t="shared" si="55"/>
        <v>1.9950817556741323</v>
      </c>
      <c r="DQ62">
        <f t="shared" si="65"/>
        <v>6.5699520547399942E-2</v>
      </c>
      <c r="DR62">
        <f t="shared" si="66"/>
        <v>0.28727943604379869</v>
      </c>
      <c r="DS62">
        <f t="shared" si="67"/>
        <v>0.6470210434088014</v>
      </c>
      <c r="DT62" s="63">
        <f t="shared" si="68"/>
        <v>-7.8204021363342751</v>
      </c>
      <c r="DU62" s="63">
        <f t="shared" si="69"/>
        <v>-1.7305795079449389</v>
      </c>
      <c r="DV62" s="63">
        <f t="shared" si="70"/>
        <v>-7.8203909923526016</v>
      </c>
      <c r="DW62" s="63">
        <f t="shared" si="71"/>
        <v>-1.730568363963265</v>
      </c>
      <c r="DX62" t="str">
        <f t="shared" si="57"/>
        <v>Sufficient Capacity</v>
      </c>
      <c r="DY62" t="str">
        <f t="shared" si="58"/>
        <v>Sufficient Capacity</v>
      </c>
      <c r="DZ62" t="str">
        <f t="shared" si="59"/>
        <v>Sulfate Dominant electron acceptor</v>
      </c>
      <c r="EA62" t="str">
        <f t="shared" si="72"/>
        <v>Sulfate Dominant electron acceptor</v>
      </c>
      <c r="EB62">
        <v>9.9098559999999999E-3</v>
      </c>
      <c r="EC62">
        <v>1.4392630000000001E-3</v>
      </c>
      <c r="ED62" s="66">
        <v>9.7287000000000006E-7</v>
      </c>
      <c r="EE62">
        <v>5.0834830000000004E-4</v>
      </c>
      <c r="EF62">
        <v>3.4973489999999999E-3</v>
      </c>
      <c r="EG62" s="66">
        <v>5.1870270000000002E-6</v>
      </c>
      <c r="EH62">
        <v>2.7230610000000003E-4</v>
      </c>
      <c r="EI62" s="66">
        <v>9.756027E-5</v>
      </c>
      <c r="EJ62">
        <v>4.5478130000000002E-4</v>
      </c>
      <c r="EK62">
        <v>6.9856279999999996E-4</v>
      </c>
      <c r="EL62">
        <v>3.2269759999999998E-4</v>
      </c>
      <c r="EM62">
        <v>1.7504439999999999E-4</v>
      </c>
      <c r="EN62">
        <v>1.968446E-3</v>
      </c>
      <c r="EO62">
        <v>7.0826259999999996E-4</v>
      </c>
      <c r="EP62">
        <v>1.802845E-3</v>
      </c>
      <c r="EQ62">
        <v>1.4245340000000001E-3</v>
      </c>
      <c r="ER62">
        <v>3.1438080000000001E-4</v>
      </c>
      <c r="ES62">
        <v>5.7405680000000004E-4</v>
      </c>
      <c r="ET62">
        <v>1.398247E-2</v>
      </c>
      <c r="EU62">
        <v>3.3971280000000001E-3</v>
      </c>
      <c r="EV62">
        <v>9.1864790000000009E-3</v>
      </c>
      <c r="EW62">
        <v>5.3650949999999996E-4</v>
      </c>
      <c r="EX62">
        <v>5.1860769999999999E-3</v>
      </c>
      <c r="EY62">
        <v>6.7884979999999996E-3</v>
      </c>
      <c r="EZ62">
        <v>1.035567E-3</v>
      </c>
      <c r="FA62">
        <v>8.6965760000000001E-4</v>
      </c>
      <c r="FB62">
        <v>9.0215870000000004E-4</v>
      </c>
      <c r="FC62">
        <v>1.849194E-3</v>
      </c>
      <c r="FD62">
        <v>3.0646889999999999E-4</v>
      </c>
      <c r="FE62">
        <v>2.1382660000000001E-2</v>
      </c>
      <c r="FF62">
        <v>1.344482E-2</v>
      </c>
      <c r="FG62">
        <v>7.2272300000000003E-3</v>
      </c>
      <c r="FH62">
        <v>8.6875609999999997E-4</v>
      </c>
      <c r="FI62">
        <v>1.354166E-3</v>
      </c>
      <c r="FJ62">
        <v>9.6045469999999997E-3</v>
      </c>
      <c r="FK62">
        <v>-0.119230475704033</v>
      </c>
      <c r="FL62">
        <v>-0.27413986715143501</v>
      </c>
      <c r="FM62">
        <v>-0.84562193202411995</v>
      </c>
      <c r="FN62">
        <v>-8.6645353960267193E-2</v>
      </c>
      <c r="FO62">
        <v>0.206289365766962</v>
      </c>
      <c r="FP62">
        <v>2.7829639746014E-2</v>
      </c>
      <c r="FQ62">
        <v>-2.9267016815201601E-2</v>
      </c>
      <c r="FR62">
        <v>-0.344955212522293</v>
      </c>
      <c r="FS62">
        <v>-0.38458035767823601</v>
      </c>
      <c r="FT62">
        <v>-3.2526864116053197E-2</v>
      </c>
      <c r="FU62">
        <v>-0.141968971697159</v>
      </c>
      <c r="FV62">
        <v>-0.16129619405343601</v>
      </c>
      <c r="FW62">
        <v>0.16464966543116599</v>
      </c>
      <c r="FX62">
        <v>-0.23118519970520501</v>
      </c>
      <c r="FY62">
        <v>-0.19300165034583999</v>
      </c>
      <c r="FZ62">
        <v>0.47679753660992502</v>
      </c>
      <c r="GA62">
        <v>0.20417739379606001</v>
      </c>
      <c r="GB62">
        <v>3.8483851693455598E-2</v>
      </c>
      <c r="GC62">
        <v>-0.18345260790013601</v>
      </c>
      <c r="GD62">
        <v>4.1601096184043E-2</v>
      </c>
      <c r="GE62">
        <v>2.3218024800293301E-3</v>
      </c>
      <c r="GF62">
        <v>-0.207211709035105</v>
      </c>
      <c r="GG62">
        <v>-8.3937027337972495E-2</v>
      </c>
      <c r="GH62">
        <v>-9.1443551156644695E-2</v>
      </c>
      <c r="GI62">
        <v>-1.3070739598832801E-2</v>
      </c>
      <c r="GJ62">
        <v>-0.15306369409092299</v>
      </c>
      <c r="GK62">
        <v>-8.6927392894289704E-2</v>
      </c>
      <c r="GL62">
        <v>-0.10610957770398401</v>
      </c>
      <c r="GM62">
        <v>-0.154351083532553</v>
      </c>
      <c r="GN62">
        <v>9.1290730418902996E-2</v>
      </c>
      <c r="GO62">
        <v>-5.8628119739734301E-2</v>
      </c>
      <c r="GP62">
        <v>-9.7855822191450101E-2</v>
      </c>
      <c r="GR62" s="66"/>
      <c r="GT62" s="66"/>
      <c r="GV62" s="66"/>
      <c r="GZ62" s="66"/>
      <c r="HK62" s="1"/>
      <c r="HL62" s="1"/>
      <c r="HM62" s="1"/>
      <c r="HN62" s="1"/>
      <c r="HO62" s="65"/>
      <c r="HP62" s="65"/>
      <c r="HQ62" s="65"/>
      <c r="HS62" s="65"/>
      <c r="HT62" s="65"/>
      <c r="HU62" s="65"/>
      <c r="HV62" s="65"/>
      <c r="HW62" s="65"/>
      <c r="HX62" s="65"/>
      <c r="IX62" s="66"/>
      <c r="IZ62" s="66"/>
      <c r="JB62" s="66"/>
      <c r="JD62" s="66"/>
      <c r="JF62" s="66"/>
      <c r="JH62" s="66"/>
      <c r="JJ62" s="66"/>
      <c r="JL62" s="66"/>
      <c r="JN62" s="66"/>
      <c r="JP62" s="66"/>
      <c r="JR62" s="66"/>
    </row>
    <row r="63" spans="1:278" ht="15.75" x14ac:dyDescent="0.25">
      <c r="A63" s="4" t="s">
        <v>116</v>
      </c>
      <c r="B63" s="4" t="s">
        <v>116</v>
      </c>
      <c r="C63" s="2" t="s">
        <v>817</v>
      </c>
      <c r="D63" s="2" t="s">
        <v>505</v>
      </c>
      <c r="E63" s="2" t="s">
        <v>505</v>
      </c>
      <c r="F63" s="2">
        <v>62</v>
      </c>
      <c r="G63" s="2" t="s">
        <v>816</v>
      </c>
      <c r="H63" s="10" t="s">
        <v>656</v>
      </c>
      <c r="I63" s="2">
        <v>150</v>
      </c>
      <c r="J63" s="2">
        <v>65</v>
      </c>
      <c r="K63" s="2">
        <v>28.1</v>
      </c>
      <c r="L63" t="s">
        <v>287</v>
      </c>
      <c r="M63" s="2" t="s">
        <v>1120</v>
      </c>
      <c r="N63" s="2" t="s">
        <v>435</v>
      </c>
      <c r="O63" s="2" t="s">
        <v>673</v>
      </c>
      <c r="P63" s="2" t="s">
        <v>1128</v>
      </c>
      <c r="Q63" s="9" t="s">
        <v>677</v>
      </c>
      <c r="R63" s="2" t="str">
        <f t="shared" si="0"/>
        <v>CW_1_Section_3</v>
      </c>
      <c r="S63" s="2" t="str">
        <f t="shared" si="1"/>
        <v>CW_1_MF10</v>
      </c>
      <c r="T63" s="11" t="s">
        <v>798</v>
      </c>
      <c r="U63" s="1">
        <v>45643</v>
      </c>
      <c r="V63" s="2" t="s">
        <v>799</v>
      </c>
      <c r="W63" s="2" t="s">
        <v>663</v>
      </c>
      <c r="X63" s="2" t="s">
        <v>797</v>
      </c>
      <c r="Y63" s="2" t="str">
        <f t="shared" si="2"/>
        <v>T2_MF10</v>
      </c>
      <c r="Z63" s="2" t="str">
        <f t="shared" si="3"/>
        <v>T2_CW_1_MF10</v>
      </c>
      <c r="AA63" s="2" t="str">
        <f t="shared" si="4"/>
        <v>T2_0.60-0.80</v>
      </c>
      <c r="AB63" s="2">
        <v>127</v>
      </c>
      <c r="AC63" s="2">
        <v>4.1769999999999996</v>
      </c>
      <c r="AD63" s="2">
        <v>-0.76</v>
      </c>
      <c r="AE63" s="2">
        <v>2</v>
      </c>
      <c r="AF63" t="s">
        <v>23</v>
      </c>
      <c r="AG63" t="s">
        <v>1237</v>
      </c>
      <c r="AH63">
        <v>67</v>
      </c>
      <c r="AI63">
        <v>28</v>
      </c>
      <c r="AJ63">
        <v>0.53</v>
      </c>
      <c r="AK63">
        <v>0.42</v>
      </c>
      <c r="AL63">
        <v>9.5</v>
      </c>
      <c r="AM63">
        <v>-112</v>
      </c>
      <c r="AN63">
        <v>7.18</v>
      </c>
      <c r="AO63">
        <v>950</v>
      </c>
      <c r="AP63">
        <v>0.2</v>
      </c>
      <c r="AQ63">
        <v>0.01</v>
      </c>
      <c r="AR63">
        <v>11</v>
      </c>
      <c r="AS63">
        <v>11</v>
      </c>
      <c r="AT63">
        <v>560</v>
      </c>
      <c r="AU63" s="32">
        <f t="shared" si="16"/>
        <v>0.21508129560875688</v>
      </c>
      <c r="AV63">
        <v>1</v>
      </c>
      <c r="AW63" s="32">
        <f t="shared" si="61"/>
        <v>3.9070978945083569E-4</v>
      </c>
      <c r="AX63">
        <v>370</v>
      </c>
      <c r="AY63" s="32">
        <f t="shared" si="17"/>
        <v>0.14636903079966093</v>
      </c>
      <c r="AZ63">
        <v>220</v>
      </c>
      <c r="BA63" s="32">
        <f t="shared" si="18"/>
        <v>8.7030234529528114E-2</v>
      </c>
      <c r="BB63">
        <v>130</v>
      </c>
      <c r="BC63" s="32">
        <f t="shared" si="19"/>
        <v>5.1426956767448434E-2</v>
      </c>
      <c r="BD63">
        <v>350</v>
      </c>
      <c r="BF63" s="48">
        <v>1287</v>
      </c>
      <c r="BG63" s="48">
        <f t="shared" si="20"/>
        <v>0.36184103619786867</v>
      </c>
      <c r="BH63">
        <v>2200</v>
      </c>
      <c r="BI63" s="32">
        <f t="shared" si="21"/>
        <v>0.82390575017554801</v>
      </c>
      <c r="BJ63" s="47">
        <v>1700</v>
      </c>
      <c r="BK63" s="27">
        <f t="shared" si="22"/>
        <v>0.63665444331746901</v>
      </c>
      <c r="BL63" s="47">
        <v>85</v>
      </c>
      <c r="BM63" s="27">
        <f t="shared" si="23"/>
        <v>3.1276693606675864E-2</v>
      </c>
      <c r="BN63" s="47">
        <v>75</v>
      </c>
      <c r="BO63" s="27">
        <f t="shared" si="24"/>
        <v>2.8208287400298297E-2</v>
      </c>
      <c r="BP63" s="47">
        <v>2</v>
      </c>
      <c r="BQ63" s="27">
        <f t="shared" si="25"/>
        <v>7.4599927806521475E-4</v>
      </c>
      <c r="BR63" s="47">
        <v>1.6</v>
      </c>
      <c r="BS63" s="27">
        <f t="shared" si="26"/>
        <v>5.9249284632216796E-4</v>
      </c>
      <c r="BT63" s="47">
        <v>0.17</v>
      </c>
      <c r="BU63" s="27">
        <f t="shared" si="27"/>
        <v>6.2952364921730342E-5</v>
      </c>
      <c r="BV63" s="47">
        <v>0.04</v>
      </c>
      <c r="BW63" s="27">
        <f t="shared" si="28"/>
        <v>1.4635352286773795E-5</v>
      </c>
      <c r="BX63" s="47">
        <v>2E-3</v>
      </c>
      <c r="BY63" s="27">
        <f t="shared" si="29"/>
        <v>7.3176761433868969E-7</v>
      </c>
      <c r="BZ63" s="51">
        <f t="shared" si="30"/>
        <v>1863.8119999999999</v>
      </c>
      <c r="CA63" s="51">
        <f t="shared" si="31"/>
        <v>163.81199999999998</v>
      </c>
      <c r="CB63" s="27">
        <f t="shared" si="32"/>
        <v>0.69755623593365335</v>
      </c>
      <c r="CC63" s="27">
        <f t="shared" si="33"/>
        <v>6.0901792616184384E-2</v>
      </c>
      <c r="CD63">
        <v>3200</v>
      </c>
      <c r="CE63">
        <v>770</v>
      </c>
      <c r="CF63" t="s">
        <v>19</v>
      </c>
      <c r="CG63">
        <v>4000</v>
      </c>
      <c r="CH63" s="32">
        <v>1.7</v>
      </c>
      <c r="CI63" s="32">
        <f t="shared" si="34"/>
        <v>3.0438675022381376E-2</v>
      </c>
      <c r="CJ63" s="32">
        <f t="shared" si="35"/>
        <v>3.0438675022381376E-2</v>
      </c>
      <c r="CK63" s="32">
        <v>1.6</v>
      </c>
      <c r="CL63" s="32">
        <f t="shared" si="36"/>
        <v>2.912798106681231E-2</v>
      </c>
      <c r="CM63" s="32">
        <f t="shared" si="37"/>
        <v>5.825596213362462E-2</v>
      </c>
      <c r="CN63" s="27">
        <v>50</v>
      </c>
      <c r="CO63" s="27">
        <f t="shared" si="38"/>
        <v>0.52050801582344364</v>
      </c>
      <c r="CP63" s="27">
        <f t="shared" si="39"/>
        <v>4.1640641265875491</v>
      </c>
      <c r="CQ63" s="57">
        <v>31</v>
      </c>
      <c r="CR63" s="57">
        <v>38.271604938271601</v>
      </c>
      <c r="CS63" s="57">
        <v>2.5817197584842808</v>
      </c>
      <c r="CT63" s="57">
        <f t="shared" si="40"/>
        <v>2.5817197584842808</v>
      </c>
      <c r="CU63" s="28">
        <v>-8</v>
      </c>
      <c r="CV63" s="28">
        <v>-19.047619047619047</v>
      </c>
      <c r="CW63" s="28">
        <v>-0.66625026025400791</v>
      </c>
      <c r="CX63" s="28">
        <f t="shared" si="41"/>
        <v>0</v>
      </c>
      <c r="CY63" s="32">
        <f t="shared" si="42"/>
        <v>18.020403914220278</v>
      </c>
      <c r="CZ63" s="32">
        <f t="shared" si="43"/>
        <v>18.020403914220278</v>
      </c>
      <c r="DA63" s="32">
        <f t="shared" si="44"/>
        <v>19.720403914220277</v>
      </c>
      <c r="DB63" s="32">
        <f t="shared" si="45"/>
        <v>0.35309586238532276</v>
      </c>
      <c r="DC63" s="32">
        <f t="shared" si="46"/>
        <v>0.35309586238532276</v>
      </c>
      <c r="DD63" s="59">
        <f t="shared" si="47"/>
        <v>-4.650426816572975</v>
      </c>
      <c r="DE63" s="59">
        <f t="shared" si="48"/>
        <v>0</v>
      </c>
      <c r="DF63" s="59">
        <f t="shared" si="49"/>
        <v>1.7</v>
      </c>
      <c r="DG63" s="59">
        <f t="shared" si="50"/>
        <v>3.0438675022381376E-2</v>
      </c>
      <c r="DH63" s="59">
        <f t="shared" si="51"/>
        <v>3.0438675022381376E-2</v>
      </c>
      <c r="DI63" s="32">
        <f t="shared" si="52"/>
        <v>4.1640641265875491</v>
      </c>
      <c r="DJ63" s="32">
        <f t="shared" si="53"/>
        <v>3.3</v>
      </c>
      <c r="DK63" s="32">
        <f t="shared" si="54"/>
        <v>8.8694637156005993E-2</v>
      </c>
      <c r="DL63">
        <f t="shared" si="60"/>
        <v>2.9930715830032284</v>
      </c>
      <c r="DM63">
        <f t="shared" si="62"/>
        <v>1.9463604701084686E-2</v>
      </c>
      <c r="DN63">
        <f t="shared" si="63"/>
        <v>0.11797107172125455</v>
      </c>
      <c r="DO63">
        <f t="shared" si="64"/>
        <v>0.86256532357766069</v>
      </c>
      <c r="DP63">
        <f t="shared" si="55"/>
        <v>8.8694637156005993E-2</v>
      </c>
      <c r="DQ63">
        <f t="shared" si="65"/>
        <v>0.65681493269043489</v>
      </c>
      <c r="DR63">
        <f t="shared" si="66"/>
        <v>0.34318506730956516</v>
      </c>
      <c r="DS63">
        <f t="shared" si="67"/>
        <v>0</v>
      </c>
      <c r="DT63" s="63">
        <f t="shared" si="68"/>
        <v>-1.8073247966298118</v>
      </c>
      <c r="DU63" s="63">
        <f t="shared" si="69"/>
        <v>1.0970521492174106</v>
      </c>
      <c r="DV63" s="63">
        <f t="shared" si="70"/>
        <v>-1.7464230040136275</v>
      </c>
      <c r="DW63" s="63">
        <f t="shared" si="71"/>
        <v>1.1579539418335949</v>
      </c>
      <c r="DX63" t="str">
        <f t="shared" si="57"/>
        <v>Sufficient Capacity</v>
      </c>
      <c r="DY63" t="str">
        <f t="shared" si="58"/>
        <v>Insufficient Capacity</v>
      </c>
      <c r="DZ63" t="str">
        <f t="shared" si="59"/>
        <v>Sulfate Dominant electron acceptor</v>
      </c>
      <c r="EA63" t="str">
        <f t="shared" si="72"/>
        <v>Iron Dominant electron acceptor</v>
      </c>
      <c r="EB63">
        <v>8.2375929999999997E-3</v>
      </c>
      <c r="EC63">
        <v>1.7698970000000001E-3</v>
      </c>
      <c r="ED63">
        <v>2.9455749999999999E-4</v>
      </c>
      <c r="EE63">
        <v>1.2157349999999999E-3</v>
      </c>
      <c r="EF63">
        <v>7.257678E-3</v>
      </c>
      <c r="EG63" s="66">
        <v>5.4307200000000001E-5</v>
      </c>
      <c r="EH63">
        <v>5.7671299999999997E-4</v>
      </c>
      <c r="EI63">
        <v>1.210161E-4</v>
      </c>
      <c r="EJ63">
        <v>8.2388369999999999E-4</v>
      </c>
      <c r="EK63">
        <v>1.2284290000000001E-3</v>
      </c>
      <c r="EL63">
        <v>9.4643020000000002E-4</v>
      </c>
      <c r="EM63">
        <v>6.2939210000000003E-4</v>
      </c>
      <c r="EN63">
        <v>2.4145120000000002E-3</v>
      </c>
      <c r="EO63">
        <v>1.0557819999999999E-3</v>
      </c>
      <c r="EP63">
        <v>3.157497E-3</v>
      </c>
      <c r="EQ63">
        <v>9.8678070000000006E-4</v>
      </c>
      <c r="ER63">
        <v>6.3526079999999996E-4</v>
      </c>
      <c r="ES63">
        <v>1.2337870000000001E-3</v>
      </c>
      <c r="ET63">
        <v>6.4888039999999999E-3</v>
      </c>
      <c r="EU63">
        <v>2.5326939999999998E-3</v>
      </c>
      <c r="EV63">
        <v>7.3957169999999996E-3</v>
      </c>
      <c r="EW63">
        <v>9.2688380000000004E-4</v>
      </c>
      <c r="EX63">
        <v>4.5800090000000003E-3</v>
      </c>
      <c r="EY63">
        <v>7.3959070000000002E-3</v>
      </c>
      <c r="EZ63">
        <v>2.0382999999999998E-3</v>
      </c>
      <c r="FA63">
        <v>1.5868900000000001E-3</v>
      </c>
      <c r="FB63">
        <v>1.665354E-3</v>
      </c>
      <c r="FC63">
        <v>2.0065700000000001E-3</v>
      </c>
      <c r="FD63">
        <v>5.7629260000000005E-4</v>
      </c>
      <c r="FE63">
        <v>2.8691600000000001E-2</v>
      </c>
      <c r="FF63">
        <v>1.500454E-2</v>
      </c>
      <c r="FG63">
        <v>9.0993059999999997E-3</v>
      </c>
      <c r="FH63">
        <v>8.1992149999999999E-4</v>
      </c>
      <c r="FI63">
        <v>1.7211469999999999E-3</v>
      </c>
      <c r="FJ63">
        <v>1.033973E-2</v>
      </c>
      <c r="FK63">
        <v>0.75270679287789599</v>
      </c>
      <c r="FL63">
        <v>0.45591482288650598</v>
      </c>
      <c r="FM63">
        <v>1.5028741821339799</v>
      </c>
      <c r="FN63">
        <v>0.66377258726506405</v>
      </c>
      <c r="FO63">
        <v>0.42174261949196801</v>
      </c>
      <c r="FP63">
        <v>0.62204237486092895</v>
      </c>
      <c r="FQ63">
        <v>0.53519929781901798</v>
      </c>
      <c r="FR63">
        <v>0.73102634824801205</v>
      </c>
      <c r="FS63">
        <v>0.89513441920761705</v>
      </c>
      <c r="FT63">
        <v>0.17172593320561</v>
      </c>
      <c r="FU63">
        <v>0.25725310298291099</v>
      </c>
      <c r="FV63">
        <v>0.39911745837551599</v>
      </c>
      <c r="FW63">
        <v>-0.202502529949705</v>
      </c>
      <c r="FX63">
        <v>0.47224543354319498</v>
      </c>
      <c r="FY63">
        <v>0.57211358369274601</v>
      </c>
      <c r="FZ63">
        <v>-0.29092863534170399</v>
      </c>
      <c r="GA63">
        <v>-8.9469416625799894E-2</v>
      </c>
      <c r="GB63">
        <v>-0.17834782855213799</v>
      </c>
      <c r="GC63">
        <v>0.36329132993885199</v>
      </c>
      <c r="GD63">
        <v>-8.2675475299334195E-2</v>
      </c>
      <c r="GE63">
        <v>8.8018832119067802E-2</v>
      </c>
      <c r="GF63">
        <v>0.469955315270083</v>
      </c>
      <c r="GG63">
        <v>0.51749480665275605</v>
      </c>
      <c r="GH63">
        <v>0.52155899433473796</v>
      </c>
      <c r="GI63">
        <v>6.8606188655631506E-2</v>
      </c>
      <c r="GJ63">
        <v>0.47843554169602498</v>
      </c>
      <c r="GK63">
        <v>0.207096690905056</v>
      </c>
      <c r="GL63">
        <v>3.6493425159021E-3</v>
      </c>
      <c r="GM63">
        <v>7.5991226451005603E-2</v>
      </c>
      <c r="GN63">
        <v>3.34369159502277E-2</v>
      </c>
      <c r="GO63">
        <v>0.181177042618173</v>
      </c>
      <c r="GP63">
        <v>-2.4098697810125601E-2</v>
      </c>
      <c r="GR63" s="66"/>
      <c r="GT63" s="66"/>
      <c r="GV63" s="66"/>
      <c r="GW63" s="65"/>
      <c r="GX63" s="65"/>
      <c r="HK63" s="1"/>
      <c r="HL63" s="1"/>
      <c r="HM63" s="65"/>
      <c r="HN63" s="1"/>
      <c r="HO63" s="65"/>
      <c r="HP63" s="65"/>
      <c r="HQ63" s="65"/>
      <c r="HS63" s="65"/>
      <c r="HV63" s="65"/>
      <c r="HW63" s="65"/>
      <c r="HX63" s="65"/>
    </row>
    <row r="64" spans="1:278" ht="15.75" x14ac:dyDescent="0.25">
      <c r="A64" s="4" t="s">
        <v>117</v>
      </c>
      <c r="B64" s="4" t="s">
        <v>117</v>
      </c>
      <c r="C64" s="2" t="s">
        <v>819</v>
      </c>
      <c r="D64" s="2" t="s">
        <v>506</v>
      </c>
      <c r="E64" s="2" t="s">
        <v>506</v>
      </c>
      <c r="F64" s="2">
        <v>63</v>
      </c>
      <c r="G64" s="2" t="s">
        <v>818</v>
      </c>
      <c r="H64" s="10" t="s">
        <v>656</v>
      </c>
      <c r="I64" s="2">
        <v>150</v>
      </c>
      <c r="J64" s="2">
        <v>65</v>
      </c>
      <c r="K64" s="2">
        <v>7.6</v>
      </c>
      <c r="L64" t="s">
        <v>290</v>
      </c>
      <c r="M64" s="2" t="s">
        <v>1120</v>
      </c>
      <c r="N64" s="2" t="s">
        <v>436</v>
      </c>
      <c r="O64" s="2" t="s">
        <v>653</v>
      </c>
      <c r="P64" s="2" t="s">
        <v>1123</v>
      </c>
      <c r="Q64" s="9" t="s">
        <v>713</v>
      </c>
      <c r="R64" s="2" t="str">
        <f t="shared" si="0"/>
        <v>CW_2_Section_1</v>
      </c>
      <c r="S64" s="2" t="str">
        <f t="shared" si="1"/>
        <v>CW_2_MF01</v>
      </c>
      <c r="T64" s="11" t="s">
        <v>798</v>
      </c>
      <c r="U64" s="1">
        <v>45643</v>
      </c>
      <c r="V64" s="2" t="s">
        <v>799</v>
      </c>
      <c r="W64" s="2" t="s">
        <v>655</v>
      </c>
      <c r="X64" s="2" t="s">
        <v>797</v>
      </c>
      <c r="Y64" s="2" t="str">
        <f t="shared" si="2"/>
        <v>T2_MF01</v>
      </c>
      <c r="Z64" s="2" t="str">
        <f t="shared" si="3"/>
        <v>T2_CW_2_MF01</v>
      </c>
      <c r="AA64" s="2" t="str">
        <f t="shared" si="4"/>
        <v>T2_0.15-0.30</v>
      </c>
      <c r="AB64" s="2">
        <v>127</v>
      </c>
      <c r="AC64" s="2">
        <v>4.1769999999999996</v>
      </c>
      <c r="AD64" s="2">
        <v>-0.76</v>
      </c>
      <c r="AE64" s="2">
        <v>2</v>
      </c>
      <c r="AF64" t="s">
        <v>41</v>
      </c>
      <c r="AG64" t="s">
        <v>1237</v>
      </c>
      <c r="AH64">
        <v>68</v>
      </c>
      <c r="AI64">
        <v>27</v>
      </c>
      <c r="AJ64">
        <v>1.2</v>
      </c>
      <c r="AK64">
        <v>3.51</v>
      </c>
      <c r="AL64">
        <v>9.6</v>
      </c>
      <c r="AM64">
        <v>-99</v>
      </c>
      <c r="AN64">
        <v>6.95</v>
      </c>
      <c r="AO64">
        <v>802</v>
      </c>
      <c r="AP64">
        <v>0.2</v>
      </c>
      <c r="AQ64">
        <v>0.01</v>
      </c>
      <c r="AR64">
        <v>22</v>
      </c>
      <c r="AS64">
        <v>13</v>
      </c>
      <c r="AT64">
        <v>530</v>
      </c>
      <c r="AU64" s="32">
        <f t="shared" si="16"/>
        <v>0.20355908334400205</v>
      </c>
      <c r="AV64">
        <v>0.5</v>
      </c>
      <c r="AW64" s="32">
        <f t="shared" si="61"/>
        <v>1.9535489472541785E-4</v>
      </c>
      <c r="AX64">
        <v>500</v>
      </c>
      <c r="AY64" s="32">
        <f t="shared" si="17"/>
        <v>0.19779598756710934</v>
      </c>
      <c r="AZ64">
        <v>230</v>
      </c>
      <c r="BA64" s="32">
        <f t="shared" si="18"/>
        <v>9.0986154280870299E-2</v>
      </c>
      <c r="BB64">
        <v>180</v>
      </c>
      <c r="BC64" s="32">
        <f t="shared" si="19"/>
        <v>7.120655552415936E-2</v>
      </c>
      <c r="BD64">
        <v>410</v>
      </c>
      <c r="BF64" s="48">
        <v>1443.5</v>
      </c>
      <c r="BG64" s="48">
        <f t="shared" si="20"/>
        <v>0.40155042580583677</v>
      </c>
      <c r="BH64">
        <v>1900</v>
      </c>
      <c r="BI64" s="32">
        <f t="shared" si="21"/>
        <v>0.71155496606070068</v>
      </c>
      <c r="BJ64" s="47">
        <v>510</v>
      </c>
      <c r="BK64" s="27">
        <f t="shared" si="22"/>
        <v>0.19099633299524069</v>
      </c>
      <c r="BL64" s="47">
        <v>0.01</v>
      </c>
      <c r="BM64" s="27">
        <f t="shared" si="23"/>
        <v>3.6796110125501018E-6</v>
      </c>
      <c r="BN64" s="47">
        <v>0.01</v>
      </c>
      <c r="BO64" s="27">
        <f t="shared" si="24"/>
        <v>3.7611049867064394E-6</v>
      </c>
      <c r="BP64" s="47">
        <v>5.0000000000000001E-3</v>
      </c>
      <c r="BQ64" s="27">
        <f t="shared" si="25"/>
        <v>1.8649981951630372E-6</v>
      </c>
      <c r="BR64" s="47">
        <v>1E-3</v>
      </c>
      <c r="BS64" s="27">
        <f t="shared" si="26"/>
        <v>3.7030802895135499E-7</v>
      </c>
      <c r="BT64" s="47">
        <v>1E-3</v>
      </c>
      <c r="BU64" s="27">
        <f t="shared" si="27"/>
        <v>3.7030802895135499E-7</v>
      </c>
      <c r="BV64" s="47">
        <v>1E-3</v>
      </c>
      <c r="BW64" s="27">
        <f t="shared" si="28"/>
        <v>3.6588380716934485E-7</v>
      </c>
      <c r="BX64" s="47">
        <v>2E-3</v>
      </c>
      <c r="BY64" s="27">
        <f t="shared" si="29"/>
        <v>7.3176761433868969E-7</v>
      </c>
      <c r="BZ64" s="51">
        <f t="shared" si="30"/>
        <v>510.02999999999992</v>
      </c>
      <c r="CA64" s="51">
        <f t="shared" si="31"/>
        <v>3.0000000000000006E-2</v>
      </c>
      <c r="CB64" s="27">
        <f t="shared" si="32"/>
        <v>0.19100747697691453</v>
      </c>
      <c r="CC64" s="27">
        <f t="shared" si="33"/>
        <v>1.1143981673830322E-5</v>
      </c>
      <c r="CD64">
        <v>3800</v>
      </c>
      <c r="CE64">
        <v>40</v>
      </c>
      <c r="CF64" t="s">
        <v>19</v>
      </c>
      <c r="CG64">
        <v>3900</v>
      </c>
      <c r="CH64" s="32">
        <v>12</v>
      </c>
      <c r="CI64" s="32">
        <f t="shared" si="34"/>
        <v>0.21486123545210384</v>
      </c>
      <c r="CJ64" s="32">
        <f t="shared" si="35"/>
        <v>0.21486123545210384</v>
      </c>
      <c r="CK64" s="32">
        <v>2.6</v>
      </c>
      <c r="CL64" s="32">
        <f t="shared" si="36"/>
        <v>4.7332969233569999E-2</v>
      </c>
      <c r="CM64" s="32">
        <f t="shared" si="37"/>
        <v>9.4665938467139998E-2</v>
      </c>
      <c r="CN64" s="27">
        <v>54</v>
      </c>
      <c r="CO64" s="27">
        <f t="shared" si="38"/>
        <v>0.56214865708931916</v>
      </c>
      <c r="CP64" s="27">
        <f t="shared" si="39"/>
        <v>4.4971892567145533</v>
      </c>
      <c r="CQ64" s="57">
        <v>27</v>
      </c>
      <c r="CR64" s="57">
        <v>33.333333333333329</v>
      </c>
      <c r="CS64" s="57">
        <v>2.2485946283572766</v>
      </c>
      <c r="CT64" s="57">
        <f t="shared" si="40"/>
        <v>2.2485946283572766</v>
      </c>
      <c r="CU64" s="28">
        <v>27</v>
      </c>
      <c r="CV64" s="28">
        <v>33.333333333333329</v>
      </c>
      <c r="CW64" s="28">
        <v>2.2485946283572766</v>
      </c>
      <c r="CX64" s="28">
        <f t="shared" si="41"/>
        <v>2.2485946283572766</v>
      </c>
      <c r="CY64" s="32">
        <f t="shared" si="42"/>
        <v>15.695190505933791</v>
      </c>
      <c r="CZ64" s="32">
        <f t="shared" si="43"/>
        <v>15.695190505933791</v>
      </c>
      <c r="DA64" s="32">
        <f t="shared" si="44"/>
        <v>27.695190505933791</v>
      </c>
      <c r="DB64" s="32">
        <f t="shared" si="45"/>
        <v>0.49588523734885925</v>
      </c>
      <c r="DC64" s="32">
        <f t="shared" si="46"/>
        <v>0.49588523734885925</v>
      </c>
      <c r="DD64" s="59">
        <f t="shared" si="47"/>
        <v>15.695190505933791</v>
      </c>
      <c r="DE64" s="59">
        <f t="shared" si="48"/>
        <v>15.695190505933791</v>
      </c>
      <c r="DF64" s="59">
        <f t="shared" si="49"/>
        <v>27.695190505933791</v>
      </c>
      <c r="DG64" s="59">
        <f t="shared" si="50"/>
        <v>0.49588523734885925</v>
      </c>
      <c r="DH64" s="59">
        <f t="shared" si="51"/>
        <v>0.49588523734885925</v>
      </c>
      <c r="DI64" s="32">
        <f t="shared" si="52"/>
        <v>4.4971892567145533</v>
      </c>
      <c r="DJ64" s="32">
        <f t="shared" si="53"/>
        <v>30.295190505933792</v>
      </c>
      <c r="DK64" s="32">
        <f t="shared" si="54"/>
        <v>0.59055117581599925</v>
      </c>
      <c r="DL64">
        <f t="shared" si="60"/>
        <v>2.8391458041732758</v>
      </c>
      <c r="DM64">
        <f t="shared" si="62"/>
        <v>3.3343105636910238E-2</v>
      </c>
      <c r="DN64">
        <f t="shared" si="63"/>
        <v>0.17466001098638712</v>
      </c>
      <c r="DO64">
        <f t="shared" si="64"/>
        <v>0.79199688337670271</v>
      </c>
      <c r="DP64">
        <f t="shared" si="55"/>
        <v>2.8391458041732758</v>
      </c>
      <c r="DQ64">
        <f t="shared" si="65"/>
        <v>3.3343105636910238E-2</v>
      </c>
      <c r="DR64">
        <f t="shared" si="66"/>
        <v>0.17466001098638712</v>
      </c>
      <c r="DS64">
        <f t="shared" si="67"/>
        <v>0.79199688337670271</v>
      </c>
      <c r="DT64" s="63">
        <f t="shared" si="68"/>
        <v>-1.7260404123067383</v>
      </c>
      <c r="DU64" s="63">
        <f t="shared" si="69"/>
        <v>-1.7260404123067383</v>
      </c>
      <c r="DV64" s="63">
        <f t="shared" si="70"/>
        <v>-1.7260292683250644</v>
      </c>
      <c r="DW64" s="63">
        <f t="shared" si="71"/>
        <v>-1.7260292683250644</v>
      </c>
      <c r="DX64" t="str">
        <f t="shared" si="57"/>
        <v>Sufficient Capacity</v>
      </c>
      <c r="DY64" t="str">
        <f t="shared" si="58"/>
        <v>Sufficient Capacity</v>
      </c>
      <c r="DZ64" t="str">
        <f t="shared" si="59"/>
        <v>Sulfate Dominant electron acceptor</v>
      </c>
      <c r="EA64" t="str">
        <f t="shared" si="72"/>
        <v>Sulfate Dominant electron acceptor</v>
      </c>
      <c r="EB64">
        <v>9.907842E-3</v>
      </c>
      <c r="EC64">
        <v>1.5864519999999999E-3</v>
      </c>
      <c r="ED64" s="66">
        <v>8.8922590000000003E-7</v>
      </c>
      <c r="EE64">
        <v>3.4440220000000001E-4</v>
      </c>
      <c r="EF64">
        <v>3.3775540000000001E-3</v>
      </c>
      <c r="EG64" s="66">
        <v>1.913458E-5</v>
      </c>
      <c r="EH64">
        <v>1.860528E-4</v>
      </c>
      <c r="EI64">
        <v>1.029311E-4</v>
      </c>
      <c r="EJ64">
        <v>3.7668620000000001E-4</v>
      </c>
      <c r="EK64">
        <v>6.0468060000000001E-4</v>
      </c>
      <c r="EL64">
        <v>2.6909969999999999E-4</v>
      </c>
      <c r="EM64" s="66">
        <v>9.828812E-5</v>
      </c>
      <c r="EN64">
        <v>2.02703E-3</v>
      </c>
      <c r="EO64">
        <v>8.3177299999999995E-4</v>
      </c>
      <c r="EP64">
        <v>1.4688749999999999E-3</v>
      </c>
      <c r="EQ64">
        <v>1.3021580000000001E-3</v>
      </c>
      <c r="ER64">
        <v>3.3837709999999998E-4</v>
      </c>
      <c r="ES64">
        <v>5.0516199999999997E-4</v>
      </c>
      <c r="ET64">
        <v>1.2520730000000001E-2</v>
      </c>
      <c r="EU64">
        <v>3.255333E-3</v>
      </c>
      <c r="EV64">
        <v>9.2344420000000007E-3</v>
      </c>
      <c r="EW64">
        <v>4.5028039999999998E-4</v>
      </c>
      <c r="EX64">
        <v>5.0946159999999997E-3</v>
      </c>
      <c r="EY64">
        <v>6.3955519999999997E-3</v>
      </c>
      <c r="EZ64">
        <v>1.033906E-3</v>
      </c>
      <c r="FA64">
        <v>7.3842470000000002E-4</v>
      </c>
      <c r="FB64">
        <v>7.6267179999999998E-4</v>
      </c>
      <c r="FC64">
        <v>1.8817370000000001E-3</v>
      </c>
      <c r="FD64">
        <v>3.5494239999999999E-4</v>
      </c>
      <c r="FE64">
        <v>2.0404599999999998E-2</v>
      </c>
      <c r="FF64">
        <v>1.2815139999999999E-2</v>
      </c>
      <c r="FG64">
        <v>6.8251199999999996E-3</v>
      </c>
      <c r="FH64">
        <v>9.2433109999999995E-4</v>
      </c>
      <c r="FI64">
        <v>1.283969E-3</v>
      </c>
      <c r="FJ64">
        <v>9.9815470000000003E-3</v>
      </c>
      <c r="FK64">
        <v>-0.50858715781276598</v>
      </c>
      <c r="FL64">
        <v>-0.30899334120009803</v>
      </c>
      <c r="FM64">
        <v>0.45971453662839501</v>
      </c>
      <c r="FN64">
        <v>-0.46754165075462301</v>
      </c>
      <c r="FO64">
        <v>0.25987885725133603</v>
      </c>
      <c r="FP64">
        <v>-0.16057452420979201</v>
      </c>
      <c r="FQ64">
        <v>-0.173591713673898</v>
      </c>
      <c r="FR64">
        <v>-0.52658893139929797</v>
      </c>
      <c r="FS64">
        <v>-0.96171684838477201</v>
      </c>
      <c r="FT64">
        <v>-3.19959552890126E-3</v>
      </c>
      <c r="FU64">
        <v>1.8775666478274999E-2</v>
      </c>
      <c r="FV64">
        <v>-0.36616536507580899</v>
      </c>
      <c r="FW64">
        <v>7.4827810926668903E-2</v>
      </c>
      <c r="FX64">
        <v>-0.15762923564574</v>
      </c>
      <c r="FY64">
        <v>-0.32085082656175601</v>
      </c>
      <c r="FZ64">
        <v>0.36637880511913501</v>
      </c>
      <c r="GA64">
        <v>0.161541599596632</v>
      </c>
      <c r="GB64">
        <v>4.3691312100772699E-2</v>
      </c>
      <c r="GC64">
        <v>-0.35866637735429502</v>
      </c>
      <c r="GD64">
        <v>2.3807857337526901E-2</v>
      </c>
      <c r="GE64">
        <v>-5.7305158221065099E-2</v>
      </c>
      <c r="GF64">
        <v>-0.208816948974619</v>
      </c>
      <c r="GG64">
        <v>-0.24751746496847599</v>
      </c>
      <c r="GH64">
        <v>-0.259406203515403</v>
      </c>
      <c r="GI64">
        <v>4.3746783666049902E-3</v>
      </c>
      <c r="GJ64">
        <v>-6.2244533399482497E-3</v>
      </c>
      <c r="GK64">
        <v>-0.133747340466527</v>
      </c>
      <c r="GL64">
        <v>-0.15407619500467901</v>
      </c>
      <c r="GM64">
        <v>-0.21159699709327101</v>
      </c>
      <c r="GN64">
        <v>0.15329865277078</v>
      </c>
      <c r="GO64">
        <v>-0.111857824745533</v>
      </c>
      <c r="GP64">
        <v>-5.9354366033192101E-2</v>
      </c>
      <c r="GR64" s="66"/>
      <c r="GT64" s="66"/>
      <c r="GV64" s="66"/>
      <c r="GZ64" s="66"/>
      <c r="HK64" s="1"/>
      <c r="HL64" s="1"/>
      <c r="HM64" s="65"/>
      <c r="HN64" s="1"/>
      <c r="HO64" s="65"/>
      <c r="HP64" s="65"/>
      <c r="HQ64" s="65"/>
      <c r="HS64" s="65"/>
      <c r="HT64" s="65"/>
      <c r="HU64" s="65"/>
      <c r="HV64" s="65"/>
      <c r="HW64" s="65"/>
      <c r="HX64" s="65"/>
      <c r="IX64" s="66"/>
      <c r="IZ64" s="66"/>
      <c r="JB64" s="66"/>
      <c r="JD64" s="66"/>
      <c r="JF64" s="66"/>
      <c r="JH64" s="66"/>
      <c r="JJ64" s="66"/>
      <c r="JL64" s="66"/>
      <c r="JN64" s="66"/>
      <c r="JO64" s="66"/>
      <c r="JP64" s="66"/>
      <c r="JQ64" s="66"/>
      <c r="JR64" s="66"/>
    </row>
    <row r="65" spans="1:278" ht="15.75" x14ac:dyDescent="0.25">
      <c r="A65" s="4" t="s">
        <v>118</v>
      </c>
      <c r="B65" s="4" t="s">
        <v>118</v>
      </c>
      <c r="C65" s="2" t="s">
        <v>821</v>
      </c>
      <c r="D65" s="2" t="s">
        <v>507</v>
      </c>
      <c r="E65" s="2" t="s">
        <v>507</v>
      </c>
      <c r="F65" s="2">
        <v>64</v>
      </c>
      <c r="G65" s="2" t="s">
        <v>820</v>
      </c>
      <c r="H65" s="10" t="s">
        <v>656</v>
      </c>
      <c r="I65" s="2">
        <v>150</v>
      </c>
      <c r="J65" s="2">
        <v>65</v>
      </c>
      <c r="K65" s="2">
        <v>3.1</v>
      </c>
      <c r="L65" t="s">
        <v>291</v>
      </c>
      <c r="M65" s="2" t="s">
        <v>1120</v>
      </c>
      <c r="N65" s="2" t="s">
        <v>436</v>
      </c>
      <c r="O65" s="2" t="s">
        <v>653</v>
      </c>
      <c r="P65" s="2" t="s">
        <v>1124</v>
      </c>
      <c r="Q65" s="9" t="s">
        <v>716</v>
      </c>
      <c r="R65" s="2" t="str">
        <f t="shared" si="0"/>
        <v>CW_2_Section_1</v>
      </c>
      <c r="S65" s="2" t="str">
        <f t="shared" si="1"/>
        <v>CW_2_MF02</v>
      </c>
      <c r="T65" s="11" t="s">
        <v>798</v>
      </c>
      <c r="U65" s="1">
        <v>45643</v>
      </c>
      <c r="V65" s="2" t="s">
        <v>799</v>
      </c>
      <c r="W65" s="2" t="s">
        <v>663</v>
      </c>
      <c r="X65" s="2" t="s">
        <v>797</v>
      </c>
      <c r="Y65" s="2" t="str">
        <f t="shared" si="2"/>
        <v>T2_MF02</v>
      </c>
      <c r="Z65" s="2" t="str">
        <f t="shared" si="3"/>
        <v>T2_CW_2_MF02</v>
      </c>
      <c r="AA65" s="2" t="str">
        <f t="shared" si="4"/>
        <v>T2_0.60-0.80</v>
      </c>
      <c r="AB65" s="2">
        <v>127</v>
      </c>
      <c r="AC65" s="2">
        <v>4.1769999999999996</v>
      </c>
      <c r="AD65" s="2">
        <v>-0.76</v>
      </c>
      <c r="AE65" s="2">
        <v>2</v>
      </c>
      <c r="AF65" t="s">
        <v>43</v>
      </c>
      <c r="AG65" t="s">
        <v>1237</v>
      </c>
      <c r="AH65">
        <v>68</v>
      </c>
      <c r="AI65">
        <v>28</v>
      </c>
      <c r="AJ65">
        <v>0.79</v>
      </c>
      <c r="AK65">
        <v>0.36</v>
      </c>
      <c r="AL65">
        <v>9.1</v>
      </c>
      <c r="AM65">
        <v>-1.35</v>
      </c>
      <c r="AN65">
        <v>7.18</v>
      </c>
      <c r="AO65">
        <v>1140</v>
      </c>
      <c r="AP65">
        <v>0.2</v>
      </c>
      <c r="AQ65">
        <v>0.01</v>
      </c>
      <c r="AR65">
        <v>14</v>
      </c>
      <c r="AS65">
        <v>14</v>
      </c>
      <c r="AT65">
        <v>520</v>
      </c>
      <c r="AU65" s="32">
        <f t="shared" si="16"/>
        <v>0.19971834592241711</v>
      </c>
      <c r="AV65">
        <v>97</v>
      </c>
      <c r="AW65" s="32">
        <f t="shared" si="61"/>
        <v>3.7898849576731064E-2</v>
      </c>
      <c r="AX65">
        <v>470</v>
      </c>
      <c r="AY65" s="32">
        <f t="shared" si="17"/>
        <v>0.18592822831308278</v>
      </c>
      <c r="AZ65">
        <v>200</v>
      </c>
      <c r="BA65" s="32">
        <f t="shared" si="18"/>
        <v>7.9118395026843744E-2</v>
      </c>
      <c r="BB65">
        <v>300</v>
      </c>
      <c r="BC65" s="32">
        <f t="shared" si="19"/>
        <v>0.11867759254026561</v>
      </c>
      <c r="BD65">
        <v>500</v>
      </c>
      <c r="BF65" s="48">
        <v>1587</v>
      </c>
      <c r="BG65" s="48">
        <f t="shared" si="20"/>
        <v>0.42354542381223093</v>
      </c>
      <c r="BH65">
        <v>3100</v>
      </c>
      <c r="BI65" s="32">
        <f t="shared" si="21"/>
        <v>1.1609581025200906</v>
      </c>
      <c r="BJ65" s="47">
        <v>1200</v>
      </c>
      <c r="BK65" s="27">
        <f t="shared" si="22"/>
        <v>0.44940313645938984</v>
      </c>
      <c r="BL65" s="47">
        <v>130</v>
      </c>
      <c r="BM65" s="27">
        <f t="shared" si="23"/>
        <v>4.7834943163151324E-2</v>
      </c>
      <c r="BN65" s="47">
        <v>100</v>
      </c>
      <c r="BO65" s="27">
        <f t="shared" si="24"/>
        <v>3.7611049867064393E-2</v>
      </c>
      <c r="BP65" s="47">
        <v>41</v>
      </c>
      <c r="BQ65" s="27">
        <f t="shared" si="25"/>
        <v>1.5292985200336905E-2</v>
      </c>
      <c r="BR65" s="47">
        <v>13</v>
      </c>
      <c r="BS65" s="27">
        <f t="shared" si="26"/>
        <v>4.8140043763676144E-3</v>
      </c>
      <c r="BT65" s="47">
        <v>3.5</v>
      </c>
      <c r="BU65" s="27">
        <f t="shared" si="27"/>
        <v>1.2960781013297423E-3</v>
      </c>
      <c r="BV65" s="47">
        <v>0.69</v>
      </c>
      <c r="BW65" s="27">
        <f t="shared" si="28"/>
        <v>2.5245982694684793E-4</v>
      </c>
      <c r="BX65" s="47">
        <v>0.63</v>
      </c>
      <c r="BY65" s="27">
        <f t="shared" si="29"/>
        <v>2.3050679851668727E-4</v>
      </c>
      <c r="BZ65" s="51">
        <f t="shared" si="30"/>
        <v>1488.8200000000002</v>
      </c>
      <c r="CA65" s="51">
        <f t="shared" si="31"/>
        <v>288.82</v>
      </c>
      <c r="CB65" s="27">
        <f t="shared" si="32"/>
        <v>0.55673516379310339</v>
      </c>
      <c r="CC65" s="27">
        <f t="shared" si="33"/>
        <v>0.10733202733371353</v>
      </c>
      <c r="CD65">
        <v>6000</v>
      </c>
      <c r="CE65">
        <v>2200</v>
      </c>
      <c r="CF65" t="s">
        <v>19</v>
      </c>
      <c r="CG65">
        <v>8200</v>
      </c>
      <c r="CH65" s="32">
        <v>0.6</v>
      </c>
      <c r="CI65" s="32">
        <f t="shared" si="34"/>
        <v>1.0743061772605192E-2</v>
      </c>
      <c r="CJ65" s="32">
        <f t="shared" si="35"/>
        <v>1.0743061772605192E-2</v>
      </c>
      <c r="CK65" s="32">
        <v>1</v>
      </c>
      <c r="CL65" s="32">
        <f t="shared" si="36"/>
        <v>1.8204988166757693E-2</v>
      </c>
      <c r="CM65" s="32">
        <f t="shared" si="37"/>
        <v>3.6409976333515386E-2</v>
      </c>
      <c r="CN65" s="27">
        <v>68</v>
      </c>
      <c r="CO65" s="27">
        <f t="shared" si="38"/>
        <v>0.70789090151988343</v>
      </c>
      <c r="CP65" s="27">
        <f t="shared" si="39"/>
        <v>5.6631272121590674</v>
      </c>
      <c r="CQ65" s="57">
        <v>13</v>
      </c>
      <c r="CR65" s="57">
        <v>16.049382716049383</v>
      </c>
      <c r="CS65" s="57">
        <v>1.0826566729127629</v>
      </c>
      <c r="CT65" s="57">
        <f t="shared" si="40"/>
        <v>1.0826566729127629</v>
      </c>
      <c r="CU65" s="28">
        <v>13</v>
      </c>
      <c r="CV65" s="28">
        <v>16.049382716049383</v>
      </c>
      <c r="CW65" s="28">
        <v>1.0826566729127629</v>
      </c>
      <c r="CX65" s="28">
        <f t="shared" si="41"/>
        <v>1.0826566729127629</v>
      </c>
      <c r="CY65" s="32">
        <f t="shared" si="42"/>
        <v>7.5569435769310846</v>
      </c>
      <c r="CZ65" s="32">
        <f t="shared" si="43"/>
        <v>7.5569435769310846</v>
      </c>
      <c r="DA65" s="32">
        <f t="shared" si="44"/>
        <v>8.1569435769310843</v>
      </c>
      <c r="DB65" s="32">
        <f t="shared" si="45"/>
        <v>0.14605091453770966</v>
      </c>
      <c r="DC65" s="32">
        <f t="shared" si="46"/>
        <v>0.14605091453770966</v>
      </c>
      <c r="DD65" s="59">
        <f t="shared" si="47"/>
        <v>7.5569435769310846</v>
      </c>
      <c r="DE65" s="59">
        <f t="shared" si="48"/>
        <v>7.5569435769310846</v>
      </c>
      <c r="DF65" s="59">
        <f t="shared" si="49"/>
        <v>8.1569435769310843</v>
      </c>
      <c r="DG65" s="59">
        <f t="shared" si="50"/>
        <v>0.14605091453770966</v>
      </c>
      <c r="DH65" s="59">
        <f t="shared" si="51"/>
        <v>0.14605091453770966</v>
      </c>
      <c r="DI65" s="32">
        <f t="shared" si="52"/>
        <v>5.6631272121590674</v>
      </c>
      <c r="DJ65" s="32">
        <f t="shared" si="53"/>
        <v>9.1569435769310843</v>
      </c>
      <c r="DK65" s="32">
        <f t="shared" si="54"/>
        <v>0.18246089087122505</v>
      </c>
      <c r="DL65">
        <f t="shared" si="60"/>
        <v>1.265117563783988</v>
      </c>
      <c r="DM65">
        <f t="shared" si="62"/>
        <v>2.8779915302584634E-2</v>
      </c>
      <c r="DN65">
        <f t="shared" si="63"/>
        <v>0.11544453947889942</v>
      </c>
      <c r="DO65">
        <f t="shared" si="64"/>
        <v>0.85577554521851595</v>
      </c>
      <c r="DP65">
        <f t="shared" si="55"/>
        <v>1.265117563783988</v>
      </c>
      <c r="DQ65">
        <f t="shared" si="65"/>
        <v>2.8779915302584634E-2</v>
      </c>
      <c r="DR65">
        <f t="shared" si="66"/>
        <v>0.11544453947889942</v>
      </c>
      <c r="DS65">
        <f t="shared" si="67"/>
        <v>0.85577554521851595</v>
      </c>
      <c r="DT65" s="63">
        <f t="shared" si="68"/>
        <v>0.31938596254833351</v>
      </c>
      <c r="DU65" s="63">
        <f t="shared" si="69"/>
        <v>0.31938596254833351</v>
      </c>
      <c r="DV65" s="63">
        <f t="shared" si="70"/>
        <v>0.42671798988204701</v>
      </c>
      <c r="DW65" s="63">
        <f t="shared" si="71"/>
        <v>0.42671798988204701</v>
      </c>
      <c r="DX65" t="str">
        <f t="shared" si="57"/>
        <v>Insufficient Capacity</v>
      </c>
      <c r="DY65" t="str">
        <f t="shared" si="58"/>
        <v>Insufficient Capacity</v>
      </c>
      <c r="DZ65" t="str">
        <f t="shared" si="59"/>
        <v>Sulfate Dominant electron acceptor</v>
      </c>
      <c r="EA65" t="str">
        <f t="shared" si="72"/>
        <v>Sulfate Dominant electron acceptor</v>
      </c>
      <c r="EB65">
        <v>9.7273250000000002E-3</v>
      </c>
      <c r="EC65">
        <v>1.764142E-3</v>
      </c>
      <c r="ED65" s="66">
        <v>4.4049550000000003E-8</v>
      </c>
      <c r="EE65">
        <v>4.1460720000000001E-4</v>
      </c>
      <c r="EF65">
        <v>3.878416E-3</v>
      </c>
      <c r="EG65" s="66">
        <v>1.7845519999999999E-5</v>
      </c>
      <c r="EH65">
        <v>1.9300790000000001E-4</v>
      </c>
      <c r="EI65" s="66">
        <v>2.503999E-5</v>
      </c>
      <c r="EJ65">
        <v>6.4874080000000003E-4</v>
      </c>
      <c r="EK65">
        <v>9.6243800000000003E-4</v>
      </c>
      <c r="EL65">
        <v>4.39166E-4</v>
      </c>
      <c r="EM65">
        <v>1.6544279999999999E-4</v>
      </c>
      <c r="EN65">
        <v>2.1889650000000002E-3</v>
      </c>
      <c r="EO65">
        <v>7.8813319999999996E-4</v>
      </c>
      <c r="EP65">
        <v>1.4758880000000001E-3</v>
      </c>
      <c r="EQ65">
        <v>1.4400610000000001E-3</v>
      </c>
      <c r="ER65">
        <v>3.163334E-4</v>
      </c>
      <c r="ES65">
        <v>6.1546810000000002E-4</v>
      </c>
      <c r="ET65">
        <v>6.5354549999999999E-3</v>
      </c>
      <c r="EU65">
        <v>2.645292E-3</v>
      </c>
      <c r="EV65">
        <v>9.4080980000000002E-3</v>
      </c>
      <c r="EW65">
        <v>6.0155620000000001E-4</v>
      </c>
      <c r="EX65">
        <v>5.4919979999999997E-3</v>
      </c>
      <c r="EY65">
        <v>7.156758E-3</v>
      </c>
      <c r="EZ65">
        <v>8.7765439999999998E-4</v>
      </c>
      <c r="FA65">
        <v>6.4729139999999995E-4</v>
      </c>
      <c r="FB65">
        <v>6.8398489999999998E-4</v>
      </c>
      <c r="FC65">
        <v>1.694224E-3</v>
      </c>
      <c r="FD65">
        <v>4.7655899999999999E-4</v>
      </c>
      <c r="FE65">
        <v>1.9624740000000002E-2</v>
      </c>
      <c r="FF65">
        <v>1.9667199999999999E-2</v>
      </c>
      <c r="FG65">
        <v>1.017639E-2</v>
      </c>
      <c r="FH65">
        <v>9.7635780000000002E-4</v>
      </c>
      <c r="FI65">
        <v>1.1612840000000001E-3</v>
      </c>
      <c r="FJ65">
        <v>1.3403099999999999E-2</v>
      </c>
      <c r="FK65">
        <v>-0.32306575228003598</v>
      </c>
      <c r="FL65">
        <v>-0.170718297224591</v>
      </c>
      <c r="FM65">
        <v>0.38996986363181202</v>
      </c>
      <c r="FN65">
        <v>-0.43084103444217198</v>
      </c>
      <c r="FO65">
        <v>-1.1537068282338101</v>
      </c>
      <c r="FP65">
        <v>0.383046248951465</v>
      </c>
      <c r="FQ65">
        <v>0.29117755008846902</v>
      </c>
      <c r="FR65">
        <v>-3.6793400584644899E-2</v>
      </c>
      <c r="FS65">
        <v>-0.44099449796579598</v>
      </c>
      <c r="FT65">
        <v>7.3657566290232304E-2</v>
      </c>
      <c r="FU65">
        <v>-3.5116789471834102E-2</v>
      </c>
      <c r="FV65">
        <v>-0.36140232420739399</v>
      </c>
      <c r="FW65">
        <v>0.17549039653812201</v>
      </c>
      <c r="FX65">
        <v>-0.22499346900324599</v>
      </c>
      <c r="FY65">
        <v>-0.123346879974434</v>
      </c>
      <c r="FZ65">
        <v>-0.283764895814203</v>
      </c>
      <c r="GA65">
        <v>-4.5971518786263502E-2</v>
      </c>
      <c r="GB65">
        <v>6.23219303501985E-2</v>
      </c>
      <c r="GC65">
        <v>-6.90169130425584E-2</v>
      </c>
      <c r="GD65">
        <v>9.8915685250599197E-2</v>
      </c>
      <c r="GE65">
        <v>5.51491781723943E-2</v>
      </c>
      <c r="GF65">
        <v>-0.37266319654178898</v>
      </c>
      <c r="GG65">
        <v>-0.37924001879572899</v>
      </c>
      <c r="GH65">
        <v>-0.36829815673808097</v>
      </c>
      <c r="GI65">
        <v>-0.100595789186149</v>
      </c>
      <c r="GJ65">
        <v>0.28841155881685598</v>
      </c>
      <c r="GK65">
        <v>-0.17271669092061501</v>
      </c>
      <c r="GL65">
        <v>0.27424879405531499</v>
      </c>
      <c r="GM65">
        <v>0.18786341090775399</v>
      </c>
      <c r="GN65">
        <v>0.208057429574806</v>
      </c>
      <c r="GO65">
        <v>-0.212287596907969</v>
      </c>
      <c r="GP65">
        <v>0.23539356912092299</v>
      </c>
      <c r="HK65" s="1"/>
      <c r="HL65" s="1"/>
      <c r="HM65" s="65"/>
      <c r="HN65" s="1"/>
      <c r="HO65" s="65"/>
      <c r="HP65" s="65"/>
      <c r="HQ65" s="65"/>
      <c r="HS65" s="65"/>
      <c r="HT65" s="65"/>
      <c r="HU65" s="65"/>
      <c r="HV65" s="65"/>
      <c r="HW65" s="65"/>
      <c r="HX65" s="65"/>
      <c r="JJ65" s="66"/>
      <c r="JL65" s="66"/>
      <c r="JN65" s="66"/>
    </row>
    <row r="66" spans="1:278" ht="15.75" x14ac:dyDescent="0.25">
      <c r="A66" s="4" t="s">
        <v>119</v>
      </c>
      <c r="B66" s="4" t="s">
        <v>119</v>
      </c>
      <c r="C66" s="2" t="s">
        <v>823</v>
      </c>
      <c r="D66" s="2" t="s">
        <v>508</v>
      </c>
      <c r="E66" s="2" t="s">
        <v>508</v>
      </c>
      <c r="F66" s="2">
        <v>65</v>
      </c>
      <c r="G66" s="2" t="s">
        <v>822</v>
      </c>
      <c r="H66" s="10" t="s">
        <v>656</v>
      </c>
      <c r="I66" s="2">
        <v>150</v>
      </c>
      <c r="J66" s="2">
        <v>65</v>
      </c>
      <c r="K66" s="2">
        <v>7.7</v>
      </c>
      <c r="L66" t="s">
        <v>292</v>
      </c>
      <c r="M66" s="2" t="s">
        <v>1120</v>
      </c>
      <c r="N66" s="2" t="s">
        <v>436</v>
      </c>
      <c r="O66" s="2" t="s">
        <v>666</v>
      </c>
      <c r="P66" s="2" t="s">
        <v>1131</v>
      </c>
      <c r="Q66" s="9" t="s">
        <v>719</v>
      </c>
      <c r="R66" s="2" t="str">
        <f t="shared" si="0"/>
        <v>CW_2_Section_2</v>
      </c>
      <c r="S66" s="2" t="str">
        <f t="shared" si="1"/>
        <v>CW_2_MF05</v>
      </c>
      <c r="T66" s="11" t="s">
        <v>798</v>
      </c>
      <c r="U66" s="1">
        <v>45643</v>
      </c>
      <c r="V66" s="2" t="s">
        <v>799</v>
      </c>
      <c r="W66" s="2" t="s">
        <v>655</v>
      </c>
      <c r="X66" s="2" t="s">
        <v>797</v>
      </c>
      <c r="Y66" s="2" t="str">
        <f t="shared" si="2"/>
        <v>T2_MF05</v>
      </c>
      <c r="Z66" s="2" t="str">
        <f t="shared" si="3"/>
        <v>T2_CW_2_MF05</v>
      </c>
      <c r="AA66" s="2" t="str">
        <f t="shared" si="4"/>
        <v>T2_0.15-0.30</v>
      </c>
      <c r="AB66" s="2">
        <v>127</v>
      </c>
      <c r="AC66" s="2">
        <v>4.1769999999999996</v>
      </c>
      <c r="AD66" s="2">
        <v>-0.76</v>
      </c>
      <c r="AE66" s="2">
        <v>2</v>
      </c>
      <c r="AF66" t="s">
        <v>35</v>
      </c>
      <c r="AG66" t="s">
        <v>1237</v>
      </c>
      <c r="AH66">
        <v>62</v>
      </c>
      <c r="AI66">
        <v>15</v>
      </c>
      <c r="AJ66">
        <v>1.1000000000000001</v>
      </c>
      <c r="AK66">
        <v>0.6</v>
      </c>
      <c r="AL66">
        <v>9.5</v>
      </c>
      <c r="AM66">
        <v>-152</v>
      </c>
      <c r="AN66">
        <v>7.33</v>
      </c>
      <c r="AO66">
        <v>890</v>
      </c>
      <c r="AP66">
        <v>0.1</v>
      </c>
      <c r="AQ66">
        <v>0.01</v>
      </c>
      <c r="AR66">
        <v>18</v>
      </c>
      <c r="AS66">
        <v>17</v>
      </c>
      <c r="AT66">
        <v>110</v>
      </c>
      <c r="AU66" s="32">
        <f t="shared" si="16"/>
        <v>4.2248111637434388E-2</v>
      </c>
      <c r="AV66">
        <v>1.5</v>
      </c>
      <c r="AW66" s="32">
        <f t="shared" si="61"/>
        <v>5.8606468417625348E-4</v>
      </c>
      <c r="AX66">
        <v>24</v>
      </c>
      <c r="AY66" s="32">
        <f t="shared" si="17"/>
        <v>9.4942074032212491E-3</v>
      </c>
      <c r="AZ66">
        <v>13</v>
      </c>
      <c r="BA66" s="32">
        <f t="shared" si="18"/>
        <v>5.1426956767448434E-3</v>
      </c>
      <c r="BB66">
        <v>8.6999999999999993</v>
      </c>
      <c r="BC66" s="32">
        <f t="shared" si="19"/>
        <v>3.4416501836677022E-3</v>
      </c>
      <c r="BD66">
        <v>21.7</v>
      </c>
      <c r="BF66" s="48">
        <v>157.19999999999999</v>
      </c>
      <c r="BG66" s="48">
        <f t="shared" si="20"/>
        <v>5.2328383724831895E-2</v>
      </c>
      <c r="BH66">
        <v>42</v>
      </c>
      <c r="BI66" s="32">
        <f t="shared" si="21"/>
        <v>1.5729109776078644E-2</v>
      </c>
      <c r="BJ66" s="47">
        <v>1.4</v>
      </c>
      <c r="BK66" s="27">
        <f t="shared" si="22"/>
        <v>5.2430365920262147E-4</v>
      </c>
      <c r="BL66" s="47">
        <v>0.01</v>
      </c>
      <c r="BM66" s="27">
        <f t="shared" si="23"/>
        <v>3.6796110125501018E-6</v>
      </c>
      <c r="BN66" s="47">
        <v>0.01</v>
      </c>
      <c r="BO66" s="27">
        <f t="shared" si="24"/>
        <v>3.7611049867064394E-6</v>
      </c>
      <c r="BP66" s="47">
        <v>5.0000000000000001E-3</v>
      </c>
      <c r="BQ66" s="27">
        <f t="shared" si="25"/>
        <v>1.8649981951630372E-6</v>
      </c>
      <c r="BR66" s="47">
        <v>1E-3</v>
      </c>
      <c r="BS66" s="27">
        <f t="shared" si="26"/>
        <v>3.7030802895135499E-7</v>
      </c>
      <c r="BT66" s="47">
        <v>1E-3</v>
      </c>
      <c r="BU66" s="27">
        <f t="shared" si="27"/>
        <v>3.7030802895135499E-7</v>
      </c>
      <c r="BV66" s="47">
        <v>1E-3</v>
      </c>
      <c r="BW66" s="27">
        <f t="shared" si="28"/>
        <v>3.6588380716934485E-7</v>
      </c>
      <c r="BX66" s="47">
        <v>2E-3</v>
      </c>
      <c r="BY66" s="27">
        <f t="shared" si="29"/>
        <v>7.3176761433868969E-7</v>
      </c>
      <c r="BZ66" s="51">
        <f t="shared" si="30"/>
        <v>1.4299999999999995</v>
      </c>
      <c r="CA66" s="51">
        <f t="shared" si="31"/>
        <v>3.0000000000000006E-2</v>
      </c>
      <c r="CB66" s="27">
        <f t="shared" si="32"/>
        <v>5.3544764087645172E-4</v>
      </c>
      <c r="CC66" s="27">
        <f t="shared" si="33"/>
        <v>1.1143981673830322E-5</v>
      </c>
      <c r="CD66">
        <v>65</v>
      </c>
      <c r="CE66">
        <v>2.5</v>
      </c>
      <c r="CF66" t="s">
        <v>19</v>
      </c>
      <c r="CG66">
        <v>95</v>
      </c>
      <c r="CH66" s="32">
        <v>35</v>
      </c>
      <c r="CI66" s="32">
        <f t="shared" si="34"/>
        <v>0.62667860340196957</v>
      </c>
      <c r="CJ66" s="32">
        <f t="shared" si="35"/>
        <v>0.62667860340196957</v>
      </c>
      <c r="CK66" s="32">
        <v>6.7</v>
      </c>
      <c r="CL66" s="32">
        <f t="shared" si="36"/>
        <v>0.12197342071727654</v>
      </c>
      <c r="CM66" s="32">
        <f t="shared" si="37"/>
        <v>0.24394684143455309</v>
      </c>
      <c r="CN66" s="27">
        <v>0.5</v>
      </c>
      <c r="CO66" s="27">
        <f t="shared" si="38"/>
        <v>5.2050801582344368E-3</v>
      </c>
      <c r="CP66" s="27">
        <f t="shared" si="39"/>
        <v>4.1640641265875494E-2</v>
      </c>
      <c r="CQ66" s="57">
        <v>80.5</v>
      </c>
      <c r="CR66" s="57">
        <v>99.382716049382708</v>
      </c>
      <c r="CS66" s="57">
        <v>6.7041432438059543</v>
      </c>
      <c r="CT66" s="57">
        <f t="shared" si="40"/>
        <v>6.7041432438059543</v>
      </c>
      <c r="CU66" s="28">
        <v>53.5</v>
      </c>
      <c r="CV66" s="28">
        <v>99.074074074074076</v>
      </c>
      <c r="CW66" s="28">
        <v>4.4555486154486781</v>
      </c>
      <c r="CX66" s="28">
        <f t="shared" si="41"/>
        <v>4.4555486154486781</v>
      </c>
      <c r="CY66" s="32">
        <f t="shared" si="42"/>
        <v>46.794919841765562</v>
      </c>
      <c r="CZ66" s="32">
        <f t="shared" si="43"/>
        <v>46.794919841765562</v>
      </c>
      <c r="DA66" s="32">
        <f t="shared" si="44"/>
        <v>81.794919841765562</v>
      </c>
      <c r="DB66" s="32">
        <f t="shared" si="45"/>
        <v>1.4645464609089627</v>
      </c>
      <c r="DC66" s="32">
        <f t="shared" si="46"/>
        <v>1.4645464609089627</v>
      </c>
      <c r="DD66" s="59">
        <f t="shared" si="47"/>
        <v>31.099729335831771</v>
      </c>
      <c r="DE66" s="59">
        <f t="shared" si="48"/>
        <v>31.099729335831771</v>
      </c>
      <c r="DF66" s="59">
        <f t="shared" si="49"/>
        <v>66.099729335831768</v>
      </c>
      <c r="DG66" s="59">
        <f t="shared" si="50"/>
        <v>1.1835224590122071</v>
      </c>
      <c r="DH66" s="59">
        <f t="shared" si="51"/>
        <v>1.1835224590122071</v>
      </c>
      <c r="DI66" s="32">
        <f t="shared" si="52"/>
        <v>4.1640641265875494E-2</v>
      </c>
      <c r="DJ66" s="32">
        <f t="shared" si="53"/>
        <v>72.799729335831771</v>
      </c>
      <c r="DK66" s="32">
        <f t="shared" si="54"/>
        <v>1.4274693004467602</v>
      </c>
      <c r="DL66">
        <f t="shared" si="60"/>
        <v>8.4126365461494697</v>
      </c>
      <c r="DM66">
        <f t="shared" si="62"/>
        <v>2.8997667983910406E-2</v>
      </c>
      <c r="DN66">
        <f t="shared" si="63"/>
        <v>0.17408887842412463</v>
      </c>
      <c r="DO66">
        <f t="shared" si="64"/>
        <v>0.79691345359196497</v>
      </c>
      <c r="DP66">
        <f t="shared" si="55"/>
        <v>5.8830179158954383</v>
      </c>
      <c r="DQ66">
        <f t="shared" si="65"/>
        <v>4.1466275459646054E-2</v>
      </c>
      <c r="DR66">
        <f t="shared" si="66"/>
        <v>0.20117607594129966</v>
      </c>
      <c r="DS66">
        <f t="shared" si="67"/>
        <v>0.7573576485990543</v>
      </c>
      <c r="DT66" s="63">
        <f t="shared" si="68"/>
        <v>-8.3445790526485588</v>
      </c>
      <c r="DU66" s="63">
        <f t="shared" si="69"/>
        <v>-5.8149604223945275</v>
      </c>
      <c r="DV66" s="63">
        <f t="shared" si="70"/>
        <v>-8.3445679086668854</v>
      </c>
      <c r="DW66" s="63">
        <f t="shared" si="71"/>
        <v>-5.814949278412854</v>
      </c>
      <c r="DX66" t="str">
        <f t="shared" si="57"/>
        <v>Sufficient Capacity</v>
      </c>
      <c r="DY66" t="str">
        <f t="shared" si="58"/>
        <v>Sufficient Capacity</v>
      </c>
      <c r="DZ66" t="str">
        <f t="shared" si="59"/>
        <v>Sulfate Dominant electron acceptor</v>
      </c>
      <c r="EA66" t="str">
        <f t="shared" si="72"/>
        <v>Sulfate Dominant electron acceptor</v>
      </c>
      <c r="EB66">
        <v>9.8265650000000006E-3</v>
      </c>
      <c r="EC66">
        <v>1.10636E-3</v>
      </c>
      <c r="ED66" s="66">
        <v>8.569603E-6</v>
      </c>
      <c r="EE66">
        <v>3.9682870000000002E-4</v>
      </c>
      <c r="EF66">
        <v>3.1321959999999999E-3</v>
      </c>
      <c r="EG66" s="66">
        <v>8.9290899999999999E-6</v>
      </c>
      <c r="EH66">
        <v>1.9062880000000001E-4</v>
      </c>
      <c r="EI66">
        <v>1.5793E-4</v>
      </c>
      <c r="EJ66">
        <v>3.669085E-4</v>
      </c>
      <c r="EK66">
        <v>6.5133300000000003E-4</v>
      </c>
      <c r="EL66">
        <v>2.3562569999999999E-4</v>
      </c>
      <c r="EM66">
        <v>1.378843E-4</v>
      </c>
      <c r="EN66">
        <v>1.9548360000000002E-3</v>
      </c>
      <c r="EO66">
        <v>8.4707770000000003E-4</v>
      </c>
      <c r="EP66">
        <v>1.710512E-3</v>
      </c>
      <c r="EQ66">
        <v>1.637538E-3</v>
      </c>
      <c r="ER66">
        <v>2.3630950000000001E-4</v>
      </c>
      <c r="ES66">
        <v>5.5835420000000001E-4</v>
      </c>
      <c r="ET66">
        <v>2.1152669999999998E-2</v>
      </c>
      <c r="EU66">
        <v>3.5083480000000001E-3</v>
      </c>
      <c r="EV66">
        <v>1.082612E-2</v>
      </c>
      <c r="EW66">
        <v>4.6383630000000002E-4</v>
      </c>
      <c r="EX66">
        <v>4.7528049999999997E-3</v>
      </c>
      <c r="EY66">
        <v>5.8658979999999996E-3</v>
      </c>
      <c r="EZ66">
        <v>1.009717E-3</v>
      </c>
      <c r="FA66">
        <v>8.1126430000000001E-4</v>
      </c>
      <c r="FB66">
        <v>8.3057650000000003E-4</v>
      </c>
      <c r="FC66">
        <v>1.670752E-3</v>
      </c>
      <c r="FD66">
        <v>2.6446050000000001E-4</v>
      </c>
      <c r="FE66">
        <v>1.8600740000000001E-2</v>
      </c>
      <c r="FF66">
        <v>9.7048849999999999E-3</v>
      </c>
      <c r="FG66">
        <v>5.0888060000000004E-3</v>
      </c>
      <c r="FH66">
        <v>4.6484599999999999E-4</v>
      </c>
      <c r="FI66">
        <v>1.3070740000000001E-3</v>
      </c>
      <c r="FJ66">
        <v>7.5060150000000004E-3</v>
      </c>
      <c r="FK66">
        <v>-0.3668926168428</v>
      </c>
      <c r="FL66">
        <v>-0.38441076408970398</v>
      </c>
      <c r="FM66">
        <v>-0.30246814670036498</v>
      </c>
      <c r="FN66">
        <v>-0.44324407356260898</v>
      </c>
      <c r="FO66">
        <v>0.68797092177736097</v>
      </c>
      <c r="FP66">
        <v>-0.186874506142166</v>
      </c>
      <c r="FQ66">
        <v>-9.9271066250520498E-2</v>
      </c>
      <c r="FR66">
        <v>-0.65942634528419097</v>
      </c>
      <c r="FS66">
        <v>-0.62320508600604396</v>
      </c>
      <c r="FT66">
        <v>-3.946496063603E-2</v>
      </c>
      <c r="FU66">
        <v>3.7008525403985401E-2</v>
      </c>
      <c r="FV66">
        <v>-0.21386942584431801</v>
      </c>
      <c r="FW66">
        <v>0.30399881710119098</v>
      </c>
      <c r="FX66">
        <v>-0.516647803176848</v>
      </c>
      <c r="FY66">
        <v>-0.22073646844651901</v>
      </c>
      <c r="FZ66">
        <v>0.89075927309698499</v>
      </c>
      <c r="GA66">
        <v>0.23639229643550899</v>
      </c>
      <c r="GB66">
        <v>0.202712855321248</v>
      </c>
      <c r="GC66">
        <v>-0.32900518892370201</v>
      </c>
      <c r="GD66">
        <v>-4.56414684187125E-2</v>
      </c>
      <c r="GE66">
        <v>-0.14375232489773501</v>
      </c>
      <c r="GF66">
        <v>-0.23249071826689799</v>
      </c>
      <c r="GG66">
        <v>-0.153442703320295</v>
      </c>
      <c r="GH66">
        <v>-0.17411396009754199</v>
      </c>
      <c r="GI66">
        <v>-0.114546783603657</v>
      </c>
      <c r="GJ66">
        <v>-0.300488074357734</v>
      </c>
      <c r="GK66">
        <v>-0.22630634121969101</v>
      </c>
      <c r="GL66">
        <v>-0.43207411246997401</v>
      </c>
      <c r="GM66">
        <v>-0.50516369498564895</v>
      </c>
      <c r="GN66">
        <v>-0.53406552007965802</v>
      </c>
      <c r="GO66">
        <v>-9.4022835170692404E-2</v>
      </c>
      <c r="GP66">
        <v>-0.34438775525168203</v>
      </c>
      <c r="GR66" s="66"/>
      <c r="GT66" s="66"/>
      <c r="GV66" s="66"/>
      <c r="GZ66" s="66"/>
      <c r="HK66" s="1"/>
      <c r="HL66" s="1"/>
      <c r="HM66" s="1"/>
      <c r="HN66" s="1"/>
      <c r="HO66" s="65"/>
      <c r="HP66" s="65"/>
      <c r="HQ66" s="65"/>
      <c r="HS66" s="65"/>
      <c r="HT66" s="65"/>
      <c r="HU66" s="65"/>
      <c r="HV66" s="65"/>
      <c r="HW66" s="65"/>
      <c r="HX66" s="65"/>
      <c r="IZ66" s="66"/>
      <c r="JB66" s="66"/>
      <c r="JD66" s="66"/>
      <c r="JF66" s="66"/>
      <c r="JH66" s="66"/>
      <c r="JJ66" s="66"/>
      <c r="JL66" s="66"/>
      <c r="JN66" s="66"/>
    </row>
    <row r="67" spans="1:278" ht="15.75" x14ac:dyDescent="0.25">
      <c r="A67" s="4" t="s">
        <v>120</v>
      </c>
      <c r="B67" s="4" t="s">
        <v>120</v>
      </c>
      <c r="C67" s="2" t="s">
        <v>825</v>
      </c>
      <c r="D67" s="2" t="s">
        <v>509</v>
      </c>
      <c r="E67" s="2" t="s">
        <v>509</v>
      </c>
      <c r="F67" s="2">
        <v>66</v>
      </c>
      <c r="G67" s="2" t="s">
        <v>824</v>
      </c>
      <c r="H67" s="10" t="s">
        <v>656</v>
      </c>
      <c r="I67" s="2">
        <v>150</v>
      </c>
      <c r="J67" s="2">
        <v>65</v>
      </c>
      <c r="K67" s="2">
        <v>4.45</v>
      </c>
      <c r="L67" t="s">
        <v>293</v>
      </c>
      <c r="M67" s="2" t="s">
        <v>1120</v>
      </c>
      <c r="N67" s="2" t="s">
        <v>436</v>
      </c>
      <c r="O67" s="2" t="s">
        <v>666</v>
      </c>
      <c r="P67" s="2" t="s">
        <v>1132</v>
      </c>
      <c r="Q67" s="9" t="s">
        <v>722</v>
      </c>
      <c r="R67" s="2" t="str">
        <f t="shared" ref="R67:R130" si="73">$N67&amp;"_"&amp;$O67</f>
        <v>CW_2_Section_2</v>
      </c>
      <c r="S67" s="2" t="str">
        <f t="shared" ref="S67:S130" si="74">$N67&amp;"_"&amp;$P67</f>
        <v>CW_2_MF06</v>
      </c>
      <c r="T67" s="11" t="s">
        <v>798</v>
      </c>
      <c r="U67" s="1">
        <v>45643</v>
      </c>
      <c r="V67" s="2" t="s">
        <v>799</v>
      </c>
      <c r="W67" s="2" t="s">
        <v>663</v>
      </c>
      <c r="X67" s="2" t="s">
        <v>797</v>
      </c>
      <c r="Y67" s="2" t="str">
        <f t="shared" ref="Y67:Y130" si="75">$X67&amp;"_"&amp;$P67</f>
        <v>T2_MF06</v>
      </c>
      <c r="Z67" s="2" t="str">
        <f t="shared" ref="Z67:Z130" si="76">$X67&amp;"_"&amp;$N67&amp;"_"&amp;$P67</f>
        <v>T2_CW_2_MF06</v>
      </c>
      <c r="AA67" s="2" t="str">
        <f t="shared" ref="AA67:AA130" si="77">$X67&amp;"_"&amp;$W67</f>
        <v>T2_0.60-0.80</v>
      </c>
      <c r="AB67" s="2">
        <v>127</v>
      </c>
      <c r="AC67" s="2">
        <v>4.1769999999999996</v>
      </c>
      <c r="AD67" s="2">
        <v>-0.76</v>
      </c>
      <c r="AE67" s="2">
        <v>2</v>
      </c>
      <c r="AF67" t="s">
        <v>37</v>
      </c>
      <c r="AG67" t="s">
        <v>1237</v>
      </c>
      <c r="AH67">
        <v>67</v>
      </c>
      <c r="AI67">
        <v>27</v>
      </c>
      <c r="AJ67">
        <v>0.97</v>
      </c>
      <c r="AK67">
        <v>0.37</v>
      </c>
      <c r="AL67">
        <v>9.6</v>
      </c>
      <c r="AM67">
        <v>-142</v>
      </c>
      <c r="AN67">
        <v>6.98</v>
      </c>
      <c r="AO67">
        <v>1040</v>
      </c>
      <c r="AP67">
        <v>0.2</v>
      </c>
      <c r="AQ67">
        <v>0.01</v>
      </c>
      <c r="AR67">
        <v>13</v>
      </c>
      <c r="AS67">
        <v>13</v>
      </c>
      <c r="AT67">
        <v>580</v>
      </c>
      <c r="AU67" s="32">
        <f t="shared" si="16"/>
        <v>0.22276277045192677</v>
      </c>
      <c r="AV67">
        <v>31</v>
      </c>
      <c r="AW67" s="32">
        <f t="shared" si="61"/>
        <v>1.2112003472975906E-2</v>
      </c>
      <c r="AX67">
        <v>420</v>
      </c>
      <c r="AY67" s="32">
        <f t="shared" si="17"/>
        <v>0.16614862955637186</v>
      </c>
      <c r="AZ67">
        <v>210</v>
      </c>
      <c r="BA67" s="32">
        <f t="shared" si="18"/>
        <v>8.3074314778185929E-2</v>
      </c>
      <c r="BB67">
        <v>230</v>
      </c>
      <c r="BC67" s="32">
        <f t="shared" si="19"/>
        <v>9.0986154280870299E-2</v>
      </c>
      <c r="BD67">
        <v>440</v>
      </c>
      <c r="BF67" s="48">
        <v>1471</v>
      </c>
      <c r="BG67" s="48">
        <f t="shared" si="20"/>
        <v>0.40102340348127452</v>
      </c>
      <c r="BH67">
        <v>1800</v>
      </c>
      <c r="BI67" s="32">
        <f t="shared" si="21"/>
        <v>0.6741047046890849</v>
      </c>
      <c r="BJ67" s="47">
        <v>280</v>
      </c>
      <c r="BK67" s="27">
        <f t="shared" si="22"/>
        <v>0.1048607318405243</v>
      </c>
      <c r="BL67" s="47">
        <v>38</v>
      </c>
      <c r="BM67" s="27">
        <f t="shared" si="23"/>
        <v>1.3982521847690386E-2</v>
      </c>
      <c r="BN67" s="47">
        <v>32</v>
      </c>
      <c r="BO67" s="27">
        <f t="shared" si="24"/>
        <v>1.2035535957460606E-2</v>
      </c>
      <c r="BP67" s="47">
        <v>10</v>
      </c>
      <c r="BQ67" s="27">
        <f t="shared" si="25"/>
        <v>3.7299963903260737E-3</v>
      </c>
      <c r="BR67" s="47">
        <v>2.8</v>
      </c>
      <c r="BS67" s="27">
        <f t="shared" si="26"/>
        <v>1.0368624810637938E-3</v>
      </c>
      <c r="BT67" s="47">
        <v>0.55000000000000004</v>
      </c>
      <c r="BU67" s="27">
        <f t="shared" si="27"/>
        <v>2.0366941592324524E-4</v>
      </c>
      <c r="BV67" s="47">
        <v>0.08</v>
      </c>
      <c r="BW67" s="27">
        <f t="shared" si="28"/>
        <v>2.9270704573547589E-5</v>
      </c>
      <c r="BX67" s="47">
        <v>7.0000000000000007E-2</v>
      </c>
      <c r="BY67" s="27">
        <f t="shared" si="29"/>
        <v>2.5611866501854141E-5</v>
      </c>
      <c r="BZ67" s="51">
        <f t="shared" si="30"/>
        <v>363.5</v>
      </c>
      <c r="CA67" s="51">
        <f t="shared" si="31"/>
        <v>83.499999999999986</v>
      </c>
      <c r="CB67" s="27">
        <f t="shared" si="32"/>
        <v>0.13590420050406379</v>
      </c>
      <c r="CC67" s="27">
        <f t="shared" si="33"/>
        <v>3.1043468663539502E-2</v>
      </c>
      <c r="CD67">
        <v>4000</v>
      </c>
      <c r="CE67">
        <v>1100</v>
      </c>
      <c r="CF67" t="s">
        <v>19</v>
      </c>
      <c r="CG67">
        <v>5100</v>
      </c>
      <c r="CH67" s="32">
        <v>4.2</v>
      </c>
      <c r="CI67" s="32">
        <f t="shared" si="34"/>
        <v>7.5201432408236346E-2</v>
      </c>
      <c r="CJ67" s="32">
        <f t="shared" si="35"/>
        <v>7.5201432408236346E-2</v>
      </c>
      <c r="CK67" s="32">
        <v>2</v>
      </c>
      <c r="CL67" s="32">
        <f t="shared" si="36"/>
        <v>3.6409976333515386E-2</v>
      </c>
      <c r="CM67" s="32">
        <f t="shared" si="37"/>
        <v>7.2819952667030771E-2</v>
      </c>
      <c r="CN67" s="27">
        <v>40</v>
      </c>
      <c r="CO67" s="27">
        <f t="shared" si="38"/>
        <v>0.41640641265875494</v>
      </c>
      <c r="CP67" s="27">
        <f t="shared" si="39"/>
        <v>3.3312513012700395</v>
      </c>
      <c r="CQ67" s="57">
        <v>41</v>
      </c>
      <c r="CR67" s="57">
        <v>50.617283950617285</v>
      </c>
      <c r="CS67" s="57">
        <v>3.4145325838017904</v>
      </c>
      <c r="CT67" s="57">
        <f t="shared" si="40"/>
        <v>3.4145325838017904</v>
      </c>
      <c r="CU67" s="28">
        <v>28</v>
      </c>
      <c r="CV67" s="28">
        <v>41.17647058823529</v>
      </c>
      <c r="CW67" s="28">
        <v>2.3318759108890275</v>
      </c>
      <c r="CX67" s="28">
        <f t="shared" si="41"/>
        <v>2.3318759108890275</v>
      </c>
      <c r="CY67" s="32">
        <f t="shared" si="42"/>
        <v>23.833437434936496</v>
      </c>
      <c r="CZ67" s="32">
        <f t="shared" si="43"/>
        <v>23.833437434936496</v>
      </c>
      <c r="DA67" s="32">
        <f t="shared" si="44"/>
        <v>28.033437434936495</v>
      </c>
      <c r="DB67" s="32">
        <f t="shared" si="45"/>
        <v>0.50194158343664264</v>
      </c>
      <c r="DC67" s="32">
        <f t="shared" si="46"/>
        <v>0.50194158343664264</v>
      </c>
      <c r="DD67" s="59">
        <f t="shared" si="47"/>
        <v>16.276493858005413</v>
      </c>
      <c r="DE67" s="59">
        <f t="shared" si="48"/>
        <v>16.276493858005413</v>
      </c>
      <c r="DF67" s="59">
        <f t="shared" si="49"/>
        <v>20.476493858005412</v>
      </c>
      <c r="DG67" s="59">
        <f t="shared" si="50"/>
        <v>0.36663373067153826</v>
      </c>
      <c r="DH67" s="59">
        <f t="shared" si="51"/>
        <v>0.36663373067153826</v>
      </c>
      <c r="DI67" s="32">
        <f t="shared" si="52"/>
        <v>3.3312513012700395</v>
      </c>
      <c r="DJ67" s="32">
        <f t="shared" si="53"/>
        <v>22.476493858005412</v>
      </c>
      <c r="DK67" s="32">
        <f t="shared" si="54"/>
        <v>0.43945368333856905</v>
      </c>
      <c r="DL67">
        <f t="shared" si="60"/>
        <v>3.9892941199054639</v>
      </c>
      <c r="DM67">
        <f t="shared" si="62"/>
        <v>1.8253844033128453E-2</v>
      </c>
      <c r="DN67">
        <f t="shared" si="63"/>
        <v>0.12582215508555619</v>
      </c>
      <c r="DO67">
        <f t="shared" si="64"/>
        <v>0.85592400088131537</v>
      </c>
      <c r="DP67">
        <f t="shared" si="55"/>
        <v>2.7713295942275966</v>
      </c>
      <c r="DQ67">
        <f t="shared" si="65"/>
        <v>2.6276179065350968E-2</v>
      </c>
      <c r="DR67">
        <f t="shared" si="66"/>
        <v>0.13229524609241708</v>
      </c>
      <c r="DS67">
        <f t="shared" si="67"/>
        <v>0.84142857484223188</v>
      </c>
      <c r="DT67" s="63">
        <f t="shared" si="68"/>
        <v>-2.9141660117351043</v>
      </c>
      <c r="DU67" s="63">
        <f t="shared" si="69"/>
        <v>-1.6962014860572372</v>
      </c>
      <c r="DV67" s="63">
        <f t="shared" si="70"/>
        <v>-2.8831225430715648</v>
      </c>
      <c r="DW67" s="63">
        <f t="shared" si="71"/>
        <v>-1.6651580173936977</v>
      </c>
      <c r="DX67" t="str">
        <f t="shared" si="57"/>
        <v>Sufficient Capacity</v>
      </c>
      <c r="DY67" t="str">
        <f t="shared" si="58"/>
        <v>Sufficient Capacity</v>
      </c>
      <c r="DZ67" t="str">
        <f t="shared" si="59"/>
        <v>Sulfate Dominant electron acceptor</v>
      </c>
      <c r="EA67" t="str">
        <f t="shared" si="72"/>
        <v>Sulfate Dominant electron acceptor</v>
      </c>
      <c r="EB67">
        <v>9.5667430000000008E-3</v>
      </c>
      <c r="EC67">
        <v>1.475809E-3</v>
      </c>
      <c r="ED67" s="66">
        <v>2.3337720000000001E-6</v>
      </c>
      <c r="EE67">
        <v>3.3625300000000001E-4</v>
      </c>
      <c r="EF67">
        <v>3.3114049999999999E-3</v>
      </c>
      <c r="EG67" s="66">
        <v>2.142734E-5</v>
      </c>
      <c r="EH67">
        <v>1.606472E-4</v>
      </c>
      <c r="EI67" s="66">
        <v>8.46727E-5</v>
      </c>
      <c r="EJ67">
        <v>5.8579529999999995E-4</v>
      </c>
      <c r="EK67">
        <v>9.2213539999999995E-4</v>
      </c>
      <c r="EL67">
        <v>3.3946280000000001E-4</v>
      </c>
      <c r="EM67">
        <v>1.1260399999999999E-4</v>
      </c>
      <c r="EN67">
        <v>2.210877E-3</v>
      </c>
      <c r="EO67">
        <v>8.7216249999999996E-4</v>
      </c>
      <c r="EP67">
        <v>1.3424789999999999E-3</v>
      </c>
      <c r="EQ67">
        <v>1.372077E-3</v>
      </c>
      <c r="ER67">
        <v>2.591645E-4</v>
      </c>
      <c r="ES67">
        <v>5.3326049999999998E-4</v>
      </c>
      <c r="ET67">
        <v>1.140642E-2</v>
      </c>
      <c r="EU67">
        <v>2.886759E-3</v>
      </c>
      <c r="EV67">
        <v>9.6413179999999994E-3</v>
      </c>
      <c r="EW67">
        <v>4.946067E-4</v>
      </c>
      <c r="EX67">
        <v>5.2419470000000003E-3</v>
      </c>
      <c r="EY67">
        <v>6.6223219999999999E-3</v>
      </c>
      <c r="EZ67">
        <v>7.9331940000000004E-4</v>
      </c>
      <c r="FA67">
        <v>6.6972280000000004E-4</v>
      </c>
      <c r="FB67">
        <v>6.9337629999999999E-4</v>
      </c>
      <c r="FC67">
        <v>1.7578579999999999E-3</v>
      </c>
      <c r="FD67">
        <v>3.8669419999999999E-4</v>
      </c>
      <c r="FE67">
        <v>1.9340599999999999E-2</v>
      </c>
      <c r="FF67">
        <v>1.6440030000000001E-2</v>
      </c>
      <c r="FG67">
        <v>8.7205589999999993E-3</v>
      </c>
      <c r="FH67">
        <v>7.7377350000000001E-4</v>
      </c>
      <c r="FI67">
        <v>1.1563560000000001E-3</v>
      </c>
      <c r="FJ67">
        <v>1.170437E-2</v>
      </c>
      <c r="FK67">
        <v>-0.53253346545762603</v>
      </c>
      <c r="FL67">
        <v>-0.32877254945581802</v>
      </c>
      <c r="FM67">
        <v>0.57288504402217399</v>
      </c>
      <c r="FN67">
        <v>-0.61436149893574898</v>
      </c>
      <c r="FO67">
        <v>6.4612260549481895E-2</v>
      </c>
      <c r="FP67">
        <v>0.28098340683478501</v>
      </c>
      <c r="FQ67">
        <v>0.248399969023996</v>
      </c>
      <c r="FR67">
        <v>-0.29430650621045801</v>
      </c>
      <c r="FS67">
        <v>-0.82574277465412405</v>
      </c>
      <c r="FT67">
        <v>8.3618006305044901E-2</v>
      </c>
      <c r="FU67">
        <v>6.6191859180573701E-2</v>
      </c>
      <c r="FV67">
        <v>-0.45614426192733898</v>
      </c>
      <c r="FW67">
        <v>0.12713057291417601</v>
      </c>
      <c r="FX67">
        <v>-0.42432719447148098</v>
      </c>
      <c r="FY67">
        <v>-0.26671994873929</v>
      </c>
      <c r="FZ67">
        <v>0.27316948921897699</v>
      </c>
      <c r="GA67">
        <v>4.1381444559221797E-2</v>
      </c>
      <c r="GB67">
        <v>8.6808943850068807E-2</v>
      </c>
      <c r="GC67">
        <v>-0.26477397588104401</v>
      </c>
      <c r="GD67">
        <v>5.2316555716310602E-2</v>
      </c>
      <c r="GE67">
        <v>-2.2461843226560401E-2</v>
      </c>
      <c r="GF67">
        <v>-0.47369017600163199</v>
      </c>
      <c r="GG67">
        <v>-0.34517270287057999</v>
      </c>
      <c r="GH67">
        <v>-0.35466114483259298</v>
      </c>
      <c r="GI67">
        <v>-6.3724585684917096E-2</v>
      </c>
      <c r="GJ67">
        <v>7.9454223664050097E-2</v>
      </c>
      <c r="GK67">
        <v>-0.18730119276486101</v>
      </c>
      <c r="GL67">
        <v>9.5015734985228306E-2</v>
      </c>
      <c r="GM67">
        <v>3.3476420943497197E-2</v>
      </c>
      <c r="GN67">
        <v>-2.4492492913538801E-2</v>
      </c>
      <c r="GO67">
        <v>-0.216540205101452</v>
      </c>
      <c r="GP67">
        <v>9.9869821978064294E-2</v>
      </c>
      <c r="GT67" s="66"/>
      <c r="GV67" s="66"/>
      <c r="HK67" s="1"/>
      <c r="HL67" s="1"/>
      <c r="HM67" s="65"/>
      <c r="HN67" s="1"/>
      <c r="HO67" s="65"/>
      <c r="HP67" s="65"/>
      <c r="HQ67" s="65"/>
      <c r="HS67" s="65"/>
      <c r="HT67" s="65"/>
      <c r="HU67" s="65"/>
      <c r="HV67" s="65"/>
      <c r="HW67" s="65"/>
      <c r="HX67" s="65"/>
      <c r="JJ67" s="66"/>
      <c r="JL67" s="66"/>
      <c r="JN67" s="66"/>
    </row>
    <row r="68" spans="1:278" ht="15.75" x14ac:dyDescent="0.25">
      <c r="A68" s="4" t="s">
        <v>121</v>
      </c>
      <c r="B68" s="4" t="s">
        <v>121</v>
      </c>
      <c r="C68" s="2" t="s">
        <v>827</v>
      </c>
      <c r="D68" s="2" t="s">
        <v>510</v>
      </c>
      <c r="E68" s="2" t="s">
        <v>510</v>
      </c>
      <c r="F68" s="2">
        <v>67</v>
      </c>
      <c r="G68" s="2" t="s">
        <v>826</v>
      </c>
      <c r="H68" s="10" t="s">
        <v>656</v>
      </c>
      <c r="I68" s="2">
        <v>150</v>
      </c>
      <c r="J68" s="2">
        <v>65</v>
      </c>
      <c r="K68" s="2">
        <v>7.2</v>
      </c>
      <c r="L68" t="s">
        <v>294</v>
      </c>
      <c r="M68" s="2" t="s">
        <v>1120</v>
      </c>
      <c r="N68" s="2" t="s">
        <v>436</v>
      </c>
      <c r="O68" s="2" t="s">
        <v>673</v>
      </c>
      <c r="P68" s="2" t="s">
        <v>1127</v>
      </c>
      <c r="Q68" s="9" t="s">
        <v>725</v>
      </c>
      <c r="R68" s="2" t="str">
        <f t="shared" si="73"/>
        <v>CW_2_Section_3</v>
      </c>
      <c r="S68" s="2" t="str">
        <f t="shared" si="74"/>
        <v>CW_2_MF09</v>
      </c>
      <c r="T68" s="11" t="s">
        <v>798</v>
      </c>
      <c r="U68" s="1">
        <v>45643</v>
      </c>
      <c r="V68" s="2" t="s">
        <v>799</v>
      </c>
      <c r="W68" s="2" t="s">
        <v>655</v>
      </c>
      <c r="X68" s="2" t="s">
        <v>797</v>
      </c>
      <c r="Y68" s="2" t="str">
        <f t="shared" si="75"/>
        <v>T2_MF09</v>
      </c>
      <c r="Z68" s="2" t="str">
        <f t="shared" si="76"/>
        <v>T2_CW_2_MF09</v>
      </c>
      <c r="AA68" s="2" t="str">
        <f t="shared" si="77"/>
        <v>T2_0.15-0.30</v>
      </c>
      <c r="AB68" s="2">
        <v>127</v>
      </c>
      <c r="AC68" s="2">
        <v>4.1769999999999996</v>
      </c>
      <c r="AD68" s="2">
        <v>-0.76</v>
      </c>
      <c r="AE68" s="2">
        <v>2</v>
      </c>
      <c r="AF68" t="s">
        <v>45</v>
      </c>
      <c r="AG68" t="s">
        <v>1237</v>
      </c>
      <c r="AH68">
        <v>62</v>
      </c>
      <c r="AI68">
        <v>23</v>
      </c>
      <c r="AJ68">
        <v>1.5</v>
      </c>
      <c r="AK68">
        <v>5.7</v>
      </c>
      <c r="AL68">
        <v>8.6999999999999993</v>
      </c>
      <c r="AM68">
        <v>-122</v>
      </c>
      <c r="AN68">
        <v>7.05</v>
      </c>
      <c r="AO68">
        <v>622</v>
      </c>
      <c r="AP68">
        <v>0.1</v>
      </c>
      <c r="AQ68">
        <v>0.01</v>
      </c>
      <c r="AR68">
        <v>12</v>
      </c>
      <c r="AS68">
        <v>18</v>
      </c>
      <c r="AT68">
        <v>570</v>
      </c>
      <c r="AU68" s="32">
        <f t="shared" si="16"/>
        <v>0.21892203303034183</v>
      </c>
      <c r="AV68">
        <v>12</v>
      </c>
      <c r="AW68" s="32">
        <f t="shared" si="61"/>
        <v>4.6885174734100279E-3</v>
      </c>
      <c r="AX68">
        <v>260</v>
      </c>
      <c r="AY68" s="32">
        <f t="shared" si="17"/>
        <v>0.10285391353489687</v>
      </c>
      <c r="AZ68">
        <v>130</v>
      </c>
      <c r="BA68" s="32">
        <f t="shared" si="18"/>
        <v>5.1426956767448434E-2</v>
      </c>
      <c r="BB68">
        <v>110</v>
      </c>
      <c r="BC68" s="32">
        <f t="shared" si="19"/>
        <v>4.3515117264764057E-2</v>
      </c>
      <c r="BD68">
        <v>240</v>
      </c>
      <c r="BF68" s="48">
        <v>1082</v>
      </c>
      <c r="BG68" s="48">
        <f t="shared" si="20"/>
        <v>0.32646446403864871</v>
      </c>
      <c r="BH68">
        <v>160</v>
      </c>
      <c r="BI68" s="32">
        <f t="shared" si="21"/>
        <v>5.9920418194585309E-2</v>
      </c>
      <c r="BJ68" s="47">
        <v>110</v>
      </c>
      <c r="BK68" s="27">
        <f t="shared" si="22"/>
        <v>4.1195287508777406E-2</v>
      </c>
      <c r="BL68" s="47">
        <v>2.2999999999999998</v>
      </c>
      <c r="BM68" s="27">
        <f t="shared" si="23"/>
        <v>8.4631053288652339E-4</v>
      </c>
      <c r="BN68" s="47">
        <v>1.4</v>
      </c>
      <c r="BO68" s="27">
        <f t="shared" si="24"/>
        <v>5.2655469813890144E-4</v>
      </c>
      <c r="BP68" s="47">
        <v>0.51</v>
      </c>
      <c r="BQ68" s="27">
        <f t="shared" si="25"/>
        <v>1.9022981590662979E-4</v>
      </c>
      <c r="BR68" s="47">
        <v>0.13</v>
      </c>
      <c r="BS68" s="27">
        <f t="shared" si="26"/>
        <v>4.8140043763676151E-5</v>
      </c>
      <c r="BT68" s="47">
        <v>1E-3</v>
      </c>
      <c r="BU68" s="27">
        <f t="shared" si="27"/>
        <v>3.7030802895135499E-7</v>
      </c>
      <c r="BV68" s="47">
        <v>1E-3</v>
      </c>
      <c r="BW68" s="27">
        <f t="shared" si="28"/>
        <v>3.6588380716934485E-7</v>
      </c>
      <c r="BX68" s="47">
        <v>2E-3</v>
      </c>
      <c r="BY68" s="27">
        <f t="shared" si="29"/>
        <v>7.3176761433868969E-7</v>
      </c>
      <c r="BZ68" s="51">
        <f t="shared" si="30"/>
        <v>114.34400000000001</v>
      </c>
      <c r="CA68" s="51">
        <f t="shared" si="31"/>
        <v>4.3440000000000003</v>
      </c>
      <c r="CB68" s="27">
        <f t="shared" si="32"/>
        <v>4.2807990558923585E-2</v>
      </c>
      <c r="CC68" s="27">
        <f t="shared" si="33"/>
        <v>1.6127030501461902E-3</v>
      </c>
      <c r="CD68">
        <v>250</v>
      </c>
      <c r="CE68">
        <v>30</v>
      </c>
      <c r="CF68" t="s">
        <v>19</v>
      </c>
      <c r="CG68">
        <v>280</v>
      </c>
      <c r="CH68" s="32">
        <v>21</v>
      </c>
      <c r="CI68" s="32">
        <f t="shared" si="34"/>
        <v>0.37600716204118173</v>
      </c>
      <c r="CJ68" s="32">
        <f t="shared" si="35"/>
        <v>0.37600716204118173</v>
      </c>
      <c r="CK68" s="32">
        <v>4</v>
      </c>
      <c r="CL68" s="32">
        <f t="shared" si="36"/>
        <v>7.2819952667030771E-2</v>
      </c>
      <c r="CM68" s="32">
        <f t="shared" si="37"/>
        <v>0.14563990533406154</v>
      </c>
      <c r="CN68" s="27">
        <v>0.5</v>
      </c>
      <c r="CO68" s="27">
        <f t="shared" si="38"/>
        <v>5.2050801582344368E-3</v>
      </c>
      <c r="CP68" s="27">
        <f t="shared" si="39"/>
        <v>4.1640641265875494E-2</v>
      </c>
      <c r="CQ68" s="57">
        <v>80.5</v>
      </c>
      <c r="CR68" s="57">
        <v>99.382716049382708</v>
      </c>
      <c r="CS68" s="57">
        <v>6.7041432438059543</v>
      </c>
      <c r="CT68" s="57">
        <f t="shared" si="40"/>
        <v>6.7041432438059543</v>
      </c>
      <c r="CU68" s="28">
        <v>0</v>
      </c>
      <c r="CV68" s="28">
        <v>0</v>
      </c>
      <c r="CW68" s="28">
        <v>0</v>
      </c>
      <c r="CX68" s="28">
        <f t="shared" si="41"/>
        <v>0</v>
      </c>
      <c r="CY68" s="32">
        <f t="shared" si="42"/>
        <v>46.794919841765562</v>
      </c>
      <c r="CZ68" s="32">
        <f t="shared" si="43"/>
        <v>46.794919841765562</v>
      </c>
      <c r="DA68" s="32">
        <f t="shared" si="44"/>
        <v>67.794919841765562</v>
      </c>
      <c r="DB68" s="32">
        <f t="shared" si="45"/>
        <v>1.2138750195481747</v>
      </c>
      <c r="DC68" s="32">
        <f t="shared" si="46"/>
        <v>1.2138750195481747</v>
      </c>
      <c r="DD68" s="59">
        <f t="shared" si="47"/>
        <v>0</v>
      </c>
      <c r="DE68" s="59">
        <f t="shared" si="48"/>
        <v>0</v>
      </c>
      <c r="DF68" s="59">
        <f t="shared" si="49"/>
        <v>21</v>
      </c>
      <c r="DG68" s="59">
        <f t="shared" si="50"/>
        <v>0.37600716204118173</v>
      </c>
      <c r="DH68" s="59">
        <f t="shared" si="51"/>
        <v>0.37600716204118173</v>
      </c>
      <c r="DI68" s="32">
        <f t="shared" si="52"/>
        <v>4.1640641265875494E-2</v>
      </c>
      <c r="DJ68" s="32">
        <f t="shared" si="53"/>
        <v>25</v>
      </c>
      <c r="DK68" s="32">
        <f t="shared" si="54"/>
        <v>0.52164706737524325</v>
      </c>
      <c r="DL68">
        <f t="shared" si="60"/>
        <v>8.0636581686881907</v>
      </c>
      <c r="DM68">
        <f t="shared" si="62"/>
        <v>1.8061269747221251E-2</v>
      </c>
      <c r="DN68">
        <f t="shared" si="63"/>
        <v>0.15053651756491185</v>
      </c>
      <c r="DO68">
        <f t="shared" si="64"/>
        <v>0.83140221268786685</v>
      </c>
      <c r="DP68">
        <f t="shared" si="55"/>
        <v>0.52164706737524325</v>
      </c>
      <c r="DQ68">
        <f t="shared" si="65"/>
        <v>0.27919241656408367</v>
      </c>
      <c r="DR68">
        <f t="shared" si="66"/>
        <v>0.72080758343591633</v>
      </c>
      <c r="DS68">
        <f t="shared" si="67"/>
        <v>0</v>
      </c>
      <c r="DT68" s="63">
        <f t="shared" si="68"/>
        <v>-7.6772732864549571</v>
      </c>
      <c r="DU68" s="63">
        <f t="shared" si="69"/>
        <v>-0.13526218514200922</v>
      </c>
      <c r="DV68" s="63">
        <f t="shared" si="70"/>
        <v>-7.6756605834048104</v>
      </c>
      <c r="DW68" s="63">
        <f t="shared" si="71"/>
        <v>-0.133649482091863</v>
      </c>
      <c r="DX68" t="str">
        <f t="shared" si="57"/>
        <v>Sufficient Capacity</v>
      </c>
      <c r="DY68" t="str">
        <f t="shared" si="58"/>
        <v>Sufficient Capacity</v>
      </c>
      <c r="DZ68" t="str">
        <f t="shared" si="59"/>
        <v>Sulfate Dominant electron acceptor</v>
      </c>
      <c r="EA68" t="str">
        <f t="shared" si="72"/>
        <v>Manganese Dominant electron acceptor</v>
      </c>
      <c r="EB68">
        <v>9.4689030000000007E-3</v>
      </c>
      <c r="EC68">
        <v>9.3651740000000002E-4</v>
      </c>
      <c r="ED68" s="66">
        <v>1.0788369999999999E-6</v>
      </c>
      <c r="EE68">
        <v>4.9716769999999999E-4</v>
      </c>
      <c r="EF68">
        <v>3.291029E-3</v>
      </c>
      <c r="EG68" s="66">
        <v>9.3241680000000004E-6</v>
      </c>
      <c r="EH68">
        <v>2.4475560000000003E-4</v>
      </c>
      <c r="EI68">
        <v>1.610956E-4</v>
      </c>
      <c r="EJ68">
        <v>3.888106E-4</v>
      </c>
      <c r="EK68">
        <v>7.1240650000000002E-4</v>
      </c>
      <c r="EL68">
        <v>2.5094599999999999E-4</v>
      </c>
      <c r="EM68">
        <v>1.5007369999999999E-4</v>
      </c>
      <c r="EN68">
        <v>1.9392350000000001E-3</v>
      </c>
      <c r="EO68">
        <v>7.6573020000000002E-4</v>
      </c>
      <c r="EP68">
        <v>1.8652779999999999E-3</v>
      </c>
      <c r="EQ68">
        <v>1.57774E-3</v>
      </c>
      <c r="ER68">
        <v>2.392905E-4</v>
      </c>
      <c r="ES68">
        <v>6.9285029999999995E-4</v>
      </c>
      <c r="ET68">
        <v>2.255449E-2</v>
      </c>
      <c r="EU68">
        <v>3.4116440000000001E-3</v>
      </c>
      <c r="EV68">
        <v>1.089272E-2</v>
      </c>
      <c r="EW68">
        <v>5.218725E-4</v>
      </c>
      <c r="EX68">
        <v>4.5342799999999999E-3</v>
      </c>
      <c r="EY68">
        <v>5.7606030000000004E-3</v>
      </c>
      <c r="EZ68">
        <v>1.1048150000000001E-3</v>
      </c>
      <c r="FA68">
        <v>8.7902939999999995E-4</v>
      </c>
      <c r="FB68">
        <v>9.3228050000000002E-4</v>
      </c>
      <c r="FC68">
        <v>1.770111E-3</v>
      </c>
      <c r="FD68">
        <v>2.5127519999999998E-4</v>
      </c>
      <c r="FE68">
        <v>1.913161E-2</v>
      </c>
      <c r="FF68">
        <v>7.9593990000000007E-3</v>
      </c>
      <c r="FG68">
        <v>4.4086079999999996E-3</v>
      </c>
      <c r="FH68">
        <v>3.815984E-4</v>
      </c>
      <c r="FI68">
        <v>1.3327840000000001E-3</v>
      </c>
      <c r="FJ68">
        <v>6.35361E-3</v>
      </c>
      <c r="FK68">
        <v>-0.14146992453790799</v>
      </c>
      <c r="FL68">
        <v>-0.33494483824777399</v>
      </c>
      <c r="FM68">
        <v>-0.25917289367162299</v>
      </c>
      <c r="FN68">
        <v>-0.19331199351266501</v>
      </c>
      <c r="FO68">
        <v>0.70781700247691104</v>
      </c>
      <c r="FP68">
        <v>-0.128894668721416</v>
      </c>
      <c r="FQ68">
        <v>-9.6434229528075104E-3</v>
      </c>
      <c r="FR68">
        <v>-0.59643309776059195</v>
      </c>
      <c r="FS68">
        <v>-0.53849350694254805</v>
      </c>
      <c r="FT68">
        <v>-4.7477697676727701E-2</v>
      </c>
      <c r="FU68">
        <v>-6.3954012202163596E-2</v>
      </c>
      <c r="FV68">
        <v>-0.12725206309838599</v>
      </c>
      <c r="FW68">
        <v>0.26679836605867802</v>
      </c>
      <c r="FX68">
        <v>-0.50411189468934103</v>
      </c>
      <c r="FY68">
        <v>-4.9160379347608103E-3</v>
      </c>
      <c r="FZ68">
        <v>0.95492729364803597</v>
      </c>
      <c r="GA68">
        <v>0.20844131157534199</v>
      </c>
      <c r="GB68">
        <v>0.20884579877053</v>
      </c>
      <c r="GC68">
        <v>-0.21111357200216599</v>
      </c>
      <c r="GD68">
        <v>-9.2710132686288901E-2</v>
      </c>
      <c r="GE68">
        <v>-0.16186575023378599</v>
      </c>
      <c r="GF68">
        <v>-0.14248291169865701</v>
      </c>
      <c r="GG68">
        <v>-7.3218254077071193E-2</v>
      </c>
      <c r="GH68">
        <v>-5.8600263023814499E-2</v>
      </c>
      <c r="GI68">
        <v>-5.6778351595331102E-2</v>
      </c>
      <c r="GJ68">
        <v>-0.35163122327852198</v>
      </c>
      <c r="GK68">
        <v>-0.19816576517920101</v>
      </c>
      <c r="GL68">
        <v>-0.63034998496538797</v>
      </c>
      <c r="GM68">
        <v>-0.64864792705382301</v>
      </c>
      <c r="GN68">
        <v>-0.73140294132495798</v>
      </c>
      <c r="GO68">
        <v>-7.4543898863204602E-2</v>
      </c>
      <c r="GP68">
        <v>-0.51106929905932796</v>
      </c>
      <c r="GR68" s="66"/>
      <c r="GT68" s="66"/>
      <c r="GV68" s="66"/>
      <c r="GW68" s="65"/>
      <c r="GX68" s="65"/>
      <c r="HK68" s="1"/>
      <c r="HL68" s="1"/>
      <c r="HM68" s="1"/>
      <c r="HN68" s="1"/>
      <c r="HO68" s="65"/>
      <c r="HP68" s="65"/>
      <c r="HQ68" s="65"/>
      <c r="HV68" s="65"/>
      <c r="HW68" s="65"/>
      <c r="HX68" s="65"/>
    </row>
    <row r="69" spans="1:278" ht="15.75" x14ac:dyDescent="0.25">
      <c r="A69" s="4" t="s">
        <v>122</v>
      </c>
      <c r="B69" s="4" t="s">
        <v>122</v>
      </c>
      <c r="C69" s="2" t="s">
        <v>829</v>
      </c>
      <c r="D69" s="2" t="s">
        <v>511</v>
      </c>
      <c r="E69" s="2" t="s">
        <v>511</v>
      </c>
      <c r="F69" s="2">
        <v>68</v>
      </c>
      <c r="G69" s="2" t="s">
        <v>828</v>
      </c>
      <c r="H69" s="10" t="s">
        <v>656</v>
      </c>
      <c r="I69" s="2">
        <v>150</v>
      </c>
      <c r="J69" s="2">
        <v>65</v>
      </c>
      <c r="K69" s="2">
        <v>5.0999999999999996</v>
      </c>
      <c r="L69" t="s">
        <v>295</v>
      </c>
      <c r="M69" s="2" t="s">
        <v>1120</v>
      </c>
      <c r="N69" s="2" t="s">
        <v>436</v>
      </c>
      <c r="O69" s="2" t="s">
        <v>673</v>
      </c>
      <c r="P69" s="2" t="s">
        <v>1128</v>
      </c>
      <c r="Q69" s="9" t="s">
        <v>728</v>
      </c>
      <c r="R69" s="2" t="str">
        <f t="shared" si="73"/>
        <v>CW_2_Section_3</v>
      </c>
      <c r="S69" s="2" t="str">
        <f t="shared" si="74"/>
        <v>CW_2_MF10</v>
      </c>
      <c r="T69" s="11" t="s">
        <v>798</v>
      </c>
      <c r="U69" s="1">
        <v>45643</v>
      </c>
      <c r="V69" s="2" t="s">
        <v>799</v>
      </c>
      <c r="W69" s="2" t="s">
        <v>663</v>
      </c>
      <c r="X69" s="2" t="s">
        <v>797</v>
      </c>
      <c r="Y69" s="2" t="str">
        <f t="shared" si="75"/>
        <v>T2_MF10</v>
      </c>
      <c r="Z69" s="2" t="str">
        <f t="shared" si="76"/>
        <v>T2_CW_2_MF10</v>
      </c>
      <c r="AA69" s="2" t="str">
        <f t="shared" si="77"/>
        <v>T2_0.60-0.80</v>
      </c>
      <c r="AB69" s="2">
        <v>127</v>
      </c>
      <c r="AC69" s="2">
        <v>4.1769999999999996</v>
      </c>
      <c r="AD69" s="2">
        <v>-0.76</v>
      </c>
      <c r="AE69" s="2">
        <v>2</v>
      </c>
      <c r="AF69" t="s">
        <v>47</v>
      </c>
      <c r="AG69" t="s">
        <v>1237</v>
      </c>
      <c r="AH69">
        <v>67</v>
      </c>
      <c r="AI69">
        <v>26</v>
      </c>
      <c r="AJ69">
        <v>0.56999999999999995</v>
      </c>
      <c r="AK69">
        <v>0.49</v>
      </c>
      <c r="AL69">
        <v>9.5</v>
      </c>
      <c r="AM69">
        <v>-115</v>
      </c>
      <c r="AN69">
        <v>7.02</v>
      </c>
      <c r="AO69">
        <v>536</v>
      </c>
      <c r="AP69">
        <v>0.2</v>
      </c>
      <c r="AQ69">
        <v>0.01</v>
      </c>
      <c r="AR69">
        <v>11</v>
      </c>
      <c r="AS69">
        <v>12</v>
      </c>
      <c r="AT69">
        <v>660</v>
      </c>
      <c r="AU69" s="32">
        <f t="shared" si="16"/>
        <v>0.25348866982460633</v>
      </c>
      <c r="AV69">
        <v>34</v>
      </c>
      <c r="AW69" s="32">
        <f t="shared" si="61"/>
        <v>1.3284132841328414E-2</v>
      </c>
      <c r="AX69">
        <v>400</v>
      </c>
      <c r="AY69" s="32">
        <f t="shared" si="17"/>
        <v>0.15823679005368749</v>
      </c>
      <c r="AZ69">
        <v>210</v>
      </c>
      <c r="BA69" s="32">
        <f t="shared" si="18"/>
        <v>8.3074314778185929E-2</v>
      </c>
      <c r="BB69">
        <v>190</v>
      </c>
      <c r="BC69" s="32">
        <f t="shared" si="19"/>
        <v>7.5162475275501545E-2</v>
      </c>
      <c r="BD69">
        <v>400</v>
      </c>
      <c r="BF69" s="48">
        <v>1494</v>
      </c>
      <c r="BG69" s="48">
        <f t="shared" si="20"/>
        <v>0.42500959271962224</v>
      </c>
      <c r="BH69">
        <v>1900</v>
      </c>
      <c r="BI69" s="32">
        <f t="shared" si="21"/>
        <v>0.71155496606070068</v>
      </c>
      <c r="BJ69" s="47">
        <v>710</v>
      </c>
      <c r="BK69" s="27">
        <f t="shared" si="22"/>
        <v>0.26589685573847233</v>
      </c>
      <c r="BL69" s="47">
        <v>58</v>
      </c>
      <c r="BM69" s="27">
        <f t="shared" si="23"/>
        <v>2.134174387279059E-2</v>
      </c>
      <c r="BN69" s="47">
        <v>41</v>
      </c>
      <c r="BO69" s="27">
        <f t="shared" si="24"/>
        <v>1.54205304454964E-2</v>
      </c>
      <c r="BP69" s="47">
        <v>13</v>
      </c>
      <c r="BQ69" s="27">
        <f t="shared" si="25"/>
        <v>4.8489953074238963E-3</v>
      </c>
      <c r="BR69" s="47">
        <v>3.4</v>
      </c>
      <c r="BS69" s="27">
        <f t="shared" si="26"/>
        <v>1.259047298434607E-3</v>
      </c>
      <c r="BT69" s="47">
        <v>0.73</v>
      </c>
      <c r="BU69" s="27">
        <f t="shared" si="27"/>
        <v>2.7032486113448914E-4</v>
      </c>
      <c r="BV69" s="47">
        <v>0.06</v>
      </c>
      <c r="BW69" s="27">
        <f t="shared" si="28"/>
        <v>2.1953028430160689E-5</v>
      </c>
      <c r="BX69" s="47">
        <v>0.03</v>
      </c>
      <c r="BY69" s="27">
        <f t="shared" si="29"/>
        <v>1.0976514215080345E-5</v>
      </c>
      <c r="BZ69" s="51">
        <f t="shared" si="30"/>
        <v>826.21999999999991</v>
      </c>
      <c r="CA69" s="51">
        <f t="shared" si="31"/>
        <v>116.22000000000001</v>
      </c>
      <c r="CB69" s="27">
        <f t="shared" si="32"/>
        <v>0.30907042706639754</v>
      </c>
      <c r="CC69" s="27">
        <f t="shared" si="33"/>
        <v>4.317357132792523E-2</v>
      </c>
      <c r="CD69">
        <v>3500</v>
      </c>
      <c r="CE69">
        <v>910</v>
      </c>
      <c r="CF69" t="s">
        <v>19</v>
      </c>
      <c r="CG69">
        <v>4400</v>
      </c>
      <c r="CH69" s="32">
        <v>2.4</v>
      </c>
      <c r="CI69" s="32">
        <f t="shared" si="34"/>
        <v>4.2972247090420766E-2</v>
      </c>
      <c r="CJ69" s="32">
        <f t="shared" si="35"/>
        <v>4.2972247090420766E-2</v>
      </c>
      <c r="CK69" s="32">
        <v>2.1</v>
      </c>
      <c r="CL69" s="32">
        <f t="shared" si="36"/>
        <v>3.8230475150191151E-2</v>
      </c>
      <c r="CM69" s="32">
        <f t="shared" si="37"/>
        <v>7.6460950300382302E-2</v>
      </c>
      <c r="CN69" s="27">
        <v>42</v>
      </c>
      <c r="CO69" s="27">
        <f t="shared" si="38"/>
        <v>0.4372267332916927</v>
      </c>
      <c r="CP69" s="27">
        <f t="shared" si="39"/>
        <v>3.4978138663335416</v>
      </c>
      <c r="CQ69" s="57">
        <v>39</v>
      </c>
      <c r="CR69" s="57">
        <v>48.148148148148145</v>
      </c>
      <c r="CS69" s="57">
        <v>3.2479700187382883</v>
      </c>
      <c r="CT69" s="57">
        <f t="shared" si="40"/>
        <v>3.2479700187382883</v>
      </c>
      <c r="CU69" s="28">
        <v>-2</v>
      </c>
      <c r="CV69" s="28">
        <v>-5</v>
      </c>
      <c r="CW69" s="28">
        <v>-0.16656256506350198</v>
      </c>
      <c r="CX69" s="28">
        <f t="shared" si="41"/>
        <v>0</v>
      </c>
      <c r="CY69" s="32">
        <f t="shared" si="42"/>
        <v>22.670830730793252</v>
      </c>
      <c r="CZ69" s="32">
        <f t="shared" si="43"/>
        <v>22.670830730793252</v>
      </c>
      <c r="DA69" s="32">
        <f t="shared" si="44"/>
        <v>25.070830730793251</v>
      </c>
      <c r="DB69" s="32">
        <f t="shared" si="45"/>
        <v>0.44889580538573409</v>
      </c>
      <c r="DC69" s="32">
        <f t="shared" si="46"/>
        <v>0.44889580538573409</v>
      </c>
      <c r="DD69" s="59">
        <f t="shared" si="47"/>
        <v>-1.1626067041432437</v>
      </c>
      <c r="DE69" s="59">
        <f t="shared" si="48"/>
        <v>0</v>
      </c>
      <c r="DF69" s="59">
        <f t="shared" si="49"/>
        <v>2.4</v>
      </c>
      <c r="DG69" s="59">
        <f t="shared" si="50"/>
        <v>4.2972247090420766E-2</v>
      </c>
      <c r="DH69" s="59">
        <f t="shared" si="51"/>
        <v>4.2972247090420766E-2</v>
      </c>
      <c r="DI69" s="32">
        <f t="shared" si="52"/>
        <v>3.4978138663335416</v>
      </c>
      <c r="DJ69" s="32">
        <f t="shared" si="53"/>
        <v>4.5</v>
      </c>
      <c r="DK69" s="32">
        <f t="shared" si="54"/>
        <v>0.11943319739080308</v>
      </c>
      <c r="DL69">
        <f t="shared" si="60"/>
        <v>3.7733267744244046</v>
      </c>
      <c r="DM69">
        <f t="shared" si="62"/>
        <v>2.0263537952406971E-2</v>
      </c>
      <c r="DN69">
        <f t="shared" si="63"/>
        <v>0.11896552623757589</v>
      </c>
      <c r="DO69">
        <f t="shared" si="64"/>
        <v>0.86077093581001718</v>
      </c>
      <c r="DP69">
        <f t="shared" si="55"/>
        <v>0.11943319739080308</v>
      </c>
      <c r="DQ69">
        <f t="shared" si="65"/>
        <v>0.64019847053236612</v>
      </c>
      <c r="DR69">
        <f t="shared" si="66"/>
        <v>0.35980152946763388</v>
      </c>
      <c r="DS69">
        <f t="shared" si="67"/>
        <v>0</v>
      </c>
      <c r="DT69" s="63">
        <f t="shared" si="68"/>
        <v>-2.6367622156440818</v>
      </c>
      <c r="DU69" s="63">
        <f t="shared" si="69"/>
        <v>1.0171313613895197</v>
      </c>
      <c r="DV69" s="63">
        <f t="shared" si="70"/>
        <v>-2.5935886443161564</v>
      </c>
      <c r="DW69" s="63">
        <f t="shared" si="71"/>
        <v>1.060304932717445</v>
      </c>
      <c r="DX69" t="str">
        <f t="shared" si="57"/>
        <v>Sufficient Capacity</v>
      </c>
      <c r="DY69" t="str">
        <f t="shared" si="58"/>
        <v>Insufficient Capacity</v>
      </c>
      <c r="DZ69" t="str">
        <f t="shared" si="59"/>
        <v>Sulfate Dominant electron acceptor</v>
      </c>
      <c r="EA69" t="str">
        <f t="shared" si="72"/>
        <v>Iron Dominant electron acceptor</v>
      </c>
      <c r="EB69">
        <v>1.0601660000000001E-2</v>
      </c>
      <c r="EC69">
        <v>1.791558E-3</v>
      </c>
      <c r="ED69" s="66">
        <v>2.4616970000000002E-6</v>
      </c>
      <c r="EE69">
        <v>1.8097210000000001E-4</v>
      </c>
      <c r="EF69">
        <v>1.9117509999999999E-3</v>
      </c>
      <c r="EG69" s="66">
        <v>1.243046E-5</v>
      </c>
      <c r="EH69" s="66">
        <v>8.9487910000000002E-5</v>
      </c>
      <c r="EI69" s="66">
        <v>6.0891830000000001E-5</v>
      </c>
      <c r="EJ69">
        <v>1.9320519999999999E-4</v>
      </c>
      <c r="EK69">
        <v>3.4220970000000002E-4</v>
      </c>
      <c r="EL69">
        <v>2.6632190000000001E-4</v>
      </c>
      <c r="EM69" s="66">
        <v>6.7835980000000004E-5</v>
      </c>
      <c r="EN69">
        <v>1.7012570000000001E-3</v>
      </c>
      <c r="EO69">
        <v>5.3307859999999997E-4</v>
      </c>
      <c r="EP69">
        <v>1.154452E-3</v>
      </c>
      <c r="EQ69">
        <v>1.9158479999999999E-3</v>
      </c>
      <c r="ER69">
        <v>1.32717E-4</v>
      </c>
      <c r="ES69">
        <v>3.4865010000000002E-4</v>
      </c>
      <c r="ET69">
        <v>1.015749E-2</v>
      </c>
      <c r="EU69">
        <v>2.8062009999999999E-3</v>
      </c>
      <c r="EV69">
        <v>1.0423150000000001E-2</v>
      </c>
      <c r="EW69">
        <v>5.5721760000000003E-4</v>
      </c>
      <c r="EX69">
        <v>6.014391E-3</v>
      </c>
      <c r="EY69">
        <v>7.3176630000000003E-3</v>
      </c>
      <c r="EZ69">
        <v>4.9893059999999996E-4</v>
      </c>
      <c r="FA69">
        <v>3.5956310000000001E-4</v>
      </c>
      <c r="FB69">
        <v>3.659685E-4</v>
      </c>
      <c r="FC69">
        <v>1.453897E-3</v>
      </c>
      <c r="FD69">
        <v>1.4143909999999999E-4</v>
      </c>
      <c r="FE69">
        <v>1.9732690000000001E-2</v>
      </c>
      <c r="FF69">
        <v>2.149496E-2</v>
      </c>
      <c r="FG69">
        <v>1.0530400000000001E-2</v>
      </c>
      <c r="FH69">
        <v>9.1130490000000002E-4</v>
      </c>
      <c r="FI69">
        <v>1.0049270000000001E-3</v>
      </c>
      <c r="FJ69">
        <v>1.4105680000000001E-2</v>
      </c>
      <c r="FK69">
        <v>-1.1520544425289001</v>
      </c>
      <c r="FL69">
        <v>-0.87812554405841903</v>
      </c>
      <c r="FM69">
        <v>2.8367279377586201E-2</v>
      </c>
      <c r="FN69">
        <v>-1.1994686227945399</v>
      </c>
      <c r="FO69">
        <v>-0.26508196373964699</v>
      </c>
      <c r="FP69">
        <v>-0.82823416778046299</v>
      </c>
      <c r="FQ69">
        <v>-0.74286839136143501</v>
      </c>
      <c r="FR69">
        <v>-0.53696514678845697</v>
      </c>
      <c r="FS69">
        <v>-1.3325272810550299</v>
      </c>
      <c r="FT69">
        <v>-0.178403873489903</v>
      </c>
      <c r="FU69">
        <v>-0.42611502011720198</v>
      </c>
      <c r="FV69">
        <v>-0.60703639423970601</v>
      </c>
      <c r="FW69">
        <v>0.46096526719648701</v>
      </c>
      <c r="FX69">
        <v>-1.0935711480447801</v>
      </c>
      <c r="FY69">
        <v>-0.691661155985973</v>
      </c>
      <c r="FZ69">
        <v>0.15720449882273199</v>
      </c>
      <c r="GA69">
        <v>1.3078636352829199E-2</v>
      </c>
      <c r="GB69">
        <v>0.16478041648526501</v>
      </c>
      <c r="GC69">
        <v>-0.14558104926589399</v>
      </c>
      <c r="GD69">
        <v>0.189778658929038</v>
      </c>
      <c r="GE69">
        <v>7.7383107740850193E-2</v>
      </c>
      <c r="GF69">
        <v>-0.93744908289665896</v>
      </c>
      <c r="GG69">
        <v>-0.96714691498516803</v>
      </c>
      <c r="GH69">
        <v>-0.99368673396981899</v>
      </c>
      <c r="GI69">
        <v>-0.25357307054169498</v>
      </c>
      <c r="GJ69">
        <v>-0.92631074038279504</v>
      </c>
      <c r="GK69">
        <v>-0.16723105475462</v>
      </c>
      <c r="GL69">
        <v>0.36311500958997101</v>
      </c>
      <c r="GM69">
        <v>0.22205939170175301</v>
      </c>
      <c r="GN69">
        <v>0.139105840403494</v>
      </c>
      <c r="GO69">
        <v>-0.35689898436272899</v>
      </c>
      <c r="GP69">
        <v>0.28648509878277001</v>
      </c>
      <c r="GT69" s="66"/>
      <c r="GV69" s="66"/>
      <c r="HK69" s="1"/>
      <c r="HL69" s="1"/>
      <c r="HM69" s="65"/>
      <c r="HN69" s="1"/>
      <c r="HO69" s="65"/>
      <c r="HP69" s="65"/>
      <c r="HQ69" s="65"/>
      <c r="HV69" s="65"/>
      <c r="HW69" s="65"/>
      <c r="HX69" s="65"/>
      <c r="JH69" s="66"/>
      <c r="JJ69" s="66"/>
      <c r="JL69" s="66"/>
      <c r="JN69" s="66"/>
    </row>
    <row r="70" spans="1:278" ht="15.75" x14ac:dyDescent="0.25">
      <c r="A70" s="4" t="s">
        <v>123</v>
      </c>
      <c r="B70" s="4" t="s">
        <v>123</v>
      </c>
      <c r="C70" s="2" t="s">
        <v>831</v>
      </c>
      <c r="D70" s="2" t="s">
        <v>512</v>
      </c>
      <c r="E70" s="2" t="s">
        <v>512</v>
      </c>
      <c r="F70" s="2">
        <v>69</v>
      </c>
      <c r="G70" s="2" t="s">
        <v>830</v>
      </c>
      <c r="H70" s="10" t="s">
        <v>656</v>
      </c>
      <c r="I70" s="2">
        <v>150</v>
      </c>
      <c r="J70" s="2">
        <v>65</v>
      </c>
      <c r="K70" s="2">
        <v>9.4499999999999993</v>
      </c>
      <c r="L70" t="s">
        <v>298</v>
      </c>
      <c r="M70" s="2" t="s">
        <v>1120</v>
      </c>
      <c r="N70" s="2" t="s">
        <v>437</v>
      </c>
      <c r="O70" s="2" t="s">
        <v>653</v>
      </c>
      <c r="P70" s="2" t="s">
        <v>1123</v>
      </c>
      <c r="Q70" s="9" t="s">
        <v>731</v>
      </c>
      <c r="R70" s="2" t="str">
        <f t="shared" si="73"/>
        <v>CW_3_Section_1</v>
      </c>
      <c r="S70" s="2" t="str">
        <f t="shared" si="74"/>
        <v>CW_3_MF01</v>
      </c>
      <c r="T70" s="11" t="s">
        <v>798</v>
      </c>
      <c r="U70" s="1">
        <v>45644</v>
      </c>
      <c r="V70" s="2" t="s">
        <v>799</v>
      </c>
      <c r="W70" s="2" t="s">
        <v>655</v>
      </c>
      <c r="X70" s="2" t="s">
        <v>797</v>
      </c>
      <c r="Y70" s="2" t="str">
        <f t="shared" si="75"/>
        <v>T2_MF01</v>
      </c>
      <c r="Z70" s="2" t="str">
        <f t="shared" si="76"/>
        <v>T2_CW_3_MF01</v>
      </c>
      <c r="AA70" s="2" t="str">
        <f t="shared" si="77"/>
        <v>T2_0.15-0.30</v>
      </c>
      <c r="AB70" s="2">
        <v>127</v>
      </c>
      <c r="AC70" s="2">
        <v>4.1769999999999996</v>
      </c>
      <c r="AD70" s="2">
        <v>-0.76</v>
      </c>
      <c r="AE70" s="2">
        <v>2</v>
      </c>
      <c r="AF70" t="s">
        <v>51</v>
      </c>
      <c r="AG70" t="s">
        <v>1237</v>
      </c>
      <c r="AH70">
        <v>63</v>
      </c>
      <c r="AI70">
        <v>22</v>
      </c>
      <c r="AJ70">
        <v>1.7</v>
      </c>
      <c r="AK70">
        <v>4.3</v>
      </c>
      <c r="AL70">
        <v>9.8000000000000007</v>
      </c>
      <c r="AM70">
        <v>-106</v>
      </c>
      <c r="AN70">
        <v>7.09</v>
      </c>
      <c r="AO70">
        <v>1102</v>
      </c>
      <c r="AP70">
        <v>0.2</v>
      </c>
      <c r="AQ70">
        <v>0.01</v>
      </c>
      <c r="AR70">
        <v>9.8000000000000007</v>
      </c>
      <c r="AS70">
        <v>10</v>
      </c>
      <c r="AT70">
        <v>550</v>
      </c>
      <c r="AU70" s="32">
        <f t="shared" si="16"/>
        <v>0.21124055818717194</v>
      </c>
      <c r="AV70">
        <v>13</v>
      </c>
      <c r="AW70" s="32">
        <f t="shared" si="61"/>
        <v>5.0792272628608645E-3</v>
      </c>
      <c r="AX70">
        <v>140</v>
      </c>
      <c r="AY70" s="32">
        <f t="shared" si="17"/>
        <v>5.5382876518790619E-2</v>
      </c>
      <c r="AZ70">
        <v>110</v>
      </c>
      <c r="BA70" s="32">
        <f t="shared" si="18"/>
        <v>4.3515117264764057E-2</v>
      </c>
      <c r="BB70">
        <v>59</v>
      </c>
      <c r="BC70" s="32">
        <f t="shared" si="19"/>
        <v>2.3339926532918904E-2</v>
      </c>
      <c r="BD70">
        <v>169</v>
      </c>
      <c r="BF70" s="48">
        <v>872</v>
      </c>
      <c r="BG70" s="48">
        <f t="shared" si="20"/>
        <v>0.27170266196882342</v>
      </c>
      <c r="BH70">
        <v>32</v>
      </c>
      <c r="BI70" s="32">
        <f t="shared" si="21"/>
        <v>1.1984083638917061E-2</v>
      </c>
      <c r="BJ70" s="47">
        <v>0.17</v>
      </c>
      <c r="BK70" s="27">
        <f t="shared" si="22"/>
        <v>6.36654443317469E-5</v>
      </c>
      <c r="BL70" s="47">
        <v>0.11</v>
      </c>
      <c r="BM70" s="27">
        <f t="shared" si="23"/>
        <v>4.0475721138051117E-5</v>
      </c>
      <c r="BN70" s="47">
        <v>0.01</v>
      </c>
      <c r="BO70" s="27">
        <f t="shared" si="24"/>
        <v>3.7611049867064394E-6</v>
      </c>
      <c r="BP70" s="47">
        <v>5.0000000000000001E-3</v>
      </c>
      <c r="BQ70" s="27">
        <f t="shared" si="25"/>
        <v>1.8649981951630372E-6</v>
      </c>
      <c r="BR70" s="47">
        <v>0.01</v>
      </c>
      <c r="BS70" s="27">
        <f t="shared" si="26"/>
        <v>3.7030802895135499E-6</v>
      </c>
      <c r="BT70" s="47">
        <v>1E-3</v>
      </c>
      <c r="BU70" s="27">
        <f t="shared" si="27"/>
        <v>3.7030802895135499E-7</v>
      </c>
      <c r="BV70" s="47">
        <v>1E-3</v>
      </c>
      <c r="BW70" s="27">
        <f t="shared" si="28"/>
        <v>3.6588380716934485E-7</v>
      </c>
      <c r="BX70" s="47">
        <v>2E-3</v>
      </c>
      <c r="BY70" s="27">
        <f t="shared" si="29"/>
        <v>7.3176761433868969E-7</v>
      </c>
      <c r="BZ70" s="51">
        <f t="shared" si="30"/>
        <v>0.30900000000000005</v>
      </c>
      <c r="CA70" s="51">
        <f t="shared" si="31"/>
        <v>0.13900000000000001</v>
      </c>
      <c r="CB70" s="27">
        <f t="shared" si="32"/>
        <v>1.1493830839164045E-4</v>
      </c>
      <c r="CC70" s="27">
        <f t="shared" si="33"/>
        <v>5.1272864059893534E-5</v>
      </c>
      <c r="CD70">
        <v>2.5</v>
      </c>
      <c r="CE70">
        <v>2.5</v>
      </c>
      <c r="CF70" t="s">
        <v>19</v>
      </c>
      <c r="CG70">
        <v>5</v>
      </c>
      <c r="CH70" s="32">
        <v>25</v>
      </c>
      <c r="CI70" s="32">
        <f t="shared" si="34"/>
        <v>0.44762757385854968</v>
      </c>
      <c r="CJ70" s="32">
        <f t="shared" si="35"/>
        <v>0.44762757385854968</v>
      </c>
      <c r="CK70" s="32">
        <v>3.8</v>
      </c>
      <c r="CL70" s="32">
        <f t="shared" si="36"/>
        <v>6.9178955033679226E-2</v>
      </c>
      <c r="CM70" s="32">
        <f t="shared" si="37"/>
        <v>0.13835791006735845</v>
      </c>
      <c r="CN70" s="27">
        <v>0.5</v>
      </c>
      <c r="CO70" s="27">
        <f t="shared" si="38"/>
        <v>5.2050801582344368E-3</v>
      </c>
      <c r="CP70" s="27">
        <f t="shared" si="39"/>
        <v>4.1640641265875494E-2</v>
      </c>
      <c r="CQ70" s="57">
        <v>80.5</v>
      </c>
      <c r="CR70" s="57">
        <v>99.382716049382708</v>
      </c>
      <c r="CS70" s="57">
        <v>6.7041432438059543</v>
      </c>
      <c r="CT70" s="57">
        <f t="shared" si="40"/>
        <v>6.7041432438059543</v>
      </c>
      <c r="CU70" s="28">
        <v>80.5</v>
      </c>
      <c r="CV70" s="28">
        <v>99.382716049382708</v>
      </c>
      <c r="CW70" s="28">
        <v>6.7041432438059543</v>
      </c>
      <c r="CX70" s="28">
        <f t="shared" si="41"/>
        <v>6.7041432438059543</v>
      </c>
      <c r="CY70" s="32">
        <f t="shared" si="42"/>
        <v>46.794919841765562</v>
      </c>
      <c r="CZ70" s="32">
        <f t="shared" si="43"/>
        <v>46.794919841765562</v>
      </c>
      <c r="DA70" s="32">
        <f t="shared" si="44"/>
        <v>71.794919841765562</v>
      </c>
      <c r="DB70" s="32">
        <f t="shared" si="45"/>
        <v>1.2854954313655427</v>
      </c>
      <c r="DC70" s="32">
        <f t="shared" si="46"/>
        <v>1.2854954313655427</v>
      </c>
      <c r="DD70" s="59">
        <f t="shared" si="47"/>
        <v>46.794919841765562</v>
      </c>
      <c r="DE70" s="59">
        <f t="shared" si="48"/>
        <v>46.794919841765562</v>
      </c>
      <c r="DF70" s="59">
        <f t="shared" si="49"/>
        <v>71.794919841765562</v>
      </c>
      <c r="DG70" s="59">
        <f t="shared" si="50"/>
        <v>1.2854954313655427</v>
      </c>
      <c r="DH70" s="59">
        <f t="shared" si="51"/>
        <v>1.2854954313655427</v>
      </c>
      <c r="DI70" s="32">
        <f t="shared" si="52"/>
        <v>4.1640641265875494E-2</v>
      </c>
      <c r="DJ70" s="32">
        <f t="shared" si="53"/>
        <v>75.594919841765559</v>
      </c>
      <c r="DK70" s="32">
        <f t="shared" si="54"/>
        <v>1.4238533414329011</v>
      </c>
      <c r="DL70">
        <f t="shared" si="60"/>
        <v>8.127996585238856</v>
      </c>
      <c r="DM70">
        <f t="shared" si="62"/>
        <v>1.7022387819235599E-2</v>
      </c>
      <c r="DN70">
        <f t="shared" si="63"/>
        <v>0.15815649254825148</v>
      </c>
      <c r="DO70">
        <f t="shared" si="64"/>
        <v>0.82482111963251281</v>
      </c>
      <c r="DP70">
        <f t="shared" si="55"/>
        <v>8.127996585238856</v>
      </c>
      <c r="DQ70">
        <f t="shared" si="65"/>
        <v>1.7022387819235599E-2</v>
      </c>
      <c r="DR70">
        <f t="shared" si="66"/>
        <v>0.15815649254825148</v>
      </c>
      <c r="DS70">
        <f t="shared" si="67"/>
        <v>0.82482111963251281</v>
      </c>
      <c r="DT70" s="63">
        <f t="shared" si="68"/>
        <v>-7.8443098396311157</v>
      </c>
      <c r="DU70" s="63">
        <f t="shared" si="69"/>
        <v>-7.8443098396311157</v>
      </c>
      <c r="DV70" s="63">
        <f t="shared" si="70"/>
        <v>-7.8442585667670555</v>
      </c>
      <c r="DW70" s="63">
        <f t="shared" si="71"/>
        <v>-7.8442585667670555</v>
      </c>
      <c r="DX70" t="str">
        <f t="shared" si="57"/>
        <v>Sufficient Capacity</v>
      </c>
      <c r="DY70" t="str">
        <f t="shared" si="58"/>
        <v>Sufficient Capacity</v>
      </c>
      <c r="DZ70" t="str">
        <f t="shared" si="59"/>
        <v>Sulfate Dominant electron acceptor</v>
      </c>
      <c r="EA70" t="str">
        <f t="shared" si="72"/>
        <v>Sulfate Dominant electron acceptor</v>
      </c>
      <c r="EB70">
        <v>9.3989639999999992E-3</v>
      </c>
      <c r="EC70">
        <v>9.5929559999999997E-4</v>
      </c>
      <c r="ED70" s="66">
        <v>1.9272559999999998E-6</v>
      </c>
      <c r="EE70">
        <v>3.5158459999999999E-4</v>
      </c>
      <c r="EF70">
        <v>3.2142669999999998E-3</v>
      </c>
      <c r="EG70" s="66">
        <v>1.121263E-5</v>
      </c>
      <c r="EH70">
        <v>1.8109579999999999E-4</v>
      </c>
      <c r="EI70">
        <v>1.6569189999999999E-4</v>
      </c>
      <c r="EJ70">
        <v>3.5790360000000001E-4</v>
      </c>
      <c r="EK70">
        <v>6.3254640000000003E-4</v>
      </c>
      <c r="EL70">
        <v>2.2242750000000001E-4</v>
      </c>
      <c r="EM70">
        <v>1.4525709999999999E-4</v>
      </c>
      <c r="EN70">
        <v>2.0128979999999999E-3</v>
      </c>
      <c r="EO70">
        <v>7.6730400000000001E-4</v>
      </c>
      <c r="EP70">
        <v>1.717344E-3</v>
      </c>
      <c r="EQ70">
        <v>1.607722E-3</v>
      </c>
      <c r="ER70">
        <v>2.2525879999999999E-4</v>
      </c>
      <c r="ES70">
        <v>5.4751080000000002E-4</v>
      </c>
      <c r="ET70">
        <v>2.140686E-2</v>
      </c>
      <c r="EU70">
        <v>3.5360040000000001E-3</v>
      </c>
      <c r="EV70">
        <v>1.075302E-2</v>
      </c>
      <c r="EW70">
        <v>4.824106E-4</v>
      </c>
      <c r="EX70">
        <v>4.7341609999999998E-3</v>
      </c>
      <c r="EY70">
        <v>6.1036420000000003E-3</v>
      </c>
      <c r="EZ70">
        <v>1.0590269999999999E-3</v>
      </c>
      <c r="FA70">
        <v>7.9743149999999998E-4</v>
      </c>
      <c r="FB70">
        <v>8.2953439999999996E-4</v>
      </c>
      <c r="FC70">
        <v>1.793584E-3</v>
      </c>
      <c r="FD70">
        <v>2.561428E-4</v>
      </c>
      <c r="FE70">
        <v>1.8639670000000001E-2</v>
      </c>
      <c r="FF70">
        <v>8.0745590000000003E-3</v>
      </c>
      <c r="FG70">
        <v>4.5036729999999997E-3</v>
      </c>
      <c r="FH70">
        <v>4.5645529999999997E-4</v>
      </c>
      <c r="FI70">
        <v>1.329862E-3</v>
      </c>
      <c r="FJ70">
        <v>6.4991629999999996E-3</v>
      </c>
      <c r="FK70">
        <v>-0.48794695318764603</v>
      </c>
      <c r="FL70">
        <v>-0.35854578216553601</v>
      </c>
      <c r="FM70">
        <v>-7.4741811180228296E-2</v>
      </c>
      <c r="FN70">
        <v>-0.49454598213823497</v>
      </c>
      <c r="FO70">
        <v>0.73594906460863496</v>
      </c>
      <c r="FP70">
        <v>-0.211723327913547</v>
      </c>
      <c r="FQ70">
        <v>-0.12853852081950101</v>
      </c>
      <c r="FR70">
        <v>-0.71706966849293496</v>
      </c>
      <c r="FS70">
        <v>-0.57111473793082401</v>
      </c>
      <c r="FT70">
        <v>-1.0195788353558799E-2</v>
      </c>
      <c r="FU70">
        <v>-6.1900828322937897E-2</v>
      </c>
      <c r="FV70">
        <v>-0.20988325545299999</v>
      </c>
      <c r="FW70">
        <v>0.28562319297451</v>
      </c>
      <c r="FX70">
        <v>-0.56454022626531997</v>
      </c>
      <c r="FY70">
        <v>-0.24034780895004801</v>
      </c>
      <c r="FZ70">
        <v>0.90270456584453795</v>
      </c>
      <c r="GA70">
        <v>0.24424430101782199</v>
      </c>
      <c r="GB70">
        <v>0.19593776793423401</v>
      </c>
      <c r="GC70">
        <v>-0.289741258539084</v>
      </c>
      <c r="GD70">
        <v>-4.9571918681044401E-2</v>
      </c>
      <c r="GE70">
        <v>-0.104022264765589</v>
      </c>
      <c r="GF70">
        <v>-0.18481024979249799</v>
      </c>
      <c r="GG70">
        <v>-0.170640660748862</v>
      </c>
      <c r="GH70">
        <v>-0.17536941855742899</v>
      </c>
      <c r="GI70">
        <v>-4.3604755389799799E-2</v>
      </c>
      <c r="GJ70">
        <v>-0.33244487466971001</v>
      </c>
      <c r="GK70">
        <v>-0.22421560085561401</v>
      </c>
      <c r="GL70">
        <v>-0.61598522484438001</v>
      </c>
      <c r="GM70">
        <v>-0.62731363435702003</v>
      </c>
      <c r="GN70">
        <v>-0.55228091172605298</v>
      </c>
      <c r="GO70">
        <v>-7.6738708967879696E-2</v>
      </c>
      <c r="GP70">
        <v>-0.48841905498443999</v>
      </c>
      <c r="GR70" s="66"/>
      <c r="GT70" s="66"/>
      <c r="GV70" s="66"/>
      <c r="GZ70" s="66"/>
      <c r="HK70" s="1"/>
      <c r="HL70" s="1"/>
      <c r="HM70" s="1"/>
      <c r="HN70" s="1"/>
      <c r="HO70" s="65"/>
      <c r="HP70" s="65"/>
      <c r="HQ70" s="65"/>
      <c r="HS70" s="65"/>
      <c r="HT70" s="65"/>
      <c r="HU70" s="65"/>
      <c r="HV70" s="65"/>
      <c r="HW70" s="65"/>
      <c r="HX70" s="65"/>
      <c r="JJ70" s="66"/>
      <c r="JL70" s="66"/>
      <c r="JN70" s="66"/>
    </row>
    <row r="71" spans="1:278" ht="15.75" x14ac:dyDescent="0.25">
      <c r="A71" s="4" t="s">
        <v>124</v>
      </c>
      <c r="B71" s="4" t="s">
        <v>124</v>
      </c>
      <c r="C71" s="2" t="s">
        <v>833</v>
      </c>
      <c r="D71" s="2" t="s">
        <v>513</v>
      </c>
      <c r="E71" s="2" t="s">
        <v>513</v>
      </c>
      <c r="F71" s="2">
        <v>70</v>
      </c>
      <c r="G71" s="2" t="s">
        <v>832</v>
      </c>
      <c r="H71" s="10" t="s">
        <v>656</v>
      </c>
      <c r="I71" s="2">
        <v>150</v>
      </c>
      <c r="J71" s="2">
        <v>65</v>
      </c>
      <c r="K71" s="2">
        <v>4.9000000000000004</v>
      </c>
      <c r="L71" t="s">
        <v>299</v>
      </c>
      <c r="M71" s="2" t="s">
        <v>1120</v>
      </c>
      <c r="N71" s="2" t="s">
        <v>437</v>
      </c>
      <c r="O71" s="2" t="s">
        <v>653</v>
      </c>
      <c r="P71" s="2" t="s">
        <v>1124</v>
      </c>
      <c r="Q71" s="9" t="s">
        <v>734</v>
      </c>
      <c r="R71" s="2" t="str">
        <f t="shared" si="73"/>
        <v>CW_3_Section_1</v>
      </c>
      <c r="S71" s="2" t="str">
        <f t="shared" si="74"/>
        <v>CW_3_MF02</v>
      </c>
      <c r="T71" s="11" t="s">
        <v>798</v>
      </c>
      <c r="U71" s="1">
        <v>45644</v>
      </c>
      <c r="V71" s="2" t="s">
        <v>799</v>
      </c>
      <c r="W71" s="2" t="s">
        <v>663</v>
      </c>
      <c r="X71" s="2" t="s">
        <v>797</v>
      </c>
      <c r="Y71" s="2" t="str">
        <f t="shared" si="75"/>
        <v>T2_MF02</v>
      </c>
      <c r="Z71" s="2" t="str">
        <f t="shared" si="76"/>
        <v>T2_CW_3_MF02</v>
      </c>
      <c r="AA71" s="2" t="str">
        <f t="shared" si="77"/>
        <v>T2_0.60-0.80</v>
      </c>
      <c r="AB71" s="2">
        <v>127</v>
      </c>
      <c r="AC71" s="2">
        <v>4.1769999999999996</v>
      </c>
      <c r="AD71" s="2">
        <v>-0.76</v>
      </c>
      <c r="AE71" s="2">
        <v>2</v>
      </c>
      <c r="AF71" t="s">
        <v>53</v>
      </c>
      <c r="AG71" t="s">
        <v>1237</v>
      </c>
      <c r="AH71">
        <v>70</v>
      </c>
      <c r="AI71">
        <v>27</v>
      </c>
      <c r="AJ71">
        <v>0.45</v>
      </c>
      <c r="AK71">
        <v>0.49</v>
      </c>
      <c r="AL71">
        <v>9.6</v>
      </c>
      <c r="AM71">
        <v>-145</v>
      </c>
      <c r="AN71">
        <v>6.92</v>
      </c>
      <c r="AO71">
        <v>850</v>
      </c>
      <c r="AP71">
        <v>0.2</v>
      </c>
      <c r="AQ71">
        <v>0.01</v>
      </c>
      <c r="AR71">
        <v>11</v>
      </c>
      <c r="AS71">
        <v>11</v>
      </c>
      <c r="AT71">
        <v>590</v>
      </c>
      <c r="AU71" s="32">
        <f t="shared" si="16"/>
        <v>0.22660350787351172</v>
      </c>
      <c r="AV71">
        <v>49</v>
      </c>
      <c r="AW71" s="32">
        <f t="shared" si="61"/>
        <v>1.9144779683090946E-2</v>
      </c>
      <c r="AX71">
        <v>650</v>
      </c>
      <c r="AY71" s="32">
        <f t="shared" si="17"/>
        <v>0.25713478383724214</v>
      </c>
      <c r="AZ71">
        <v>240</v>
      </c>
      <c r="BA71" s="32">
        <f t="shared" si="18"/>
        <v>9.4942074032212498E-2</v>
      </c>
      <c r="BB71">
        <v>280</v>
      </c>
      <c r="BC71" s="32">
        <f t="shared" si="19"/>
        <v>0.11076575303758124</v>
      </c>
      <c r="BD71">
        <v>520</v>
      </c>
      <c r="BF71" s="48">
        <v>1809</v>
      </c>
      <c r="BG71" s="48">
        <f t="shared" si="20"/>
        <v>0.5028830713938448</v>
      </c>
      <c r="BH71">
        <v>3000</v>
      </c>
      <c r="BI71" s="32">
        <f t="shared" si="21"/>
        <v>1.1235078411484747</v>
      </c>
      <c r="BJ71" s="47">
        <v>1400</v>
      </c>
      <c r="BK71" s="27">
        <f t="shared" si="22"/>
        <v>0.52430365920262156</v>
      </c>
      <c r="BL71" s="47">
        <v>80</v>
      </c>
      <c r="BM71" s="27">
        <f t="shared" si="23"/>
        <v>2.9436888100400814E-2</v>
      </c>
      <c r="BN71" s="47">
        <v>110</v>
      </c>
      <c r="BO71" s="27">
        <f t="shared" si="24"/>
        <v>4.1372154853770833E-2</v>
      </c>
      <c r="BP71" s="47">
        <v>32</v>
      </c>
      <c r="BQ71" s="27">
        <f t="shared" si="25"/>
        <v>1.1935988449043436E-2</v>
      </c>
      <c r="BR71" s="47">
        <v>11</v>
      </c>
      <c r="BS71" s="27">
        <f t="shared" si="26"/>
        <v>4.0733883184649045E-3</v>
      </c>
      <c r="BT71" s="47">
        <v>2.4</v>
      </c>
      <c r="BU71" s="27">
        <f t="shared" si="27"/>
        <v>8.8873926948325195E-4</v>
      </c>
      <c r="BV71" s="47">
        <v>0.42</v>
      </c>
      <c r="BW71" s="27">
        <f t="shared" si="28"/>
        <v>1.5367119901112485E-4</v>
      </c>
      <c r="BX71" s="47">
        <v>0.36</v>
      </c>
      <c r="BY71" s="27">
        <f t="shared" si="29"/>
        <v>1.3171817058096414E-4</v>
      </c>
      <c r="BZ71" s="51">
        <f t="shared" si="30"/>
        <v>1636.18</v>
      </c>
      <c r="CA71" s="51">
        <f t="shared" si="31"/>
        <v>236.18</v>
      </c>
      <c r="CB71" s="27">
        <f t="shared" si="32"/>
        <v>0.61229620756337699</v>
      </c>
      <c r="CC71" s="27">
        <f t="shared" si="33"/>
        <v>8.7992548360755332E-2</v>
      </c>
      <c r="CD71">
        <v>8900</v>
      </c>
      <c r="CE71">
        <v>1900</v>
      </c>
      <c r="CF71" t="s">
        <v>19</v>
      </c>
      <c r="CG71">
        <v>11000</v>
      </c>
      <c r="CH71" s="32">
        <v>0.5</v>
      </c>
      <c r="CI71" s="32">
        <f t="shared" si="34"/>
        <v>8.9525514771709933E-3</v>
      </c>
      <c r="CJ71" s="32">
        <f t="shared" si="35"/>
        <v>8.9525514771709933E-3</v>
      </c>
      <c r="CK71" s="32">
        <v>0.8</v>
      </c>
      <c r="CL71" s="32">
        <f t="shared" si="36"/>
        <v>1.4563990533406155E-2</v>
      </c>
      <c r="CM71" s="32">
        <f t="shared" si="37"/>
        <v>2.912798106681231E-2</v>
      </c>
      <c r="CN71" s="27">
        <v>58</v>
      </c>
      <c r="CO71" s="27">
        <f t="shared" si="38"/>
        <v>0.60378929835519468</v>
      </c>
      <c r="CP71" s="27">
        <f t="shared" si="39"/>
        <v>4.8303143868415575</v>
      </c>
      <c r="CQ71" s="57">
        <v>23</v>
      </c>
      <c r="CR71" s="57">
        <v>28.39506172839506</v>
      </c>
      <c r="CS71" s="57">
        <v>1.9154694982302727</v>
      </c>
      <c r="CT71" s="57">
        <f t="shared" si="40"/>
        <v>1.9154694982302727</v>
      </c>
      <c r="CU71" s="28">
        <v>23</v>
      </c>
      <c r="CV71" s="28">
        <v>28.39506172839506</v>
      </c>
      <c r="CW71" s="28">
        <v>1.9154694982302727</v>
      </c>
      <c r="CX71" s="28">
        <f t="shared" si="41"/>
        <v>1.9154694982302727</v>
      </c>
      <c r="CY71" s="32">
        <f t="shared" si="42"/>
        <v>13.369977097647302</v>
      </c>
      <c r="CZ71" s="32">
        <f t="shared" si="43"/>
        <v>13.369977097647302</v>
      </c>
      <c r="DA71" s="32">
        <f t="shared" si="44"/>
        <v>13.869977097647302</v>
      </c>
      <c r="DB71" s="32">
        <f t="shared" si="45"/>
        <v>0.24834336790774042</v>
      </c>
      <c r="DC71" s="32">
        <f t="shared" si="46"/>
        <v>0.24834336790774042</v>
      </c>
      <c r="DD71" s="59">
        <f t="shared" si="47"/>
        <v>13.369977097647302</v>
      </c>
      <c r="DE71" s="59">
        <f t="shared" si="48"/>
        <v>13.369977097647302</v>
      </c>
      <c r="DF71" s="59">
        <f t="shared" si="49"/>
        <v>13.869977097647302</v>
      </c>
      <c r="DG71" s="59">
        <f t="shared" si="50"/>
        <v>0.24834336790774042</v>
      </c>
      <c r="DH71" s="59">
        <f t="shared" si="51"/>
        <v>0.24834336790774042</v>
      </c>
      <c r="DI71" s="32">
        <f t="shared" si="52"/>
        <v>4.8303143868415575</v>
      </c>
      <c r="DJ71" s="32">
        <f t="shared" si="53"/>
        <v>14.669977097647303</v>
      </c>
      <c r="DK71" s="32">
        <f t="shared" si="54"/>
        <v>0.27747134897455272</v>
      </c>
      <c r="DL71">
        <f t="shared" si="60"/>
        <v>2.1929408472048255</v>
      </c>
      <c r="DM71">
        <f t="shared" si="62"/>
        <v>1.3282611386412691E-2</v>
      </c>
      <c r="DN71">
        <f t="shared" si="63"/>
        <v>0.11324672447242924</v>
      </c>
      <c r="DO71">
        <f t="shared" si="64"/>
        <v>0.87347066414115804</v>
      </c>
      <c r="DP71">
        <f t="shared" si="55"/>
        <v>2.1929408472048255</v>
      </c>
      <c r="DQ71">
        <f t="shared" si="65"/>
        <v>1.3282611386412691E-2</v>
      </c>
      <c r="DR71">
        <f t="shared" si="66"/>
        <v>0.11324672447242924</v>
      </c>
      <c r="DS71">
        <f t="shared" si="67"/>
        <v>0.87347066414115804</v>
      </c>
      <c r="DT71" s="63">
        <f t="shared" si="68"/>
        <v>-0.56654993466250603</v>
      </c>
      <c r="DU71" s="63">
        <f t="shared" si="69"/>
        <v>-0.56654993466250603</v>
      </c>
      <c r="DV71" s="63">
        <f t="shared" si="70"/>
        <v>-0.47855738630175071</v>
      </c>
      <c r="DW71" s="63">
        <f t="shared" si="71"/>
        <v>-0.47855738630175071</v>
      </c>
      <c r="DX71" t="str">
        <f t="shared" si="57"/>
        <v>Sufficient Capacity</v>
      </c>
      <c r="DY71" t="str">
        <f t="shared" si="58"/>
        <v>Sufficient Capacity</v>
      </c>
      <c r="DZ71" t="str">
        <f t="shared" si="59"/>
        <v>Sulfate Dominant electron acceptor</v>
      </c>
      <c r="EA71" t="str">
        <f t="shared" si="72"/>
        <v>Sulfate Dominant electron acceptor</v>
      </c>
      <c r="EB71">
        <v>1.015105E-2</v>
      </c>
      <c r="EC71">
        <v>1.835019E-3</v>
      </c>
      <c r="ED71">
        <v>0</v>
      </c>
      <c r="EE71">
        <v>3.2469919999999998E-4</v>
      </c>
      <c r="EF71">
        <v>3.2981769999999998E-3</v>
      </c>
      <c r="EG71" s="66">
        <v>9.683678E-6</v>
      </c>
      <c r="EH71">
        <v>1.5838939999999999E-4</v>
      </c>
      <c r="EI71" s="66">
        <v>5.5150079999999998E-5</v>
      </c>
      <c r="EJ71">
        <v>3.4011339999999999E-4</v>
      </c>
      <c r="EK71">
        <v>5.4735839999999999E-4</v>
      </c>
      <c r="EL71">
        <v>3.4925530000000002E-4</v>
      </c>
      <c r="EM71">
        <v>1.126018E-4</v>
      </c>
      <c r="EN71">
        <v>1.9546530000000002E-3</v>
      </c>
      <c r="EO71">
        <v>8.2765669999999999E-4</v>
      </c>
      <c r="EP71">
        <v>1.3856140000000001E-3</v>
      </c>
      <c r="EQ71">
        <v>1.4881849999999999E-3</v>
      </c>
      <c r="ER71">
        <v>2.974133E-4</v>
      </c>
      <c r="ES71">
        <v>4.6275139999999999E-4</v>
      </c>
      <c r="ET71">
        <v>7.5582510000000002E-3</v>
      </c>
      <c r="EU71">
        <v>2.64817E-3</v>
      </c>
      <c r="EV71">
        <v>9.5902069999999999E-3</v>
      </c>
      <c r="EW71">
        <v>5.1907570000000005E-4</v>
      </c>
      <c r="EX71">
        <v>5.6248030000000003E-3</v>
      </c>
      <c r="EY71">
        <v>7.1514300000000003E-3</v>
      </c>
      <c r="EZ71">
        <v>8.5511069999999998E-4</v>
      </c>
      <c r="FA71">
        <v>5.9234520000000005E-4</v>
      </c>
      <c r="FB71">
        <v>6.0435350000000003E-4</v>
      </c>
      <c r="FC71">
        <v>1.582036E-3</v>
      </c>
      <c r="FD71">
        <v>2.0946570000000001E-4</v>
      </c>
      <c r="FE71">
        <v>2.202171E-2</v>
      </c>
      <c r="FF71">
        <v>2.148721E-2</v>
      </c>
      <c r="FG71">
        <v>1.10323E-2</v>
      </c>
      <c r="FH71">
        <v>8.4907929999999997E-4</v>
      </c>
      <c r="FI71">
        <v>1.0759179999999999E-3</v>
      </c>
      <c r="FJ71">
        <v>1.492625E-2</v>
      </c>
      <c r="FK71">
        <v>-0.56749810297394598</v>
      </c>
      <c r="FL71">
        <v>-0.33277522849390601</v>
      </c>
      <c r="FM71">
        <v>-0.22134084490067699</v>
      </c>
      <c r="FN71">
        <v>-0.62851559720260897</v>
      </c>
      <c r="FO71">
        <v>-0.36412277881684102</v>
      </c>
      <c r="FP71">
        <v>-0.26270791289714501</v>
      </c>
      <c r="FQ71">
        <v>-0.27318830031115299</v>
      </c>
      <c r="FR71">
        <v>-0.265867700906603</v>
      </c>
      <c r="FS71">
        <v>-0.82576231233921105</v>
      </c>
      <c r="FT71">
        <v>-3.9558579009241902E-2</v>
      </c>
      <c r="FU71">
        <v>1.3814554304923701E-2</v>
      </c>
      <c r="FV71">
        <v>-0.42451880404669101</v>
      </c>
      <c r="FW71">
        <v>0.20836217937611801</v>
      </c>
      <c r="FX71">
        <v>-0.28666743575249998</v>
      </c>
      <c r="FY71">
        <v>-0.40854001963283498</v>
      </c>
      <c r="FZ71">
        <v>-0.13836705134257599</v>
      </c>
      <c r="GA71">
        <v>-4.4884139568814901E-2</v>
      </c>
      <c r="GB71">
        <v>8.1493596228266796E-2</v>
      </c>
      <c r="GC71">
        <v>-0.21648714722880899</v>
      </c>
      <c r="GD71">
        <v>0.12280948676597001</v>
      </c>
      <c r="GE71">
        <v>5.4404429746351297E-2</v>
      </c>
      <c r="GF71">
        <v>-0.398685156579625</v>
      </c>
      <c r="GG71">
        <v>-0.46794702525124199</v>
      </c>
      <c r="GH71">
        <v>-0.49207470645878998</v>
      </c>
      <c r="GI71">
        <v>-0.16910798298756399</v>
      </c>
      <c r="GJ71">
        <v>-0.53361997332197497</v>
      </c>
      <c r="GK71">
        <v>-5.7478921138523403E-2</v>
      </c>
      <c r="GL71">
        <v>0.36275439494050099</v>
      </c>
      <c r="GM71">
        <v>0.26862041331251701</v>
      </c>
      <c r="GN71">
        <v>6.8380897935995194E-2</v>
      </c>
      <c r="GO71">
        <v>-0.28863963576250401</v>
      </c>
      <c r="GP71">
        <v>0.34302895350166401</v>
      </c>
      <c r="HK71" s="1"/>
      <c r="HL71" s="1"/>
      <c r="HM71" s="65"/>
      <c r="HN71" s="1"/>
      <c r="HO71" s="65"/>
      <c r="HP71" s="65"/>
      <c r="HQ71" s="65"/>
      <c r="HS71" s="65"/>
      <c r="HT71" s="65"/>
      <c r="HU71" s="65"/>
      <c r="HV71" s="65"/>
      <c r="HW71" s="65"/>
      <c r="HX71" s="65"/>
      <c r="JJ71" s="66"/>
      <c r="JL71" s="66"/>
      <c r="JN71" s="66"/>
    </row>
    <row r="72" spans="1:278" ht="15.75" x14ac:dyDescent="0.25">
      <c r="A72" s="4" t="s">
        <v>125</v>
      </c>
      <c r="B72" s="4" t="s">
        <v>125</v>
      </c>
      <c r="C72" s="2" t="s">
        <v>835</v>
      </c>
      <c r="D72" s="2" t="s">
        <v>514</v>
      </c>
      <c r="E72" s="2" t="s">
        <v>514</v>
      </c>
      <c r="F72" s="2">
        <v>71</v>
      </c>
      <c r="G72" s="2" t="s">
        <v>834</v>
      </c>
      <c r="H72" s="10" t="s">
        <v>656</v>
      </c>
      <c r="I72" s="2">
        <v>150</v>
      </c>
      <c r="J72" s="2">
        <v>65</v>
      </c>
      <c r="K72" s="2">
        <v>5</v>
      </c>
      <c r="L72" t="s">
        <v>300</v>
      </c>
      <c r="M72" s="2" t="s">
        <v>1120</v>
      </c>
      <c r="N72" s="2" t="s">
        <v>437</v>
      </c>
      <c r="O72" s="2" t="s">
        <v>666</v>
      </c>
      <c r="P72" s="2" t="s">
        <v>1131</v>
      </c>
      <c r="Q72" s="9" t="s">
        <v>737</v>
      </c>
      <c r="R72" s="2" t="str">
        <f t="shared" si="73"/>
        <v>CW_3_Section_2</v>
      </c>
      <c r="S72" s="2" t="str">
        <f t="shared" si="74"/>
        <v>CW_3_MF05</v>
      </c>
      <c r="T72" s="11" t="s">
        <v>798</v>
      </c>
      <c r="U72" s="1">
        <v>45644</v>
      </c>
      <c r="V72" s="2" t="s">
        <v>799</v>
      </c>
      <c r="W72" s="2" t="s">
        <v>655</v>
      </c>
      <c r="X72" s="2" t="s">
        <v>797</v>
      </c>
      <c r="Y72" s="2" t="str">
        <f t="shared" si="75"/>
        <v>T2_MF05</v>
      </c>
      <c r="Z72" s="2" t="str">
        <f t="shared" si="76"/>
        <v>T2_CW_3_MF05</v>
      </c>
      <c r="AA72" s="2" t="str">
        <f t="shared" si="77"/>
        <v>T2_0.15-0.30</v>
      </c>
      <c r="AB72" s="2">
        <v>127</v>
      </c>
      <c r="AC72" s="2">
        <v>4.1769999999999996</v>
      </c>
      <c r="AD72" s="2">
        <v>-0.76</v>
      </c>
      <c r="AE72" s="2">
        <v>2</v>
      </c>
      <c r="AF72" t="s">
        <v>55</v>
      </c>
      <c r="AG72" t="s">
        <v>1237</v>
      </c>
      <c r="AH72">
        <v>68</v>
      </c>
      <c r="AI72">
        <v>0.2</v>
      </c>
      <c r="AJ72">
        <v>0.35</v>
      </c>
      <c r="AK72">
        <v>6.9</v>
      </c>
      <c r="AL72">
        <v>8.6</v>
      </c>
      <c r="AM72">
        <v>-89</v>
      </c>
      <c r="AN72">
        <v>6.98</v>
      </c>
      <c r="AO72">
        <v>690</v>
      </c>
      <c r="AP72">
        <v>0.2</v>
      </c>
      <c r="AQ72">
        <v>0.01</v>
      </c>
      <c r="AR72">
        <v>1.1000000000000001</v>
      </c>
      <c r="AS72">
        <v>1.5</v>
      </c>
      <c r="AT72">
        <v>3.5</v>
      </c>
      <c r="AU72" s="32">
        <f t="shared" si="16"/>
        <v>1.3442580975547304E-3</v>
      </c>
      <c r="AV72">
        <v>0.4</v>
      </c>
      <c r="AW72" s="32">
        <f t="shared" si="61"/>
        <v>1.562839157803343E-4</v>
      </c>
      <c r="AX72">
        <v>4.4000000000000004</v>
      </c>
      <c r="AY72" s="32">
        <f t="shared" si="17"/>
        <v>1.7406046905905624E-3</v>
      </c>
      <c r="AZ72">
        <v>2.1</v>
      </c>
      <c r="BA72" s="32">
        <f t="shared" si="18"/>
        <v>8.3074314778185923E-4</v>
      </c>
      <c r="BB72">
        <v>1.8</v>
      </c>
      <c r="BC72" s="32">
        <f t="shared" si="19"/>
        <v>7.120655552415937E-4</v>
      </c>
      <c r="BD72">
        <v>3.9</v>
      </c>
      <c r="BF72" s="48">
        <v>12.2</v>
      </c>
      <c r="BG72" s="48">
        <f t="shared" si="20"/>
        <v>3.2411467039256273E-3</v>
      </c>
      <c r="BH72">
        <v>12</v>
      </c>
      <c r="BI72" s="32">
        <f t="shared" si="21"/>
        <v>4.4940313645938984E-3</v>
      </c>
      <c r="BJ72" s="47">
        <v>0.04</v>
      </c>
      <c r="BK72" s="27">
        <f t="shared" si="22"/>
        <v>1.498010454864633E-5</v>
      </c>
      <c r="BL72" s="47">
        <v>0.01</v>
      </c>
      <c r="BM72" s="27">
        <f t="shared" si="23"/>
        <v>3.6796110125501018E-6</v>
      </c>
      <c r="BN72" s="47">
        <v>0.01</v>
      </c>
      <c r="BO72" s="27">
        <f t="shared" si="24"/>
        <v>3.7611049867064394E-6</v>
      </c>
      <c r="BP72" s="47">
        <v>5.0000000000000001E-3</v>
      </c>
      <c r="BQ72" s="27">
        <f t="shared" si="25"/>
        <v>1.8649981951630372E-6</v>
      </c>
      <c r="BR72" s="47">
        <v>1E-3</v>
      </c>
      <c r="BS72" s="27">
        <f t="shared" si="26"/>
        <v>3.7030802895135499E-7</v>
      </c>
      <c r="BT72" s="47">
        <v>1E-3</v>
      </c>
      <c r="BU72" s="27">
        <f t="shared" si="27"/>
        <v>3.7030802895135499E-7</v>
      </c>
      <c r="BV72" s="47">
        <v>1E-3</v>
      </c>
      <c r="BW72" s="27">
        <f t="shared" si="28"/>
        <v>3.6588380716934485E-7</v>
      </c>
      <c r="BX72" s="47">
        <v>2E-3</v>
      </c>
      <c r="BY72" s="27">
        <f t="shared" si="29"/>
        <v>7.3176761433868969E-7</v>
      </c>
      <c r="BZ72" s="51">
        <f t="shared" si="30"/>
        <v>7.0000000000000007E-2</v>
      </c>
      <c r="CA72" s="51">
        <f t="shared" si="31"/>
        <v>3.0000000000000006E-2</v>
      </c>
      <c r="CB72" s="27">
        <f t="shared" si="32"/>
        <v>2.6124086222476654E-5</v>
      </c>
      <c r="CC72" s="27">
        <f t="shared" si="33"/>
        <v>1.1143981673830322E-5</v>
      </c>
      <c r="CD72">
        <v>2.5</v>
      </c>
      <c r="CE72">
        <v>2.5</v>
      </c>
      <c r="CF72" t="s">
        <v>19</v>
      </c>
      <c r="CG72">
        <v>5</v>
      </c>
      <c r="CH72" s="32">
        <v>2.5</v>
      </c>
      <c r="CI72" s="32">
        <f t="shared" si="34"/>
        <v>4.4762757385854966E-2</v>
      </c>
      <c r="CJ72" s="32">
        <f t="shared" si="35"/>
        <v>4.4762757385854966E-2</v>
      </c>
      <c r="CK72" s="32">
        <v>6.9</v>
      </c>
      <c r="CL72" s="32">
        <f t="shared" si="36"/>
        <v>0.12561441835062809</v>
      </c>
      <c r="CM72" s="32">
        <f t="shared" si="37"/>
        <v>0.25122883670125618</v>
      </c>
      <c r="CN72" s="27">
        <v>10</v>
      </c>
      <c r="CO72" s="27">
        <f t="shared" si="38"/>
        <v>0.10410160316468874</v>
      </c>
      <c r="CP72" s="27">
        <f t="shared" si="39"/>
        <v>0.83281282531750989</v>
      </c>
      <c r="CQ72" s="57">
        <v>71</v>
      </c>
      <c r="CR72" s="57">
        <v>87.654320987654316</v>
      </c>
      <c r="CS72" s="57">
        <v>5.9129710597543204</v>
      </c>
      <c r="CT72" s="57">
        <f t="shared" si="40"/>
        <v>5.9129710597543204</v>
      </c>
      <c r="CU72" s="28">
        <v>-9.5</v>
      </c>
      <c r="CV72" s="28">
        <v>-1900</v>
      </c>
      <c r="CW72" s="28">
        <v>-0.79117218405163436</v>
      </c>
      <c r="CX72" s="28">
        <f t="shared" si="41"/>
        <v>0</v>
      </c>
      <c r="CY72" s="32">
        <f t="shared" si="42"/>
        <v>41.272537997085152</v>
      </c>
      <c r="CZ72" s="32">
        <f t="shared" si="43"/>
        <v>41.272537997085152</v>
      </c>
      <c r="DA72" s="32">
        <f t="shared" si="44"/>
        <v>43.772537997085152</v>
      </c>
      <c r="DB72" s="32">
        <f t="shared" si="45"/>
        <v>0.7837517994106562</v>
      </c>
      <c r="DC72" s="32">
        <f t="shared" si="46"/>
        <v>0.7837517994106562</v>
      </c>
      <c r="DD72" s="59">
        <f t="shared" si="47"/>
        <v>-5.5223818446804076</v>
      </c>
      <c r="DE72" s="59">
        <f t="shared" si="48"/>
        <v>0</v>
      </c>
      <c r="DF72" s="59">
        <f t="shared" si="49"/>
        <v>2.5</v>
      </c>
      <c r="DG72" s="59">
        <f t="shared" si="50"/>
        <v>4.4762757385854966E-2</v>
      </c>
      <c r="DH72" s="59">
        <f t="shared" si="51"/>
        <v>4.4762757385854966E-2</v>
      </c>
      <c r="DI72" s="32">
        <f t="shared" si="52"/>
        <v>0.83281282531750989</v>
      </c>
      <c r="DJ72" s="32">
        <f t="shared" si="53"/>
        <v>9.4</v>
      </c>
      <c r="DK72" s="32">
        <f t="shared" si="54"/>
        <v>0.29599159408711112</v>
      </c>
      <c r="DL72">
        <f t="shared" si="60"/>
        <v>6.9479516958662328</v>
      </c>
      <c r="DM72">
        <f t="shared" si="62"/>
        <v>3.6158690747767834E-2</v>
      </c>
      <c r="DN72">
        <f t="shared" si="63"/>
        <v>0.11280328846801839</v>
      </c>
      <c r="DO72">
        <f t="shared" si="64"/>
        <v>0.85103802078421376</v>
      </c>
      <c r="DP72">
        <f t="shared" si="55"/>
        <v>0.29599159408711112</v>
      </c>
      <c r="DQ72">
        <f t="shared" si="65"/>
        <v>0.84877017361283191</v>
      </c>
      <c r="DR72">
        <f t="shared" si="66"/>
        <v>0.15122982638716817</v>
      </c>
      <c r="DS72">
        <f t="shared" si="67"/>
        <v>0</v>
      </c>
      <c r="DT72" s="63">
        <f t="shared" si="68"/>
        <v>-6.9402165177977135</v>
      </c>
      <c r="DU72" s="63">
        <f t="shared" si="69"/>
        <v>-0.28825641601859159</v>
      </c>
      <c r="DV72" s="63">
        <f t="shared" si="70"/>
        <v>-6.9402053738160392</v>
      </c>
      <c r="DW72" s="63">
        <f t="shared" si="71"/>
        <v>-0.28824527203691774</v>
      </c>
      <c r="DX72" t="str">
        <f t="shared" si="57"/>
        <v>Sufficient Capacity</v>
      </c>
      <c r="DY72" t="str">
        <f t="shared" si="58"/>
        <v>Sufficient Capacity</v>
      </c>
      <c r="DZ72" t="str">
        <f t="shared" si="59"/>
        <v>Sulfate Dominant electron acceptor</v>
      </c>
      <c r="EA72" t="str">
        <f t="shared" si="72"/>
        <v>Iron Dominant electron acceptor</v>
      </c>
      <c r="EB72">
        <v>9.9254440000000003E-3</v>
      </c>
      <c r="EC72">
        <v>1.7173449999999999E-3</v>
      </c>
      <c r="ED72" s="66">
        <v>5.2480370000000002E-7</v>
      </c>
      <c r="EE72">
        <v>3.8196429999999998E-4</v>
      </c>
      <c r="EF72">
        <v>3.2631079999999998E-3</v>
      </c>
      <c r="EG72" s="66">
        <v>1.070388E-5</v>
      </c>
      <c r="EH72">
        <v>1.5703059999999999E-4</v>
      </c>
      <c r="EI72" s="66">
        <v>5.5360459999999997E-5</v>
      </c>
      <c r="EJ72">
        <v>3.185183E-4</v>
      </c>
      <c r="EK72">
        <v>4.794787E-4</v>
      </c>
      <c r="EL72">
        <v>3.7772670000000002E-4</v>
      </c>
      <c r="EM72">
        <v>2.1182899999999999E-4</v>
      </c>
      <c r="EN72">
        <v>1.8464620000000001E-3</v>
      </c>
      <c r="EO72">
        <v>7.1898800000000005E-4</v>
      </c>
      <c r="EP72">
        <v>1.6468819999999999E-3</v>
      </c>
      <c r="EQ72">
        <v>1.585375E-3</v>
      </c>
      <c r="ER72">
        <v>2.5297850000000001E-4</v>
      </c>
      <c r="ES72">
        <v>4.5075779999999998E-4</v>
      </c>
      <c r="ET72">
        <v>7.9684219999999993E-3</v>
      </c>
      <c r="EU72">
        <v>2.615778E-3</v>
      </c>
      <c r="EV72">
        <v>9.6998280000000006E-3</v>
      </c>
      <c r="EW72">
        <v>6.1506099999999997E-4</v>
      </c>
      <c r="EX72">
        <v>5.7498159999999996E-3</v>
      </c>
      <c r="EY72">
        <v>7.3398150000000004E-3</v>
      </c>
      <c r="EZ72">
        <v>8.0755550000000001E-4</v>
      </c>
      <c r="FA72">
        <v>5.8809119999999996E-4</v>
      </c>
      <c r="FB72">
        <v>6.1231380000000002E-4</v>
      </c>
      <c r="FC72">
        <v>1.5986349999999999E-3</v>
      </c>
      <c r="FD72">
        <v>2.433224E-4</v>
      </c>
      <c r="FE72">
        <v>2.1731150000000001E-2</v>
      </c>
      <c r="FF72">
        <v>2.161596E-2</v>
      </c>
      <c r="FG72">
        <v>1.117598E-2</v>
      </c>
      <c r="FH72">
        <v>8.6361019999999997E-4</v>
      </c>
      <c r="FI72">
        <v>1.070201E-3</v>
      </c>
      <c r="FJ72">
        <v>1.440546E-2</v>
      </c>
      <c r="FK72">
        <v>-0.40507016952500502</v>
      </c>
      <c r="FL72">
        <v>-0.34346500464225399</v>
      </c>
      <c r="FM72">
        <v>-0.12117634014013</v>
      </c>
      <c r="FN72">
        <v>-0.63713146433632595</v>
      </c>
      <c r="FO72">
        <v>-0.36031535458115499</v>
      </c>
      <c r="FP72">
        <v>-0.32830707412002402</v>
      </c>
      <c r="FQ72">
        <v>-0.40559262634960103</v>
      </c>
      <c r="FR72">
        <v>-0.187499956059793</v>
      </c>
      <c r="FS72">
        <v>-0.19384066828886801</v>
      </c>
      <c r="FT72">
        <v>-9.6499887462539596E-2</v>
      </c>
      <c r="FU72">
        <v>-0.126939232843053</v>
      </c>
      <c r="FV72">
        <v>-0.25177836353483801</v>
      </c>
      <c r="FW72">
        <v>0.271625895141764</v>
      </c>
      <c r="FX72">
        <v>-0.44848568481385598</v>
      </c>
      <c r="FY72">
        <v>-0.43479983004732797</v>
      </c>
      <c r="FZ72">
        <v>-8.5520384835055197E-2</v>
      </c>
      <c r="GA72">
        <v>-5.7191407370038597E-2</v>
      </c>
      <c r="GB72">
        <v>9.2859275974874797E-2</v>
      </c>
      <c r="GC72">
        <v>-4.6815427296966299E-2</v>
      </c>
      <c r="GD72">
        <v>0.144791415808249</v>
      </c>
      <c r="GE72">
        <v>8.0405730986884194E-2</v>
      </c>
      <c r="GF72">
        <v>-0.45590430743447802</v>
      </c>
      <c r="GG72">
        <v>-0.47515456038951698</v>
      </c>
      <c r="GH72">
        <v>-0.47898910189204502</v>
      </c>
      <c r="GI72">
        <v>-0.158670467951673</v>
      </c>
      <c r="GJ72">
        <v>-0.38379266317168298</v>
      </c>
      <c r="GK72">
        <v>-7.07609909983411E-2</v>
      </c>
      <c r="GL72">
        <v>0.36872845127634701</v>
      </c>
      <c r="GM72">
        <v>0.28155991197671798</v>
      </c>
      <c r="GN72">
        <v>8.5349821576343701E-2</v>
      </c>
      <c r="GO72">
        <v>-0.29396740512025199</v>
      </c>
      <c r="GP72">
        <v>0.30751484701931397</v>
      </c>
      <c r="GR72" s="66"/>
      <c r="GT72" s="66"/>
      <c r="GV72" s="66"/>
      <c r="GY72" s="66"/>
      <c r="GZ72" s="66"/>
      <c r="HK72" s="1"/>
      <c r="HL72" s="1"/>
      <c r="HM72" s="1"/>
      <c r="HN72" s="1"/>
      <c r="HO72" s="65"/>
      <c r="HP72" s="65"/>
      <c r="HQ72" s="65"/>
      <c r="HV72" s="65"/>
      <c r="HW72" s="65"/>
      <c r="HX72" s="65"/>
      <c r="JB72" s="66"/>
      <c r="JD72" s="66"/>
      <c r="JF72" s="66"/>
      <c r="JH72" s="66"/>
      <c r="JJ72" s="66"/>
      <c r="JL72" s="66"/>
      <c r="JN72" s="66"/>
    </row>
    <row r="73" spans="1:278" ht="15.75" x14ac:dyDescent="0.25">
      <c r="A73" s="4" t="s">
        <v>126</v>
      </c>
      <c r="B73" s="4" t="s">
        <v>126</v>
      </c>
      <c r="C73" s="2" t="s">
        <v>837</v>
      </c>
      <c r="D73" s="2" t="s">
        <v>515</v>
      </c>
      <c r="E73" s="2" t="s">
        <v>515</v>
      </c>
      <c r="F73" s="2">
        <v>72</v>
      </c>
      <c r="G73" s="2" t="s">
        <v>836</v>
      </c>
      <c r="H73" s="10" t="s">
        <v>656</v>
      </c>
      <c r="I73" s="2">
        <v>150</v>
      </c>
      <c r="J73" s="2">
        <v>65</v>
      </c>
      <c r="K73" s="2">
        <v>8.1</v>
      </c>
      <c r="L73" t="s">
        <v>301</v>
      </c>
      <c r="M73" s="2" t="s">
        <v>1120</v>
      </c>
      <c r="N73" s="2" t="s">
        <v>437</v>
      </c>
      <c r="O73" s="2" t="s">
        <v>666</v>
      </c>
      <c r="P73" s="2" t="s">
        <v>1132</v>
      </c>
      <c r="Q73" s="9" t="s">
        <v>740</v>
      </c>
      <c r="R73" s="2" t="str">
        <f t="shared" si="73"/>
        <v>CW_3_Section_2</v>
      </c>
      <c r="S73" s="2" t="str">
        <f t="shared" si="74"/>
        <v>CW_3_MF06</v>
      </c>
      <c r="T73" s="11" t="s">
        <v>798</v>
      </c>
      <c r="U73" s="1">
        <v>45644</v>
      </c>
      <c r="V73" s="2" t="s">
        <v>799</v>
      </c>
      <c r="W73" s="2" t="s">
        <v>663</v>
      </c>
      <c r="X73" s="2" t="s">
        <v>797</v>
      </c>
      <c r="Y73" s="2" t="str">
        <f t="shared" si="75"/>
        <v>T2_MF06</v>
      </c>
      <c r="Z73" s="2" t="str">
        <f t="shared" si="76"/>
        <v>T2_CW_3_MF06</v>
      </c>
      <c r="AA73" s="2" t="str">
        <f t="shared" si="77"/>
        <v>T2_0.60-0.80</v>
      </c>
      <c r="AB73" s="2">
        <v>127</v>
      </c>
      <c r="AC73" s="2">
        <v>4.1769999999999996</v>
      </c>
      <c r="AD73" s="2">
        <v>-0.76</v>
      </c>
      <c r="AE73" s="2">
        <v>2</v>
      </c>
      <c r="AF73" t="s">
        <v>57</v>
      </c>
      <c r="AG73" t="s">
        <v>1237</v>
      </c>
      <c r="AH73">
        <v>70</v>
      </c>
      <c r="AI73">
        <v>27</v>
      </c>
      <c r="AJ73">
        <v>0.8</v>
      </c>
      <c r="AK73">
        <v>42</v>
      </c>
      <c r="AL73">
        <v>8.6999999999999993</v>
      </c>
      <c r="AM73">
        <v>-112</v>
      </c>
      <c r="AN73">
        <v>7.06</v>
      </c>
      <c r="AO73">
        <v>844</v>
      </c>
      <c r="AP73">
        <v>0.2</v>
      </c>
      <c r="AQ73">
        <v>0.01</v>
      </c>
      <c r="AR73">
        <v>8.4</v>
      </c>
      <c r="AS73">
        <v>8.6</v>
      </c>
      <c r="AT73">
        <v>450</v>
      </c>
      <c r="AU73" s="32">
        <f t="shared" si="16"/>
        <v>0.1728331839713225</v>
      </c>
      <c r="AV73">
        <v>29</v>
      </c>
      <c r="AW73" s="32">
        <f t="shared" si="61"/>
        <v>1.1330583894074235E-2</v>
      </c>
      <c r="AX73">
        <v>320</v>
      </c>
      <c r="AY73" s="32">
        <f t="shared" si="17"/>
        <v>0.12658943204294998</v>
      </c>
      <c r="AZ73">
        <v>150</v>
      </c>
      <c r="BA73" s="32">
        <f t="shared" si="18"/>
        <v>5.9338796270132804E-2</v>
      </c>
      <c r="BB73">
        <v>130</v>
      </c>
      <c r="BC73" s="32">
        <f t="shared" si="19"/>
        <v>5.1426956767448434E-2</v>
      </c>
      <c r="BD73">
        <v>280</v>
      </c>
      <c r="BF73" s="48">
        <v>1079</v>
      </c>
      <c r="BG73" s="48">
        <f t="shared" si="20"/>
        <v>0.31075319990834671</v>
      </c>
      <c r="BH73">
        <v>2000</v>
      </c>
      <c r="BI73" s="32">
        <f t="shared" si="21"/>
        <v>0.74900522743231646</v>
      </c>
      <c r="BJ73" s="47">
        <v>270</v>
      </c>
      <c r="BK73" s="27">
        <f t="shared" si="22"/>
        <v>0.10111570570336273</v>
      </c>
      <c r="BL73" s="47">
        <v>25</v>
      </c>
      <c r="BM73" s="27">
        <f t="shared" si="23"/>
        <v>9.1990275313752548E-3</v>
      </c>
      <c r="BN73" s="47">
        <v>39</v>
      </c>
      <c r="BO73" s="27">
        <f t="shared" si="24"/>
        <v>1.4668309448155115E-2</v>
      </c>
      <c r="BP73" s="47">
        <v>9.1999999999999993</v>
      </c>
      <c r="BQ73" s="27">
        <f t="shared" si="25"/>
        <v>3.4315966790999875E-3</v>
      </c>
      <c r="BR73" s="47">
        <v>3</v>
      </c>
      <c r="BS73" s="27">
        <f t="shared" si="26"/>
        <v>1.1109240868540651E-3</v>
      </c>
      <c r="BT73" s="47">
        <v>0.55000000000000004</v>
      </c>
      <c r="BU73" s="27">
        <f t="shared" si="27"/>
        <v>2.0366941592324524E-4</v>
      </c>
      <c r="BV73" s="47">
        <v>0.09</v>
      </c>
      <c r="BW73" s="27">
        <f t="shared" si="28"/>
        <v>3.2929542645241034E-5</v>
      </c>
      <c r="BX73" s="47">
        <v>7.0000000000000007E-2</v>
      </c>
      <c r="BY73" s="27">
        <f t="shared" si="29"/>
        <v>2.5611866501854141E-5</v>
      </c>
      <c r="BZ73" s="51">
        <f t="shared" si="30"/>
        <v>346.90999999999997</v>
      </c>
      <c r="CA73" s="51">
        <f t="shared" si="31"/>
        <v>76.91</v>
      </c>
      <c r="CB73" s="27">
        <f t="shared" si="32"/>
        <v>0.12978777427391749</v>
      </c>
      <c r="CC73" s="27">
        <f t="shared" si="33"/>
        <v>2.8672068570554762E-2</v>
      </c>
      <c r="CD73">
        <v>4000</v>
      </c>
      <c r="CE73">
        <v>1000</v>
      </c>
      <c r="CF73" t="s">
        <v>19</v>
      </c>
      <c r="CG73">
        <v>5000</v>
      </c>
      <c r="CH73" s="32">
        <v>0.8</v>
      </c>
      <c r="CI73" s="32">
        <f t="shared" si="34"/>
        <v>1.432408236347359E-2</v>
      </c>
      <c r="CJ73" s="32">
        <f t="shared" si="35"/>
        <v>1.432408236347359E-2</v>
      </c>
      <c r="CK73" s="32">
        <v>0.9</v>
      </c>
      <c r="CL73" s="32">
        <f t="shared" si="36"/>
        <v>1.6384489350081924E-2</v>
      </c>
      <c r="CM73" s="32">
        <f t="shared" si="37"/>
        <v>3.2768978700163848E-2</v>
      </c>
      <c r="CN73" s="27">
        <v>61</v>
      </c>
      <c r="CO73" s="27">
        <f t="shared" si="38"/>
        <v>0.6350197793046013</v>
      </c>
      <c r="CP73" s="27">
        <f t="shared" si="39"/>
        <v>5.0801582344368104</v>
      </c>
      <c r="CQ73" s="57">
        <v>20</v>
      </c>
      <c r="CR73" s="57">
        <v>24.691358024691358</v>
      </c>
      <c r="CS73" s="57">
        <v>1.6656256506350198</v>
      </c>
      <c r="CT73" s="57">
        <f t="shared" si="40"/>
        <v>1.6656256506350198</v>
      </c>
      <c r="CU73" s="28">
        <v>-3</v>
      </c>
      <c r="CV73" s="28">
        <v>-5.1724137931034484</v>
      </c>
      <c r="CW73" s="28">
        <v>-0.24984384759525297</v>
      </c>
      <c r="CX73" s="28">
        <f t="shared" si="41"/>
        <v>0</v>
      </c>
      <c r="CY73" s="32">
        <f t="shared" si="42"/>
        <v>11.626067041432437</v>
      </c>
      <c r="CZ73" s="32">
        <f t="shared" si="43"/>
        <v>11.626067041432437</v>
      </c>
      <c r="DA73" s="32">
        <f t="shared" si="44"/>
        <v>12.426067041432438</v>
      </c>
      <c r="DB73" s="32">
        <f t="shared" si="45"/>
        <v>0.22249000969440352</v>
      </c>
      <c r="DC73" s="32">
        <f t="shared" si="46"/>
        <v>0.22249000969440352</v>
      </c>
      <c r="DD73" s="59">
        <f t="shared" si="47"/>
        <v>-1.7439100562148657</v>
      </c>
      <c r="DE73" s="59">
        <f t="shared" si="48"/>
        <v>0</v>
      </c>
      <c r="DF73" s="59">
        <f t="shared" si="49"/>
        <v>0.8</v>
      </c>
      <c r="DG73" s="59">
        <f t="shared" si="50"/>
        <v>1.432408236347359E-2</v>
      </c>
      <c r="DH73" s="59">
        <f t="shared" si="51"/>
        <v>1.432408236347359E-2</v>
      </c>
      <c r="DI73" s="32">
        <f t="shared" si="52"/>
        <v>5.0801582344368104</v>
      </c>
      <c r="DJ73" s="32">
        <f t="shared" si="53"/>
        <v>1.7000000000000002</v>
      </c>
      <c r="DK73" s="32">
        <f t="shared" si="54"/>
        <v>4.7093061063637434E-2</v>
      </c>
      <c r="DL73">
        <f t="shared" si="60"/>
        <v>1.9208846390295871</v>
      </c>
      <c r="DM73">
        <f t="shared" si="62"/>
        <v>1.7059316334956186E-2</v>
      </c>
      <c r="DN73">
        <f t="shared" si="63"/>
        <v>0.11582684622164681</v>
      </c>
      <c r="DO73">
        <f t="shared" si="64"/>
        <v>0.8671138374433971</v>
      </c>
      <c r="DP73">
        <f t="shared" si="55"/>
        <v>4.7093061063637434E-2</v>
      </c>
      <c r="DQ73">
        <f t="shared" si="65"/>
        <v>0.69583454462394623</v>
      </c>
      <c r="DR73">
        <f t="shared" si="66"/>
        <v>0.30416545537605383</v>
      </c>
      <c r="DS73">
        <f t="shared" si="67"/>
        <v>0</v>
      </c>
      <c r="DT73" s="63">
        <f t="shared" si="68"/>
        <v>-0.86112621168892378</v>
      </c>
      <c r="DU73" s="63">
        <f t="shared" si="69"/>
        <v>1.0126653662770257</v>
      </c>
      <c r="DV73" s="63">
        <f t="shared" si="70"/>
        <v>-0.83245414311836896</v>
      </c>
      <c r="DW73" s="63">
        <f t="shared" si="71"/>
        <v>1.0413374348475806</v>
      </c>
      <c r="DX73" t="str">
        <f t="shared" si="57"/>
        <v>Sufficient Capacity</v>
      </c>
      <c r="DY73" t="str">
        <f t="shared" si="58"/>
        <v>Insufficient Capacity</v>
      </c>
      <c r="DZ73" t="str">
        <f t="shared" si="59"/>
        <v>Sulfate Dominant electron acceptor</v>
      </c>
      <c r="EA73" t="str">
        <f t="shared" si="72"/>
        <v>Iron Dominant electron acceptor</v>
      </c>
      <c r="EB73">
        <v>9.7988069999999997E-3</v>
      </c>
      <c r="EC73">
        <v>1.672535E-3</v>
      </c>
      <c r="ED73" s="66">
        <v>4.2902559999999999E-6</v>
      </c>
      <c r="EE73">
        <v>9.5221590000000005E-4</v>
      </c>
      <c r="EF73">
        <v>6.4611039999999996E-3</v>
      </c>
      <c r="EG73" s="66">
        <v>1.7721679999999999E-5</v>
      </c>
      <c r="EH73">
        <v>4.6084460000000001E-4</v>
      </c>
      <c r="EI73">
        <v>1.04376E-4</v>
      </c>
      <c r="EJ73">
        <v>4.7948359999999999E-4</v>
      </c>
      <c r="EK73">
        <v>8.607647E-4</v>
      </c>
      <c r="EL73">
        <v>5.6931539999999995E-4</v>
      </c>
      <c r="EM73">
        <v>3.5162749999999998E-4</v>
      </c>
      <c r="EN73">
        <v>2.3449880000000001E-3</v>
      </c>
      <c r="EO73">
        <v>9.7677880000000003E-4</v>
      </c>
      <c r="EP73">
        <v>3.0924279999999999E-3</v>
      </c>
      <c r="EQ73">
        <v>1.042318E-3</v>
      </c>
      <c r="ER73">
        <v>5.7940499999999996E-4</v>
      </c>
      <c r="ES73">
        <v>1.1574090000000001E-3</v>
      </c>
      <c r="ET73">
        <v>9.4127910000000002E-3</v>
      </c>
      <c r="EU73">
        <v>2.7236059999999999E-3</v>
      </c>
      <c r="EV73">
        <v>8.4551139999999997E-3</v>
      </c>
      <c r="EW73">
        <v>7.819306E-4</v>
      </c>
      <c r="EX73">
        <v>4.4795030000000001E-3</v>
      </c>
      <c r="EY73">
        <v>7.009197E-3</v>
      </c>
      <c r="EZ73">
        <v>1.9958649999999999E-3</v>
      </c>
      <c r="FA73">
        <v>1.508038E-3</v>
      </c>
      <c r="FB73">
        <v>1.623782E-3</v>
      </c>
      <c r="FC73">
        <v>2.0655299999999999E-3</v>
      </c>
      <c r="FD73">
        <v>5.2573949999999996E-4</v>
      </c>
      <c r="FE73">
        <v>2.5157209999999999E-2</v>
      </c>
      <c r="FF73">
        <v>1.186419E-2</v>
      </c>
      <c r="FG73">
        <v>7.303459E-3</v>
      </c>
      <c r="FH73">
        <v>6.9640459999999996E-4</v>
      </c>
      <c r="FI73">
        <v>1.7978110000000001E-3</v>
      </c>
      <c r="FJ73">
        <v>8.4270690000000006E-3</v>
      </c>
      <c r="FK73">
        <v>0.508394476526697</v>
      </c>
      <c r="FL73">
        <v>0.33965508094453101</v>
      </c>
      <c r="FM73">
        <v>0.38300611610850899</v>
      </c>
      <c r="FN73">
        <v>0.43948873774062402</v>
      </c>
      <c r="FO73">
        <v>0.27381878885884398</v>
      </c>
      <c r="FP73">
        <v>8.07226871339779E-2</v>
      </c>
      <c r="FQ73">
        <v>0.17952908178806001</v>
      </c>
      <c r="FR73">
        <v>0.22276371205093201</v>
      </c>
      <c r="FS73">
        <v>0.312952362924446</v>
      </c>
      <c r="FT73">
        <v>0.142509021527783</v>
      </c>
      <c r="FU73">
        <v>0.17947631846145401</v>
      </c>
      <c r="FV73">
        <v>0.37829437613150002</v>
      </c>
      <c r="FW73">
        <v>-0.147747998149524</v>
      </c>
      <c r="FX73">
        <v>0.38021152522166302</v>
      </c>
      <c r="FY73">
        <v>0.50820916868572596</v>
      </c>
      <c r="FZ73">
        <v>8.10626434204611E-2</v>
      </c>
      <c r="GA73">
        <v>-1.6796237387744401E-2</v>
      </c>
      <c r="GB73">
        <v>-4.4477412012772E-2</v>
      </c>
      <c r="GC73">
        <v>0.193229112627361</v>
      </c>
      <c r="GD73">
        <v>-0.104864335716125</v>
      </c>
      <c r="GE73">
        <v>3.4315236880900997E-2</v>
      </c>
      <c r="GF73">
        <v>0.44891672849389902</v>
      </c>
      <c r="GG73">
        <v>0.46652814888752298</v>
      </c>
      <c r="GH73">
        <v>0.496279277164342</v>
      </c>
      <c r="GI73">
        <v>9.7566243998287006E-2</v>
      </c>
      <c r="GJ73">
        <v>0.38662586678433603</v>
      </c>
      <c r="GK73">
        <v>7.5636829287705404E-2</v>
      </c>
      <c r="GL73">
        <v>-0.23117885991647</v>
      </c>
      <c r="GM73">
        <v>-0.14385884888117101</v>
      </c>
      <c r="GN73">
        <v>-0.129840874746767</v>
      </c>
      <c r="GO73">
        <v>0.22475592730816399</v>
      </c>
      <c r="GP73">
        <v>-0.22864342963984999</v>
      </c>
      <c r="GT73" s="66"/>
      <c r="GV73" s="66"/>
      <c r="HK73" s="1"/>
      <c r="HL73" s="1"/>
      <c r="HM73" s="65"/>
      <c r="HN73" s="1"/>
      <c r="HO73" s="65"/>
      <c r="HP73" s="65"/>
      <c r="HQ73" s="65"/>
      <c r="HS73" s="65"/>
      <c r="HV73" s="65"/>
      <c r="HW73" s="65"/>
      <c r="HX73" s="65"/>
    </row>
    <row r="74" spans="1:278" ht="15.75" x14ac:dyDescent="0.25">
      <c r="A74" s="4" t="s">
        <v>127</v>
      </c>
      <c r="B74" s="4" t="s">
        <v>127</v>
      </c>
      <c r="C74" s="2" t="s">
        <v>839</v>
      </c>
      <c r="D74" s="2" t="s">
        <v>516</v>
      </c>
      <c r="E74" s="2" t="s">
        <v>516</v>
      </c>
      <c r="F74" s="2">
        <v>73</v>
      </c>
      <c r="G74" s="2" t="s">
        <v>838</v>
      </c>
      <c r="H74" s="10" t="s">
        <v>656</v>
      </c>
      <c r="I74" s="2">
        <v>150</v>
      </c>
      <c r="J74" s="2">
        <v>65</v>
      </c>
      <c r="K74" s="2">
        <v>6.4</v>
      </c>
      <c r="L74" t="s">
        <v>302</v>
      </c>
      <c r="M74" s="2" t="s">
        <v>1120</v>
      </c>
      <c r="N74" s="2" t="s">
        <v>437</v>
      </c>
      <c r="O74" s="2" t="s">
        <v>673</v>
      </c>
      <c r="P74" s="2" t="s">
        <v>1127</v>
      </c>
      <c r="Q74" s="9" t="s">
        <v>743</v>
      </c>
      <c r="R74" s="2" t="str">
        <f t="shared" si="73"/>
        <v>CW_3_Section_3</v>
      </c>
      <c r="S74" s="2" t="str">
        <f t="shared" si="74"/>
        <v>CW_3_MF09</v>
      </c>
      <c r="T74" s="11" t="s">
        <v>798</v>
      </c>
      <c r="U74" s="1">
        <v>45644</v>
      </c>
      <c r="V74" s="2" t="s">
        <v>799</v>
      </c>
      <c r="W74" s="2" t="s">
        <v>655</v>
      </c>
      <c r="X74" s="2" t="s">
        <v>797</v>
      </c>
      <c r="Y74" s="2" t="str">
        <f t="shared" si="75"/>
        <v>T2_MF09</v>
      </c>
      <c r="Z74" s="2" t="str">
        <f t="shared" si="76"/>
        <v>T2_CW_3_MF09</v>
      </c>
      <c r="AA74" s="2" t="str">
        <f t="shared" si="77"/>
        <v>T2_0.15-0.30</v>
      </c>
      <c r="AB74" s="2">
        <v>127</v>
      </c>
      <c r="AC74" s="2">
        <v>4.1769999999999996</v>
      </c>
      <c r="AD74" s="2">
        <v>-0.76</v>
      </c>
      <c r="AE74" s="2">
        <v>2</v>
      </c>
      <c r="AF74" t="s">
        <v>59</v>
      </c>
      <c r="AG74" t="s">
        <v>1237</v>
      </c>
      <c r="AH74">
        <v>62</v>
      </c>
      <c r="AI74">
        <v>19</v>
      </c>
      <c r="AJ74">
        <v>2.5</v>
      </c>
      <c r="AK74">
        <v>5.3</v>
      </c>
      <c r="AL74">
        <v>8.9</v>
      </c>
      <c r="AM74">
        <v>-89</v>
      </c>
      <c r="AN74">
        <v>7.1</v>
      </c>
      <c r="AO74">
        <v>712</v>
      </c>
      <c r="AP74">
        <v>0.2</v>
      </c>
      <c r="AQ74">
        <v>0.01</v>
      </c>
      <c r="AR74">
        <v>13</v>
      </c>
      <c r="AS74">
        <v>14</v>
      </c>
      <c r="AT74">
        <v>170</v>
      </c>
      <c r="AU74" s="32">
        <f t="shared" si="16"/>
        <v>6.5292536166944054E-2</v>
      </c>
      <c r="AV74">
        <v>1.4</v>
      </c>
      <c r="AW74" s="32">
        <f t="shared" si="61"/>
        <v>5.4699370523116997E-4</v>
      </c>
      <c r="AX74">
        <v>25</v>
      </c>
      <c r="AY74" s="32">
        <f t="shared" si="17"/>
        <v>9.8897993783554679E-3</v>
      </c>
      <c r="AZ74">
        <v>13</v>
      </c>
      <c r="BA74" s="32">
        <f t="shared" si="18"/>
        <v>5.1426956767448434E-3</v>
      </c>
      <c r="BB74">
        <v>6.2</v>
      </c>
      <c r="BC74" s="32">
        <f t="shared" si="19"/>
        <v>2.452670245832156E-3</v>
      </c>
      <c r="BD74">
        <v>19.2</v>
      </c>
      <c r="BF74" s="48">
        <v>215.6</v>
      </c>
      <c r="BG74" s="48">
        <f t="shared" si="20"/>
        <v>7.5729329250530691E-2</v>
      </c>
      <c r="BH74">
        <v>14</v>
      </c>
      <c r="BI74" s="32">
        <f t="shared" si="21"/>
        <v>5.2430365920262149E-3</v>
      </c>
      <c r="BJ74" s="47">
        <v>3.2</v>
      </c>
      <c r="BK74" s="27">
        <f t="shared" si="22"/>
        <v>1.1984083638917065E-3</v>
      </c>
      <c r="BL74" s="47">
        <v>0.2</v>
      </c>
      <c r="BM74" s="27">
        <f t="shared" si="23"/>
        <v>7.3592220251002044E-5</v>
      </c>
      <c r="BN74" s="47">
        <v>0.12</v>
      </c>
      <c r="BO74" s="27">
        <f t="shared" si="24"/>
        <v>4.513325984047727E-5</v>
      </c>
      <c r="BP74" s="47">
        <v>5.0000000000000001E-3</v>
      </c>
      <c r="BQ74" s="27">
        <f t="shared" si="25"/>
        <v>1.8649981951630372E-6</v>
      </c>
      <c r="BR74" s="47">
        <v>1E-3</v>
      </c>
      <c r="BS74" s="27">
        <f t="shared" si="26"/>
        <v>3.7030802895135499E-7</v>
      </c>
      <c r="BT74" s="47">
        <v>1E-3</v>
      </c>
      <c r="BU74" s="27">
        <f t="shared" si="27"/>
        <v>3.7030802895135499E-7</v>
      </c>
      <c r="BV74" s="47">
        <v>1E-3</v>
      </c>
      <c r="BW74" s="27">
        <f t="shared" si="28"/>
        <v>3.6588380716934485E-7</v>
      </c>
      <c r="BX74" s="47">
        <v>2E-3</v>
      </c>
      <c r="BY74" s="27">
        <f t="shared" si="29"/>
        <v>7.3176761433868969E-7</v>
      </c>
      <c r="BZ74" s="51">
        <f t="shared" si="30"/>
        <v>3.53</v>
      </c>
      <c r="CA74" s="51">
        <f t="shared" si="31"/>
        <v>0.33</v>
      </c>
      <c r="CB74" s="27">
        <f t="shared" si="32"/>
        <v>1.3208371096577595E-3</v>
      </c>
      <c r="CC74" s="27">
        <f t="shared" si="33"/>
        <v>1.2242874576605311E-4</v>
      </c>
      <c r="CD74">
        <v>2.5</v>
      </c>
      <c r="CE74">
        <v>2.5</v>
      </c>
      <c r="CF74" t="s">
        <v>19</v>
      </c>
      <c r="CG74">
        <v>5</v>
      </c>
      <c r="CH74" s="32">
        <v>24</v>
      </c>
      <c r="CI74" s="32">
        <f t="shared" si="34"/>
        <v>0.42972247090420768</v>
      </c>
      <c r="CJ74" s="32">
        <f t="shared" si="35"/>
        <v>0.42972247090420768</v>
      </c>
      <c r="CK74" s="32">
        <v>3.6</v>
      </c>
      <c r="CL74" s="32">
        <f t="shared" si="36"/>
        <v>6.5537957400327695E-2</v>
      </c>
      <c r="CM74" s="32">
        <f t="shared" si="37"/>
        <v>0.13107591480065539</v>
      </c>
      <c r="CN74" s="27">
        <v>0.5</v>
      </c>
      <c r="CO74" s="27">
        <f t="shared" si="38"/>
        <v>5.2050801582344368E-3</v>
      </c>
      <c r="CP74" s="27">
        <f t="shared" si="39"/>
        <v>4.1640641265875494E-2</v>
      </c>
      <c r="CQ74" s="57">
        <v>80.5</v>
      </c>
      <c r="CR74" s="57">
        <v>99.382716049382708</v>
      </c>
      <c r="CS74" s="57">
        <v>6.7041432438059543</v>
      </c>
      <c r="CT74" s="57">
        <f t="shared" si="40"/>
        <v>6.7041432438059543</v>
      </c>
      <c r="CU74" s="28">
        <v>9.5</v>
      </c>
      <c r="CV74" s="28">
        <v>95</v>
      </c>
      <c r="CW74" s="28">
        <v>0.79117218405163436</v>
      </c>
      <c r="CX74" s="28">
        <f t="shared" si="41"/>
        <v>0.79117218405163436</v>
      </c>
      <c r="CY74" s="32">
        <f t="shared" si="42"/>
        <v>46.794919841765562</v>
      </c>
      <c r="CZ74" s="32">
        <f t="shared" si="43"/>
        <v>46.794919841765562</v>
      </c>
      <c r="DA74" s="32">
        <f t="shared" si="44"/>
        <v>70.794919841765562</v>
      </c>
      <c r="DB74" s="32">
        <f t="shared" si="45"/>
        <v>1.2675903284112007</v>
      </c>
      <c r="DC74" s="32">
        <f t="shared" si="46"/>
        <v>1.2675903284112007</v>
      </c>
      <c r="DD74" s="59">
        <f t="shared" si="47"/>
        <v>5.5223818446804076</v>
      </c>
      <c r="DE74" s="59">
        <f t="shared" si="48"/>
        <v>5.5223818446804076</v>
      </c>
      <c r="DF74" s="59">
        <f t="shared" si="49"/>
        <v>29.522381844680407</v>
      </c>
      <c r="DG74" s="59">
        <f t="shared" si="50"/>
        <v>0.52860128638639936</v>
      </c>
      <c r="DH74" s="59">
        <f t="shared" si="51"/>
        <v>0.52860128638639936</v>
      </c>
      <c r="DI74" s="32">
        <f t="shared" si="52"/>
        <v>4.1640641265875494E-2</v>
      </c>
      <c r="DJ74" s="32">
        <f t="shared" si="53"/>
        <v>33.122381844680405</v>
      </c>
      <c r="DK74" s="32">
        <f t="shared" si="54"/>
        <v>0.65967720118705475</v>
      </c>
      <c r="DL74">
        <f t="shared" si="60"/>
        <v>8.1028094870178098</v>
      </c>
      <c r="DM74">
        <f t="shared" ref="DM74:DM105" si="78">$CM74/$DL74</f>
        <v>1.6176600845751475E-2</v>
      </c>
      <c r="DN74">
        <f t="shared" ref="DN74:DN105" si="79">$DC74/$DL74</f>
        <v>0.15643837244873071</v>
      </c>
      <c r="DO74">
        <f t="shared" ref="DO74:DO105" si="80">$CT74/$DL74</f>
        <v>0.82738502670551795</v>
      </c>
      <c r="DP74">
        <f t="shared" si="55"/>
        <v>1.4508493852386892</v>
      </c>
      <c r="DQ74">
        <f t="shared" ref="DQ74:DQ105" si="81">$CM74/$DP74</f>
        <v>9.0344260496130813E-2</v>
      </c>
      <c r="DR74">
        <f t="shared" ref="DR74:DR105" si="82">$DH74/$DP74</f>
        <v>0.36433918762658851</v>
      </c>
      <c r="DS74">
        <f t="shared" ref="DS74:DS105" si="83">$CX74/$DP74</f>
        <v>0.54531655187728056</v>
      </c>
      <c r="DT74" s="63">
        <f t="shared" ref="DT74:DT105" si="84">($BG74+$BI74)-$DL74</f>
        <v>-8.0218371211752526</v>
      </c>
      <c r="DU74" s="63">
        <f t="shared" ref="DU74:DU105" si="85">($BG74+$BI74)-$DP74</f>
        <v>-1.3698770193961323</v>
      </c>
      <c r="DV74" s="63">
        <f t="shared" ref="DV74:DV105" si="86">($BG74+$BI74+$CC74)-$DL74</f>
        <v>-8.0217146924294873</v>
      </c>
      <c r="DW74" s="63">
        <f t="shared" ref="DW74:DW105" si="87">($BG74+$BI74+$CC74)-$DP74</f>
        <v>-1.3697545906503663</v>
      </c>
      <c r="DX74" t="str">
        <f t="shared" si="57"/>
        <v>Sufficient Capacity</v>
      </c>
      <c r="DY74" t="str">
        <f t="shared" si="58"/>
        <v>Sufficient Capacity</v>
      </c>
      <c r="DZ74" t="str">
        <f t="shared" si="59"/>
        <v>Sulfate Dominant electron acceptor</v>
      </c>
      <c r="EA74" t="str">
        <f t="shared" ref="EA74:EA105" si="88">IF(COUNT($DQ74:$DS74)=0, "No Data", IF(MAX($DQ74:$DS74)=$DS74, "Sulfate Dominant electron acceptor", IF(MAX($DQ74:$DS74)=$DQ74, "Iron Dominant electron acceptor", "Manganese Dominant electron acceptor")))</f>
        <v>Sulfate Dominant electron acceptor</v>
      </c>
      <c r="EB74">
        <v>9.5417260000000004E-3</v>
      </c>
      <c r="EC74">
        <v>1.0903690000000001E-3</v>
      </c>
      <c r="ED74" s="66">
        <v>1.5805430000000001E-6</v>
      </c>
      <c r="EE74">
        <v>3.8146270000000002E-4</v>
      </c>
      <c r="EF74">
        <v>2.8702240000000002E-3</v>
      </c>
      <c r="EG74" s="66">
        <v>8.8038270000000008E-6</v>
      </c>
      <c r="EH74">
        <v>2.0405250000000001E-4</v>
      </c>
      <c r="EI74">
        <v>1.4576979999999999E-4</v>
      </c>
      <c r="EJ74">
        <v>3.674859E-4</v>
      </c>
      <c r="EK74">
        <v>6.286687E-4</v>
      </c>
      <c r="EL74">
        <v>2.5308239999999999E-4</v>
      </c>
      <c r="EM74">
        <v>1.2866099999999999E-4</v>
      </c>
      <c r="EN74">
        <v>1.8463310000000001E-3</v>
      </c>
      <c r="EO74">
        <v>7.0468590000000002E-4</v>
      </c>
      <c r="EP74">
        <v>1.52147E-3</v>
      </c>
      <c r="EQ74">
        <v>1.559178E-3</v>
      </c>
      <c r="ER74">
        <v>2.3348060000000001E-4</v>
      </c>
      <c r="ES74">
        <v>5.0581279999999996E-4</v>
      </c>
      <c r="ET74">
        <v>1.9271549999999998E-2</v>
      </c>
      <c r="EU74">
        <v>3.5293740000000001E-3</v>
      </c>
      <c r="EV74">
        <v>1.0240559999999999E-2</v>
      </c>
      <c r="EW74">
        <v>4.7717510000000002E-4</v>
      </c>
      <c r="EX74">
        <v>4.9445060000000004E-3</v>
      </c>
      <c r="EY74">
        <v>6.1352760000000003E-3</v>
      </c>
      <c r="EZ74">
        <v>9.1800080000000004E-4</v>
      </c>
      <c r="FA74">
        <v>7.0671820000000002E-4</v>
      </c>
      <c r="FB74">
        <v>7.323869E-4</v>
      </c>
      <c r="FC74">
        <v>1.7632959999999999E-3</v>
      </c>
      <c r="FD74">
        <v>2.586345E-4</v>
      </c>
      <c r="FE74">
        <v>1.9220850000000001E-2</v>
      </c>
      <c r="FF74">
        <v>1.0516849999999999E-2</v>
      </c>
      <c r="FG74">
        <v>5.5277679999999997E-3</v>
      </c>
      <c r="FH74">
        <v>6.5481779999999998E-4</v>
      </c>
      <c r="FI74">
        <v>1.2651299999999999E-3</v>
      </c>
      <c r="FJ74">
        <v>7.9462479999999995E-3</v>
      </c>
      <c r="FK74">
        <v>-0.40638424427525599</v>
      </c>
      <c r="FL74">
        <v>-0.47175504457505602</v>
      </c>
      <c r="FM74">
        <v>-0.31659611938869903</v>
      </c>
      <c r="FN74">
        <v>-0.375194841476022</v>
      </c>
      <c r="FO74">
        <v>0.60784768995595595</v>
      </c>
      <c r="FP74">
        <v>-0.18530205374063999</v>
      </c>
      <c r="FQ74">
        <v>-0.134687689535788</v>
      </c>
      <c r="FR74">
        <v>-0.58795574690323804</v>
      </c>
      <c r="FS74">
        <v>-0.69243897533134702</v>
      </c>
      <c r="FT74">
        <v>-9.6570836470542404E-2</v>
      </c>
      <c r="FU74">
        <v>-0.14703172895927</v>
      </c>
      <c r="FV74">
        <v>-0.330985193971439</v>
      </c>
      <c r="FW74">
        <v>0.25496368204808101</v>
      </c>
      <c r="FX74">
        <v>-0.52869119954764898</v>
      </c>
      <c r="FY74">
        <v>-0.31956335611264802</v>
      </c>
      <c r="FZ74">
        <v>0.79762304953991003</v>
      </c>
      <c r="GA74">
        <v>0.24236754312998501</v>
      </c>
      <c r="GB74">
        <v>0.147107428197568</v>
      </c>
      <c r="GC74">
        <v>-0.30065336769399498</v>
      </c>
      <c r="GD74">
        <v>-6.09937729231547E-3</v>
      </c>
      <c r="GE74">
        <v>-9.8852842036215804E-2</v>
      </c>
      <c r="GF74">
        <v>-0.32771782873979599</v>
      </c>
      <c r="GG74">
        <v>-0.29140459743449598</v>
      </c>
      <c r="GH74">
        <v>-0.29992507185404299</v>
      </c>
      <c r="GI74">
        <v>-6.0635823123884998E-2</v>
      </c>
      <c r="GJ74">
        <v>-0.32276410801751299</v>
      </c>
      <c r="GK74">
        <v>-0.193512078763554</v>
      </c>
      <c r="GL74">
        <v>-0.351724746644901</v>
      </c>
      <c r="GM74">
        <v>-0.42242280300471202</v>
      </c>
      <c r="GN74">
        <v>-0.19141465901773799</v>
      </c>
      <c r="GO74">
        <v>-0.12663900272191</v>
      </c>
      <c r="GP74">
        <v>-0.28739258678639201</v>
      </c>
      <c r="GR74" s="66"/>
      <c r="GT74" s="66"/>
      <c r="GV74" s="66"/>
      <c r="HK74" s="1"/>
      <c r="HL74" s="1"/>
      <c r="HM74" s="1"/>
      <c r="HN74" s="1"/>
      <c r="HO74" s="65"/>
      <c r="HP74" s="65"/>
      <c r="HQ74" s="65"/>
      <c r="HV74" s="65"/>
      <c r="HW74" s="65"/>
      <c r="HX74" s="65"/>
      <c r="IX74" s="66"/>
      <c r="IZ74" s="66"/>
      <c r="JB74" s="66"/>
      <c r="JD74" s="66"/>
      <c r="JF74" s="66"/>
      <c r="JH74" s="66"/>
      <c r="JJ74" s="66"/>
      <c r="JL74" s="66"/>
      <c r="JN74" s="66"/>
      <c r="JO74" s="66"/>
      <c r="JP74" s="66"/>
      <c r="JQ74" s="66"/>
      <c r="JR74" s="66"/>
    </row>
    <row r="75" spans="1:278" ht="15.75" x14ac:dyDescent="0.25">
      <c r="A75" s="4" t="s">
        <v>128</v>
      </c>
      <c r="B75" s="4" t="s">
        <v>128</v>
      </c>
      <c r="C75" s="2" t="s">
        <v>841</v>
      </c>
      <c r="D75" s="2" t="s">
        <v>517</v>
      </c>
      <c r="E75" s="2" t="s">
        <v>517</v>
      </c>
      <c r="F75" s="2">
        <v>74</v>
      </c>
      <c r="G75" s="2" t="s">
        <v>840</v>
      </c>
      <c r="H75" s="10" t="s">
        <v>656</v>
      </c>
      <c r="I75" s="2">
        <v>150</v>
      </c>
      <c r="J75" s="2">
        <v>65</v>
      </c>
      <c r="K75" s="2">
        <v>19.3</v>
      </c>
      <c r="L75" t="s">
        <v>303</v>
      </c>
      <c r="M75" s="2" t="s">
        <v>1120</v>
      </c>
      <c r="N75" s="2" t="s">
        <v>437</v>
      </c>
      <c r="O75" s="2" t="s">
        <v>673</v>
      </c>
      <c r="P75" s="2" t="s">
        <v>1128</v>
      </c>
      <c r="Q75" s="9" t="s">
        <v>746</v>
      </c>
      <c r="R75" s="2" t="str">
        <f t="shared" si="73"/>
        <v>CW_3_Section_3</v>
      </c>
      <c r="S75" s="2" t="str">
        <f t="shared" si="74"/>
        <v>CW_3_MF10</v>
      </c>
      <c r="T75" s="11" t="s">
        <v>798</v>
      </c>
      <c r="U75" s="1">
        <v>45644</v>
      </c>
      <c r="V75" s="2" t="s">
        <v>799</v>
      </c>
      <c r="W75" s="2" t="s">
        <v>663</v>
      </c>
      <c r="X75" s="2" t="s">
        <v>797</v>
      </c>
      <c r="Y75" s="2" t="str">
        <f t="shared" si="75"/>
        <v>T2_MF10</v>
      </c>
      <c r="Z75" s="2" t="str">
        <f t="shared" si="76"/>
        <v>T2_CW_3_MF10</v>
      </c>
      <c r="AA75" s="2" t="str">
        <f t="shared" si="77"/>
        <v>T2_0.60-0.80</v>
      </c>
      <c r="AB75" s="2">
        <v>127</v>
      </c>
      <c r="AC75" s="2">
        <v>4.1769999999999996</v>
      </c>
      <c r="AD75" s="2">
        <v>-0.76</v>
      </c>
      <c r="AE75" s="2">
        <v>2</v>
      </c>
      <c r="AF75" t="s">
        <v>61</v>
      </c>
      <c r="AG75" t="s">
        <v>1237</v>
      </c>
      <c r="AH75">
        <v>69</v>
      </c>
      <c r="AI75">
        <v>27</v>
      </c>
      <c r="AJ75">
        <v>1.2</v>
      </c>
      <c r="AK75">
        <v>0.61</v>
      </c>
      <c r="AL75">
        <v>8.6999999999999993</v>
      </c>
      <c r="AM75">
        <v>-105</v>
      </c>
      <c r="AN75">
        <v>7.01</v>
      </c>
      <c r="AO75">
        <v>645</v>
      </c>
      <c r="AP75">
        <v>0.2</v>
      </c>
      <c r="AQ75">
        <v>0.01</v>
      </c>
      <c r="AR75">
        <v>10</v>
      </c>
      <c r="AS75">
        <v>11</v>
      </c>
      <c r="AT75">
        <v>750</v>
      </c>
      <c r="AU75" s="32">
        <f t="shared" ref="AU75:AU138" si="89">($AT75/78110)*30</f>
        <v>0.2880553066188708</v>
      </c>
      <c r="AV75">
        <v>38</v>
      </c>
      <c r="AW75" s="32">
        <f t="shared" ref="AW75:AW138" si="90">($AV75/92140)*36</f>
        <v>1.4846971999131757E-2</v>
      </c>
      <c r="AX75">
        <v>550</v>
      </c>
      <c r="AY75" s="32">
        <f t="shared" ref="AY75:AY138" si="91">($AX75/106170)*42</f>
        <v>0.21757558632382029</v>
      </c>
      <c r="AZ75">
        <v>240</v>
      </c>
      <c r="BA75" s="32">
        <f t="shared" ref="BA75:BA138" si="92">($AZ75/106170)*42</f>
        <v>9.4942074032212498E-2</v>
      </c>
      <c r="BB75">
        <v>200</v>
      </c>
      <c r="BC75" s="32">
        <f t="shared" ref="BC75:BC138" si="93">($BB75/106170)*42</f>
        <v>7.9118395026843744E-2</v>
      </c>
      <c r="BD75">
        <v>440</v>
      </c>
      <c r="BF75" s="48">
        <v>1778</v>
      </c>
      <c r="BG75" s="48">
        <f t="shared" ref="BG75:BG138" si="94">$AU75+$AW75+$AY75+$BE75</f>
        <v>0.52047786494182291</v>
      </c>
      <c r="BH75">
        <v>3400</v>
      </c>
      <c r="BI75" s="32">
        <f t="shared" ref="BI75:BI138" si="95">($BH75/128170)*48</f>
        <v>1.273308886634938</v>
      </c>
      <c r="BJ75" s="47">
        <v>2100</v>
      </c>
      <c r="BK75" s="27">
        <f t="shared" ref="BK75:BK138" si="96">($BJ75/128170)*48</f>
        <v>0.78645548880393235</v>
      </c>
      <c r="BL75" s="47">
        <v>78</v>
      </c>
      <c r="BM75" s="27">
        <f t="shared" ref="BM75:BM138" si="97">($BL75/152190)*56</f>
        <v>2.8700965897890791E-2</v>
      </c>
      <c r="BN75" s="47">
        <v>73</v>
      </c>
      <c r="BO75" s="27">
        <f t="shared" ref="BO75:BO138" si="98">($BN75/154210)*58</f>
        <v>2.7456066402957006E-2</v>
      </c>
      <c r="BP75" s="47">
        <v>21</v>
      </c>
      <c r="BQ75" s="27">
        <f t="shared" ref="BQ75:BQ138" si="99">($BP75/166220)*62</f>
        <v>7.8329924196847561E-3</v>
      </c>
      <c r="BR75" s="47">
        <v>5.4</v>
      </c>
      <c r="BS75" s="27">
        <f t="shared" ref="BS75:BS138" si="100">($BR75/178230)*66</f>
        <v>1.9996633563373169E-3</v>
      </c>
      <c r="BT75" s="47">
        <v>0.99</v>
      </c>
      <c r="BU75" s="27">
        <f t="shared" ref="BU75:BU138" si="101">($BT75/178230)*66</f>
        <v>3.6660494866184144E-4</v>
      </c>
      <c r="BV75" s="47">
        <v>0.1</v>
      </c>
      <c r="BW75" s="27">
        <f t="shared" ref="BW75:BW138" si="102">($BV75/202250)*74</f>
        <v>3.6588380716934496E-5</v>
      </c>
      <c r="BX75" s="47">
        <v>0.06</v>
      </c>
      <c r="BY75" s="27">
        <f t="shared" ref="BY75:BY138" si="103">($BX75/202250)*74</f>
        <v>2.1953028430160689E-5</v>
      </c>
      <c r="BZ75" s="51">
        <f t="shared" ref="BZ75:BZ138" si="104">$BJ75+$BL75+$BN75+$BP75+$BR75+$BT75+$BV75+$BX75</f>
        <v>2278.5499999999997</v>
      </c>
      <c r="CA75" s="51">
        <f t="shared" ref="CA75:CA138" si="105">$BL75+$BN75+$BP75+$BR75+$BT75+$BV75+$BX75</f>
        <v>178.55</v>
      </c>
      <c r="CB75" s="27">
        <f t="shared" ref="CB75:CB138" si="106">$BK75+$BM75+$BO75+$BQ75+$BS75+$BU75+$BW75+$BY75</f>
        <v>0.85287032323861112</v>
      </c>
      <c r="CC75" s="27">
        <f t="shared" ref="CC75:CC138" si="107">$BM75+$BO75+$BQ75+$BS75+$BU75+$BW75+$BY75</f>
        <v>6.6414834434678813E-2</v>
      </c>
      <c r="CD75">
        <v>5100</v>
      </c>
      <c r="CE75">
        <v>1200</v>
      </c>
      <c r="CF75" t="s">
        <v>19</v>
      </c>
      <c r="CG75">
        <v>6300</v>
      </c>
      <c r="CH75" s="32">
        <v>3.4</v>
      </c>
      <c r="CI75" s="32">
        <f t="shared" ref="CI75:CI138" si="108">$CH75/55.85</f>
        <v>6.0877350044762753E-2</v>
      </c>
      <c r="CJ75" s="32">
        <f t="shared" ref="CJ75:CJ138" si="109">$CI75*1</f>
        <v>6.0877350044762753E-2</v>
      </c>
      <c r="CK75" s="32">
        <v>1.3</v>
      </c>
      <c r="CL75" s="32">
        <f t="shared" ref="CL75:CL138" si="110">$CK75/54.93</f>
        <v>2.3666484616785E-2</v>
      </c>
      <c r="CM75" s="32">
        <f t="shared" ref="CM75:CM138" si="111">$CL75*2</f>
        <v>4.7332969233569999E-2</v>
      </c>
      <c r="CN75" s="27">
        <v>46</v>
      </c>
      <c r="CO75" s="27">
        <f t="shared" ref="CO75:CO138" si="112">CN75/96.06</f>
        <v>0.47886737455756817</v>
      </c>
      <c r="CP75" s="27">
        <f t="shared" ref="CP75:CP138" si="113">CO75*8</f>
        <v>3.8309389964605454</v>
      </c>
      <c r="CQ75" s="57">
        <v>35</v>
      </c>
      <c r="CR75" s="57">
        <v>43.209876543209873</v>
      </c>
      <c r="CS75" s="57">
        <v>2.9148448886112845</v>
      </c>
      <c r="CT75" s="57">
        <f t="shared" ref="CT75:CT138" si="114">IF($CS75&lt;0, 0,  $CS75)</f>
        <v>2.9148448886112845</v>
      </c>
      <c r="CU75" s="28">
        <v>15</v>
      </c>
      <c r="CV75" s="28">
        <v>24.590163934426229</v>
      </c>
      <c r="CW75" s="28">
        <v>1.2492192379762648</v>
      </c>
      <c r="CX75" s="28">
        <f t="shared" ref="CX75:CX138" si="115">IF($CW75&lt;0, 0,  $CW75)</f>
        <v>1.2492192379762648</v>
      </c>
      <c r="CY75" s="32">
        <f t="shared" ref="CY75:CY138" si="116">$CQ75*(55.84/96.06)</f>
        <v>20.345617322506765</v>
      </c>
      <c r="CZ75" s="32">
        <f t="shared" ref="CZ75:CZ138" si="117">IF($CY75&lt;0, 0,  $CY75)</f>
        <v>20.345617322506765</v>
      </c>
      <c r="DA75" s="32">
        <f t="shared" ref="DA75:DA138" si="118">$CH75+$CZ75</f>
        <v>23.745617322506764</v>
      </c>
      <c r="DB75" s="32">
        <f t="shared" ref="DB75:DB138" si="119">$DA75/55.85</f>
        <v>0.4251677228738901</v>
      </c>
      <c r="DC75" s="32">
        <f t="shared" ref="DC75:DC138" si="120">$DB75*1</f>
        <v>0.4251677228738901</v>
      </c>
      <c r="DD75" s="59">
        <f t="shared" ref="DD75:DD138" si="121">$CU75*(55.84/96.06)</f>
        <v>8.7195502810743282</v>
      </c>
      <c r="DE75" s="59">
        <f t="shared" ref="DE75:DE138" si="122">IF($DD75&lt;0, 0,  $DD75)</f>
        <v>8.7195502810743282</v>
      </c>
      <c r="DF75" s="59">
        <f t="shared" ref="DF75:DF138" si="123">$CH75+$DE75</f>
        <v>12.119550281074329</v>
      </c>
      <c r="DG75" s="59">
        <f t="shared" ref="DG75:DG138" si="124">$DF75/55.85</f>
        <v>0.21700179554296023</v>
      </c>
      <c r="DH75" s="59">
        <f t="shared" ref="DH75:DH138" si="125">$DG75*1</f>
        <v>0.21700179554296023</v>
      </c>
      <c r="DI75" s="32">
        <f t="shared" ref="DI75:DI138" si="126">$CP75</f>
        <v>3.8309389964605454</v>
      </c>
      <c r="DJ75" s="32">
        <f t="shared" ref="DJ75:DJ138" si="127">$CK75+$DF75</f>
        <v>13.419550281074329</v>
      </c>
      <c r="DK75" s="32">
        <f t="shared" ref="DK75:DK138" si="128">$CM75+$DH75</f>
        <v>0.26433476477653023</v>
      </c>
      <c r="DL75">
        <f t="shared" ref="DL75:DL138" si="129">$DC75+$CM75+$CT75</f>
        <v>3.3873455807187445</v>
      </c>
      <c r="DM75">
        <f t="shared" si="78"/>
        <v>1.3973469227053783E-2</v>
      </c>
      <c r="DN75">
        <f t="shared" si="79"/>
        <v>0.12551648857264686</v>
      </c>
      <c r="DO75">
        <f t="shared" si="80"/>
        <v>0.86051004220029936</v>
      </c>
      <c r="DP75">
        <f t="shared" ref="DP75:DP138" si="130">$DH75+$CM75+$CX75</f>
        <v>1.5135540027527949</v>
      </c>
      <c r="DQ75">
        <f t="shared" si="81"/>
        <v>3.127273235542477E-2</v>
      </c>
      <c r="DR75">
        <f t="shared" si="82"/>
        <v>0.14337235086973146</v>
      </c>
      <c r="DS75">
        <f t="shared" si="83"/>
        <v>0.82535491677484385</v>
      </c>
      <c r="DT75" s="63">
        <f t="shared" si="84"/>
        <v>-1.5935588291419835</v>
      </c>
      <c r="DU75" s="63">
        <f t="shared" si="85"/>
        <v>0.28023274882396598</v>
      </c>
      <c r="DV75" s="63">
        <f t="shared" si="86"/>
        <v>-1.5271439947073047</v>
      </c>
      <c r="DW75" s="63">
        <f t="shared" si="87"/>
        <v>0.34664758325864486</v>
      </c>
      <c r="DX75" t="str">
        <f t="shared" ref="DX75:DX138" si="131">IF(DV75&lt;0, "Sufficient Capacity", "Insufficient Capacity")</f>
        <v>Sufficient Capacity</v>
      </c>
      <c r="DY75" t="str">
        <f t="shared" ref="DY75:DY138" si="132">IF($DW75&lt;0, "Sufficient Capacity", "Insufficient Capacity")</f>
        <v>Insufficient Capacity</v>
      </c>
      <c r="DZ75" t="str">
        <f t="shared" ref="DZ75:DZ138" si="133">IF(COUNT($DM75:$DO75)=0, "No Data", IF(MAX($DM75:$DO75)=$DO75, "Sulfate Dominant electron acceptor", IF(MAX($DM75:$DO75)=$DM75, "Iron Dominant electron acceptor", "Manganese Dominant electron acceptor")))</f>
        <v>Sulfate Dominant electron acceptor</v>
      </c>
      <c r="EA75" t="str">
        <f t="shared" si="88"/>
        <v>Sulfate Dominant electron acceptor</v>
      </c>
      <c r="EB75">
        <v>8.0798399999999996E-3</v>
      </c>
      <c r="EC75">
        <v>1.321895E-3</v>
      </c>
      <c r="ED75" s="66">
        <v>9.6512869999999997E-6</v>
      </c>
      <c r="EE75">
        <v>1.198429E-3</v>
      </c>
      <c r="EF75">
        <v>7.2446689999999996E-3</v>
      </c>
      <c r="EG75" s="66">
        <v>2.3472040000000001E-5</v>
      </c>
      <c r="EH75">
        <v>7.0102260000000003E-4</v>
      </c>
      <c r="EI75" s="66">
        <v>8.8082089999999994E-5</v>
      </c>
      <c r="EJ75">
        <v>9.1541569999999996E-4</v>
      </c>
      <c r="EK75">
        <v>1.3569249999999999E-3</v>
      </c>
      <c r="EL75">
        <v>8.9659280000000004E-4</v>
      </c>
      <c r="EM75">
        <v>6.5431150000000004E-4</v>
      </c>
      <c r="EN75">
        <v>2.2988319999999998E-3</v>
      </c>
      <c r="EO75">
        <v>9.291592E-4</v>
      </c>
      <c r="EP75">
        <v>3.1418219999999998E-3</v>
      </c>
      <c r="EQ75">
        <v>1.0565730000000001E-3</v>
      </c>
      <c r="ER75">
        <v>6.780585E-4</v>
      </c>
      <c r="ES75">
        <v>1.1940029999999999E-3</v>
      </c>
      <c r="ET75">
        <v>5.9811480000000004E-3</v>
      </c>
      <c r="EU75">
        <v>2.2672180000000001E-3</v>
      </c>
      <c r="EV75">
        <v>7.2174309999999998E-3</v>
      </c>
      <c r="EW75">
        <v>9.3511080000000001E-4</v>
      </c>
      <c r="EX75">
        <v>4.5206769999999999E-3</v>
      </c>
      <c r="EY75">
        <v>7.2234980000000001E-3</v>
      </c>
      <c r="EZ75">
        <v>1.8792909999999999E-3</v>
      </c>
      <c r="FA75">
        <v>1.3690449999999999E-3</v>
      </c>
      <c r="FB75">
        <v>1.4184379999999999E-3</v>
      </c>
      <c r="FC75">
        <v>1.8235840000000001E-3</v>
      </c>
      <c r="FD75">
        <v>5.4225390000000001E-4</v>
      </c>
      <c r="FE75">
        <v>3.2651199999999998E-2</v>
      </c>
      <c r="FF75">
        <v>1.705858E-2</v>
      </c>
      <c r="FG75">
        <v>9.960956E-3</v>
      </c>
      <c r="FH75">
        <v>8.0649979999999997E-4</v>
      </c>
      <c r="FI75">
        <v>1.5775889999999999E-3</v>
      </c>
      <c r="FJ75">
        <v>1.105773E-2</v>
      </c>
      <c r="FK75">
        <v>0.73836949313511402</v>
      </c>
      <c r="FL75">
        <v>0.45412076796708201</v>
      </c>
      <c r="FM75">
        <v>0.66402729285648998</v>
      </c>
      <c r="FN75">
        <v>0.85896797102070899</v>
      </c>
      <c r="FO75">
        <v>0.104088245457008</v>
      </c>
      <c r="FP75">
        <v>0.72739127473417098</v>
      </c>
      <c r="FQ75">
        <v>0.63468429091751999</v>
      </c>
      <c r="FR75">
        <v>0.67693092704793301</v>
      </c>
      <c r="FS75">
        <v>0.93396352404925598</v>
      </c>
      <c r="FT75">
        <v>0.122629904774231</v>
      </c>
      <c r="FU75">
        <v>0.12949619061572501</v>
      </c>
      <c r="FV75">
        <v>0.39414071966674602</v>
      </c>
      <c r="FW75">
        <v>-0.13416442550480501</v>
      </c>
      <c r="FX75">
        <v>0.53744337771085904</v>
      </c>
      <c r="FY75">
        <v>0.53933681003865996</v>
      </c>
      <c r="FZ75">
        <v>-0.37239434278013001</v>
      </c>
      <c r="GA75">
        <v>-0.20019944574749399</v>
      </c>
      <c r="GB75">
        <v>-0.202749805006218</v>
      </c>
      <c r="GC75">
        <v>0.37212814776494701</v>
      </c>
      <c r="GD75">
        <v>-9.5714677099516102E-2</v>
      </c>
      <c r="GE75">
        <v>6.4431416150937601E-2</v>
      </c>
      <c r="GF75">
        <v>0.388733766214298</v>
      </c>
      <c r="GG75">
        <v>0.36983209715488302</v>
      </c>
      <c r="GH75">
        <v>0.361077547057713</v>
      </c>
      <c r="GI75">
        <v>-2.7016812614425199E-2</v>
      </c>
      <c r="GJ75">
        <v>0.41755436580590399</v>
      </c>
      <c r="GK75">
        <v>0.336373902399001</v>
      </c>
      <c r="GL75">
        <v>0.131949823501675</v>
      </c>
      <c r="GM75">
        <v>0.16646613049877901</v>
      </c>
      <c r="GN75">
        <v>1.6931961561931001E-2</v>
      </c>
      <c r="GO75">
        <v>9.4083845805624997E-2</v>
      </c>
      <c r="GP75">
        <v>4.3037276541972397E-2</v>
      </c>
      <c r="GT75" s="66"/>
      <c r="GV75" s="66"/>
      <c r="HK75" s="1"/>
      <c r="HL75" s="1"/>
      <c r="HM75" s="65"/>
      <c r="HN75" s="1"/>
      <c r="HO75" s="65"/>
      <c r="HP75" s="65"/>
      <c r="HQ75" s="65"/>
      <c r="HS75" s="65"/>
      <c r="HT75" s="65"/>
      <c r="HU75" s="65"/>
      <c r="HV75" s="65"/>
      <c r="HW75" s="65"/>
      <c r="HX75" s="65"/>
      <c r="JJ75" s="66"/>
      <c r="JL75" s="66"/>
      <c r="JN75" s="66"/>
    </row>
    <row r="76" spans="1:278" ht="15.75" x14ac:dyDescent="0.25">
      <c r="A76" s="29" t="s">
        <v>129</v>
      </c>
      <c r="B76" s="29" t="s">
        <v>129</v>
      </c>
      <c r="C76" s="29" t="s">
        <v>843</v>
      </c>
      <c r="D76" s="29" t="s">
        <v>518</v>
      </c>
      <c r="E76" s="29" t="s">
        <v>518</v>
      </c>
      <c r="F76" s="29">
        <v>75</v>
      </c>
      <c r="G76" s="29" t="s">
        <v>842</v>
      </c>
      <c r="H76" s="30" t="s">
        <v>656</v>
      </c>
      <c r="I76" s="29">
        <v>150</v>
      </c>
      <c r="J76" s="29">
        <v>65</v>
      </c>
      <c r="K76" s="35">
        <v>4.8</v>
      </c>
      <c r="L76" s="32" t="s">
        <v>305</v>
      </c>
      <c r="M76" s="29" t="s">
        <v>1118</v>
      </c>
      <c r="N76" s="29" t="s">
        <v>688</v>
      </c>
      <c r="O76" s="29" t="s">
        <v>687</v>
      </c>
      <c r="P76" s="29" t="s">
        <v>1118</v>
      </c>
      <c r="Q76" s="29" t="s">
        <v>443</v>
      </c>
      <c r="R76" s="2" t="str">
        <f t="shared" si="73"/>
        <v>CW_0_Section_0</v>
      </c>
      <c r="S76" s="2" t="str">
        <f t="shared" si="74"/>
        <v>CW_0_INF</v>
      </c>
      <c r="T76" s="31" t="s">
        <v>845</v>
      </c>
      <c r="U76" s="33">
        <v>45705</v>
      </c>
      <c r="V76" s="29" t="s">
        <v>799</v>
      </c>
      <c r="W76" s="29" t="s">
        <v>1118</v>
      </c>
      <c r="X76" s="29" t="s">
        <v>844</v>
      </c>
      <c r="Y76" s="2" t="str">
        <f t="shared" si="75"/>
        <v>T3_INF</v>
      </c>
      <c r="Z76" s="2" t="str">
        <f t="shared" si="76"/>
        <v>T3_CW_0_INF</v>
      </c>
      <c r="AA76" s="2" t="str">
        <f t="shared" si="77"/>
        <v>T3_INF</v>
      </c>
      <c r="AB76" s="2">
        <v>188</v>
      </c>
      <c r="AC76" s="2">
        <v>6.1840000000000002</v>
      </c>
      <c r="AD76" s="2">
        <v>-0.38</v>
      </c>
      <c r="AE76" s="2">
        <v>3</v>
      </c>
      <c r="AF76" s="32" t="s">
        <v>27</v>
      </c>
      <c r="AG76" t="s">
        <v>1237</v>
      </c>
      <c r="AH76" s="32">
        <v>72</v>
      </c>
      <c r="AI76" s="32">
        <v>25</v>
      </c>
      <c r="AJ76" s="32">
        <v>1.3</v>
      </c>
      <c r="AK76" s="32" t="s">
        <v>443</v>
      </c>
      <c r="AL76" s="32" t="s">
        <v>443</v>
      </c>
      <c r="AM76" s="32" t="s">
        <v>443</v>
      </c>
      <c r="AN76" s="32" t="s">
        <v>443</v>
      </c>
      <c r="AO76" s="32" t="s">
        <v>443</v>
      </c>
      <c r="AP76" s="32" t="s">
        <v>443</v>
      </c>
      <c r="AQ76" s="32">
        <v>0.01</v>
      </c>
      <c r="AR76" s="32">
        <v>64</v>
      </c>
      <c r="AS76" s="32">
        <v>17</v>
      </c>
      <c r="AT76" s="32">
        <v>660</v>
      </c>
      <c r="AU76" s="32">
        <f t="shared" si="89"/>
        <v>0.25348866982460633</v>
      </c>
      <c r="AV76" s="32">
        <v>210</v>
      </c>
      <c r="AW76" s="32">
        <f t="shared" si="90"/>
        <v>8.2049055784675501E-2</v>
      </c>
      <c r="AX76" s="32">
        <v>770</v>
      </c>
      <c r="AY76" s="32">
        <f t="shared" si="91"/>
        <v>0.30460582085334842</v>
      </c>
      <c r="AZ76" s="32">
        <v>280</v>
      </c>
      <c r="BA76" s="32">
        <f t="shared" si="92"/>
        <v>0.11076575303758124</v>
      </c>
      <c r="BB76" s="32">
        <v>500</v>
      </c>
      <c r="BC76" s="32">
        <f t="shared" si="93"/>
        <v>0.19779598756710934</v>
      </c>
      <c r="BD76" s="32">
        <v>780</v>
      </c>
      <c r="BE76" s="32"/>
      <c r="BF76" s="48">
        <v>2420</v>
      </c>
      <c r="BG76" s="48">
        <f t="shared" si="94"/>
        <v>0.64014354646263028</v>
      </c>
      <c r="BH76" s="32">
        <v>5900</v>
      </c>
      <c r="BI76" s="32">
        <f t="shared" si="95"/>
        <v>2.2095654209253333</v>
      </c>
      <c r="BJ76" s="47">
        <v>7000</v>
      </c>
      <c r="BK76" s="27">
        <f t="shared" si="96"/>
        <v>2.6215182960131074</v>
      </c>
      <c r="BL76" s="47">
        <v>310</v>
      </c>
      <c r="BM76" s="27">
        <f t="shared" si="97"/>
        <v>0.11406794138905316</v>
      </c>
      <c r="BN76" s="47">
        <v>280</v>
      </c>
      <c r="BO76" s="27">
        <f t="shared" si="98"/>
        <v>0.10531093962778031</v>
      </c>
      <c r="BP76" s="47">
        <v>190</v>
      </c>
      <c r="BQ76" s="27">
        <f t="shared" si="99"/>
        <v>7.0869931416195395E-2</v>
      </c>
      <c r="BR76" s="47">
        <v>180</v>
      </c>
      <c r="BS76" s="27">
        <f t="shared" si="100"/>
        <v>6.6655445211243891E-2</v>
      </c>
      <c r="BT76" s="47">
        <v>35</v>
      </c>
      <c r="BU76" s="27">
        <f t="shared" si="101"/>
        <v>1.2960781013297425E-2</v>
      </c>
      <c r="BV76" s="47">
        <v>19</v>
      </c>
      <c r="BW76" s="27">
        <f t="shared" si="102"/>
        <v>6.951792336217553E-3</v>
      </c>
      <c r="BX76" s="47">
        <v>21</v>
      </c>
      <c r="BY76" s="27">
        <f t="shared" si="103"/>
        <v>7.6835599505562418E-3</v>
      </c>
      <c r="BZ76" s="51">
        <f t="shared" si="104"/>
        <v>8035</v>
      </c>
      <c r="CA76" s="51">
        <f t="shared" si="105"/>
        <v>1035</v>
      </c>
      <c r="CB76" s="27">
        <f t="shared" si="106"/>
        <v>3.006018686957451</v>
      </c>
      <c r="CC76" s="27">
        <f t="shared" si="107"/>
        <v>0.38450039094434402</v>
      </c>
      <c r="CD76" s="32">
        <v>8900</v>
      </c>
      <c r="CE76" s="32">
        <v>4200</v>
      </c>
      <c r="CF76" s="32" t="s">
        <v>19</v>
      </c>
      <c r="CG76" s="32">
        <v>13000</v>
      </c>
      <c r="CH76" s="32">
        <v>0.5</v>
      </c>
      <c r="CI76" s="32">
        <f t="shared" si="108"/>
        <v>8.9525514771709933E-3</v>
      </c>
      <c r="CJ76" s="32">
        <f t="shared" si="109"/>
        <v>8.9525514771709933E-3</v>
      </c>
      <c r="CK76" s="32">
        <v>0.8</v>
      </c>
      <c r="CL76" s="32">
        <f t="shared" si="110"/>
        <v>1.4563990533406155E-2</v>
      </c>
      <c r="CM76" s="32">
        <f t="shared" si="111"/>
        <v>2.912798106681231E-2</v>
      </c>
      <c r="CN76" s="32">
        <v>82</v>
      </c>
      <c r="CO76" s="32">
        <f t="shared" si="112"/>
        <v>0.85363314595044759</v>
      </c>
      <c r="CP76" s="32">
        <f t="shared" si="113"/>
        <v>6.8290651676035807</v>
      </c>
      <c r="CQ76" s="57">
        <v>0</v>
      </c>
      <c r="CR76" s="57">
        <v>0</v>
      </c>
      <c r="CS76" s="57">
        <v>0</v>
      </c>
      <c r="CT76" s="57">
        <f t="shared" si="114"/>
        <v>0</v>
      </c>
      <c r="CU76" s="28">
        <v>0</v>
      </c>
      <c r="CV76" s="28">
        <v>0</v>
      </c>
      <c r="CW76" s="28">
        <v>0</v>
      </c>
      <c r="CX76" s="28">
        <f t="shared" si="115"/>
        <v>0</v>
      </c>
      <c r="CY76" s="32">
        <f t="shared" si="116"/>
        <v>0</v>
      </c>
      <c r="CZ76" s="32">
        <f t="shared" si="117"/>
        <v>0</v>
      </c>
      <c r="DA76" s="32">
        <f t="shared" si="118"/>
        <v>0.5</v>
      </c>
      <c r="DB76" s="32">
        <f t="shared" si="119"/>
        <v>8.9525514771709933E-3</v>
      </c>
      <c r="DC76" s="32">
        <f t="shared" si="120"/>
        <v>8.9525514771709933E-3</v>
      </c>
      <c r="DD76" s="59">
        <f t="shared" si="121"/>
        <v>0</v>
      </c>
      <c r="DE76" s="59">
        <f t="shared" si="122"/>
        <v>0</v>
      </c>
      <c r="DF76" s="59">
        <f t="shared" si="123"/>
        <v>0.5</v>
      </c>
      <c r="DG76" s="59">
        <f t="shared" si="124"/>
        <v>8.9525514771709933E-3</v>
      </c>
      <c r="DH76" s="59">
        <f t="shared" si="125"/>
        <v>8.9525514771709933E-3</v>
      </c>
      <c r="DI76" s="32">
        <f t="shared" si="126"/>
        <v>6.8290651676035807</v>
      </c>
      <c r="DJ76" s="32">
        <f t="shared" si="127"/>
        <v>1.3</v>
      </c>
      <c r="DK76" s="32">
        <f t="shared" si="128"/>
        <v>3.8080532543983303E-2</v>
      </c>
      <c r="DL76">
        <f t="shared" si="129"/>
        <v>3.8080532543983303E-2</v>
      </c>
      <c r="DM76">
        <f t="shared" si="78"/>
        <v>0.76490477209501395</v>
      </c>
      <c r="DN76">
        <f t="shared" si="79"/>
        <v>0.23509522790498605</v>
      </c>
      <c r="DO76">
        <f t="shared" si="80"/>
        <v>0</v>
      </c>
      <c r="DP76">
        <f t="shared" si="130"/>
        <v>3.8080532543983303E-2</v>
      </c>
      <c r="DQ76">
        <f t="shared" si="81"/>
        <v>0.76490477209501395</v>
      </c>
      <c r="DR76">
        <f t="shared" si="82"/>
        <v>0.23509522790498605</v>
      </c>
      <c r="DS76">
        <f t="shared" si="83"/>
        <v>0</v>
      </c>
      <c r="DT76" s="63">
        <f t="shared" si="84"/>
        <v>2.8116284348439802</v>
      </c>
      <c r="DU76" s="63">
        <f t="shared" si="85"/>
        <v>2.8116284348439802</v>
      </c>
      <c r="DV76" s="63">
        <f t="shared" si="86"/>
        <v>3.1961288257883242</v>
      </c>
      <c r="DW76" s="63">
        <f t="shared" si="87"/>
        <v>3.1961288257883242</v>
      </c>
      <c r="DX76" t="str">
        <f t="shared" si="131"/>
        <v>Insufficient Capacity</v>
      </c>
      <c r="DY76" t="str">
        <f t="shared" si="132"/>
        <v>Insufficient Capacity</v>
      </c>
      <c r="DZ76" t="str">
        <f t="shared" si="133"/>
        <v>Iron Dominant electron acceptor</v>
      </c>
      <c r="EA76" t="str">
        <f t="shared" si="88"/>
        <v>Iron Dominant electron acceptor</v>
      </c>
      <c r="EB76">
        <v>1.1066080000000001E-2</v>
      </c>
      <c r="EC76">
        <v>2.1030459999999999E-3</v>
      </c>
      <c r="ED76">
        <v>0</v>
      </c>
      <c r="EE76">
        <v>1.126674E-4</v>
      </c>
      <c r="EF76">
        <v>1.6614830000000001E-3</v>
      </c>
      <c r="EG76" s="66">
        <v>5.3985190000000004E-6</v>
      </c>
      <c r="EH76" s="66">
        <v>7.6452390000000006E-5</v>
      </c>
      <c r="EI76" s="66">
        <v>1.784698E-6</v>
      </c>
      <c r="EJ76">
        <v>2.140101E-4</v>
      </c>
      <c r="EK76">
        <v>3.3564990000000002E-4</v>
      </c>
      <c r="EL76">
        <v>2.954589E-4</v>
      </c>
      <c r="EM76" s="66">
        <v>4.1747350000000003E-5</v>
      </c>
      <c r="EN76">
        <v>1.540147E-3</v>
      </c>
      <c r="EO76">
        <v>3.5770609999999999E-4</v>
      </c>
      <c r="EP76">
        <v>1.0111230000000001E-3</v>
      </c>
      <c r="EQ76">
        <v>2.1077449999999998E-3</v>
      </c>
      <c r="ER76">
        <v>1.3324539999999999E-4</v>
      </c>
      <c r="ES76">
        <v>3.6683959999999998E-4</v>
      </c>
      <c r="ET76">
        <v>6.2258110000000004E-3</v>
      </c>
      <c r="EU76">
        <v>2.7090719999999999E-3</v>
      </c>
      <c r="EV76">
        <v>1.02687E-2</v>
      </c>
      <c r="EW76">
        <v>6.2375449999999997E-4</v>
      </c>
      <c r="EX76">
        <v>6.4304829999999999E-3</v>
      </c>
      <c r="EY76">
        <v>7.9765059999999995E-3</v>
      </c>
      <c r="EZ76">
        <v>3.3892939999999999E-4</v>
      </c>
      <c r="FA76">
        <v>2.5181539999999999E-4</v>
      </c>
      <c r="FB76">
        <v>2.6666649999999999E-4</v>
      </c>
      <c r="FC76">
        <v>1.3342549999999999E-3</v>
      </c>
      <c r="FD76">
        <v>2.4125620000000001E-4</v>
      </c>
      <c r="FE76">
        <v>1.788696E-2</v>
      </c>
      <c r="FF76">
        <v>2.5796389999999999E-2</v>
      </c>
      <c r="FG76">
        <v>1.2162249999999999E-2</v>
      </c>
      <c r="FH76">
        <v>1.159015E-3</v>
      </c>
      <c r="FI76">
        <v>9.3275629999999997E-4</v>
      </c>
      <c r="FJ76">
        <v>1.5991849999999998E-2</v>
      </c>
      <c r="FK76">
        <v>-1.62595720259749</v>
      </c>
      <c r="FL76">
        <v>-1.01843454303959</v>
      </c>
      <c r="FM76">
        <v>-0.80565797600580902</v>
      </c>
      <c r="FN76">
        <v>-1.35690396100249</v>
      </c>
      <c r="FO76">
        <v>-3.7949317618619198</v>
      </c>
      <c r="FP76">
        <v>-0.72596379414072099</v>
      </c>
      <c r="FQ76">
        <v>-0.76222344595895597</v>
      </c>
      <c r="FR76">
        <v>-0.43314113342599397</v>
      </c>
      <c r="FS76">
        <v>-1.81798403747896</v>
      </c>
      <c r="FT76">
        <v>-0.27789339667108098</v>
      </c>
      <c r="FU76">
        <v>-0.82507220106154699</v>
      </c>
      <c r="FV76">
        <v>-0.73960057238856203</v>
      </c>
      <c r="FW76">
        <v>0.55642357835630096</v>
      </c>
      <c r="FX76">
        <v>-1.0895976488191099</v>
      </c>
      <c r="FY76">
        <v>-0.64080530117702805</v>
      </c>
      <c r="FZ76">
        <v>-0.332303150572892</v>
      </c>
      <c r="GA76">
        <v>-2.2146834155797102E-2</v>
      </c>
      <c r="GB76">
        <v>0.14985155623128699</v>
      </c>
      <c r="GC76">
        <v>-3.2780015708088001E-2</v>
      </c>
      <c r="GD76">
        <v>0.25667321358016199</v>
      </c>
      <c r="GE76">
        <v>0.16359256400601699</v>
      </c>
      <c r="GF76">
        <v>-1.3241242647152101</v>
      </c>
      <c r="GG76">
        <v>-1.32334031891129</v>
      </c>
      <c r="GH76">
        <v>-1.3102351840939399</v>
      </c>
      <c r="GI76">
        <v>-0.33944752443062698</v>
      </c>
      <c r="GJ76">
        <v>-0.39232053675897699</v>
      </c>
      <c r="GK76">
        <v>-0.26543575034604699</v>
      </c>
      <c r="GL76">
        <v>0.54553108019822905</v>
      </c>
      <c r="GM76">
        <v>0.366129971888975</v>
      </c>
      <c r="GN76">
        <v>0.37955409742936602</v>
      </c>
      <c r="GO76">
        <v>-0.43142519910195798</v>
      </c>
      <c r="GP76">
        <v>0.411986763100471</v>
      </c>
      <c r="GY76" s="65"/>
      <c r="HK76" s="1"/>
      <c r="HL76" s="1"/>
      <c r="HM76" s="65"/>
      <c r="HN76" s="1"/>
      <c r="IZ76" s="66"/>
      <c r="JB76" s="66"/>
      <c r="JD76" s="66"/>
      <c r="JF76" s="66"/>
      <c r="JH76" s="66"/>
      <c r="JJ76" s="66"/>
      <c r="JL76" s="66"/>
      <c r="JN76" s="66"/>
      <c r="JP76" s="66"/>
      <c r="JR76" s="66"/>
    </row>
    <row r="77" spans="1:278" ht="15.75" x14ac:dyDescent="0.25">
      <c r="A77" s="5" t="s">
        <v>130</v>
      </c>
      <c r="B77" s="5" t="s">
        <v>130</v>
      </c>
      <c r="C77" s="2" t="s">
        <v>847</v>
      </c>
      <c r="D77" s="2" t="s">
        <v>519</v>
      </c>
      <c r="E77" s="2" t="s">
        <v>519</v>
      </c>
      <c r="F77" s="2">
        <v>76</v>
      </c>
      <c r="G77" s="2" t="s">
        <v>846</v>
      </c>
      <c r="H77" s="10" t="s">
        <v>656</v>
      </c>
      <c r="I77" s="2">
        <v>150</v>
      </c>
      <c r="J77" s="2">
        <v>65</v>
      </c>
      <c r="K77" s="13">
        <v>5.7</v>
      </c>
      <c r="L77" t="s">
        <v>304</v>
      </c>
      <c r="M77" s="2" t="s">
        <v>1119</v>
      </c>
      <c r="N77" s="2" t="s">
        <v>435</v>
      </c>
      <c r="O77" s="2" t="s">
        <v>694</v>
      </c>
      <c r="P77" s="2" t="s">
        <v>1119</v>
      </c>
      <c r="Q77" s="2" t="s">
        <v>443</v>
      </c>
      <c r="R77" s="2" t="str">
        <f t="shared" si="73"/>
        <v>CW_1_Section_5</v>
      </c>
      <c r="S77" s="2" t="str">
        <f t="shared" si="74"/>
        <v>CW_1_EFF</v>
      </c>
      <c r="T77" s="11" t="s">
        <v>845</v>
      </c>
      <c r="U77" s="1">
        <v>45705</v>
      </c>
      <c r="V77" s="2" t="s">
        <v>799</v>
      </c>
      <c r="W77" s="2" t="s">
        <v>1119</v>
      </c>
      <c r="X77" s="2" t="s">
        <v>844</v>
      </c>
      <c r="Y77" s="2" t="str">
        <f t="shared" si="75"/>
        <v>T3_EFF</v>
      </c>
      <c r="Z77" s="2" t="str">
        <f t="shared" si="76"/>
        <v>T3_CW_1_EFF</v>
      </c>
      <c r="AA77" s="2" t="str">
        <f t="shared" si="77"/>
        <v>T3_EFF</v>
      </c>
      <c r="AB77" s="2">
        <v>188</v>
      </c>
      <c r="AC77" s="2">
        <v>6.1840000000000002</v>
      </c>
      <c r="AD77" s="2">
        <v>-0.38</v>
      </c>
      <c r="AE77" s="2">
        <v>3</v>
      </c>
      <c r="AF77" t="s">
        <v>18</v>
      </c>
      <c r="AG77" t="s">
        <v>1237</v>
      </c>
      <c r="AH77">
        <v>62</v>
      </c>
      <c r="AI77">
        <v>20</v>
      </c>
      <c r="AJ77">
        <v>1.4</v>
      </c>
      <c r="AK77">
        <v>1.65</v>
      </c>
      <c r="AL77">
        <v>8.1</v>
      </c>
      <c r="AM77">
        <v>-83</v>
      </c>
      <c r="AN77">
        <v>7.16</v>
      </c>
      <c r="AO77">
        <v>845</v>
      </c>
      <c r="AP77">
        <v>0.2</v>
      </c>
      <c r="AQ77">
        <v>0.01</v>
      </c>
      <c r="AR77">
        <v>7.2</v>
      </c>
      <c r="AS77">
        <v>7.7</v>
      </c>
      <c r="AT77">
        <v>150</v>
      </c>
      <c r="AU77" s="32">
        <f t="shared" si="89"/>
        <v>5.7611061323774165E-2</v>
      </c>
      <c r="AV77">
        <v>1</v>
      </c>
      <c r="AW77" s="32">
        <f t="shared" si="90"/>
        <v>3.9070978945083569E-4</v>
      </c>
      <c r="AX77">
        <v>100</v>
      </c>
      <c r="AY77" s="32">
        <f t="shared" si="91"/>
        <v>3.9559197513421872E-2</v>
      </c>
      <c r="AZ77">
        <v>33</v>
      </c>
      <c r="BA77" s="32">
        <f t="shared" si="92"/>
        <v>1.3054535179429217E-2</v>
      </c>
      <c r="BB77">
        <v>29</v>
      </c>
      <c r="BC77" s="32">
        <f t="shared" si="93"/>
        <v>1.1472167278892343E-2</v>
      </c>
      <c r="BD77">
        <v>62</v>
      </c>
      <c r="BF77" s="48">
        <v>319</v>
      </c>
      <c r="BG77" s="48">
        <f t="shared" si="94"/>
        <v>9.7560968626646871E-2</v>
      </c>
      <c r="BH77">
        <v>600</v>
      </c>
      <c r="BI77" s="32">
        <f t="shared" si="95"/>
        <v>0.22470156822969492</v>
      </c>
      <c r="BJ77" s="47">
        <v>320</v>
      </c>
      <c r="BK77" s="27">
        <f t="shared" si="96"/>
        <v>0.11984083638917062</v>
      </c>
      <c r="BL77" s="47">
        <v>4</v>
      </c>
      <c r="BM77" s="27">
        <f t="shared" si="97"/>
        <v>1.4718444050200407E-3</v>
      </c>
      <c r="BN77" s="47">
        <v>4</v>
      </c>
      <c r="BO77" s="27">
        <f t="shared" si="98"/>
        <v>1.5044419946825757E-3</v>
      </c>
      <c r="BP77" s="47">
        <v>2</v>
      </c>
      <c r="BQ77" s="27">
        <f t="shared" si="99"/>
        <v>7.4599927806521475E-4</v>
      </c>
      <c r="BR77" s="47">
        <v>1.6</v>
      </c>
      <c r="BS77" s="27">
        <f t="shared" si="100"/>
        <v>5.9249284632216796E-4</v>
      </c>
      <c r="BT77" s="47">
        <v>0.19</v>
      </c>
      <c r="BU77" s="27">
        <f t="shared" si="101"/>
        <v>7.0358525500757444E-5</v>
      </c>
      <c r="BV77" s="47">
        <v>0.03</v>
      </c>
      <c r="BW77" s="27">
        <f t="shared" si="102"/>
        <v>1.0976514215080345E-5</v>
      </c>
      <c r="BX77" s="47">
        <v>0.02</v>
      </c>
      <c r="BY77" s="27">
        <f t="shared" si="103"/>
        <v>7.3176761433868973E-6</v>
      </c>
      <c r="BZ77" s="51">
        <f t="shared" si="104"/>
        <v>331.84</v>
      </c>
      <c r="CA77" s="51">
        <f t="shared" si="105"/>
        <v>11.839999999999998</v>
      </c>
      <c r="CB77" s="27">
        <f t="shared" si="106"/>
        <v>0.12424426762911986</v>
      </c>
      <c r="CC77" s="27">
        <f t="shared" si="107"/>
        <v>4.403431239949223E-3</v>
      </c>
      <c r="CD77">
        <v>1100</v>
      </c>
      <c r="CE77">
        <v>280</v>
      </c>
      <c r="CF77" t="s">
        <v>19</v>
      </c>
      <c r="CG77">
        <v>1400</v>
      </c>
      <c r="CH77" s="32">
        <v>10</v>
      </c>
      <c r="CI77" s="32">
        <f t="shared" si="108"/>
        <v>0.17905102954341987</v>
      </c>
      <c r="CJ77" s="32">
        <f t="shared" si="109"/>
        <v>0.17905102954341987</v>
      </c>
      <c r="CK77" s="32">
        <v>2.7</v>
      </c>
      <c r="CL77" s="32">
        <f t="shared" si="110"/>
        <v>4.9153468050245772E-2</v>
      </c>
      <c r="CM77" s="32">
        <f t="shared" si="111"/>
        <v>9.8306936100491543E-2</v>
      </c>
      <c r="CN77" s="27">
        <v>24</v>
      </c>
      <c r="CO77" s="27">
        <f t="shared" si="112"/>
        <v>0.24984384759525297</v>
      </c>
      <c r="CP77" s="27">
        <f t="shared" si="113"/>
        <v>1.9987507807620237</v>
      </c>
      <c r="CQ77" s="57">
        <v>58</v>
      </c>
      <c r="CR77" s="57">
        <v>70.731707317073173</v>
      </c>
      <c r="CS77" s="57">
        <v>4.8303143868415575</v>
      </c>
      <c r="CT77" s="57">
        <f t="shared" si="114"/>
        <v>4.8303143868415575</v>
      </c>
      <c r="CU77" s="28">
        <v>38</v>
      </c>
      <c r="CV77" s="28">
        <v>61.29032258064516</v>
      </c>
      <c r="CW77" s="28">
        <v>3.1646887362065375</v>
      </c>
      <c r="CX77" s="28">
        <f t="shared" si="115"/>
        <v>3.1646887362065375</v>
      </c>
      <c r="CY77" s="32">
        <f t="shared" si="116"/>
        <v>33.715594420154069</v>
      </c>
      <c r="CZ77" s="32">
        <f t="shared" si="117"/>
        <v>33.715594420154069</v>
      </c>
      <c r="DA77" s="32">
        <f t="shared" si="118"/>
        <v>43.715594420154069</v>
      </c>
      <c r="DB77" s="32">
        <f t="shared" si="119"/>
        <v>0.78273221880311672</v>
      </c>
      <c r="DC77" s="32">
        <f t="shared" si="120"/>
        <v>0.78273221880311672</v>
      </c>
      <c r="DD77" s="59">
        <f t="shared" si="121"/>
        <v>22.08952737872163</v>
      </c>
      <c r="DE77" s="59">
        <f t="shared" si="122"/>
        <v>22.08952737872163</v>
      </c>
      <c r="DF77" s="59">
        <f t="shared" si="123"/>
        <v>32.089527378721627</v>
      </c>
      <c r="DG77" s="59">
        <f t="shared" si="124"/>
        <v>0.57456629147218663</v>
      </c>
      <c r="DH77" s="59">
        <f t="shared" si="125"/>
        <v>0.57456629147218663</v>
      </c>
      <c r="DI77" s="32">
        <f t="shared" si="126"/>
        <v>1.9987507807620237</v>
      </c>
      <c r="DJ77" s="32">
        <f t="shared" si="127"/>
        <v>34.78952737872163</v>
      </c>
      <c r="DK77" s="32">
        <f t="shared" si="128"/>
        <v>0.6728732275726782</v>
      </c>
      <c r="DL77">
        <f t="shared" si="129"/>
        <v>5.711353541745166</v>
      </c>
      <c r="DM77">
        <f t="shared" si="78"/>
        <v>1.7212546094713094E-2</v>
      </c>
      <c r="DN77">
        <f t="shared" si="79"/>
        <v>0.13704846199451776</v>
      </c>
      <c r="DO77">
        <f t="shared" si="80"/>
        <v>0.84573899191076907</v>
      </c>
      <c r="DP77">
        <f t="shared" si="130"/>
        <v>3.8375619637792155</v>
      </c>
      <c r="DQ77">
        <f t="shared" si="81"/>
        <v>2.5617028996107537E-2</v>
      </c>
      <c r="DR77">
        <f t="shared" si="82"/>
        <v>0.14972169749836589</v>
      </c>
      <c r="DS77">
        <f t="shared" si="83"/>
        <v>0.82466127350552665</v>
      </c>
      <c r="DT77" s="63">
        <f t="shared" si="84"/>
        <v>-5.3890910048888241</v>
      </c>
      <c r="DU77" s="63">
        <f t="shared" si="85"/>
        <v>-3.5152994269228737</v>
      </c>
      <c r="DV77" s="63">
        <f t="shared" si="86"/>
        <v>-5.3846875736488746</v>
      </c>
      <c r="DW77" s="63">
        <f t="shared" si="87"/>
        <v>-3.5108959956829247</v>
      </c>
      <c r="DX77" t="str">
        <f t="shared" si="131"/>
        <v>Sufficient Capacity</v>
      </c>
      <c r="DY77" t="str">
        <f t="shared" si="132"/>
        <v>Sufficient Capacity</v>
      </c>
      <c r="DZ77" t="str">
        <f t="shared" si="133"/>
        <v>Sulfate Dominant electron acceptor</v>
      </c>
      <c r="EA77" t="str">
        <f t="shared" si="88"/>
        <v>Sulfate Dominant electron acceptor</v>
      </c>
      <c r="EB77">
        <v>9.7317900000000006E-3</v>
      </c>
      <c r="EC77">
        <v>1.556864E-3</v>
      </c>
      <c r="ED77" s="66">
        <v>1.1916910000000001E-7</v>
      </c>
      <c r="EE77">
        <v>8.1549819999999996E-4</v>
      </c>
      <c r="EF77">
        <v>4.3638160000000004E-3</v>
      </c>
      <c r="EG77" s="66">
        <v>4.4154850000000001E-6</v>
      </c>
      <c r="EH77">
        <v>5.4670520000000005E-4</v>
      </c>
      <c r="EI77" s="66">
        <v>7.1464980000000006E-5</v>
      </c>
      <c r="EJ77">
        <v>5.8943859999999995E-4</v>
      </c>
      <c r="EK77">
        <v>8.7100280000000001E-4</v>
      </c>
      <c r="EL77">
        <v>5.9927570000000005E-4</v>
      </c>
      <c r="EM77">
        <v>3.6662780000000001E-4</v>
      </c>
      <c r="EN77">
        <v>2.0742690000000001E-3</v>
      </c>
      <c r="EO77">
        <v>7.2451579999999996E-4</v>
      </c>
      <c r="EP77">
        <v>2.066792E-3</v>
      </c>
      <c r="EQ77">
        <v>1.2152899999999999E-3</v>
      </c>
      <c r="ER77">
        <v>4.1912889999999998E-4</v>
      </c>
      <c r="ES77">
        <v>7.5288039999999996E-4</v>
      </c>
      <c r="ET77">
        <v>1.116377E-2</v>
      </c>
      <c r="EU77">
        <v>2.8863790000000001E-3</v>
      </c>
      <c r="EV77">
        <v>8.3691449999999997E-3</v>
      </c>
      <c r="EW77">
        <v>8.5464700000000005E-4</v>
      </c>
      <c r="EX77">
        <v>4.6253350000000004E-3</v>
      </c>
      <c r="EY77">
        <v>6.4528220000000004E-3</v>
      </c>
      <c r="EZ77">
        <v>1.1249140000000001E-3</v>
      </c>
      <c r="FA77">
        <v>9.7713909999999995E-4</v>
      </c>
      <c r="FB77">
        <v>9.9510549999999999E-4</v>
      </c>
      <c r="FC77">
        <v>1.757584E-3</v>
      </c>
      <c r="FD77">
        <v>2.9610729999999998E-4</v>
      </c>
      <c r="FE77">
        <v>2.6454930000000001E-2</v>
      </c>
      <c r="FF77">
        <v>1.6205600000000001E-2</v>
      </c>
      <c r="FG77">
        <v>9.0907639999999994E-3</v>
      </c>
      <c r="FH77">
        <v>7.5781860000000004E-4</v>
      </c>
      <c r="FI77">
        <v>1.43334E-3</v>
      </c>
      <c r="FJ77">
        <v>1.08252E-2</v>
      </c>
      <c r="FK77">
        <v>0.35340189655684601</v>
      </c>
      <c r="FL77">
        <v>-5.2798216152562603E-2</v>
      </c>
      <c r="FM77">
        <v>-1.0066649519036499</v>
      </c>
      <c r="FN77">
        <v>0.61033756231903702</v>
      </c>
      <c r="FO77">
        <v>-0.104973435600836</v>
      </c>
      <c r="FP77">
        <v>0.28718355417779801</v>
      </c>
      <c r="FQ77">
        <v>0.191353093128806</v>
      </c>
      <c r="FR77">
        <v>0.27405088503255098</v>
      </c>
      <c r="FS77">
        <v>0.35472715079251799</v>
      </c>
      <c r="FT77">
        <v>1.98375393710544E-2</v>
      </c>
      <c r="FU77">
        <v>-0.11928033091132199</v>
      </c>
      <c r="FV77">
        <v>-2.46645200423945E-2</v>
      </c>
      <c r="FW77">
        <v>5.7876541761059403E-3</v>
      </c>
      <c r="FX77">
        <v>5.6388320149813403E-2</v>
      </c>
      <c r="FY77">
        <v>7.8176387370013395E-2</v>
      </c>
      <c r="FZ77">
        <v>0.25166684796474997</v>
      </c>
      <c r="GA77">
        <v>4.1249800382155803E-2</v>
      </c>
      <c r="GB77">
        <v>-5.4697148672458298E-2</v>
      </c>
      <c r="GC77">
        <v>0.28215164101060902</v>
      </c>
      <c r="GD77">
        <v>-7.2827637715279905E-2</v>
      </c>
      <c r="GE77">
        <v>-4.8390352458401502E-2</v>
      </c>
      <c r="GF77">
        <v>-0.12445422354755099</v>
      </c>
      <c r="GG77">
        <v>3.25924182227686E-2</v>
      </c>
      <c r="GH77">
        <v>6.6147635949871404E-3</v>
      </c>
      <c r="GI77">
        <v>-6.3880469355053607E-2</v>
      </c>
      <c r="GJ77">
        <v>-0.18745808749290199</v>
      </c>
      <c r="GK77">
        <v>0.12593482425626501</v>
      </c>
      <c r="GL77">
        <v>8.0653382058800502E-2</v>
      </c>
      <c r="GM77">
        <v>7.50520326350506E-2</v>
      </c>
      <c r="GN77">
        <v>-4.5327645000139E-2</v>
      </c>
      <c r="GO77">
        <v>-1.80650123628556E-3</v>
      </c>
      <c r="GP77">
        <v>2.1784295104662701E-2</v>
      </c>
      <c r="GR77" s="66"/>
      <c r="GT77" s="66"/>
      <c r="GV77" s="66"/>
      <c r="HK77" s="1"/>
      <c r="HL77" s="1"/>
      <c r="HM77" s="65"/>
      <c r="HN77" s="1"/>
      <c r="HO77" s="65"/>
      <c r="HP77" s="65"/>
      <c r="HQ77" s="65"/>
      <c r="HS77" s="65"/>
      <c r="HT77" s="65"/>
      <c r="HU77" s="65"/>
      <c r="HV77" s="65"/>
      <c r="HW77" s="65"/>
      <c r="HX77" s="65"/>
      <c r="JJ77" s="66"/>
      <c r="JL77" s="66"/>
      <c r="JN77" s="66"/>
    </row>
    <row r="78" spans="1:278" ht="15.75" x14ac:dyDescent="0.25">
      <c r="A78" s="5" t="s">
        <v>131</v>
      </c>
      <c r="B78" s="5" t="s">
        <v>131</v>
      </c>
      <c r="C78" s="2" t="s">
        <v>849</v>
      </c>
      <c r="D78" s="2" t="s">
        <v>520</v>
      </c>
      <c r="E78" s="2" t="s">
        <v>520</v>
      </c>
      <c r="F78" s="2">
        <v>77</v>
      </c>
      <c r="G78" s="2" t="s">
        <v>848</v>
      </c>
      <c r="H78" s="10" t="s">
        <v>656</v>
      </c>
      <c r="I78" s="2">
        <v>150</v>
      </c>
      <c r="J78" s="2">
        <v>65</v>
      </c>
      <c r="K78" s="13">
        <v>3.85</v>
      </c>
      <c r="L78" t="s">
        <v>318</v>
      </c>
      <c r="M78" s="2" t="s">
        <v>1119</v>
      </c>
      <c r="N78" s="2" t="s">
        <v>436</v>
      </c>
      <c r="O78" s="2" t="s">
        <v>694</v>
      </c>
      <c r="P78" s="2" t="s">
        <v>1119</v>
      </c>
      <c r="Q78" s="2" t="s">
        <v>443</v>
      </c>
      <c r="R78" s="2" t="str">
        <f t="shared" si="73"/>
        <v>CW_2_Section_5</v>
      </c>
      <c r="S78" s="2" t="str">
        <f t="shared" si="74"/>
        <v>CW_2_EFF</v>
      </c>
      <c r="T78" s="11" t="s">
        <v>845</v>
      </c>
      <c r="U78" s="1">
        <v>45706</v>
      </c>
      <c r="V78" s="2" t="s">
        <v>799</v>
      </c>
      <c r="W78" s="2" t="s">
        <v>1119</v>
      </c>
      <c r="X78" s="2" t="s">
        <v>844</v>
      </c>
      <c r="Y78" s="2" t="str">
        <f t="shared" si="75"/>
        <v>T3_EFF</v>
      </c>
      <c r="Z78" s="2" t="str">
        <f t="shared" si="76"/>
        <v>T3_CW_2_EFF</v>
      </c>
      <c r="AA78" s="2" t="str">
        <f t="shared" si="77"/>
        <v>T3_EFF</v>
      </c>
      <c r="AB78" s="2">
        <v>188</v>
      </c>
      <c r="AC78" s="2">
        <v>6.1840000000000002</v>
      </c>
      <c r="AD78" s="2">
        <v>-0.38</v>
      </c>
      <c r="AE78" s="2">
        <v>3</v>
      </c>
      <c r="AF78" t="s">
        <v>39</v>
      </c>
      <c r="AG78" t="s">
        <v>1237</v>
      </c>
      <c r="AH78">
        <v>68</v>
      </c>
      <c r="AI78">
        <v>25</v>
      </c>
      <c r="AJ78">
        <v>1.2</v>
      </c>
      <c r="AK78">
        <v>0.72</v>
      </c>
      <c r="AL78">
        <v>7.3</v>
      </c>
      <c r="AM78">
        <v>-112</v>
      </c>
      <c r="AN78">
        <v>7.21</v>
      </c>
      <c r="AO78">
        <v>1029</v>
      </c>
      <c r="AP78">
        <v>0.2</v>
      </c>
      <c r="AQ78">
        <v>0.01</v>
      </c>
      <c r="AR78">
        <v>13</v>
      </c>
      <c r="AS78">
        <v>13</v>
      </c>
      <c r="AT78">
        <v>620</v>
      </c>
      <c r="AU78" s="32">
        <f t="shared" si="89"/>
        <v>0.23812572013826652</v>
      </c>
      <c r="AV78">
        <v>8.6999999999999993</v>
      </c>
      <c r="AW78" s="32">
        <f t="shared" si="90"/>
        <v>3.3991751682222703E-3</v>
      </c>
      <c r="AX78">
        <v>560</v>
      </c>
      <c r="AY78" s="32">
        <f t="shared" si="91"/>
        <v>0.22153150607516248</v>
      </c>
      <c r="AZ78">
        <v>180</v>
      </c>
      <c r="BA78" s="32">
        <f t="shared" si="92"/>
        <v>7.120655552415936E-2</v>
      </c>
      <c r="BB78">
        <v>190</v>
      </c>
      <c r="BC78" s="32">
        <f t="shared" si="93"/>
        <v>7.5162475275501545E-2</v>
      </c>
      <c r="BD78">
        <v>370</v>
      </c>
      <c r="BF78" s="48">
        <v>1558.7</v>
      </c>
      <c r="BG78" s="48">
        <f t="shared" si="94"/>
        <v>0.46305640138165127</v>
      </c>
      <c r="BH78">
        <v>3900</v>
      </c>
      <c r="BI78" s="32">
        <f t="shared" si="95"/>
        <v>1.460560193493017</v>
      </c>
      <c r="BJ78" s="47">
        <v>4900</v>
      </c>
      <c r="BK78" s="27">
        <f t="shared" si="96"/>
        <v>1.8350628072091753</v>
      </c>
      <c r="BL78" s="47">
        <v>390</v>
      </c>
      <c r="BM78" s="27">
        <f t="shared" si="97"/>
        <v>0.14350482948945398</v>
      </c>
      <c r="BN78" s="47">
        <v>220</v>
      </c>
      <c r="BO78" s="27">
        <f t="shared" si="98"/>
        <v>8.2744309707541666E-2</v>
      </c>
      <c r="BP78" s="47">
        <v>99</v>
      </c>
      <c r="BQ78" s="27">
        <f t="shared" si="99"/>
        <v>3.6926964264228132E-2</v>
      </c>
      <c r="BR78" s="47">
        <v>35</v>
      </c>
      <c r="BS78" s="27">
        <f t="shared" si="100"/>
        <v>1.2960781013297425E-2</v>
      </c>
      <c r="BT78" s="47">
        <v>1.9</v>
      </c>
      <c r="BU78" s="27">
        <f t="shared" si="101"/>
        <v>7.0358525500757447E-4</v>
      </c>
      <c r="BV78" s="47">
        <v>0.09</v>
      </c>
      <c r="BW78" s="27">
        <f t="shared" si="102"/>
        <v>3.2929542645241034E-5</v>
      </c>
      <c r="BX78" s="47">
        <v>0.04</v>
      </c>
      <c r="BY78" s="27">
        <f t="shared" si="103"/>
        <v>1.4635352286773795E-5</v>
      </c>
      <c r="BZ78" s="51">
        <f t="shared" si="104"/>
        <v>5646.03</v>
      </c>
      <c r="CA78" s="51">
        <f t="shared" si="105"/>
        <v>746.03</v>
      </c>
      <c r="CB78" s="27">
        <f t="shared" si="106"/>
        <v>2.1119508418336363</v>
      </c>
      <c r="CC78" s="27">
        <f t="shared" si="107"/>
        <v>0.27688803462446082</v>
      </c>
      <c r="CD78">
        <v>4800</v>
      </c>
      <c r="CE78">
        <v>1400</v>
      </c>
      <c r="CF78" t="s">
        <v>19</v>
      </c>
      <c r="CG78">
        <v>6200</v>
      </c>
      <c r="CH78" s="32">
        <v>1.5</v>
      </c>
      <c r="CI78" s="32">
        <f t="shared" si="108"/>
        <v>2.685765443151298E-2</v>
      </c>
      <c r="CJ78" s="32">
        <f t="shared" si="109"/>
        <v>2.685765443151298E-2</v>
      </c>
      <c r="CK78" s="32">
        <v>1.5</v>
      </c>
      <c r="CL78" s="32">
        <f t="shared" si="110"/>
        <v>2.7307482250136537E-2</v>
      </c>
      <c r="CM78" s="32">
        <f t="shared" si="111"/>
        <v>5.4614964500273075E-2</v>
      </c>
      <c r="CN78" s="27">
        <v>61</v>
      </c>
      <c r="CO78" s="27">
        <f t="shared" si="112"/>
        <v>0.6350197793046013</v>
      </c>
      <c r="CP78" s="27">
        <f t="shared" si="113"/>
        <v>5.0801582344368104</v>
      </c>
      <c r="CQ78" s="57">
        <v>21</v>
      </c>
      <c r="CR78" s="57">
        <v>25.609756097560975</v>
      </c>
      <c r="CS78" s="57">
        <v>1.7489069331667708</v>
      </c>
      <c r="CT78" s="57">
        <f t="shared" si="114"/>
        <v>1.7489069331667708</v>
      </c>
      <c r="CU78" s="28">
        <v>-4</v>
      </c>
      <c r="CV78" s="28">
        <v>-7.0175438596491224</v>
      </c>
      <c r="CW78" s="28">
        <v>-0.33312513012700395</v>
      </c>
      <c r="CX78" s="28">
        <f t="shared" si="115"/>
        <v>0</v>
      </c>
      <c r="CY78" s="32">
        <f t="shared" si="116"/>
        <v>12.207370393504059</v>
      </c>
      <c r="CZ78" s="32">
        <f t="shared" si="117"/>
        <v>12.207370393504059</v>
      </c>
      <c r="DA78" s="32">
        <f t="shared" si="118"/>
        <v>13.707370393504059</v>
      </c>
      <c r="DB78" s="32">
        <f t="shared" si="119"/>
        <v>0.24543187812898939</v>
      </c>
      <c r="DC78" s="32">
        <f t="shared" si="120"/>
        <v>0.24543187812898939</v>
      </c>
      <c r="DD78" s="59">
        <f t="shared" si="121"/>
        <v>-2.3252134082864875</v>
      </c>
      <c r="DE78" s="59">
        <f t="shared" si="122"/>
        <v>0</v>
      </c>
      <c r="DF78" s="59">
        <f t="shared" si="123"/>
        <v>1.5</v>
      </c>
      <c r="DG78" s="59">
        <f t="shared" si="124"/>
        <v>2.685765443151298E-2</v>
      </c>
      <c r="DH78" s="59">
        <f t="shared" si="125"/>
        <v>2.685765443151298E-2</v>
      </c>
      <c r="DI78" s="32">
        <f t="shared" si="126"/>
        <v>5.0801582344368104</v>
      </c>
      <c r="DJ78" s="32">
        <f t="shared" si="127"/>
        <v>3</v>
      </c>
      <c r="DK78" s="32">
        <f t="shared" si="128"/>
        <v>8.1472618931786062E-2</v>
      </c>
      <c r="DL78">
        <f t="shared" si="129"/>
        <v>2.0489537757960332</v>
      </c>
      <c r="DM78">
        <f t="shared" si="78"/>
        <v>2.6655049589420225E-2</v>
      </c>
      <c r="DN78">
        <f t="shared" si="79"/>
        <v>0.11978399953587891</v>
      </c>
      <c r="DO78">
        <f t="shared" si="80"/>
        <v>0.85356095087470085</v>
      </c>
      <c r="DP78">
        <f t="shared" si="130"/>
        <v>8.1472618931786062E-2</v>
      </c>
      <c r="DQ78">
        <f t="shared" si="81"/>
        <v>0.67034747644481785</v>
      </c>
      <c r="DR78">
        <f t="shared" si="82"/>
        <v>0.3296525235551821</v>
      </c>
      <c r="DS78">
        <f t="shared" si="83"/>
        <v>0</v>
      </c>
      <c r="DT78" s="63">
        <f t="shared" si="84"/>
        <v>-0.12533718092136503</v>
      </c>
      <c r="DU78" s="63">
        <f t="shared" si="85"/>
        <v>1.8421439759428822</v>
      </c>
      <c r="DV78" s="63">
        <f t="shared" si="86"/>
        <v>0.15155085370309562</v>
      </c>
      <c r="DW78" s="63">
        <f t="shared" si="87"/>
        <v>2.1190320105673428</v>
      </c>
      <c r="DX78" t="str">
        <f t="shared" si="131"/>
        <v>Insufficient Capacity</v>
      </c>
      <c r="DY78" t="str">
        <f t="shared" si="132"/>
        <v>Insufficient Capacity</v>
      </c>
      <c r="DZ78" t="str">
        <f t="shared" si="133"/>
        <v>Sulfate Dominant electron acceptor</v>
      </c>
      <c r="EA78" t="str">
        <f t="shared" si="88"/>
        <v>Iron Dominant electron acceptor</v>
      </c>
      <c r="EB78">
        <v>8.482702E-3</v>
      </c>
      <c r="EC78">
        <v>1.3533519999999999E-3</v>
      </c>
      <c r="ED78">
        <v>0</v>
      </c>
      <c r="EE78">
        <v>1.053862E-3</v>
      </c>
      <c r="EF78">
        <v>7.8604260000000002E-3</v>
      </c>
      <c r="EG78" s="66">
        <v>3.845182E-6</v>
      </c>
      <c r="EH78">
        <v>7.9426340000000005E-4</v>
      </c>
      <c r="EI78" s="66">
        <v>5.8843320000000001E-5</v>
      </c>
      <c r="EJ78">
        <v>5.2814029999999996E-4</v>
      </c>
      <c r="EK78">
        <v>9.4573430000000004E-4</v>
      </c>
      <c r="EL78">
        <v>6.5705539999999995E-4</v>
      </c>
      <c r="EM78">
        <v>6.1601709999999999E-4</v>
      </c>
      <c r="EN78">
        <v>1.787472E-3</v>
      </c>
      <c r="EO78">
        <v>7.5757639999999996E-4</v>
      </c>
      <c r="EP78">
        <v>3.3137449999999999E-3</v>
      </c>
      <c r="EQ78">
        <v>7.0239909999999996E-4</v>
      </c>
      <c r="ER78">
        <v>7.232025E-4</v>
      </c>
      <c r="ES78">
        <v>7.8059069999999997E-4</v>
      </c>
      <c r="ET78">
        <v>6.2091539999999997E-3</v>
      </c>
      <c r="EU78">
        <v>2.2822540000000001E-3</v>
      </c>
      <c r="EV78">
        <v>7.8574339999999999E-3</v>
      </c>
      <c r="EW78">
        <v>7.5785299999999996E-4</v>
      </c>
      <c r="EX78">
        <v>4.8883370000000004E-3</v>
      </c>
      <c r="EY78">
        <v>6.9930809999999999E-3</v>
      </c>
      <c r="EZ78">
        <v>2.2281110000000001E-3</v>
      </c>
      <c r="FA78">
        <v>1.5514159999999999E-3</v>
      </c>
      <c r="FB78">
        <v>1.606159E-3</v>
      </c>
      <c r="FC78">
        <v>2.3744339999999999E-3</v>
      </c>
      <c r="FD78">
        <v>5.2011280000000004E-4</v>
      </c>
      <c r="FE78">
        <v>2.8004439999999999E-2</v>
      </c>
      <c r="FF78">
        <v>1.504836E-2</v>
      </c>
      <c r="FG78">
        <v>9.600786E-3</v>
      </c>
      <c r="FH78">
        <v>7.1460519999999995E-4</v>
      </c>
      <c r="FI78">
        <v>1.9441009999999999E-3</v>
      </c>
      <c r="FJ78">
        <v>1.044434E-2</v>
      </c>
      <c r="FK78">
        <v>0.60981947247102197</v>
      </c>
      <c r="FL78">
        <v>0.53569568336428697</v>
      </c>
      <c r="FM78">
        <v>-1.1449616966631899</v>
      </c>
      <c r="FN78">
        <v>0.98384298911767798</v>
      </c>
      <c r="FO78">
        <v>-0.29930265676192702</v>
      </c>
      <c r="FP78">
        <v>0.177374963795458</v>
      </c>
      <c r="FQ78">
        <v>0.27366956437951701</v>
      </c>
      <c r="FR78">
        <v>0.36609746330416199</v>
      </c>
      <c r="FS78">
        <v>0.87365470918104704</v>
      </c>
      <c r="FT78">
        <v>-0.12896893195890299</v>
      </c>
      <c r="FU78">
        <v>-7.4659510194314799E-2</v>
      </c>
      <c r="FV78">
        <v>0.447416803007603</v>
      </c>
      <c r="FW78">
        <v>-0.54244859524692801</v>
      </c>
      <c r="FX78">
        <v>0.60189907623720196</v>
      </c>
      <c r="FY78">
        <v>0.114320944289623</v>
      </c>
      <c r="FZ78">
        <v>-0.33498221078138901</v>
      </c>
      <c r="GA78">
        <v>-0.193589423860767</v>
      </c>
      <c r="GB78">
        <v>-0.117788787382377</v>
      </c>
      <c r="GC78">
        <v>0.16195255826018001</v>
      </c>
      <c r="GD78">
        <v>-1.7524274642738601E-2</v>
      </c>
      <c r="GE78">
        <v>3.2013324703998897E-2</v>
      </c>
      <c r="GF78">
        <v>0.558993329453361</v>
      </c>
      <c r="GG78">
        <v>0.49488674296714602</v>
      </c>
      <c r="GH78">
        <v>0.48536689524859</v>
      </c>
      <c r="GI78">
        <v>0.236938485216243</v>
      </c>
      <c r="GJ78">
        <v>0.37586573499827702</v>
      </c>
      <c r="GK78">
        <v>0.182855362938972</v>
      </c>
      <c r="GL78">
        <v>6.5655356988854104E-3</v>
      </c>
      <c r="GM78">
        <v>0.129638049694908</v>
      </c>
      <c r="GN78">
        <v>-0.104041465657139</v>
      </c>
      <c r="GO78">
        <v>0.30298577300148999</v>
      </c>
      <c r="GP78">
        <v>-1.40322494800094E-2</v>
      </c>
      <c r="GT78" s="66"/>
      <c r="GV78" s="66"/>
      <c r="GY78" s="65"/>
      <c r="HK78" s="1"/>
      <c r="HL78" s="1"/>
      <c r="HM78" s="65"/>
      <c r="HN78" s="1"/>
      <c r="HO78" s="65"/>
      <c r="HP78" s="65"/>
      <c r="HQ78" s="65"/>
      <c r="HS78" s="65"/>
      <c r="HV78" s="65"/>
      <c r="HW78" s="65"/>
      <c r="HX78" s="65"/>
      <c r="JD78" s="66"/>
      <c r="JF78" s="66"/>
      <c r="JH78" s="66"/>
      <c r="JJ78" s="66"/>
      <c r="JL78" s="66"/>
      <c r="JN78" s="66"/>
    </row>
    <row r="79" spans="1:278" ht="15.75" x14ac:dyDescent="0.25">
      <c r="A79" s="5" t="s">
        <v>132</v>
      </c>
      <c r="B79" s="5" t="s">
        <v>132</v>
      </c>
      <c r="C79" s="2" t="s">
        <v>851</v>
      </c>
      <c r="D79" s="2" t="s">
        <v>521</v>
      </c>
      <c r="E79" s="2" t="s">
        <v>521</v>
      </c>
      <c r="F79" s="2">
        <v>78</v>
      </c>
      <c r="G79" s="2" t="s">
        <v>850</v>
      </c>
      <c r="H79" s="10" t="s">
        <v>656</v>
      </c>
      <c r="I79" s="2">
        <v>150</v>
      </c>
      <c r="J79" s="2">
        <v>65</v>
      </c>
      <c r="K79" s="13">
        <v>2.8</v>
      </c>
      <c r="L79" t="s">
        <v>325</v>
      </c>
      <c r="M79" s="2" t="s">
        <v>1119</v>
      </c>
      <c r="N79" s="2" t="s">
        <v>437</v>
      </c>
      <c r="O79" s="2" t="s">
        <v>694</v>
      </c>
      <c r="P79" s="2" t="s">
        <v>1119</v>
      </c>
      <c r="Q79" s="2" t="s">
        <v>443</v>
      </c>
      <c r="R79" s="2" t="str">
        <f t="shared" si="73"/>
        <v>CW_3_Section_5</v>
      </c>
      <c r="S79" s="2" t="str">
        <f t="shared" si="74"/>
        <v>CW_3_EFF</v>
      </c>
      <c r="T79" s="11" t="s">
        <v>845</v>
      </c>
      <c r="U79" s="1">
        <v>45707</v>
      </c>
      <c r="V79" s="2" t="s">
        <v>799</v>
      </c>
      <c r="W79" s="2" t="s">
        <v>1119</v>
      </c>
      <c r="X79" s="2" t="s">
        <v>844</v>
      </c>
      <c r="Y79" s="2" t="str">
        <f t="shared" si="75"/>
        <v>T3_EFF</v>
      </c>
      <c r="Z79" s="2" t="str">
        <f t="shared" si="76"/>
        <v>T3_CW_3_EFF</v>
      </c>
      <c r="AA79" s="2" t="str">
        <f t="shared" si="77"/>
        <v>T3_EFF</v>
      </c>
      <c r="AB79" s="2">
        <v>188</v>
      </c>
      <c r="AC79" s="2">
        <v>6.1840000000000002</v>
      </c>
      <c r="AD79" s="2">
        <v>-0.38</v>
      </c>
      <c r="AE79" s="2">
        <v>3</v>
      </c>
      <c r="AF79" t="s">
        <v>49</v>
      </c>
      <c r="AG79" t="s">
        <v>1237</v>
      </c>
      <c r="AH79">
        <v>67</v>
      </c>
      <c r="AI79">
        <v>32</v>
      </c>
      <c r="AJ79">
        <v>1.3</v>
      </c>
      <c r="AK79">
        <v>0.39</v>
      </c>
      <c r="AL79">
        <v>7.2</v>
      </c>
      <c r="AM79">
        <v>-101</v>
      </c>
      <c r="AN79">
        <v>7.08</v>
      </c>
      <c r="AO79">
        <v>866</v>
      </c>
      <c r="AP79">
        <v>0.2</v>
      </c>
      <c r="AQ79">
        <v>0.01</v>
      </c>
      <c r="AR79">
        <v>13</v>
      </c>
      <c r="AS79">
        <v>13</v>
      </c>
      <c r="AT79">
        <v>750</v>
      </c>
      <c r="AU79" s="32">
        <f t="shared" si="89"/>
        <v>0.2880553066188708</v>
      </c>
      <c r="AV79">
        <v>2</v>
      </c>
      <c r="AW79" s="32">
        <f t="shared" si="90"/>
        <v>7.8141957890167139E-4</v>
      </c>
      <c r="AX79">
        <v>710</v>
      </c>
      <c r="AY79" s="32">
        <f t="shared" si="91"/>
        <v>0.28087030234529531</v>
      </c>
      <c r="AZ79">
        <v>210</v>
      </c>
      <c r="BA79" s="32">
        <f t="shared" si="92"/>
        <v>8.3074314778185929E-2</v>
      </c>
      <c r="BB79">
        <v>240</v>
      </c>
      <c r="BC79" s="32">
        <f t="shared" si="93"/>
        <v>9.4942074032212498E-2</v>
      </c>
      <c r="BD79">
        <v>450</v>
      </c>
      <c r="BF79" s="48">
        <v>1924</v>
      </c>
      <c r="BG79" s="48">
        <f t="shared" si="94"/>
        <v>0.56970702854306776</v>
      </c>
      <c r="BH79">
        <v>4400</v>
      </c>
      <c r="BI79" s="32">
        <f t="shared" si="95"/>
        <v>1.647811500351096</v>
      </c>
      <c r="BJ79" s="47">
        <v>3000</v>
      </c>
      <c r="BK79" s="27">
        <f t="shared" si="96"/>
        <v>1.1235078411484747</v>
      </c>
      <c r="BL79" s="47">
        <v>110</v>
      </c>
      <c r="BM79" s="27">
        <f t="shared" si="97"/>
        <v>4.0475721138051118E-2</v>
      </c>
      <c r="BN79" s="47">
        <v>140</v>
      </c>
      <c r="BO79" s="27">
        <f t="shared" si="98"/>
        <v>5.2655469813890153E-2</v>
      </c>
      <c r="BP79" s="47">
        <v>43</v>
      </c>
      <c r="BQ79" s="27">
        <f t="shared" si="99"/>
        <v>1.6038984478402119E-2</v>
      </c>
      <c r="BR79" s="47">
        <v>20</v>
      </c>
      <c r="BS79" s="27">
        <f t="shared" si="100"/>
        <v>7.4061605790270999E-3</v>
      </c>
      <c r="BT79" s="47">
        <v>1.6</v>
      </c>
      <c r="BU79" s="27">
        <f t="shared" si="101"/>
        <v>5.9249284632216796E-4</v>
      </c>
      <c r="BV79" s="47">
        <v>0.08</v>
      </c>
      <c r="BW79" s="27">
        <f t="shared" si="102"/>
        <v>2.9270704573547589E-5</v>
      </c>
      <c r="BX79" s="47">
        <v>0.04</v>
      </c>
      <c r="BY79" s="27">
        <f t="shared" si="103"/>
        <v>1.4635352286773795E-5</v>
      </c>
      <c r="BZ79" s="51">
        <f t="shared" si="104"/>
        <v>3314.72</v>
      </c>
      <c r="CA79" s="51">
        <f t="shared" si="105"/>
        <v>314.72000000000003</v>
      </c>
      <c r="CB79" s="27">
        <f t="shared" si="106"/>
        <v>1.2407205760610276</v>
      </c>
      <c r="CC79" s="27">
        <f t="shared" si="107"/>
        <v>0.11721273491255298</v>
      </c>
      <c r="CD79">
        <v>5800</v>
      </c>
      <c r="CE79">
        <v>1400</v>
      </c>
      <c r="CF79" t="s">
        <v>19</v>
      </c>
      <c r="CG79">
        <v>7200</v>
      </c>
      <c r="CH79" s="32">
        <v>0.7</v>
      </c>
      <c r="CI79" s="32">
        <f t="shared" si="108"/>
        <v>1.253357206803939E-2</v>
      </c>
      <c r="CJ79" s="32">
        <f t="shared" si="109"/>
        <v>1.253357206803939E-2</v>
      </c>
      <c r="CK79" s="32">
        <v>1.1000000000000001</v>
      </c>
      <c r="CL79" s="32">
        <f t="shared" si="110"/>
        <v>2.0025486983433462E-2</v>
      </c>
      <c r="CM79" s="32">
        <f t="shared" si="111"/>
        <v>4.0050973966866923E-2</v>
      </c>
      <c r="CN79" s="27">
        <v>67</v>
      </c>
      <c r="CO79" s="27">
        <f t="shared" si="112"/>
        <v>0.69748074120341452</v>
      </c>
      <c r="CP79" s="27">
        <f t="shared" si="113"/>
        <v>5.5798459296273162</v>
      </c>
      <c r="CQ79" s="57">
        <v>15</v>
      </c>
      <c r="CR79" s="57">
        <v>18.292682926829269</v>
      </c>
      <c r="CS79" s="57">
        <v>1.2492192379762648</v>
      </c>
      <c r="CT79" s="57">
        <f t="shared" si="114"/>
        <v>1.2492192379762648</v>
      </c>
      <c r="CU79" s="28">
        <v>-2</v>
      </c>
      <c r="CV79" s="28">
        <v>-3.0769230769230771</v>
      </c>
      <c r="CW79" s="28">
        <v>-0.16656256506350198</v>
      </c>
      <c r="CX79" s="28">
        <f t="shared" si="115"/>
        <v>0</v>
      </c>
      <c r="CY79" s="32">
        <f t="shared" si="116"/>
        <v>8.7195502810743282</v>
      </c>
      <c r="CZ79" s="32">
        <f t="shared" si="117"/>
        <v>8.7195502810743282</v>
      </c>
      <c r="DA79" s="32">
        <f t="shared" si="118"/>
        <v>9.4195502810743275</v>
      </c>
      <c r="DB79" s="32">
        <f t="shared" si="119"/>
        <v>0.16865801756623683</v>
      </c>
      <c r="DC79" s="32">
        <f t="shared" si="120"/>
        <v>0.16865801756623683</v>
      </c>
      <c r="DD79" s="59">
        <f t="shared" si="121"/>
        <v>-1.1626067041432437</v>
      </c>
      <c r="DE79" s="59">
        <f t="shared" si="122"/>
        <v>0</v>
      </c>
      <c r="DF79" s="59">
        <f t="shared" si="123"/>
        <v>0.7</v>
      </c>
      <c r="DG79" s="59">
        <f t="shared" si="124"/>
        <v>1.253357206803939E-2</v>
      </c>
      <c r="DH79" s="59">
        <f t="shared" si="125"/>
        <v>1.253357206803939E-2</v>
      </c>
      <c r="DI79" s="32">
        <f t="shared" si="126"/>
        <v>5.5798459296273162</v>
      </c>
      <c r="DJ79" s="32">
        <f t="shared" si="127"/>
        <v>1.8</v>
      </c>
      <c r="DK79" s="32">
        <f t="shared" si="128"/>
        <v>5.258454603490631E-2</v>
      </c>
      <c r="DL79">
        <f t="shared" si="129"/>
        <v>1.4579282295093685</v>
      </c>
      <c r="DM79">
        <f t="shared" si="78"/>
        <v>2.7471156094113863E-2</v>
      </c>
      <c r="DN79">
        <f t="shared" si="79"/>
        <v>0.11568334719946724</v>
      </c>
      <c r="DO79">
        <f t="shared" si="80"/>
        <v>0.85684549670641896</v>
      </c>
      <c r="DP79">
        <f t="shared" si="130"/>
        <v>5.258454603490631E-2</v>
      </c>
      <c r="DQ79">
        <f t="shared" si="81"/>
        <v>0.76164913433464965</v>
      </c>
      <c r="DR79">
        <f t="shared" si="82"/>
        <v>0.23835086566535044</v>
      </c>
      <c r="DS79">
        <f t="shared" si="83"/>
        <v>0</v>
      </c>
      <c r="DT79" s="63">
        <f t="shared" si="84"/>
        <v>0.75959029938479516</v>
      </c>
      <c r="DU79" s="63">
        <f t="shared" si="85"/>
        <v>2.1649339828592575</v>
      </c>
      <c r="DV79" s="63">
        <f t="shared" si="86"/>
        <v>0.87680303429734807</v>
      </c>
      <c r="DW79" s="63">
        <f t="shared" si="87"/>
        <v>2.2821467177718104</v>
      </c>
      <c r="DX79" t="str">
        <f t="shared" si="131"/>
        <v>Insufficient Capacity</v>
      </c>
      <c r="DY79" t="str">
        <f t="shared" si="132"/>
        <v>Insufficient Capacity</v>
      </c>
      <c r="DZ79" t="str">
        <f t="shared" si="133"/>
        <v>Sulfate Dominant electron acceptor</v>
      </c>
      <c r="EA79" t="str">
        <f t="shared" si="88"/>
        <v>Iron Dominant electron acceptor</v>
      </c>
      <c r="EB79">
        <v>8.6097110000000008E-3</v>
      </c>
      <c r="EC79">
        <v>1.4238219999999999E-3</v>
      </c>
      <c r="ED79">
        <v>0</v>
      </c>
      <c r="EE79">
        <v>9.7549159999999998E-4</v>
      </c>
      <c r="EF79">
        <v>7.5283980000000004E-3</v>
      </c>
      <c r="EG79" s="66">
        <v>3.1883309999999998E-6</v>
      </c>
      <c r="EH79">
        <v>7.6478169999999999E-4</v>
      </c>
      <c r="EI79" s="66">
        <v>4.1519400000000001E-5</v>
      </c>
      <c r="EJ79">
        <v>5.026481E-4</v>
      </c>
      <c r="EK79">
        <v>8.9829199999999997E-4</v>
      </c>
      <c r="EL79">
        <v>6.2274279999999997E-4</v>
      </c>
      <c r="EM79">
        <v>5.8727759999999997E-4</v>
      </c>
      <c r="EN79">
        <v>1.877667E-3</v>
      </c>
      <c r="EO79">
        <v>8.0713889999999998E-4</v>
      </c>
      <c r="EP79">
        <v>3.152153E-3</v>
      </c>
      <c r="EQ79">
        <v>6.7767079999999996E-4</v>
      </c>
      <c r="ER79">
        <v>6.8803080000000001E-4</v>
      </c>
      <c r="ES79">
        <v>7.0521430000000001E-4</v>
      </c>
      <c r="ET79">
        <v>5.9046050000000003E-3</v>
      </c>
      <c r="EU79">
        <v>2.2535419999999999E-3</v>
      </c>
      <c r="EV79">
        <v>8.010372E-3</v>
      </c>
      <c r="EW79">
        <v>6.9667589999999999E-4</v>
      </c>
      <c r="EX79">
        <v>4.8378500000000003E-3</v>
      </c>
      <c r="EY79">
        <v>6.8379959999999998E-3</v>
      </c>
      <c r="EZ79">
        <v>2.168817E-3</v>
      </c>
      <c r="FA79">
        <v>1.551855E-3</v>
      </c>
      <c r="FB79">
        <v>1.5856220000000001E-3</v>
      </c>
      <c r="FC79">
        <v>2.4258079999999998E-3</v>
      </c>
      <c r="FD79">
        <v>4.7214840000000001E-4</v>
      </c>
      <c r="FE79">
        <v>2.7262049999999999E-2</v>
      </c>
      <c r="FF79">
        <v>1.4466E-2</v>
      </c>
      <c r="FG79">
        <v>9.3975829999999993E-3</v>
      </c>
      <c r="FH79">
        <v>7.1024520000000004E-4</v>
      </c>
      <c r="FI79">
        <v>1.946901E-3</v>
      </c>
      <c r="FJ79">
        <v>1.037184E-2</v>
      </c>
      <c r="FK79">
        <v>0.53254423079039603</v>
      </c>
      <c r="FL79">
        <v>0.49253715009211302</v>
      </c>
      <c r="FM79">
        <v>-1.33228505031181</v>
      </c>
      <c r="FN79">
        <v>0.94601827847482201</v>
      </c>
      <c r="FO79">
        <v>-0.64802018721843602</v>
      </c>
      <c r="FP79">
        <v>0.12790331856755899</v>
      </c>
      <c r="FQ79">
        <v>0.22220308407043601</v>
      </c>
      <c r="FR79">
        <v>0.312462718149281</v>
      </c>
      <c r="FS79">
        <v>0.82587760745004002</v>
      </c>
      <c r="FT79">
        <v>-7.9741214316829498E-2</v>
      </c>
      <c r="FU79">
        <v>-1.12881281595243E-2</v>
      </c>
      <c r="FV79">
        <v>0.39742354467893498</v>
      </c>
      <c r="FW79">
        <v>-0.57828873194364205</v>
      </c>
      <c r="FX79">
        <v>0.55204341467997398</v>
      </c>
      <c r="FY79">
        <v>1.27717317799121E-2</v>
      </c>
      <c r="FZ79">
        <v>-0.38527431061440098</v>
      </c>
      <c r="GA79">
        <v>-0.20624977432903999</v>
      </c>
      <c r="GB79">
        <v>-9.8511675469047197E-2</v>
      </c>
      <c r="GC79">
        <v>7.7783432614785902E-2</v>
      </c>
      <c r="GD79">
        <v>-2.79060313291488E-2</v>
      </c>
      <c r="GE79">
        <v>9.5867992883427195E-3</v>
      </c>
      <c r="GF79">
        <v>0.53202104577013598</v>
      </c>
      <c r="GG79">
        <v>0.49516967024157799</v>
      </c>
      <c r="GH79">
        <v>0.47249804025977199</v>
      </c>
      <c r="GI79">
        <v>0.25834405668914801</v>
      </c>
      <c r="GJ79">
        <v>0.279113366820051</v>
      </c>
      <c r="GK79">
        <v>0.15598791910801399</v>
      </c>
      <c r="GL79">
        <v>-3.2902411031570503E-2</v>
      </c>
      <c r="GM79">
        <v>0.10824560812609101</v>
      </c>
      <c r="GN79">
        <v>-0.110161425490459</v>
      </c>
      <c r="GO79">
        <v>0.304424991219992</v>
      </c>
      <c r="GP79">
        <v>-2.09980129536795E-2</v>
      </c>
      <c r="GT79" s="66"/>
      <c r="GV79" s="66"/>
      <c r="GY79" s="65"/>
      <c r="HK79" s="1"/>
      <c r="HL79" s="1"/>
      <c r="HM79" s="65"/>
      <c r="HN79" s="1"/>
      <c r="HO79" s="65"/>
      <c r="HP79" s="65"/>
      <c r="HQ79" s="65"/>
      <c r="HS79" s="65"/>
      <c r="HV79" s="65"/>
      <c r="HW79" s="65"/>
      <c r="HX79" s="65"/>
    </row>
    <row r="80" spans="1:278" ht="15.75" x14ac:dyDescent="0.25">
      <c r="A80" s="5" t="s">
        <v>133</v>
      </c>
      <c r="B80" s="5" t="s">
        <v>133</v>
      </c>
      <c r="C80" s="2" t="s">
        <v>853</v>
      </c>
      <c r="D80" s="2" t="s">
        <v>522</v>
      </c>
      <c r="E80" s="2" t="s">
        <v>522</v>
      </c>
      <c r="F80" s="2">
        <v>79</v>
      </c>
      <c r="G80" s="2" t="s">
        <v>852</v>
      </c>
      <c r="H80" s="10" t="s">
        <v>656</v>
      </c>
      <c r="I80" s="2">
        <v>150</v>
      </c>
      <c r="J80" s="2">
        <v>65</v>
      </c>
      <c r="K80" s="13">
        <v>5.45</v>
      </c>
      <c r="L80" t="s">
        <v>306</v>
      </c>
      <c r="M80" s="2" t="s">
        <v>1120</v>
      </c>
      <c r="N80" s="2" t="s">
        <v>435</v>
      </c>
      <c r="O80" s="2" t="s">
        <v>653</v>
      </c>
      <c r="P80" s="2" t="s">
        <v>1123</v>
      </c>
      <c r="Q80" s="9" t="s">
        <v>654</v>
      </c>
      <c r="R80" s="2" t="str">
        <f t="shared" si="73"/>
        <v>CW_1_Section_1</v>
      </c>
      <c r="S80" s="2" t="str">
        <f t="shared" si="74"/>
        <v>CW_1_MF01</v>
      </c>
      <c r="T80" s="11" t="s">
        <v>845</v>
      </c>
      <c r="U80" s="1">
        <v>45705</v>
      </c>
      <c r="V80" s="2" t="s">
        <v>799</v>
      </c>
      <c r="W80" s="2" t="s">
        <v>655</v>
      </c>
      <c r="X80" s="2" t="s">
        <v>844</v>
      </c>
      <c r="Y80" s="2" t="str">
        <f t="shared" si="75"/>
        <v>T3_MF01</v>
      </c>
      <c r="Z80" s="2" t="str">
        <f t="shared" si="76"/>
        <v>T3_CW_1_MF01</v>
      </c>
      <c r="AA80" s="2" t="str">
        <f t="shared" si="77"/>
        <v>T3_0.15-0.30</v>
      </c>
      <c r="AB80" s="2">
        <v>188</v>
      </c>
      <c r="AC80" s="2">
        <v>6.1840000000000002</v>
      </c>
      <c r="AD80" s="2">
        <v>-0.38</v>
      </c>
      <c r="AE80" s="2">
        <v>3</v>
      </c>
      <c r="AF80" t="s">
        <v>29</v>
      </c>
      <c r="AG80" t="s">
        <v>1237</v>
      </c>
      <c r="AH80">
        <v>70</v>
      </c>
      <c r="AI80">
        <v>31</v>
      </c>
      <c r="AJ80">
        <v>1.8</v>
      </c>
      <c r="AK80">
        <v>5.0999999999999996</v>
      </c>
      <c r="AL80">
        <v>7.4</v>
      </c>
      <c r="AM80">
        <v>-109</v>
      </c>
      <c r="AN80">
        <v>7.11</v>
      </c>
      <c r="AO80">
        <v>855</v>
      </c>
      <c r="AP80">
        <v>0.2</v>
      </c>
      <c r="AQ80">
        <v>0.01</v>
      </c>
      <c r="AR80">
        <v>12</v>
      </c>
      <c r="AS80">
        <v>11</v>
      </c>
      <c r="AT80">
        <v>550</v>
      </c>
      <c r="AU80" s="32">
        <f t="shared" si="89"/>
        <v>0.21124055818717194</v>
      </c>
      <c r="AV80">
        <v>2</v>
      </c>
      <c r="AW80" s="32">
        <f t="shared" si="90"/>
        <v>7.8141957890167139E-4</v>
      </c>
      <c r="AX80">
        <v>370</v>
      </c>
      <c r="AY80" s="32">
        <f t="shared" si="91"/>
        <v>0.14636903079966093</v>
      </c>
      <c r="AZ80">
        <v>160</v>
      </c>
      <c r="BA80" s="32">
        <f t="shared" si="92"/>
        <v>6.3294716021474989E-2</v>
      </c>
      <c r="BB80">
        <v>150</v>
      </c>
      <c r="BC80" s="32">
        <f t="shared" si="93"/>
        <v>5.9338796270132804E-2</v>
      </c>
      <c r="BD80">
        <v>310</v>
      </c>
      <c r="BF80" s="48">
        <v>1244</v>
      </c>
      <c r="BG80" s="48">
        <f t="shared" si="94"/>
        <v>0.35839100856573458</v>
      </c>
      <c r="BH80">
        <v>2200</v>
      </c>
      <c r="BI80" s="32">
        <f t="shared" si="95"/>
        <v>0.82390575017554801</v>
      </c>
      <c r="BJ80" s="47">
        <v>3000</v>
      </c>
      <c r="BK80" s="27">
        <f t="shared" si="96"/>
        <v>1.1235078411484747</v>
      </c>
      <c r="BL80" s="47">
        <v>0.47</v>
      </c>
      <c r="BM80" s="27">
        <f t="shared" si="97"/>
        <v>1.7294171758985478E-4</v>
      </c>
      <c r="BN80" s="47">
        <v>0.26</v>
      </c>
      <c r="BO80" s="27">
        <f t="shared" si="98"/>
        <v>9.7788729654367423E-5</v>
      </c>
      <c r="BP80" s="47">
        <v>0.13</v>
      </c>
      <c r="BQ80" s="27">
        <f t="shared" si="99"/>
        <v>4.8489953074238965E-5</v>
      </c>
      <c r="BR80" s="47">
        <v>0.1</v>
      </c>
      <c r="BS80" s="27">
        <f t="shared" si="100"/>
        <v>3.7030802895135498E-5</v>
      </c>
      <c r="BT80" s="47">
        <v>0.02</v>
      </c>
      <c r="BU80" s="27">
        <f t="shared" si="101"/>
        <v>7.4061605790270997E-6</v>
      </c>
      <c r="BV80" s="47">
        <v>0.02</v>
      </c>
      <c r="BW80" s="27">
        <f t="shared" si="102"/>
        <v>7.3176761433868973E-6</v>
      </c>
      <c r="BX80" s="47">
        <v>2E-3</v>
      </c>
      <c r="BY80" s="27">
        <f t="shared" si="103"/>
        <v>7.3176761433868969E-7</v>
      </c>
      <c r="BZ80" s="51">
        <f t="shared" si="104"/>
        <v>3001.002</v>
      </c>
      <c r="CA80" s="51">
        <f t="shared" si="105"/>
        <v>1.002</v>
      </c>
      <c r="CB80" s="27">
        <f t="shared" si="106"/>
        <v>1.1238795479560248</v>
      </c>
      <c r="CC80" s="27">
        <f t="shared" si="107"/>
        <v>3.7170680755034931E-4</v>
      </c>
      <c r="CD80">
        <v>4300</v>
      </c>
      <c r="CE80">
        <v>70</v>
      </c>
      <c r="CF80" t="s">
        <v>19</v>
      </c>
      <c r="CG80">
        <v>4400</v>
      </c>
      <c r="CH80" s="32">
        <v>9.6999999999999993</v>
      </c>
      <c r="CI80" s="32">
        <f t="shared" si="108"/>
        <v>0.17367949865711726</v>
      </c>
      <c r="CJ80" s="32">
        <f t="shared" si="109"/>
        <v>0.17367949865711726</v>
      </c>
      <c r="CK80" s="32">
        <v>2</v>
      </c>
      <c r="CL80" s="32">
        <f t="shared" si="110"/>
        <v>3.6409976333515386E-2</v>
      </c>
      <c r="CM80" s="32">
        <f t="shared" si="111"/>
        <v>7.2819952667030771E-2</v>
      </c>
      <c r="CN80" s="27">
        <v>56</v>
      </c>
      <c r="CO80" s="27">
        <f t="shared" si="112"/>
        <v>0.58296897772225686</v>
      </c>
      <c r="CP80" s="27">
        <f t="shared" si="113"/>
        <v>4.6637518217780549</v>
      </c>
      <c r="CQ80" s="57">
        <v>26</v>
      </c>
      <c r="CR80" s="57">
        <v>31.707317073170731</v>
      </c>
      <c r="CS80" s="57">
        <v>2.1653133458255258</v>
      </c>
      <c r="CT80" s="57">
        <f t="shared" si="114"/>
        <v>2.1653133458255258</v>
      </c>
      <c r="CU80" s="28">
        <v>26</v>
      </c>
      <c r="CV80" s="28">
        <v>31.707317073170731</v>
      </c>
      <c r="CW80" s="28">
        <v>2.1653133458255258</v>
      </c>
      <c r="CX80" s="28">
        <f t="shared" si="115"/>
        <v>2.1653133458255258</v>
      </c>
      <c r="CY80" s="32">
        <f t="shared" si="116"/>
        <v>15.113887153862169</v>
      </c>
      <c r="CZ80" s="32">
        <f t="shared" si="117"/>
        <v>15.113887153862169</v>
      </c>
      <c r="DA80" s="32">
        <f t="shared" si="118"/>
        <v>24.813887153862169</v>
      </c>
      <c r="DB80" s="32">
        <f t="shared" si="119"/>
        <v>0.44429520418732621</v>
      </c>
      <c r="DC80" s="32">
        <f t="shared" si="120"/>
        <v>0.44429520418732621</v>
      </c>
      <c r="DD80" s="59">
        <f t="shared" si="121"/>
        <v>15.113887153862169</v>
      </c>
      <c r="DE80" s="59">
        <f t="shared" si="122"/>
        <v>15.113887153862169</v>
      </c>
      <c r="DF80" s="59">
        <f t="shared" si="123"/>
        <v>24.813887153862169</v>
      </c>
      <c r="DG80" s="59">
        <f t="shared" si="124"/>
        <v>0.44429520418732621</v>
      </c>
      <c r="DH80" s="59">
        <f t="shared" si="125"/>
        <v>0.44429520418732621</v>
      </c>
      <c r="DI80" s="32">
        <f t="shared" si="126"/>
        <v>4.6637518217780549</v>
      </c>
      <c r="DJ80" s="32">
        <f t="shared" si="127"/>
        <v>26.813887153862169</v>
      </c>
      <c r="DK80" s="32">
        <f t="shared" si="128"/>
        <v>0.51711515685435694</v>
      </c>
      <c r="DL80">
        <f t="shared" si="129"/>
        <v>2.6824285026798829</v>
      </c>
      <c r="DM80">
        <f t="shared" si="78"/>
        <v>2.7147024643631668E-2</v>
      </c>
      <c r="DN80">
        <f t="shared" si="79"/>
        <v>0.16563170416041012</v>
      </c>
      <c r="DO80">
        <f t="shared" si="80"/>
        <v>0.80722127119595821</v>
      </c>
      <c r="DP80">
        <f t="shared" si="130"/>
        <v>2.6824285026798829</v>
      </c>
      <c r="DQ80">
        <f t="shared" si="81"/>
        <v>2.7147024643631668E-2</v>
      </c>
      <c r="DR80">
        <f t="shared" si="82"/>
        <v>0.16563170416041012</v>
      </c>
      <c r="DS80">
        <f t="shared" si="83"/>
        <v>0.80722127119595821</v>
      </c>
      <c r="DT80" s="63">
        <f t="shared" si="84"/>
        <v>-1.5001317439386002</v>
      </c>
      <c r="DU80" s="63">
        <f t="shared" si="85"/>
        <v>-1.5001317439386002</v>
      </c>
      <c r="DV80" s="63">
        <f t="shared" si="86"/>
        <v>-1.4997600371310498</v>
      </c>
      <c r="DW80" s="63">
        <f t="shared" si="87"/>
        <v>-1.4997600371310498</v>
      </c>
      <c r="DX80" t="str">
        <f t="shared" si="131"/>
        <v>Sufficient Capacity</v>
      </c>
      <c r="DY80" t="str">
        <f t="shared" si="132"/>
        <v>Sufficient Capacity</v>
      </c>
      <c r="DZ80" t="str">
        <f t="shared" si="133"/>
        <v>Sulfate Dominant electron acceptor</v>
      </c>
      <c r="EA80" t="str">
        <f t="shared" si="88"/>
        <v>Sulfate Dominant electron acceptor</v>
      </c>
      <c r="EB80">
        <v>1.044874E-2</v>
      </c>
      <c r="EC80">
        <v>1.7427709999999999E-3</v>
      </c>
      <c r="ED80" s="66">
        <v>1.3559560000000001E-6</v>
      </c>
      <c r="EE80">
        <v>3.9331529999999998E-4</v>
      </c>
      <c r="EF80">
        <v>3.3398960000000002E-3</v>
      </c>
      <c r="EG80" s="66">
        <v>1.429528E-5</v>
      </c>
      <c r="EH80">
        <v>1.7679600000000001E-4</v>
      </c>
      <c r="EI80">
        <v>1.065571E-4</v>
      </c>
      <c r="EJ80">
        <v>3.4042300000000002E-4</v>
      </c>
      <c r="EK80">
        <v>5.2078889999999998E-4</v>
      </c>
      <c r="EL80">
        <v>3.3426229999999999E-4</v>
      </c>
      <c r="EM80">
        <v>1.2698249999999999E-4</v>
      </c>
      <c r="EN80">
        <v>1.9876070000000002E-3</v>
      </c>
      <c r="EO80">
        <v>8.7119900000000002E-4</v>
      </c>
      <c r="EP80">
        <v>1.560103E-3</v>
      </c>
      <c r="EQ80">
        <v>1.3234989999999999E-3</v>
      </c>
      <c r="ER80">
        <v>3.1743180000000002E-4</v>
      </c>
      <c r="ES80">
        <v>5.0037349999999998E-4</v>
      </c>
      <c r="ET80">
        <v>1.214521E-2</v>
      </c>
      <c r="EU80">
        <v>3.163267E-3</v>
      </c>
      <c r="EV80">
        <v>8.9454449999999998E-3</v>
      </c>
      <c r="EW80">
        <v>4.6291700000000003E-4</v>
      </c>
      <c r="EX80">
        <v>5.3510479999999997E-3</v>
      </c>
      <c r="EY80">
        <v>6.7277439999999999E-3</v>
      </c>
      <c r="EZ80">
        <v>9.7463509999999999E-4</v>
      </c>
      <c r="FA80">
        <v>7.5507280000000003E-4</v>
      </c>
      <c r="FB80">
        <v>7.7837489999999995E-4</v>
      </c>
      <c r="FC80">
        <v>1.733889E-3</v>
      </c>
      <c r="FD80">
        <v>3.1994899999999998E-4</v>
      </c>
      <c r="FE80">
        <v>2.2124640000000001E-2</v>
      </c>
      <c r="FF80">
        <v>1.4934970000000001E-2</v>
      </c>
      <c r="FG80">
        <v>7.7047909999999999E-3</v>
      </c>
      <c r="FH80">
        <v>8.4142440000000004E-4</v>
      </c>
      <c r="FI80">
        <v>1.191208E-3</v>
      </c>
      <c r="FJ80">
        <v>1.166553E-2</v>
      </c>
      <c r="FK80">
        <v>-0.37578573798401399</v>
      </c>
      <c r="FL80">
        <v>-0.320205451302157</v>
      </c>
      <c r="FM80">
        <v>0.16814678014989301</v>
      </c>
      <c r="FN80">
        <v>-0.51857562963860904</v>
      </c>
      <c r="FO80">
        <v>0.29450001660243502</v>
      </c>
      <c r="FP80">
        <v>-0.26179804232634601</v>
      </c>
      <c r="FQ80">
        <v>-0.32294732111111002</v>
      </c>
      <c r="FR80">
        <v>-0.30974486019605102</v>
      </c>
      <c r="FS80">
        <v>-0.70557073201907905</v>
      </c>
      <c r="FT80">
        <v>-2.2839860511371799E-2</v>
      </c>
      <c r="FU80">
        <v>6.5086523198222501E-2</v>
      </c>
      <c r="FV80">
        <v>-0.30591032202490298</v>
      </c>
      <c r="FW80">
        <v>9.1083909848695299E-2</v>
      </c>
      <c r="FX80">
        <v>-0.22152719758355799</v>
      </c>
      <c r="FY80">
        <v>-0.33037517691698798</v>
      </c>
      <c r="FZ80">
        <v>0.33592798780861699</v>
      </c>
      <c r="GA80">
        <v>0.13285237931369401</v>
      </c>
      <c r="GB80">
        <v>1.1895586767610501E-2</v>
      </c>
      <c r="GC80">
        <v>-0.33098910481917199</v>
      </c>
      <c r="GD80">
        <v>7.2915991085863205E-2</v>
      </c>
      <c r="GE80">
        <v>-6.66803495604906E-3</v>
      </c>
      <c r="GF80">
        <v>-0.26785294628341999</v>
      </c>
      <c r="GG80">
        <v>-0.22522242986027799</v>
      </c>
      <c r="GH80">
        <v>-0.23902571337373199</v>
      </c>
      <c r="GI80">
        <v>-7.7453745610622293E-2</v>
      </c>
      <c r="GJ80">
        <v>-0.11001836803748399</v>
      </c>
      <c r="GK80">
        <v>-5.28157865185079E-2</v>
      </c>
      <c r="GL80">
        <v>-9.9803649698948504E-4</v>
      </c>
      <c r="GM80">
        <v>-9.0364577266473803E-2</v>
      </c>
      <c r="GN80">
        <v>5.9324482004670998E-2</v>
      </c>
      <c r="GO80">
        <v>-0.186845968137834</v>
      </c>
      <c r="GP80">
        <v>9.6545885139610405E-2</v>
      </c>
      <c r="GR80" s="66"/>
      <c r="GT80" s="66"/>
      <c r="GV80" s="66"/>
      <c r="GW80" s="65"/>
      <c r="GX80" s="65"/>
      <c r="GY80" s="65"/>
      <c r="HK80" s="1"/>
      <c r="HL80" s="1"/>
      <c r="HM80" s="65"/>
      <c r="HN80" s="1"/>
      <c r="HO80" s="65"/>
      <c r="HP80" s="65"/>
      <c r="HQ80" s="65"/>
      <c r="HS80" s="65"/>
      <c r="HT80" s="65"/>
      <c r="HU80" s="65"/>
      <c r="HV80" s="65"/>
      <c r="HW80" s="65"/>
      <c r="HX80" s="65"/>
      <c r="IZ80" s="66"/>
      <c r="JB80" s="66"/>
      <c r="JD80" s="66"/>
      <c r="JF80" s="66"/>
      <c r="JH80" s="66"/>
      <c r="JJ80" s="66"/>
      <c r="JL80" s="66"/>
      <c r="JN80" s="66"/>
      <c r="JP80" s="66"/>
      <c r="JR80" s="66"/>
    </row>
    <row r="81" spans="1:278" ht="15.75" x14ac:dyDescent="0.25">
      <c r="A81" s="5" t="s">
        <v>134</v>
      </c>
      <c r="B81" s="5" t="s">
        <v>134</v>
      </c>
      <c r="C81" s="2" t="s">
        <v>855</v>
      </c>
      <c r="D81" s="2" t="s">
        <v>523</v>
      </c>
      <c r="E81" s="2" t="s">
        <v>523</v>
      </c>
      <c r="F81" s="2">
        <v>80</v>
      </c>
      <c r="G81" s="2" t="s">
        <v>854</v>
      </c>
      <c r="H81" s="10" t="s">
        <v>656</v>
      </c>
      <c r="I81" s="2">
        <v>150</v>
      </c>
      <c r="J81" s="2">
        <v>65</v>
      </c>
      <c r="K81" s="13">
        <v>4</v>
      </c>
      <c r="L81" t="s">
        <v>307</v>
      </c>
      <c r="M81" s="2" t="s">
        <v>1120</v>
      </c>
      <c r="N81" s="2" t="s">
        <v>435</v>
      </c>
      <c r="O81" s="2" t="s">
        <v>653</v>
      </c>
      <c r="P81" s="2" t="s">
        <v>1124</v>
      </c>
      <c r="Q81" s="9" t="s">
        <v>662</v>
      </c>
      <c r="R81" s="2" t="str">
        <f t="shared" si="73"/>
        <v>CW_1_Section_1</v>
      </c>
      <c r="S81" s="2" t="str">
        <f t="shared" si="74"/>
        <v>CW_1_MF02</v>
      </c>
      <c r="T81" s="11" t="s">
        <v>845</v>
      </c>
      <c r="U81" s="1">
        <v>45705</v>
      </c>
      <c r="V81" s="2" t="s">
        <v>799</v>
      </c>
      <c r="W81" s="2" t="s">
        <v>663</v>
      </c>
      <c r="X81" s="2" t="s">
        <v>844</v>
      </c>
      <c r="Y81" s="2" t="str">
        <f t="shared" si="75"/>
        <v>T3_MF02</v>
      </c>
      <c r="Z81" s="2" t="str">
        <f t="shared" si="76"/>
        <v>T3_CW_1_MF02</v>
      </c>
      <c r="AA81" s="2" t="str">
        <f t="shared" si="77"/>
        <v>T3_0.60-0.80</v>
      </c>
      <c r="AB81" s="2">
        <v>188</v>
      </c>
      <c r="AC81" s="2">
        <v>6.1840000000000002</v>
      </c>
      <c r="AD81" s="2">
        <v>-0.38</v>
      </c>
      <c r="AE81" s="2">
        <v>3</v>
      </c>
      <c r="AF81" t="s">
        <v>31</v>
      </c>
      <c r="AG81" t="s">
        <v>1237</v>
      </c>
      <c r="AH81">
        <v>72</v>
      </c>
      <c r="AI81">
        <v>33</v>
      </c>
      <c r="AJ81">
        <v>1.4</v>
      </c>
      <c r="AK81">
        <v>0.53</v>
      </c>
      <c r="AL81">
        <v>7.8</v>
      </c>
      <c r="AM81">
        <v>-125</v>
      </c>
      <c r="AN81">
        <v>7.08</v>
      </c>
      <c r="AO81">
        <v>1312</v>
      </c>
      <c r="AP81">
        <v>0.2</v>
      </c>
      <c r="AQ81">
        <v>0.01</v>
      </c>
      <c r="AR81">
        <v>13</v>
      </c>
      <c r="AS81">
        <v>13</v>
      </c>
      <c r="AT81">
        <v>540</v>
      </c>
      <c r="AU81" s="32">
        <f t="shared" si="89"/>
        <v>0.207399820765587</v>
      </c>
      <c r="AV81">
        <v>65</v>
      </c>
      <c r="AW81" s="32">
        <f t="shared" si="90"/>
        <v>2.5396136314304318E-2</v>
      </c>
      <c r="AX81">
        <v>490</v>
      </c>
      <c r="AY81" s="32">
        <f t="shared" si="91"/>
        <v>0.19384006781576718</v>
      </c>
      <c r="AZ81">
        <v>180</v>
      </c>
      <c r="BA81" s="32">
        <f t="shared" si="92"/>
        <v>7.120655552415936E-2</v>
      </c>
      <c r="BB81">
        <v>270</v>
      </c>
      <c r="BC81" s="32">
        <f t="shared" si="93"/>
        <v>0.10680983328623904</v>
      </c>
      <c r="BD81">
        <v>450</v>
      </c>
      <c r="BF81" s="48">
        <v>1545</v>
      </c>
      <c r="BG81" s="48">
        <f t="shared" si="94"/>
        <v>0.42663602489565849</v>
      </c>
      <c r="BH81">
        <v>3800</v>
      </c>
      <c r="BI81" s="32">
        <f t="shared" si="95"/>
        <v>1.4231099321214014</v>
      </c>
      <c r="BJ81" s="47">
        <v>6600</v>
      </c>
      <c r="BK81" s="27">
        <f t="shared" si="96"/>
        <v>2.4717172505266443</v>
      </c>
      <c r="BL81" s="47">
        <v>190</v>
      </c>
      <c r="BM81" s="27">
        <f t="shared" si="97"/>
        <v>6.9912609238451939E-2</v>
      </c>
      <c r="BN81" s="47">
        <v>230</v>
      </c>
      <c r="BO81" s="27">
        <f t="shared" si="98"/>
        <v>8.6505414694248106E-2</v>
      </c>
      <c r="BP81" s="47">
        <v>100</v>
      </c>
      <c r="BQ81" s="27">
        <f t="shared" si="99"/>
        <v>3.7299963903260742E-2</v>
      </c>
      <c r="BR81" s="47">
        <v>62</v>
      </c>
      <c r="BS81" s="27">
        <f t="shared" si="100"/>
        <v>2.2959097794984007E-2</v>
      </c>
      <c r="BT81" s="47">
        <v>4.3</v>
      </c>
      <c r="BU81" s="27">
        <f t="shared" si="101"/>
        <v>1.5923245244908264E-3</v>
      </c>
      <c r="BV81" s="47">
        <v>0.74</v>
      </c>
      <c r="BW81" s="27">
        <f t="shared" si="102"/>
        <v>2.7075401730531522E-4</v>
      </c>
      <c r="BX81" s="47">
        <v>0.63</v>
      </c>
      <c r="BY81" s="27">
        <f t="shared" si="103"/>
        <v>2.3050679851668727E-4</v>
      </c>
      <c r="BZ81" s="51">
        <f t="shared" si="104"/>
        <v>7187.67</v>
      </c>
      <c r="CA81" s="51">
        <f t="shared" si="105"/>
        <v>587.66999999999996</v>
      </c>
      <c r="CB81" s="27">
        <f t="shared" si="106"/>
        <v>2.6904879214979021</v>
      </c>
      <c r="CC81" s="27">
        <f t="shared" si="107"/>
        <v>0.2187706709712576</v>
      </c>
      <c r="CD81">
        <v>7900</v>
      </c>
      <c r="CE81">
        <v>2300</v>
      </c>
      <c r="CF81" t="s">
        <v>19</v>
      </c>
      <c r="CG81">
        <v>10000</v>
      </c>
      <c r="CH81" s="32">
        <v>0.3</v>
      </c>
      <c r="CI81" s="32">
        <f t="shared" si="108"/>
        <v>5.3715308863025958E-3</v>
      </c>
      <c r="CJ81" s="32">
        <f t="shared" si="109"/>
        <v>5.3715308863025958E-3</v>
      </c>
      <c r="CK81" s="32">
        <v>0.8</v>
      </c>
      <c r="CL81" s="32">
        <f t="shared" si="110"/>
        <v>1.4563990533406155E-2</v>
      </c>
      <c r="CM81" s="32">
        <f t="shared" si="111"/>
        <v>2.912798106681231E-2</v>
      </c>
      <c r="CN81" s="27">
        <v>73</v>
      </c>
      <c r="CO81" s="27">
        <f t="shared" si="112"/>
        <v>0.75994170310222775</v>
      </c>
      <c r="CP81" s="27">
        <f t="shared" si="113"/>
        <v>6.079533624817822</v>
      </c>
      <c r="CQ81" s="57">
        <v>9</v>
      </c>
      <c r="CR81" s="57">
        <v>10.975609756097562</v>
      </c>
      <c r="CS81" s="57">
        <v>0.74953154278575884</v>
      </c>
      <c r="CT81" s="57">
        <f t="shared" si="114"/>
        <v>0.74953154278575884</v>
      </c>
      <c r="CU81" s="28">
        <v>9</v>
      </c>
      <c r="CV81" s="28">
        <v>10.975609756097562</v>
      </c>
      <c r="CW81" s="28">
        <v>0.74953154278575884</v>
      </c>
      <c r="CX81" s="28">
        <f t="shared" si="115"/>
        <v>0.74953154278575884</v>
      </c>
      <c r="CY81" s="32">
        <f t="shared" si="116"/>
        <v>5.2317301686445967</v>
      </c>
      <c r="CZ81" s="32">
        <f t="shared" si="117"/>
        <v>5.2317301686445967</v>
      </c>
      <c r="DA81" s="32">
        <f t="shared" si="118"/>
        <v>5.5317301686445965</v>
      </c>
      <c r="DB81" s="32">
        <f t="shared" si="119"/>
        <v>9.9046198185221063E-2</v>
      </c>
      <c r="DC81" s="32">
        <f t="shared" si="120"/>
        <v>9.9046198185221063E-2</v>
      </c>
      <c r="DD81" s="59">
        <f t="shared" si="121"/>
        <v>5.2317301686445967</v>
      </c>
      <c r="DE81" s="59">
        <f t="shared" si="122"/>
        <v>5.2317301686445967</v>
      </c>
      <c r="DF81" s="59">
        <f t="shared" si="123"/>
        <v>5.5317301686445965</v>
      </c>
      <c r="DG81" s="59">
        <f t="shared" si="124"/>
        <v>9.9046198185221063E-2</v>
      </c>
      <c r="DH81" s="59">
        <f t="shared" si="125"/>
        <v>9.9046198185221063E-2</v>
      </c>
      <c r="DI81" s="32">
        <f t="shared" si="126"/>
        <v>6.079533624817822</v>
      </c>
      <c r="DJ81" s="32">
        <f t="shared" si="127"/>
        <v>6.3317301686445964</v>
      </c>
      <c r="DK81" s="32">
        <f t="shared" si="128"/>
        <v>0.12817417925203337</v>
      </c>
      <c r="DL81">
        <f t="shared" si="129"/>
        <v>0.87770572203779218</v>
      </c>
      <c r="DM81">
        <f t="shared" si="78"/>
        <v>3.3186500139460319E-2</v>
      </c>
      <c r="DN81">
        <f t="shared" si="79"/>
        <v>0.11284670442305302</v>
      </c>
      <c r="DO81">
        <f t="shared" si="80"/>
        <v>0.85396679543748666</v>
      </c>
      <c r="DP81">
        <f t="shared" si="130"/>
        <v>0.87770572203779218</v>
      </c>
      <c r="DQ81">
        <f t="shared" si="81"/>
        <v>3.3186500139460319E-2</v>
      </c>
      <c r="DR81">
        <f t="shared" si="82"/>
        <v>0.11284670442305302</v>
      </c>
      <c r="DS81">
        <f t="shared" si="83"/>
        <v>0.85396679543748666</v>
      </c>
      <c r="DT81" s="63">
        <f t="shared" si="84"/>
        <v>0.97204023497926761</v>
      </c>
      <c r="DU81" s="63">
        <f t="shared" si="85"/>
        <v>0.97204023497926761</v>
      </c>
      <c r="DV81" s="63">
        <f t="shared" si="86"/>
        <v>1.1908109059505254</v>
      </c>
      <c r="DW81" s="63">
        <f t="shared" si="87"/>
        <v>1.1908109059505254</v>
      </c>
      <c r="DX81" t="str">
        <f t="shared" si="131"/>
        <v>Insufficient Capacity</v>
      </c>
      <c r="DY81" t="str">
        <f t="shared" si="132"/>
        <v>Insufficient Capacity</v>
      </c>
      <c r="DZ81" t="str">
        <f t="shared" si="133"/>
        <v>Sulfate Dominant electron acceptor</v>
      </c>
      <c r="EA81" t="str">
        <f t="shared" si="88"/>
        <v>Sulfate Dominant electron acceptor</v>
      </c>
      <c r="EB81">
        <v>8.7156860000000003E-3</v>
      </c>
      <c r="EC81">
        <v>1.4787240000000001E-3</v>
      </c>
      <c r="ED81" s="66">
        <v>1.4146179999999999E-7</v>
      </c>
      <c r="EE81">
        <v>6.2890690000000002E-4</v>
      </c>
      <c r="EF81">
        <v>5.8292450000000003E-3</v>
      </c>
      <c r="EG81" s="66">
        <v>6.7120510000000003E-5</v>
      </c>
      <c r="EH81">
        <v>3.2738400000000001E-4</v>
      </c>
      <c r="EI81" s="66">
        <v>8.9429479999999993E-5</v>
      </c>
      <c r="EJ81">
        <v>4.146571E-4</v>
      </c>
      <c r="EK81">
        <v>7.0280210000000002E-4</v>
      </c>
      <c r="EL81">
        <v>5.0605340000000004E-4</v>
      </c>
      <c r="EM81">
        <v>4.2239689999999999E-4</v>
      </c>
      <c r="EN81">
        <v>2.3436070000000002E-3</v>
      </c>
      <c r="EO81">
        <v>1.113983E-3</v>
      </c>
      <c r="EP81">
        <v>2.4856409999999998E-3</v>
      </c>
      <c r="EQ81">
        <v>1.2106179999999999E-3</v>
      </c>
      <c r="ER81">
        <v>4.9363209999999996E-4</v>
      </c>
      <c r="ES81">
        <v>8.0869100000000005E-4</v>
      </c>
      <c r="ET81">
        <v>7.0819460000000004E-3</v>
      </c>
      <c r="EU81">
        <v>2.384957E-3</v>
      </c>
      <c r="EV81">
        <v>9.2136660000000006E-3</v>
      </c>
      <c r="EW81">
        <v>7.221218E-4</v>
      </c>
      <c r="EX81">
        <v>5.0490630000000003E-3</v>
      </c>
      <c r="EY81">
        <v>6.7533549999999999E-3</v>
      </c>
      <c r="EZ81">
        <v>1.8189510000000001E-3</v>
      </c>
      <c r="FA81">
        <v>1.075962E-3</v>
      </c>
      <c r="FB81">
        <v>1.1182060000000001E-3</v>
      </c>
      <c r="FC81">
        <v>1.7485650000000001E-3</v>
      </c>
      <c r="FD81">
        <v>6.5433769999999997E-4</v>
      </c>
      <c r="FE81">
        <v>2.3132969999999999E-2</v>
      </c>
      <c r="FF81">
        <v>1.6914479999999999E-2</v>
      </c>
      <c r="FG81">
        <v>9.2798580000000002E-3</v>
      </c>
      <c r="FH81">
        <v>7.4536540000000003E-4</v>
      </c>
      <c r="FI81">
        <v>1.328177E-3</v>
      </c>
      <c r="FJ81">
        <v>1.217935E-2</v>
      </c>
      <c r="FK81">
        <v>9.3585914759915803E-2</v>
      </c>
      <c r="FL81">
        <v>0.23674236932189399</v>
      </c>
      <c r="FM81">
        <v>1.7147070277606</v>
      </c>
      <c r="FN81">
        <v>9.7561638707102105E-2</v>
      </c>
      <c r="FO81">
        <v>0.11926940663298199</v>
      </c>
      <c r="FP81">
        <v>-6.4535090685215096E-2</v>
      </c>
      <c r="FQ81">
        <v>-2.32167540579944E-2</v>
      </c>
      <c r="FR81">
        <v>0.104971323011691</v>
      </c>
      <c r="FS81">
        <v>0.49632537964253098</v>
      </c>
      <c r="FT81">
        <v>0.141919932455283</v>
      </c>
      <c r="FU81">
        <v>0.31091325946981702</v>
      </c>
      <c r="FV81">
        <v>0.159868407224147</v>
      </c>
      <c r="FW81">
        <v>1.93589576138908E-3</v>
      </c>
      <c r="FX81">
        <v>0.22000031319837501</v>
      </c>
      <c r="FY81">
        <v>0.14968689459387799</v>
      </c>
      <c r="FZ81">
        <v>-0.20345813686636999</v>
      </c>
      <c r="GA81">
        <v>-0.14957188015098499</v>
      </c>
      <c r="GB81">
        <v>4.1438939252199901E-2</v>
      </c>
      <c r="GC81">
        <v>0.1136569455492</v>
      </c>
      <c r="GD81">
        <v>1.48262430282937E-2</v>
      </c>
      <c r="GE81">
        <v>-2.8684885227487902E-3</v>
      </c>
      <c r="GF81">
        <v>0.35609914945773502</v>
      </c>
      <c r="GG81">
        <v>0.128933825811093</v>
      </c>
      <c r="GH81">
        <v>0.12324689625099899</v>
      </c>
      <c r="GI81">
        <v>-6.9025156527648499E-2</v>
      </c>
      <c r="GJ81">
        <v>0.60544360291536403</v>
      </c>
      <c r="GK81">
        <v>-8.2488334242487599E-3</v>
      </c>
      <c r="GL81">
        <v>0.12346658035645</v>
      </c>
      <c r="GM81">
        <v>9.5639324529590994E-2</v>
      </c>
      <c r="GN81">
        <v>-6.1897120080960398E-2</v>
      </c>
      <c r="GO81">
        <v>-7.8006561114301903E-2</v>
      </c>
      <c r="GP81">
        <v>0.139649440319877</v>
      </c>
      <c r="GY81" s="65"/>
      <c r="HK81" s="1"/>
      <c r="HL81" s="1"/>
      <c r="HM81" s="65"/>
      <c r="HN81" s="1"/>
      <c r="HO81" s="65"/>
      <c r="HS81" s="65"/>
      <c r="HV81" s="65"/>
      <c r="HW81" s="65"/>
      <c r="HX81" s="65"/>
      <c r="JJ81" s="66"/>
      <c r="JL81" s="66"/>
      <c r="JN81" s="66"/>
    </row>
    <row r="82" spans="1:278" ht="15.75" x14ac:dyDescent="0.25">
      <c r="A82" s="5" t="s">
        <v>135</v>
      </c>
      <c r="B82" s="5" t="s">
        <v>135</v>
      </c>
      <c r="C82" s="2" t="s">
        <v>857</v>
      </c>
      <c r="D82" s="2" t="s">
        <v>524</v>
      </c>
      <c r="E82" s="2" t="s">
        <v>524</v>
      </c>
      <c r="F82" s="2">
        <v>81</v>
      </c>
      <c r="G82" s="2" t="s">
        <v>856</v>
      </c>
      <c r="H82" s="10" t="s">
        <v>656</v>
      </c>
      <c r="I82" s="2">
        <v>150</v>
      </c>
      <c r="J82" s="2">
        <v>65</v>
      </c>
      <c r="K82" s="13">
        <v>5.5</v>
      </c>
      <c r="L82" t="s">
        <v>308</v>
      </c>
      <c r="M82" s="2" t="s">
        <v>1120</v>
      </c>
      <c r="N82" s="2" t="s">
        <v>435</v>
      </c>
      <c r="O82" s="2" t="s">
        <v>666</v>
      </c>
      <c r="P82" s="2" t="s">
        <v>1131</v>
      </c>
      <c r="Q82" s="9" t="s">
        <v>667</v>
      </c>
      <c r="R82" s="2" t="str">
        <f t="shared" si="73"/>
        <v>CW_1_Section_2</v>
      </c>
      <c r="S82" s="2" t="str">
        <f t="shared" si="74"/>
        <v>CW_1_MF05</v>
      </c>
      <c r="T82" s="11" t="s">
        <v>845</v>
      </c>
      <c r="U82" s="1">
        <v>45705</v>
      </c>
      <c r="V82" s="2" t="s">
        <v>799</v>
      </c>
      <c r="W82" s="2" t="s">
        <v>655</v>
      </c>
      <c r="X82" s="2" t="s">
        <v>844</v>
      </c>
      <c r="Y82" s="2" t="str">
        <f t="shared" si="75"/>
        <v>T3_MF05</v>
      </c>
      <c r="Z82" s="2" t="str">
        <f t="shared" si="76"/>
        <v>T3_CW_1_MF05</v>
      </c>
      <c r="AA82" s="2" t="str">
        <f t="shared" si="77"/>
        <v>T3_0.15-0.30</v>
      </c>
      <c r="AB82" s="2">
        <v>188</v>
      </c>
      <c r="AC82" s="2">
        <v>6.1840000000000002</v>
      </c>
      <c r="AD82" s="2">
        <v>-0.38</v>
      </c>
      <c r="AE82" s="2">
        <v>3</v>
      </c>
      <c r="AF82" t="s">
        <v>33</v>
      </c>
      <c r="AG82" t="s">
        <v>1237</v>
      </c>
      <c r="AH82">
        <v>71</v>
      </c>
      <c r="AI82">
        <v>31</v>
      </c>
      <c r="AJ82">
        <v>1.8</v>
      </c>
      <c r="AK82">
        <v>3.9</v>
      </c>
      <c r="AL82">
        <v>7.9</v>
      </c>
      <c r="AM82">
        <v>-114</v>
      </c>
      <c r="AN82">
        <v>7.21</v>
      </c>
      <c r="AO82">
        <v>1030</v>
      </c>
      <c r="AP82">
        <v>0.2</v>
      </c>
      <c r="AQ82">
        <v>0.01</v>
      </c>
      <c r="AR82">
        <v>10</v>
      </c>
      <c r="AS82">
        <v>9.9</v>
      </c>
      <c r="AT82">
        <v>470</v>
      </c>
      <c r="AU82" s="32">
        <f t="shared" si="89"/>
        <v>0.18051465881449238</v>
      </c>
      <c r="AV82">
        <v>1</v>
      </c>
      <c r="AW82" s="32">
        <f t="shared" si="90"/>
        <v>3.9070978945083569E-4</v>
      </c>
      <c r="AX82">
        <v>260</v>
      </c>
      <c r="AY82" s="32">
        <f t="shared" si="91"/>
        <v>0.10285391353489687</v>
      </c>
      <c r="AZ82">
        <v>150</v>
      </c>
      <c r="BA82" s="32">
        <f t="shared" si="92"/>
        <v>5.9338796270132804E-2</v>
      </c>
      <c r="BB82">
        <v>88</v>
      </c>
      <c r="BC82" s="32">
        <f t="shared" si="93"/>
        <v>3.4812093811811246E-2</v>
      </c>
      <c r="BD82">
        <v>238</v>
      </c>
      <c r="BF82" s="48">
        <v>975</v>
      </c>
      <c r="BG82" s="48">
        <f t="shared" si="94"/>
        <v>0.28375928213884005</v>
      </c>
      <c r="BH82">
        <v>1800</v>
      </c>
      <c r="BI82" s="32">
        <f t="shared" si="95"/>
        <v>0.6741047046890849</v>
      </c>
      <c r="BJ82" s="47">
        <v>2E-3</v>
      </c>
      <c r="BK82" s="27">
        <f t="shared" si="96"/>
        <v>7.4900522743231646E-7</v>
      </c>
      <c r="BL82" s="47">
        <v>0.01</v>
      </c>
      <c r="BM82" s="27">
        <f t="shared" si="97"/>
        <v>3.6796110125501018E-6</v>
      </c>
      <c r="BN82" s="47">
        <v>0.01</v>
      </c>
      <c r="BO82" s="27">
        <f t="shared" si="98"/>
        <v>3.7611049867064394E-6</v>
      </c>
      <c r="BP82" s="47">
        <v>0.05</v>
      </c>
      <c r="BQ82" s="27">
        <f t="shared" si="99"/>
        <v>1.864998195163037E-5</v>
      </c>
      <c r="BR82" s="47">
        <v>0.02</v>
      </c>
      <c r="BS82" s="27">
        <f t="shared" si="100"/>
        <v>7.4061605790270997E-6</v>
      </c>
      <c r="BT82" s="47">
        <v>1E-3</v>
      </c>
      <c r="BU82" s="27">
        <f t="shared" si="101"/>
        <v>3.7030802895135499E-7</v>
      </c>
      <c r="BV82" s="47">
        <v>1E-3</v>
      </c>
      <c r="BW82" s="27">
        <f t="shared" si="102"/>
        <v>3.6588380716934485E-7</v>
      </c>
      <c r="BX82" s="47">
        <v>2E-3</v>
      </c>
      <c r="BY82" s="27">
        <f t="shared" si="103"/>
        <v>7.3176761433868969E-7</v>
      </c>
      <c r="BZ82" s="51">
        <f t="shared" si="104"/>
        <v>9.6000000000000016E-2</v>
      </c>
      <c r="CA82" s="51">
        <f t="shared" si="105"/>
        <v>9.4000000000000014E-2</v>
      </c>
      <c r="CB82" s="27">
        <f t="shared" si="106"/>
        <v>3.5713823207805717E-5</v>
      </c>
      <c r="CC82" s="27">
        <f t="shared" si="107"/>
        <v>3.4964817980373396E-5</v>
      </c>
      <c r="CD82">
        <v>3400</v>
      </c>
      <c r="CE82">
        <v>25</v>
      </c>
      <c r="CF82" t="s">
        <v>19</v>
      </c>
      <c r="CG82">
        <v>3400</v>
      </c>
      <c r="CH82" s="32">
        <v>13</v>
      </c>
      <c r="CI82" s="32">
        <f t="shared" si="108"/>
        <v>0.23276633840644584</v>
      </c>
      <c r="CJ82" s="32">
        <f t="shared" si="109"/>
        <v>0.23276633840644584</v>
      </c>
      <c r="CK82" s="32">
        <v>0.05</v>
      </c>
      <c r="CL82" s="32">
        <f t="shared" si="110"/>
        <v>9.1024940833788468E-4</v>
      </c>
      <c r="CM82" s="32">
        <f t="shared" si="111"/>
        <v>1.8204988166757694E-3</v>
      </c>
      <c r="CN82" s="27">
        <v>45</v>
      </c>
      <c r="CO82" s="27">
        <f t="shared" si="112"/>
        <v>0.46845721424109932</v>
      </c>
      <c r="CP82" s="27">
        <f t="shared" si="113"/>
        <v>3.7476577139287945</v>
      </c>
      <c r="CQ82" s="57">
        <v>37</v>
      </c>
      <c r="CR82" s="57">
        <v>45.121951219512198</v>
      </c>
      <c r="CS82" s="57">
        <v>3.0814074536747866</v>
      </c>
      <c r="CT82" s="57">
        <f t="shared" si="114"/>
        <v>3.0814074536747866</v>
      </c>
      <c r="CU82" s="28">
        <v>11</v>
      </c>
      <c r="CV82" s="28">
        <v>19.642857142857142</v>
      </c>
      <c r="CW82" s="28">
        <v>0.91609410784926082</v>
      </c>
      <c r="CX82" s="28">
        <f t="shared" si="115"/>
        <v>0.91609410784926082</v>
      </c>
      <c r="CY82" s="32">
        <f t="shared" si="116"/>
        <v>21.508224026650009</v>
      </c>
      <c r="CZ82" s="32">
        <f t="shared" si="117"/>
        <v>21.508224026650009</v>
      </c>
      <c r="DA82" s="32">
        <f t="shared" si="118"/>
        <v>34.508224026650012</v>
      </c>
      <c r="DB82" s="32">
        <f t="shared" si="119"/>
        <v>0.61787330396866624</v>
      </c>
      <c r="DC82" s="32">
        <f t="shared" si="120"/>
        <v>0.61787330396866624</v>
      </c>
      <c r="DD82" s="59">
        <f t="shared" si="121"/>
        <v>6.3943368727878402</v>
      </c>
      <c r="DE82" s="59">
        <f t="shared" si="122"/>
        <v>6.3943368727878402</v>
      </c>
      <c r="DF82" s="59">
        <f t="shared" si="123"/>
        <v>19.394336872787839</v>
      </c>
      <c r="DG82" s="59">
        <f t="shared" si="124"/>
        <v>0.34725759843845727</v>
      </c>
      <c r="DH82" s="59">
        <f t="shared" si="125"/>
        <v>0.34725759843845727</v>
      </c>
      <c r="DI82" s="32">
        <f t="shared" si="126"/>
        <v>3.7476577139287945</v>
      </c>
      <c r="DJ82" s="32">
        <f t="shared" si="127"/>
        <v>19.44433687278784</v>
      </c>
      <c r="DK82" s="32">
        <f t="shared" si="128"/>
        <v>0.34907809725513306</v>
      </c>
      <c r="DL82">
        <f t="shared" si="129"/>
        <v>3.7011012564601287</v>
      </c>
      <c r="DM82">
        <f t="shared" si="78"/>
        <v>4.9188030548965916E-4</v>
      </c>
      <c r="DN82">
        <f t="shared" si="79"/>
        <v>0.16694309643384989</v>
      </c>
      <c r="DO82">
        <f t="shared" si="80"/>
        <v>0.8325650232606604</v>
      </c>
      <c r="DP82">
        <f t="shared" si="130"/>
        <v>1.2651722051043939</v>
      </c>
      <c r="DQ82">
        <f t="shared" si="81"/>
        <v>1.4389336165708394E-3</v>
      </c>
      <c r="DR82">
        <f t="shared" si="82"/>
        <v>0.27447457115911256</v>
      </c>
      <c r="DS82">
        <f t="shared" si="83"/>
        <v>0.72408649522431656</v>
      </c>
      <c r="DT82" s="63">
        <f t="shared" si="84"/>
        <v>-2.7432372696322038</v>
      </c>
      <c r="DU82" s="63">
        <f t="shared" si="85"/>
        <v>-0.30730821827646893</v>
      </c>
      <c r="DV82" s="63">
        <f t="shared" si="86"/>
        <v>-2.7432023048142233</v>
      </c>
      <c r="DW82" s="63">
        <f t="shared" si="87"/>
        <v>-0.30727325345848855</v>
      </c>
      <c r="DX82" t="str">
        <f t="shared" si="131"/>
        <v>Sufficient Capacity</v>
      </c>
      <c r="DY82" t="str">
        <f t="shared" si="132"/>
        <v>Sufficient Capacity</v>
      </c>
      <c r="DZ82" t="str">
        <f t="shared" si="133"/>
        <v>Sulfate Dominant electron acceptor</v>
      </c>
      <c r="EA82" t="str">
        <f t="shared" si="88"/>
        <v>Sulfate Dominant electron acceptor</v>
      </c>
      <c r="EB82">
        <v>1.0818690000000001E-2</v>
      </c>
      <c r="EC82">
        <v>1.649911E-3</v>
      </c>
      <c r="ED82" s="66">
        <v>1.947493E-6</v>
      </c>
      <c r="EE82">
        <v>3.5865940000000002E-4</v>
      </c>
      <c r="EF82">
        <v>2.5885940000000001E-3</v>
      </c>
      <c r="EG82" s="66">
        <v>1.4983270000000001E-5</v>
      </c>
      <c r="EH82">
        <v>1.764522E-4</v>
      </c>
      <c r="EI82">
        <v>1.080344E-4</v>
      </c>
      <c r="EJ82">
        <v>2.9595110000000001E-4</v>
      </c>
      <c r="EK82">
        <v>4.6706219999999998E-4</v>
      </c>
      <c r="EL82">
        <v>3.037038E-4</v>
      </c>
      <c r="EM82" s="66">
        <v>7.3854689999999995E-5</v>
      </c>
      <c r="EN82">
        <v>1.739174E-3</v>
      </c>
      <c r="EO82">
        <v>6.9274099999999997E-4</v>
      </c>
      <c r="EP82">
        <v>1.369044E-3</v>
      </c>
      <c r="EQ82">
        <v>1.393168E-3</v>
      </c>
      <c r="ER82">
        <v>2.3901789999999999E-4</v>
      </c>
      <c r="ES82">
        <v>3.9971610000000003E-4</v>
      </c>
      <c r="ET82">
        <v>1.322363E-2</v>
      </c>
      <c r="EU82">
        <v>3.450229E-3</v>
      </c>
      <c r="EV82">
        <v>8.976263E-3</v>
      </c>
      <c r="EW82">
        <v>4.5515060000000002E-4</v>
      </c>
      <c r="EX82">
        <v>5.5660420000000002E-3</v>
      </c>
      <c r="EY82">
        <v>6.8305090000000002E-3</v>
      </c>
      <c r="EZ82">
        <v>7.4592569999999995E-4</v>
      </c>
      <c r="FA82">
        <v>6.5976480000000002E-4</v>
      </c>
      <c r="FB82">
        <v>6.6792049999999997E-4</v>
      </c>
      <c r="FC82">
        <v>1.6945809999999999E-3</v>
      </c>
      <c r="FD82">
        <v>2.9126219999999999E-4</v>
      </c>
      <c r="FE82">
        <v>2.0946909999999999E-2</v>
      </c>
      <c r="FF82">
        <v>1.627106E-2</v>
      </c>
      <c r="FG82">
        <v>8.0467379999999995E-3</v>
      </c>
      <c r="FH82">
        <v>9.5455099999999999E-4</v>
      </c>
      <c r="FI82">
        <v>1.128591E-3</v>
      </c>
      <c r="FJ82">
        <v>1.2086380000000001E-2</v>
      </c>
      <c r="FK82">
        <v>-0.46802412664163001</v>
      </c>
      <c r="FL82">
        <v>-0.57503024891312304</v>
      </c>
      <c r="FM82">
        <v>0.215151612620958</v>
      </c>
      <c r="FN82">
        <v>-0.52052213698699301</v>
      </c>
      <c r="FO82">
        <v>0.30826871982188098</v>
      </c>
      <c r="FP82">
        <v>-0.401792766336659</v>
      </c>
      <c r="FQ82">
        <v>-0.43182965903630299</v>
      </c>
      <c r="FR82">
        <v>-0.40561798998319898</v>
      </c>
      <c r="FS82">
        <v>-1.24752049963754</v>
      </c>
      <c r="FT82">
        <v>-0.15636097521553799</v>
      </c>
      <c r="FU82">
        <v>-0.164127708618865</v>
      </c>
      <c r="FV82">
        <v>-0.43654948070959598</v>
      </c>
      <c r="FW82">
        <v>0.142385213277094</v>
      </c>
      <c r="FX82">
        <v>-0.50525174516871696</v>
      </c>
      <c r="FY82">
        <v>-0.55497545135733595</v>
      </c>
      <c r="FZ82">
        <v>0.420998515133642</v>
      </c>
      <c r="GA82">
        <v>0.219687630673365</v>
      </c>
      <c r="GB82">
        <v>1.53347712891136E-2</v>
      </c>
      <c r="GC82">
        <v>-0.34790852397948901</v>
      </c>
      <c r="GD82">
        <v>0.112307770400101</v>
      </c>
      <c r="GE82">
        <v>8.49128800180576E-3</v>
      </c>
      <c r="GF82">
        <v>-0.53529009343126399</v>
      </c>
      <c r="GG82">
        <v>-0.36015319043038502</v>
      </c>
      <c r="GH82">
        <v>-0.39206484361545002</v>
      </c>
      <c r="GI82">
        <v>-0.100385095445246</v>
      </c>
      <c r="GJ82">
        <v>-0.20395608371507901</v>
      </c>
      <c r="GK82">
        <v>-0.107516564637264</v>
      </c>
      <c r="GL82">
        <v>8.4684590233976606E-2</v>
      </c>
      <c r="GM82">
        <v>-4.69401285108937E-2</v>
      </c>
      <c r="GN82">
        <v>0.18546938483599701</v>
      </c>
      <c r="GO82">
        <v>-0.240843934380219</v>
      </c>
      <c r="GP82">
        <v>0.13198674441839001</v>
      </c>
      <c r="GR82" s="66"/>
      <c r="GT82" s="66"/>
      <c r="GV82" s="66"/>
      <c r="GY82" s="66"/>
      <c r="GZ82" s="66"/>
      <c r="HK82" s="1"/>
      <c r="HL82" s="1"/>
      <c r="HM82" s="65"/>
      <c r="HN82" s="1"/>
      <c r="HO82" s="65"/>
      <c r="HP82" s="65"/>
      <c r="HQ82" s="65"/>
      <c r="HS82" s="65"/>
      <c r="HV82" s="65"/>
      <c r="HW82" s="65"/>
      <c r="HX82" s="65"/>
      <c r="IX82" s="66"/>
      <c r="IZ82" s="66"/>
      <c r="JB82" s="66"/>
      <c r="JD82" s="66"/>
      <c r="JF82" s="66"/>
      <c r="JH82" s="66"/>
      <c r="JJ82" s="66"/>
      <c r="JL82" s="66"/>
      <c r="JN82" s="66"/>
      <c r="JP82" s="66"/>
      <c r="JR82" s="66"/>
    </row>
    <row r="83" spans="1:278" ht="15.75" x14ac:dyDescent="0.25">
      <c r="A83" s="5" t="s">
        <v>136</v>
      </c>
      <c r="B83" s="5" t="s">
        <v>136</v>
      </c>
      <c r="C83" s="2" t="s">
        <v>859</v>
      </c>
      <c r="D83" s="2" t="s">
        <v>525</v>
      </c>
      <c r="E83" s="2" t="s">
        <v>525</v>
      </c>
      <c r="F83" s="2">
        <v>82</v>
      </c>
      <c r="G83" s="2" t="s">
        <v>858</v>
      </c>
      <c r="H83" s="10" t="s">
        <v>656</v>
      </c>
      <c r="I83" s="2">
        <v>150</v>
      </c>
      <c r="J83" s="2">
        <v>65</v>
      </c>
      <c r="K83" s="13">
        <v>5</v>
      </c>
      <c r="L83" t="s">
        <v>309</v>
      </c>
      <c r="M83" s="2" t="s">
        <v>1120</v>
      </c>
      <c r="N83" s="2" t="s">
        <v>435</v>
      </c>
      <c r="O83" s="2" t="s">
        <v>666</v>
      </c>
      <c r="P83" s="2" t="s">
        <v>1132</v>
      </c>
      <c r="Q83" s="9" t="s">
        <v>670</v>
      </c>
      <c r="R83" s="2" t="str">
        <f t="shared" si="73"/>
        <v>CW_1_Section_2</v>
      </c>
      <c r="S83" s="2" t="str">
        <f t="shared" si="74"/>
        <v>CW_1_MF06</v>
      </c>
      <c r="T83" s="11" t="s">
        <v>845</v>
      </c>
      <c r="U83" s="1">
        <v>45705</v>
      </c>
      <c r="V83" s="2" t="s">
        <v>799</v>
      </c>
      <c r="W83" s="2" t="s">
        <v>663</v>
      </c>
      <c r="X83" s="2" t="s">
        <v>844</v>
      </c>
      <c r="Y83" s="2" t="str">
        <f t="shared" si="75"/>
        <v>T3_MF06</v>
      </c>
      <c r="Z83" s="2" t="str">
        <f t="shared" si="76"/>
        <v>T3_CW_1_MF06</v>
      </c>
      <c r="AA83" s="2" t="str">
        <f t="shared" si="77"/>
        <v>T3_0.60-0.80</v>
      </c>
      <c r="AB83" s="2">
        <v>188</v>
      </c>
      <c r="AC83" s="2">
        <v>6.1840000000000002</v>
      </c>
      <c r="AD83" s="2">
        <v>-0.38</v>
      </c>
      <c r="AE83" s="2">
        <v>3</v>
      </c>
      <c r="AF83" t="s">
        <v>25</v>
      </c>
      <c r="AG83" t="s">
        <v>1237</v>
      </c>
      <c r="AH83">
        <v>71</v>
      </c>
      <c r="AI83">
        <v>33</v>
      </c>
      <c r="AJ83">
        <v>1.6</v>
      </c>
      <c r="AK83">
        <v>0.66</v>
      </c>
      <c r="AL83">
        <v>8</v>
      </c>
      <c r="AM83">
        <v>-128</v>
      </c>
      <c r="AN83">
        <v>7.22</v>
      </c>
      <c r="AO83">
        <v>1132</v>
      </c>
      <c r="AP83">
        <v>1</v>
      </c>
      <c r="AQ83">
        <v>0.01</v>
      </c>
      <c r="AR83">
        <v>11</v>
      </c>
      <c r="AS83">
        <v>11</v>
      </c>
      <c r="AT83">
        <v>630</v>
      </c>
      <c r="AU83" s="32">
        <f t="shared" si="89"/>
        <v>0.24196645755985149</v>
      </c>
      <c r="AV83">
        <v>5</v>
      </c>
      <c r="AW83" s="32">
        <f t="shared" si="90"/>
        <v>1.9535489472541786E-3</v>
      </c>
      <c r="AX83">
        <v>370</v>
      </c>
      <c r="AY83" s="32">
        <f t="shared" si="91"/>
        <v>0.14636903079966093</v>
      </c>
      <c r="AZ83">
        <v>110</v>
      </c>
      <c r="BA83" s="32">
        <f t="shared" si="92"/>
        <v>4.3515117264764057E-2</v>
      </c>
      <c r="BB83">
        <v>130</v>
      </c>
      <c r="BC83" s="32">
        <f t="shared" si="93"/>
        <v>5.1426956767448434E-2</v>
      </c>
      <c r="BD83">
        <v>240</v>
      </c>
      <c r="BF83" s="48">
        <v>1275</v>
      </c>
      <c r="BG83" s="48">
        <f t="shared" si="94"/>
        <v>0.39028903730676662</v>
      </c>
      <c r="BH83">
        <v>2500</v>
      </c>
      <c r="BI83" s="32">
        <f t="shared" si="95"/>
        <v>0.93625653429039557</v>
      </c>
      <c r="BJ83" s="47">
        <v>5600</v>
      </c>
      <c r="BK83" s="27">
        <f t="shared" si="96"/>
        <v>2.0972146368104863</v>
      </c>
      <c r="BL83" s="47">
        <v>200</v>
      </c>
      <c r="BM83" s="27">
        <f t="shared" si="97"/>
        <v>7.3592220251002038E-2</v>
      </c>
      <c r="BN83" s="47">
        <v>230</v>
      </c>
      <c r="BO83" s="27">
        <f t="shared" si="98"/>
        <v>8.6505414694248106E-2</v>
      </c>
      <c r="BP83" s="47">
        <v>86</v>
      </c>
      <c r="BQ83" s="27">
        <f t="shared" si="99"/>
        <v>3.2077968956804238E-2</v>
      </c>
      <c r="BR83" s="47">
        <v>29</v>
      </c>
      <c r="BS83" s="27">
        <f t="shared" si="100"/>
        <v>1.0738932839589295E-2</v>
      </c>
      <c r="BT83" s="47">
        <v>1</v>
      </c>
      <c r="BU83" s="27">
        <f t="shared" si="101"/>
        <v>3.70308028951355E-4</v>
      </c>
      <c r="BV83" s="47">
        <v>0.04</v>
      </c>
      <c r="BW83" s="27">
        <f t="shared" si="102"/>
        <v>1.4635352286773795E-5</v>
      </c>
      <c r="BX83" s="47">
        <v>0.02</v>
      </c>
      <c r="BY83" s="27">
        <f t="shared" si="103"/>
        <v>7.3176761433868973E-6</v>
      </c>
      <c r="BZ83" s="51">
        <f t="shared" si="104"/>
        <v>6146.06</v>
      </c>
      <c r="CA83" s="51">
        <f t="shared" si="105"/>
        <v>546.05999999999995</v>
      </c>
      <c r="CB83" s="27">
        <f t="shared" si="106"/>
        <v>2.3005214346095118</v>
      </c>
      <c r="CC83" s="27">
        <f t="shared" si="107"/>
        <v>0.20330679779902519</v>
      </c>
      <c r="CD83">
        <v>6000</v>
      </c>
      <c r="CE83">
        <v>1500</v>
      </c>
      <c r="CF83" t="s">
        <v>19</v>
      </c>
      <c r="CG83">
        <v>7500</v>
      </c>
      <c r="CH83" s="32">
        <v>1.6</v>
      </c>
      <c r="CI83" s="32">
        <f t="shared" si="108"/>
        <v>2.864816472694718E-2</v>
      </c>
      <c r="CJ83" s="32">
        <f t="shared" si="109"/>
        <v>2.864816472694718E-2</v>
      </c>
      <c r="CK83" s="32">
        <v>2.5</v>
      </c>
      <c r="CL83" s="32">
        <f t="shared" si="110"/>
        <v>4.5512470416894227E-2</v>
      </c>
      <c r="CM83" s="32">
        <f t="shared" si="111"/>
        <v>9.1024940833788454E-2</v>
      </c>
      <c r="CN83" s="27">
        <v>58</v>
      </c>
      <c r="CO83" s="27">
        <f t="shared" si="112"/>
        <v>0.60378929835519468</v>
      </c>
      <c r="CP83" s="27">
        <f t="shared" si="113"/>
        <v>4.8303143868415575</v>
      </c>
      <c r="CQ83" s="57">
        <v>24</v>
      </c>
      <c r="CR83" s="57">
        <v>29.268292682926827</v>
      </c>
      <c r="CS83" s="57">
        <v>1.9987507807620237</v>
      </c>
      <c r="CT83" s="57">
        <f t="shared" si="114"/>
        <v>1.9987507807620237</v>
      </c>
      <c r="CU83" s="28">
        <v>15</v>
      </c>
      <c r="CV83" s="28">
        <v>20.547945205479451</v>
      </c>
      <c r="CW83" s="28">
        <v>1.2492192379762648</v>
      </c>
      <c r="CX83" s="28">
        <f t="shared" si="115"/>
        <v>1.2492192379762648</v>
      </c>
      <c r="CY83" s="32">
        <f t="shared" si="116"/>
        <v>13.951280449718926</v>
      </c>
      <c r="CZ83" s="32">
        <f t="shared" si="117"/>
        <v>13.951280449718926</v>
      </c>
      <c r="DA83" s="32">
        <f t="shared" si="118"/>
        <v>15.551280449718925</v>
      </c>
      <c r="DB83" s="32">
        <f t="shared" si="119"/>
        <v>0.27844727752406312</v>
      </c>
      <c r="DC83" s="32">
        <f t="shared" si="120"/>
        <v>0.27844727752406312</v>
      </c>
      <c r="DD83" s="59">
        <f t="shared" si="121"/>
        <v>8.7195502810743282</v>
      </c>
      <c r="DE83" s="59">
        <f t="shared" si="122"/>
        <v>8.7195502810743282</v>
      </c>
      <c r="DF83" s="59">
        <f t="shared" si="123"/>
        <v>10.319550281074328</v>
      </c>
      <c r="DG83" s="59">
        <f t="shared" si="124"/>
        <v>0.18477261022514463</v>
      </c>
      <c r="DH83" s="59">
        <f t="shared" si="125"/>
        <v>0.18477261022514463</v>
      </c>
      <c r="DI83" s="32">
        <f t="shared" si="126"/>
        <v>4.8303143868415575</v>
      </c>
      <c r="DJ83" s="32">
        <f t="shared" si="127"/>
        <v>12.819550281074328</v>
      </c>
      <c r="DK83" s="32">
        <f t="shared" si="128"/>
        <v>0.27579755105893311</v>
      </c>
      <c r="DL83">
        <f t="shared" si="129"/>
        <v>2.3682229991198751</v>
      </c>
      <c r="DM83">
        <f t="shared" si="78"/>
        <v>3.8435966911738E-2</v>
      </c>
      <c r="DN83">
        <f t="shared" si="79"/>
        <v>0.11757646033652451</v>
      </c>
      <c r="DO83">
        <f t="shared" si="80"/>
        <v>0.84398757275173752</v>
      </c>
      <c r="DP83">
        <f t="shared" si="130"/>
        <v>1.525016789035198</v>
      </c>
      <c r="DQ83">
        <f t="shared" si="81"/>
        <v>5.9687828677201245E-2</v>
      </c>
      <c r="DR83">
        <f t="shared" si="82"/>
        <v>0.12116103347428787</v>
      </c>
      <c r="DS83">
        <f t="shared" si="83"/>
        <v>0.81915113784851079</v>
      </c>
      <c r="DT83" s="63">
        <f t="shared" si="84"/>
        <v>-1.041677427522713</v>
      </c>
      <c r="DU83" s="63">
        <f t="shared" si="85"/>
        <v>-0.19847121743803586</v>
      </c>
      <c r="DV83" s="63">
        <f t="shared" si="86"/>
        <v>-0.8383706297236877</v>
      </c>
      <c r="DW83" s="63">
        <f t="shared" si="87"/>
        <v>4.835580360989411E-3</v>
      </c>
      <c r="DX83" t="str">
        <f t="shared" si="131"/>
        <v>Sufficient Capacity</v>
      </c>
      <c r="DY83" t="str">
        <f t="shared" si="132"/>
        <v>Insufficient Capacity</v>
      </c>
      <c r="DZ83" t="str">
        <f t="shared" si="133"/>
        <v>Sulfate Dominant electron acceptor</v>
      </c>
      <c r="EA83" t="str">
        <f t="shared" si="88"/>
        <v>Sulfate Dominant electron acceptor</v>
      </c>
      <c r="EB83">
        <v>9.0953630000000004E-3</v>
      </c>
      <c r="EC83">
        <v>1.3920930000000001E-3</v>
      </c>
      <c r="ED83" s="66">
        <v>1.2032E-6</v>
      </c>
      <c r="EE83">
        <v>2.088654E-4</v>
      </c>
      <c r="EF83">
        <v>4.1471269999999996E-3</v>
      </c>
      <c r="EG83" s="66">
        <v>9.6008120000000008E-6</v>
      </c>
      <c r="EH83" s="66">
        <v>8.6774789999999994E-5</v>
      </c>
      <c r="EI83">
        <v>1.292737E-4</v>
      </c>
      <c r="EJ83">
        <v>3.0550310000000003E-4</v>
      </c>
      <c r="EK83">
        <v>5.16009E-4</v>
      </c>
      <c r="EL83">
        <v>2.3971849999999999E-4</v>
      </c>
      <c r="EM83" s="66">
        <v>8.9655439999999998E-5</v>
      </c>
      <c r="EN83">
        <v>2.0583899999999998E-3</v>
      </c>
      <c r="EO83">
        <v>1.00387E-3</v>
      </c>
      <c r="EP83">
        <v>1.476457E-3</v>
      </c>
      <c r="EQ83">
        <v>1.600328E-3</v>
      </c>
      <c r="ER83">
        <v>4.2143660000000001E-4</v>
      </c>
      <c r="ES83">
        <v>4.8252450000000003E-4</v>
      </c>
      <c r="ET83">
        <v>1.219515E-2</v>
      </c>
      <c r="EU83">
        <v>2.6636730000000001E-3</v>
      </c>
      <c r="EV83">
        <v>1.032344E-2</v>
      </c>
      <c r="EW83">
        <v>4.3737890000000002E-4</v>
      </c>
      <c r="EX83">
        <v>5.1912740000000001E-3</v>
      </c>
      <c r="EY83">
        <v>6.4632550000000002E-3</v>
      </c>
      <c r="EZ83">
        <v>1.0963850000000001E-3</v>
      </c>
      <c r="FA83">
        <v>5.6240140000000005E-4</v>
      </c>
      <c r="FB83">
        <v>5.7348040000000005E-4</v>
      </c>
      <c r="FC83">
        <v>1.650592E-3</v>
      </c>
      <c r="FD83">
        <v>1.681144E-4</v>
      </c>
      <c r="FE83">
        <v>2.1995420000000002E-2</v>
      </c>
      <c r="FF83">
        <v>1.6890470000000001E-2</v>
      </c>
      <c r="FG83">
        <v>8.9435339999999995E-3</v>
      </c>
      <c r="FH83">
        <v>6.7319169999999998E-4</v>
      </c>
      <c r="FI83">
        <v>9.8922709999999989E-4</v>
      </c>
      <c r="FJ83">
        <v>1.312458E-2</v>
      </c>
      <c r="FK83">
        <v>-1.00870729291031</v>
      </c>
      <c r="FL83">
        <v>-0.103729314738238</v>
      </c>
      <c r="FM83">
        <v>-0.229934954470674</v>
      </c>
      <c r="FN83">
        <v>-1.2302560134587599</v>
      </c>
      <c r="FO83">
        <v>0.48775088704512498</v>
      </c>
      <c r="FP83">
        <v>-0.37002707845087102</v>
      </c>
      <c r="FQ83">
        <v>-0.33216789122436102</v>
      </c>
      <c r="FR83">
        <v>-0.642205556034111</v>
      </c>
      <c r="FS83">
        <v>-1.0536461350734101</v>
      </c>
      <c r="FT83">
        <v>1.2152860744771799E-2</v>
      </c>
      <c r="FU83">
        <v>0.20683390921862199</v>
      </c>
      <c r="FV83">
        <v>-0.36101686789585602</v>
      </c>
      <c r="FW83">
        <v>0.28101353097241499</v>
      </c>
      <c r="FX83">
        <v>6.1879161251347597E-2</v>
      </c>
      <c r="FY83">
        <v>-0.366698299781551</v>
      </c>
      <c r="FZ83">
        <v>0.34003146615292701</v>
      </c>
      <c r="GA83">
        <v>-3.90469775823803E-2</v>
      </c>
      <c r="GB83">
        <v>0.15516816042505099</v>
      </c>
      <c r="GC83">
        <v>-0.387737009695171</v>
      </c>
      <c r="GD83">
        <v>4.2602700627117698E-2</v>
      </c>
      <c r="GE83">
        <v>-4.6774846098528201E-2</v>
      </c>
      <c r="GF83">
        <v>-0.15014240762282899</v>
      </c>
      <c r="GG83">
        <v>-0.51982076847708802</v>
      </c>
      <c r="GH83">
        <v>-0.54451023821974798</v>
      </c>
      <c r="GI83">
        <v>-0.12668659663687101</v>
      </c>
      <c r="GJ83">
        <v>-0.75353527608837501</v>
      </c>
      <c r="GK83">
        <v>-5.8673456226391502E-2</v>
      </c>
      <c r="GL83">
        <v>0.12204607809052</v>
      </c>
      <c r="GM83">
        <v>5.87238926602804E-2</v>
      </c>
      <c r="GN83">
        <v>-0.16374155495162901</v>
      </c>
      <c r="GO83">
        <v>-0.37264523425434798</v>
      </c>
      <c r="GP83">
        <v>0.214394353601883</v>
      </c>
      <c r="GT83" s="66"/>
      <c r="GV83" s="66"/>
      <c r="GY83" s="65"/>
      <c r="HK83" s="1"/>
      <c r="HL83" s="1"/>
      <c r="HM83" s="65"/>
      <c r="HN83" s="1"/>
      <c r="HO83" s="65"/>
      <c r="HP83" s="65"/>
      <c r="HQ83" s="65"/>
      <c r="HS83" s="65"/>
      <c r="HT83" s="65"/>
      <c r="HU83" s="65"/>
      <c r="HV83" s="65"/>
      <c r="HW83" s="65"/>
      <c r="HX83" s="65"/>
      <c r="JJ83" s="66"/>
      <c r="JL83" s="66"/>
      <c r="JN83" s="66"/>
    </row>
    <row r="84" spans="1:278" ht="15.75" x14ac:dyDescent="0.25">
      <c r="A84" s="5" t="s">
        <v>137</v>
      </c>
      <c r="B84" s="5" t="s">
        <v>137</v>
      </c>
      <c r="C84" s="2" t="s">
        <v>861</v>
      </c>
      <c r="D84" s="2" t="s">
        <v>526</v>
      </c>
      <c r="E84" s="2" t="s">
        <v>526</v>
      </c>
      <c r="F84" s="2">
        <v>83</v>
      </c>
      <c r="G84" s="2" t="s">
        <v>860</v>
      </c>
      <c r="H84" s="10" t="s">
        <v>656</v>
      </c>
      <c r="I84" s="2">
        <v>150</v>
      </c>
      <c r="J84" s="2">
        <v>65</v>
      </c>
      <c r="K84" s="13">
        <v>7.1</v>
      </c>
      <c r="L84" t="s">
        <v>311</v>
      </c>
      <c r="M84" s="2" t="s">
        <v>1120</v>
      </c>
      <c r="N84" s="2" t="s">
        <v>435</v>
      </c>
      <c r="O84" s="2" t="s">
        <v>673</v>
      </c>
      <c r="P84" s="2" t="s">
        <v>1127</v>
      </c>
      <c r="Q84" s="9" t="s">
        <v>674</v>
      </c>
      <c r="R84" s="2" t="str">
        <f t="shared" si="73"/>
        <v>CW_1_Section_3</v>
      </c>
      <c r="S84" s="2" t="str">
        <f t="shared" si="74"/>
        <v>CW_1_MF09</v>
      </c>
      <c r="T84" s="11" t="s">
        <v>845</v>
      </c>
      <c r="U84" s="1">
        <v>45706</v>
      </c>
      <c r="V84" s="2" t="s">
        <v>799</v>
      </c>
      <c r="W84" s="2" t="s">
        <v>655</v>
      </c>
      <c r="X84" s="2" t="s">
        <v>844</v>
      </c>
      <c r="Y84" s="2" t="str">
        <f t="shared" si="75"/>
        <v>T3_MF09</v>
      </c>
      <c r="Z84" s="2" t="str">
        <f t="shared" si="76"/>
        <v>T3_CW_1_MF09</v>
      </c>
      <c r="AA84" s="2" t="str">
        <f t="shared" si="77"/>
        <v>T3_0.15-0.30</v>
      </c>
      <c r="AB84" s="2">
        <v>188</v>
      </c>
      <c r="AC84" s="2">
        <v>6.1840000000000002</v>
      </c>
      <c r="AD84" s="2">
        <v>-0.38</v>
      </c>
      <c r="AE84" s="2">
        <v>3</v>
      </c>
      <c r="AF84" t="s">
        <v>21</v>
      </c>
      <c r="AG84" t="s">
        <v>1237</v>
      </c>
      <c r="AH84">
        <v>69</v>
      </c>
      <c r="AI84">
        <v>27</v>
      </c>
      <c r="AJ84">
        <v>1.5</v>
      </c>
      <c r="AK84">
        <v>6.58</v>
      </c>
      <c r="AL84">
        <v>7.4</v>
      </c>
      <c r="AM84">
        <v>-100</v>
      </c>
      <c r="AN84">
        <v>7.11</v>
      </c>
      <c r="AO84">
        <v>1004</v>
      </c>
      <c r="AP84">
        <v>0.1</v>
      </c>
      <c r="AQ84">
        <v>0.01</v>
      </c>
      <c r="AR84">
        <v>8.1999999999999993</v>
      </c>
      <c r="AS84">
        <v>8.8000000000000007</v>
      </c>
      <c r="AT84">
        <v>730</v>
      </c>
      <c r="AU84" s="32">
        <f t="shared" si="89"/>
        <v>0.28037383177570091</v>
      </c>
      <c r="AV84">
        <v>6.9</v>
      </c>
      <c r="AW84" s="32">
        <f t="shared" si="90"/>
        <v>2.6958975472107663E-3</v>
      </c>
      <c r="AX84">
        <v>360</v>
      </c>
      <c r="AY84" s="32">
        <f t="shared" si="91"/>
        <v>0.14241311104831872</v>
      </c>
      <c r="AZ84">
        <v>220</v>
      </c>
      <c r="BA84" s="32">
        <f t="shared" si="92"/>
        <v>8.7030234529528114E-2</v>
      </c>
      <c r="BB84">
        <v>120</v>
      </c>
      <c r="BC84" s="32">
        <f t="shared" si="93"/>
        <v>4.7471037016106249E-2</v>
      </c>
      <c r="BD84">
        <v>340</v>
      </c>
      <c r="BF84" s="48">
        <v>1436.9</v>
      </c>
      <c r="BG84" s="48">
        <f t="shared" si="94"/>
        <v>0.42548284037123041</v>
      </c>
      <c r="BH84">
        <v>1200</v>
      </c>
      <c r="BI84" s="32">
        <f t="shared" si="95"/>
        <v>0.44940313645938984</v>
      </c>
      <c r="BJ84" s="47">
        <v>0.28999999999999998</v>
      </c>
      <c r="BK84" s="27">
        <f t="shared" si="96"/>
        <v>1.0860575797768587E-4</v>
      </c>
      <c r="BL84" s="47">
        <v>0.01</v>
      </c>
      <c r="BM84" s="27">
        <f t="shared" si="97"/>
        <v>3.6796110125501018E-6</v>
      </c>
      <c r="BN84" s="47">
        <v>0.11</v>
      </c>
      <c r="BO84" s="27">
        <f t="shared" si="98"/>
        <v>4.1372154853770834E-5</v>
      </c>
      <c r="BP84" s="47">
        <v>7.0000000000000007E-2</v>
      </c>
      <c r="BQ84" s="27">
        <f t="shared" si="99"/>
        <v>2.6109974732282519E-5</v>
      </c>
      <c r="BR84" s="47">
        <v>0.04</v>
      </c>
      <c r="BS84" s="27">
        <f t="shared" si="100"/>
        <v>1.4812321158054199E-5</v>
      </c>
      <c r="BT84" s="47">
        <v>1E-3</v>
      </c>
      <c r="BU84" s="27">
        <f t="shared" si="101"/>
        <v>3.7030802895135499E-7</v>
      </c>
      <c r="BV84" s="47">
        <v>1E-3</v>
      </c>
      <c r="BW84" s="27">
        <f t="shared" si="102"/>
        <v>3.6588380716934485E-7</v>
      </c>
      <c r="BX84" s="47">
        <v>2E-3</v>
      </c>
      <c r="BY84" s="27">
        <f t="shared" si="103"/>
        <v>7.3176761433868969E-7</v>
      </c>
      <c r="BZ84" s="51">
        <f t="shared" si="104"/>
        <v>0.52400000000000002</v>
      </c>
      <c r="CA84" s="51">
        <f t="shared" si="105"/>
        <v>0.23400000000000001</v>
      </c>
      <c r="CB84" s="27">
        <f t="shared" si="106"/>
        <v>1.9604777918480294E-4</v>
      </c>
      <c r="CC84" s="27">
        <f t="shared" si="107"/>
        <v>8.7442021207117057E-5</v>
      </c>
      <c r="CD84">
        <v>1300</v>
      </c>
      <c r="CE84">
        <v>2.5</v>
      </c>
      <c r="CF84" t="s">
        <v>19</v>
      </c>
      <c r="CG84">
        <v>1300</v>
      </c>
      <c r="CH84" s="32">
        <v>14</v>
      </c>
      <c r="CI84" s="32">
        <f t="shared" si="108"/>
        <v>0.25067144136078784</v>
      </c>
      <c r="CJ84" s="32">
        <f t="shared" si="109"/>
        <v>0.25067144136078784</v>
      </c>
      <c r="CK84" s="32">
        <v>3.5</v>
      </c>
      <c r="CL84" s="32">
        <f t="shared" si="110"/>
        <v>6.3717458583651923E-2</v>
      </c>
      <c r="CM84" s="32">
        <f t="shared" si="111"/>
        <v>0.12743491716730385</v>
      </c>
      <c r="CN84" s="27">
        <v>38</v>
      </c>
      <c r="CO84" s="27">
        <f t="shared" si="112"/>
        <v>0.39558609202581718</v>
      </c>
      <c r="CP84" s="27">
        <f t="shared" si="113"/>
        <v>3.1646887362065375</v>
      </c>
      <c r="CQ84" s="57">
        <v>44</v>
      </c>
      <c r="CR84" s="57">
        <v>53.658536585365859</v>
      </c>
      <c r="CS84" s="57">
        <v>3.6643764313970433</v>
      </c>
      <c r="CT84" s="57">
        <f t="shared" si="114"/>
        <v>3.6643764313970433</v>
      </c>
      <c r="CU84" s="28">
        <v>7</v>
      </c>
      <c r="CV84" s="28">
        <v>15.555555555555555</v>
      </c>
      <c r="CW84" s="28">
        <v>0.58296897772225686</v>
      </c>
      <c r="CX84" s="28">
        <f t="shared" si="115"/>
        <v>0.58296897772225686</v>
      </c>
      <c r="CY84" s="32">
        <f t="shared" si="116"/>
        <v>25.577347491151361</v>
      </c>
      <c r="CZ84" s="32">
        <f t="shared" si="117"/>
        <v>25.577347491151361</v>
      </c>
      <c r="DA84" s="32">
        <f t="shared" si="118"/>
        <v>39.577347491151357</v>
      </c>
      <c r="DB84" s="32">
        <f t="shared" si="119"/>
        <v>0.70863648148883362</v>
      </c>
      <c r="DC84" s="32">
        <f t="shared" si="120"/>
        <v>0.70863648148883362</v>
      </c>
      <c r="DD84" s="59">
        <f t="shared" si="121"/>
        <v>4.0691234645013532</v>
      </c>
      <c r="DE84" s="59">
        <f t="shared" si="122"/>
        <v>4.0691234645013532</v>
      </c>
      <c r="DF84" s="59">
        <f t="shared" si="123"/>
        <v>18.069123464501352</v>
      </c>
      <c r="DG84" s="59">
        <f t="shared" si="124"/>
        <v>0.32352951592661328</v>
      </c>
      <c r="DH84" s="59">
        <f t="shared" si="125"/>
        <v>0.32352951592661328</v>
      </c>
      <c r="DI84" s="32">
        <f t="shared" si="126"/>
        <v>3.1646887362065375</v>
      </c>
      <c r="DJ84" s="32">
        <f t="shared" si="127"/>
        <v>21.569123464501352</v>
      </c>
      <c r="DK84" s="32">
        <f t="shared" si="128"/>
        <v>0.45096443309391709</v>
      </c>
      <c r="DL84">
        <f t="shared" si="129"/>
        <v>4.5004478300531812</v>
      </c>
      <c r="DM84">
        <f t="shared" si="78"/>
        <v>2.8316052530665145E-2</v>
      </c>
      <c r="DN84">
        <f t="shared" si="79"/>
        <v>0.15745910368223506</v>
      </c>
      <c r="DO84">
        <f t="shared" si="80"/>
        <v>0.81422484378709969</v>
      </c>
      <c r="DP84">
        <f t="shared" si="130"/>
        <v>1.033933410816174</v>
      </c>
      <c r="DQ84">
        <f t="shared" si="81"/>
        <v>0.12325253815592277</v>
      </c>
      <c r="DR84">
        <f t="shared" si="82"/>
        <v>0.31291136599524644</v>
      </c>
      <c r="DS84">
        <f t="shared" si="83"/>
        <v>0.56383609584883088</v>
      </c>
      <c r="DT84" s="63">
        <f t="shared" si="84"/>
        <v>-3.6255618532225609</v>
      </c>
      <c r="DU84" s="63">
        <f t="shared" si="85"/>
        <v>-0.15904743398555365</v>
      </c>
      <c r="DV84" s="63">
        <f t="shared" si="86"/>
        <v>-3.6254744112013535</v>
      </c>
      <c r="DW84" s="63">
        <f t="shared" si="87"/>
        <v>-0.15895999196434651</v>
      </c>
      <c r="DX84" t="str">
        <f t="shared" si="131"/>
        <v>Sufficient Capacity</v>
      </c>
      <c r="DY84" t="str">
        <f t="shared" si="132"/>
        <v>Sufficient Capacity</v>
      </c>
      <c r="DZ84" t="str">
        <f t="shared" si="133"/>
        <v>Sulfate Dominant electron acceptor</v>
      </c>
      <c r="EA84" t="str">
        <f t="shared" si="88"/>
        <v>Sulfate Dominant electron acceptor</v>
      </c>
      <c r="EB84">
        <v>1.0044880000000001E-2</v>
      </c>
      <c r="EC84">
        <v>1.2824480000000001E-3</v>
      </c>
      <c r="ED84" s="66">
        <v>1.622374E-6</v>
      </c>
      <c r="EE84">
        <v>3.883208E-4</v>
      </c>
      <c r="EF84">
        <v>2.8494700000000002E-3</v>
      </c>
      <c r="EG84" s="66">
        <v>1.034606E-5</v>
      </c>
      <c r="EH84">
        <v>1.9636640000000001E-4</v>
      </c>
      <c r="EI84">
        <v>1.2235419999999999E-4</v>
      </c>
      <c r="EJ84">
        <v>3.413806E-4</v>
      </c>
      <c r="EK84">
        <v>5.5342740000000003E-4</v>
      </c>
      <c r="EL84">
        <v>2.3802139999999999E-4</v>
      </c>
      <c r="EM84">
        <v>1.1840350000000001E-4</v>
      </c>
      <c r="EN84">
        <v>1.800622E-3</v>
      </c>
      <c r="EO84">
        <v>6.4042959999999996E-4</v>
      </c>
      <c r="EP84">
        <v>1.6167989999999999E-3</v>
      </c>
      <c r="EQ84">
        <v>1.5605790000000001E-3</v>
      </c>
      <c r="ER84">
        <v>2.574427E-4</v>
      </c>
      <c r="ES84">
        <v>4.7756369999999999E-4</v>
      </c>
      <c r="ET84">
        <v>1.7064289999999999E-2</v>
      </c>
      <c r="EU84">
        <v>3.5951759999999998E-3</v>
      </c>
      <c r="EV84">
        <v>9.5508039999999995E-3</v>
      </c>
      <c r="EW84">
        <v>4.9373419999999997E-4</v>
      </c>
      <c r="EX84">
        <v>5.3538530000000004E-3</v>
      </c>
      <c r="EY84">
        <v>6.6615829999999996E-3</v>
      </c>
      <c r="EZ84">
        <v>8.6321080000000005E-4</v>
      </c>
      <c r="FA84">
        <v>7.0920520000000004E-4</v>
      </c>
      <c r="FB84">
        <v>7.3609130000000002E-4</v>
      </c>
      <c r="FC84">
        <v>1.7633200000000001E-3</v>
      </c>
      <c r="FD84">
        <v>3.154807E-4</v>
      </c>
      <c r="FE84">
        <v>2.027994E-2</v>
      </c>
      <c r="FF84">
        <v>1.302529E-2</v>
      </c>
      <c r="FG84">
        <v>6.6673540000000003E-3</v>
      </c>
      <c r="FH84">
        <v>8.1985399999999996E-4</v>
      </c>
      <c r="FI84">
        <v>1.1960849999999999E-3</v>
      </c>
      <c r="FJ84">
        <v>9.470348E-3</v>
      </c>
      <c r="FK84">
        <v>-0.38856551613422002</v>
      </c>
      <c r="FL84">
        <v>-0.47901210800676602</v>
      </c>
      <c r="FM84">
        <v>-0.15517686179358101</v>
      </c>
      <c r="FN84">
        <v>-0.41358985329695103</v>
      </c>
      <c r="FO84">
        <v>0.43273914194315699</v>
      </c>
      <c r="FP84">
        <v>-0.25898902040369698</v>
      </c>
      <c r="FQ84">
        <v>-0.26216152018016498</v>
      </c>
      <c r="FR84">
        <v>-0.64931028870867202</v>
      </c>
      <c r="FS84">
        <v>-0.77552173088363396</v>
      </c>
      <c r="FT84">
        <v>-0.121639102319474</v>
      </c>
      <c r="FU84">
        <v>-0.24264469941161099</v>
      </c>
      <c r="FV84">
        <v>-0.27021389814638502</v>
      </c>
      <c r="FW84">
        <v>0.25586182898335702</v>
      </c>
      <c r="FX84">
        <v>-0.43099301862345002</v>
      </c>
      <c r="FY84">
        <v>-0.377032442308807</v>
      </c>
      <c r="FZ84">
        <v>0.67598111030526997</v>
      </c>
      <c r="GA84">
        <v>0.26083997188056901</v>
      </c>
      <c r="GB84">
        <v>7.7376462012176198E-2</v>
      </c>
      <c r="GC84">
        <v>-0.26653956147332902</v>
      </c>
      <c r="GD84">
        <v>7.3440050124652601E-2</v>
      </c>
      <c r="GE84">
        <v>-1.6550762965489501E-2</v>
      </c>
      <c r="GF84">
        <v>-0.38925716536914601</v>
      </c>
      <c r="GG84">
        <v>-0.28789169192340802</v>
      </c>
      <c r="GH84">
        <v>-0.29487983814507102</v>
      </c>
      <c r="GI84">
        <v>-6.0622212342330797E-2</v>
      </c>
      <c r="GJ84">
        <v>-0.12408246876125199</v>
      </c>
      <c r="GK84">
        <v>-0.13987548595495899</v>
      </c>
      <c r="GL84">
        <v>-0.137810627191848</v>
      </c>
      <c r="GM84">
        <v>-0.23498384085586599</v>
      </c>
      <c r="GN84">
        <v>3.3354587607063599E-2</v>
      </c>
      <c r="GO84">
        <v>-0.182760163182483</v>
      </c>
      <c r="GP84">
        <v>-0.111926800216908</v>
      </c>
      <c r="GR84" s="66"/>
      <c r="GT84" s="66"/>
      <c r="GV84" s="66"/>
      <c r="GZ84" s="66"/>
      <c r="HK84" s="1"/>
      <c r="HL84" s="1"/>
      <c r="HM84" s="65"/>
      <c r="HN84" s="1"/>
      <c r="HO84" s="65"/>
      <c r="HP84" s="65"/>
      <c r="HQ84" s="65"/>
      <c r="HS84" s="65"/>
      <c r="HV84" s="65"/>
      <c r="HW84" s="65"/>
      <c r="HX84" s="65"/>
      <c r="IZ84" s="66"/>
      <c r="JB84" s="66"/>
      <c r="JD84" s="66"/>
      <c r="JF84" s="66"/>
      <c r="JH84" s="66"/>
      <c r="JJ84" s="66"/>
      <c r="JL84" s="66"/>
      <c r="JN84" s="66"/>
    </row>
    <row r="85" spans="1:278" ht="15.75" x14ac:dyDescent="0.25">
      <c r="A85" s="5" t="s">
        <v>138</v>
      </c>
      <c r="B85" s="5" t="s">
        <v>138</v>
      </c>
      <c r="C85" s="2" t="s">
        <v>863</v>
      </c>
      <c r="D85" s="2" t="s">
        <v>527</v>
      </c>
      <c r="E85" s="2" t="s">
        <v>527</v>
      </c>
      <c r="F85" s="2">
        <v>84</v>
      </c>
      <c r="G85" s="2" t="s">
        <v>862</v>
      </c>
      <c r="H85" s="10" t="s">
        <v>656</v>
      </c>
      <c r="I85" s="2">
        <v>150</v>
      </c>
      <c r="J85" s="2">
        <v>65</v>
      </c>
      <c r="K85" s="13">
        <v>4.2</v>
      </c>
      <c r="L85" t="s">
        <v>310</v>
      </c>
      <c r="M85" s="2" t="s">
        <v>1120</v>
      </c>
      <c r="N85" s="2" t="s">
        <v>435</v>
      </c>
      <c r="O85" s="2" t="s">
        <v>673</v>
      </c>
      <c r="P85" s="2" t="s">
        <v>1128</v>
      </c>
      <c r="Q85" s="9" t="s">
        <v>677</v>
      </c>
      <c r="R85" s="2" t="str">
        <f t="shared" si="73"/>
        <v>CW_1_Section_3</v>
      </c>
      <c r="S85" s="2" t="str">
        <f t="shared" si="74"/>
        <v>CW_1_MF10</v>
      </c>
      <c r="T85" s="11" t="s">
        <v>845</v>
      </c>
      <c r="U85" s="1">
        <v>45705</v>
      </c>
      <c r="V85" s="2" t="s">
        <v>799</v>
      </c>
      <c r="W85" s="2" t="s">
        <v>663</v>
      </c>
      <c r="X85" s="2" t="s">
        <v>844</v>
      </c>
      <c r="Y85" s="2" t="str">
        <f t="shared" si="75"/>
        <v>T3_MF10</v>
      </c>
      <c r="Z85" s="2" t="str">
        <f t="shared" si="76"/>
        <v>T3_CW_1_MF10</v>
      </c>
      <c r="AA85" s="2" t="str">
        <f t="shared" si="77"/>
        <v>T3_0.60-0.80</v>
      </c>
      <c r="AB85" s="2">
        <v>188</v>
      </c>
      <c r="AC85" s="2">
        <v>6.1840000000000002</v>
      </c>
      <c r="AD85" s="2">
        <v>-0.38</v>
      </c>
      <c r="AE85" s="2">
        <v>3</v>
      </c>
      <c r="AF85" t="s">
        <v>23</v>
      </c>
      <c r="AG85" t="s">
        <v>1237</v>
      </c>
      <c r="AH85">
        <v>71</v>
      </c>
      <c r="AI85">
        <v>31</v>
      </c>
      <c r="AJ85">
        <v>1.3</v>
      </c>
      <c r="AK85">
        <v>0.73</v>
      </c>
      <c r="AL85">
        <v>8.3000000000000007</v>
      </c>
      <c r="AM85">
        <v>-109</v>
      </c>
      <c r="AN85">
        <v>7.3</v>
      </c>
      <c r="AO85">
        <v>1080</v>
      </c>
      <c r="AP85">
        <v>0.2</v>
      </c>
      <c r="AQ85">
        <v>0.01</v>
      </c>
      <c r="AR85">
        <v>11</v>
      </c>
      <c r="AS85">
        <v>11</v>
      </c>
      <c r="AT85">
        <v>510</v>
      </c>
      <c r="AU85" s="32">
        <f t="shared" si="89"/>
        <v>0.19587760850083216</v>
      </c>
      <c r="AV85">
        <v>5</v>
      </c>
      <c r="AW85" s="32">
        <f t="shared" si="90"/>
        <v>1.9535489472541786E-3</v>
      </c>
      <c r="AX85">
        <v>430</v>
      </c>
      <c r="AY85" s="32">
        <f t="shared" si="91"/>
        <v>0.17010454930771404</v>
      </c>
      <c r="AZ85">
        <v>150</v>
      </c>
      <c r="BA85" s="32">
        <f t="shared" si="92"/>
        <v>5.9338796270132804E-2</v>
      </c>
      <c r="BB85">
        <v>150</v>
      </c>
      <c r="BC85" s="32">
        <f t="shared" si="93"/>
        <v>5.9338796270132804E-2</v>
      </c>
      <c r="BD85">
        <v>300</v>
      </c>
      <c r="BF85" s="48">
        <v>1275</v>
      </c>
      <c r="BG85" s="48">
        <f t="shared" si="94"/>
        <v>0.3679357067558004</v>
      </c>
      <c r="BH85">
        <v>2900</v>
      </c>
      <c r="BI85" s="32">
        <f t="shared" si="95"/>
        <v>1.0860575797768588</v>
      </c>
      <c r="BJ85" s="47">
        <v>4500</v>
      </c>
      <c r="BK85" s="27">
        <f t="shared" si="96"/>
        <v>1.6852617617227121</v>
      </c>
      <c r="BL85" s="47">
        <v>150</v>
      </c>
      <c r="BM85" s="27">
        <f t="shared" si="97"/>
        <v>5.5194165188251522E-2</v>
      </c>
      <c r="BN85" s="47">
        <v>140</v>
      </c>
      <c r="BO85" s="27">
        <f t="shared" si="98"/>
        <v>5.2655469813890153E-2</v>
      </c>
      <c r="BP85" s="47">
        <v>48</v>
      </c>
      <c r="BQ85" s="27">
        <f t="shared" si="99"/>
        <v>1.7903982673565154E-2</v>
      </c>
      <c r="BR85" s="47">
        <v>18</v>
      </c>
      <c r="BS85" s="27">
        <f t="shared" si="100"/>
        <v>6.66554452112439E-3</v>
      </c>
      <c r="BT85" s="47">
        <v>0.53</v>
      </c>
      <c r="BU85" s="27">
        <f t="shared" si="101"/>
        <v>1.9626325534421817E-4</v>
      </c>
      <c r="BV85" s="47">
        <v>0.05</v>
      </c>
      <c r="BW85" s="27">
        <f t="shared" si="102"/>
        <v>1.8294190358467248E-5</v>
      </c>
      <c r="BX85" s="47">
        <v>0.03</v>
      </c>
      <c r="BY85" s="27">
        <f t="shared" si="103"/>
        <v>1.0976514215080345E-5</v>
      </c>
      <c r="BZ85" s="51">
        <f t="shared" si="104"/>
        <v>4856.6099999999997</v>
      </c>
      <c r="CA85" s="51">
        <f t="shared" si="105"/>
        <v>356.60999999999996</v>
      </c>
      <c r="CB85" s="27">
        <f t="shared" si="106"/>
        <v>1.817906457879461</v>
      </c>
      <c r="CC85" s="27">
        <f t="shared" si="107"/>
        <v>0.13264469615674901</v>
      </c>
      <c r="CD85">
        <v>5000</v>
      </c>
      <c r="CE85">
        <v>1200</v>
      </c>
      <c r="CF85" t="s">
        <v>19</v>
      </c>
      <c r="CG85">
        <v>6100</v>
      </c>
      <c r="CH85" s="32">
        <v>1</v>
      </c>
      <c r="CI85" s="32">
        <f t="shared" si="108"/>
        <v>1.7905102954341987E-2</v>
      </c>
      <c r="CJ85" s="32">
        <f t="shared" si="109"/>
        <v>1.7905102954341987E-2</v>
      </c>
      <c r="CK85" s="32">
        <v>1.3</v>
      </c>
      <c r="CL85" s="32">
        <f t="shared" si="110"/>
        <v>2.3666484616785E-2</v>
      </c>
      <c r="CM85" s="32">
        <f t="shared" si="111"/>
        <v>4.7332969233569999E-2</v>
      </c>
      <c r="CN85" s="27">
        <v>62</v>
      </c>
      <c r="CO85" s="27">
        <f t="shared" si="112"/>
        <v>0.6454299396210702</v>
      </c>
      <c r="CP85" s="27">
        <f t="shared" si="113"/>
        <v>5.1634395169685616</v>
      </c>
      <c r="CQ85" s="57">
        <v>20</v>
      </c>
      <c r="CR85" s="57">
        <v>24.390243902439025</v>
      </c>
      <c r="CS85" s="57">
        <v>1.6656256506350198</v>
      </c>
      <c r="CT85" s="57">
        <f t="shared" si="114"/>
        <v>1.6656256506350198</v>
      </c>
      <c r="CU85" s="28">
        <v>-4</v>
      </c>
      <c r="CV85" s="28">
        <v>-6.8965517241379306</v>
      </c>
      <c r="CW85" s="28">
        <v>-0.33312513012700395</v>
      </c>
      <c r="CX85" s="28">
        <f t="shared" si="115"/>
        <v>0</v>
      </c>
      <c r="CY85" s="32">
        <f t="shared" si="116"/>
        <v>11.626067041432437</v>
      </c>
      <c r="CZ85" s="32">
        <f t="shared" si="117"/>
        <v>11.626067041432437</v>
      </c>
      <c r="DA85" s="32">
        <f t="shared" si="118"/>
        <v>12.626067041432437</v>
      </c>
      <c r="DB85" s="32">
        <f t="shared" si="119"/>
        <v>0.22607103028527192</v>
      </c>
      <c r="DC85" s="32">
        <f t="shared" si="120"/>
        <v>0.22607103028527192</v>
      </c>
      <c r="DD85" s="59">
        <f t="shared" si="121"/>
        <v>-2.3252134082864875</v>
      </c>
      <c r="DE85" s="59">
        <f t="shared" si="122"/>
        <v>0</v>
      </c>
      <c r="DF85" s="59">
        <f t="shared" si="123"/>
        <v>1</v>
      </c>
      <c r="DG85" s="59">
        <f t="shared" si="124"/>
        <v>1.7905102954341987E-2</v>
      </c>
      <c r="DH85" s="59">
        <f t="shared" si="125"/>
        <v>1.7905102954341987E-2</v>
      </c>
      <c r="DI85" s="32">
        <f t="shared" si="126"/>
        <v>5.1634395169685616</v>
      </c>
      <c r="DJ85" s="32">
        <f t="shared" si="127"/>
        <v>2.2999999999999998</v>
      </c>
      <c r="DK85" s="32">
        <f t="shared" si="128"/>
        <v>6.5238072187911986E-2</v>
      </c>
      <c r="DL85">
        <f t="shared" si="129"/>
        <v>1.9390296501538618</v>
      </c>
      <c r="DM85">
        <f t="shared" si="78"/>
        <v>2.441064747504719E-2</v>
      </c>
      <c r="DN85">
        <f t="shared" si="79"/>
        <v>0.11658977482233612</v>
      </c>
      <c r="DO85">
        <f t="shared" si="80"/>
        <v>0.8589995777026167</v>
      </c>
      <c r="DP85">
        <f t="shared" si="130"/>
        <v>6.5238072187911986E-2</v>
      </c>
      <c r="DQ85">
        <f t="shared" si="81"/>
        <v>0.72554212051563904</v>
      </c>
      <c r="DR85">
        <f t="shared" si="82"/>
        <v>0.27445787948436096</v>
      </c>
      <c r="DS85">
        <f t="shared" si="83"/>
        <v>0</v>
      </c>
      <c r="DT85" s="63">
        <f t="shared" si="84"/>
        <v>-0.4850363636212025</v>
      </c>
      <c r="DU85" s="63">
        <f t="shared" si="85"/>
        <v>1.3887552143447472</v>
      </c>
      <c r="DV85" s="63">
        <f t="shared" si="86"/>
        <v>-0.35239166746445361</v>
      </c>
      <c r="DW85" s="63">
        <f t="shared" si="87"/>
        <v>1.5213999105014961</v>
      </c>
      <c r="DX85" t="str">
        <f t="shared" si="131"/>
        <v>Sufficient Capacity</v>
      </c>
      <c r="DY85" t="str">
        <f t="shared" si="132"/>
        <v>Insufficient Capacity</v>
      </c>
      <c r="DZ85" t="str">
        <f t="shared" si="133"/>
        <v>Sulfate Dominant electron acceptor</v>
      </c>
      <c r="EA85" t="str">
        <f t="shared" si="88"/>
        <v>Iron Dominant electron acceptor</v>
      </c>
      <c r="EB85">
        <v>9.0933820000000005E-3</v>
      </c>
      <c r="EC85">
        <v>1.3539369999999999E-3</v>
      </c>
      <c r="ED85" s="66">
        <v>1.5360659999999999E-6</v>
      </c>
      <c r="EE85">
        <v>4.4263819999999999E-4</v>
      </c>
      <c r="EF85">
        <v>4.5205319999999998E-3</v>
      </c>
      <c r="EG85" s="66">
        <v>2.344665E-5</v>
      </c>
      <c r="EH85">
        <v>1.859823E-4</v>
      </c>
      <c r="EI85">
        <v>1.4382779999999999E-4</v>
      </c>
      <c r="EJ85">
        <v>4.5209900000000002E-4</v>
      </c>
      <c r="EK85">
        <v>6.8134239999999996E-4</v>
      </c>
      <c r="EL85">
        <v>3.5478320000000002E-4</v>
      </c>
      <c r="EM85">
        <v>2.1965059999999999E-4</v>
      </c>
      <c r="EN85">
        <v>2.0599749999999999E-3</v>
      </c>
      <c r="EO85">
        <v>9.5528430000000003E-4</v>
      </c>
      <c r="EP85">
        <v>1.8830240000000001E-3</v>
      </c>
      <c r="EQ85">
        <v>1.294283E-3</v>
      </c>
      <c r="ER85">
        <v>4.2476089999999997E-4</v>
      </c>
      <c r="ES85">
        <v>5.2082680000000001E-4</v>
      </c>
      <c r="ET85">
        <v>1.153349E-2</v>
      </c>
      <c r="EU85">
        <v>2.8074879999999999E-3</v>
      </c>
      <c r="EV85">
        <v>9.4755849999999999E-3</v>
      </c>
      <c r="EW85">
        <v>4.8894879999999996E-4</v>
      </c>
      <c r="EX85">
        <v>5.1607110000000001E-3</v>
      </c>
      <c r="EY85">
        <v>6.6642580000000002E-3</v>
      </c>
      <c r="EZ85">
        <v>1.209323E-3</v>
      </c>
      <c r="FA85">
        <v>7.3897890000000003E-4</v>
      </c>
      <c r="FB85">
        <v>7.6077999999999996E-4</v>
      </c>
      <c r="FC85">
        <v>1.8015100000000001E-3</v>
      </c>
      <c r="FD85">
        <v>3.8622290000000001E-4</v>
      </c>
      <c r="FE85">
        <v>2.2778739999999999E-2</v>
      </c>
      <c r="FF85">
        <v>1.5853929999999999E-2</v>
      </c>
      <c r="FG85">
        <v>8.7271740000000007E-3</v>
      </c>
      <c r="FH85">
        <v>7.3993979999999995E-4</v>
      </c>
      <c r="FI85">
        <v>1.190385E-3</v>
      </c>
      <c r="FJ85">
        <v>1.2059469999999999E-2</v>
      </c>
      <c r="FK85">
        <v>-0.25764458619540498</v>
      </c>
      <c r="FL85">
        <v>-1.7515434048239499E-2</v>
      </c>
      <c r="FM85">
        <v>0.66294499484354796</v>
      </c>
      <c r="FN85">
        <v>-0.467920647257071</v>
      </c>
      <c r="FO85">
        <v>0.59443577555885196</v>
      </c>
      <c r="FP85">
        <v>2.1914178087544499E-2</v>
      </c>
      <c r="FQ85">
        <v>-5.4227128606632001E-2</v>
      </c>
      <c r="FR85">
        <v>-0.25016397561005399</v>
      </c>
      <c r="FS85">
        <v>-0.157581911670897</v>
      </c>
      <c r="FT85">
        <v>1.29225837189404E-2</v>
      </c>
      <c r="FU85">
        <v>0.15722509193523501</v>
      </c>
      <c r="FV85">
        <v>-0.117783171535293</v>
      </c>
      <c r="FW85">
        <v>6.8761796603441297E-2</v>
      </c>
      <c r="FX85">
        <v>6.9736232683784899E-2</v>
      </c>
      <c r="FY85">
        <v>-0.29031244760977498</v>
      </c>
      <c r="FZ85">
        <v>0.28424811155602597</v>
      </c>
      <c r="GA85">
        <v>1.3537158377311599E-2</v>
      </c>
      <c r="GB85">
        <v>6.9469613068882594E-2</v>
      </c>
      <c r="GC85">
        <v>-0.27627909666005201</v>
      </c>
      <c r="GD85">
        <v>3.6697922209880197E-2</v>
      </c>
      <c r="GE85">
        <v>-1.6149287360920399E-2</v>
      </c>
      <c r="GF85">
        <v>-5.2100112941891701E-2</v>
      </c>
      <c r="GG85">
        <v>-0.24676722985872801</v>
      </c>
      <c r="GH85">
        <v>-0.26188977532569002</v>
      </c>
      <c r="GI85">
        <v>-3.9195405958783298E-2</v>
      </c>
      <c r="GJ85">
        <v>7.8234687808491202E-2</v>
      </c>
      <c r="GK85">
        <v>-2.3680061281304201E-2</v>
      </c>
      <c r="GL85">
        <v>5.87139396570402E-2</v>
      </c>
      <c r="GM85">
        <v>3.4234685678170798E-2</v>
      </c>
      <c r="GN85">
        <v>-6.9202856480518299E-2</v>
      </c>
      <c r="GO85">
        <v>-0.187537102208819</v>
      </c>
      <c r="GP85">
        <v>0.12975778903754401</v>
      </c>
      <c r="GT85" s="66"/>
      <c r="GV85" s="66"/>
      <c r="GY85" s="65"/>
      <c r="HK85" s="1"/>
      <c r="HL85" s="1"/>
      <c r="HM85" s="65"/>
      <c r="HN85" s="1"/>
      <c r="HO85" s="65"/>
      <c r="HP85" s="65"/>
      <c r="HQ85" s="65"/>
      <c r="HS85" s="65"/>
      <c r="HV85" s="65"/>
      <c r="HW85" s="65"/>
      <c r="HX85" s="65"/>
    </row>
    <row r="86" spans="1:278" ht="15.75" x14ac:dyDescent="0.25">
      <c r="A86" s="5" t="s">
        <v>139</v>
      </c>
      <c r="B86" s="5" t="s">
        <v>139</v>
      </c>
      <c r="C86" s="2" t="s">
        <v>865</v>
      </c>
      <c r="D86" s="2" t="s">
        <v>528</v>
      </c>
      <c r="E86" s="2" t="s">
        <v>528</v>
      </c>
      <c r="F86" s="2">
        <v>85</v>
      </c>
      <c r="G86" s="2" t="s">
        <v>864</v>
      </c>
      <c r="H86" s="10" t="s">
        <v>656</v>
      </c>
      <c r="I86" s="2">
        <v>150</v>
      </c>
      <c r="J86" s="2">
        <v>65</v>
      </c>
      <c r="K86" s="13">
        <v>4.4000000000000004</v>
      </c>
      <c r="L86" t="s">
        <v>312</v>
      </c>
      <c r="M86" s="2" t="s">
        <v>1120</v>
      </c>
      <c r="N86" s="2" t="s">
        <v>436</v>
      </c>
      <c r="O86" s="2" t="s">
        <v>653</v>
      </c>
      <c r="P86" s="2" t="s">
        <v>1123</v>
      </c>
      <c r="Q86" s="9" t="s">
        <v>713</v>
      </c>
      <c r="R86" s="2" t="str">
        <f t="shared" si="73"/>
        <v>CW_2_Section_1</v>
      </c>
      <c r="S86" s="2" t="str">
        <f t="shared" si="74"/>
        <v>CW_2_MF01</v>
      </c>
      <c r="T86" s="11" t="s">
        <v>845</v>
      </c>
      <c r="U86" s="1">
        <v>45706</v>
      </c>
      <c r="V86" s="2" t="s">
        <v>799</v>
      </c>
      <c r="W86" s="2" t="s">
        <v>655</v>
      </c>
      <c r="X86" s="2" t="s">
        <v>844</v>
      </c>
      <c r="Y86" s="2" t="str">
        <f t="shared" si="75"/>
        <v>T3_MF01</v>
      </c>
      <c r="Z86" s="2" t="str">
        <f t="shared" si="76"/>
        <v>T3_CW_2_MF01</v>
      </c>
      <c r="AA86" s="2" t="str">
        <f t="shared" si="77"/>
        <v>T3_0.15-0.30</v>
      </c>
      <c r="AB86" s="2">
        <v>188</v>
      </c>
      <c r="AC86" s="2">
        <v>6.1840000000000002</v>
      </c>
      <c r="AD86" s="2">
        <v>-0.38</v>
      </c>
      <c r="AE86" s="2">
        <v>3</v>
      </c>
      <c r="AF86" t="s">
        <v>41</v>
      </c>
      <c r="AG86" t="s">
        <v>1237</v>
      </c>
      <c r="AH86">
        <v>69</v>
      </c>
      <c r="AI86">
        <v>30</v>
      </c>
      <c r="AJ86">
        <v>1.5</v>
      </c>
      <c r="AK86">
        <v>2.8</v>
      </c>
      <c r="AL86">
        <v>7.3</v>
      </c>
      <c r="AM86">
        <v>-108</v>
      </c>
      <c r="AN86">
        <v>7.09</v>
      </c>
      <c r="AO86">
        <v>944</v>
      </c>
      <c r="AP86">
        <v>0.2</v>
      </c>
      <c r="AQ86">
        <v>0.01</v>
      </c>
      <c r="AR86">
        <v>11</v>
      </c>
      <c r="AS86">
        <v>11</v>
      </c>
      <c r="AT86">
        <v>730</v>
      </c>
      <c r="AU86" s="32">
        <f t="shared" si="89"/>
        <v>0.28037383177570091</v>
      </c>
      <c r="AV86">
        <v>2</v>
      </c>
      <c r="AW86" s="32">
        <f t="shared" si="90"/>
        <v>7.8141957890167139E-4</v>
      </c>
      <c r="AX86">
        <v>740</v>
      </c>
      <c r="AY86" s="32">
        <f t="shared" si="91"/>
        <v>0.29273806159932186</v>
      </c>
      <c r="AZ86">
        <v>230</v>
      </c>
      <c r="BA86" s="32">
        <f t="shared" si="92"/>
        <v>9.0986154280870299E-2</v>
      </c>
      <c r="BB86">
        <v>290</v>
      </c>
      <c r="BC86" s="32">
        <f t="shared" si="93"/>
        <v>0.11472167278892344</v>
      </c>
      <c r="BD86">
        <v>520</v>
      </c>
      <c r="BF86" s="48">
        <v>2004</v>
      </c>
      <c r="BG86" s="48">
        <f t="shared" si="94"/>
        <v>0.57389331295392443</v>
      </c>
      <c r="BH86">
        <v>4700</v>
      </c>
      <c r="BI86" s="32">
        <f t="shared" si="95"/>
        <v>1.7601622844659439</v>
      </c>
      <c r="BJ86" s="47">
        <v>1500</v>
      </c>
      <c r="BK86" s="27">
        <f t="shared" si="96"/>
        <v>0.56175392057423734</v>
      </c>
      <c r="BL86" s="47">
        <v>4</v>
      </c>
      <c r="BM86" s="27">
        <f t="shared" si="97"/>
        <v>1.4718444050200407E-3</v>
      </c>
      <c r="BN86" s="47">
        <v>0.74</v>
      </c>
      <c r="BO86" s="27">
        <f t="shared" si="98"/>
        <v>2.7832176901627654E-4</v>
      </c>
      <c r="BP86" s="47">
        <v>0.1</v>
      </c>
      <c r="BQ86" s="27">
        <f t="shared" si="99"/>
        <v>3.729996390326074E-5</v>
      </c>
      <c r="BR86" s="47">
        <v>0.04</v>
      </c>
      <c r="BS86" s="27">
        <f t="shared" si="100"/>
        <v>1.4812321158054199E-5</v>
      </c>
      <c r="BT86" s="47">
        <v>1E-3</v>
      </c>
      <c r="BU86" s="27">
        <f t="shared" si="101"/>
        <v>3.7030802895135499E-7</v>
      </c>
      <c r="BV86" s="47">
        <v>1E-3</v>
      </c>
      <c r="BW86" s="27">
        <f t="shared" si="102"/>
        <v>3.6588380716934485E-7</v>
      </c>
      <c r="BX86" s="47">
        <v>2E-3</v>
      </c>
      <c r="BY86" s="27">
        <f t="shared" si="103"/>
        <v>7.3176761433868969E-7</v>
      </c>
      <c r="BZ86" s="51">
        <f t="shared" si="104"/>
        <v>1504.8839999999998</v>
      </c>
      <c r="CA86" s="51">
        <f t="shared" si="105"/>
        <v>4.8840000000000003</v>
      </c>
      <c r="CB86" s="27">
        <f t="shared" si="106"/>
        <v>0.56355766699278542</v>
      </c>
      <c r="CC86" s="27">
        <f t="shared" si="107"/>
        <v>1.8037464185480915E-3</v>
      </c>
      <c r="CD86">
        <v>5800</v>
      </c>
      <c r="CE86">
        <v>340</v>
      </c>
      <c r="CF86" t="s">
        <v>19</v>
      </c>
      <c r="CG86">
        <v>6200</v>
      </c>
      <c r="CH86" s="32">
        <v>5.2</v>
      </c>
      <c r="CI86" s="32">
        <f t="shared" si="108"/>
        <v>9.3106535362578333E-2</v>
      </c>
      <c r="CJ86" s="32">
        <f t="shared" si="109"/>
        <v>9.3106535362578333E-2</v>
      </c>
      <c r="CK86" s="32">
        <v>1.4</v>
      </c>
      <c r="CL86" s="32">
        <f t="shared" si="110"/>
        <v>2.5486983433460765E-2</v>
      </c>
      <c r="CM86" s="32">
        <f t="shared" si="111"/>
        <v>5.097396686692153E-2</v>
      </c>
      <c r="CN86" s="27">
        <v>68</v>
      </c>
      <c r="CO86" s="27">
        <f t="shared" si="112"/>
        <v>0.70789090151988343</v>
      </c>
      <c r="CP86" s="27">
        <f t="shared" si="113"/>
        <v>5.6631272121590674</v>
      </c>
      <c r="CQ86" s="57">
        <v>14</v>
      </c>
      <c r="CR86" s="57">
        <v>17.073170731707318</v>
      </c>
      <c r="CS86" s="57">
        <v>1.1659379554445137</v>
      </c>
      <c r="CT86" s="57">
        <f t="shared" si="114"/>
        <v>1.1659379554445137</v>
      </c>
      <c r="CU86" s="28">
        <v>14</v>
      </c>
      <c r="CV86" s="28">
        <v>17.073170731707318</v>
      </c>
      <c r="CW86" s="28">
        <v>1.1659379554445137</v>
      </c>
      <c r="CX86" s="28">
        <f t="shared" si="115"/>
        <v>1.1659379554445137</v>
      </c>
      <c r="CY86" s="32">
        <f t="shared" si="116"/>
        <v>8.1382469290027064</v>
      </c>
      <c r="CZ86" s="32">
        <f t="shared" si="117"/>
        <v>8.1382469290027064</v>
      </c>
      <c r="DA86" s="32">
        <f t="shared" si="118"/>
        <v>13.338246929002707</v>
      </c>
      <c r="DB86" s="32">
        <f t="shared" si="119"/>
        <v>0.2388226844942293</v>
      </c>
      <c r="DC86" s="32">
        <f t="shared" si="120"/>
        <v>0.2388226844942293</v>
      </c>
      <c r="DD86" s="59">
        <f t="shared" si="121"/>
        <v>8.1382469290027064</v>
      </c>
      <c r="DE86" s="59">
        <f t="shared" si="122"/>
        <v>8.1382469290027064</v>
      </c>
      <c r="DF86" s="59">
        <f t="shared" si="123"/>
        <v>13.338246929002707</v>
      </c>
      <c r="DG86" s="59">
        <f t="shared" si="124"/>
        <v>0.2388226844942293</v>
      </c>
      <c r="DH86" s="59">
        <f t="shared" si="125"/>
        <v>0.2388226844942293</v>
      </c>
      <c r="DI86" s="32">
        <f t="shared" si="126"/>
        <v>5.6631272121590674</v>
      </c>
      <c r="DJ86" s="32">
        <f t="shared" si="127"/>
        <v>14.738246929002708</v>
      </c>
      <c r="DK86" s="32">
        <f t="shared" si="128"/>
        <v>0.28979665136115085</v>
      </c>
      <c r="DL86">
        <f t="shared" si="129"/>
        <v>1.4557346068056645</v>
      </c>
      <c r="DM86">
        <f t="shared" si="78"/>
        <v>3.5015975184360219E-2</v>
      </c>
      <c r="DN86">
        <f t="shared" si="79"/>
        <v>0.16405647250379018</v>
      </c>
      <c r="DO86">
        <f t="shared" si="80"/>
        <v>0.80092755231184964</v>
      </c>
      <c r="DP86">
        <f t="shared" si="130"/>
        <v>1.4557346068056645</v>
      </c>
      <c r="DQ86">
        <f t="shared" si="81"/>
        <v>3.5015975184360219E-2</v>
      </c>
      <c r="DR86">
        <f t="shared" si="82"/>
        <v>0.16405647250379018</v>
      </c>
      <c r="DS86">
        <f t="shared" si="83"/>
        <v>0.80092755231184964</v>
      </c>
      <c r="DT86" s="63">
        <f t="shared" si="84"/>
        <v>0.87832099061420399</v>
      </c>
      <c r="DU86" s="63">
        <f t="shared" si="85"/>
        <v>0.87832099061420399</v>
      </c>
      <c r="DV86" s="63">
        <f t="shared" si="86"/>
        <v>0.88012473703275207</v>
      </c>
      <c r="DW86" s="63">
        <f t="shared" si="87"/>
        <v>0.88012473703275207</v>
      </c>
      <c r="DX86" t="str">
        <f t="shared" si="131"/>
        <v>Insufficient Capacity</v>
      </c>
      <c r="DY86" t="str">
        <f t="shared" si="132"/>
        <v>Insufficient Capacity</v>
      </c>
      <c r="DZ86" t="str">
        <f t="shared" si="133"/>
        <v>Sulfate Dominant electron acceptor</v>
      </c>
      <c r="EA86" t="str">
        <f t="shared" si="88"/>
        <v>Sulfate Dominant electron acceptor</v>
      </c>
      <c r="EB86">
        <v>9.3672570000000004E-3</v>
      </c>
      <c r="EC86">
        <v>1.4807570000000001E-3</v>
      </c>
      <c r="ED86" s="66">
        <v>6.7385999999999997E-7</v>
      </c>
      <c r="EE86">
        <v>3.1827009999999998E-4</v>
      </c>
      <c r="EF86">
        <v>4.5207880000000004E-3</v>
      </c>
      <c r="EG86" s="66">
        <v>1.0545860000000001E-5</v>
      </c>
      <c r="EH86">
        <v>1.527547E-4</v>
      </c>
      <c r="EI86">
        <v>1.3589980000000001E-4</v>
      </c>
      <c r="EJ86">
        <v>3.4638570000000002E-4</v>
      </c>
      <c r="EK86">
        <v>5.3118250000000001E-4</v>
      </c>
      <c r="EL86">
        <v>2.671293E-4</v>
      </c>
      <c r="EM86">
        <v>1.3265330000000001E-4</v>
      </c>
      <c r="EN86">
        <v>2.0615009999999999E-3</v>
      </c>
      <c r="EO86">
        <v>1.0130339999999999E-3</v>
      </c>
      <c r="EP86">
        <v>1.585361E-3</v>
      </c>
      <c r="EQ86">
        <v>1.4646769999999999E-3</v>
      </c>
      <c r="ER86">
        <v>4.8877149999999999E-4</v>
      </c>
      <c r="ES86">
        <v>5.5611009999999999E-4</v>
      </c>
      <c r="ET86">
        <v>1.274907E-2</v>
      </c>
      <c r="EU86">
        <v>2.983355E-3</v>
      </c>
      <c r="EV86">
        <v>9.7560479999999998E-3</v>
      </c>
      <c r="EW86">
        <v>4.3349030000000002E-4</v>
      </c>
      <c r="EX86">
        <v>5.1021970000000002E-3</v>
      </c>
      <c r="EY86">
        <v>6.4261090000000002E-3</v>
      </c>
      <c r="EZ86">
        <v>1.28359E-3</v>
      </c>
      <c r="FA86">
        <v>7.0715610000000005E-4</v>
      </c>
      <c r="FB86">
        <v>7.2271189999999999E-4</v>
      </c>
      <c r="FC86">
        <v>1.692542E-3</v>
      </c>
      <c r="FD86">
        <v>2.9971259999999998E-4</v>
      </c>
      <c r="FE86">
        <v>2.1995899999999999E-2</v>
      </c>
      <c r="FF86">
        <v>1.4232359999999999E-2</v>
      </c>
      <c r="FG86">
        <v>7.3408550000000003E-3</v>
      </c>
      <c r="FH86">
        <v>8.4848189999999998E-4</v>
      </c>
      <c r="FI86">
        <v>1.1357139999999999E-3</v>
      </c>
      <c r="FJ86">
        <v>1.1815630000000001E-2</v>
      </c>
      <c r="FK86">
        <v>-0.58749692492908401</v>
      </c>
      <c r="FL86">
        <v>-1.74588051489044E-2</v>
      </c>
      <c r="FM86">
        <v>-0.13604926685608901</v>
      </c>
      <c r="FN86">
        <v>-0.66473878834271605</v>
      </c>
      <c r="FO86">
        <v>0.53773687438106699</v>
      </c>
      <c r="FP86">
        <v>-0.24443411022957801</v>
      </c>
      <c r="FQ86">
        <v>-0.30318644507184001</v>
      </c>
      <c r="FR86">
        <v>-0.533938063461874</v>
      </c>
      <c r="FS86">
        <v>-0.66188105593595603</v>
      </c>
      <c r="FT86">
        <v>1.3663095161798601E-2</v>
      </c>
      <c r="FU86">
        <v>0.21592116677988399</v>
      </c>
      <c r="FV86">
        <v>-0.28985002509959701</v>
      </c>
      <c r="FW86">
        <v>0.19243966308083199</v>
      </c>
      <c r="FX86">
        <v>0.21010491040867799</v>
      </c>
      <c r="FY86">
        <v>-0.22476370024391601</v>
      </c>
      <c r="FZ86">
        <v>0.38445146220531501</v>
      </c>
      <c r="GA86">
        <v>7.4295531183460106E-2</v>
      </c>
      <c r="GB86">
        <v>9.8638522972284398E-2</v>
      </c>
      <c r="GC86">
        <v>-0.39666745721562702</v>
      </c>
      <c r="GD86">
        <v>2.5294792794082501E-2</v>
      </c>
      <c r="GE86">
        <v>-5.2538684071931699E-2</v>
      </c>
      <c r="GF86">
        <v>7.5000277967847096E-3</v>
      </c>
      <c r="GG86">
        <v>-0.29078516469708499</v>
      </c>
      <c r="GH86">
        <v>-0.31322333391002399</v>
      </c>
      <c r="GI86">
        <v>-0.101589067220881</v>
      </c>
      <c r="GJ86">
        <v>-0.175355960648793</v>
      </c>
      <c r="GK86">
        <v>-5.8651633739591702E-2</v>
      </c>
      <c r="GL86">
        <v>-4.9185234305428899E-2</v>
      </c>
      <c r="GM86">
        <v>-0.13875159957111199</v>
      </c>
      <c r="GN86">
        <v>6.7677064666641598E-2</v>
      </c>
      <c r="GO86">
        <v>-0.234552358381099</v>
      </c>
      <c r="GP86">
        <v>0.109330776901752</v>
      </c>
      <c r="GR86" s="66"/>
      <c r="GT86" s="66"/>
      <c r="GV86" s="66"/>
      <c r="GW86" s="65"/>
      <c r="GX86" s="65"/>
      <c r="HK86" s="1"/>
      <c r="HL86" s="1"/>
      <c r="HM86" s="65"/>
      <c r="HN86" s="1"/>
      <c r="HO86" s="65"/>
      <c r="HP86" s="65"/>
      <c r="HQ86" s="65"/>
      <c r="HS86" s="65"/>
      <c r="HT86" s="65"/>
      <c r="HU86" s="65"/>
      <c r="HV86" s="65"/>
      <c r="HW86" s="65"/>
      <c r="HX86" s="65"/>
      <c r="IJ86" s="66"/>
      <c r="IL86" s="66"/>
      <c r="IZ86" s="66"/>
      <c r="JB86" s="66"/>
      <c r="JD86" s="66"/>
      <c r="JF86" s="66"/>
      <c r="JH86" s="66"/>
      <c r="JJ86" s="66"/>
      <c r="JL86" s="66"/>
      <c r="JN86" s="66"/>
      <c r="JP86" s="66"/>
      <c r="JR86" s="66"/>
    </row>
    <row r="87" spans="1:278" ht="15.75" x14ac:dyDescent="0.25">
      <c r="A87" s="5" t="s">
        <v>140</v>
      </c>
      <c r="B87" s="5" t="s">
        <v>140</v>
      </c>
      <c r="C87" s="2" t="s">
        <v>867</v>
      </c>
      <c r="D87" s="2" t="s">
        <v>529</v>
      </c>
      <c r="E87" s="2" t="s">
        <v>529</v>
      </c>
      <c r="F87" s="2">
        <v>86</v>
      </c>
      <c r="G87" s="2" t="s">
        <v>866</v>
      </c>
      <c r="H87" s="10" t="s">
        <v>656</v>
      </c>
      <c r="I87" s="2">
        <v>150</v>
      </c>
      <c r="J87" s="2">
        <v>65</v>
      </c>
      <c r="K87" s="13">
        <v>3.25</v>
      </c>
      <c r="L87" t="s">
        <v>313</v>
      </c>
      <c r="M87" s="2" t="s">
        <v>1120</v>
      </c>
      <c r="N87" s="2" t="s">
        <v>436</v>
      </c>
      <c r="O87" s="2" t="s">
        <v>653</v>
      </c>
      <c r="P87" s="2" t="s">
        <v>1124</v>
      </c>
      <c r="Q87" s="9" t="s">
        <v>716</v>
      </c>
      <c r="R87" s="2" t="str">
        <f t="shared" si="73"/>
        <v>CW_2_Section_1</v>
      </c>
      <c r="S87" s="2" t="str">
        <f t="shared" si="74"/>
        <v>CW_2_MF02</v>
      </c>
      <c r="T87" s="11" t="s">
        <v>845</v>
      </c>
      <c r="U87" s="1">
        <v>45706</v>
      </c>
      <c r="V87" s="2" t="s">
        <v>799</v>
      </c>
      <c r="W87" s="2" t="s">
        <v>663</v>
      </c>
      <c r="X87" s="2" t="s">
        <v>844</v>
      </c>
      <c r="Y87" s="2" t="str">
        <f t="shared" si="75"/>
        <v>T3_MF02</v>
      </c>
      <c r="Z87" s="2" t="str">
        <f t="shared" si="76"/>
        <v>T3_CW_2_MF02</v>
      </c>
      <c r="AA87" s="2" t="str">
        <f t="shared" si="77"/>
        <v>T3_0.60-0.80</v>
      </c>
      <c r="AB87" s="2">
        <v>188</v>
      </c>
      <c r="AC87" s="2">
        <v>6.1840000000000002</v>
      </c>
      <c r="AD87" s="2">
        <v>-0.38</v>
      </c>
      <c r="AE87" s="2">
        <v>3</v>
      </c>
      <c r="AF87" t="s">
        <v>43</v>
      </c>
      <c r="AG87" t="s">
        <v>1237</v>
      </c>
      <c r="AH87">
        <v>71</v>
      </c>
      <c r="AI87">
        <v>28</v>
      </c>
      <c r="AJ87">
        <v>1.3</v>
      </c>
      <c r="AK87">
        <v>0.42</v>
      </c>
      <c r="AL87">
        <v>7</v>
      </c>
      <c r="AM87">
        <v>-152</v>
      </c>
      <c r="AN87">
        <v>7.21</v>
      </c>
      <c r="AO87">
        <v>1059</v>
      </c>
      <c r="AP87">
        <v>0.2</v>
      </c>
      <c r="AQ87">
        <v>0.01</v>
      </c>
      <c r="AR87">
        <v>13</v>
      </c>
      <c r="AS87">
        <v>13</v>
      </c>
      <c r="AT87">
        <v>540</v>
      </c>
      <c r="AU87" s="32">
        <f t="shared" si="89"/>
        <v>0.207399820765587</v>
      </c>
      <c r="AV87">
        <v>120</v>
      </c>
      <c r="AW87" s="32">
        <f t="shared" si="90"/>
        <v>4.6885174734100282E-2</v>
      </c>
      <c r="AX87">
        <v>590</v>
      </c>
      <c r="AY87" s="32">
        <f t="shared" si="91"/>
        <v>0.23339926532918903</v>
      </c>
      <c r="AZ87">
        <v>200</v>
      </c>
      <c r="BA87" s="32">
        <f t="shared" si="92"/>
        <v>7.9118395026843744E-2</v>
      </c>
      <c r="BB87">
        <v>340</v>
      </c>
      <c r="BC87" s="32">
        <f t="shared" si="93"/>
        <v>0.13450127154563435</v>
      </c>
      <c r="BD87">
        <v>540</v>
      </c>
      <c r="BF87" s="48">
        <v>1790</v>
      </c>
      <c r="BG87" s="48">
        <f t="shared" si="94"/>
        <v>0.48768426082887634</v>
      </c>
      <c r="BH87">
        <v>4400</v>
      </c>
      <c r="BI87" s="32">
        <f t="shared" si="95"/>
        <v>1.647811500351096</v>
      </c>
      <c r="BJ87" s="47">
        <v>7600</v>
      </c>
      <c r="BK87" s="27">
        <f t="shared" si="96"/>
        <v>2.8462198642428027</v>
      </c>
      <c r="BL87" s="47">
        <v>480</v>
      </c>
      <c r="BM87" s="27">
        <f t="shared" si="97"/>
        <v>0.1766213286024049</v>
      </c>
      <c r="BN87" s="47">
        <v>310</v>
      </c>
      <c r="BO87" s="27">
        <f t="shared" si="98"/>
        <v>0.11659425458789963</v>
      </c>
      <c r="BP87" s="47">
        <v>150</v>
      </c>
      <c r="BQ87" s="27">
        <f t="shared" si="99"/>
        <v>5.594994585489111E-2</v>
      </c>
      <c r="BR87" s="47">
        <v>73</v>
      </c>
      <c r="BS87" s="27">
        <f t="shared" si="100"/>
        <v>2.7032486113448915E-2</v>
      </c>
      <c r="BT87" s="47">
        <v>11</v>
      </c>
      <c r="BU87" s="27">
        <f t="shared" si="101"/>
        <v>4.0733883184649045E-3</v>
      </c>
      <c r="BV87" s="47">
        <v>0.94</v>
      </c>
      <c r="BW87" s="27">
        <f t="shared" si="102"/>
        <v>3.4393077873918414E-4</v>
      </c>
      <c r="BX87" s="47">
        <v>0.77</v>
      </c>
      <c r="BY87" s="27">
        <f t="shared" si="103"/>
        <v>2.8173053152039557E-4</v>
      </c>
      <c r="BZ87" s="51">
        <f t="shared" si="104"/>
        <v>8625.7100000000009</v>
      </c>
      <c r="CA87" s="51">
        <f t="shared" si="105"/>
        <v>1025.71</v>
      </c>
      <c r="CB87" s="27">
        <f t="shared" si="106"/>
        <v>3.227116929030172</v>
      </c>
      <c r="CC87" s="27">
        <f t="shared" si="107"/>
        <v>0.38089706478736901</v>
      </c>
      <c r="CD87">
        <v>6500</v>
      </c>
      <c r="CE87">
        <v>2400</v>
      </c>
      <c r="CF87" t="s">
        <v>19</v>
      </c>
      <c r="CG87">
        <v>8900</v>
      </c>
      <c r="CH87" s="32">
        <v>0.3</v>
      </c>
      <c r="CI87" s="32">
        <f t="shared" si="108"/>
        <v>5.3715308863025958E-3</v>
      </c>
      <c r="CJ87" s="32">
        <f t="shared" si="109"/>
        <v>5.3715308863025958E-3</v>
      </c>
      <c r="CK87" s="32">
        <v>0.7</v>
      </c>
      <c r="CL87" s="32">
        <f t="shared" si="110"/>
        <v>1.2743491716730383E-2</v>
      </c>
      <c r="CM87" s="32">
        <f t="shared" si="111"/>
        <v>2.5486983433460765E-2</v>
      </c>
      <c r="CN87" s="27">
        <v>73</v>
      </c>
      <c r="CO87" s="27">
        <f t="shared" si="112"/>
        <v>0.75994170310222775</v>
      </c>
      <c r="CP87" s="27">
        <f t="shared" si="113"/>
        <v>6.079533624817822</v>
      </c>
      <c r="CQ87" s="57">
        <v>9</v>
      </c>
      <c r="CR87" s="57">
        <v>10.975609756097562</v>
      </c>
      <c r="CS87" s="57">
        <v>0.74953154278575884</v>
      </c>
      <c r="CT87" s="57">
        <f t="shared" si="114"/>
        <v>0.74953154278575884</v>
      </c>
      <c r="CU87" s="28">
        <v>9</v>
      </c>
      <c r="CV87" s="28">
        <v>10.975609756097562</v>
      </c>
      <c r="CW87" s="28">
        <v>0.74953154278575884</v>
      </c>
      <c r="CX87" s="28">
        <f t="shared" si="115"/>
        <v>0.74953154278575884</v>
      </c>
      <c r="CY87" s="32">
        <f t="shared" si="116"/>
        <v>5.2317301686445967</v>
      </c>
      <c r="CZ87" s="32">
        <f t="shared" si="117"/>
        <v>5.2317301686445967</v>
      </c>
      <c r="DA87" s="32">
        <f t="shared" si="118"/>
        <v>5.5317301686445965</v>
      </c>
      <c r="DB87" s="32">
        <f t="shared" si="119"/>
        <v>9.9046198185221063E-2</v>
      </c>
      <c r="DC87" s="32">
        <f t="shared" si="120"/>
        <v>9.9046198185221063E-2</v>
      </c>
      <c r="DD87" s="59">
        <f t="shared" si="121"/>
        <v>5.2317301686445967</v>
      </c>
      <c r="DE87" s="59">
        <f t="shared" si="122"/>
        <v>5.2317301686445967</v>
      </c>
      <c r="DF87" s="59">
        <f t="shared" si="123"/>
        <v>5.5317301686445965</v>
      </c>
      <c r="DG87" s="59">
        <f t="shared" si="124"/>
        <v>9.9046198185221063E-2</v>
      </c>
      <c r="DH87" s="59">
        <f t="shared" si="125"/>
        <v>9.9046198185221063E-2</v>
      </c>
      <c r="DI87" s="32">
        <f t="shared" si="126"/>
        <v>6.079533624817822</v>
      </c>
      <c r="DJ87" s="32">
        <f t="shared" si="127"/>
        <v>6.2317301686445967</v>
      </c>
      <c r="DK87" s="32">
        <f t="shared" si="128"/>
        <v>0.12453318161868182</v>
      </c>
      <c r="DL87">
        <f t="shared" si="129"/>
        <v>0.87406472440444061</v>
      </c>
      <c r="DM87">
        <f t="shared" si="78"/>
        <v>2.9159148884342369E-2</v>
      </c>
      <c r="DN87">
        <f t="shared" si="79"/>
        <v>0.11331677783096433</v>
      </c>
      <c r="DO87">
        <f t="shared" si="80"/>
        <v>0.85752407328469338</v>
      </c>
      <c r="DP87">
        <f t="shared" si="130"/>
        <v>0.87406472440444061</v>
      </c>
      <c r="DQ87">
        <f t="shared" si="81"/>
        <v>2.9159148884342369E-2</v>
      </c>
      <c r="DR87">
        <f t="shared" si="82"/>
        <v>0.11331677783096433</v>
      </c>
      <c r="DS87">
        <f t="shared" si="83"/>
        <v>0.85752407328469338</v>
      </c>
      <c r="DT87" s="63">
        <f t="shared" si="84"/>
        <v>1.2614310367755319</v>
      </c>
      <c r="DU87" s="63">
        <f t="shared" si="85"/>
        <v>1.2614310367755319</v>
      </c>
      <c r="DV87" s="63">
        <f t="shared" si="86"/>
        <v>1.6423281015629008</v>
      </c>
      <c r="DW87" s="63">
        <f t="shared" si="87"/>
        <v>1.6423281015629008</v>
      </c>
      <c r="DX87" t="str">
        <f t="shared" si="131"/>
        <v>Insufficient Capacity</v>
      </c>
      <c r="DY87" t="str">
        <f t="shared" si="132"/>
        <v>Insufficient Capacity</v>
      </c>
      <c r="DZ87" t="str">
        <f t="shared" si="133"/>
        <v>Sulfate Dominant electron acceptor</v>
      </c>
      <c r="EA87" t="str">
        <f t="shared" si="88"/>
        <v>Sulfate Dominant electron acceptor</v>
      </c>
      <c r="EB87">
        <v>1.024595E-2</v>
      </c>
      <c r="EC87">
        <v>1.8833879999999999E-3</v>
      </c>
      <c r="ED87" s="66">
        <v>5.1858200000000003E-7</v>
      </c>
      <c r="EE87">
        <v>2.2288869999999999E-4</v>
      </c>
      <c r="EF87">
        <v>3.0425579999999999E-3</v>
      </c>
      <c r="EG87" s="66">
        <v>6.6752610000000003E-6</v>
      </c>
      <c r="EH87" s="66">
        <v>8.6170680000000004E-5</v>
      </c>
      <c r="EI87" s="66">
        <v>4.9088319999999997E-5</v>
      </c>
      <c r="EJ87">
        <v>2.6159410000000001E-4</v>
      </c>
      <c r="EK87">
        <v>3.9890630000000003E-4</v>
      </c>
      <c r="EL87">
        <v>3.0156600000000002E-4</v>
      </c>
      <c r="EM87" s="66">
        <v>9.8067900000000003E-5</v>
      </c>
      <c r="EN87">
        <v>1.834331E-3</v>
      </c>
      <c r="EO87">
        <v>6.8449649999999999E-4</v>
      </c>
      <c r="EP87">
        <v>1.252024E-3</v>
      </c>
      <c r="EQ87">
        <v>1.8409019999999999E-3</v>
      </c>
      <c r="ER87">
        <v>2.7875959999999999E-4</v>
      </c>
      <c r="ES87">
        <v>4.4949440000000002E-4</v>
      </c>
      <c r="ET87">
        <v>7.3888039999999997E-3</v>
      </c>
      <c r="EU87">
        <v>2.6154049999999999E-3</v>
      </c>
      <c r="EV87">
        <v>1.0270369999999999E-2</v>
      </c>
      <c r="EW87">
        <v>5.6834620000000002E-4</v>
      </c>
      <c r="EX87">
        <v>5.9459480000000004E-3</v>
      </c>
      <c r="EY87">
        <v>7.3685519999999996E-3</v>
      </c>
      <c r="EZ87">
        <v>7.6632640000000004E-4</v>
      </c>
      <c r="FA87">
        <v>4.3462410000000003E-4</v>
      </c>
      <c r="FB87">
        <v>4.5111480000000002E-4</v>
      </c>
      <c r="FC87">
        <v>1.4678930000000001E-3</v>
      </c>
      <c r="FD87">
        <v>1.784081E-4</v>
      </c>
      <c r="FE87">
        <v>2.026992E-2</v>
      </c>
      <c r="FF87">
        <v>2.2096850000000001E-2</v>
      </c>
      <c r="FG87">
        <v>1.083951E-2</v>
      </c>
      <c r="FH87">
        <v>1.010698E-3</v>
      </c>
      <c r="FI87">
        <v>1.024977E-3</v>
      </c>
      <c r="FJ87">
        <v>1.51272E-2</v>
      </c>
      <c r="FK87">
        <v>-0.94372477453928605</v>
      </c>
      <c r="FL87">
        <v>-0.41344651111324598</v>
      </c>
      <c r="FM87">
        <v>-0.59337432805534995</v>
      </c>
      <c r="FN87">
        <v>-1.23724217455378</v>
      </c>
      <c r="FO87">
        <v>-0.48055985047623601</v>
      </c>
      <c r="FP87">
        <v>-0.525192938498657</v>
      </c>
      <c r="FQ87">
        <v>-0.58956554619569701</v>
      </c>
      <c r="FR87">
        <v>-0.412681976620765</v>
      </c>
      <c r="FS87">
        <v>-0.96395991780870804</v>
      </c>
      <c r="FT87">
        <v>-0.103091425711312</v>
      </c>
      <c r="FU87">
        <v>-0.17610036908371099</v>
      </c>
      <c r="FV87">
        <v>-0.525900724924527</v>
      </c>
      <c r="FW87">
        <v>0.42106059163121601</v>
      </c>
      <c r="FX87">
        <v>-0.35144042805001002</v>
      </c>
      <c r="FY87">
        <v>-0.43760660092646098</v>
      </c>
      <c r="FZ87">
        <v>-0.16104098402452399</v>
      </c>
      <c r="GA87">
        <v>-5.7334013736756603E-2</v>
      </c>
      <c r="GB87">
        <v>0.150014173136889</v>
      </c>
      <c r="GC87">
        <v>-0.12580613708721999</v>
      </c>
      <c r="GD87">
        <v>0.178333540673624</v>
      </c>
      <c r="GE87">
        <v>8.4313307751293601E-2</v>
      </c>
      <c r="GF87">
        <v>-0.50830790217737598</v>
      </c>
      <c r="GG87">
        <v>-0.77755507872664797</v>
      </c>
      <c r="GH87">
        <v>-0.78451214552753401</v>
      </c>
      <c r="GI87">
        <v>-0.243992568826704</v>
      </c>
      <c r="GJ87">
        <v>-0.69410635342707006</v>
      </c>
      <c r="GK87">
        <v>-0.14036969235685201</v>
      </c>
      <c r="GL87">
        <v>0.39073158496946903</v>
      </c>
      <c r="GM87">
        <v>0.250990871610479</v>
      </c>
      <c r="GN87">
        <v>0.24262477223392201</v>
      </c>
      <c r="GO87">
        <v>-0.337143713105444</v>
      </c>
      <c r="GP87">
        <v>0.35640199352107998</v>
      </c>
      <c r="GY87" s="65"/>
      <c r="HK87" s="1"/>
      <c r="HL87" s="1"/>
      <c r="HM87" s="65"/>
      <c r="HN87" s="1"/>
      <c r="HO87" s="65"/>
      <c r="HS87" s="65"/>
      <c r="HV87" s="65"/>
      <c r="HW87" s="65"/>
      <c r="HX87" s="65"/>
    </row>
    <row r="88" spans="1:278" ht="15.75" x14ac:dyDescent="0.25">
      <c r="A88" s="5" t="s">
        <v>141</v>
      </c>
      <c r="B88" s="5" t="s">
        <v>141</v>
      </c>
      <c r="C88" s="2" t="s">
        <v>869</v>
      </c>
      <c r="D88" s="2" t="s">
        <v>530</v>
      </c>
      <c r="E88" s="2" t="s">
        <v>530</v>
      </c>
      <c r="F88" s="2">
        <v>87</v>
      </c>
      <c r="G88" s="2" t="s">
        <v>868</v>
      </c>
      <c r="H88" s="10" t="s">
        <v>656</v>
      </c>
      <c r="I88" s="2">
        <v>150</v>
      </c>
      <c r="J88" s="2">
        <v>65</v>
      </c>
      <c r="K88" s="13">
        <v>8</v>
      </c>
      <c r="L88" t="s">
        <v>314</v>
      </c>
      <c r="M88" s="2" t="s">
        <v>1120</v>
      </c>
      <c r="N88" s="2" t="s">
        <v>436</v>
      </c>
      <c r="O88" s="2" t="s">
        <v>666</v>
      </c>
      <c r="P88" s="2" t="s">
        <v>1131</v>
      </c>
      <c r="Q88" s="9" t="s">
        <v>719</v>
      </c>
      <c r="R88" s="2" t="str">
        <f t="shared" si="73"/>
        <v>CW_2_Section_2</v>
      </c>
      <c r="S88" s="2" t="str">
        <f t="shared" si="74"/>
        <v>CW_2_MF05</v>
      </c>
      <c r="T88" s="11" t="s">
        <v>845</v>
      </c>
      <c r="U88" s="1">
        <v>45706</v>
      </c>
      <c r="V88" s="2" t="s">
        <v>799</v>
      </c>
      <c r="W88" s="2" t="s">
        <v>655</v>
      </c>
      <c r="X88" s="2" t="s">
        <v>844</v>
      </c>
      <c r="Y88" s="2" t="str">
        <f t="shared" si="75"/>
        <v>T3_MF05</v>
      </c>
      <c r="Z88" s="2" t="str">
        <f t="shared" si="76"/>
        <v>T3_CW_2_MF05</v>
      </c>
      <c r="AA88" s="2" t="str">
        <f t="shared" si="77"/>
        <v>T3_0.15-0.30</v>
      </c>
      <c r="AB88" s="2">
        <v>188</v>
      </c>
      <c r="AC88" s="2">
        <v>6.1840000000000002</v>
      </c>
      <c r="AD88" s="2">
        <v>-0.38</v>
      </c>
      <c r="AE88" s="2">
        <v>3</v>
      </c>
      <c r="AF88" t="s">
        <v>35</v>
      </c>
      <c r="AG88" t="s">
        <v>1237</v>
      </c>
      <c r="AH88">
        <v>60</v>
      </c>
      <c r="AI88">
        <v>14</v>
      </c>
      <c r="AJ88">
        <v>2.2999999999999998</v>
      </c>
      <c r="AK88">
        <v>0.61</v>
      </c>
      <c r="AL88">
        <v>7.2</v>
      </c>
      <c r="AM88">
        <v>-135</v>
      </c>
      <c r="AN88">
        <v>7.08</v>
      </c>
      <c r="AO88">
        <v>920</v>
      </c>
      <c r="AP88">
        <v>0.1</v>
      </c>
      <c r="AQ88">
        <v>0.01</v>
      </c>
      <c r="AR88">
        <v>14</v>
      </c>
      <c r="AS88">
        <v>14</v>
      </c>
      <c r="AT88">
        <v>180</v>
      </c>
      <c r="AU88" s="32">
        <f t="shared" si="89"/>
        <v>6.9133273588528998E-2</v>
      </c>
      <c r="AV88">
        <v>1.8</v>
      </c>
      <c r="AW88" s="32">
        <f t="shared" si="90"/>
        <v>7.0327762101150425E-4</v>
      </c>
      <c r="AX88">
        <v>30</v>
      </c>
      <c r="AY88" s="32">
        <f t="shared" si="91"/>
        <v>1.1867759254026562E-2</v>
      </c>
      <c r="AZ88">
        <v>15</v>
      </c>
      <c r="BA88" s="32">
        <f t="shared" si="92"/>
        <v>5.9338796270132811E-3</v>
      </c>
      <c r="BB88">
        <v>9.9</v>
      </c>
      <c r="BC88" s="32">
        <f t="shared" si="93"/>
        <v>3.9163605538287656E-3</v>
      </c>
      <c r="BD88">
        <v>24.9</v>
      </c>
      <c r="BF88" s="48">
        <v>236.7</v>
      </c>
      <c r="BG88" s="48">
        <f t="shared" si="94"/>
        <v>8.1704310463567076E-2</v>
      </c>
      <c r="BH88">
        <v>19</v>
      </c>
      <c r="BI88" s="32">
        <f t="shared" si="95"/>
        <v>7.1155496606070054E-3</v>
      </c>
      <c r="BJ88" s="47">
        <v>13</v>
      </c>
      <c r="BK88" s="27">
        <f t="shared" si="96"/>
        <v>4.8685339783100566E-3</v>
      </c>
      <c r="BL88" s="47">
        <v>0.18</v>
      </c>
      <c r="BM88" s="27">
        <f t="shared" si="97"/>
        <v>6.6232998225901826E-5</v>
      </c>
      <c r="BN88" s="47">
        <v>0.01</v>
      </c>
      <c r="BO88" s="27">
        <f t="shared" si="98"/>
        <v>3.7611049867064394E-6</v>
      </c>
      <c r="BP88" s="47">
        <v>5.0000000000000001E-3</v>
      </c>
      <c r="BQ88" s="27">
        <f t="shared" si="99"/>
        <v>1.8649981951630372E-6</v>
      </c>
      <c r="BR88" s="47">
        <v>1E-3</v>
      </c>
      <c r="BS88" s="27">
        <f t="shared" si="100"/>
        <v>3.7030802895135499E-7</v>
      </c>
      <c r="BT88" s="47">
        <v>1E-3</v>
      </c>
      <c r="BU88" s="27">
        <f t="shared" si="101"/>
        <v>3.7030802895135499E-7</v>
      </c>
      <c r="BV88" s="47">
        <v>1E-3</v>
      </c>
      <c r="BW88" s="27">
        <f t="shared" si="102"/>
        <v>3.6588380716934485E-7</v>
      </c>
      <c r="BX88" s="47">
        <v>2E-3</v>
      </c>
      <c r="BY88" s="27">
        <f t="shared" si="103"/>
        <v>7.3176761433868969E-7</v>
      </c>
      <c r="BZ88" s="51">
        <f t="shared" si="104"/>
        <v>13.2</v>
      </c>
      <c r="CA88" s="51">
        <f t="shared" si="105"/>
        <v>0.2</v>
      </c>
      <c r="CB88" s="27">
        <f t="shared" si="106"/>
        <v>4.9422313471972389E-3</v>
      </c>
      <c r="CC88" s="27">
        <f t="shared" si="107"/>
        <v>7.3697368887182054E-5</v>
      </c>
      <c r="CD88">
        <v>2.5</v>
      </c>
      <c r="CE88">
        <v>2.5</v>
      </c>
      <c r="CF88" t="s">
        <v>19</v>
      </c>
      <c r="CG88">
        <v>50</v>
      </c>
      <c r="CH88" s="32">
        <v>31</v>
      </c>
      <c r="CI88" s="32">
        <f t="shared" si="108"/>
        <v>0.55505819158460157</v>
      </c>
      <c r="CJ88" s="32">
        <f t="shared" si="109"/>
        <v>0.55505819158460157</v>
      </c>
      <c r="CK88" s="32">
        <v>5.6</v>
      </c>
      <c r="CL88" s="32">
        <f t="shared" si="110"/>
        <v>0.10194793373384306</v>
      </c>
      <c r="CM88" s="32">
        <f t="shared" si="111"/>
        <v>0.20389586746768612</v>
      </c>
      <c r="CN88" s="27">
        <v>6.2</v>
      </c>
      <c r="CO88" s="27">
        <f t="shared" si="112"/>
        <v>6.4542993962107012E-2</v>
      </c>
      <c r="CP88" s="27">
        <f t="shared" si="113"/>
        <v>0.5163439516968561</v>
      </c>
      <c r="CQ88" s="57">
        <v>75.8</v>
      </c>
      <c r="CR88" s="57">
        <v>92.439024390243901</v>
      </c>
      <c r="CS88" s="57">
        <v>6.3127212159067243</v>
      </c>
      <c r="CT88" s="57">
        <f t="shared" si="114"/>
        <v>6.3127212159067243</v>
      </c>
      <c r="CU88" s="28">
        <v>61.8</v>
      </c>
      <c r="CV88" s="28">
        <v>90.882352941176464</v>
      </c>
      <c r="CW88" s="28">
        <v>5.146783260462211</v>
      </c>
      <c r="CX88" s="28">
        <f t="shared" si="115"/>
        <v>5.146783260462211</v>
      </c>
      <c r="CY88" s="32">
        <f t="shared" si="116"/>
        <v>44.062794087028934</v>
      </c>
      <c r="CZ88" s="32">
        <f t="shared" si="117"/>
        <v>44.062794087028934</v>
      </c>
      <c r="DA88" s="32">
        <f t="shared" si="118"/>
        <v>75.062794087028934</v>
      </c>
      <c r="DB88" s="32">
        <f t="shared" si="119"/>
        <v>1.344007056168826</v>
      </c>
      <c r="DC88" s="32">
        <f t="shared" si="120"/>
        <v>1.344007056168826</v>
      </c>
      <c r="DD88" s="59">
        <f t="shared" si="121"/>
        <v>35.924547158026229</v>
      </c>
      <c r="DE88" s="59">
        <f t="shared" si="122"/>
        <v>35.924547158026229</v>
      </c>
      <c r="DF88" s="59">
        <f t="shared" si="123"/>
        <v>66.924547158026229</v>
      </c>
      <c r="DG88" s="59">
        <f t="shared" si="124"/>
        <v>1.198290907037175</v>
      </c>
      <c r="DH88" s="59">
        <f t="shared" si="125"/>
        <v>1.198290907037175</v>
      </c>
      <c r="DI88" s="32">
        <f t="shared" si="126"/>
        <v>0.5163439516968561</v>
      </c>
      <c r="DJ88" s="32">
        <f t="shared" si="127"/>
        <v>72.524547158026223</v>
      </c>
      <c r="DK88" s="32">
        <f t="shared" si="128"/>
        <v>1.4021867745048611</v>
      </c>
      <c r="DL88">
        <f t="shared" si="129"/>
        <v>7.8606241395432361</v>
      </c>
      <c r="DM88">
        <f t="shared" si="78"/>
        <v>2.5938890328311013E-2</v>
      </c>
      <c r="DN88">
        <f t="shared" si="79"/>
        <v>0.17097968714821712</v>
      </c>
      <c r="DO88">
        <f t="shared" si="80"/>
        <v>0.80308142252347192</v>
      </c>
      <c r="DP88">
        <f t="shared" si="130"/>
        <v>6.5489700349670716</v>
      </c>
      <c r="DQ88">
        <f t="shared" si="81"/>
        <v>3.1134035791738252E-2</v>
      </c>
      <c r="DR88">
        <f t="shared" si="82"/>
        <v>0.18297394867270911</v>
      </c>
      <c r="DS88">
        <f t="shared" si="83"/>
        <v>0.78589201553555266</v>
      </c>
      <c r="DT88" s="63">
        <f t="shared" si="84"/>
        <v>-7.7718042794190616</v>
      </c>
      <c r="DU88" s="63">
        <f t="shared" si="85"/>
        <v>-6.460150174842898</v>
      </c>
      <c r="DV88" s="63">
        <f t="shared" si="86"/>
        <v>-7.771730582050175</v>
      </c>
      <c r="DW88" s="63">
        <f t="shared" si="87"/>
        <v>-6.4600764774740105</v>
      </c>
      <c r="DX88" t="str">
        <f t="shared" si="131"/>
        <v>Sufficient Capacity</v>
      </c>
      <c r="DY88" t="str">
        <f t="shared" si="132"/>
        <v>Sufficient Capacity</v>
      </c>
      <c r="DZ88" t="str">
        <f t="shared" si="133"/>
        <v>Sulfate Dominant electron acceptor</v>
      </c>
      <c r="EA88" t="str">
        <f t="shared" si="88"/>
        <v>Sulfate Dominant electron acceptor</v>
      </c>
      <c r="EB88">
        <v>9.7266569999999997E-3</v>
      </c>
      <c r="EC88">
        <v>1.149424E-3</v>
      </c>
      <c r="ED88" s="66">
        <v>5.1855739999999997E-6</v>
      </c>
      <c r="EE88">
        <v>4.690098E-4</v>
      </c>
      <c r="EF88">
        <v>3.704021E-3</v>
      </c>
      <c r="EG88" s="66">
        <v>2.0096589999999999E-5</v>
      </c>
      <c r="EH88">
        <v>2.320663E-4</v>
      </c>
      <c r="EI88">
        <v>1.4343299999999999E-4</v>
      </c>
      <c r="EJ88">
        <v>3.4624010000000003E-4</v>
      </c>
      <c r="EK88">
        <v>6.6687750000000003E-4</v>
      </c>
      <c r="EL88">
        <v>2.555686E-4</v>
      </c>
      <c r="EM88">
        <v>1.6947490000000001E-4</v>
      </c>
      <c r="EN88">
        <v>2.0331590000000001E-3</v>
      </c>
      <c r="EO88">
        <v>8.2555949999999997E-4</v>
      </c>
      <c r="EP88">
        <v>2.0174210000000001E-3</v>
      </c>
      <c r="EQ88">
        <v>1.5492279999999999E-3</v>
      </c>
      <c r="ER88">
        <v>2.9065329999999998E-4</v>
      </c>
      <c r="ES88">
        <v>6.6596669999999995E-4</v>
      </c>
      <c r="ET88">
        <v>1.9163800000000002E-2</v>
      </c>
      <c r="EU88">
        <v>3.3575599999999999E-3</v>
      </c>
      <c r="EV88">
        <v>1.0251430000000001E-2</v>
      </c>
      <c r="EW88">
        <v>5.3772830000000001E-4</v>
      </c>
      <c r="EX88">
        <v>4.6871539999999998E-3</v>
      </c>
      <c r="EY88">
        <v>6.0054110000000004E-3</v>
      </c>
      <c r="EZ88">
        <v>1.1922840000000001E-3</v>
      </c>
      <c r="FA88">
        <v>8.8754429999999998E-4</v>
      </c>
      <c r="FB88">
        <v>9.2630139999999995E-4</v>
      </c>
      <c r="FC88">
        <v>1.7845459999999999E-3</v>
      </c>
      <c r="FD88">
        <v>3.851444E-4</v>
      </c>
      <c r="FE88">
        <v>1.9477649999999999E-2</v>
      </c>
      <c r="FF88">
        <v>9.9259900000000009E-3</v>
      </c>
      <c r="FG88">
        <v>5.5422880000000002E-3</v>
      </c>
      <c r="FH88">
        <v>4.9804160000000005E-4</v>
      </c>
      <c r="FI88">
        <v>1.370392E-3</v>
      </c>
      <c r="FJ88">
        <v>7.4492860000000003E-3</v>
      </c>
      <c r="FK88">
        <v>-0.19977365451660101</v>
      </c>
      <c r="FL88">
        <v>-0.21672613376712799</v>
      </c>
      <c r="FM88">
        <v>0.50876751623042304</v>
      </c>
      <c r="FN88">
        <v>-0.246549048449592</v>
      </c>
      <c r="FO88">
        <v>0.59168705210911399</v>
      </c>
      <c r="FP88">
        <v>-0.244854539275521</v>
      </c>
      <c r="FQ88">
        <v>-7.5685727536798794E-2</v>
      </c>
      <c r="FR88">
        <v>-0.57818000754772603</v>
      </c>
      <c r="FS88">
        <v>-0.41691518044811399</v>
      </c>
      <c r="FT88">
        <v>-1.8052195602713501E-4</v>
      </c>
      <c r="FU88">
        <v>1.12774377136802E-2</v>
      </c>
      <c r="FV88">
        <v>-4.8842203725467201E-2</v>
      </c>
      <c r="FW88">
        <v>0.248561665076004</v>
      </c>
      <c r="FX88">
        <v>-0.30965904174825898</v>
      </c>
      <c r="FY88">
        <v>-4.4490327183198501E-2</v>
      </c>
      <c r="FZ88">
        <v>0.79201621716949899</v>
      </c>
      <c r="GA88">
        <v>0.19246154471624199</v>
      </c>
      <c r="GB88">
        <v>0.14816833063013099</v>
      </c>
      <c r="GC88">
        <v>-0.18118346316706299</v>
      </c>
      <c r="GD88">
        <v>-5.9550863250141403E-2</v>
      </c>
      <c r="GE88">
        <v>-0.12024701080820099</v>
      </c>
      <c r="GF88">
        <v>-6.6290016538972402E-2</v>
      </c>
      <c r="GG88">
        <v>-6.3578162705090896E-2</v>
      </c>
      <c r="GH88">
        <v>-6.5034330445322502E-2</v>
      </c>
      <c r="GI88">
        <v>-4.8656566934605301E-2</v>
      </c>
      <c r="GJ88">
        <v>7.5438352773867096E-2</v>
      </c>
      <c r="GK88">
        <v>-0.18024005170677601</v>
      </c>
      <c r="GL88">
        <v>-0.40954690974908597</v>
      </c>
      <c r="GM88">
        <v>-0.41979950853775899</v>
      </c>
      <c r="GN88">
        <v>-0.46508808034576399</v>
      </c>
      <c r="GO88">
        <v>-4.6717056120550098E-2</v>
      </c>
      <c r="GP88">
        <v>-0.35197426549134297</v>
      </c>
      <c r="GR88" s="66"/>
      <c r="GT88" s="66"/>
      <c r="GV88" s="66"/>
      <c r="GZ88" s="66"/>
      <c r="HK88" s="1"/>
      <c r="HL88" s="1"/>
      <c r="HM88" s="1"/>
      <c r="HN88" s="1"/>
      <c r="HO88" s="65"/>
      <c r="HP88" s="65"/>
      <c r="HQ88" s="65"/>
      <c r="HS88" s="65"/>
      <c r="HT88" s="65"/>
      <c r="HU88" s="65"/>
      <c r="HV88" s="65"/>
      <c r="HW88" s="65"/>
      <c r="HX88" s="65"/>
      <c r="JB88" s="66"/>
      <c r="JD88" s="66"/>
      <c r="JF88" s="66"/>
      <c r="JH88" s="66"/>
      <c r="JJ88" s="66"/>
      <c r="JL88" s="66"/>
      <c r="JN88" s="66"/>
    </row>
    <row r="89" spans="1:278" ht="15.75" x14ac:dyDescent="0.25">
      <c r="A89" s="5" t="s">
        <v>142</v>
      </c>
      <c r="B89" s="5" t="s">
        <v>142</v>
      </c>
      <c r="C89" s="2" t="s">
        <v>871</v>
      </c>
      <c r="D89" s="2" t="s">
        <v>531</v>
      </c>
      <c r="E89" s="2" t="s">
        <v>531</v>
      </c>
      <c r="F89" s="2">
        <v>88</v>
      </c>
      <c r="G89" s="2" t="s">
        <v>870</v>
      </c>
      <c r="H89" s="10" t="s">
        <v>656</v>
      </c>
      <c r="I89" s="2">
        <v>150</v>
      </c>
      <c r="J89" s="2">
        <v>65</v>
      </c>
      <c r="K89" s="13">
        <v>4.45</v>
      </c>
      <c r="L89" t="s">
        <v>315</v>
      </c>
      <c r="M89" s="2" t="s">
        <v>1120</v>
      </c>
      <c r="N89" s="2" t="s">
        <v>436</v>
      </c>
      <c r="O89" s="2" t="s">
        <v>666</v>
      </c>
      <c r="P89" s="2" t="s">
        <v>1132</v>
      </c>
      <c r="Q89" s="9" t="s">
        <v>722</v>
      </c>
      <c r="R89" s="2" t="str">
        <f t="shared" si="73"/>
        <v>CW_2_Section_2</v>
      </c>
      <c r="S89" s="2" t="str">
        <f t="shared" si="74"/>
        <v>CW_2_MF06</v>
      </c>
      <c r="T89" s="11" t="s">
        <v>845</v>
      </c>
      <c r="U89" s="1">
        <v>45706</v>
      </c>
      <c r="V89" s="2" t="s">
        <v>799</v>
      </c>
      <c r="W89" s="2" t="s">
        <v>663</v>
      </c>
      <c r="X89" s="2" t="s">
        <v>844</v>
      </c>
      <c r="Y89" s="2" t="str">
        <f t="shared" si="75"/>
        <v>T3_MF06</v>
      </c>
      <c r="Z89" s="2" t="str">
        <f t="shared" si="76"/>
        <v>T3_CW_2_MF06</v>
      </c>
      <c r="AA89" s="2" t="str">
        <f t="shared" si="77"/>
        <v>T3_0.60-0.80</v>
      </c>
      <c r="AB89" s="2">
        <v>188</v>
      </c>
      <c r="AC89" s="2">
        <v>6.1840000000000002</v>
      </c>
      <c r="AD89" s="2">
        <v>-0.38</v>
      </c>
      <c r="AE89" s="2">
        <v>3</v>
      </c>
      <c r="AF89" t="s">
        <v>37</v>
      </c>
      <c r="AG89" t="s">
        <v>1237</v>
      </c>
      <c r="AH89">
        <v>68</v>
      </c>
      <c r="AI89">
        <v>25</v>
      </c>
      <c r="AJ89">
        <v>1.4</v>
      </c>
      <c r="AK89">
        <v>0.42</v>
      </c>
      <c r="AL89">
        <v>7.4</v>
      </c>
      <c r="AM89">
        <v>-138</v>
      </c>
      <c r="AN89">
        <v>7.08</v>
      </c>
      <c r="AO89">
        <v>110</v>
      </c>
      <c r="AP89">
        <v>0.2</v>
      </c>
      <c r="AQ89">
        <v>0.01</v>
      </c>
      <c r="AR89">
        <v>11</v>
      </c>
      <c r="AS89">
        <v>11</v>
      </c>
      <c r="AT89">
        <v>710</v>
      </c>
      <c r="AU89" s="32">
        <f t="shared" si="89"/>
        <v>0.27269235693253108</v>
      </c>
      <c r="AV89">
        <v>2</v>
      </c>
      <c r="AW89" s="32">
        <f t="shared" si="90"/>
        <v>7.8141957890167139E-4</v>
      </c>
      <c r="AX89">
        <v>710</v>
      </c>
      <c r="AY89" s="32">
        <f t="shared" si="91"/>
        <v>0.28087030234529531</v>
      </c>
      <c r="AZ89">
        <v>250</v>
      </c>
      <c r="BA89" s="32">
        <f t="shared" si="92"/>
        <v>9.8897993783554669E-2</v>
      </c>
      <c r="BB89">
        <v>300</v>
      </c>
      <c r="BC89" s="32">
        <f t="shared" si="93"/>
        <v>0.11867759254026561</v>
      </c>
      <c r="BD89">
        <v>550</v>
      </c>
      <c r="BF89" s="48">
        <v>1984</v>
      </c>
      <c r="BG89" s="48">
        <f t="shared" si="94"/>
        <v>0.55434407885672798</v>
      </c>
      <c r="BH89">
        <v>3900</v>
      </c>
      <c r="BI89" s="32">
        <f t="shared" si="95"/>
        <v>1.460560193493017</v>
      </c>
      <c r="BJ89" s="47">
        <v>3600</v>
      </c>
      <c r="BK89" s="27">
        <f t="shared" si="96"/>
        <v>1.3482094093781698</v>
      </c>
      <c r="BL89" s="47">
        <v>170</v>
      </c>
      <c r="BM89" s="27">
        <f t="shared" si="97"/>
        <v>6.2553387213351727E-2</v>
      </c>
      <c r="BN89" s="47">
        <v>91</v>
      </c>
      <c r="BO89" s="27">
        <f t="shared" si="98"/>
        <v>3.4226055379028592E-2</v>
      </c>
      <c r="BP89" s="47">
        <v>39</v>
      </c>
      <c r="BQ89" s="27">
        <f t="shared" si="99"/>
        <v>1.4546985922271688E-2</v>
      </c>
      <c r="BR89" s="47">
        <v>15</v>
      </c>
      <c r="BS89" s="27">
        <f t="shared" si="100"/>
        <v>5.5546204342703251E-3</v>
      </c>
      <c r="BT89" s="47">
        <v>0.7</v>
      </c>
      <c r="BU89" s="27">
        <f t="shared" si="101"/>
        <v>2.5921562026594844E-4</v>
      </c>
      <c r="BV89" s="47">
        <v>7.0000000000000007E-2</v>
      </c>
      <c r="BW89" s="27">
        <f t="shared" si="102"/>
        <v>2.5611866501854141E-5</v>
      </c>
      <c r="BX89" s="47">
        <v>0.05</v>
      </c>
      <c r="BY89" s="27">
        <f t="shared" si="103"/>
        <v>1.8294190358467248E-5</v>
      </c>
      <c r="BZ89" s="51">
        <f t="shared" si="104"/>
        <v>3915.82</v>
      </c>
      <c r="CA89" s="51">
        <f t="shared" si="105"/>
        <v>315.82</v>
      </c>
      <c r="CB89" s="27">
        <f t="shared" si="106"/>
        <v>1.4653935800042182</v>
      </c>
      <c r="CC89" s="27">
        <f t="shared" si="107"/>
        <v>0.11718417062604859</v>
      </c>
      <c r="CD89">
        <v>5300</v>
      </c>
      <c r="CE89">
        <v>1400</v>
      </c>
      <c r="CF89" t="s">
        <v>19</v>
      </c>
      <c r="CG89">
        <v>6700</v>
      </c>
      <c r="CH89" s="32">
        <v>2.7</v>
      </c>
      <c r="CI89" s="32">
        <f t="shared" si="108"/>
        <v>4.8343777976723366E-2</v>
      </c>
      <c r="CJ89" s="32">
        <f t="shared" si="109"/>
        <v>4.8343777976723366E-2</v>
      </c>
      <c r="CK89" s="32">
        <v>1.7</v>
      </c>
      <c r="CL89" s="32">
        <f t="shared" si="110"/>
        <v>3.0948479883488075E-2</v>
      </c>
      <c r="CM89" s="32">
        <f t="shared" si="111"/>
        <v>6.1896959766976151E-2</v>
      </c>
      <c r="CN89" s="27">
        <v>47</v>
      </c>
      <c r="CO89" s="27">
        <f t="shared" si="112"/>
        <v>0.48927753487403702</v>
      </c>
      <c r="CP89" s="27">
        <f t="shared" si="113"/>
        <v>3.9142202789922962</v>
      </c>
      <c r="CQ89" s="57">
        <v>35</v>
      </c>
      <c r="CR89" s="57">
        <v>42.68292682926829</v>
      </c>
      <c r="CS89" s="57">
        <v>2.9148448886112845</v>
      </c>
      <c r="CT89" s="57">
        <f t="shared" si="114"/>
        <v>2.9148448886112845</v>
      </c>
      <c r="CU89" s="28">
        <v>26</v>
      </c>
      <c r="CV89" s="28">
        <v>35.61643835616438</v>
      </c>
      <c r="CW89" s="28">
        <v>2.1653133458255258</v>
      </c>
      <c r="CX89" s="28">
        <f t="shared" si="115"/>
        <v>2.1653133458255258</v>
      </c>
      <c r="CY89" s="32">
        <f t="shared" si="116"/>
        <v>20.345617322506765</v>
      </c>
      <c r="CZ89" s="32">
        <f t="shared" si="117"/>
        <v>20.345617322506765</v>
      </c>
      <c r="DA89" s="32">
        <f t="shared" si="118"/>
        <v>23.045617322506764</v>
      </c>
      <c r="DB89" s="32">
        <f t="shared" si="119"/>
        <v>0.41263415080585075</v>
      </c>
      <c r="DC89" s="32">
        <f t="shared" si="120"/>
        <v>0.41263415080585075</v>
      </c>
      <c r="DD89" s="59">
        <f t="shared" si="121"/>
        <v>15.113887153862169</v>
      </c>
      <c r="DE89" s="59">
        <f t="shared" si="122"/>
        <v>15.113887153862169</v>
      </c>
      <c r="DF89" s="59">
        <f t="shared" si="123"/>
        <v>17.813887153862169</v>
      </c>
      <c r="DG89" s="59">
        <f t="shared" si="124"/>
        <v>0.31895948350693226</v>
      </c>
      <c r="DH89" s="59">
        <f t="shared" si="125"/>
        <v>0.31895948350693226</v>
      </c>
      <c r="DI89" s="32">
        <f t="shared" si="126"/>
        <v>3.9142202789922962</v>
      </c>
      <c r="DJ89" s="32">
        <f t="shared" si="127"/>
        <v>19.513887153862168</v>
      </c>
      <c r="DK89" s="32">
        <f t="shared" si="128"/>
        <v>0.38085644327390844</v>
      </c>
      <c r="DL89">
        <f t="shared" si="129"/>
        <v>3.3893759991841117</v>
      </c>
      <c r="DM89">
        <f t="shared" si="78"/>
        <v>1.8262051711546889E-2</v>
      </c>
      <c r="DN89">
        <f t="shared" si="79"/>
        <v>0.12174339787181468</v>
      </c>
      <c r="DO89">
        <f t="shared" si="80"/>
        <v>0.8599945504166383</v>
      </c>
      <c r="DP89">
        <f t="shared" si="130"/>
        <v>2.5461697890994341</v>
      </c>
      <c r="DQ89">
        <f t="shared" si="81"/>
        <v>2.430983198055647E-2</v>
      </c>
      <c r="DR89">
        <f t="shared" si="82"/>
        <v>0.12527031185133433</v>
      </c>
      <c r="DS89">
        <f t="shared" si="83"/>
        <v>0.85041985616810922</v>
      </c>
      <c r="DT89" s="63">
        <f t="shared" si="84"/>
        <v>-1.3744717268343667</v>
      </c>
      <c r="DU89" s="63">
        <f t="shared" si="85"/>
        <v>-0.53126551674968914</v>
      </c>
      <c r="DV89" s="63">
        <f t="shared" si="86"/>
        <v>-1.2572875562083179</v>
      </c>
      <c r="DW89" s="63">
        <f t="shared" si="87"/>
        <v>-0.41408134612364034</v>
      </c>
      <c r="DX89" t="str">
        <f t="shared" si="131"/>
        <v>Sufficient Capacity</v>
      </c>
      <c r="DY89" t="str">
        <f t="shared" si="132"/>
        <v>Sufficient Capacity</v>
      </c>
      <c r="DZ89" t="str">
        <f t="shared" si="133"/>
        <v>Sulfate Dominant electron acceptor</v>
      </c>
      <c r="EA89" t="str">
        <f t="shared" si="88"/>
        <v>Sulfate Dominant electron acceptor</v>
      </c>
      <c r="EB89">
        <v>9.8625610000000006E-3</v>
      </c>
      <c r="EC89">
        <v>1.5084740000000001E-3</v>
      </c>
      <c r="ED89" s="66">
        <v>7.3384519999999996E-6</v>
      </c>
      <c r="EE89">
        <v>2.7125769999999998E-4</v>
      </c>
      <c r="EF89">
        <v>2.9240070000000002E-3</v>
      </c>
      <c r="EG89" s="66">
        <v>1.372549E-5</v>
      </c>
      <c r="EH89">
        <v>1.2168590000000001E-4</v>
      </c>
      <c r="EI89">
        <v>1.189683E-4</v>
      </c>
      <c r="EJ89">
        <v>2.9428080000000001E-4</v>
      </c>
      <c r="EK89">
        <v>5.0266549999999997E-4</v>
      </c>
      <c r="EL89">
        <v>2.4915320000000002E-4</v>
      </c>
      <c r="EM89" s="66">
        <v>8.5740119999999997E-5</v>
      </c>
      <c r="EN89">
        <v>1.8723050000000001E-3</v>
      </c>
      <c r="EO89">
        <v>8.1843490000000003E-4</v>
      </c>
      <c r="EP89">
        <v>1.331112E-3</v>
      </c>
      <c r="EQ89">
        <v>1.518173E-3</v>
      </c>
      <c r="ER89">
        <v>2.5106249999999998E-4</v>
      </c>
      <c r="ES89">
        <v>4.1118650000000002E-4</v>
      </c>
      <c r="ET89">
        <v>1.2486779999999999E-2</v>
      </c>
      <c r="EU89">
        <v>2.9930099999999999E-3</v>
      </c>
      <c r="EV89">
        <v>9.7979309999999993E-3</v>
      </c>
      <c r="EW89">
        <v>4.5787680000000002E-4</v>
      </c>
      <c r="EX89">
        <v>5.46358E-3</v>
      </c>
      <c r="EY89">
        <v>6.7400699999999999E-3</v>
      </c>
      <c r="EZ89">
        <v>7.9713910000000002E-4</v>
      </c>
      <c r="FA89">
        <v>5.8858680000000005E-4</v>
      </c>
      <c r="FB89">
        <v>5.9788790000000005E-4</v>
      </c>
      <c r="FC89">
        <v>1.641141E-3</v>
      </c>
      <c r="FD89">
        <v>2.262415E-4</v>
      </c>
      <c r="FE89">
        <v>2.0603639999999999E-2</v>
      </c>
      <c r="FF89">
        <v>1.8066519999999999E-2</v>
      </c>
      <c r="FG89">
        <v>9.2677469999999998E-3</v>
      </c>
      <c r="FH89">
        <v>7.7280980000000001E-4</v>
      </c>
      <c r="FI89">
        <v>1.053865E-3</v>
      </c>
      <c r="FJ89">
        <v>1.2846E-2</v>
      </c>
      <c r="FK89">
        <v>-0.74732802671842302</v>
      </c>
      <c r="FL89">
        <v>-0.45319018421591101</v>
      </c>
      <c r="FM89">
        <v>0.127472055332535</v>
      </c>
      <c r="FN89">
        <v>-0.89212902053933696</v>
      </c>
      <c r="FO89">
        <v>0.40467609596510501</v>
      </c>
      <c r="FP89">
        <v>-0.40745259075078999</v>
      </c>
      <c r="FQ89">
        <v>-0.35836715947209002</v>
      </c>
      <c r="FR89">
        <v>-0.60360290599092703</v>
      </c>
      <c r="FS89">
        <v>-1.09829915295846</v>
      </c>
      <c r="FT89">
        <v>-8.2600970951969693E-2</v>
      </c>
      <c r="FU89">
        <v>2.60995733414049E-3</v>
      </c>
      <c r="FV89">
        <v>-0.46464748361728297</v>
      </c>
      <c r="FW89">
        <v>0.228312560960545</v>
      </c>
      <c r="FX89">
        <v>-0.45608827757369702</v>
      </c>
      <c r="FY89">
        <v>-0.52668311361082998</v>
      </c>
      <c r="FZ89">
        <v>0.363663619092435</v>
      </c>
      <c r="GA89">
        <v>7.75265950156276E-2</v>
      </c>
      <c r="GB89">
        <v>0.10292236351957799</v>
      </c>
      <c r="GC89">
        <v>-0.34193672488146698</v>
      </c>
      <c r="GD89">
        <v>9.3727814060812903E-2</v>
      </c>
      <c r="GE89">
        <v>-4.8375963352711403E-3</v>
      </c>
      <c r="GF89">
        <v>-0.46888689777231501</v>
      </c>
      <c r="GG89">
        <v>-0.47431218884979898</v>
      </c>
      <c r="GH89">
        <v>-0.50283071990939199</v>
      </c>
      <c r="GI89">
        <v>-0.13242887644485299</v>
      </c>
      <c r="GJ89">
        <v>-0.45657696331618403</v>
      </c>
      <c r="GK89">
        <v>-0.124039946878456</v>
      </c>
      <c r="GL89">
        <v>0.18935702220469899</v>
      </c>
      <c r="GM89">
        <v>9.4333387539747598E-2</v>
      </c>
      <c r="GN89">
        <v>-2.5738724040857999E-2</v>
      </c>
      <c r="GO89">
        <v>-0.30934952799534898</v>
      </c>
      <c r="GP89">
        <v>0.192940024471808</v>
      </c>
      <c r="GT89" s="66"/>
      <c r="GV89" s="66"/>
      <c r="GY89" s="65"/>
      <c r="HK89" s="1"/>
      <c r="HL89" s="1"/>
      <c r="HM89" s="65"/>
      <c r="HN89" s="1"/>
      <c r="HO89" s="65"/>
      <c r="HP89" s="65"/>
      <c r="HQ89" s="65"/>
      <c r="HS89" s="65"/>
      <c r="HT89" s="65"/>
      <c r="HU89" s="65"/>
      <c r="HV89" s="65"/>
      <c r="HW89" s="65"/>
      <c r="HX89" s="65"/>
      <c r="JJ89" s="66"/>
      <c r="JL89" s="66"/>
      <c r="JN89" s="66"/>
    </row>
    <row r="90" spans="1:278" ht="15.75" x14ac:dyDescent="0.25">
      <c r="A90" s="5" t="s">
        <v>143</v>
      </c>
      <c r="B90" s="5" t="s">
        <v>143</v>
      </c>
      <c r="C90" s="2" t="s">
        <v>873</v>
      </c>
      <c r="D90" s="2" t="s">
        <v>532</v>
      </c>
      <c r="E90" s="2" t="s">
        <v>532</v>
      </c>
      <c r="F90" s="2">
        <v>89</v>
      </c>
      <c r="G90" s="2" t="s">
        <v>872</v>
      </c>
      <c r="H90" s="10" t="s">
        <v>656</v>
      </c>
      <c r="I90" s="2">
        <v>150</v>
      </c>
      <c r="J90" s="2">
        <v>65</v>
      </c>
      <c r="K90" s="13">
        <v>6.45</v>
      </c>
      <c r="L90" t="s">
        <v>316</v>
      </c>
      <c r="M90" s="2" t="s">
        <v>1120</v>
      </c>
      <c r="N90" s="2" t="s">
        <v>436</v>
      </c>
      <c r="O90" s="2" t="s">
        <v>673</v>
      </c>
      <c r="P90" s="2" t="s">
        <v>1127</v>
      </c>
      <c r="Q90" s="9" t="s">
        <v>725</v>
      </c>
      <c r="R90" s="2" t="str">
        <f t="shared" si="73"/>
        <v>CW_2_Section_3</v>
      </c>
      <c r="S90" s="2" t="str">
        <f t="shared" si="74"/>
        <v>CW_2_MF09</v>
      </c>
      <c r="T90" s="11" t="s">
        <v>845</v>
      </c>
      <c r="U90" s="1">
        <v>45706</v>
      </c>
      <c r="V90" s="2" t="s">
        <v>799</v>
      </c>
      <c r="W90" s="2" t="s">
        <v>655</v>
      </c>
      <c r="X90" s="2" t="s">
        <v>844</v>
      </c>
      <c r="Y90" s="2" t="str">
        <f t="shared" si="75"/>
        <v>T3_MF09</v>
      </c>
      <c r="Z90" s="2" t="str">
        <f t="shared" si="76"/>
        <v>T3_CW_2_MF09</v>
      </c>
      <c r="AA90" s="2" t="str">
        <f t="shared" si="77"/>
        <v>T3_0.15-0.30</v>
      </c>
      <c r="AB90" s="2">
        <v>188</v>
      </c>
      <c r="AC90" s="2">
        <v>6.1840000000000002</v>
      </c>
      <c r="AD90" s="2">
        <v>-0.38</v>
      </c>
      <c r="AE90" s="2">
        <v>3</v>
      </c>
      <c r="AF90" t="s">
        <v>45</v>
      </c>
      <c r="AG90" t="s">
        <v>1237</v>
      </c>
      <c r="AH90">
        <v>68</v>
      </c>
      <c r="AI90">
        <v>28</v>
      </c>
      <c r="AJ90">
        <v>1.7</v>
      </c>
      <c r="AK90">
        <v>4.99</v>
      </c>
      <c r="AL90">
        <v>7.5</v>
      </c>
      <c r="AM90">
        <v>-109</v>
      </c>
      <c r="AN90">
        <v>7.2</v>
      </c>
      <c r="AO90">
        <v>508</v>
      </c>
      <c r="AP90">
        <v>0.1</v>
      </c>
      <c r="AQ90">
        <v>0.01</v>
      </c>
      <c r="AR90">
        <v>9.3000000000000007</v>
      </c>
      <c r="AS90">
        <v>9.4</v>
      </c>
      <c r="AT90">
        <v>880</v>
      </c>
      <c r="AU90" s="32">
        <f t="shared" si="89"/>
        <v>0.3379848930994751</v>
      </c>
      <c r="AV90">
        <v>16</v>
      </c>
      <c r="AW90" s="32">
        <f t="shared" si="90"/>
        <v>6.2513566312133711E-3</v>
      </c>
      <c r="AX90">
        <v>610</v>
      </c>
      <c r="AY90" s="32">
        <f t="shared" si="91"/>
        <v>0.2413111048318734</v>
      </c>
      <c r="AZ90">
        <v>180</v>
      </c>
      <c r="BA90" s="32">
        <f t="shared" si="92"/>
        <v>7.120655552415936E-2</v>
      </c>
      <c r="BB90">
        <v>150</v>
      </c>
      <c r="BC90" s="32">
        <f t="shared" si="93"/>
        <v>5.9338796270132804E-2</v>
      </c>
      <c r="BD90">
        <v>330</v>
      </c>
      <c r="BF90" s="48">
        <v>1836</v>
      </c>
      <c r="BG90" s="48">
        <f t="shared" si="94"/>
        <v>0.58554735456256179</v>
      </c>
      <c r="BH90">
        <v>710</v>
      </c>
      <c r="BI90" s="32">
        <f t="shared" si="95"/>
        <v>0.26589685573847233</v>
      </c>
      <c r="BJ90" s="47">
        <v>0.12</v>
      </c>
      <c r="BK90" s="27">
        <f t="shared" si="96"/>
        <v>4.4940313645938987E-5</v>
      </c>
      <c r="BL90" s="47">
        <v>0.01</v>
      </c>
      <c r="BM90" s="27">
        <f t="shared" si="97"/>
        <v>3.6796110125501018E-6</v>
      </c>
      <c r="BN90" s="47">
        <v>0.14000000000000001</v>
      </c>
      <c r="BO90" s="27">
        <f t="shared" si="98"/>
        <v>5.2655469813890153E-5</v>
      </c>
      <c r="BP90" s="47">
        <v>0.06</v>
      </c>
      <c r="BQ90" s="27">
        <f t="shared" si="99"/>
        <v>2.2379978341956443E-5</v>
      </c>
      <c r="BR90" s="47">
        <v>0.03</v>
      </c>
      <c r="BS90" s="27">
        <f t="shared" si="100"/>
        <v>1.110924086854065E-5</v>
      </c>
      <c r="BT90" s="47">
        <v>1E-3</v>
      </c>
      <c r="BU90" s="27">
        <f t="shared" si="101"/>
        <v>3.7030802895135499E-7</v>
      </c>
      <c r="BV90" s="47">
        <v>1E-3</v>
      </c>
      <c r="BW90" s="27">
        <f t="shared" si="102"/>
        <v>3.6588380716934485E-7</v>
      </c>
      <c r="BX90" s="47">
        <v>2E-3</v>
      </c>
      <c r="BY90" s="27">
        <f t="shared" si="103"/>
        <v>7.3176761433868969E-7</v>
      </c>
      <c r="BZ90" s="51">
        <f t="shared" si="104"/>
        <v>0.36399999999999999</v>
      </c>
      <c r="CA90" s="51">
        <f t="shared" si="105"/>
        <v>0.24400000000000002</v>
      </c>
      <c r="CB90" s="27">
        <f t="shared" si="106"/>
        <v>1.3623257313333573E-4</v>
      </c>
      <c r="CC90" s="27">
        <f t="shared" si="107"/>
        <v>9.1292259487396745E-5</v>
      </c>
      <c r="CD90">
        <v>830</v>
      </c>
      <c r="CE90">
        <v>2.5</v>
      </c>
      <c r="CF90" t="s">
        <v>19</v>
      </c>
      <c r="CG90">
        <v>830</v>
      </c>
      <c r="CH90" s="32">
        <v>16</v>
      </c>
      <c r="CI90" s="32">
        <f t="shared" si="108"/>
        <v>0.28648164726947178</v>
      </c>
      <c r="CJ90" s="32">
        <f t="shared" si="109"/>
        <v>0.28648164726947178</v>
      </c>
      <c r="CK90" s="32">
        <v>4.4000000000000004</v>
      </c>
      <c r="CL90" s="32">
        <f t="shared" si="110"/>
        <v>8.0101947933733847E-2</v>
      </c>
      <c r="CM90" s="32">
        <f t="shared" si="111"/>
        <v>0.16020389586746769</v>
      </c>
      <c r="CN90" s="27">
        <v>38</v>
      </c>
      <c r="CO90" s="27">
        <f t="shared" si="112"/>
        <v>0.39558609202581718</v>
      </c>
      <c r="CP90" s="27">
        <f t="shared" si="113"/>
        <v>3.1646887362065375</v>
      </c>
      <c r="CQ90" s="57">
        <v>44</v>
      </c>
      <c r="CR90" s="57">
        <v>53.658536585365859</v>
      </c>
      <c r="CS90" s="57">
        <v>3.6643764313970433</v>
      </c>
      <c r="CT90" s="57">
        <f t="shared" si="114"/>
        <v>3.6643764313970433</v>
      </c>
      <c r="CU90" s="28">
        <v>-31.8</v>
      </c>
      <c r="CV90" s="28">
        <v>-512.90322580645159</v>
      </c>
      <c r="CW90" s="28">
        <v>-2.6483447845096815</v>
      </c>
      <c r="CX90" s="28">
        <f t="shared" si="115"/>
        <v>0</v>
      </c>
      <c r="CY90" s="32">
        <f t="shared" si="116"/>
        <v>25.577347491151361</v>
      </c>
      <c r="CZ90" s="32">
        <f t="shared" si="117"/>
        <v>25.577347491151361</v>
      </c>
      <c r="DA90" s="32">
        <f t="shared" si="118"/>
        <v>41.577347491151357</v>
      </c>
      <c r="DB90" s="32">
        <f t="shared" si="119"/>
        <v>0.74444668739751763</v>
      </c>
      <c r="DC90" s="32">
        <f t="shared" si="120"/>
        <v>0.74444668739751763</v>
      </c>
      <c r="DD90" s="59">
        <f t="shared" si="121"/>
        <v>-18.485446595877576</v>
      </c>
      <c r="DE90" s="59">
        <f t="shared" si="122"/>
        <v>0</v>
      </c>
      <c r="DF90" s="59">
        <f t="shared" si="123"/>
        <v>16</v>
      </c>
      <c r="DG90" s="59">
        <f t="shared" si="124"/>
        <v>0.28648164726947178</v>
      </c>
      <c r="DH90" s="59">
        <f t="shared" si="125"/>
        <v>0.28648164726947178</v>
      </c>
      <c r="DI90" s="32">
        <f t="shared" si="126"/>
        <v>3.1646887362065375</v>
      </c>
      <c r="DJ90" s="32">
        <f t="shared" si="127"/>
        <v>20.399999999999999</v>
      </c>
      <c r="DK90" s="32">
        <f t="shared" si="128"/>
        <v>0.44668554313693948</v>
      </c>
      <c r="DL90">
        <f t="shared" si="129"/>
        <v>4.5690270146620282</v>
      </c>
      <c r="DM90">
        <f t="shared" si="78"/>
        <v>3.5063022248144449E-2</v>
      </c>
      <c r="DN90">
        <f t="shared" si="79"/>
        <v>0.16293330834083161</v>
      </c>
      <c r="DO90">
        <f t="shared" si="80"/>
        <v>0.80200366941102397</v>
      </c>
      <c r="DP90">
        <f t="shared" si="130"/>
        <v>0.44668554313693948</v>
      </c>
      <c r="DQ90">
        <f t="shared" si="81"/>
        <v>0.35865028167780733</v>
      </c>
      <c r="DR90">
        <f t="shared" si="82"/>
        <v>0.64134971832219267</v>
      </c>
      <c r="DS90">
        <f t="shared" si="83"/>
        <v>0</v>
      </c>
      <c r="DT90" s="63">
        <f t="shared" si="84"/>
        <v>-3.717582804360994</v>
      </c>
      <c r="DU90" s="63">
        <f t="shared" si="85"/>
        <v>0.40475866716409464</v>
      </c>
      <c r="DV90" s="63">
        <f t="shared" si="86"/>
        <v>-3.7174915121015069</v>
      </c>
      <c r="DW90" s="63">
        <f t="shared" si="87"/>
        <v>0.4048499594235821</v>
      </c>
      <c r="DX90" t="str">
        <f t="shared" si="131"/>
        <v>Sufficient Capacity</v>
      </c>
      <c r="DY90" t="str">
        <f t="shared" si="132"/>
        <v>Insufficient Capacity</v>
      </c>
      <c r="DZ90" t="str">
        <f t="shared" si="133"/>
        <v>Sulfate Dominant electron acceptor</v>
      </c>
      <c r="EA90" t="str">
        <f t="shared" si="88"/>
        <v>Manganese Dominant electron acceptor</v>
      </c>
      <c r="EB90">
        <v>1.023547E-2</v>
      </c>
      <c r="EC90">
        <v>1.431023E-3</v>
      </c>
      <c r="ED90" s="66">
        <v>2.0706280000000001E-6</v>
      </c>
      <c r="EE90">
        <v>4.9789189999999996E-4</v>
      </c>
      <c r="EF90">
        <v>3.1659050000000001E-3</v>
      </c>
      <c r="EG90" s="66">
        <v>8.6908819999999992E-6</v>
      </c>
      <c r="EH90">
        <v>2.3232670000000001E-4</v>
      </c>
      <c r="EI90">
        <v>1.1279209999999999E-4</v>
      </c>
      <c r="EJ90">
        <v>3.1947570000000002E-4</v>
      </c>
      <c r="EK90">
        <v>5.5088819999999999E-4</v>
      </c>
      <c r="EL90">
        <v>2.5517850000000001E-4</v>
      </c>
      <c r="EM90">
        <v>1.207702E-4</v>
      </c>
      <c r="EN90">
        <v>1.8384860000000001E-3</v>
      </c>
      <c r="EO90">
        <v>6.9302389999999995E-4</v>
      </c>
      <c r="EP90">
        <v>1.7476900000000001E-3</v>
      </c>
      <c r="EQ90">
        <v>1.4710700000000001E-3</v>
      </c>
      <c r="ER90">
        <v>2.8693909999999998E-4</v>
      </c>
      <c r="ES90">
        <v>5.9224159999999996E-4</v>
      </c>
      <c r="ET90">
        <v>1.5710229999999999E-2</v>
      </c>
      <c r="EU90">
        <v>3.4975829999999999E-3</v>
      </c>
      <c r="EV90">
        <v>9.4353700000000002E-3</v>
      </c>
      <c r="EW90">
        <v>5.1359409999999996E-4</v>
      </c>
      <c r="EX90">
        <v>5.2238179999999999E-3</v>
      </c>
      <c r="EY90">
        <v>6.6989019999999996E-3</v>
      </c>
      <c r="EZ90">
        <v>9.7085159999999999E-4</v>
      </c>
      <c r="FA90">
        <v>8.4351000000000001E-4</v>
      </c>
      <c r="FB90">
        <v>8.9003469999999996E-4</v>
      </c>
      <c r="FC90">
        <v>1.8158899999999999E-3</v>
      </c>
      <c r="FD90">
        <v>3.1996180000000001E-4</v>
      </c>
      <c r="FE90">
        <v>2.0320680000000001E-2</v>
      </c>
      <c r="FF90">
        <v>1.3187870000000001E-2</v>
      </c>
      <c r="FG90">
        <v>6.8211460000000002E-3</v>
      </c>
      <c r="FH90">
        <v>8.5841740000000002E-4</v>
      </c>
      <c r="FI90">
        <v>1.2721200000000001E-3</v>
      </c>
      <c r="FJ90">
        <v>9.4827149999999992E-3</v>
      </c>
      <c r="FK90">
        <v>-0.14001433307812799</v>
      </c>
      <c r="FL90">
        <v>-0.37370616538992302</v>
      </c>
      <c r="FM90">
        <v>-0.32950820260151498</v>
      </c>
      <c r="FN90">
        <v>-0.245427584399566</v>
      </c>
      <c r="FO90">
        <v>0.35136532604576598</v>
      </c>
      <c r="FP90">
        <v>-0.32530578972341601</v>
      </c>
      <c r="FQ90">
        <v>-0.266760213660382</v>
      </c>
      <c r="FR90">
        <v>-0.57970757403163498</v>
      </c>
      <c r="FS90">
        <v>-0.75573044738111805</v>
      </c>
      <c r="FT90">
        <v>-0.10082885625983599</v>
      </c>
      <c r="FU90">
        <v>-0.16371941424811001</v>
      </c>
      <c r="FV90">
        <v>-0.19236725077976999</v>
      </c>
      <c r="FW90">
        <v>0.19679494989912999</v>
      </c>
      <c r="FX90">
        <v>-0.32252019157209799</v>
      </c>
      <c r="FY90">
        <v>-0.16181533673489601</v>
      </c>
      <c r="FZ90">
        <v>0.59330522695450905</v>
      </c>
      <c r="GA90">
        <v>0.233319183533862</v>
      </c>
      <c r="GB90">
        <v>6.52165163193867E-2</v>
      </c>
      <c r="GC90">
        <v>-0.227103612405822</v>
      </c>
      <c r="GD90">
        <v>4.8852113674556101E-2</v>
      </c>
      <c r="GE90">
        <v>-1.0964274592218701E-2</v>
      </c>
      <c r="GF90">
        <v>-0.27174246634012</v>
      </c>
      <c r="GG90">
        <v>-0.114464841021581</v>
      </c>
      <c r="GH90">
        <v>-0.104973547363373</v>
      </c>
      <c r="GI90">
        <v>-3.1244902421890999E-2</v>
      </c>
      <c r="GJ90">
        <v>-0.10997836246170101</v>
      </c>
      <c r="GK90">
        <v>-0.13786861937639899</v>
      </c>
      <c r="GL90">
        <v>-0.12540601174392299</v>
      </c>
      <c r="GM90">
        <v>-0.21217942749765301</v>
      </c>
      <c r="GN90">
        <v>7.9318773363138598E-2</v>
      </c>
      <c r="GO90">
        <v>-0.121129086328797</v>
      </c>
      <c r="GP90">
        <v>-0.110621786694276</v>
      </c>
      <c r="GR90" s="66"/>
      <c r="GT90" s="66"/>
      <c r="GV90" s="66"/>
      <c r="GZ90" s="66"/>
      <c r="HK90" s="1"/>
      <c r="HL90" s="1"/>
      <c r="HM90" s="65"/>
      <c r="HN90" s="1"/>
      <c r="HO90" s="65"/>
      <c r="HP90" s="65"/>
      <c r="HQ90" s="65"/>
      <c r="HS90" s="65"/>
      <c r="HT90" s="65"/>
      <c r="HV90" s="65"/>
      <c r="HW90" s="65"/>
      <c r="HX90" s="65"/>
    </row>
    <row r="91" spans="1:278" ht="15.75" x14ac:dyDescent="0.25">
      <c r="A91" s="5" t="s">
        <v>144</v>
      </c>
      <c r="B91" s="5" t="s">
        <v>144</v>
      </c>
      <c r="C91" s="2" t="s">
        <v>875</v>
      </c>
      <c r="D91" s="2" t="s">
        <v>533</v>
      </c>
      <c r="E91" s="2" t="s">
        <v>533</v>
      </c>
      <c r="F91" s="2">
        <v>90</v>
      </c>
      <c r="G91" s="2" t="s">
        <v>874</v>
      </c>
      <c r="H91" s="10" t="s">
        <v>656</v>
      </c>
      <c r="I91" s="2">
        <v>150</v>
      </c>
      <c r="J91" s="2">
        <v>65</v>
      </c>
      <c r="K91" s="13">
        <v>4.75</v>
      </c>
      <c r="L91" t="s">
        <v>317</v>
      </c>
      <c r="M91" s="2" t="s">
        <v>1120</v>
      </c>
      <c r="N91" s="2" t="s">
        <v>436</v>
      </c>
      <c r="O91" s="2" t="s">
        <v>673</v>
      </c>
      <c r="P91" s="2" t="s">
        <v>1128</v>
      </c>
      <c r="Q91" s="9" t="s">
        <v>728</v>
      </c>
      <c r="R91" s="2" t="str">
        <f t="shared" si="73"/>
        <v>CW_2_Section_3</v>
      </c>
      <c r="S91" s="2" t="str">
        <f t="shared" si="74"/>
        <v>CW_2_MF10</v>
      </c>
      <c r="T91" s="11" t="s">
        <v>845</v>
      </c>
      <c r="U91" s="1">
        <v>45706</v>
      </c>
      <c r="V91" s="2" t="s">
        <v>799</v>
      </c>
      <c r="W91" s="2" t="s">
        <v>663</v>
      </c>
      <c r="X91" s="2" t="s">
        <v>844</v>
      </c>
      <c r="Y91" s="2" t="str">
        <f t="shared" si="75"/>
        <v>T3_MF10</v>
      </c>
      <c r="Z91" s="2" t="str">
        <f t="shared" si="76"/>
        <v>T3_CW_2_MF10</v>
      </c>
      <c r="AA91" s="2" t="str">
        <f t="shared" si="77"/>
        <v>T3_0.60-0.80</v>
      </c>
      <c r="AB91" s="2">
        <v>188</v>
      </c>
      <c r="AC91" s="2">
        <v>6.1840000000000002</v>
      </c>
      <c r="AD91" s="2">
        <v>-0.38</v>
      </c>
      <c r="AE91" s="2">
        <v>3</v>
      </c>
      <c r="AF91" t="s">
        <v>47</v>
      </c>
      <c r="AG91" t="s">
        <v>1237</v>
      </c>
      <c r="AH91">
        <v>70</v>
      </c>
      <c r="AI91">
        <v>25</v>
      </c>
      <c r="AJ91">
        <v>1.3</v>
      </c>
      <c r="AK91">
        <v>0.61</v>
      </c>
      <c r="AL91">
        <v>7.4</v>
      </c>
      <c r="AM91">
        <v>-130</v>
      </c>
      <c r="AN91">
        <v>7.09</v>
      </c>
      <c r="AO91">
        <v>509</v>
      </c>
      <c r="AP91">
        <v>0.2</v>
      </c>
      <c r="AQ91">
        <v>0.01</v>
      </c>
      <c r="AR91">
        <v>13</v>
      </c>
      <c r="AS91">
        <v>13</v>
      </c>
      <c r="AT91">
        <v>920</v>
      </c>
      <c r="AU91" s="32">
        <f t="shared" si="89"/>
        <v>0.35334784278581488</v>
      </c>
      <c r="AV91">
        <v>8.6999999999999993</v>
      </c>
      <c r="AW91" s="32">
        <f t="shared" si="90"/>
        <v>3.3991751682222703E-3</v>
      </c>
      <c r="AX91">
        <v>860</v>
      </c>
      <c r="AY91" s="32">
        <f t="shared" si="91"/>
        <v>0.34020909861542808</v>
      </c>
      <c r="AZ91">
        <v>280</v>
      </c>
      <c r="BA91" s="32">
        <f t="shared" si="92"/>
        <v>0.11076575303758124</v>
      </c>
      <c r="BB91">
        <v>290</v>
      </c>
      <c r="BC91" s="32">
        <f t="shared" si="93"/>
        <v>0.11472167278892344</v>
      </c>
      <c r="BD91">
        <v>570</v>
      </c>
      <c r="BF91" s="48">
        <v>2358.6999999999998</v>
      </c>
      <c r="BG91" s="48">
        <f t="shared" si="94"/>
        <v>0.69695611656946521</v>
      </c>
      <c r="BH91">
        <v>4000</v>
      </c>
      <c r="BI91" s="32">
        <f t="shared" si="95"/>
        <v>1.4980104548646329</v>
      </c>
      <c r="BJ91" s="47">
        <v>2900</v>
      </c>
      <c r="BK91" s="27">
        <f t="shared" si="96"/>
        <v>1.0860575797768588</v>
      </c>
      <c r="BL91" s="47">
        <v>290</v>
      </c>
      <c r="BM91" s="27">
        <f t="shared" si="97"/>
        <v>0.10670871936395296</v>
      </c>
      <c r="BN91" s="47">
        <v>170</v>
      </c>
      <c r="BO91" s="27">
        <f t="shared" si="98"/>
        <v>6.3938784774009466E-2</v>
      </c>
      <c r="BP91" s="47">
        <v>71</v>
      </c>
      <c r="BQ91" s="27">
        <f t="shared" si="99"/>
        <v>2.6482974371315127E-2</v>
      </c>
      <c r="BR91" s="47">
        <v>24</v>
      </c>
      <c r="BS91" s="27">
        <f t="shared" si="100"/>
        <v>8.8873926948325205E-3</v>
      </c>
      <c r="BT91" s="47">
        <v>1.6</v>
      </c>
      <c r="BU91" s="27">
        <f t="shared" si="101"/>
        <v>5.9249284632216796E-4</v>
      </c>
      <c r="BV91" s="47">
        <v>0.12</v>
      </c>
      <c r="BW91" s="27">
        <f t="shared" si="102"/>
        <v>4.3906056860321379E-5</v>
      </c>
      <c r="BX91" s="47">
        <v>0.06</v>
      </c>
      <c r="BY91" s="27">
        <f t="shared" si="103"/>
        <v>2.1953028430160689E-5</v>
      </c>
      <c r="BZ91" s="51">
        <f t="shared" si="104"/>
        <v>3456.7799999999997</v>
      </c>
      <c r="CA91" s="51">
        <f t="shared" si="105"/>
        <v>556.78</v>
      </c>
      <c r="CB91" s="27">
        <f t="shared" si="106"/>
        <v>1.2927338029125812</v>
      </c>
      <c r="CC91" s="27">
        <f t="shared" si="107"/>
        <v>0.20667622313572276</v>
      </c>
      <c r="CD91">
        <v>5000</v>
      </c>
      <c r="CE91">
        <v>1200</v>
      </c>
      <c r="CF91" t="s">
        <v>19</v>
      </c>
      <c r="CG91">
        <v>6300</v>
      </c>
      <c r="CH91" s="32">
        <v>1.4</v>
      </c>
      <c r="CI91" s="32">
        <f t="shared" si="108"/>
        <v>2.506714413607878E-2</v>
      </c>
      <c r="CJ91" s="32">
        <f t="shared" si="109"/>
        <v>2.506714413607878E-2</v>
      </c>
      <c r="CK91" s="32">
        <v>1.5</v>
      </c>
      <c r="CL91" s="32">
        <f t="shared" si="110"/>
        <v>2.7307482250136537E-2</v>
      </c>
      <c r="CM91" s="32">
        <f t="shared" si="111"/>
        <v>5.4614964500273075E-2</v>
      </c>
      <c r="CN91" s="27">
        <v>57</v>
      </c>
      <c r="CO91" s="27">
        <f t="shared" si="112"/>
        <v>0.59337913803872577</v>
      </c>
      <c r="CP91" s="27">
        <f t="shared" si="113"/>
        <v>4.7470331043098062</v>
      </c>
      <c r="CQ91" s="57">
        <v>25</v>
      </c>
      <c r="CR91" s="57">
        <v>30.487804878048781</v>
      </c>
      <c r="CS91" s="57">
        <v>2.0820320632937745</v>
      </c>
      <c r="CT91" s="57">
        <f t="shared" si="114"/>
        <v>2.0820320632937745</v>
      </c>
      <c r="CU91" s="28">
        <v>-10</v>
      </c>
      <c r="CV91" s="28">
        <v>-21.276595744680851</v>
      </c>
      <c r="CW91" s="28">
        <v>-0.83281282531750989</v>
      </c>
      <c r="CX91" s="28">
        <f t="shared" si="115"/>
        <v>0</v>
      </c>
      <c r="CY91" s="32">
        <f t="shared" si="116"/>
        <v>14.532583801790548</v>
      </c>
      <c r="CZ91" s="32">
        <f t="shared" si="117"/>
        <v>14.532583801790548</v>
      </c>
      <c r="DA91" s="32">
        <f t="shared" si="118"/>
        <v>15.932583801790548</v>
      </c>
      <c r="DB91" s="32">
        <f t="shared" si="119"/>
        <v>0.28527455329974122</v>
      </c>
      <c r="DC91" s="32">
        <f t="shared" si="120"/>
        <v>0.28527455329974122</v>
      </c>
      <c r="DD91" s="59">
        <f t="shared" si="121"/>
        <v>-5.8130335207162185</v>
      </c>
      <c r="DE91" s="59">
        <f t="shared" si="122"/>
        <v>0</v>
      </c>
      <c r="DF91" s="59">
        <f t="shared" si="123"/>
        <v>1.4</v>
      </c>
      <c r="DG91" s="59">
        <f t="shared" si="124"/>
        <v>2.506714413607878E-2</v>
      </c>
      <c r="DH91" s="59">
        <f t="shared" si="125"/>
        <v>2.506714413607878E-2</v>
      </c>
      <c r="DI91" s="32">
        <f t="shared" si="126"/>
        <v>4.7470331043098062</v>
      </c>
      <c r="DJ91" s="32">
        <f t="shared" si="127"/>
        <v>2.9</v>
      </c>
      <c r="DK91" s="32">
        <f t="shared" si="128"/>
        <v>7.9682108636351862E-2</v>
      </c>
      <c r="DL91">
        <f t="shared" si="129"/>
        <v>2.4219215810937889</v>
      </c>
      <c r="DM91">
        <f t="shared" si="78"/>
        <v>2.2550261299380241E-2</v>
      </c>
      <c r="DN91">
        <f t="shared" si="79"/>
        <v>0.11778851781439821</v>
      </c>
      <c r="DO91">
        <f t="shared" si="80"/>
        <v>0.85966122088622154</v>
      </c>
      <c r="DP91">
        <f t="shared" si="130"/>
        <v>7.9682108636351862E-2</v>
      </c>
      <c r="DQ91">
        <f t="shared" si="81"/>
        <v>0.68541063276226</v>
      </c>
      <c r="DR91">
        <f t="shared" si="82"/>
        <v>0.31458936723773989</v>
      </c>
      <c r="DS91">
        <f t="shared" si="83"/>
        <v>0</v>
      </c>
      <c r="DT91" s="63">
        <f t="shared" si="84"/>
        <v>-0.22695500965969062</v>
      </c>
      <c r="DU91" s="63">
        <f t="shared" si="85"/>
        <v>2.1152844627977463</v>
      </c>
      <c r="DV91" s="63">
        <f t="shared" si="86"/>
        <v>-2.0278786523967973E-2</v>
      </c>
      <c r="DW91" s="63">
        <f t="shared" si="87"/>
        <v>2.3219606859334689</v>
      </c>
      <c r="DX91" t="str">
        <f t="shared" si="131"/>
        <v>Sufficient Capacity</v>
      </c>
      <c r="DY91" t="str">
        <f t="shared" si="132"/>
        <v>Insufficient Capacity</v>
      </c>
      <c r="DZ91" t="str">
        <f t="shared" si="133"/>
        <v>Sulfate Dominant electron acceptor</v>
      </c>
      <c r="EA91" t="str">
        <f t="shared" si="88"/>
        <v>Iron Dominant electron acceptor</v>
      </c>
      <c r="EB91">
        <v>8.2722439999999998E-3</v>
      </c>
      <c r="EC91">
        <v>1.3545269999999999E-3</v>
      </c>
      <c r="ED91" s="66">
        <v>3.0820389999999998E-7</v>
      </c>
      <c r="EE91">
        <v>1.076986E-3</v>
      </c>
      <c r="EF91">
        <v>7.3317169999999997E-3</v>
      </c>
      <c r="EG91" s="66">
        <v>4.4415169999999999E-5</v>
      </c>
      <c r="EH91">
        <v>4.7996090000000001E-4</v>
      </c>
      <c r="EI91">
        <v>1.133875E-4</v>
      </c>
      <c r="EJ91">
        <v>5.7129540000000001E-4</v>
      </c>
      <c r="EK91">
        <v>8.8749239999999995E-4</v>
      </c>
      <c r="EL91">
        <v>7.5396619999999997E-4</v>
      </c>
      <c r="EM91">
        <v>6.2780439999999996E-4</v>
      </c>
      <c r="EN91">
        <v>2.3666490000000002E-3</v>
      </c>
      <c r="EO91">
        <v>1.086072E-3</v>
      </c>
      <c r="EP91">
        <v>3.1412699999999998E-3</v>
      </c>
      <c r="EQ91">
        <v>9.1825119999999999E-4</v>
      </c>
      <c r="ER91">
        <v>6.3320330000000004E-4</v>
      </c>
      <c r="ES91">
        <v>1.0685880000000001E-3</v>
      </c>
      <c r="ET91">
        <v>7.2940440000000004E-3</v>
      </c>
      <c r="EU91">
        <v>2.5552589999999998E-3</v>
      </c>
      <c r="EV91">
        <v>8.2611539999999997E-3</v>
      </c>
      <c r="EW91">
        <v>8.5438340000000004E-4</v>
      </c>
      <c r="EX91">
        <v>4.6233209999999997E-3</v>
      </c>
      <c r="EY91">
        <v>6.7214520000000002E-3</v>
      </c>
      <c r="EZ91">
        <v>2.1016229999999999E-3</v>
      </c>
      <c r="FA91">
        <v>1.4180779999999999E-3</v>
      </c>
      <c r="FB91">
        <v>1.4901669999999999E-3</v>
      </c>
      <c r="FC91">
        <v>2.0590769999999999E-3</v>
      </c>
      <c r="FD91">
        <v>5.6458449999999998E-4</v>
      </c>
      <c r="FE91">
        <v>2.6888889999999999E-2</v>
      </c>
      <c r="FF91">
        <v>1.370182E-2</v>
      </c>
      <c r="FG91">
        <v>8.4965049999999997E-3</v>
      </c>
      <c r="FH91">
        <v>7.7338470000000003E-4</v>
      </c>
      <c r="FI91">
        <v>1.6617310000000001E-3</v>
      </c>
      <c r="FJ91">
        <v>1.055759E-2</v>
      </c>
      <c r="FK91">
        <v>0.63152435973344501</v>
      </c>
      <c r="FL91">
        <v>0.466064611224217</v>
      </c>
      <c r="FM91">
        <v>1.3017984450492499</v>
      </c>
      <c r="FN91">
        <v>0.48013248709886602</v>
      </c>
      <c r="FO91">
        <v>0.35663018083645998</v>
      </c>
      <c r="FP91">
        <v>0.25591940957579701</v>
      </c>
      <c r="FQ91">
        <v>0.21010785951834199</v>
      </c>
      <c r="FR91">
        <v>0.50367666511262899</v>
      </c>
      <c r="FS91">
        <v>0.89260863927732104</v>
      </c>
      <c r="FT91">
        <v>0.15170376747598799</v>
      </c>
      <c r="FU91">
        <v>0.28553889606097199</v>
      </c>
      <c r="FV91">
        <v>0.39396500999977901</v>
      </c>
      <c r="FW91">
        <v>-0.27447936471325501</v>
      </c>
      <c r="FX91">
        <v>0.469001349923579</v>
      </c>
      <c r="FY91">
        <v>0.42836343334080601</v>
      </c>
      <c r="FZ91">
        <v>-0.17394874083865799</v>
      </c>
      <c r="GA91">
        <v>-8.0599386597549796E-2</v>
      </c>
      <c r="GB91">
        <v>-6.7684590200955505E-2</v>
      </c>
      <c r="GC91">
        <v>0.28184316200158699</v>
      </c>
      <c r="GD91">
        <v>-7.32631604619014E-2</v>
      </c>
      <c r="GE91">
        <v>-7.6037043386714097E-3</v>
      </c>
      <c r="GF91">
        <v>0.50054909153447702</v>
      </c>
      <c r="GG91">
        <v>0.40502111432954502</v>
      </c>
      <c r="GH91">
        <v>0.41040947510230302</v>
      </c>
      <c r="GI91">
        <v>9.4437216061801402E-2</v>
      </c>
      <c r="GJ91">
        <v>0.45791008624871898</v>
      </c>
      <c r="GK91">
        <v>0.142205484049096</v>
      </c>
      <c r="GL91">
        <v>-8.7174808732594797E-2</v>
      </c>
      <c r="GM91">
        <v>7.4479820421506897E-3</v>
      </c>
      <c r="GN91">
        <v>-2.49950918180133E-2</v>
      </c>
      <c r="GO91">
        <v>0.14604594372502</v>
      </c>
      <c r="GP91">
        <v>-3.2474218287257299E-3</v>
      </c>
      <c r="GT91" s="66"/>
      <c r="GV91" s="66"/>
      <c r="GY91" s="65"/>
      <c r="HK91" s="1"/>
      <c r="HL91" s="1"/>
      <c r="HM91" s="65"/>
      <c r="HN91" s="1"/>
      <c r="HO91" s="65"/>
      <c r="HP91" s="65"/>
      <c r="HQ91" s="65"/>
      <c r="HS91" s="65"/>
      <c r="HV91" s="65"/>
      <c r="HW91" s="65"/>
      <c r="HX91" s="65"/>
      <c r="JH91" s="66"/>
      <c r="JJ91" s="66"/>
      <c r="JL91" s="66"/>
      <c r="JN91" s="66"/>
    </row>
    <row r="92" spans="1:278" ht="15.75" x14ac:dyDescent="0.25">
      <c r="A92" s="5" t="s">
        <v>145</v>
      </c>
      <c r="B92" s="5" t="s">
        <v>145</v>
      </c>
      <c r="C92" s="2" t="s">
        <v>877</v>
      </c>
      <c r="D92" s="2" t="s">
        <v>534</v>
      </c>
      <c r="E92" s="2" t="s">
        <v>534</v>
      </c>
      <c r="F92" s="2">
        <v>91</v>
      </c>
      <c r="G92" s="2" t="s">
        <v>876</v>
      </c>
      <c r="H92" s="10" t="s">
        <v>656</v>
      </c>
      <c r="I92" s="2">
        <v>150</v>
      </c>
      <c r="J92" s="14">
        <v>100</v>
      </c>
      <c r="K92" s="13">
        <v>7.15</v>
      </c>
      <c r="L92" t="s">
        <v>319</v>
      </c>
      <c r="M92" s="2" t="s">
        <v>1120</v>
      </c>
      <c r="N92" s="2" t="s">
        <v>437</v>
      </c>
      <c r="O92" s="2" t="s">
        <v>653</v>
      </c>
      <c r="P92" s="2" t="s">
        <v>1123</v>
      </c>
      <c r="Q92" s="9" t="s">
        <v>731</v>
      </c>
      <c r="R92" s="2" t="str">
        <f t="shared" si="73"/>
        <v>CW_3_Section_1</v>
      </c>
      <c r="S92" s="2" t="str">
        <f t="shared" si="74"/>
        <v>CW_3_MF01</v>
      </c>
      <c r="T92" s="11" t="s">
        <v>845</v>
      </c>
      <c r="U92" s="1">
        <v>45707</v>
      </c>
      <c r="V92" s="2" t="s">
        <v>799</v>
      </c>
      <c r="W92" s="2" t="s">
        <v>655</v>
      </c>
      <c r="X92" s="2" t="s">
        <v>844</v>
      </c>
      <c r="Y92" s="2" t="str">
        <f t="shared" si="75"/>
        <v>T3_MF01</v>
      </c>
      <c r="Z92" s="2" t="str">
        <f t="shared" si="76"/>
        <v>T3_CW_3_MF01</v>
      </c>
      <c r="AA92" s="2" t="str">
        <f t="shared" si="77"/>
        <v>T3_0.15-0.30</v>
      </c>
      <c r="AB92" s="2">
        <v>188</v>
      </c>
      <c r="AC92" s="2">
        <v>6.1840000000000002</v>
      </c>
      <c r="AD92" s="2">
        <v>-0.38</v>
      </c>
      <c r="AE92" s="2">
        <v>3</v>
      </c>
      <c r="AF92" t="s">
        <v>51</v>
      </c>
      <c r="AG92" t="s">
        <v>1237</v>
      </c>
      <c r="AH92">
        <v>67</v>
      </c>
      <c r="AI92">
        <v>29</v>
      </c>
      <c r="AJ92">
        <v>1.6</v>
      </c>
      <c r="AK92">
        <v>5.1100000000000003</v>
      </c>
      <c r="AL92">
        <v>7.4</v>
      </c>
      <c r="AM92">
        <v>-118</v>
      </c>
      <c r="AN92">
        <v>7.11</v>
      </c>
      <c r="AO92">
        <v>940</v>
      </c>
      <c r="AP92">
        <v>0.2</v>
      </c>
      <c r="AQ92">
        <v>0.01</v>
      </c>
      <c r="AR92">
        <v>8.9</v>
      </c>
      <c r="AS92">
        <v>11</v>
      </c>
      <c r="AT92">
        <v>620</v>
      </c>
      <c r="AU92" s="32">
        <f t="shared" si="89"/>
        <v>0.23812572013826652</v>
      </c>
      <c r="AV92">
        <v>10</v>
      </c>
      <c r="AW92" s="32">
        <f t="shared" si="90"/>
        <v>3.9070978945083571E-3</v>
      </c>
      <c r="AX92">
        <v>330</v>
      </c>
      <c r="AY92" s="32">
        <f t="shared" si="91"/>
        <v>0.13054535179429219</v>
      </c>
      <c r="AZ92">
        <v>190</v>
      </c>
      <c r="BA92" s="32">
        <f t="shared" si="92"/>
        <v>7.5162475275501545E-2</v>
      </c>
      <c r="BB92">
        <v>98</v>
      </c>
      <c r="BC92" s="32">
        <f t="shared" si="93"/>
        <v>3.8768013563153431E-2</v>
      </c>
      <c r="BD92">
        <v>288</v>
      </c>
      <c r="BF92" s="48">
        <v>1248</v>
      </c>
      <c r="BG92" s="48">
        <f t="shared" si="94"/>
        <v>0.37257816982706704</v>
      </c>
      <c r="BH92">
        <v>150</v>
      </c>
      <c r="BI92" s="32">
        <f t="shared" si="95"/>
        <v>5.617539205742373E-2</v>
      </c>
      <c r="BJ92" s="47">
        <v>88</v>
      </c>
      <c r="BK92" s="27">
        <f t="shared" si="96"/>
        <v>3.2956230007021921E-2</v>
      </c>
      <c r="BL92" s="47">
        <v>0.17</v>
      </c>
      <c r="BM92" s="27">
        <f t="shared" si="97"/>
        <v>6.2553387213351737E-5</v>
      </c>
      <c r="BN92" s="47">
        <v>0.11</v>
      </c>
      <c r="BO92" s="27">
        <f t="shared" si="98"/>
        <v>4.1372154853770834E-5</v>
      </c>
      <c r="BP92" s="47">
        <v>5.0000000000000001E-3</v>
      </c>
      <c r="BQ92" s="27">
        <f t="shared" si="99"/>
        <v>1.8649981951630372E-6</v>
      </c>
      <c r="BR92" s="47">
        <v>0.02</v>
      </c>
      <c r="BS92" s="27">
        <f t="shared" si="100"/>
        <v>7.4061605790270997E-6</v>
      </c>
      <c r="BT92" s="47">
        <v>1E-3</v>
      </c>
      <c r="BU92" s="27">
        <f t="shared" si="101"/>
        <v>3.7030802895135499E-7</v>
      </c>
      <c r="BV92" s="47">
        <v>1E-3</v>
      </c>
      <c r="BW92" s="27">
        <f t="shared" si="102"/>
        <v>3.6588380716934485E-7</v>
      </c>
      <c r="BX92" s="47">
        <v>2E-3</v>
      </c>
      <c r="BY92" s="27">
        <f t="shared" si="103"/>
        <v>7.3176761433868969E-7</v>
      </c>
      <c r="BZ92" s="51">
        <f t="shared" si="104"/>
        <v>88.308999999999997</v>
      </c>
      <c r="CA92" s="51">
        <f t="shared" si="105"/>
        <v>0.30900000000000005</v>
      </c>
      <c r="CB92" s="27">
        <f t="shared" si="106"/>
        <v>3.3070894667313687E-2</v>
      </c>
      <c r="CC92" s="27">
        <f t="shared" si="107"/>
        <v>1.146646602917721E-4</v>
      </c>
      <c r="CD92">
        <v>370</v>
      </c>
      <c r="CE92">
        <v>55</v>
      </c>
      <c r="CF92">
        <v>30</v>
      </c>
      <c r="CG92">
        <v>480</v>
      </c>
      <c r="CH92" s="32">
        <v>18</v>
      </c>
      <c r="CI92" s="32">
        <f t="shared" si="108"/>
        <v>0.32229185317815578</v>
      </c>
      <c r="CJ92" s="32">
        <f t="shared" si="109"/>
        <v>0.32229185317815578</v>
      </c>
      <c r="CK92" s="32">
        <v>3</v>
      </c>
      <c r="CL92" s="32">
        <f t="shared" si="110"/>
        <v>5.4614964500273075E-2</v>
      </c>
      <c r="CM92" s="32">
        <f t="shared" si="111"/>
        <v>0.10922992900054615</v>
      </c>
      <c r="CN92" s="27">
        <v>16</v>
      </c>
      <c r="CO92" s="27">
        <f t="shared" si="112"/>
        <v>0.16656256506350198</v>
      </c>
      <c r="CP92" s="27">
        <f t="shared" si="113"/>
        <v>1.3325005205080158</v>
      </c>
      <c r="CQ92" s="57">
        <v>66</v>
      </c>
      <c r="CR92" s="57">
        <v>80.487804878048792</v>
      </c>
      <c r="CS92" s="57">
        <v>5.4965646470955649</v>
      </c>
      <c r="CT92" s="57">
        <f t="shared" si="114"/>
        <v>5.4965646470955649</v>
      </c>
      <c r="CU92" s="28">
        <v>66</v>
      </c>
      <c r="CV92" s="28">
        <v>80.487804878048792</v>
      </c>
      <c r="CW92" s="28">
        <v>5.4965646470955649</v>
      </c>
      <c r="CX92" s="28">
        <f t="shared" si="115"/>
        <v>5.4965646470955649</v>
      </c>
      <c r="CY92" s="32">
        <f t="shared" si="116"/>
        <v>38.366021236727043</v>
      </c>
      <c r="CZ92" s="32">
        <f t="shared" si="117"/>
        <v>38.366021236727043</v>
      </c>
      <c r="DA92" s="32">
        <f t="shared" si="118"/>
        <v>56.366021236727043</v>
      </c>
      <c r="DB92" s="32">
        <f t="shared" si="119"/>
        <v>1.0092394133702245</v>
      </c>
      <c r="DC92" s="32">
        <f t="shared" si="120"/>
        <v>1.0092394133702245</v>
      </c>
      <c r="DD92" s="59">
        <f t="shared" si="121"/>
        <v>38.366021236727043</v>
      </c>
      <c r="DE92" s="59">
        <f t="shared" si="122"/>
        <v>38.366021236727043</v>
      </c>
      <c r="DF92" s="59">
        <f t="shared" si="123"/>
        <v>56.366021236727043</v>
      </c>
      <c r="DG92" s="59">
        <f t="shared" si="124"/>
        <v>1.0092394133702245</v>
      </c>
      <c r="DH92" s="59">
        <f t="shared" si="125"/>
        <v>1.0092394133702245</v>
      </c>
      <c r="DI92" s="32">
        <f t="shared" si="126"/>
        <v>1.3325005205080158</v>
      </c>
      <c r="DJ92" s="32">
        <f t="shared" si="127"/>
        <v>59.366021236727043</v>
      </c>
      <c r="DK92" s="32">
        <f t="shared" si="128"/>
        <v>1.1184693423707706</v>
      </c>
      <c r="DL92">
        <f t="shared" si="129"/>
        <v>6.615033989466335</v>
      </c>
      <c r="DM92">
        <f t="shared" si="78"/>
        <v>1.6512376077656137E-2</v>
      </c>
      <c r="DN92">
        <f t="shared" si="79"/>
        <v>0.15256753252928401</v>
      </c>
      <c r="DO92">
        <f t="shared" si="80"/>
        <v>0.83092009139305989</v>
      </c>
      <c r="DP92">
        <f t="shared" si="130"/>
        <v>6.615033989466335</v>
      </c>
      <c r="DQ92">
        <f t="shared" si="81"/>
        <v>1.6512376077656137E-2</v>
      </c>
      <c r="DR92">
        <f t="shared" si="82"/>
        <v>0.15256753252928401</v>
      </c>
      <c r="DS92">
        <f t="shared" si="83"/>
        <v>0.83092009139305989</v>
      </c>
      <c r="DT92" s="63">
        <f t="shared" si="84"/>
        <v>-6.1862804275818446</v>
      </c>
      <c r="DU92" s="63">
        <f t="shared" si="85"/>
        <v>-6.1862804275818446</v>
      </c>
      <c r="DV92" s="63">
        <f t="shared" si="86"/>
        <v>-6.1861657629215525</v>
      </c>
      <c r="DW92" s="63">
        <f t="shared" si="87"/>
        <v>-6.1861657629215525</v>
      </c>
      <c r="DX92" t="str">
        <f t="shared" si="131"/>
        <v>Sufficient Capacity</v>
      </c>
      <c r="DY92" t="str">
        <f t="shared" si="132"/>
        <v>Sufficient Capacity</v>
      </c>
      <c r="DZ92" t="str">
        <f t="shared" si="133"/>
        <v>Sulfate Dominant electron acceptor</v>
      </c>
      <c r="EA92" t="str">
        <f t="shared" si="88"/>
        <v>Sulfate Dominant electron acceptor</v>
      </c>
      <c r="EB92">
        <v>9.3782510000000006E-3</v>
      </c>
      <c r="EC92">
        <v>1.1760570000000001E-3</v>
      </c>
      <c r="ED92" s="66">
        <v>1.330509E-5</v>
      </c>
      <c r="EE92">
        <v>4.560794E-4</v>
      </c>
      <c r="EF92">
        <v>4.3694099999999998E-3</v>
      </c>
      <c r="EG92" s="66">
        <v>3.7552149999999999E-5</v>
      </c>
      <c r="EH92">
        <v>2.5339600000000002E-4</v>
      </c>
      <c r="EI92">
        <v>1.5032540000000001E-4</v>
      </c>
      <c r="EJ92">
        <v>3.9937579999999999E-4</v>
      </c>
      <c r="EK92">
        <v>7.350255E-4</v>
      </c>
      <c r="EL92">
        <v>3.4799290000000002E-4</v>
      </c>
      <c r="EM92">
        <v>2.1310470000000001E-4</v>
      </c>
      <c r="EN92">
        <v>2.1326990000000001E-3</v>
      </c>
      <c r="EO92">
        <v>8.4875770000000003E-4</v>
      </c>
      <c r="EP92">
        <v>2.1498699999999999E-3</v>
      </c>
      <c r="EQ92">
        <v>1.3241520000000001E-3</v>
      </c>
      <c r="ER92">
        <v>3.2723870000000001E-4</v>
      </c>
      <c r="ES92">
        <v>7.5522930000000005E-4</v>
      </c>
      <c r="ET92">
        <v>1.5577540000000001E-2</v>
      </c>
      <c r="EU92">
        <v>3.2540640000000001E-3</v>
      </c>
      <c r="EV92">
        <v>9.4137330000000005E-3</v>
      </c>
      <c r="EW92">
        <v>5.961009E-4</v>
      </c>
      <c r="EX92">
        <v>4.5567869999999996E-3</v>
      </c>
      <c r="EY92">
        <v>6.6767010000000002E-3</v>
      </c>
      <c r="EZ92">
        <v>1.4693690000000001E-3</v>
      </c>
      <c r="FA92">
        <v>9.6062739999999995E-4</v>
      </c>
      <c r="FB92">
        <v>9.7878890000000006E-4</v>
      </c>
      <c r="FC92">
        <v>1.8553560000000001E-3</v>
      </c>
      <c r="FD92">
        <v>5.3479210000000001E-4</v>
      </c>
      <c r="FE92">
        <v>2.223727E-2</v>
      </c>
      <c r="FF92">
        <v>9.0989480000000008E-3</v>
      </c>
      <c r="FG92">
        <v>5.2706999999999997E-3</v>
      </c>
      <c r="FH92">
        <v>5.8624130000000003E-4</v>
      </c>
      <c r="FI92">
        <v>1.4681640000000001E-3</v>
      </c>
      <c r="FJ92">
        <v>6.8013489999999999E-3</v>
      </c>
      <c r="FK92">
        <v>-0.227730401103174</v>
      </c>
      <c r="FL92">
        <v>-5.1517131530440401E-2</v>
      </c>
      <c r="FM92">
        <v>1.13394800086087</v>
      </c>
      <c r="FN92">
        <v>-0.15861867270902999</v>
      </c>
      <c r="FO92">
        <v>0.63862130271886997</v>
      </c>
      <c r="FP92">
        <v>-0.10208417605086299</v>
      </c>
      <c r="FQ92">
        <v>2.1613094074287399E-2</v>
      </c>
      <c r="FR92">
        <v>-0.26948879703683998</v>
      </c>
      <c r="FS92">
        <v>-0.18783641947301799</v>
      </c>
      <c r="FT92">
        <v>4.7617050645520499E-2</v>
      </c>
      <c r="FU92">
        <v>3.8989850418889901E-2</v>
      </c>
      <c r="FV92">
        <v>1.4745208447426E-2</v>
      </c>
      <c r="FW92">
        <v>9.1577177287070405E-2</v>
      </c>
      <c r="FX92">
        <v>-0.19110031567507499</v>
      </c>
      <c r="FY92">
        <v>8.1291415274626494E-2</v>
      </c>
      <c r="FZ92">
        <v>0.58482326767676096</v>
      </c>
      <c r="GA92">
        <v>0.161151701725577</v>
      </c>
      <c r="GB92">
        <v>6.2920703144232704E-2</v>
      </c>
      <c r="GC92">
        <v>-7.81269291381195E-2</v>
      </c>
      <c r="GD92">
        <v>-8.7758668576816995E-2</v>
      </c>
      <c r="GE92">
        <v>-1.42839036792655E-2</v>
      </c>
      <c r="GF92">
        <v>0.142672245097616</v>
      </c>
      <c r="GG92">
        <v>1.55500143613123E-2</v>
      </c>
      <c r="GH92">
        <v>-9.9180070061839504E-3</v>
      </c>
      <c r="GI92">
        <v>-9.74401668622615E-3</v>
      </c>
      <c r="GJ92">
        <v>0.40369809711163501</v>
      </c>
      <c r="GK92">
        <v>-4.7737996044481298E-2</v>
      </c>
      <c r="GL92">
        <v>-0.49654467701416199</v>
      </c>
      <c r="GM92">
        <v>-0.47004373937032701</v>
      </c>
      <c r="GN92">
        <v>-0.30204020845309498</v>
      </c>
      <c r="GO92">
        <v>2.2198754154072901E-2</v>
      </c>
      <c r="GP92">
        <v>-0.44297147950396798</v>
      </c>
      <c r="GR92" s="66"/>
      <c r="GT92" s="66"/>
      <c r="GV92" s="66"/>
      <c r="GW92" s="65"/>
      <c r="HK92" s="1"/>
      <c r="HL92" s="1"/>
      <c r="HM92" s="65"/>
      <c r="HN92" s="1"/>
      <c r="HO92" s="65"/>
      <c r="HP92" s="65"/>
      <c r="HQ92" s="65"/>
      <c r="HS92" s="65"/>
      <c r="HT92" s="65"/>
      <c r="HU92" s="65"/>
      <c r="HV92" s="65"/>
      <c r="HW92" s="65"/>
      <c r="HX92" s="65"/>
      <c r="JJ92" s="66"/>
      <c r="JL92" s="66"/>
      <c r="JN92" s="66"/>
    </row>
    <row r="93" spans="1:278" ht="15.75" x14ac:dyDescent="0.25">
      <c r="A93" s="5" t="s">
        <v>146</v>
      </c>
      <c r="B93" s="5" t="s">
        <v>146</v>
      </c>
      <c r="C93" s="2" t="s">
        <v>879</v>
      </c>
      <c r="D93" s="2" t="s">
        <v>535</v>
      </c>
      <c r="E93" s="2" t="s">
        <v>535</v>
      </c>
      <c r="F93" s="2">
        <v>92</v>
      </c>
      <c r="G93" s="2" t="s">
        <v>878</v>
      </c>
      <c r="H93" s="10" t="s">
        <v>656</v>
      </c>
      <c r="I93" s="2">
        <v>150</v>
      </c>
      <c r="J93" s="14">
        <v>100</v>
      </c>
      <c r="K93" s="13">
        <v>3.6</v>
      </c>
      <c r="L93" t="s">
        <v>320</v>
      </c>
      <c r="M93" s="2" t="s">
        <v>1120</v>
      </c>
      <c r="N93" s="2" t="s">
        <v>437</v>
      </c>
      <c r="O93" s="2" t="s">
        <v>653</v>
      </c>
      <c r="P93" s="2" t="s">
        <v>1124</v>
      </c>
      <c r="Q93" s="9" t="s">
        <v>734</v>
      </c>
      <c r="R93" s="2" t="str">
        <f t="shared" si="73"/>
        <v>CW_3_Section_1</v>
      </c>
      <c r="S93" s="2" t="str">
        <f t="shared" si="74"/>
        <v>CW_3_MF02</v>
      </c>
      <c r="T93" s="11" t="s">
        <v>845</v>
      </c>
      <c r="U93" s="1">
        <v>45707</v>
      </c>
      <c r="V93" s="2" t="s">
        <v>799</v>
      </c>
      <c r="W93" s="2" t="s">
        <v>663</v>
      </c>
      <c r="X93" s="2" t="s">
        <v>844</v>
      </c>
      <c r="Y93" s="2" t="str">
        <f t="shared" si="75"/>
        <v>T3_MF02</v>
      </c>
      <c r="Z93" s="2" t="str">
        <f t="shared" si="76"/>
        <v>T3_CW_3_MF02</v>
      </c>
      <c r="AA93" s="2" t="str">
        <f t="shared" si="77"/>
        <v>T3_0.60-0.80</v>
      </c>
      <c r="AB93" s="2">
        <v>188</v>
      </c>
      <c r="AC93" s="2">
        <v>6.1840000000000002</v>
      </c>
      <c r="AD93" s="2">
        <v>-0.38</v>
      </c>
      <c r="AE93" s="2">
        <v>3</v>
      </c>
      <c r="AF93" t="s">
        <v>53</v>
      </c>
      <c r="AG93" t="s">
        <v>1237</v>
      </c>
      <c r="AH93">
        <v>69</v>
      </c>
      <c r="AI93">
        <v>31</v>
      </c>
      <c r="AJ93">
        <v>1.3</v>
      </c>
      <c r="AK93">
        <v>0.55000000000000004</v>
      </c>
      <c r="AL93">
        <v>7.3</v>
      </c>
      <c r="AM93">
        <v>-133</v>
      </c>
      <c r="AN93">
        <v>7.08</v>
      </c>
      <c r="AO93">
        <v>740</v>
      </c>
      <c r="AP93">
        <v>0.2</v>
      </c>
      <c r="AQ93">
        <v>0.01</v>
      </c>
      <c r="AR93">
        <v>13</v>
      </c>
      <c r="AS93">
        <v>15</v>
      </c>
      <c r="AT93">
        <v>760</v>
      </c>
      <c r="AU93" s="32">
        <f t="shared" si="89"/>
        <v>0.29189604404045577</v>
      </c>
      <c r="AV93">
        <v>57</v>
      </c>
      <c r="AW93" s="32">
        <f t="shared" si="90"/>
        <v>2.2270457998697635E-2</v>
      </c>
      <c r="AX93">
        <v>630</v>
      </c>
      <c r="AY93" s="32">
        <f t="shared" si="91"/>
        <v>0.24922294433455777</v>
      </c>
      <c r="AZ93">
        <v>250</v>
      </c>
      <c r="BA93" s="32">
        <f t="shared" si="92"/>
        <v>9.8897993783554669E-2</v>
      </c>
      <c r="BB93">
        <v>330</v>
      </c>
      <c r="BC93" s="32">
        <f t="shared" si="93"/>
        <v>0.13054535179429219</v>
      </c>
      <c r="BD93">
        <v>580</v>
      </c>
      <c r="BF93" s="48">
        <v>2027</v>
      </c>
      <c r="BG93" s="48">
        <f t="shared" si="94"/>
        <v>0.56338944637371124</v>
      </c>
      <c r="BH93">
        <v>4500</v>
      </c>
      <c r="BI93" s="32">
        <f t="shared" si="95"/>
        <v>1.6852617617227121</v>
      </c>
      <c r="BJ93" s="47">
        <v>6400</v>
      </c>
      <c r="BK93" s="27">
        <f t="shared" si="96"/>
        <v>2.3968167277834125</v>
      </c>
      <c r="BL93" s="47">
        <v>120</v>
      </c>
      <c r="BM93" s="27">
        <f t="shared" si="97"/>
        <v>4.4155332150601224E-2</v>
      </c>
      <c r="BN93" s="47">
        <v>260</v>
      </c>
      <c r="BO93" s="27">
        <f t="shared" si="98"/>
        <v>9.7788729654367426E-2</v>
      </c>
      <c r="BP93" s="47">
        <v>86</v>
      </c>
      <c r="BQ93" s="27">
        <f t="shared" si="99"/>
        <v>3.2077968956804238E-2</v>
      </c>
      <c r="BR93" s="47">
        <v>47</v>
      </c>
      <c r="BS93" s="27">
        <f t="shared" si="100"/>
        <v>1.7404477360713686E-2</v>
      </c>
      <c r="BT93" s="47">
        <v>1.8</v>
      </c>
      <c r="BU93" s="27">
        <f t="shared" si="101"/>
        <v>6.6655445211243904E-4</v>
      </c>
      <c r="BV93" s="47">
        <v>0.4</v>
      </c>
      <c r="BW93" s="27">
        <f t="shared" si="102"/>
        <v>1.4635352286773798E-4</v>
      </c>
      <c r="BX93" s="47">
        <v>0.31</v>
      </c>
      <c r="BY93" s="27">
        <f t="shared" si="103"/>
        <v>1.1342398022249691E-4</v>
      </c>
      <c r="BZ93" s="51">
        <f t="shared" si="104"/>
        <v>6915.51</v>
      </c>
      <c r="CA93" s="51">
        <f t="shared" si="105"/>
        <v>515.50999999999988</v>
      </c>
      <c r="CB93" s="27">
        <f t="shared" si="106"/>
        <v>2.5891695678611018</v>
      </c>
      <c r="CC93" s="27">
        <f t="shared" si="107"/>
        <v>0.19235284007768924</v>
      </c>
      <c r="CD93">
        <v>6300</v>
      </c>
      <c r="CE93">
        <v>2100</v>
      </c>
      <c r="CF93" t="s">
        <v>19</v>
      </c>
      <c r="CG93">
        <v>8400</v>
      </c>
      <c r="CH93" s="32">
        <v>0.4</v>
      </c>
      <c r="CI93" s="32">
        <f t="shared" si="108"/>
        <v>7.162041181736795E-3</v>
      </c>
      <c r="CJ93" s="32">
        <f t="shared" si="109"/>
        <v>7.162041181736795E-3</v>
      </c>
      <c r="CK93" s="32">
        <v>1</v>
      </c>
      <c r="CL93" s="32">
        <f t="shared" si="110"/>
        <v>1.8204988166757693E-2</v>
      </c>
      <c r="CM93" s="32">
        <f t="shared" si="111"/>
        <v>3.6409976333515386E-2</v>
      </c>
      <c r="CN93" s="27">
        <v>70</v>
      </c>
      <c r="CO93" s="27">
        <f t="shared" si="112"/>
        <v>0.72871122215282114</v>
      </c>
      <c r="CP93" s="27">
        <f t="shared" si="113"/>
        <v>5.8296897772225691</v>
      </c>
      <c r="CQ93" s="57">
        <v>12</v>
      </c>
      <c r="CR93" s="57">
        <v>14.634146341463413</v>
      </c>
      <c r="CS93" s="57">
        <v>0.99937539038101186</v>
      </c>
      <c r="CT93" s="57">
        <f t="shared" si="114"/>
        <v>0.99937539038101186</v>
      </c>
      <c r="CU93" s="28">
        <v>12</v>
      </c>
      <c r="CV93" s="28">
        <v>14.634146341463413</v>
      </c>
      <c r="CW93" s="28">
        <v>0.99937539038101186</v>
      </c>
      <c r="CX93" s="28">
        <f t="shared" si="115"/>
        <v>0.99937539038101186</v>
      </c>
      <c r="CY93" s="32">
        <f t="shared" si="116"/>
        <v>6.9756402248594629</v>
      </c>
      <c r="CZ93" s="32">
        <f t="shared" si="117"/>
        <v>6.9756402248594629</v>
      </c>
      <c r="DA93" s="32">
        <f t="shared" si="118"/>
        <v>7.3756402248594632</v>
      </c>
      <c r="DB93" s="32">
        <f t="shared" si="119"/>
        <v>0.13206159758029476</v>
      </c>
      <c r="DC93" s="32">
        <f t="shared" si="120"/>
        <v>0.13206159758029476</v>
      </c>
      <c r="DD93" s="59">
        <f t="shared" si="121"/>
        <v>6.9756402248594629</v>
      </c>
      <c r="DE93" s="59">
        <f t="shared" si="122"/>
        <v>6.9756402248594629</v>
      </c>
      <c r="DF93" s="59">
        <f t="shared" si="123"/>
        <v>7.3756402248594632</v>
      </c>
      <c r="DG93" s="59">
        <f t="shared" si="124"/>
        <v>0.13206159758029476</v>
      </c>
      <c r="DH93" s="59">
        <f t="shared" si="125"/>
        <v>0.13206159758029476</v>
      </c>
      <c r="DI93" s="32">
        <f t="shared" si="126"/>
        <v>5.8296897772225691</v>
      </c>
      <c r="DJ93" s="32">
        <f t="shared" si="127"/>
        <v>8.3756402248594632</v>
      </c>
      <c r="DK93" s="32">
        <f t="shared" si="128"/>
        <v>0.16847157391381015</v>
      </c>
      <c r="DL93">
        <f t="shared" si="129"/>
        <v>1.1678469642948219</v>
      </c>
      <c r="DM93">
        <f t="shared" si="78"/>
        <v>3.1177009870895823E-2</v>
      </c>
      <c r="DN93">
        <f t="shared" si="79"/>
        <v>0.11308125261089939</v>
      </c>
      <c r="DO93">
        <f t="shared" si="80"/>
        <v>0.85574173751820481</v>
      </c>
      <c r="DP93">
        <f t="shared" si="130"/>
        <v>1.1678469642948219</v>
      </c>
      <c r="DQ93">
        <f t="shared" si="81"/>
        <v>3.1177009870895823E-2</v>
      </c>
      <c r="DR93">
        <f t="shared" si="82"/>
        <v>0.11308125261089939</v>
      </c>
      <c r="DS93">
        <f t="shared" si="83"/>
        <v>0.85574173751820481</v>
      </c>
      <c r="DT93" s="63">
        <f t="shared" si="84"/>
        <v>1.0808042438016014</v>
      </c>
      <c r="DU93" s="63">
        <f t="shared" si="85"/>
        <v>1.0808042438016014</v>
      </c>
      <c r="DV93" s="63">
        <f t="shared" si="86"/>
        <v>1.2731570838792907</v>
      </c>
      <c r="DW93" s="63">
        <f t="shared" si="87"/>
        <v>1.2731570838792907</v>
      </c>
      <c r="DX93" t="str">
        <f t="shared" si="131"/>
        <v>Insufficient Capacity</v>
      </c>
      <c r="DY93" t="str">
        <f t="shared" si="132"/>
        <v>Insufficient Capacity</v>
      </c>
      <c r="DZ93" t="str">
        <f t="shared" si="133"/>
        <v>Sulfate Dominant electron acceptor</v>
      </c>
      <c r="EA93" t="str">
        <f t="shared" si="88"/>
        <v>Sulfate Dominant electron acceptor</v>
      </c>
      <c r="EB93">
        <v>9.1130740000000005E-3</v>
      </c>
      <c r="EC93">
        <v>1.4804460000000001E-3</v>
      </c>
      <c r="ED93" s="66">
        <v>5.9924130000000002E-6</v>
      </c>
      <c r="EE93">
        <v>4.4988180000000001E-4</v>
      </c>
      <c r="EF93">
        <v>5.1542970000000004E-3</v>
      </c>
      <c r="EG93" s="66">
        <v>4.366592E-5</v>
      </c>
      <c r="EH93">
        <v>2.4986080000000003E-4</v>
      </c>
      <c r="EI93">
        <v>1.241824E-4</v>
      </c>
      <c r="EJ93">
        <v>3.967962E-4</v>
      </c>
      <c r="EK93">
        <v>7.8268119999999998E-4</v>
      </c>
      <c r="EL93">
        <v>4.3386420000000002E-4</v>
      </c>
      <c r="EM93">
        <v>2.4779609999999998E-4</v>
      </c>
      <c r="EN93">
        <v>2.1528189999999998E-3</v>
      </c>
      <c r="EO93">
        <v>9.6335880000000004E-4</v>
      </c>
      <c r="EP93">
        <v>2.094196E-3</v>
      </c>
      <c r="EQ93">
        <v>1.304403E-3</v>
      </c>
      <c r="ER93">
        <v>4.7199820000000002E-4</v>
      </c>
      <c r="ES93">
        <v>7.9969380000000003E-4</v>
      </c>
      <c r="ET93">
        <v>8.7813700000000001E-3</v>
      </c>
      <c r="EU93">
        <v>2.5108130000000002E-3</v>
      </c>
      <c r="EV93">
        <v>9.2354700000000008E-3</v>
      </c>
      <c r="EW93">
        <v>6.768732E-4</v>
      </c>
      <c r="EX93">
        <v>4.7376889999999998E-3</v>
      </c>
      <c r="EY93">
        <v>7.0063199999999999E-3</v>
      </c>
      <c r="EZ93">
        <v>1.588908E-3</v>
      </c>
      <c r="FA93">
        <v>8.4446830000000001E-4</v>
      </c>
      <c r="FB93">
        <v>8.6951390000000002E-4</v>
      </c>
      <c r="FC93">
        <v>1.7018510000000001E-3</v>
      </c>
      <c r="FD93">
        <v>6.0045170000000002E-4</v>
      </c>
      <c r="FE93">
        <v>2.4388590000000002E-2</v>
      </c>
      <c r="FF93">
        <v>1.482521E-2</v>
      </c>
      <c r="FG93">
        <v>8.1968240000000001E-3</v>
      </c>
      <c r="FH93">
        <v>7.0797549999999996E-4</v>
      </c>
      <c r="FI93">
        <v>1.3786E-3</v>
      </c>
      <c r="FJ93">
        <v>1.0498830000000001E-2</v>
      </c>
      <c r="FK93">
        <v>-0.241412436672193</v>
      </c>
      <c r="FL93">
        <v>0.113685615634</v>
      </c>
      <c r="FM93">
        <v>1.2847853024493801</v>
      </c>
      <c r="FN93">
        <v>-0.17266819236026501</v>
      </c>
      <c r="FO93">
        <v>0.44757047742908501</v>
      </c>
      <c r="FP93">
        <v>-0.10856420555858801</v>
      </c>
      <c r="FQ93">
        <v>8.4433362688083796E-2</v>
      </c>
      <c r="FR93">
        <v>-4.8939292394164703E-2</v>
      </c>
      <c r="FS93">
        <v>-3.7013783135036803E-2</v>
      </c>
      <c r="FT93">
        <v>5.70068830203816E-2</v>
      </c>
      <c r="FU93">
        <v>0.16564202749729101</v>
      </c>
      <c r="FV93">
        <v>-1.14924579156224E-2</v>
      </c>
      <c r="FW93">
        <v>7.6550387574694206E-2</v>
      </c>
      <c r="FX93">
        <v>0.17518498232576499</v>
      </c>
      <c r="FY93">
        <v>0.138498907926905</v>
      </c>
      <c r="FZ93">
        <v>1.16255663587621E-2</v>
      </c>
      <c r="GA93">
        <v>-9.8146369898191005E-2</v>
      </c>
      <c r="GB93">
        <v>4.38026282782467E-2</v>
      </c>
      <c r="GC93">
        <v>4.8947081295290601E-2</v>
      </c>
      <c r="GD93">
        <v>-4.8826974417114102E-2</v>
      </c>
      <c r="GE93">
        <v>3.3904691905584101E-2</v>
      </c>
      <c r="GF93">
        <v>0.22088617599186999</v>
      </c>
      <c r="GG93">
        <v>-0.113329399762703</v>
      </c>
      <c r="GH93">
        <v>-0.12829967822803601</v>
      </c>
      <c r="GI93">
        <v>-9.6104125825996298E-2</v>
      </c>
      <c r="GJ93">
        <v>0.51950222918289901</v>
      </c>
      <c r="GK93">
        <v>4.4607693884944198E-2</v>
      </c>
      <c r="GL93">
        <v>-8.3743694138140902E-3</v>
      </c>
      <c r="GM93">
        <v>-2.8460158256902599E-2</v>
      </c>
      <c r="GN93">
        <v>-0.11336219944298501</v>
      </c>
      <c r="GO93">
        <v>-4.0745394950252298E-2</v>
      </c>
      <c r="GP93">
        <v>-8.8286319803687601E-3</v>
      </c>
      <c r="GY93" s="65"/>
      <c r="HK93" s="1"/>
      <c r="HL93" s="1"/>
      <c r="HM93" s="65"/>
      <c r="HN93" s="1"/>
      <c r="HO93" s="65"/>
      <c r="HS93" s="65"/>
      <c r="HV93" s="65"/>
      <c r="HW93" s="65"/>
      <c r="HX93" s="65"/>
      <c r="JJ93" s="66"/>
      <c r="JL93" s="66"/>
      <c r="JN93" s="66"/>
    </row>
    <row r="94" spans="1:278" ht="15.75" x14ac:dyDescent="0.25">
      <c r="A94" s="5" t="s">
        <v>147</v>
      </c>
      <c r="B94" s="5" t="s">
        <v>147</v>
      </c>
      <c r="C94" s="2" t="s">
        <v>881</v>
      </c>
      <c r="D94" s="2" t="s">
        <v>536</v>
      </c>
      <c r="E94" s="2" t="s">
        <v>536</v>
      </c>
      <c r="F94" s="2">
        <v>93</v>
      </c>
      <c r="G94" s="2" t="s">
        <v>880</v>
      </c>
      <c r="H94" s="10" t="s">
        <v>656</v>
      </c>
      <c r="I94" s="2">
        <v>150</v>
      </c>
      <c r="J94" s="14">
        <v>100</v>
      </c>
      <c r="K94" s="13">
        <v>6.15</v>
      </c>
      <c r="L94" t="s">
        <v>321</v>
      </c>
      <c r="M94" s="2" t="s">
        <v>1120</v>
      </c>
      <c r="N94" s="2" t="s">
        <v>437</v>
      </c>
      <c r="O94" s="2" t="s">
        <v>666</v>
      </c>
      <c r="P94" s="2" t="s">
        <v>1131</v>
      </c>
      <c r="Q94" s="9" t="s">
        <v>737</v>
      </c>
      <c r="R94" s="2" t="str">
        <f t="shared" si="73"/>
        <v>CW_3_Section_2</v>
      </c>
      <c r="S94" s="2" t="str">
        <f t="shared" si="74"/>
        <v>CW_3_MF05</v>
      </c>
      <c r="T94" s="11" t="s">
        <v>845</v>
      </c>
      <c r="U94" s="1">
        <v>45707</v>
      </c>
      <c r="V94" s="2" t="s">
        <v>799</v>
      </c>
      <c r="W94" s="2" t="s">
        <v>655</v>
      </c>
      <c r="X94" s="2" t="s">
        <v>844</v>
      </c>
      <c r="Y94" s="2" t="str">
        <f t="shared" si="75"/>
        <v>T3_MF05</v>
      </c>
      <c r="Z94" s="2" t="str">
        <f t="shared" si="76"/>
        <v>T3_CW_3_MF05</v>
      </c>
      <c r="AA94" s="2" t="str">
        <f t="shared" si="77"/>
        <v>T3_0.15-0.30</v>
      </c>
      <c r="AB94" s="2">
        <v>188</v>
      </c>
      <c r="AC94" s="2">
        <v>6.1840000000000002</v>
      </c>
      <c r="AD94" s="2">
        <v>-0.38</v>
      </c>
      <c r="AE94" s="2">
        <v>3</v>
      </c>
      <c r="AF94" t="s">
        <v>55</v>
      </c>
      <c r="AG94" t="s">
        <v>1237</v>
      </c>
      <c r="AH94">
        <v>68</v>
      </c>
      <c r="AI94">
        <v>0.2</v>
      </c>
      <c r="AJ94">
        <v>1</v>
      </c>
      <c r="AK94">
        <v>6.98</v>
      </c>
      <c r="AL94">
        <v>7.5</v>
      </c>
      <c r="AM94">
        <v>-78</v>
      </c>
      <c r="AN94">
        <v>6.99</v>
      </c>
      <c r="AO94">
        <v>712</v>
      </c>
      <c r="AP94">
        <v>0.2</v>
      </c>
      <c r="AQ94">
        <v>0.01</v>
      </c>
      <c r="AR94">
        <v>0.05</v>
      </c>
      <c r="AS94">
        <v>0.05</v>
      </c>
      <c r="AT94">
        <v>0.76</v>
      </c>
      <c r="AU94" s="32">
        <f t="shared" si="89"/>
        <v>2.9189604404045578E-4</v>
      </c>
      <c r="AV94">
        <v>0.02</v>
      </c>
      <c r="AW94" s="32">
        <f t="shared" si="90"/>
        <v>7.8141957890167132E-6</v>
      </c>
      <c r="AX94">
        <v>1.9</v>
      </c>
      <c r="AY94" s="32">
        <f t="shared" si="91"/>
        <v>7.5162475275501544E-4</v>
      </c>
      <c r="AZ94">
        <v>0.62</v>
      </c>
      <c r="BA94" s="32">
        <f t="shared" si="92"/>
        <v>2.4526702458321558E-4</v>
      </c>
      <c r="BB94">
        <v>0.69</v>
      </c>
      <c r="BC94" s="32">
        <f t="shared" si="93"/>
        <v>2.7295846284261087E-4</v>
      </c>
      <c r="BD94">
        <v>1.31</v>
      </c>
      <c r="BF94" s="48">
        <v>4.1100000000000003</v>
      </c>
      <c r="BG94" s="48">
        <f t="shared" si="94"/>
        <v>1.0513349925844878E-3</v>
      </c>
      <c r="BH94">
        <v>7.1</v>
      </c>
      <c r="BI94" s="32">
        <f t="shared" si="95"/>
        <v>2.6589685573847233E-3</v>
      </c>
      <c r="BJ94" s="47">
        <v>4.4000000000000004</v>
      </c>
      <c r="BK94" s="27">
        <f t="shared" si="96"/>
        <v>1.6478115003510964E-3</v>
      </c>
      <c r="BL94" s="47">
        <v>0.01</v>
      </c>
      <c r="BM94" s="27">
        <f t="shared" si="97"/>
        <v>3.6796110125501018E-6</v>
      </c>
      <c r="BN94" s="47">
        <v>0.01</v>
      </c>
      <c r="BO94" s="27">
        <f t="shared" si="98"/>
        <v>3.7611049867064394E-6</v>
      </c>
      <c r="BP94" s="47">
        <v>5.0000000000000001E-3</v>
      </c>
      <c r="BQ94" s="27">
        <f t="shared" si="99"/>
        <v>1.8649981951630372E-6</v>
      </c>
      <c r="BR94" s="47">
        <v>1E-3</v>
      </c>
      <c r="BS94" s="27">
        <f t="shared" si="100"/>
        <v>3.7030802895135499E-7</v>
      </c>
      <c r="BT94" s="47">
        <v>1E-3</v>
      </c>
      <c r="BU94" s="27">
        <f t="shared" si="101"/>
        <v>3.7030802895135499E-7</v>
      </c>
      <c r="BV94" s="47">
        <v>1E-3</v>
      </c>
      <c r="BW94" s="27">
        <f t="shared" si="102"/>
        <v>3.6588380716934485E-7</v>
      </c>
      <c r="BX94" s="47">
        <v>2E-3</v>
      </c>
      <c r="BY94" s="27">
        <f t="shared" si="103"/>
        <v>7.3176761433868969E-7</v>
      </c>
      <c r="BZ94" s="51">
        <f t="shared" si="104"/>
        <v>4.4300000000000006</v>
      </c>
      <c r="CA94" s="51">
        <f t="shared" si="105"/>
        <v>3.0000000000000006E-2</v>
      </c>
      <c r="CB94" s="27">
        <f t="shared" si="106"/>
        <v>1.6589554820249269E-3</v>
      </c>
      <c r="CC94" s="27">
        <f t="shared" si="107"/>
        <v>1.1143981673830322E-5</v>
      </c>
      <c r="CD94">
        <v>2.5</v>
      </c>
      <c r="CE94">
        <v>2.5</v>
      </c>
      <c r="CF94" t="s">
        <v>19</v>
      </c>
      <c r="CG94">
        <v>5</v>
      </c>
      <c r="CH94" s="32">
        <v>0.9</v>
      </c>
      <c r="CI94" s="32">
        <f t="shared" si="108"/>
        <v>1.611459265890779E-2</v>
      </c>
      <c r="CJ94" s="32">
        <f t="shared" si="109"/>
        <v>1.611459265890779E-2</v>
      </c>
      <c r="CK94" s="32">
        <v>4.7</v>
      </c>
      <c r="CL94" s="32">
        <f t="shared" si="110"/>
        <v>8.556344438376115E-2</v>
      </c>
      <c r="CM94" s="32">
        <f t="shared" si="111"/>
        <v>0.1711268887675223</v>
      </c>
      <c r="CN94" s="27">
        <v>70</v>
      </c>
      <c r="CO94" s="27">
        <f t="shared" si="112"/>
        <v>0.72871122215282114</v>
      </c>
      <c r="CP94" s="27">
        <f t="shared" si="113"/>
        <v>5.8296897772225691</v>
      </c>
      <c r="CQ94" s="57">
        <v>12</v>
      </c>
      <c r="CR94" s="57">
        <v>14.634146341463413</v>
      </c>
      <c r="CS94" s="57">
        <v>0.99937539038101186</v>
      </c>
      <c r="CT94" s="57">
        <f t="shared" si="114"/>
        <v>0.99937539038101186</v>
      </c>
      <c r="CU94" s="28">
        <v>-54</v>
      </c>
      <c r="CV94" s="28">
        <v>-337.5</v>
      </c>
      <c r="CW94" s="28">
        <v>-4.4971892567145533</v>
      </c>
      <c r="CX94" s="28">
        <f t="shared" si="115"/>
        <v>0</v>
      </c>
      <c r="CY94" s="32">
        <f t="shared" si="116"/>
        <v>6.9756402248594629</v>
      </c>
      <c r="CZ94" s="32">
        <f t="shared" si="117"/>
        <v>6.9756402248594629</v>
      </c>
      <c r="DA94" s="32">
        <f t="shared" si="118"/>
        <v>7.8756402248594632</v>
      </c>
      <c r="DB94" s="32">
        <f t="shared" si="119"/>
        <v>0.14101414905746576</v>
      </c>
      <c r="DC94" s="32">
        <f t="shared" si="120"/>
        <v>0.14101414905746576</v>
      </c>
      <c r="DD94" s="59">
        <f t="shared" si="121"/>
        <v>-31.390381011867582</v>
      </c>
      <c r="DE94" s="59">
        <f t="shared" si="122"/>
        <v>0</v>
      </c>
      <c r="DF94" s="59">
        <f t="shared" si="123"/>
        <v>0.9</v>
      </c>
      <c r="DG94" s="59">
        <f t="shared" si="124"/>
        <v>1.611459265890779E-2</v>
      </c>
      <c r="DH94" s="59">
        <f t="shared" si="125"/>
        <v>1.611459265890779E-2</v>
      </c>
      <c r="DI94" s="32">
        <f t="shared" si="126"/>
        <v>5.8296897772225691</v>
      </c>
      <c r="DJ94" s="32">
        <f t="shared" si="127"/>
        <v>5.6000000000000005</v>
      </c>
      <c r="DK94" s="32">
        <f t="shared" si="128"/>
        <v>0.1872414814264301</v>
      </c>
      <c r="DL94">
        <f t="shared" si="129"/>
        <v>1.3115164282059999</v>
      </c>
      <c r="DM94">
        <f t="shared" si="78"/>
        <v>0.13048017172122178</v>
      </c>
      <c r="DN94">
        <f t="shared" si="79"/>
        <v>0.1075199258085974</v>
      </c>
      <c r="DO94">
        <f t="shared" si="80"/>
        <v>0.7619999024701809</v>
      </c>
      <c r="DP94">
        <f t="shared" si="130"/>
        <v>0.1872414814264301</v>
      </c>
      <c r="DQ94">
        <f t="shared" si="81"/>
        <v>0.91393684489064753</v>
      </c>
      <c r="DR94">
        <f t="shared" si="82"/>
        <v>8.6063155109352446E-2</v>
      </c>
      <c r="DS94">
        <f t="shared" si="83"/>
        <v>0</v>
      </c>
      <c r="DT94" s="63">
        <f t="shared" si="84"/>
        <v>-1.3078061246560306</v>
      </c>
      <c r="DU94" s="63">
        <f t="shared" si="85"/>
        <v>-0.18353117787646089</v>
      </c>
      <c r="DV94" s="63">
        <f t="shared" si="86"/>
        <v>-1.307794980674357</v>
      </c>
      <c r="DW94" s="63">
        <f t="shared" si="87"/>
        <v>-0.18352003389478705</v>
      </c>
      <c r="DX94" t="str">
        <f t="shared" si="131"/>
        <v>Sufficient Capacity</v>
      </c>
      <c r="DY94" t="str">
        <f t="shared" si="132"/>
        <v>Sufficient Capacity</v>
      </c>
      <c r="DZ94" t="str">
        <f t="shared" si="133"/>
        <v>Sulfate Dominant electron acceptor</v>
      </c>
      <c r="EA94" t="str">
        <f t="shared" si="88"/>
        <v>Iron Dominant electron acceptor</v>
      </c>
      <c r="EB94">
        <v>9.4280700000000002E-3</v>
      </c>
      <c r="EC94">
        <v>1.66657E-3</v>
      </c>
      <c r="ED94" s="66">
        <v>4.8865340000000002E-7</v>
      </c>
      <c r="EE94">
        <v>7.3985010000000005E-4</v>
      </c>
      <c r="EF94">
        <v>7.3806669999999996E-3</v>
      </c>
      <c r="EG94">
        <v>1.400169E-4</v>
      </c>
      <c r="EH94">
        <v>4.1588170000000002E-4</v>
      </c>
      <c r="EI94">
        <v>1.16827E-4</v>
      </c>
      <c r="EJ94">
        <v>3.9591950000000001E-4</v>
      </c>
      <c r="EK94">
        <v>9.2762420000000001E-4</v>
      </c>
      <c r="EL94">
        <v>5.5365060000000003E-4</v>
      </c>
      <c r="EM94">
        <v>2.8774209999999999E-4</v>
      </c>
      <c r="EN94">
        <v>2.3429700000000002E-3</v>
      </c>
      <c r="EO94">
        <v>1.050303E-3</v>
      </c>
      <c r="EP94">
        <v>3.3668840000000001E-3</v>
      </c>
      <c r="EQ94">
        <v>8.8070990000000001E-4</v>
      </c>
      <c r="ER94">
        <v>6.3773119999999996E-4</v>
      </c>
      <c r="ES94">
        <v>1.1387400000000001E-3</v>
      </c>
      <c r="ET94">
        <v>6.3557930000000002E-3</v>
      </c>
      <c r="EU94">
        <v>2.5038899999999999E-3</v>
      </c>
      <c r="EV94">
        <v>8.0255359999999998E-3</v>
      </c>
      <c r="EW94">
        <v>7.310563E-4</v>
      </c>
      <c r="EX94">
        <v>4.0990870000000004E-3</v>
      </c>
      <c r="EY94">
        <v>6.4972550000000004E-3</v>
      </c>
      <c r="EZ94">
        <v>3.0694089999999999E-3</v>
      </c>
      <c r="FA94">
        <v>1.9430440000000001E-3</v>
      </c>
      <c r="FB94">
        <v>1.928726E-3</v>
      </c>
      <c r="FC94">
        <v>2.3845239999999998E-3</v>
      </c>
      <c r="FD94">
        <v>7.6689909999999996E-4</v>
      </c>
      <c r="FE94">
        <v>2.1980280000000001E-2</v>
      </c>
      <c r="FF94">
        <v>1.1224110000000001E-2</v>
      </c>
      <c r="FG94">
        <v>6.5909970000000003E-3</v>
      </c>
      <c r="FH94">
        <v>6.8898639999999997E-4</v>
      </c>
      <c r="FI94">
        <v>2.196824E-3</v>
      </c>
      <c r="FJ94">
        <v>8.0890460000000008E-3</v>
      </c>
      <c r="FK94">
        <v>0.256050279844106</v>
      </c>
      <c r="FL94">
        <v>0.47271889385077698</v>
      </c>
      <c r="FM94">
        <v>2.4499804969088101</v>
      </c>
      <c r="FN94">
        <v>0.33682868966719898</v>
      </c>
      <c r="FO94">
        <v>0.38651323295871598</v>
      </c>
      <c r="FP94">
        <v>-0.110776096549103</v>
      </c>
      <c r="FQ94">
        <v>0.25433459545818099</v>
      </c>
      <c r="FR94">
        <v>0.19486292755634499</v>
      </c>
      <c r="FS94">
        <v>0.112444579130186</v>
      </c>
      <c r="FT94">
        <v>0.14164809225979599</v>
      </c>
      <c r="FU94">
        <v>0.252050072373602</v>
      </c>
      <c r="FV94">
        <v>0.46332552080322298</v>
      </c>
      <c r="FW94">
        <v>-0.316222069439346</v>
      </c>
      <c r="FX94">
        <v>0.476126688258391</v>
      </c>
      <c r="FY94">
        <v>0.49194767050333799</v>
      </c>
      <c r="FZ94">
        <v>-0.311640185070792</v>
      </c>
      <c r="GA94">
        <v>-0.1009074524182</v>
      </c>
      <c r="GB94">
        <v>-9.6620419355586407E-2</v>
      </c>
      <c r="GC94">
        <v>0.12595359739126899</v>
      </c>
      <c r="GD94">
        <v>-0.19361217250309101</v>
      </c>
      <c r="GE94">
        <v>-4.15281269499541E-2</v>
      </c>
      <c r="GF94">
        <v>0.87932422308624802</v>
      </c>
      <c r="GG94">
        <v>0.71997449621287601</v>
      </c>
      <c r="GH94">
        <v>0.66838096221410404</v>
      </c>
      <c r="GI94">
        <v>0.241178915629467</v>
      </c>
      <c r="GJ94">
        <v>0.76417526508453903</v>
      </c>
      <c r="GK94">
        <v>-5.9362018345843197E-2</v>
      </c>
      <c r="GL94">
        <v>-0.28663933627886801</v>
      </c>
      <c r="GM94">
        <v>-0.24650229352296499</v>
      </c>
      <c r="GN94">
        <v>-0.140550155951149</v>
      </c>
      <c r="GO94">
        <v>0.42519879453401699</v>
      </c>
      <c r="GP94">
        <v>-0.26958165360907499</v>
      </c>
      <c r="GR94" s="66"/>
      <c r="GT94" s="66"/>
      <c r="GV94" s="66"/>
      <c r="GZ94" s="66"/>
      <c r="HK94" s="1"/>
      <c r="HL94" s="1"/>
      <c r="HM94" s="65"/>
      <c r="HN94" s="1"/>
      <c r="HO94" s="65"/>
      <c r="HT94" s="65"/>
      <c r="HV94" s="65"/>
      <c r="HW94" s="65"/>
      <c r="HX94" s="65"/>
      <c r="JD94" s="66"/>
      <c r="JF94" s="66"/>
      <c r="JH94" s="66"/>
      <c r="JJ94" s="66"/>
      <c r="JL94" s="66"/>
      <c r="JN94" s="66"/>
    </row>
    <row r="95" spans="1:278" ht="15.75" x14ac:dyDescent="0.25">
      <c r="A95" s="5" t="s">
        <v>148</v>
      </c>
      <c r="B95" s="5" t="s">
        <v>148</v>
      </c>
      <c r="C95" s="2" t="s">
        <v>883</v>
      </c>
      <c r="D95" s="2" t="s">
        <v>537</v>
      </c>
      <c r="E95" s="2" t="s">
        <v>537</v>
      </c>
      <c r="F95" s="2">
        <v>94</v>
      </c>
      <c r="G95" s="2" t="s">
        <v>882</v>
      </c>
      <c r="H95" s="10" t="s">
        <v>656</v>
      </c>
      <c r="I95" s="2">
        <v>150</v>
      </c>
      <c r="J95" s="14">
        <v>100</v>
      </c>
      <c r="K95" s="13">
        <v>5</v>
      </c>
      <c r="L95" t="s">
        <v>322</v>
      </c>
      <c r="M95" s="2" t="s">
        <v>1120</v>
      </c>
      <c r="N95" s="2" t="s">
        <v>437</v>
      </c>
      <c r="O95" s="2" t="s">
        <v>666</v>
      </c>
      <c r="P95" s="2" t="s">
        <v>1132</v>
      </c>
      <c r="Q95" s="9" t="s">
        <v>740</v>
      </c>
      <c r="R95" s="2" t="str">
        <f t="shared" si="73"/>
        <v>CW_3_Section_2</v>
      </c>
      <c r="S95" s="2" t="str">
        <f t="shared" si="74"/>
        <v>CW_3_MF06</v>
      </c>
      <c r="T95" s="11" t="s">
        <v>845</v>
      </c>
      <c r="U95" s="1">
        <v>45707</v>
      </c>
      <c r="V95" s="2" t="s">
        <v>799</v>
      </c>
      <c r="W95" s="2" t="s">
        <v>663</v>
      </c>
      <c r="X95" s="2" t="s">
        <v>844</v>
      </c>
      <c r="Y95" s="2" t="str">
        <f t="shared" si="75"/>
        <v>T3_MF06</v>
      </c>
      <c r="Z95" s="2" t="str">
        <f t="shared" si="76"/>
        <v>T3_CW_3_MF06</v>
      </c>
      <c r="AA95" s="2" t="str">
        <f t="shared" si="77"/>
        <v>T3_0.60-0.80</v>
      </c>
      <c r="AB95" s="2">
        <v>188</v>
      </c>
      <c r="AC95" s="2">
        <v>6.1840000000000002</v>
      </c>
      <c r="AD95" s="2">
        <v>-0.38</v>
      </c>
      <c r="AE95" s="2">
        <v>3</v>
      </c>
      <c r="AF95" t="s">
        <v>57</v>
      </c>
      <c r="AG95" t="s">
        <v>1237</v>
      </c>
      <c r="AH95">
        <v>69</v>
      </c>
      <c r="AI95">
        <v>27</v>
      </c>
      <c r="AJ95">
        <v>1.3</v>
      </c>
      <c r="AK95">
        <v>0.51</v>
      </c>
      <c r="AL95">
        <v>7.4</v>
      </c>
      <c r="AM95">
        <v>-108</v>
      </c>
      <c r="AN95">
        <v>7.11</v>
      </c>
      <c r="AO95">
        <v>735</v>
      </c>
      <c r="AP95">
        <v>0.2</v>
      </c>
      <c r="AQ95">
        <v>0.01</v>
      </c>
      <c r="AR95">
        <v>9.5</v>
      </c>
      <c r="AS95">
        <v>11</v>
      </c>
      <c r="AT95">
        <v>380</v>
      </c>
      <c r="AU95" s="32">
        <f t="shared" si="89"/>
        <v>0.14594802202022789</v>
      </c>
      <c r="AV95">
        <v>54</v>
      </c>
      <c r="AW95" s="32">
        <f t="shared" si="90"/>
        <v>2.1098328630345126E-2</v>
      </c>
      <c r="AX95">
        <v>380</v>
      </c>
      <c r="AY95" s="32">
        <f t="shared" si="91"/>
        <v>0.15032495055100309</v>
      </c>
      <c r="AZ95">
        <v>130</v>
      </c>
      <c r="BA95" s="32">
        <f t="shared" si="92"/>
        <v>5.1426956767448434E-2</v>
      </c>
      <c r="BB95">
        <v>200</v>
      </c>
      <c r="BC95" s="32">
        <f t="shared" si="93"/>
        <v>7.9118395026843744E-2</v>
      </c>
      <c r="BD95">
        <v>330</v>
      </c>
      <c r="BF95" s="48">
        <v>1144</v>
      </c>
      <c r="BG95" s="48">
        <f t="shared" si="94"/>
        <v>0.31737130120157608</v>
      </c>
      <c r="BH95">
        <v>2400</v>
      </c>
      <c r="BI95" s="32">
        <f t="shared" si="95"/>
        <v>0.89880627291877968</v>
      </c>
      <c r="BJ95" s="47">
        <v>4700</v>
      </c>
      <c r="BK95" s="27">
        <f t="shared" si="96"/>
        <v>1.7601622844659439</v>
      </c>
      <c r="BL95" s="47">
        <v>110</v>
      </c>
      <c r="BM95" s="27">
        <f t="shared" si="97"/>
        <v>4.0475721138051118E-2</v>
      </c>
      <c r="BN95" s="47">
        <v>150</v>
      </c>
      <c r="BO95" s="27">
        <f t="shared" si="98"/>
        <v>5.6416574800596593E-2</v>
      </c>
      <c r="BP95" s="47">
        <v>72</v>
      </c>
      <c r="BQ95" s="27">
        <f t="shared" si="99"/>
        <v>2.6855974010347734E-2</v>
      </c>
      <c r="BR95" s="47">
        <v>50</v>
      </c>
      <c r="BS95" s="27">
        <f t="shared" si="100"/>
        <v>1.8515401447567748E-2</v>
      </c>
      <c r="BT95" s="47">
        <v>3.4</v>
      </c>
      <c r="BU95" s="27">
        <f t="shared" si="101"/>
        <v>1.259047298434607E-3</v>
      </c>
      <c r="BV95" s="47">
        <v>0.86</v>
      </c>
      <c r="BW95" s="27">
        <f t="shared" si="102"/>
        <v>3.146600741656366E-4</v>
      </c>
      <c r="BX95" s="47">
        <v>0.83</v>
      </c>
      <c r="BY95" s="27">
        <f t="shared" si="103"/>
        <v>3.0368355995055626E-4</v>
      </c>
      <c r="BZ95" s="51">
        <f t="shared" si="104"/>
        <v>5087.0899999999992</v>
      </c>
      <c r="CA95" s="51">
        <f t="shared" si="105"/>
        <v>387.09</v>
      </c>
      <c r="CB95" s="27">
        <f t="shared" si="106"/>
        <v>1.9043033467950581</v>
      </c>
      <c r="CC95" s="27">
        <f t="shared" si="107"/>
        <v>0.14414106232911397</v>
      </c>
      <c r="CD95">
        <v>4900</v>
      </c>
      <c r="CE95">
        <v>1600</v>
      </c>
      <c r="CF95" t="s">
        <v>19</v>
      </c>
      <c r="CG95">
        <v>6400</v>
      </c>
      <c r="CH95" s="32">
        <v>0.2</v>
      </c>
      <c r="CI95" s="32">
        <f t="shared" si="108"/>
        <v>3.5810205908683975E-3</v>
      </c>
      <c r="CJ95" s="32">
        <f t="shared" si="109"/>
        <v>3.5810205908683975E-3</v>
      </c>
      <c r="CK95" s="32">
        <v>0.9</v>
      </c>
      <c r="CL95" s="32">
        <f t="shared" si="110"/>
        <v>1.6384489350081924E-2</v>
      </c>
      <c r="CM95" s="32">
        <f t="shared" si="111"/>
        <v>3.2768978700163848E-2</v>
      </c>
      <c r="CN95" s="27">
        <v>69</v>
      </c>
      <c r="CO95" s="27">
        <f t="shared" si="112"/>
        <v>0.71830106183635223</v>
      </c>
      <c r="CP95" s="27">
        <f t="shared" si="113"/>
        <v>5.7464084946908178</v>
      </c>
      <c r="CQ95" s="57">
        <v>13</v>
      </c>
      <c r="CR95" s="57">
        <v>15.853658536585366</v>
      </c>
      <c r="CS95" s="57">
        <v>1.0826566729127629</v>
      </c>
      <c r="CT95" s="57">
        <f t="shared" si="114"/>
        <v>1.0826566729127629</v>
      </c>
      <c r="CU95" s="28">
        <v>1</v>
      </c>
      <c r="CV95" s="28">
        <v>1.4285714285714286</v>
      </c>
      <c r="CW95" s="28">
        <v>8.3281282531750989E-2</v>
      </c>
      <c r="CX95" s="28">
        <f t="shared" si="115"/>
        <v>8.3281282531750989E-2</v>
      </c>
      <c r="CY95" s="32">
        <f t="shared" si="116"/>
        <v>7.5569435769310846</v>
      </c>
      <c r="CZ95" s="32">
        <f t="shared" si="117"/>
        <v>7.5569435769310846</v>
      </c>
      <c r="DA95" s="32">
        <f t="shared" si="118"/>
        <v>7.7569435769310848</v>
      </c>
      <c r="DB95" s="32">
        <f t="shared" si="119"/>
        <v>0.13888887335597286</v>
      </c>
      <c r="DC95" s="32">
        <f t="shared" si="120"/>
        <v>0.13888887335597286</v>
      </c>
      <c r="DD95" s="59">
        <f t="shared" si="121"/>
        <v>0.58130335207162187</v>
      </c>
      <c r="DE95" s="59">
        <f t="shared" si="122"/>
        <v>0.58130335207162187</v>
      </c>
      <c r="DF95" s="59">
        <f t="shared" si="123"/>
        <v>0.78130335207162194</v>
      </c>
      <c r="DG95" s="59">
        <f t="shared" si="124"/>
        <v>1.3989316957414896E-2</v>
      </c>
      <c r="DH95" s="59">
        <f t="shared" si="125"/>
        <v>1.3989316957414896E-2</v>
      </c>
      <c r="DI95" s="32">
        <f t="shared" si="126"/>
        <v>5.7464084946908178</v>
      </c>
      <c r="DJ95" s="32">
        <f t="shared" si="127"/>
        <v>1.6813033520716218</v>
      </c>
      <c r="DK95" s="32">
        <f t="shared" si="128"/>
        <v>4.6758295657578747E-2</v>
      </c>
      <c r="DL95">
        <f t="shared" si="129"/>
        <v>1.2543145249688996</v>
      </c>
      <c r="DM95">
        <f t="shared" si="78"/>
        <v>2.6125009355987761E-2</v>
      </c>
      <c r="DN95">
        <f t="shared" si="79"/>
        <v>0.11072890458588652</v>
      </c>
      <c r="DO95">
        <f t="shared" si="80"/>
        <v>0.86314608605812571</v>
      </c>
      <c r="DP95">
        <f t="shared" si="130"/>
        <v>0.13003957818932974</v>
      </c>
      <c r="DQ95">
        <f t="shared" si="81"/>
        <v>0.25199234845605389</v>
      </c>
      <c r="DR95">
        <f t="shared" si="82"/>
        <v>0.10757737876577313</v>
      </c>
      <c r="DS95">
        <f t="shared" si="83"/>
        <v>0.64043027277817288</v>
      </c>
      <c r="DT95" s="63">
        <f t="shared" si="84"/>
        <v>-3.8136950848543849E-2</v>
      </c>
      <c r="DU95" s="63">
        <f t="shared" si="85"/>
        <v>1.086137995931026</v>
      </c>
      <c r="DV95" s="63">
        <f t="shared" si="86"/>
        <v>0.1060041114805701</v>
      </c>
      <c r="DW95" s="63">
        <f t="shared" si="87"/>
        <v>1.2302790582601399</v>
      </c>
      <c r="DX95" t="str">
        <f t="shared" si="131"/>
        <v>Insufficient Capacity</v>
      </c>
      <c r="DY95" t="str">
        <f t="shared" si="132"/>
        <v>Insufficient Capacity</v>
      </c>
      <c r="DZ95" t="str">
        <f t="shared" si="133"/>
        <v>Sulfate Dominant electron acceptor</v>
      </c>
      <c r="EA95" t="str">
        <f t="shared" si="88"/>
        <v>Sulfate Dominant electron acceptor</v>
      </c>
      <c r="EB95">
        <v>1.0549269999999999E-2</v>
      </c>
      <c r="EC95">
        <v>1.9262769999999999E-3</v>
      </c>
      <c r="ED95" s="66">
        <v>1.038036E-7</v>
      </c>
      <c r="EE95">
        <v>2.4460360000000002E-4</v>
      </c>
      <c r="EF95">
        <v>2.467258E-3</v>
      </c>
      <c r="EG95" s="66">
        <v>8.4548030000000006E-6</v>
      </c>
      <c r="EH95" s="66">
        <v>9.3579350000000004E-5</v>
      </c>
      <c r="EI95" s="66">
        <v>4.5303270000000002E-5</v>
      </c>
      <c r="EJ95">
        <v>2.576225E-4</v>
      </c>
      <c r="EK95">
        <v>4.2232359999999999E-4</v>
      </c>
      <c r="EL95">
        <v>3.070708E-4</v>
      </c>
      <c r="EM95" s="66">
        <v>7.5717249999999997E-5</v>
      </c>
      <c r="EN95">
        <v>1.85132E-3</v>
      </c>
      <c r="EO95">
        <v>6.3303369999999999E-4</v>
      </c>
      <c r="EP95">
        <v>1.1936500000000001E-3</v>
      </c>
      <c r="EQ95">
        <v>1.7685800000000001E-3</v>
      </c>
      <c r="ER95">
        <v>2.054453E-4</v>
      </c>
      <c r="ES95">
        <v>4.2108139999999999E-4</v>
      </c>
      <c r="ET95">
        <v>6.9014640000000004E-3</v>
      </c>
      <c r="EU95">
        <v>2.7527570000000002E-3</v>
      </c>
      <c r="EV95">
        <v>9.8178959999999996E-3</v>
      </c>
      <c r="EW95">
        <v>5.9331900000000003E-4</v>
      </c>
      <c r="EX95">
        <v>6.0481429999999997E-3</v>
      </c>
      <c r="EY95">
        <v>7.7356450000000002E-3</v>
      </c>
      <c r="EZ95">
        <v>6.1155520000000002E-4</v>
      </c>
      <c r="FA95">
        <v>4.6800230000000002E-4</v>
      </c>
      <c r="FB95">
        <v>4.8240140000000001E-4</v>
      </c>
      <c r="FC95">
        <v>1.4926900000000001E-3</v>
      </c>
      <c r="FD95">
        <v>1.848322E-4</v>
      </c>
      <c r="FE95">
        <v>2.094064E-2</v>
      </c>
      <c r="FF95">
        <v>2.2953589999999999E-2</v>
      </c>
      <c r="FG95">
        <v>1.131104E-2</v>
      </c>
      <c r="FH95">
        <v>1.0369050000000001E-3</v>
      </c>
      <c r="FI95">
        <v>9.9757759999999991E-4</v>
      </c>
      <c r="FJ95">
        <v>1.50595E-2</v>
      </c>
      <c r="FK95">
        <v>-0.85075837721540903</v>
      </c>
      <c r="FL95">
        <v>-0.623037707540262</v>
      </c>
      <c r="FM95">
        <v>-0.35704795044432103</v>
      </c>
      <c r="FN95">
        <v>-1.1547624156665</v>
      </c>
      <c r="FO95">
        <v>-0.56080175979039304</v>
      </c>
      <c r="FP95">
        <v>-0.54049166917417901</v>
      </c>
      <c r="FQ95">
        <v>-0.53252025359352095</v>
      </c>
      <c r="FR95">
        <v>-0.39459253441307901</v>
      </c>
      <c r="FS95">
        <v>-1.22261400603957</v>
      </c>
      <c r="FT95">
        <v>-9.3872364912579401E-2</v>
      </c>
      <c r="FU95">
        <v>-0.25426024130415398</v>
      </c>
      <c r="FV95">
        <v>-0.57364632707735397</v>
      </c>
      <c r="FW95">
        <v>0.38098188745235601</v>
      </c>
      <c r="FX95">
        <v>-0.656610371237767</v>
      </c>
      <c r="FY95">
        <v>-0.50290383231206004</v>
      </c>
      <c r="FZ95">
        <v>-0.22927330255175701</v>
      </c>
      <c r="GA95">
        <v>-6.1500200586896998E-3</v>
      </c>
      <c r="GB95">
        <v>0.10495796537251501</v>
      </c>
      <c r="GC95">
        <v>-8.2804680153792304E-2</v>
      </c>
      <c r="GD95">
        <v>0.19537484428860699</v>
      </c>
      <c r="GE95">
        <v>0.13293096078731301</v>
      </c>
      <c r="GF95">
        <v>-0.73391086993816002</v>
      </c>
      <c r="GG95">
        <v>-0.70356338786639705</v>
      </c>
      <c r="GH95">
        <v>-0.71745745052890897</v>
      </c>
      <c r="GI95">
        <v>-0.227240746714331</v>
      </c>
      <c r="GJ95">
        <v>-0.65873158967633305</v>
      </c>
      <c r="GK95">
        <v>-0.10781593760354299</v>
      </c>
      <c r="GL95">
        <v>0.42877087182971502</v>
      </c>
      <c r="GM95">
        <v>0.293572319496198</v>
      </c>
      <c r="GN95">
        <v>0.26822390560019799</v>
      </c>
      <c r="GO95">
        <v>-0.36423922517740398</v>
      </c>
      <c r="GP95">
        <v>0.35191656692559597</v>
      </c>
      <c r="GY95" s="65"/>
      <c r="HK95" s="1"/>
      <c r="HL95" s="1"/>
      <c r="HM95" s="65"/>
      <c r="HN95" s="1"/>
      <c r="HO95" s="65"/>
      <c r="HP95" s="65"/>
      <c r="HQ95" s="65"/>
      <c r="HS95" s="65"/>
      <c r="HV95" s="65"/>
      <c r="HW95" s="65"/>
      <c r="HX95" s="65"/>
    </row>
    <row r="96" spans="1:278" ht="15.75" x14ac:dyDescent="0.25">
      <c r="A96" s="5" t="s">
        <v>149</v>
      </c>
      <c r="B96" s="5" t="s">
        <v>149</v>
      </c>
      <c r="C96" s="2" t="s">
        <v>885</v>
      </c>
      <c r="D96" s="2" t="s">
        <v>538</v>
      </c>
      <c r="E96" s="2" t="s">
        <v>538</v>
      </c>
      <c r="F96" s="2">
        <v>95</v>
      </c>
      <c r="G96" s="2" t="s">
        <v>884</v>
      </c>
      <c r="H96" s="10" t="s">
        <v>656</v>
      </c>
      <c r="I96" s="2">
        <v>150</v>
      </c>
      <c r="J96" s="14">
        <v>100</v>
      </c>
      <c r="K96" s="13">
        <v>8.6999999999999993</v>
      </c>
      <c r="L96" t="s">
        <v>323</v>
      </c>
      <c r="M96" s="2" t="s">
        <v>1120</v>
      </c>
      <c r="N96" s="2" t="s">
        <v>437</v>
      </c>
      <c r="O96" s="2" t="s">
        <v>673</v>
      </c>
      <c r="P96" s="2" t="s">
        <v>1127</v>
      </c>
      <c r="Q96" s="9" t="s">
        <v>743</v>
      </c>
      <c r="R96" s="2" t="str">
        <f t="shared" si="73"/>
        <v>CW_3_Section_3</v>
      </c>
      <c r="S96" s="2" t="str">
        <f t="shared" si="74"/>
        <v>CW_3_MF09</v>
      </c>
      <c r="T96" s="11" t="s">
        <v>845</v>
      </c>
      <c r="U96" s="1">
        <v>45707</v>
      </c>
      <c r="V96" s="2" t="s">
        <v>799</v>
      </c>
      <c r="W96" s="2" t="s">
        <v>655</v>
      </c>
      <c r="X96" s="2" t="s">
        <v>844</v>
      </c>
      <c r="Y96" s="2" t="str">
        <f t="shared" si="75"/>
        <v>T3_MF09</v>
      </c>
      <c r="Z96" s="2" t="str">
        <f t="shared" si="76"/>
        <v>T3_CW_3_MF09</v>
      </c>
      <c r="AA96" s="2" t="str">
        <f t="shared" si="77"/>
        <v>T3_0.15-0.30</v>
      </c>
      <c r="AB96" s="2">
        <v>188</v>
      </c>
      <c r="AC96" s="2">
        <v>6.1840000000000002</v>
      </c>
      <c r="AD96" s="2">
        <v>-0.38</v>
      </c>
      <c r="AE96" s="2">
        <v>3</v>
      </c>
      <c r="AF96" t="s">
        <v>59</v>
      </c>
      <c r="AG96" t="s">
        <v>1237</v>
      </c>
      <c r="AH96">
        <v>63</v>
      </c>
      <c r="AI96">
        <v>24</v>
      </c>
      <c r="AJ96">
        <v>1.9</v>
      </c>
      <c r="AK96">
        <v>5.86</v>
      </c>
      <c r="AL96">
        <v>7.6</v>
      </c>
      <c r="AM96">
        <v>-86</v>
      </c>
      <c r="AN96">
        <v>7.02</v>
      </c>
      <c r="AO96">
        <v>822</v>
      </c>
      <c r="AP96">
        <v>0.2</v>
      </c>
      <c r="AQ96">
        <v>0.01</v>
      </c>
      <c r="AR96">
        <v>9.4</v>
      </c>
      <c r="AS96">
        <v>10</v>
      </c>
      <c r="AT96">
        <v>210</v>
      </c>
      <c r="AU96" s="32">
        <f t="shared" si="89"/>
        <v>8.0655485853283831E-2</v>
      </c>
      <c r="AV96">
        <v>1.4</v>
      </c>
      <c r="AW96" s="32">
        <f t="shared" si="90"/>
        <v>5.4699370523116997E-4</v>
      </c>
      <c r="AX96">
        <v>33</v>
      </c>
      <c r="AY96" s="32">
        <f t="shared" si="91"/>
        <v>1.3054535179429217E-2</v>
      </c>
      <c r="AZ96">
        <v>17</v>
      </c>
      <c r="BA96" s="32">
        <f t="shared" si="92"/>
        <v>6.725063577281718E-3</v>
      </c>
      <c r="BB96">
        <v>7.9</v>
      </c>
      <c r="BC96" s="32">
        <f t="shared" si="93"/>
        <v>3.1251766035603279E-3</v>
      </c>
      <c r="BD96">
        <v>24.9</v>
      </c>
      <c r="BF96" s="48">
        <v>269.3</v>
      </c>
      <c r="BG96" s="48">
        <f t="shared" si="94"/>
        <v>9.425701473794422E-2</v>
      </c>
      <c r="BH96">
        <v>40</v>
      </c>
      <c r="BI96" s="32">
        <f t="shared" si="95"/>
        <v>1.4980104548646327E-2</v>
      </c>
      <c r="BJ96" s="47">
        <v>21</v>
      </c>
      <c r="BK96" s="27">
        <f t="shared" si="96"/>
        <v>7.8645548880393219E-3</v>
      </c>
      <c r="BL96" s="47">
        <v>0.4</v>
      </c>
      <c r="BM96" s="27">
        <f t="shared" si="97"/>
        <v>1.4718444050200409E-4</v>
      </c>
      <c r="BN96" s="47">
        <v>0.22</v>
      </c>
      <c r="BO96" s="27">
        <f t="shared" si="98"/>
        <v>8.2744309707541669E-5</v>
      </c>
      <c r="BP96" s="47">
        <v>0.06</v>
      </c>
      <c r="BQ96" s="27">
        <f t="shared" si="99"/>
        <v>2.2379978341956443E-5</v>
      </c>
      <c r="BR96" s="47">
        <v>0.01</v>
      </c>
      <c r="BS96" s="27">
        <f t="shared" si="100"/>
        <v>3.7030802895135499E-6</v>
      </c>
      <c r="BT96" s="47">
        <v>1E-3</v>
      </c>
      <c r="BU96" s="27">
        <f t="shared" si="101"/>
        <v>3.7030802895135499E-7</v>
      </c>
      <c r="BV96" s="47">
        <v>1E-3</v>
      </c>
      <c r="BW96" s="27">
        <f t="shared" si="102"/>
        <v>3.6588380716934485E-7</v>
      </c>
      <c r="BX96" s="47">
        <v>2E-3</v>
      </c>
      <c r="BY96" s="27">
        <f t="shared" si="103"/>
        <v>7.3176761433868969E-7</v>
      </c>
      <c r="BZ96" s="51">
        <f t="shared" si="104"/>
        <v>21.693999999999999</v>
      </c>
      <c r="CA96" s="51">
        <f t="shared" si="105"/>
        <v>0.69399999999999995</v>
      </c>
      <c r="CB96" s="27">
        <f t="shared" si="106"/>
        <v>8.1220346563307972E-3</v>
      </c>
      <c r="CC96" s="27">
        <f t="shared" si="107"/>
        <v>2.5747976829147511E-4</v>
      </c>
      <c r="CD96">
        <v>60</v>
      </c>
      <c r="CE96">
        <v>30</v>
      </c>
      <c r="CF96" t="s">
        <v>19</v>
      </c>
      <c r="CG96">
        <v>120</v>
      </c>
      <c r="CH96" s="32">
        <v>21</v>
      </c>
      <c r="CI96" s="32">
        <f t="shared" si="108"/>
        <v>0.37600716204118173</v>
      </c>
      <c r="CJ96" s="32">
        <f t="shared" si="109"/>
        <v>0.37600716204118173</v>
      </c>
      <c r="CK96" s="32">
        <v>4.5999999999999996</v>
      </c>
      <c r="CL96" s="32">
        <f t="shared" si="110"/>
        <v>8.3742945567085378E-2</v>
      </c>
      <c r="CM96" s="32">
        <f t="shared" si="111"/>
        <v>0.16748589113417076</v>
      </c>
      <c r="CN96" s="27">
        <v>0.5</v>
      </c>
      <c r="CO96" s="27">
        <f t="shared" si="112"/>
        <v>5.2050801582344368E-3</v>
      </c>
      <c r="CP96" s="27">
        <f t="shared" si="113"/>
        <v>4.1640641265875494E-2</v>
      </c>
      <c r="CQ96" s="57">
        <v>81.5</v>
      </c>
      <c r="CR96" s="57">
        <v>99.390243902439025</v>
      </c>
      <c r="CS96" s="57">
        <v>6.7874245263377055</v>
      </c>
      <c r="CT96" s="57">
        <f t="shared" si="114"/>
        <v>6.7874245263377055</v>
      </c>
      <c r="CU96" s="28">
        <v>69.5</v>
      </c>
      <c r="CV96" s="28">
        <v>99.285714285714292</v>
      </c>
      <c r="CW96" s="28">
        <v>5.7880491359566939</v>
      </c>
      <c r="CX96" s="28">
        <f t="shared" si="115"/>
        <v>5.7880491359566939</v>
      </c>
      <c r="CY96" s="32">
        <f t="shared" si="116"/>
        <v>47.376223193837184</v>
      </c>
      <c r="CZ96" s="32">
        <f t="shared" si="117"/>
        <v>47.376223193837184</v>
      </c>
      <c r="DA96" s="32">
        <f t="shared" si="118"/>
        <v>68.376223193837177</v>
      </c>
      <c r="DB96" s="32">
        <f t="shared" si="119"/>
        <v>1.2242833159147211</v>
      </c>
      <c r="DC96" s="32">
        <f t="shared" si="120"/>
        <v>1.2242833159147211</v>
      </c>
      <c r="DD96" s="59">
        <f t="shared" si="121"/>
        <v>40.400582968977723</v>
      </c>
      <c r="DE96" s="59">
        <f t="shared" si="122"/>
        <v>40.400582968977723</v>
      </c>
      <c r="DF96" s="59">
        <f t="shared" si="123"/>
        <v>61.400582968977723</v>
      </c>
      <c r="DG96" s="59">
        <f t="shared" si="124"/>
        <v>1.0993837595161633</v>
      </c>
      <c r="DH96" s="59">
        <f t="shared" si="125"/>
        <v>1.0993837595161633</v>
      </c>
      <c r="DI96" s="32">
        <f t="shared" si="126"/>
        <v>4.1640641265875494E-2</v>
      </c>
      <c r="DJ96" s="32">
        <f t="shared" si="127"/>
        <v>66.000582968977724</v>
      </c>
      <c r="DK96" s="32">
        <f t="shared" si="128"/>
        <v>1.2668696506503341</v>
      </c>
      <c r="DL96">
        <f t="shared" si="129"/>
        <v>8.1791937333865974</v>
      </c>
      <c r="DM96">
        <f t="shared" si="78"/>
        <v>2.0477066150238157E-2</v>
      </c>
      <c r="DN96">
        <f t="shared" si="79"/>
        <v>0.14968264059051775</v>
      </c>
      <c r="DO96">
        <f t="shared" si="80"/>
        <v>0.82984029325924413</v>
      </c>
      <c r="DP96">
        <f t="shared" si="130"/>
        <v>7.0549187866070282</v>
      </c>
      <c r="DQ96">
        <f t="shared" si="81"/>
        <v>2.3740300377677475E-2</v>
      </c>
      <c r="DR96">
        <f t="shared" si="82"/>
        <v>0.15583223461100928</v>
      </c>
      <c r="DS96">
        <f t="shared" si="83"/>
        <v>0.82042746501131325</v>
      </c>
      <c r="DT96" s="63">
        <f t="shared" si="84"/>
        <v>-8.0699566141000076</v>
      </c>
      <c r="DU96" s="63">
        <f t="shared" si="85"/>
        <v>-6.9456816673204376</v>
      </c>
      <c r="DV96" s="63">
        <f t="shared" si="86"/>
        <v>-8.0696991343317155</v>
      </c>
      <c r="DW96" s="63">
        <f t="shared" si="87"/>
        <v>-6.9454241875521463</v>
      </c>
      <c r="DX96" t="str">
        <f t="shared" si="131"/>
        <v>Sufficient Capacity</v>
      </c>
      <c r="DY96" t="str">
        <f t="shared" si="132"/>
        <v>Sufficient Capacity</v>
      </c>
      <c r="DZ96" t="str">
        <f t="shared" si="133"/>
        <v>Sulfate Dominant electron acceptor</v>
      </c>
      <c r="EA96" t="str">
        <f t="shared" si="88"/>
        <v>Sulfate Dominant electron acceptor</v>
      </c>
      <c r="EB96">
        <v>9.5400710000000007E-3</v>
      </c>
      <c r="EC96">
        <v>8.661799E-4</v>
      </c>
      <c r="ED96" s="66">
        <v>9.1091050000000001E-7</v>
      </c>
      <c r="EE96">
        <v>3.145229E-4</v>
      </c>
      <c r="EF96">
        <v>2.8063519999999998E-3</v>
      </c>
      <c r="EG96" s="66">
        <v>1.1561E-5</v>
      </c>
      <c r="EH96">
        <v>1.593601E-4</v>
      </c>
      <c r="EI96">
        <v>1.717635E-4</v>
      </c>
      <c r="EJ96">
        <v>3.1290350000000002E-4</v>
      </c>
      <c r="EK96">
        <v>5.8403809999999997E-4</v>
      </c>
      <c r="EL96">
        <v>1.853515E-4</v>
      </c>
      <c r="EM96">
        <v>1.0631839999999999E-4</v>
      </c>
      <c r="EN96">
        <v>1.735767E-3</v>
      </c>
      <c r="EO96">
        <v>6.4945879999999995E-4</v>
      </c>
      <c r="EP96">
        <v>1.621204E-3</v>
      </c>
      <c r="EQ96">
        <v>1.739928E-3</v>
      </c>
      <c r="ER96">
        <v>2.0984000000000001E-4</v>
      </c>
      <c r="ES96">
        <v>4.8639149999999998E-4</v>
      </c>
      <c r="ET96">
        <v>2.282617E-2</v>
      </c>
      <c r="EU96">
        <v>3.6894760000000001E-3</v>
      </c>
      <c r="EV96">
        <v>1.0823019999999999E-2</v>
      </c>
      <c r="EW96">
        <v>4.557734E-4</v>
      </c>
      <c r="EX96">
        <v>4.9158509999999997E-3</v>
      </c>
      <c r="EY96">
        <v>5.9775039999999998E-3</v>
      </c>
      <c r="EZ96">
        <v>9.1846959999999998E-4</v>
      </c>
      <c r="FA96">
        <v>6.4452580000000002E-4</v>
      </c>
      <c r="FB96">
        <v>6.6877509999999996E-4</v>
      </c>
      <c r="FC96">
        <v>1.706251E-3</v>
      </c>
      <c r="FD96">
        <v>2.7353849999999999E-4</v>
      </c>
      <c r="FE96">
        <v>1.8035209999999999E-2</v>
      </c>
      <c r="FF96">
        <v>9.3096780000000001E-3</v>
      </c>
      <c r="FG96">
        <v>4.7685189999999997E-3</v>
      </c>
      <c r="FH96">
        <v>5.2550869999999996E-4</v>
      </c>
      <c r="FI96">
        <v>1.237312E-3</v>
      </c>
      <c r="FJ96">
        <v>6.9812579999999997E-3</v>
      </c>
      <c r="FK96">
        <v>-0.59934043078681498</v>
      </c>
      <c r="FL96">
        <v>-0.49425970079479897</v>
      </c>
      <c r="FM96">
        <v>-4.4145268007644803E-2</v>
      </c>
      <c r="FN96">
        <v>-0.62240573380569497</v>
      </c>
      <c r="FO96">
        <v>0.77193755552891896</v>
      </c>
      <c r="FP96">
        <v>-0.346092168015943</v>
      </c>
      <c r="FQ96">
        <v>-0.208325877988045</v>
      </c>
      <c r="FR96">
        <v>-0.89941685194292897</v>
      </c>
      <c r="FS96">
        <v>-0.88318164832463797</v>
      </c>
      <c r="FT96">
        <v>-0.15832187244613399</v>
      </c>
      <c r="FU96">
        <v>-0.22864449988945801</v>
      </c>
      <c r="FV96">
        <v>-0.26749308367063801</v>
      </c>
      <c r="FW96">
        <v>0.364648655796254</v>
      </c>
      <c r="FX96">
        <v>-0.63544485413457996</v>
      </c>
      <c r="FY96">
        <v>-0.35871614130323198</v>
      </c>
      <c r="FZ96">
        <v>0.96690081918878201</v>
      </c>
      <c r="GA96">
        <v>0.28673146757000401</v>
      </c>
      <c r="GB96">
        <v>0.20242646980928899</v>
      </c>
      <c r="GC96">
        <v>-0.34654112099737</v>
      </c>
      <c r="GD96">
        <v>-1.1911556439010901E-2</v>
      </c>
      <c r="GE96">
        <v>-0.124904817436036</v>
      </c>
      <c r="GF96">
        <v>-0.32720728415363398</v>
      </c>
      <c r="GG96">
        <v>-0.383521745692053</v>
      </c>
      <c r="GH96">
        <v>-0.390786167877399</v>
      </c>
      <c r="GI96">
        <v>-9.3522042047621504E-2</v>
      </c>
      <c r="GJ96">
        <v>-0.26673759635003902</v>
      </c>
      <c r="GK96">
        <v>-0.25718174778046599</v>
      </c>
      <c r="GL96">
        <v>-0.47364897523397398</v>
      </c>
      <c r="GM96">
        <v>-0.57017114591692297</v>
      </c>
      <c r="GN96">
        <v>-0.41140494217694401</v>
      </c>
      <c r="GO96">
        <v>-0.148872601691767</v>
      </c>
      <c r="GP96">
        <v>-0.41686332460248698</v>
      </c>
      <c r="GR96" s="66"/>
      <c r="GT96" s="66"/>
      <c r="GV96" s="66"/>
      <c r="GW96" s="65"/>
      <c r="HK96" s="1"/>
      <c r="HL96" s="1"/>
      <c r="HM96" s="1"/>
      <c r="HN96" s="1"/>
      <c r="HO96" s="65"/>
      <c r="HP96" s="65"/>
      <c r="HQ96" s="65"/>
      <c r="HS96" s="65"/>
      <c r="HT96" s="65"/>
      <c r="HU96" s="65"/>
      <c r="HV96" s="65"/>
      <c r="HW96" s="65"/>
      <c r="HX96" s="65"/>
      <c r="IZ96" s="66"/>
      <c r="JB96" s="66"/>
      <c r="JD96" s="66"/>
      <c r="JF96" s="66"/>
      <c r="JH96" s="66"/>
      <c r="JJ96" s="66"/>
      <c r="JL96" s="66"/>
      <c r="JN96" s="66"/>
    </row>
    <row r="97" spans="1:278" ht="15.75" x14ac:dyDescent="0.25">
      <c r="A97" s="5" t="s">
        <v>150</v>
      </c>
      <c r="B97" s="5" t="s">
        <v>150</v>
      </c>
      <c r="C97" s="2" t="s">
        <v>887</v>
      </c>
      <c r="D97" s="2" t="s">
        <v>539</v>
      </c>
      <c r="E97" s="2" t="s">
        <v>539</v>
      </c>
      <c r="F97" s="2">
        <v>96</v>
      </c>
      <c r="G97" s="2" t="s">
        <v>886</v>
      </c>
      <c r="H97" s="10" t="s">
        <v>656</v>
      </c>
      <c r="I97" s="2">
        <v>150</v>
      </c>
      <c r="J97" s="14">
        <v>100</v>
      </c>
      <c r="K97" s="13">
        <v>3.25</v>
      </c>
      <c r="L97" t="s">
        <v>324</v>
      </c>
      <c r="M97" s="2" t="s">
        <v>1120</v>
      </c>
      <c r="N97" s="2" t="s">
        <v>437</v>
      </c>
      <c r="O97" s="2" t="s">
        <v>673</v>
      </c>
      <c r="P97" s="2" t="s">
        <v>1128</v>
      </c>
      <c r="Q97" s="9" t="s">
        <v>746</v>
      </c>
      <c r="R97" s="2" t="str">
        <f t="shared" si="73"/>
        <v>CW_3_Section_3</v>
      </c>
      <c r="S97" s="2" t="str">
        <f t="shared" si="74"/>
        <v>CW_3_MF10</v>
      </c>
      <c r="T97" s="11" t="s">
        <v>845</v>
      </c>
      <c r="U97" s="1">
        <v>45707</v>
      </c>
      <c r="V97" s="2" t="s">
        <v>799</v>
      </c>
      <c r="W97" s="2" t="s">
        <v>663</v>
      </c>
      <c r="X97" s="2" t="s">
        <v>844</v>
      </c>
      <c r="Y97" s="2" t="str">
        <f t="shared" si="75"/>
        <v>T3_MF10</v>
      </c>
      <c r="Z97" s="2" t="str">
        <f t="shared" si="76"/>
        <v>T3_CW_3_MF10</v>
      </c>
      <c r="AA97" s="2" t="str">
        <f t="shared" si="77"/>
        <v>T3_0.60-0.80</v>
      </c>
      <c r="AB97" s="2">
        <v>188</v>
      </c>
      <c r="AC97" s="2">
        <v>6.1840000000000002</v>
      </c>
      <c r="AD97" s="2">
        <v>-0.38</v>
      </c>
      <c r="AE97" s="2">
        <v>3</v>
      </c>
      <c r="AF97" t="s">
        <v>61</v>
      </c>
      <c r="AG97" t="s">
        <v>1237</v>
      </c>
      <c r="AH97">
        <v>68</v>
      </c>
      <c r="AI97">
        <v>32</v>
      </c>
      <c r="AJ97">
        <v>1.1000000000000001</v>
      </c>
      <c r="AK97">
        <v>0.57999999999999996</v>
      </c>
      <c r="AL97">
        <v>7.5</v>
      </c>
      <c r="AM97">
        <v>-98</v>
      </c>
      <c r="AN97">
        <v>6.92</v>
      </c>
      <c r="AO97">
        <v>690</v>
      </c>
      <c r="AP97">
        <v>0.2</v>
      </c>
      <c r="AQ97">
        <v>0.01</v>
      </c>
      <c r="AR97">
        <v>11</v>
      </c>
      <c r="AS97">
        <v>12</v>
      </c>
      <c r="AT97">
        <v>560</v>
      </c>
      <c r="AU97" s="32">
        <f t="shared" si="89"/>
        <v>0.21508129560875688</v>
      </c>
      <c r="AV97">
        <v>2</v>
      </c>
      <c r="AW97" s="32">
        <f t="shared" si="90"/>
        <v>7.8141957890167139E-4</v>
      </c>
      <c r="AX97">
        <v>390</v>
      </c>
      <c r="AY97" s="32">
        <f t="shared" si="91"/>
        <v>0.1542808703023453</v>
      </c>
      <c r="AZ97">
        <v>130</v>
      </c>
      <c r="BA97" s="32">
        <f t="shared" si="92"/>
        <v>5.1426956767448434E-2</v>
      </c>
      <c r="BB97">
        <v>150</v>
      </c>
      <c r="BC97" s="32">
        <f t="shared" si="93"/>
        <v>5.9338796270132804E-2</v>
      </c>
      <c r="BD97">
        <v>280</v>
      </c>
      <c r="BF97" s="48">
        <v>1244</v>
      </c>
      <c r="BG97" s="48">
        <f t="shared" si="94"/>
        <v>0.37014358549000387</v>
      </c>
      <c r="BH97">
        <v>2600</v>
      </c>
      <c r="BI97" s="32">
        <f t="shared" si="95"/>
        <v>0.97370679566201146</v>
      </c>
      <c r="BJ97" s="47">
        <v>2700</v>
      </c>
      <c r="BK97" s="27">
        <f t="shared" si="96"/>
        <v>1.0111570570336272</v>
      </c>
      <c r="BL97" s="47">
        <v>95</v>
      </c>
      <c r="BM97" s="27">
        <f t="shared" si="97"/>
        <v>3.495630461922597E-2</v>
      </c>
      <c r="BN97" s="47">
        <v>130</v>
      </c>
      <c r="BO97" s="27">
        <f t="shared" si="98"/>
        <v>4.8894364827183713E-2</v>
      </c>
      <c r="BP97" s="47">
        <v>40</v>
      </c>
      <c r="BQ97" s="27">
        <f t="shared" si="99"/>
        <v>1.4919985561304295E-2</v>
      </c>
      <c r="BR97" s="47">
        <v>20</v>
      </c>
      <c r="BS97" s="27">
        <f t="shared" si="100"/>
        <v>7.4061605790270999E-3</v>
      </c>
      <c r="BT97" s="47">
        <v>1.6</v>
      </c>
      <c r="BU97" s="27">
        <f t="shared" si="101"/>
        <v>5.9249284632216796E-4</v>
      </c>
      <c r="BV97" s="47">
        <v>7.0000000000000007E-2</v>
      </c>
      <c r="BW97" s="27">
        <f t="shared" si="102"/>
        <v>2.5611866501854141E-5</v>
      </c>
      <c r="BX97" s="47">
        <v>0.03</v>
      </c>
      <c r="BY97" s="27">
        <f t="shared" si="103"/>
        <v>1.0976514215080345E-5</v>
      </c>
      <c r="BZ97" s="51">
        <f t="shared" si="104"/>
        <v>2986.7000000000003</v>
      </c>
      <c r="CA97" s="51">
        <f t="shared" si="105"/>
        <v>286.7</v>
      </c>
      <c r="CB97" s="27">
        <f t="shared" si="106"/>
        <v>1.1179629538474076</v>
      </c>
      <c r="CC97" s="27">
        <f t="shared" si="107"/>
        <v>0.10680589681378017</v>
      </c>
      <c r="CD97">
        <v>5200</v>
      </c>
      <c r="CE97">
        <v>1500</v>
      </c>
      <c r="CF97" t="s">
        <v>19</v>
      </c>
      <c r="CG97">
        <v>6700</v>
      </c>
      <c r="CH97" s="32">
        <v>0.6</v>
      </c>
      <c r="CI97" s="32">
        <f t="shared" si="108"/>
        <v>1.0743061772605192E-2</v>
      </c>
      <c r="CJ97" s="32">
        <f t="shared" si="109"/>
        <v>1.0743061772605192E-2</v>
      </c>
      <c r="CK97" s="32">
        <v>1.2</v>
      </c>
      <c r="CL97" s="32">
        <f t="shared" si="110"/>
        <v>2.1845985800109231E-2</v>
      </c>
      <c r="CM97" s="32">
        <f t="shared" si="111"/>
        <v>4.3691971600218461E-2</v>
      </c>
      <c r="CN97" s="27">
        <v>65</v>
      </c>
      <c r="CO97" s="27">
        <f t="shared" si="112"/>
        <v>0.67666042057047682</v>
      </c>
      <c r="CP97" s="27">
        <f t="shared" si="113"/>
        <v>5.4132833645638145</v>
      </c>
      <c r="CQ97" s="57">
        <v>17</v>
      </c>
      <c r="CR97" s="57">
        <v>20.73170731707317</v>
      </c>
      <c r="CS97" s="57">
        <v>1.4157818030397669</v>
      </c>
      <c r="CT97" s="57">
        <f t="shared" si="114"/>
        <v>1.4157818030397669</v>
      </c>
      <c r="CU97" s="28">
        <v>4</v>
      </c>
      <c r="CV97" s="28">
        <v>5.7971014492753623</v>
      </c>
      <c r="CW97" s="28">
        <v>0.33312513012700395</v>
      </c>
      <c r="CX97" s="28">
        <f t="shared" si="115"/>
        <v>0.33312513012700395</v>
      </c>
      <c r="CY97" s="32">
        <f t="shared" si="116"/>
        <v>9.8821569852175717</v>
      </c>
      <c r="CZ97" s="32">
        <f t="shared" si="117"/>
        <v>9.8821569852175717</v>
      </c>
      <c r="DA97" s="32">
        <f t="shared" si="118"/>
        <v>10.482156985217571</v>
      </c>
      <c r="DB97" s="32">
        <f t="shared" si="119"/>
        <v>0.18768410000389563</v>
      </c>
      <c r="DC97" s="32">
        <f t="shared" si="120"/>
        <v>0.18768410000389563</v>
      </c>
      <c r="DD97" s="59">
        <f t="shared" si="121"/>
        <v>2.3252134082864875</v>
      </c>
      <c r="DE97" s="59">
        <f t="shared" si="122"/>
        <v>2.3252134082864875</v>
      </c>
      <c r="DF97" s="59">
        <f t="shared" si="123"/>
        <v>2.9252134082864876</v>
      </c>
      <c r="DG97" s="59">
        <f t="shared" si="124"/>
        <v>5.2376247238791182E-2</v>
      </c>
      <c r="DH97" s="59">
        <f t="shared" si="125"/>
        <v>5.2376247238791182E-2</v>
      </c>
      <c r="DI97" s="32">
        <f t="shared" si="126"/>
        <v>5.4132833645638145</v>
      </c>
      <c r="DJ97" s="32">
        <f t="shared" si="127"/>
        <v>4.1252134082864877</v>
      </c>
      <c r="DK97" s="32">
        <f t="shared" si="128"/>
        <v>9.606821883900965E-2</v>
      </c>
      <c r="DL97">
        <f t="shared" si="129"/>
        <v>1.6471578746438809</v>
      </c>
      <c r="DM97">
        <f t="shared" si="78"/>
        <v>2.6525673265936797E-2</v>
      </c>
      <c r="DN97">
        <f t="shared" si="79"/>
        <v>0.11394420831972366</v>
      </c>
      <c r="DO97">
        <f t="shared" si="80"/>
        <v>0.85953011841433957</v>
      </c>
      <c r="DP97">
        <f t="shared" si="130"/>
        <v>0.42919334896601358</v>
      </c>
      <c r="DQ97">
        <f t="shared" si="81"/>
        <v>0.10180020660962825</v>
      </c>
      <c r="DR97">
        <f t="shared" si="82"/>
        <v>0.12203415398904209</v>
      </c>
      <c r="DS97">
        <f t="shared" si="83"/>
        <v>0.77616563940132965</v>
      </c>
      <c r="DT97" s="63">
        <f t="shared" si="84"/>
        <v>-0.30330749349186559</v>
      </c>
      <c r="DU97" s="63">
        <f t="shared" si="85"/>
        <v>0.91465703218600169</v>
      </c>
      <c r="DV97" s="63">
        <f t="shared" si="86"/>
        <v>-0.19650159667808542</v>
      </c>
      <c r="DW97" s="63">
        <f t="shared" si="87"/>
        <v>1.0214629289997819</v>
      </c>
      <c r="DX97" t="str">
        <f t="shared" si="131"/>
        <v>Sufficient Capacity</v>
      </c>
      <c r="DY97" t="str">
        <f t="shared" si="132"/>
        <v>Insufficient Capacity</v>
      </c>
      <c r="DZ97" t="str">
        <f t="shared" si="133"/>
        <v>Sulfate Dominant electron acceptor</v>
      </c>
      <c r="EA97" t="str">
        <f t="shared" si="88"/>
        <v>Sulfate Dominant electron acceptor</v>
      </c>
      <c r="EB97">
        <v>9.5296849999999995E-3</v>
      </c>
      <c r="EC97">
        <v>1.5205570000000001E-3</v>
      </c>
      <c r="ED97" s="66">
        <v>7.2361050000000002E-7</v>
      </c>
      <c r="EE97">
        <v>3.3609690000000001E-4</v>
      </c>
      <c r="EF97">
        <v>3.455184E-3</v>
      </c>
      <c r="EG97" s="66">
        <v>3.1775310000000001E-5</v>
      </c>
      <c r="EH97">
        <v>1.388564E-4</v>
      </c>
      <c r="EI97">
        <v>1.2280470000000001E-4</v>
      </c>
      <c r="EJ97">
        <v>3.1016289999999998E-4</v>
      </c>
      <c r="EK97">
        <v>5.9237980000000003E-4</v>
      </c>
      <c r="EL97">
        <v>3.097218E-4</v>
      </c>
      <c r="EM97" s="66">
        <v>9.8102610000000006E-5</v>
      </c>
      <c r="EN97">
        <v>2.113097E-3</v>
      </c>
      <c r="EO97">
        <v>9.7405259999999998E-4</v>
      </c>
      <c r="EP97">
        <v>1.571605E-3</v>
      </c>
      <c r="EQ97">
        <v>1.281361E-3</v>
      </c>
      <c r="ER97">
        <v>2.8278489999999999E-4</v>
      </c>
      <c r="ES97">
        <v>4.4392809999999999E-4</v>
      </c>
      <c r="ET97">
        <v>9.7900580000000008E-3</v>
      </c>
      <c r="EU97">
        <v>2.725206E-3</v>
      </c>
      <c r="EV97">
        <v>9.3575140000000008E-3</v>
      </c>
      <c r="EW97">
        <v>4.36246E-4</v>
      </c>
      <c r="EX97">
        <v>5.4759850000000001E-3</v>
      </c>
      <c r="EY97">
        <v>6.9251419999999996E-3</v>
      </c>
      <c r="EZ97">
        <v>9.3894129999999999E-4</v>
      </c>
      <c r="FA97">
        <v>6.6297909999999999E-4</v>
      </c>
      <c r="FB97">
        <v>6.7490400000000004E-4</v>
      </c>
      <c r="FC97">
        <v>1.710147E-3</v>
      </c>
      <c r="FD97">
        <v>3.4410019999999998E-4</v>
      </c>
      <c r="FE97">
        <v>2.2272569999999998E-2</v>
      </c>
      <c r="FF97">
        <v>1.993176E-2</v>
      </c>
      <c r="FG97">
        <v>1.070108E-2</v>
      </c>
      <c r="FH97">
        <v>6.7429250000000001E-4</v>
      </c>
      <c r="FI97">
        <v>1.0407890000000001E-3</v>
      </c>
      <c r="FJ97">
        <v>1.413732E-2</v>
      </c>
      <c r="FK97">
        <v>-0.53299780702384003</v>
      </c>
      <c r="FL97">
        <v>-0.28626940812934498</v>
      </c>
      <c r="FM97">
        <v>0.96690694042465897</v>
      </c>
      <c r="FN97">
        <v>-0.76013184955525004</v>
      </c>
      <c r="FO97">
        <v>0.43641431349165799</v>
      </c>
      <c r="FP97">
        <v>-0.35488936097868801</v>
      </c>
      <c r="FQ97">
        <v>-0.19414411518404701</v>
      </c>
      <c r="FR97">
        <v>-0.385996399101808</v>
      </c>
      <c r="FS97">
        <v>-0.96360604198545396</v>
      </c>
      <c r="FT97">
        <v>3.8383380788047802E-2</v>
      </c>
      <c r="FU97">
        <v>0.17668140571332999</v>
      </c>
      <c r="FV97">
        <v>-0.29856477657955899</v>
      </c>
      <c r="FW97">
        <v>5.8727717034709997E-2</v>
      </c>
      <c r="FX97">
        <v>-0.33710365172150097</v>
      </c>
      <c r="FY97">
        <v>-0.45006738409146002</v>
      </c>
      <c r="FZ97">
        <v>0.12036051537522301</v>
      </c>
      <c r="GA97">
        <v>-1.6208953390430401E-2</v>
      </c>
      <c r="GB97">
        <v>5.69307795029435E-2</v>
      </c>
      <c r="GC97">
        <v>-0.39033057275649002</v>
      </c>
      <c r="GD97">
        <v>9.5995729707738994E-2</v>
      </c>
      <c r="GE97">
        <v>2.2250650316100198E-2</v>
      </c>
      <c r="GF97">
        <v>-0.30516312687741098</v>
      </c>
      <c r="GG97">
        <v>-0.355293131991474</v>
      </c>
      <c r="GH97">
        <v>-0.38166353955779198</v>
      </c>
      <c r="GI97">
        <v>-9.12412763470902E-2</v>
      </c>
      <c r="GJ97">
        <v>-3.7247082100058101E-2</v>
      </c>
      <c r="GK97">
        <v>-4.61518295967469E-2</v>
      </c>
      <c r="GL97">
        <v>0.28761095994881303</v>
      </c>
      <c r="GM97">
        <v>0.23813775052644001</v>
      </c>
      <c r="GN97">
        <v>-0.16210769498520899</v>
      </c>
      <c r="GO97">
        <v>-0.32183480705259399</v>
      </c>
      <c r="GP97">
        <v>0.288725654901901</v>
      </c>
      <c r="GT97" s="66"/>
      <c r="GV97" s="66"/>
      <c r="GY97" s="65"/>
      <c r="HK97" s="1"/>
      <c r="HL97" s="1"/>
      <c r="HM97" s="65"/>
      <c r="HN97" s="1"/>
      <c r="HO97" s="65"/>
      <c r="HP97" s="65"/>
      <c r="HQ97" s="65"/>
      <c r="HS97" s="65"/>
      <c r="HV97" s="65"/>
      <c r="HW97" s="65"/>
      <c r="HX97" s="65"/>
      <c r="JJ97" s="66"/>
      <c r="JL97" s="66"/>
      <c r="JN97" s="66"/>
    </row>
    <row r="98" spans="1:278" ht="15.75" x14ac:dyDescent="0.25">
      <c r="A98" s="29" t="s">
        <v>151</v>
      </c>
      <c r="B98" s="29" t="s">
        <v>151</v>
      </c>
      <c r="C98" s="29" t="s">
        <v>889</v>
      </c>
      <c r="D98" s="29" t="s">
        <v>540</v>
      </c>
      <c r="E98" s="29" t="s">
        <v>540</v>
      </c>
      <c r="F98" s="29">
        <v>97</v>
      </c>
      <c r="G98" s="29" t="s">
        <v>888</v>
      </c>
      <c r="H98" s="30" t="s">
        <v>656</v>
      </c>
      <c r="I98" s="29">
        <v>150</v>
      </c>
      <c r="J98" s="29">
        <v>65</v>
      </c>
      <c r="K98" s="36">
        <v>4.55</v>
      </c>
      <c r="L98" s="32" t="s">
        <v>333</v>
      </c>
      <c r="M98" s="29" t="s">
        <v>1118</v>
      </c>
      <c r="N98" s="29" t="s">
        <v>688</v>
      </c>
      <c r="O98" s="29" t="s">
        <v>687</v>
      </c>
      <c r="P98" s="29" t="s">
        <v>1118</v>
      </c>
      <c r="Q98" s="29" t="s">
        <v>443</v>
      </c>
      <c r="R98" s="2" t="str">
        <f t="shared" si="73"/>
        <v>CW_0_Section_0</v>
      </c>
      <c r="S98" s="2" t="str">
        <f t="shared" si="74"/>
        <v>CW_0_INF</v>
      </c>
      <c r="T98" s="31" t="s">
        <v>891</v>
      </c>
      <c r="U98" s="33">
        <v>45762</v>
      </c>
      <c r="V98" s="29" t="s">
        <v>660</v>
      </c>
      <c r="W98" s="29" t="s">
        <v>1118</v>
      </c>
      <c r="X98" s="29" t="s">
        <v>890</v>
      </c>
      <c r="Y98" s="2" t="str">
        <f t="shared" si="75"/>
        <v>T4_INF</v>
      </c>
      <c r="Z98" s="2" t="str">
        <f t="shared" si="76"/>
        <v>T4_CW_0_INF</v>
      </c>
      <c r="AA98" s="2" t="str">
        <f t="shared" si="77"/>
        <v>T4_INF</v>
      </c>
      <c r="AB98" s="2">
        <v>245</v>
      </c>
      <c r="AC98" s="2">
        <v>8.0589999999999993</v>
      </c>
      <c r="AD98" s="2">
        <v>-0.02</v>
      </c>
      <c r="AE98" s="2">
        <v>4</v>
      </c>
      <c r="AF98" s="32" t="s">
        <v>27</v>
      </c>
      <c r="AG98" t="s">
        <v>1237</v>
      </c>
      <c r="AH98" s="32">
        <v>71</v>
      </c>
      <c r="AI98" s="32" t="s">
        <v>443</v>
      </c>
      <c r="AJ98" s="32">
        <v>0.77</v>
      </c>
      <c r="AK98" s="32" t="s">
        <v>443</v>
      </c>
      <c r="AL98" s="32" t="s">
        <v>443</v>
      </c>
      <c r="AM98" s="32" t="s">
        <v>443</v>
      </c>
      <c r="AN98" s="32" t="s">
        <v>443</v>
      </c>
      <c r="AO98" s="32" t="s">
        <v>443</v>
      </c>
      <c r="AP98" s="32" t="s">
        <v>443</v>
      </c>
      <c r="AQ98" s="32">
        <v>0.01</v>
      </c>
      <c r="AR98" s="32">
        <v>16</v>
      </c>
      <c r="AS98" s="32">
        <v>16</v>
      </c>
      <c r="AT98" s="32">
        <v>570</v>
      </c>
      <c r="AU98" s="32">
        <f t="shared" si="89"/>
        <v>0.21892203303034183</v>
      </c>
      <c r="AV98" s="32">
        <v>150</v>
      </c>
      <c r="AW98" s="32">
        <f t="shared" si="90"/>
        <v>5.8606468417625353E-2</v>
      </c>
      <c r="AX98" s="32">
        <v>660</v>
      </c>
      <c r="AY98" s="32">
        <f t="shared" si="91"/>
        <v>0.26109070358858438</v>
      </c>
      <c r="AZ98" s="32">
        <v>210</v>
      </c>
      <c r="BA98" s="32">
        <f t="shared" si="92"/>
        <v>8.3074314778185929E-2</v>
      </c>
      <c r="BB98" s="32">
        <v>390</v>
      </c>
      <c r="BC98" s="32">
        <f t="shared" si="93"/>
        <v>0.1542808703023453</v>
      </c>
      <c r="BD98" s="32">
        <v>600</v>
      </c>
      <c r="BE98" s="32"/>
      <c r="BF98" s="48">
        <v>1980</v>
      </c>
      <c r="BG98" s="48">
        <f t="shared" si="94"/>
        <v>0.53861920503655158</v>
      </c>
      <c r="BH98" s="32">
        <v>4000</v>
      </c>
      <c r="BI98" s="32">
        <f t="shared" si="95"/>
        <v>1.4980104548646329</v>
      </c>
      <c r="BJ98" s="47">
        <v>4800</v>
      </c>
      <c r="BK98" s="27">
        <f t="shared" si="96"/>
        <v>1.7976125458375594</v>
      </c>
      <c r="BL98" s="47">
        <v>160</v>
      </c>
      <c r="BM98" s="27">
        <f t="shared" si="97"/>
        <v>5.8873776200801628E-2</v>
      </c>
      <c r="BN98" s="47">
        <v>210</v>
      </c>
      <c r="BO98" s="27">
        <f t="shared" si="98"/>
        <v>7.8983204720835226E-2</v>
      </c>
      <c r="BP98" s="47">
        <v>120</v>
      </c>
      <c r="BQ98" s="27">
        <f t="shared" si="99"/>
        <v>4.4759956683912888E-2</v>
      </c>
      <c r="BR98" s="47">
        <v>120</v>
      </c>
      <c r="BS98" s="27">
        <f t="shared" si="100"/>
        <v>4.4436963474162601E-2</v>
      </c>
      <c r="BT98" s="47">
        <v>22</v>
      </c>
      <c r="BU98" s="27">
        <f t="shared" si="101"/>
        <v>8.1467766369298089E-3</v>
      </c>
      <c r="BV98" s="47">
        <v>12</v>
      </c>
      <c r="BW98" s="27">
        <f t="shared" si="102"/>
        <v>4.3906056860321388E-3</v>
      </c>
      <c r="BX98" s="47">
        <v>14</v>
      </c>
      <c r="BY98" s="27">
        <f t="shared" si="103"/>
        <v>5.1223733003708284E-3</v>
      </c>
      <c r="BZ98" s="51">
        <f t="shared" si="104"/>
        <v>5458</v>
      </c>
      <c r="CA98" s="51">
        <f t="shared" si="105"/>
        <v>658</v>
      </c>
      <c r="CB98" s="27">
        <f t="shared" si="106"/>
        <v>2.0423262025406048</v>
      </c>
      <c r="CC98" s="27">
        <f t="shared" si="107"/>
        <v>0.2447136567030451</v>
      </c>
      <c r="CD98" s="32">
        <v>7600</v>
      </c>
      <c r="CE98" s="32">
        <v>3800</v>
      </c>
      <c r="CF98" s="32" t="s">
        <v>19</v>
      </c>
      <c r="CG98" s="32">
        <v>11000</v>
      </c>
      <c r="CH98" s="32">
        <v>0.6</v>
      </c>
      <c r="CI98" s="32">
        <f t="shared" si="108"/>
        <v>1.0743061772605192E-2</v>
      </c>
      <c r="CJ98" s="32">
        <f t="shared" si="109"/>
        <v>1.0743061772605192E-2</v>
      </c>
      <c r="CK98" s="32">
        <v>0.8</v>
      </c>
      <c r="CL98" s="32">
        <f t="shared" si="110"/>
        <v>1.4563990533406155E-2</v>
      </c>
      <c r="CM98" s="32">
        <f t="shared" si="111"/>
        <v>2.912798106681231E-2</v>
      </c>
      <c r="CN98" s="32">
        <v>87</v>
      </c>
      <c r="CO98" s="32">
        <f t="shared" si="112"/>
        <v>0.90568394753279202</v>
      </c>
      <c r="CP98" s="32">
        <f t="shared" si="113"/>
        <v>7.2454715802623362</v>
      </c>
      <c r="CQ98" s="57">
        <v>0</v>
      </c>
      <c r="CR98" s="57">
        <v>0</v>
      </c>
      <c r="CS98" s="57">
        <v>0</v>
      </c>
      <c r="CT98" s="57">
        <f t="shared" si="114"/>
        <v>0</v>
      </c>
      <c r="CU98" s="28">
        <v>0</v>
      </c>
      <c r="CV98" s="28">
        <v>0</v>
      </c>
      <c r="CW98" s="28">
        <v>0</v>
      </c>
      <c r="CX98" s="28">
        <f t="shared" si="115"/>
        <v>0</v>
      </c>
      <c r="CY98" s="32">
        <f t="shared" si="116"/>
        <v>0</v>
      </c>
      <c r="CZ98" s="32">
        <f t="shared" si="117"/>
        <v>0</v>
      </c>
      <c r="DA98" s="32">
        <f t="shared" si="118"/>
        <v>0.6</v>
      </c>
      <c r="DB98" s="32">
        <f t="shared" si="119"/>
        <v>1.0743061772605192E-2</v>
      </c>
      <c r="DC98" s="32">
        <f t="shared" si="120"/>
        <v>1.0743061772605192E-2</v>
      </c>
      <c r="DD98" s="59">
        <f t="shared" si="121"/>
        <v>0</v>
      </c>
      <c r="DE98" s="59">
        <f t="shared" si="122"/>
        <v>0</v>
      </c>
      <c r="DF98" s="59">
        <f t="shared" si="123"/>
        <v>0.6</v>
      </c>
      <c r="DG98" s="59">
        <f t="shared" si="124"/>
        <v>1.0743061772605192E-2</v>
      </c>
      <c r="DH98" s="59">
        <f t="shared" si="125"/>
        <v>1.0743061772605192E-2</v>
      </c>
      <c r="DI98" s="32">
        <f t="shared" si="126"/>
        <v>7.2454715802623362</v>
      </c>
      <c r="DJ98" s="32">
        <f t="shared" si="127"/>
        <v>1.4</v>
      </c>
      <c r="DK98" s="32">
        <f t="shared" si="128"/>
        <v>3.9871042839417503E-2</v>
      </c>
      <c r="DL98">
        <f t="shared" si="129"/>
        <v>3.9871042839417503E-2</v>
      </c>
      <c r="DM98">
        <f t="shared" si="78"/>
        <v>0.7305547834333459</v>
      </c>
      <c r="DN98">
        <f t="shared" si="79"/>
        <v>0.2694452165666541</v>
      </c>
      <c r="DO98">
        <f t="shared" si="80"/>
        <v>0</v>
      </c>
      <c r="DP98">
        <f t="shared" si="130"/>
        <v>3.9871042839417503E-2</v>
      </c>
      <c r="DQ98">
        <f t="shared" si="81"/>
        <v>0.7305547834333459</v>
      </c>
      <c r="DR98">
        <f t="shared" si="82"/>
        <v>0.2694452165666541</v>
      </c>
      <c r="DS98">
        <f t="shared" si="83"/>
        <v>0</v>
      </c>
      <c r="DT98" s="63">
        <f t="shared" si="84"/>
        <v>1.9967586170617668</v>
      </c>
      <c r="DU98" s="63">
        <f t="shared" si="85"/>
        <v>1.9967586170617668</v>
      </c>
      <c r="DV98" s="63">
        <f t="shared" si="86"/>
        <v>2.2414722737648121</v>
      </c>
      <c r="DW98" s="63">
        <f t="shared" si="87"/>
        <v>2.2414722737648121</v>
      </c>
      <c r="DX98" t="str">
        <f t="shared" si="131"/>
        <v>Insufficient Capacity</v>
      </c>
      <c r="DY98" t="str">
        <f t="shared" si="132"/>
        <v>Insufficient Capacity</v>
      </c>
      <c r="DZ98" t="str">
        <f t="shared" si="133"/>
        <v>Iron Dominant electron acceptor</v>
      </c>
      <c r="EA98" t="str">
        <f t="shared" si="88"/>
        <v>Iron Dominant electron acceptor</v>
      </c>
      <c r="EB98">
        <v>9.3130920000000002E-3</v>
      </c>
      <c r="EC98">
        <v>1.6777610000000001E-3</v>
      </c>
      <c r="ED98">
        <v>0</v>
      </c>
      <c r="EE98">
        <v>6.8302290000000002E-4</v>
      </c>
      <c r="EF98">
        <v>5.5249740000000002E-3</v>
      </c>
      <c r="EG98" s="66">
        <v>1.1633880000000001E-5</v>
      </c>
      <c r="EH98">
        <v>5.2280459999999996E-4</v>
      </c>
      <c r="EI98" s="66">
        <v>4.5530510000000001E-5</v>
      </c>
      <c r="EJ98">
        <v>5.2584759999999996E-4</v>
      </c>
      <c r="EK98">
        <v>1.022266E-3</v>
      </c>
      <c r="EL98">
        <v>5.693874E-4</v>
      </c>
      <c r="EM98">
        <v>5.0949250000000001E-4</v>
      </c>
      <c r="EN98">
        <v>2.0553110000000002E-3</v>
      </c>
      <c r="EO98">
        <v>8.6836230000000001E-4</v>
      </c>
      <c r="EP98">
        <v>2.5114899999999999E-3</v>
      </c>
      <c r="EQ98">
        <v>1.388409E-3</v>
      </c>
      <c r="ER98">
        <v>5.3633990000000002E-4</v>
      </c>
      <c r="ES98">
        <v>8.5314060000000005E-4</v>
      </c>
      <c r="ET98">
        <v>5.9899539999999996E-3</v>
      </c>
      <c r="EU98">
        <v>2.4177370000000001E-3</v>
      </c>
      <c r="EV98">
        <v>8.7849790000000001E-3</v>
      </c>
      <c r="EW98">
        <v>7.4218570000000005E-4</v>
      </c>
      <c r="EX98">
        <v>5.1249579999999998E-3</v>
      </c>
      <c r="EY98">
        <v>7.1503180000000001E-3</v>
      </c>
      <c r="EZ98">
        <v>1.4124649999999999E-3</v>
      </c>
      <c r="FA98">
        <v>1.118256E-3</v>
      </c>
      <c r="FB98">
        <v>1.147681E-3</v>
      </c>
      <c r="FC98">
        <v>1.771035E-3</v>
      </c>
      <c r="FD98">
        <v>4.739713E-4</v>
      </c>
      <c r="FE98">
        <v>2.1688019999999999E-2</v>
      </c>
      <c r="FF98">
        <v>1.834069E-2</v>
      </c>
      <c r="FG98">
        <v>9.7287799999999994E-3</v>
      </c>
      <c r="FH98">
        <v>9.5789530000000005E-4</v>
      </c>
      <c r="FI98">
        <v>1.43808E-3</v>
      </c>
      <c r="FJ98">
        <v>1.231134E-2</v>
      </c>
      <c r="FK98">
        <v>0.17613106929227201</v>
      </c>
      <c r="FL98">
        <v>0.18313342142896399</v>
      </c>
      <c r="FM98">
        <v>-3.7861101860607399E-2</v>
      </c>
      <c r="FN98">
        <v>0.56563562533535405</v>
      </c>
      <c r="FO98">
        <v>-0.55579832441498001</v>
      </c>
      <c r="FP98">
        <v>0.1730244326059</v>
      </c>
      <c r="FQ98">
        <v>0.35148491245657698</v>
      </c>
      <c r="FR98">
        <v>0.22289017173838799</v>
      </c>
      <c r="FS98">
        <v>0.68379511853296304</v>
      </c>
      <c r="FT98">
        <v>1.06559116106633E-2</v>
      </c>
      <c r="FU98">
        <v>6.1825123310292399E-2</v>
      </c>
      <c r="FV98">
        <v>0.17021403576800601</v>
      </c>
      <c r="FW98">
        <v>0.13896341000255599</v>
      </c>
      <c r="FX98">
        <v>0.30297791218570702</v>
      </c>
      <c r="FY98">
        <v>0.20319436744688299</v>
      </c>
      <c r="FZ98">
        <v>-0.370923132930218</v>
      </c>
      <c r="GA98">
        <v>-0.13592099627818399</v>
      </c>
      <c r="GB98">
        <v>-6.2055462205306E-3</v>
      </c>
      <c r="GC98">
        <v>0.141062604220312</v>
      </c>
      <c r="GD98">
        <v>2.97458913799407E-2</v>
      </c>
      <c r="GE98">
        <v>5.42489242791531E-2</v>
      </c>
      <c r="GF98">
        <v>0.10317559313293399</v>
      </c>
      <c r="GG98">
        <v>0.167489009523173</v>
      </c>
      <c r="GH98">
        <v>0.149264665607201</v>
      </c>
      <c r="GI98">
        <v>-5.6256486627904501E-2</v>
      </c>
      <c r="GJ98">
        <v>0.28296679520902301</v>
      </c>
      <c r="GK98">
        <v>-7.2747671728802907E-2</v>
      </c>
      <c r="GL98">
        <v>0.20441860934460501</v>
      </c>
      <c r="GM98">
        <v>0.14288158250323801</v>
      </c>
      <c r="GN98">
        <v>0.18896679379218001</v>
      </c>
      <c r="GO98">
        <v>1.4950041551058399E-3</v>
      </c>
      <c r="GP98">
        <v>0.150428334498102</v>
      </c>
      <c r="GY98" s="65"/>
      <c r="HK98" s="1"/>
      <c r="HL98" s="1"/>
      <c r="HM98" s="65"/>
      <c r="HN98" s="1"/>
      <c r="JF98" s="66"/>
      <c r="JH98" s="66"/>
      <c r="JJ98" s="66"/>
      <c r="JL98" s="66"/>
      <c r="JN98" s="66"/>
    </row>
    <row r="99" spans="1:278" ht="15.75" x14ac:dyDescent="0.25">
      <c r="A99" s="6" t="s">
        <v>152</v>
      </c>
      <c r="B99" s="6" t="s">
        <v>152</v>
      </c>
      <c r="C99" s="2" t="s">
        <v>893</v>
      </c>
      <c r="D99" s="2" t="s">
        <v>541</v>
      </c>
      <c r="E99" s="2" t="s">
        <v>541</v>
      </c>
      <c r="F99" s="2">
        <v>98</v>
      </c>
      <c r="G99" s="2" t="s">
        <v>892</v>
      </c>
      <c r="H99" s="10" t="s">
        <v>656</v>
      </c>
      <c r="I99" s="2">
        <v>150</v>
      </c>
      <c r="J99" s="2">
        <v>65</v>
      </c>
      <c r="K99" s="15">
        <v>4.9000000000000004</v>
      </c>
      <c r="L99" t="s">
        <v>326</v>
      </c>
      <c r="M99" s="2" t="s">
        <v>1119</v>
      </c>
      <c r="N99" s="2" t="s">
        <v>435</v>
      </c>
      <c r="O99" s="2" t="s">
        <v>694</v>
      </c>
      <c r="P99" s="2" t="s">
        <v>1119</v>
      </c>
      <c r="Q99" s="2" t="s">
        <v>443</v>
      </c>
      <c r="R99" s="2" t="str">
        <f t="shared" si="73"/>
        <v>CW_1_Section_5</v>
      </c>
      <c r="S99" s="2" t="str">
        <f t="shared" si="74"/>
        <v>CW_1_EFF</v>
      </c>
      <c r="T99" s="11" t="s">
        <v>891</v>
      </c>
      <c r="U99" s="1">
        <v>45762</v>
      </c>
      <c r="V99" s="2" t="s">
        <v>660</v>
      </c>
      <c r="W99" s="2" t="s">
        <v>1119</v>
      </c>
      <c r="X99" s="2" t="s">
        <v>890</v>
      </c>
      <c r="Y99" s="2" t="str">
        <f t="shared" si="75"/>
        <v>T4_EFF</v>
      </c>
      <c r="Z99" s="2" t="str">
        <f t="shared" si="76"/>
        <v>T4_CW_1_EFF</v>
      </c>
      <c r="AA99" s="2" t="str">
        <f t="shared" si="77"/>
        <v>T4_EFF</v>
      </c>
      <c r="AB99" s="2">
        <v>245</v>
      </c>
      <c r="AC99" s="2">
        <v>8.0589999999999993</v>
      </c>
      <c r="AD99" s="2">
        <v>-0.02</v>
      </c>
      <c r="AE99" s="2">
        <v>4</v>
      </c>
      <c r="AF99" t="s">
        <v>18</v>
      </c>
      <c r="AG99" t="s">
        <v>1237</v>
      </c>
      <c r="AH99">
        <v>73</v>
      </c>
      <c r="AI99" t="s">
        <v>443</v>
      </c>
      <c r="AJ99">
        <v>0.6</v>
      </c>
      <c r="AK99">
        <v>1.89</v>
      </c>
      <c r="AL99">
        <v>14.1</v>
      </c>
      <c r="AM99">
        <v>-91</v>
      </c>
      <c r="AN99">
        <v>6.88</v>
      </c>
      <c r="AO99">
        <v>866</v>
      </c>
      <c r="AP99">
        <v>0.3</v>
      </c>
      <c r="AQ99">
        <v>0.01</v>
      </c>
      <c r="AR99">
        <v>9.6999999999999993</v>
      </c>
      <c r="AS99">
        <v>9.8000000000000007</v>
      </c>
      <c r="AT99">
        <v>190</v>
      </c>
      <c r="AU99" s="32">
        <f t="shared" si="89"/>
        <v>7.2974011010113943E-2</v>
      </c>
      <c r="AV99">
        <v>0.5</v>
      </c>
      <c r="AW99" s="32">
        <f t="shared" si="90"/>
        <v>1.9535489472541785E-4</v>
      </c>
      <c r="AX99">
        <v>160</v>
      </c>
      <c r="AY99" s="32">
        <f t="shared" si="91"/>
        <v>6.3294716021474989E-2</v>
      </c>
      <c r="AZ99">
        <v>36</v>
      </c>
      <c r="BA99" s="32">
        <f t="shared" si="92"/>
        <v>1.4241311104831874E-2</v>
      </c>
      <c r="BB99">
        <v>31</v>
      </c>
      <c r="BC99" s="32">
        <f t="shared" si="93"/>
        <v>1.2263351229160779E-2</v>
      </c>
      <c r="BD99">
        <v>67</v>
      </c>
      <c r="BF99" s="48">
        <v>420.5</v>
      </c>
      <c r="BG99" s="48">
        <f t="shared" si="94"/>
        <v>0.13646408192631435</v>
      </c>
      <c r="BH99">
        <v>960</v>
      </c>
      <c r="BI99" s="32">
        <f t="shared" si="95"/>
        <v>0.35952250916751188</v>
      </c>
      <c r="BJ99" s="47">
        <v>730</v>
      </c>
      <c r="BK99" s="27">
        <f t="shared" si="96"/>
        <v>0.27338690801279553</v>
      </c>
      <c r="BL99" s="47">
        <v>4</v>
      </c>
      <c r="BM99" s="27">
        <f t="shared" si="97"/>
        <v>1.4718444050200407E-3</v>
      </c>
      <c r="BN99" s="47">
        <v>44</v>
      </c>
      <c r="BO99" s="27">
        <f t="shared" si="98"/>
        <v>1.6548861941508335E-2</v>
      </c>
      <c r="BP99" s="47">
        <v>2</v>
      </c>
      <c r="BQ99" s="27">
        <f t="shared" si="99"/>
        <v>7.4599927806521475E-4</v>
      </c>
      <c r="BR99" s="47">
        <v>1.9</v>
      </c>
      <c r="BS99" s="27">
        <f t="shared" si="100"/>
        <v>7.0358525500757447E-4</v>
      </c>
      <c r="BT99" s="47">
        <v>0.27</v>
      </c>
      <c r="BU99" s="27">
        <f t="shared" si="101"/>
        <v>9.9983167816865867E-5</v>
      </c>
      <c r="BV99" s="47">
        <v>0.04</v>
      </c>
      <c r="BW99" s="27">
        <f t="shared" si="102"/>
        <v>1.4635352286773795E-5</v>
      </c>
      <c r="BX99" s="47">
        <v>0.03</v>
      </c>
      <c r="BY99" s="27">
        <f t="shared" si="103"/>
        <v>1.0976514215080345E-5</v>
      </c>
      <c r="BZ99" s="51">
        <f t="shared" si="104"/>
        <v>782.2399999999999</v>
      </c>
      <c r="CA99" s="51">
        <f t="shared" si="105"/>
        <v>52.24</v>
      </c>
      <c r="CB99" s="27">
        <f t="shared" si="106"/>
        <v>0.29298279392671539</v>
      </c>
      <c r="CC99" s="27">
        <f t="shared" si="107"/>
        <v>1.9595885913919885E-2</v>
      </c>
      <c r="CD99">
        <v>1600</v>
      </c>
      <c r="CE99">
        <v>420</v>
      </c>
      <c r="CF99" t="s">
        <v>19</v>
      </c>
      <c r="CG99">
        <v>2000</v>
      </c>
      <c r="CH99" s="32">
        <v>5.5</v>
      </c>
      <c r="CI99" s="32">
        <f t="shared" si="108"/>
        <v>9.8478066248880933E-2</v>
      </c>
      <c r="CJ99" s="32">
        <f t="shared" si="109"/>
        <v>9.8478066248880933E-2</v>
      </c>
      <c r="CK99" s="32">
        <v>1.7</v>
      </c>
      <c r="CL99" s="32">
        <f t="shared" si="110"/>
        <v>3.0948479883488075E-2</v>
      </c>
      <c r="CM99" s="32">
        <f t="shared" si="111"/>
        <v>6.1896959766976151E-2</v>
      </c>
      <c r="CN99" s="27">
        <v>16</v>
      </c>
      <c r="CO99" s="27">
        <f t="shared" si="112"/>
        <v>0.16656256506350198</v>
      </c>
      <c r="CP99" s="27">
        <f t="shared" si="113"/>
        <v>1.3325005205080158</v>
      </c>
      <c r="CQ99" s="57">
        <v>71</v>
      </c>
      <c r="CR99" s="57">
        <v>81.609195402298852</v>
      </c>
      <c r="CS99" s="57">
        <v>5.9129710597543204</v>
      </c>
      <c r="CT99" s="57">
        <f t="shared" si="114"/>
        <v>5.9129710597543204</v>
      </c>
      <c r="CU99" s="28">
        <v>45</v>
      </c>
      <c r="CV99" s="28">
        <v>73.770491803278688</v>
      </c>
      <c r="CW99" s="28">
        <v>3.7476577139287945</v>
      </c>
      <c r="CX99" s="28">
        <f t="shared" si="115"/>
        <v>3.7476577139287945</v>
      </c>
      <c r="CY99" s="32">
        <f t="shared" si="116"/>
        <v>41.272537997085152</v>
      </c>
      <c r="CZ99" s="32">
        <f t="shared" si="117"/>
        <v>41.272537997085152</v>
      </c>
      <c r="DA99" s="32">
        <f t="shared" si="118"/>
        <v>46.772537997085152</v>
      </c>
      <c r="DB99" s="32">
        <f t="shared" si="119"/>
        <v>0.8374671082736822</v>
      </c>
      <c r="DC99" s="32">
        <f t="shared" si="120"/>
        <v>0.8374671082736822</v>
      </c>
      <c r="DD99" s="59">
        <f t="shared" si="121"/>
        <v>26.158650843222983</v>
      </c>
      <c r="DE99" s="59">
        <f t="shared" si="122"/>
        <v>26.158650843222983</v>
      </c>
      <c r="DF99" s="59">
        <f t="shared" si="123"/>
        <v>31.658650843222983</v>
      </c>
      <c r="DG99" s="59">
        <f t="shared" si="124"/>
        <v>0.56685140274347323</v>
      </c>
      <c r="DH99" s="59">
        <f t="shared" si="125"/>
        <v>0.56685140274347323</v>
      </c>
      <c r="DI99" s="32">
        <f t="shared" si="126"/>
        <v>1.3325005205080158</v>
      </c>
      <c r="DJ99" s="32">
        <f t="shared" si="127"/>
        <v>33.358650843222982</v>
      </c>
      <c r="DK99" s="32">
        <f t="shared" si="128"/>
        <v>0.62874836251044941</v>
      </c>
      <c r="DL99">
        <f t="shared" si="129"/>
        <v>6.8123351277949791</v>
      </c>
      <c r="DM99">
        <f t="shared" si="78"/>
        <v>9.0860121538106128E-3</v>
      </c>
      <c r="DN99">
        <f t="shared" si="79"/>
        <v>0.12293392684936129</v>
      </c>
      <c r="DO99">
        <f t="shared" si="80"/>
        <v>0.86798006099682801</v>
      </c>
      <c r="DP99">
        <f t="shared" si="130"/>
        <v>4.3764060764392436</v>
      </c>
      <c r="DQ99">
        <f t="shared" si="81"/>
        <v>1.4143331008565163E-2</v>
      </c>
      <c r="DR99">
        <f t="shared" si="82"/>
        <v>0.12952440720598718</v>
      </c>
      <c r="DS99">
        <f t="shared" si="83"/>
        <v>0.85633226178544775</v>
      </c>
      <c r="DT99" s="63">
        <f t="shared" si="84"/>
        <v>-6.3163485367011525</v>
      </c>
      <c r="DU99" s="63">
        <f t="shared" si="85"/>
        <v>-3.8804194853454175</v>
      </c>
      <c r="DV99" s="63">
        <f t="shared" si="86"/>
        <v>-6.2967526507872327</v>
      </c>
      <c r="DW99" s="63">
        <f t="shared" si="87"/>
        <v>-3.8608235994314972</v>
      </c>
      <c r="DX99" t="str">
        <f t="shared" si="131"/>
        <v>Sufficient Capacity</v>
      </c>
      <c r="DY99" t="str">
        <f t="shared" si="132"/>
        <v>Sufficient Capacity</v>
      </c>
      <c r="DZ99" t="str">
        <f t="shared" si="133"/>
        <v>Sulfate Dominant electron acceptor</v>
      </c>
      <c r="EA99" t="str">
        <f t="shared" si="88"/>
        <v>Sulfate Dominant electron acceptor</v>
      </c>
      <c r="EB99">
        <v>8.8994160000000003E-3</v>
      </c>
      <c r="EC99">
        <v>1.38831E-3</v>
      </c>
      <c r="ED99" s="66">
        <v>1.696299E-7</v>
      </c>
      <c r="EE99">
        <v>8.9002139999999998E-4</v>
      </c>
      <c r="EF99">
        <v>5.9523780000000004E-3</v>
      </c>
      <c r="EG99" s="66">
        <v>8.9907920000000002E-6</v>
      </c>
      <c r="EH99">
        <v>5.2907989999999999E-4</v>
      </c>
      <c r="EI99">
        <v>1.018635E-4</v>
      </c>
      <c r="EJ99">
        <v>7.4280579999999998E-4</v>
      </c>
      <c r="EK99">
        <v>1.0808180000000001E-3</v>
      </c>
      <c r="EL99">
        <v>6.6489049999999997E-4</v>
      </c>
      <c r="EM99">
        <v>5.2500850000000005E-4</v>
      </c>
      <c r="EN99">
        <v>2.1995389999999999E-3</v>
      </c>
      <c r="EO99">
        <v>9.131241E-4</v>
      </c>
      <c r="EP99">
        <v>2.6459919999999998E-3</v>
      </c>
      <c r="EQ99">
        <v>1.217433E-3</v>
      </c>
      <c r="ER99">
        <v>5.5671249999999996E-4</v>
      </c>
      <c r="ES99">
        <v>8.9780790000000001E-4</v>
      </c>
      <c r="ET99">
        <v>1.076823E-2</v>
      </c>
      <c r="EU99">
        <v>2.743292E-3</v>
      </c>
      <c r="EV99">
        <v>8.6723010000000003E-3</v>
      </c>
      <c r="EW99">
        <v>7.6715639999999999E-4</v>
      </c>
      <c r="EX99">
        <v>4.6472190000000002E-3</v>
      </c>
      <c r="EY99">
        <v>6.5730770000000001E-3</v>
      </c>
      <c r="EZ99">
        <v>1.5761670000000001E-3</v>
      </c>
      <c r="FA99">
        <v>1.1761199999999999E-3</v>
      </c>
      <c r="FB99">
        <v>1.2204970000000001E-3</v>
      </c>
      <c r="FC99">
        <v>1.863431E-3</v>
      </c>
      <c r="FD99">
        <v>3.9770060000000001E-4</v>
      </c>
      <c r="FE99">
        <v>2.6942500000000001E-2</v>
      </c>
      <c r="FF99">
        <v>1.401019E-2</v>
      </c>
      <c r="FG99">
        <v>8.0825610000000003E-3</v>
      </c>
      <c r="FH99">
        <v>6.8064929999999996E-4</v>
      </c>
      <c r="FI99">
        <v>1.5279740000000001E-3</v>
      </c>
      <c r="FJ99">
        <v>9.8782060000000005E-3</v>
      </c>
      <c r="FK99">
        <v>0.44084818911397</v>
      </c>
      <c r="FL99">
        <v>0.25764568349732903</v>
      </c>
      <c r="FM99">
        <v>-0.29558169021115099</v>
      </c>
      <c r="FN99">
        <v>0.57756730499866804</v>
      </c>
      <c r="FO99">
        <v>0.249452706649027</v>
      </c>
      <c r="FP99">
        <v>0.51844763343046496</v>
      </c>
      <c r="FQ99">
        <v>0.40718134242315202</v>
      </c>
      <c r="FR99">
        <v>0.37795149113916598</v>
      </c>
      <c r="FS99">
        <v>0.71379443922931196</v>
      </c>
      <c r="FT99">
        <v>7.8476529865429995E-2</v>
      </c>
      <c r="FU99">
        <v>0.112087896300382</v>
      </c>
      <c r="FV99">
        <v>0.22238387550882099</v>
      </c>
      <c r="FW99">
        <v>7.5494663958446404E-3</v>
      </c>
      <c r="FX99">
        <v>0.340258758989467</v>
      </c>
      <c r="FY99">
        <v>0.25422612912271902</v>
      </c>
      <c r="FZ99">
        <v>0.21559326669589901</v>
      </c>
      <c r="GA99">
        <v>-9.5943158999665101E-3</v>
      </c>
      <c r="GB99">
        <v>-1.9114723913960002E-2</v>
      </c>
      <c r="GC99">
        <v>0.17415381474640901</v>
      </c>
      <c r="GD99">
        <v>-6.8107462317783501E-2</v>
      </c>
      <c r="GE99">
        <v>-2.9925843159418299E-2</v>
      </c>
      <c r="GF99">
        <v>0.21283513845138999</v>
      </c>
      <c r="GG99">
        <v>0.21793956576720699</v>
      </c>
      <c r="GH99">
        <v>0.210779433727421</v>
      </c>
      <c r="GI99">
        <v>-5.4011959270559001E-3</v>
      </c>
      <c r="GJ99">
        <v>0.107519484757677</v>
      </c>
      <c r="GK99">
        <v>0.144197259395167</v>
      </c>
      <c r="GL99">
        <v>-6.4918557460090107E-2</v>
      </c>
      <c r="GM99">
        <v>-4.2498142668525099E-2</v>
      </c>
      <c r="GN99">
        <v>-0.15272449248893599</v>
      </c>
      <c r="GO99">
        <v>6.2128788473086297E-2</v>
      </c>
      <c r="GP99">
        <v>-6.9761538038838097E-2</v>
      </c>
      <c r="GR99" s="66"/>
      <c r="GT99" s="66"/>
      <c r="GV99" s="66"/>
      <c r="HK99" s="1"/>
      <c r="HL99" s="1"/>
      <c r="HM99" s="65"/>
      <c r="HN99" s="1"/>
      <c r="HO99" s="65"/>
      <c r="HP99" s="65"/>
      <c r="HQ99" s="65"/>
      <c r="HS99" s="65"/>
      <c r="HT99" s="65"/>
      <c r="HU99" s="65"/>
      <c r="HV99" s="65"/>
      <c r="HW99" s="65"/>
      <c r="HX99" s="65"/>
      <c r="JJ99" s="66"/>
      <c r="JL99" s="66"/>
      <c r="JN99" s="66"/>
    </row>
    <row r="100" spans="1:278" ht="15.75" x14ac:dyDescent="0.25">
      <c r="A100" s="6" t="s">
        <v>153</v>
      </c>
      <c r="B100" s="6" t="s">
        <v>153</v>
      </c>
      <c r="C100" s="2" t="s">
        <v>895</v>
      </c>
      <c r="D100" s="2" t="s">
        <v>542</v>
      </c>
      <c r="E100" s="2" t="s">
        <v>542</v>
      </c>
      <c r="F100" s="2">
        <v>99</v>
      </c>
      <c r="G100" s="2" t="s">
        <v>894</v>
      </c>
      <c r="H100" s="10" t="s">
        <v>656</v>
      </c>
      <c r="I100" s="2">
        <v>150</v>
      </c>
      <c r="J100" s="2">
        <v>65</v>
      </c>
      <c r="K100" s="15">
        <v>6.9</v>
      </c>
      <c r="L100" t="s">
        <v>334</v>
      </c>
      <c r="M100" s="2" t="s">
        <v>1119</v>
      </c>
      <c r="N100" s="2" t="s">
        <v>436</v>
      </c>
      <c r="O100" s="2" t="s">
        <v>694</v>
      </c>
      <c r="P100" s="2" t="s">
        <v>1119</v>
      </c>
      <c r="Q100" s="2" t="s">
        <v>443</v>
      </c>
      <c r="R100" s="2" t="str">
        <f t="shared" si="73"/>
        <v>CW_2_Section_5</v>
      </c>
      <c r="S100" s="2" t="str">
        <f t="shared" si="74"/>
        <v>CW_2_EFF</v>
      </c>
      <c r="T100" s="11" t="s">
        <v>891</v>
      </c>
      <c r="U100" s="1">
        <v>45762</v>
      </c>
      <c r="V100" s="2" t="s">
        <v>660</v>
      </c>
      <c r="W100" s="2" t="s">
        <v>1119</v>
      </c>
      <c r="X100" s="2" t="s">
        <v>890</v>
      </c>
      <c r="Y100" s="2" t="str">
        <f t="shared" si="75"/>
        <v>T4_EFF</v>
      </c>
      <c r="Z100" s="2" t="str">
        <f t="shared" si="76"/>
        <v>T4_CW_2_EFF</v>
      </c>
      <c r="AA100" s="2" t="str">
        <f t="shared" si="77"/>
        <v>T4_EFF</v>
      </c>
      <c r="AB100" s="2">
        <v>245</v>
      </c>
      <c r="AC100" s="2">
        <v>8.0589999999999993</v>
      </c>
      <c r="AD100" s="2">
        <v>-0.02</v>
      </c>
      <c r="AE100" s="2">
        <v>4</v>
      </c>
      <c r="AF100" t="s">
        <v>39</v>
      </c>
      <c r="AG100" s="2" t="s">
        <v>1238</v>
      </c>
      <c r="AH100">
        <v>68</v>
      </c>
      <c r="AI100" t="s">
        <v>443</v>
      </c>
      <c r="AJ100">
        <v>0.94</v>
      </c>
      <c r="AK100">
        <v>0.71</v>
      </c>
      <c r="AL100">
        <v>14.2</v>
      </c>
      <c r="AM100">
        <v>-42</v>
      </c>
      <c r="AN100">
        <v>7.29</v>
      </c>
      <c r="AO100">
        <v>689</v>
      </c>
      <c r="AP100">
        <v>0.3</v>
      </c>
      <c r="AQ100">
        <v>0.01</v>
      </c>
      <c r="AR100">
        <v>12</v>
      </c>
      <c r="AS100">
        <v>11</v>
      </c>
      <c r="AT100">
        <v>580</v>
      </c>
      <c r="AU100" s="32">
        <f t="shared" si="89"/>
        <v>0.22276277045192677</v>
      </c>
      <c r="AV100">
        <v>0.5</v>
      </c>
      <c r="AW100" s="32">
        <f t="shared" si="90"/>
        <v>1.9535489472541785E-4</v>
      </c>
      <c r="AX100">
        <v>450</v>
      </c>
      <c r="AY100" s="32">
        <f t="shared" si="91"/>
        <v>0.17801638881039844</v>
      </c>
      <c r="AZ100">
        <v>130</v>
      </c>
      <c r="BA100" s="32">
        <f t="shared" si="92"/>
        <v>5.1426956767448434E-2</v>
      </c>
      <c r="BB100">
        <v>110</v>
      </c>
      <c r="BC100" s="32">
        <f t="shared" si="93"/>
        <v>4.3515117264764057E-2</v>
      </c>
      <c r="BD100">
        <v>240</v>
      </c>
      <c r="BF100" s="48">
        <v>1273.5</v>
      </c>
      <c r="BG100" s="48">
        <f t="shared" si="94"/>
        <v>0.40097451415705065</v>
      </c>
      <c r="BH100">
        <v>2800</v>
      </c>
      <c r="BI100" s="32">
        <f t="shared" si="95"/>
        <v>1.0486073184052431</v>
      </c>
      <c r="BJ100" s="47">
        <v>2600</v>
      </c>
      <c r="BK100" s="27">
        <f t="shared" si="96"/>
        <v>0.97370679566201146</v>
      </c>
      <c r="BL100" s="47">
        <v>130</v>
      </c>
      <c r="BM100" s="27">
        <f t="shared" si="97"/>
        <v>4.7834943163151324E-2</v>
      </c>
      <c r="BN100" s="47">
        <v>110</v>
      </c>
      <c r="BO100" s="27">
        <f t="shared" si="98"/>
        <v>4.1372154853770833E-2</v>
      </c>
      <c r="BP100" s="47">
        <v>53</v>
      </c>
      <c r="BQ100" s="27">
        <f t="shared" si="99"/>
        <v>1.9768980868728192E-2</v>
      </c>
      <c r="BR100" s="47">
        <v>22</v>
      </c>
      <c r="BS100" s="27">
        <f t="shared" si="100"/>
        <v>8.1467766369298089E-3</v>
      </c>
      <c r="BT100" s="47">
        <v>4</v>
      </c>
      <c r="BU100" s="27">
        <f t="shared" si="101"/>
        <v>1.48123211580542E-3</v>
      </c>
      <c r="BV100" s="47">
        <v>0.23</v>
      </c>
      <c r="BW100" s="27">
        <f t="shared" si="102"/>
        <v>8.4153275648949323E-5</v>
      </c>
      <c r="BX100" s="47">
        <v>0.11</v>
      </c>
      <c r="BY100" s="27">
        <f t="shared" si="103"/>
        <v>4.0247218788627937E-5</v>
      </c>
      <c r="BZ100" s="51">
        <f t="shared" si="104"/>
        <v>2919.34</v>
      </c>
      <c r="CA100" s="51">
        <f t="shared" si="105"/>
        <v>319.34000000000003</v>
      </c>
      <c r="CB100" s="27">
        <f t="shared" si="106"/>
        <v>1.092435283794835</v>
      </c>
      <c r="CC100" s="27">
        <f t="shared" si="107"/>
        <v>0.11872848813282316</v>
      </c>
      <c r="CD100">
        <v>4100</v>
      </c>
      <c r="CE100">
        <v>1600</v>
      </c>
      <c r="CF100" t="s">
        <v>19</v>
      </c>
      <c r="CG100">
        <v>5700</v>
      </c>
      <c r="CH100" s="32">
        <v>0.6</v>
      </c>
      <c r="CI100" s="32">
        <f t="shared" si="108"/>
        <v>1.0743061772605192E-2</v>
      </c>
      <c r="CJ100" s="32">
        <f t="shared" si="109"/>
        <v>1.0743061772605192E-2</v>
      </c>
      <c r="CK100" s="32">
        <v>1.3</v>
      </c>
      <c r="CL100" s="32">
        <f t="shared" si="110"/>
        <v>2.3666484616785E-2</v>
      </c>
      <c r="CM100" s="32">
        <f t="shared" si="111"/>
        <v>4.7332969233569999E-2</v>
      </c>
      <c r="CN100" s="27">
        <v>56</v>
      </c>
      <c r="CO100" s="27">
        <f t="shared" si="112"/>
        <v>0.58296897772225686</v>
      </c>
      <c r="CP100" s="27">
        <f t="shared" si="113"/>
        <v>4.6637518217780549</v>
      </c>
      <c r="CQ100" s="57">
        <v>31</v>
      </c>
      <c r="CR100" s="57">
        <v>35.632183908045981</v>
      </c>
      <c r="CS100" s="57">
        <v>2.5817197584842808</v>
      </c>
      <c r="CT100" s="57">
        <f t="shared" si="114"/>
        <v>2.5817197584842808</v>
      </c>
      <c r="CU100" s="28">
        <v>-17</v>
      </c>
      <c r="CV100" s="28">
        <v>-43.589743589743591</v>
      </c>
      <c r="CW100" s="28">
        <v>-1.4157818030397669</v>
      </c>
      <c r="CX100" s="28">
        <f t="shared" si="115"/>
        <v>0</v>
      </c>
      <c r="CY100" s="32">
        <f t="shared" si="116"/>
        <v>18.020403914220278</v>
      </c>
      <c r="CZ100" s="32">
        <f t="shared" si="117"/>
        <v>18.020403914220278</v>
      </c>
      <c r="DA100" s="32">
        <f t="shared" si="118"/>
        <v>18.62040391422028</v>
      </c>
      <c r="DB100" s="32">
        <f t="shared" si="119"/>
        <v>0.33340024913554661</v>
      </c>
      <c r="DC100" s="32">
        <f t="shared" si="120"/>
        <v>0.33340024913554661</v>
      </c>
      <c r="DD100" s="59">
        <f t="shared" si="121"/>
        <v>-9.8821569852175717</v>
      </c>
      <c r="DE100" s="59">
        <f t="shared" si="122"/>
        <v>0</v>
      </c>
      <c r="DF100" s="59">
        <f t="shared" si="123"/>
        <v>0.6</v>
      </c>
      <c r="DG100" s="59">
        <f t="shared" si="124"/>
        <v>1.0743061772605192E-2</v>
      </c>
      <c r="DH100" s="59">
        <f t="shared" si="125"/>
        <v>1.0743061772605192E-2</v>
      </c>
      <c r="DI100" s="32">
        <f t="shared" si="126"/>
        <v>4.6637518217780549</v>
      </c>
      <c r="DJ100" s="32">
        <f t="shared" si="127"/>
        <v>1.9</v>
      </c>
      <c r="DK100" s="32">
        <f t="shared" si="128"/>
        <v>5.8076031006175192E-2</v>
      </c>
      <c r="DL100">
        <f t="shared" si="129"/>
        <v>2.9624529768533976</v>
      </c>
      <c r="DM100">
        <f t="shared" si="78"/>
        <v>1.5977627190506577E-2</v>
      </c>
      <c r="DN100">
        <f t="shared" si="79"/>
        <v>0.11254195483962463</v>
      </c>
      <c r="DO100">
        <f t="shared" si="80"/>
        <v>0.87148041796986875</v>
      </c>
      <c r="DP100">
        <f t="shared" si="130"/>
        <v>5.8076031006175192E-2</v>
      </c>
      <c r="DQ100">
        <f t="shared" si="81"/>
        <v>0.8150172870549145</v>
      </c>
      <c r="DR100">
        <f t="shared" si="82"/>
        <v>0.1849827129450855</v>
      </c>
      <c r="DS100">
        <f t="shared" si="83"/>
        <v>0</v>
      </c>
      <c r="DT100" s="63">
        <f t="shared" si="84"/>
        <v>-1.5128711442911038</v>
      </c>
      <c r="DU100" s="63">
        <f t="shared" si="85"/>
        <v>1.3915058015561186</v>
      </c>
      <c r="DV100" s="63">
        <f t="shared" si="86"/>
        <v>-1.3941426561582806</v>
      </c>
      <c r="DW100" s="63">
        <f t="shared" si="87"/>
        <v>1.5102342896889418</v>
      </c>
      <c r="DX100" t="str">
        <f t="shared" si="131"/>
        <v>Sufficient Capacity</v>
      </c>
      <c r="DY100" t="str">
        <f t="shared" si="132"/>
        <v>Insufficient Capacity</v>
      </c>
      <c r="DZ100" t="str">
        <f t="shared" si="133"/>
        <v>Sulfate Dominant electron acceptor</v>
      </c>
      <c r="EA100" t="str">
        <f t="shared" si="88"/>
        <v>Iron Dominant electron acceptor</v>
      </c>
      <c r="EB100">
        <v>8.0245349999999993E-3</v>
      </c>
      <c r="EC100">
        <v>1.2142909999999999E-3</v>
      </c>
      <c r="ED100" s="66">
        <v>2.7608899999999998E-6</v>
      </c>
      <c r="EE100">
        <v>1.190541E-3</v>
      </c>
      <c r="EF100">
        <v>8.9843979999999993E-3</v>
      </c>
      <c r="EG100" s="66">
        <v>8.3074260000000006E-6</v>
      </c>
      <c r="EH100">
        <v>9.3358570000000004E-4</v>
      </c>
      <c r="EI100" s="66">
        <v>3.6376710000000001E-5</v>
      </c>
      <c r="EJ100">
        <v>8.0465720000000003E-4</v>
      </c>
      <c r="EK100">
        <v>1.4031919999999999E-3</v>
      </c>
      <c r="EL100">
        <v>8.6255529999999998E-4</v>
      </c>
      <c r="EM100">
        <v>7.988766E-4</v>
      </c>
      <c r="EN100">
        <v>1.95706E-3</v>
      </c>
      <c r="EO100">
        <v>8.2785170000000002E-4</v>
      </c>
      <c r="EP100">
        <v>3.5703699999999998E-3</v>
      </c>
      <c r="EQ100">
        <v>6.1026669999999996E-4</v>
      </c>
      <c r="ER100">
        <v>8.4250079999999999E-4</v>
      </c>
      <c r="ES100">
        <v>1.000304E-3</v>
      </c>
      <c r="ET100">
        <v>5.481901E-3</v>
      </c>
      <c r="EU100">
        <v>2.0002800000000001E-3</v>
      </c>
      <c r="EV100">
        <v>7.4436160000000001E-3</v>
      </c>
      <c r="EW100">
        <v>7.4776659999999996E-4</v>
      </c>
      <c r="EX100">
        <v>4.6460649999999996E-3</v>
      </c>
      <c r="EY100">
        <v>7.0088759999999998E-3</v>
      </c>
      <c r="EZ100">
        <v>2.5213919999999999E-3</v>
      </c>
      <c r="FA100">
        <v>1.7674749999999999E-3</v>
      </c>
      <c r="FB100">
        <v>1.788708E-3</v>
      </c>
      <c r="FC100">
        <v>2.513796E-3</v>
      </c>
      <c r="FD100">
        <v>6.0113400000000002E-4</v>
      </c>
      <c r="FE100">
        <v>2.9087419999999999E-2</v>
      </c>
      <c r="FF100">
        <v>1.307495E-2</v>
      </c>
      <c r="FG100">
        <v>8.6768149999999992E-3</v>
      </c>
      <c r="FH100">
        <v>7.2836289999999996E-4</v>
      </c>
      <c r="FI100">
        <v>2.1080019999999999E-3</v>
      </c>
      <c r="FJ100">
        <v>9.0818840000000001E-3</v>
      </c>
      <c r="FK100">
        <v>0.73176578637815104</v>
      </c>
      <c r="FL100">
        <v>0.66934439735297502</v>
      </c>
      <c r="FM100">
        <v>-0.37463281910749202</v>
      </c>
      <c r="FN100">
        <v>1.14546060865094</v>
      </c>
      <c r="FO100">
        <v>-0.78025224040861696</v>
      </c>
      <c r="FP100">
        <v>0.59842934390373304</v>
      </c>
      <c r="FQ100">
        <v>0.66821282193310905</v>
      </c>
      <c r="FR100">
        <v>0.63822838848787</v>
      </c>
      <c r="FS100">
        <v>1.13358647707746</v>
      </c>
      <c r="FT100">
        <v>-3.8327915970419298E-2</v>
      </c>
      <c r="FU100">
        <v>1.4050131485808999E-2</v>
      </c>
      <c r="FV100">
        <v>0.52200706512994799</v>
      </c>
      <c r="FW100">
        <v>-0.68305428151352199</v>
      </c>
      <c r="FX100">
        <v>0.754584422087764</v>
      </c>
      <c r="FY100">
        <v>0.36232923630995401</v>
      </c>
      <c r="FZ100">
        <v>-0.45955492694730399</v>
      </c>
      <c r="GA100">
        <v>-0.32546580421779397</v>
      </c>
      <c r="GB100">
        <v>-0.17189212513830701</v>
      </c>
      <c r="GC100">
        <v>0.14855402002012499</v>
      </c>
      <c r="GD100">
        <v>-6.8355813709160898E-2</v>
      </c>
      <c r="GE100">
        <v>3.4269438860009799E-2</v>
      </c>
      <c r="GF100">
        <v>0.68265031813204802</v>
      </c>
      <c r="GG100">
        <v>0.625270655097244</v>
      </c>
      <c r="GH100">
        <v>0.59301485241758101</v>
      </c>
      <c r="GI100">
        <v>0.293973353211681</v>
      </c>
      <c r="GJ100">
        <v>0.52063789528367299</v>
      </c>
      <c r="GK100">
        <v>0.22079807220864101</v>
      </c>
      <c r="GL100">
        <v>-0.134005293606763</v>
      </c>
      <c r="GM100">
        <v>2.84476054237821E-2</v>
      </c>
      <c r="GN100">
        <v>-8.4972275014878904E-2</v>
      </c>
      <c r="GO100">
        <v>0.38392669302560201</v>
      </c>
      <c r="GP100">
        <v>-0.15381079428666999</v>
      </c>
      <c r="GT100" s="66"/>
      <c r="GV100" s="66"/>
      <c r="GY100" s="65"/>
      <c r="HK100" s="1"/>
      <c r="HL100" s="1"/>
      <c r="HM100" s="65"/>
      <c r="HN100" s="1"/>
      <c r="HO100" s="65"/>
      <c r="HP100" s="65"/>
      <c r="HQ100" s="65"/>
      <c r="HS100" s="65"/>
      <c r="HT100" s="65"/>
      <c r="HV100" s="65"/>
      <c r="HW100" s="65"/>
      <c r="HX100" s="65"/>
      <c r="JD100" s="66"/>
      <c r="JF100" s="66"/>
      <c r="JH100" s="66"/>
      <c r="JJ100" s="66"/>
      <c r="JL100" s="66"/>
      <c r="JN100" s="66"/>
    </row>
    <row r="101" spans="1:278" ht="15.75" x14ac:dyDescent="0.25">
      <c r="A101" s="6" t="s">
        <v>154</v>
      </c>
      <c r="B101" s="6" t="s">
        <v>154</v>
      </c>
      <c r="C101" s="2" t="s">
        <v>897</v>
      </c>
      <c r="D101" s="2" t="s">
        <v>543</v>
      </c>
      <c r="E101" s="2" t="s">
        <v>543</v>
      </c>
      <c r="F101" s="2">
        <v>100</v>
      </c>
      <c r="G101" s="2" t="s">
        <v>896</v>
      </c>
      <c r="H101" s="10" t="s">
        <v>656</v>
      </c>
      <c r="I101" s="2">
        <v>150</v>
      </c>
      <c r="J101" s="2">
        <v>65</v>
      </c>
      <c r="K101" s="15">
        <v>49.15</v>
      </c>
      <c r="L101" t="s">
        <v>341</v>
      </c>
      <c r="M101" s="2" t="s">
        <v>1119</v>
      </c>
      <c r="N101" s="2" t="s">
        <v>437</v>
      </c>
      <c r="O101" s="2" t="s">
        <v>694</v>
      </c>
      <c r="P101" s="2" t="s">
        <v>1119</v>
      </c>
      <c r="Q101" s="2" t="s">
        <v>443</v>
      </c>
      <c r="R101" s="2" t="str">
        <f t="shared" si="73"/>
        <v>CW_3_Section_5</v>
      </c>
      <c r="S101" s="2" t="str">
        <f t="shared" si="74"/>
        <v>CW_3_EFF</v>
      </c>
      <c r="T101" s="11" t="s">
        <v>891</v>
      </c>
      <c r="U101" s="1">
        <v>45763</v>
      </c>
      <c r="V101" s="2" t="s">
        <v>660</v>
      </c>
      <c r="W101" s="2" t="s">
        <v>1119</v>
      </c>
      <c r="X101" s="2" t="s">
        <v>890</v>
      </c>
      <c r="Y101" s="2" t="str">
        <f t="shared" si="75"/>
        <v>T4_EFF</v>
      </c>
      <c r="Z101" s="2" t="str">
        <f t="shared" si="76"/>
        <v>T4_CW_3_EFF</v>
      </c>
      <c r="AA101" s="2" t="str">
        <f t="shared" si="77"/>
        <v>T4_EFF</v>
      </c>
      <c r="AB101" s="2">
        <v>245</v>
      </c>
      <c r="AC101" s="2">
        <v>8.0589999999999993</v>
      </c>
      <c r="AD101" s="2">
        <v>-0.02</v>
      </c>
      <c r="AE101" s="2">
        <v>4</v>
      </c>
      <c r="AF101" t="s">
        <v>49</v>
      </c>
      <c r="AG101" t="s">
        <v>1237</v>
      </c>
      <c r="AH101">
        <v>73</v>
      </c>
      <c r="AI101" t="s">
        <v>443</v>
      </c>
      <c r="AJ101">
        <v>0.75</v>
      </c>
      <c r="AK101">
        <v>0.28999999999999998</v>
      </c>
      <c r="AL101">
        <v>14.2</v>
      </c>
      <c r="AM101">
        <v>-51</v>
      </c>
      <c r="AN101">
        <v>7.19</v>
      </c>
      <c r="AO101">
        <v>742</v>
      </c>
      <c r="AP101">
        <v>0.2</v>
      </c>
      <c r="AQ101">
        <v>0.01</v>
      </c>
      <c r="AR101">
        <v>18</v>
      </c>
      <c r="AS101">
        <v>16</v>
      </c>
      <c r="AT101">
        <v>540</v>
      </c>
      <c r="AU101" s="32">
        <f t="shared" si="89"/>
        <v>0.207399820765587</v>
      </c>
      <c r="AV101">
        <v>2</v>
      </c>
      <c r="AW101" s="32">
        <f t="shared" si="90"/>
        <v>7.8141957890167139E-4</v>
      </c>
      <c r="AX101">
        <v>430</v>
      </c>
      <c r="AY101" s="32">
        <f t="shared" si="91"/>
        <v>0.17010454930771404</v>
      </c>
      <c r="AZ101">
        <v>120</v>
      </c>
      <c r="BA101" s="32">
        <f t="shared" si="92"/>
        <v>4.7471037016106249E-2</v>
      </c>
      <c r="BB101">
        <v>87</v>
      </c>
      <c r="BC101" s="32">
        <f t="shared" si="93"/>
        <v>3.4416501836677028E-2</v>
      </c>
      <c r="BD101">
        <v>207</v>
      </c>
      <c r="BF101" s="48">
        <v>1191</v>
      </c>
      <c r="BG101" s="48">
        <f t="shared" si="94"/>
        <v>0.37828578965220272</v>
      </c>
      <c r="BH101">
        <v>3000</v>
      </c>
      <c r="BI101" s="32">
        <f t="shared" si="95"/>
        <v>1.1235078411484747</v>
      </c>
      <c r="BJ101" s="47">
        <v>8300</v>
      </c>
      <c r="BK101" s="27">
        <f t="shared" si="96"/>
        <v>3.1083716938441137</v>
      </c>
      <c r="BL101" s="47">
        <v>30</v>
      </c>
      <c r="BM101" s="27">
        <f t="shared" si="97"/>
        <v>1.1038833037650306E-2</v>
      </c>
      <c r="BN101" s="47">
        <v>150</v>
      </c>
      <c r="BO101" s="27">
        <f t="shared" si="98"/>
        <v>5.6416574800596593E-2</v>
      </c>
      <c r="BP101" s="47">
        <v>39</v>
      </c>
      <c r="BQ101" s="27">
        <f t="shared" si="99"/>
        <v>1.4546985922271688E-2</v>
      </c>
      <c r="BR101" s="47">
        <v>15</v>
      </c>
      <c r="BS101" s="27">
        <f t="shared" si="100"/>
        <v>5.5546204342703251E-3</v>
      </c>
      <c r="BT101" s="47">
        <v>1.9</v>
      </c>
      <c r="BU101" s="27">
        <f t="shared" si="101"/>
        <v>7.0358525500757447E-4</v>
      </c>
      <c r="BV101" s="47">
        <v>2.5000000000000001E-2</v>
      </c>
      <c r="BW101" s="27">
        <f t="shared" si="102"/>
        <v>9.147095179233624E-6</v>
      </c>
      <c r="BX101" s="47">
        <v>0.05</v>
      </c>
      <c r="BY101" s="27">
        <f t="shared" si="103"/>
        <v>1.8294190358467248E-5</v>
      </c>
      <c r="BZ101" s="51">
        <f t="shared" si="104"/>
        <v>8535.9749999999985</v>
      </c>
      <c r="CA101" s="51">
        <f t="shared" si="105"/>
        <v>235.97500000000002</v>
      </c>
      <c r="CB101" s="27">
        <f t="shared" si="106"/>
        <v>3.1966597345794479</v>
      </c>
      <c r="CC101" s="27">
        <f t="shared" si="107"/>
        <v>8.8288040735334194E-2</v>
      </c>
      <c r="CD101">
        <v>4400</v>
      </c>
      <c r="CE101">
        <v>1400</v>
      </c>
      <c r="CF101" t="s">
        <v>19</v>
      </c>
      <c r="CG101">
        <v>5900</v>
      </c>
      <c r="CH101" s="32">
        <v>1.2</v>
      </c>
      <c r="CI101" s="32">
        <f t="shared" si="108"/>
        <v>2.1486123545210383E-2</v>
      </c>
      <c r="CJ101" s="32">
        <f t="shared" si="109"/>
        <v>2.1486123545210383E-2</v>
      </c>
      <c r="CK101" s="32">
        <v>1.2</v>
      </c>
      <c r="CL101" s="32">
        <f t="shared" si="110"/>
        <v>2.1845985800109231E-2</v>
      </c>
      <c r="CM101" s="32">
        <f t="shared" si="111"/>
        <v>4.3691971600218461E-2</v>
      </c>
      <c r="CN101" s="27">
        <v>44</v>
      </c>
      <c r="CO101" s="27">
        <f t="shared" si="112"/>
        <v>0.45804705392463041</v>
      </c>
      <c r="CP101" s="27">
        <f t="shared" si="113"/>
        <v>3.6643764313970433</v>
      </c>
      <c r="CQ101" s="57">
        <v>43</v>
      </c>
      <c r="CR101" s="57">
        <v>49.425287356321839</v>
      </c>
      <c r="CS101" s="57">
        <v>3.5810951488652925</v>
      </c>
      <c r="CT101" s="57">
        <f t="shared" si="114"/>
        <v>3.5810951488652925</v>
      </c>
      <c r="CU101" s="28">
        <v>13</v>
      </c>
      <c r="CV101" s="28">
        <v>22.807017543859647</v>
      </c>
      <c r="CW101" s="28">
        <v>1.0826566729127629</v>
      </c>
      <c r="CX101" s="28">
        <f t="shared" si="115"/>
        <v>1.0826566729127629</v>
      </c>
      <c r="CY101" s="32">
        <f t="shared" si="116"/>
        <v>24.996044139079739</v>
      </c>
      <c r="CZ101" s="32">
        <f t="shared" si="117"/>
        <v>24.996044139079739</v>
      </c>
      <c r="DA101" s="32">
        <f t="shared" si="118"/>
        <v>26.196044139079738</v>
      </c>
      <c r="DB101" s="32">
        <f t="shared" si="119"/>
        <v>0.46904286730670974</v>
      </c>
      <c r="DC101" s="32">
        <f t="shared" si="120"/>
        <v>0.46904286730670974</v>
      </c>
      <c r="DD101" s="59">
        <f t="shared" si="121"/>
        <v>7.5569435769310846</v>
      </c>
      <c r="DE101" s="59">
        <f t="shared" si="122"/>
        <v>7.5569435769310846</v>
      </c>
      <c r="DF101" s="59">
        <f t="shared" si="123"/>
        <v>8.7569435769310839</v>
      </c>
      <c r="DG101" s="59">
        <f t="shared" si="124"/>
        <v>0.15679397631031483</v>
      </c>
      <c r="DH101" s="59">
        <f t="shared" si="125"/>
        <v>0.15679397631031483</v>
      </c>
      <c r="DI101" s="32">
        <f t="shared" si="126"/>
        <v>3.6643764313970433</v>
      </c>
      <c r="DJ101" s="32">
        <f t="shared" si="127"/>
        <v>9.9569435769310832</v>
      </c>
      <c r="DK101" s="32">
        <f t="shared" si="128"/>
        <v>0.20048594791053329</v>
      </c>
      <c r="DL101">
        <f t="shared" si="129"/>
        <v>4.0938299877722208</v>
      </c>
      <c r="DM101">
        <f t="shared" si="78"/>
        <v>1.0672639491801354E-2</v>
      </c>
      <c r="DN101">
        <f t="shared" si="79"/>
        <v>0.11457311825544406</v>
      </c>
      <c r="DO101">
        <f t="shared" si="80"/>
        <v>0.87475424225275455</v>
      </c>
      <c r="DP101">
        <f t="shared" si="130"/>
        <v>1.2831426208232961</v>
      </c>
      <c r="DQ101">
        <f t="shared" si="81"/>
        <v>3.4050752341298278E-2</v>
      </c>
      <c r="DR101">
        <f t="shared" si="82"/>
        <v>0.12219528349055378</v>
      </c>
      <c r="DS101">
        <f t="shared" si="83"/>
        <v>0.84375396416814796</v>
      </c>
      <c r="DT101" s="63">
        <f t="shared" si="84"/>
        <v>-2.5920363569715432</v>
      </c>
      <c r="DU101" s="63">
        <f t="shared" si="85"/>
        <v>0.21865100997738129</v>
      </c>
      <c r="DV101" s="63">
        <f t="shared" si="86"/>
        <v>-2.5037483162362095</v>
      </c>
      <c r="DW101" s="63">
        <f t="shared" si="87"/>
        <v>0.30693905071271543</v>
      </c>
      <c r="DX101" t="str">
        <f t="shared" si="131"/>
        <v>Sufficient Capacity</v>
      </c>
      <c r="DY101" t="str">
        <f t="shared" si="132"/>
        <v>Insufficient Capacity</v>
      </c>
      <c r="DZ101" t="str">
        <f t="shared" si="133"/>
        <v>Sulfate Dominant electron acceptor</v>
      </c>
      <c r="EA101" t="str">
        <f t="shared" si="88"/>
        <v>Sulfate Dominant electron acceptor</v>
      </c>
      <c r="EB101">
        <v>7.8408999999999996E-3</v>
      </c>
      <c r="EC101">
        <v>1.1621800000000001E-3</v>
      </c>
      <c r="ED101" s="66">
        <v>1.474959E-5</v>
      </c>
      <c r="EE101">
        <v>1.2596759999999999E-3</v>
      </c>
      <c r="EF101">
        <v>9.3663440000000004E-3</v>
      </c>
      <c r="EG101" s="66">
        <v>8.8999060000000007E-6</v>
      </c>
      <c r="EH101">
        <v>1.0437809999999999E-3</v>
      </c>
      <c r="EI101" s="66">
        <v>3.6045389999999998E-5</v>
      </c>
      <c r="EJ101">
        <v>7.0553140000000005E-4</v>
      </c>
      <c r="EK101">
        <v>1.296108E-3</v>
      </c>
      <c r="EL101">
        <v>8.5496659999999996E-4</v>
      </c>
      <c r="EM101">
        <v>7.4482509999999999E-4</v>
      </c>
      <c r="EN101">
        <v>1.7957279999999999E-3</v>
      </c>
      <c r="EO101">
        <v>7.4748309999999999E-4</v>
      </c>
      <c r="EP101">
        <v>3.776532E-3</v>
      </c>
      <c r="EQ101">
        <v>5.4056350000000004E-4</v>
      </c>
      <c r="ER101">
        <v>8.8831640000000003E-4</v>
      </c>
      <c r="ES101">
        <v>9.8953160000000008E-4</v>
      </c>
      <c r="ET101">
        <v>5.157226E-3</v>
      </c>
      <c r="EU101">
        <v>1.8847099999999999E-3</v>
      </c>
      <c r="EV101">
        <v>7.0829669999999999E-3</v>
      </c>
      <c r="EW101">
        <v>8.5265259999999995E-4</v>
      </c>
      <c r="EX101">
        <v>4.546797E-3</v>
      </c>
      <c r="EY101">
        <v>7.3320349999999998E-3</v>
      </c>
      <c r="EZ101">
        <v>2.679491E-3</v>
      </c>
      <c r="FA101">
        <v>1.8419280000000001E-3</v>
      </c>
      <c r="FB101">
        <v>1.8815259999999999E-3</v>
      </c>
      <c r="FC101">
        <v>2.4984500000000001E-3</v>
      </c>
      <c r="FD101">
        <v>6.1621470000000004E-4</v>
      </c>
      <c r="FE101">
        <v>3.2022950000000001E-2</v>
      </c>
      <c r="FF101">
        <v>1.3974729999999999E-2</v>
      </c>
      <c r="FG101">
        <v>9.5927119999999998E-3</v>
      </c>
      <c r="FH101">
        <v>6.3596750000000004E-4</v>
      </c>
      <c r="FI101">
        <v>2.16081E-3</v>
      </c>
      <c r="FJ101">
        <v>9.3060560000000001E-3</v>
      </c>
      <c r="FK101">
        <v>0.78821250575452695</v>
      </c>
      <c r="FL101">
        <v>0.710977718598228</v>
      </c>
      <c r="FM101">
        <v>-0.30574191781626398</v>
      </c>
      <c r="FN101">
        <v>1.25703282117099</v>
      </c>
      <c r="FO101">
        <v>-0.78940199749802198</v>
      </c>
      <c r="FP101">
        <v>0.466964273433426</v>
      </c>
      <c r="FQ101">
        <v>0.58882910835924296</v>
      </c>
      <c r="FR101">
        <v>0.62939152954191002</v>
      </c>
      <c r="FS101">
        <v>1.06352941200981</v>
      </c>
      <c r="FT101">
        <v>-0.12436075233739501</v>
      </c>
      <c r="FU101">
        <v>-8.8072204264203299E-2</v>
      </c>
      <c r="FV101">
        <v>0.57814396144194502</v>
      </c>
      <c r="FW101">
        <v>-0.80433824225596195</v>
      </c>
      <c r="FX101">
        <v>0.80753779614326104</v>
      </c>
      <c r="FY101">
        <v>0.35150170338002301</v>
      </c>
      <c r="FZ101">
        <v>-0.52060802752508994</v>
      </c>
      <c r="GA101">
        <v>-0.38497901206806001</v>
      </c>
      <c r="GB101">
        <v>-0.221555989700633</v>
      </c>
      <c r="GC101">
        <v>0.27981531889445899</v>
      </c>
      <c r="GD101">
        <v>-8.9953409463496406E-2</v>
      </c>
      <c r="GE101">
        <v>7.9345196599032206E-2</v>
      </c>
      <c r="GF101">
        <v>0.74346603927405797</v>
      </c>
      <c r="GG101">
        <v>0.66653152980153296</v>
      </c>
      <c r="GH101">
        <v>0.64360443060607997</v>
      </c>
      <c r="GI101">
        <v>0.28784993151550697</v>
      </c>
      <c r="GJ101">
        <v>0.54541546563925403</v>
      </c>
      <c r="GK101">
        <v>0.31694512714998602</v>
      </c>
      <c r="GL101">
        <v>-6.7452780818803695E-2</v>
      </c>
      <c r="GM101">
        <v>0.12879672306687401</v>
      </c>
      <c r="GN101">
        <v>-0.220624226612672</v>
      </c>
      <c r="GO101">
        <v>0.40866926498147998</v>
      </c>
      <c r="GP101">
        <v>-0.12942708333640299</v>
      </c>
      <c r="GT101" s="66"/>
      <c r="GV101" s="66"/>
      <c r="GW101" s="65"/>
      <c r="GX101" s="65"/>
      <c r="GY101" s="65"/>
      <c r="HK101" s="1"/>
      <c r="HL101" s="1"/>
      <c r="HM101" s="65"/>
      <c r="HN101" s="1"/>
      <c r="HO101" s="65"/>
      <c r="HP101" s="65"/>
      <c r="HQ101" s="65"/>
      <c r="HS101" s="65"/>
      <c r="HT101" s="65"/>
      <c r="HU101" s="65"/>
      <c r="HV101" s="65"/>
      <c r="HW101" s="65"/>
      <c r="HX101" s="65"/>
    </row>
    <row r="102" spans="1:278" ht="15.75" x14ac:dyDescent="0.25">
      <c r="A102" s="6" t="s">
        <v>155</v>
      </c>
      <c r="B102" s="6" t="s">
        <v>155</v>
      </c>
      <c r="C102" s="2" t="s">
        <v>899</v>
      </c>
      <c r="D102" s="2" t="s">
        <v>544</v>
      </c>
      <c r="E102" s="2" t="s">
        <v>544</v>
      </c>
      <c r="F102" s="2">
        <v>101</v>
      </c>
      <c r="G102" s="2" t="s">
        <v>898</v>
      </c>
      <c r="H102" s="10" t="s">
        <v>656</v>
      </c>
      <c r="I102" s="2">
        <v>150</v>
      </c>
      <c r="J102" s="2">
        <v>65</v>
      </c>
      <c r="K102" s="15">
        <v>4.95</v>
      </c>
      <c r="L102" t="s">
        <v>327</v>
      </c>
      <c r="M102" s="2" t="s">
        <v>1120</v>
      </c>
      <c r="N102" s="2" t="s">
        <v>435</v>
      </c>
      <c r="O102" s="2" t="s">
        <v>653</v>
      </c>
      <c r="P102" s="2" t="s">
        <v>1123</v>
      </c>
      <c r="Q102" s="9" t="s">
        <v>654</v>
      </c>
      <c r="R102" s="2" t="str">
        <f t="shared" si="73"/>
        <v>CW_1_Section_1</v>
      </c>
      <c r="S102" s="2" t="str">
        <f t="shared" si="74"/>
        <v>CW_1_MF01</v>
      </c>
      <c r="T102" s="11" t="s">
        <v>891</v>
      </c>
      <c r="U102" s="1">
        <v>45762</v>
      </c>
      <c r="V102" s="2" t="s">
        <v>660</v>
      </c>
      <c r="W102" s="2" t="s">
        <v>655</v>
      </c>
      <c r="X102" s="2" t="s">
        <v>890</v>
      </c>
      <c r="Y102" s="2" t="str">
        <f t="shared" si="75"/>
        <v>T4_MF01</v>
      </c>
      <c r="Z102" s="2" t="str">
        <f t="shared" si="76"/>
        <v>T4_CW_1_MF01</v>
      </c>
      <c r="AA102" s="2" t="str">
        <f t="shared" si="77"/>
        <v>T4_0.15-0.30</v>
      </c>
      <c r="AB102" s="2">
        <v>245</v>
      </c>
      <c r="AC102" s="2">
        <v>8.0589999999999993</v>
      </c>
      <c r="AD102" s="2">
        <v>-0.02</v>
      </c>
      <c r="AE102" s="2">
        <v>4</v>
      </c>
      <c r="AF102" t="s">
        <v>29</v>
      </c>
      <c r="AG102" t="s">
        <v>1237</v>
      </c>
      <c r="AH102">
        <v>67</v>
      </c>
      <c r="AI102" t="s">
        <v>443</v>
      </c>
      <c r="AJ102">
        <v>0.99</v>
      </c>
      <c r="AK102">
        <v>3.7</v>
      </c>
      <c r="AL102">
        <v>13.8</v>
      </c>
      <c r="AM102">
        <v>-108</v>
      </c>
      <c r="AN102">
        <v>6.92</v>
      </c>
      <c r="AO102">
        <v>815</v>
      </c>
      <c r="AP102">
        <v>0.2</v>
      </c>
      <c r="AQ102">
        <v>0.01</v>
      </c>
      <c r="AR102">
        <v>12</v>
      </c>
      <c r="AS102">
        <v>12</v>
      </c>
      <c r="AT102">
        <v>350</v>
      </c>
      <c r="AU102" s="32">
        <f t="shared" si="89"/>
        <v>0.13442580975547305</v>
      </c>
      <c r="AV102">
        <v>2</v>
      </c>
      <c r="AW102" s="32">
        <f t="shared" si="90"/>
        <v>7.8141957890167139E-4</v>
      </c>
      <c r="AX102">
        <v>340</v>
      </c>
      <c r="AY102" s="32">
        <f t="shared" si="91"/>
        <v>0.13450127154563435</v>
      </c>
      <c r="AZ102">
        <v>130</v>
      </c>
      <c r="BA102" s="32">
        <f t="shared" si="92"/>
        <v>5.1426956767448434E-2</v>
      </c>
      <c r="BB102">
        <v>130</v>
      </c>
      <c r="BC102" s="32">
        <f t="shared" si="93"/>
        <v>5.1426956767448434E-2</v>
      </c>
      <c r="BD102">
        <v>260</v>
      </c>
      <c r="BF102" s="48">
        <v>964</v>
      </c>
      <c r="BG102" s="48">
        <f t="shared" si="94"/>
        <v>0.26970850088000908</v>
      </c>
      <c r="BH102">
        <v>2600</v>
      </c>
      <c r="BI102" s="32">
        <f t="shared" si="95"/>
        <v>0.97370679566201146</v>
      </c>
      <c r="BJ102" s="47">
        <v>3400</v>
      </c>
      <c r="BK102" s="27">
        <f t="shared" si="96"/>
        <v>1.273308886634938</v>
      </c>
      <c r="BL102" s="47">
        <v>3.8</v>
      </c>
      <c r="BM102" s="27">
        <f t="shared" si="97"/>
        <v>1.3982521847690386E-3</v>
      </c>
      <c r="BN102" s="47">
        <v>1.2</v>
      </c>
      <c r="BO102" s="27">
        <f t="shared" si="98"/>
        <v>4.5133259840477265E-4</v>
      </c>
      <c r="BP102" s="47">
        <v>0.22</v>
      </c>
      <c r="BQ102" s="27">
        <f t="shared" si="99"/>
        <v>8.2059920587173625E-5</v>
      </c>
      <c r="BR102" s="47">
        <v>0.23</v>
      </c>
      <c r="BS102" s="27">
        <f t="shared" si="100"/>
        <v>8.5170846658811649E-5</v>
      </c>
      <c r="BT102" s="47">
        <v>0.05</v>
      </c>
      <c r="BU102" s="27">
        <f t="shared" si="101"/>
        <v>1.8515401447567749E-5</v>
      </c>
      <c r="BV102" s="47">
        <v>0.03</v>
      </c>
      <c r="BW102" s="27">
        <f t="shared" si="102"/>
        <v>1.0976514215080345E-5</v>
      </c>
      <c r="BX102" s="47">
        <v>0.03</v>
      </c>
      <c r="BY102" s="27">
        <f t="shared" si="103"/>
        <v>1.0976514215080345E-5</v>
      </c>
      <c r="BZ102" s="51">
        <f t="shared" si="104"/>
        <v>3405.5600000000004</v>
      </c>
      <c r="CA102" s="51">
        <f t="shared" si="105"/>
        <v>5.5600000000000005</v>
      </c>
      <c r="CB102" s="27">
        <f t="shared" si="106"/>
        <v>1.2753661706152355</v>
      </c>
      <c r="CC102" s="27">
        <f t="shared" si="107"/>
        <v>2.057283980297525E-3</v>
      </c>
      <c r="CD102">
        <v>4400</v>
      </c>
      <c r="CE102">
        <v>170</v>
      </c>
      <c r="CF102" t="s">
        <v>19</v>
      </c>
      <c r="CG102">
        <v>4600</v>
      </c>
      <c r="CH102" s="32">
        <v>5.6</v>
      </c>
      <c r="CI102" s="32">
        <f t="shared" si="108"/>
        <v>0.10026857654431512</v>
      </c>
      <c r="CJ102" s="32">
        <f t="shared" si="109"/>
        <v>0.10026857654431512</v>
      </c>
      <c r="CK102" s="32">
        <v>1.5</v>
      </c>
      <c r="CL102" s="32">
        <f t="shared" si="110"/>
        <v>2.7307482250136537E-2</v>
      </c>
      <c r="CM102" s="32">
        <f t="shared" si="111"/>
        <v>5.4614964500273075E-2</v>
      </c>
      <c r="CN102" s="27">
        <v>47</v>
      </c>
      <c r="CO102" s="27">
        <f t="shared" si="112"/>
        <v>0.48927753487403702</v>
      </c>
      <c r="CP102" s="27">
        <f t="shared" si="113"/>
        <v>3.9142202789922962</v>
      </c>
      <c r="CQ102" s="57">
        <v>40</v>
      </c>
      <c r="CR102" s="57">
        <v>45.977011494252871</v>
      </c>
      <c r="CS102" s="57">
        <v>3.3312513012700395</v>
      </c>
      <c r="CT102" s="57">
        <f t="shared" si="114"/>
        <v>3.3312513012700395</v>
      </c>
      <c r="CU102" s="28">
        <v>40</v>
      </c>
      <c r="CV102" s="28">
        <v>45.977011494252871</v>
      </c>
      <c r="CW102" s="28">
        <v>3.3312513012700395</v>
      </c>
      <c r="CX102" s="28">
        <f t="shared" si="115"/>
        <v>3.3312513012700395</v>
      </c>
      <c r="CY102" s="32">
        <f t="shared" si="116"/>
        <v>23.252134082864874</v>
      </c>
      <c r="CZ102" s="32">
        <f t="shared" si="117"/>
        <v>23.252134082864874</v>
      </c>
      <c r="DA102" s="32">
        <f t="shared" si="118"/>
        <v>28.852134082864872</v>
      </c>
      <c r="DB102" s="32">
        <f t="shared" si="119"/>
        <v>0.51660043120617494</v>
      </c>
      <c r="DC102" s="32">
        <f t="shared" si="120"/>
        <v>0.51660043120617494</v>
      </c>
      <c r="DD102" s="59">
        <f t="shared" si="121"/>
        <v>23.252134082864874</v>
      </c>
      <c r="DE102" s="59">
        <f t="shared" si="122"/>
        <v>23.252134082864874</v>
      </c>
      <c r="DF102" s="59">
        <f t="shared" si="123"/>
        <v>28.852134082864872</v>
      </c>
      <c r="DG102" s="59">
        <f t="shared" si="124"/>
        <v>0.51660043120617494</v>
      </c>
      <c r="DH102" s="59">
        <f t="shared" si="125"/>
        <v>0.51660043120617494</v>
      </c>
      <c r="DI102" s="32">
        <f t="shared" si="126"/>
        <v>3.9142202789922962</v>
      </c>
      <c r="DJ102" s="32">
        <f t="shared" si="127"/>
        <v>30.352134082864872</v>
      </c>
      <c r="DK102" s="32">
        <f t="shared" si="128"/>
        <v>0.57121539570644797</v>
      </c>
      <c r="DL102">
        <f t="shared" si="129"/>
        <v>3.9024666969764876</v>
      </c>
      <c r="DM102">
        <f t="shared" si="78"/>
        <v>1.3994985413350763E-2</v>
      </c>
      <c r="DN102">
        <f t="shared" si="79"/>
        <v>0.13237792179147134</v>
      </c>
      <c r="DO102">
        <f t="shared" si="80"/>
        <v>0.8536270927951779</v>
      </c>
      <c r="DP102">
        <f t="shared" si="130"/>
        <v>3.9024666969764876</v>
      </c>
      <c r="DQ102">
        <f t="shared" si="81"/>
        <v>1.3994985413350763E-2</v>
      </c>
      <c r="DR102">
        <f t="shared" si="82"/>
        <v>0.13237792179147134</v>
      </c>
      <c r="DS102">
        <f t="shared" si="83"/>
        <v>0.8536270927951779</v>
      </c>
      <c r="DT102" s="63">
        <f t="shared" si="84"/>
        <v>-2.6590514004344672</v>
      </c>
      <c r="DU102" s="63">
        <f t="shared" si="85"/>
        <v>-2.6590514004344672</v>
      </c>
      <c r="DV102" s="63">
        <f t="shared" si="86"/>
        <v>-2.6569941164541699</v>
      </c>
      <c r="DW102" s="63">
        <f t="shared" si="87"/>
        <v>-2.6569941164541699</v>
      </c>
      <c r="DX102" t="str">
        <f t="shared" si="131"/>
        <v>Sufficient Capacity</v>
      </c>
      <c r="DY102" t="str">
        <f t="shared" si="132"/>
        <v>Sufficient Capacity</v>
      </c>
      <c r="DZ102" t="str">
        <f t="shared" si="133"/>
        <v>Sulfate Dominant electron acceptor</v>
      </c>
      <c r="EA102" t="str">
        <f t="shared" si="88"/>
        <v>Sulfate Dominant electron acceptor</v>
      </c>
      <c r="EB102">
        <v>8.680709E-3</v>
      </c>
      <c r="EC102">
        <v>1.360876E-3</v>
      </c>
      <c r="ED102" s="66">
        <v>1.3318900000000001E-6</v>
      </c>
      <c r="EE102">
        <v>7.2236819999999999E-4</v>
      </c>
      <c r="EF102">
        <v>6.5668599999999999E-3</v>
      </c>
      <c r="EG102" s="66">
        <v>1.749658E-5</v>
      </c>
      <c r="EH102">
        <v>4.2597400000000002E-4</v>
      </c>
      <c r="EI102">
        <v>1.106546E-4</v>
      </c>
      <c r="EJ102">
        <v>1.0298009999999999E-3</v>
      </c>
      <c r="EK102">
        <v>1.547309E-3</v>
      </c>
      <c r="EL102">
        <v>6.4572149999999999E-4</v>
      </c>
      <c r="EM102">
        <v>3.2907910000000001E-4</v>
      </c>
      <c r="EN102">
        <v>2.221303E-3</v>
      </c>
      <c r="EO102">
        <v>8.8948480000000001E-4</v>
      </c>
      <c r="EP102">
        <v>2.335607E-3</v>
      </c>
      <c r="EQ102">
        <v>1.1984459999999999E-3</v>
      </c>
      <c r="ER102">
        <v>6.4385259999999998E-4</v>
      </c>
      <c r="ES102">
        <v>1.042E-3</v>
      </c>
      <c r="ET102">
        <v>1.052088E-2</v>
      </c>
      <c r="EU102">
        <v>2.6449199999999998E-3</v>
      </c>
      <c r="EV102">
        <v>8.4648299999999996E-3</v>
      </c>
      <c r="EW102">
        <v>6.9823249999999997E-4</v>
      </c>
      <c r="EX102">
        <v>4.6063720000000001E-3</v>
      </c>
      <c r="EY102">
        <v>6.6202880000000002E-3</v>
      </c>
      <c r="EZ102">
        <v>1.653014E-3</v>
      </c>
      <c r="FA102">
        <v>9.407533E-4</v>
      </c>
      <c r="FB102">
        <v>1.000646E-3</v>
      </c>
      <c r="FC102">
        <v>1.781155E-3</v>
      </c>
      <c r="FD102">
        <v>8.0549340000000004E-4</v>
      </c>
      <c r="FE102">
        <v>2.3983770000000001E-2</v>
      </c>
      <c r="FF102">
        <v>1.38342E-2</v>
      </c>
      <c r="FG102">
        <v>7.6227450000000002E-3</v>
      </c>
      <c r="FH102">
        <v>7.3636410000000002E-4</v>
      </c>
      <c r="FI102">
        <v>1.4377089999999999E-3</v>
      </c>
      <c r="FJ102">
        <v>9.9802439999999992E-3</v>
      </c>
      <c r="FK102">
        <v>0.232137662933354</v>
      </c>
      <c r="FL102">
        <v>0.35589066818537601</v>
      </c>
      <c r="FM102">
        <v>0.370222800558559</v>
      </c>
      <c r="FN102">
        <v>0.36080615639111302</v>
      </c>
      <c r="FO102">
        <v>0.33223266305432603</v>
      </c>
      <c r="FP102">
        <v>0.84513385436336497</v>
      </c>
      <c r="FQ102">
        <v>0.76598047364815602</v>
      </c>
      <c r="FR102">
        <v>0.34869742197058801</v>
      </c>
      <c r="FS102">
        <v>0.24667813369226299</v>
      </c>
      <c r="FT102">
        <v>8.8322697554431798E-2</v>
      </c>
      <c r="FU102">
        <v>8.5858518130244504E-2</v>
      </c>
      <c r="FV102">
        <v>9.7609647763519505E-2</v>
      </c>
      <c r="FW102">
        <v>-8.1693597068568397E-3</v>
      </c>
      <c r="FX102">
        <v>0.485679628226099</v>
      </c>
      <c r="FY102">
        <v>0.403167225839766</v>
      </c>
      <c r="FZ102">
        <v>0.19235498843888399</v>
      </c>
      <c r="GA102">
        <v>-4.61121558724953E-2</v>
      </c>
      <c r="GB102">
        <v>-4.3328944728491699E-2</v>
      </c>
      <c r="GC102">
        <v>8.0015264677920903E-2</v>
      </c>
      <c r="GD102">
        <v>-7.6935876131177999E-2</v>
      </c>
      <c r="GE102">
        <v>-2.27690334278874E-2</v>
      </c>
      <c r="GF102">
        <v>0.260439476415042</v>
      </c>
      <c r="GG102">
        <v>-5.35566099499807E-3</v>
      </c>
      <c r="GH102">
        <v>1.21670723203948E-2</v>
      </c>
      <c r="GI102">
        <v>-5.0558577799950703E-2</v>
      </c>
      <c r="GJ102">
        <v>0.81327503278522095</v>
      </c>
      <c r="GK102">
        <v>2.78696454940928E-2</v>
      </c>
      <c r="GL102">
        <v>-7.7559692250173604E-2</v>
      </c>
      <c r="GM102">
        <v>-0.101070379377769</v>
      </c>
      <c r="GN102">
        <v>-7.4046990526589695E-2</v>
      </c>
      <c r="GO102">
        <v>1.23698800575767E-3</v>
      </c>
      <c r="GP102">
        <v>-5.94849154414945E-2</v>
      </c>
      <c r="GR102" s="66"/>
      <c r="GT102" s="66"/>
      <c r="GV102" s="66"/>
      <c r="GY102" s="65"/>
      <c r="HK102" s="1"/>
      <c r="HL102" s="1"/>
      <c r="HM102" s="65"/>
      <c r="HN102" s="1"/>
      <c r="HO102" s="65"/>
      <c r="HP102" s="65"/>
      <c r="HQ102" s="65"/>
      <c r="HS102" s="65"/>
      <c r="HT102" s="65"/>
      <c r="HU102" s="65"/>
      <c r="HV102" s="65"/>
      <c r="HW102" s="65"/>
      <c r="HX102" s="65"/>
      <c r="IZ102" s="66"/>
      <c r="JB102" s="66"/>
      <c r="JD102" s="66"/>
      <c r="JF102" s="66"/>
      <c r="JH102" s="66"/>
      <c r="JJ102" s="66"/>
      <c r="JL102" s="66"/>
      <c r="JN102" s="66"/>
      <c r="JP102" s="66"/>
      <c r="JR102" s="66"/>
    </row>
    <row r="103" spans="1:278" ht="15.75" x14ac:dyDescent="0.25">
      <c r="A103" s="6" t="s">
        <v>156</v>
      </c>
      <c r="B103" s="6" t="s">
        <v>156</v>
      </c>
      <c r="C103" s="2" t="s">
        <v>901</v>
      </c>
      <c r="D103" s="2" t="s">
        <v>545</v>
      </c>
      <c r="E103" s="2" t="s">
        <v>545</v>
      </c>
      <c r="F103" s="2">
        <v>102</v>
      </c>
      <c r="G103" s="2" t="s">
        <v>900</v>
      </c>
      <c r="H103" s="10" t="s">
        <v>656</v>
      </c>
      <c r="I103" s="2">
        <v>150</v>
      </c>
      <c r="J103" s="2">
        <v>65</v>
      </c>
      <c r="K103" s="15">
        <v>6.85</v>
      </c>
      <c r="L103" t="s">
        <v>328</v>
      </c>
      <c r="M103" s="2" t="s">
        <v>1120</v>
      </c>
      <c r="N103" s="2" t="s">
        <v>435</v>
      </c>
      <c r="O103" s="2" t="s">
        <v>653</v>
      </c>
      <c r="P103" s="2" t="s">
        <v>1124</v>
      </c>
      <c r="Q103" s="9" t="s">
        <v>662</v>
      </c>
      <c r="R103" s="2" t="str">
        <f t="shared" si="73"/>
        <v>CW_1_Section_1</v>
      </c>
      <c r="S103" s="2" t="str">
        <f t="shared" si="74"/>
        <v>CW_1_MF02</v>
      </c>
      <c r="T103" s="11" t="s">
        <v>891</v>
      </c>
      <c r="U103" s="1">
        <v>45762</v>
      </c>
      <c r="V103" s="2" t="s">
        <v>660</v>
      </c>
      <c r="W103" s="2" t="s">
        <v>663</v>
      </c>
      <c r="X103" s="2" t="s">
        <v>890</v>
      </c>
      <c r="Y103" s="2" t="str">
        <f t="shared" si="75"/>
        <v>T4_MF02</v>
      </c>
      <c r="Z103" s="2" t="str">
        <f t="shared" si="76"/>
        <v>T4_CW_1_MF02</v>
      </c>
      <c r="AA103" s="2" t="str">
        <f t="shared" si="77"/>
        <v>T4_0.60-0.80</v>
      </c>
      <c r="AB103" s="2">
        <v>245</v>
      </c>
      <c r="AC103" s="2">
        <v>8.0589999999999993</v>
      </c>
      <c r="AD103" s="2">
        <v>-0.02</v>
      </c>
      <c r="AE103" s="2">
        <v>4</v>
      </c>
      <c r="AF103" t="s">
        <v>31</v>
      </c>
      <c r="AG103" t="s">
        <v>1237</v>
      </c>
      <c r="AH103">
        <v>70</v>
      </c>
      <c r="AI103" t="s">
        <v>443</v>
      </c>
      <c r="AJ103">
        <v>0.77</v>
      </c>
      <c r="AK103">
        <v>0.44</v>
      </c>
      <c r="AL103">
        <v>14.2</v>
      </c>
      <c r="AM103">
        <v>-145</v>
      </c>
      <c r="AN103">
        <v>7.08</v>
      </c>
      <c r="AO103">
        <v>855</v>
      </c>
      <c r="AP103">
        <v>0.2</v>
      </c>
      <c r="AQ103">
        <v>0.01</v>
      </c>
      <c r="AR103">
        <v>12</v>
      </c>
      <c r="AS103">
        <v>13</v>
      </c>
      <c r="AT103">
        <v>210</v>
      </c>
      <c r="AU103" s="32">
        <f t="shared" si="89"/>
        <v>8.0655485853283831E-2</v>
      </c>
      <c r="AV103">
        <v>1</v>
      </c>
      <c r="AW103" s="32">
        <f t="shared" si="90"/>
        <v>3.9070978945083569E-4</v>
      </c>
      <c r="AX103">
        <v>200</v>
      </c>
      <c r="AY103" s="32">
        <f t="shared" si="91"/>
        <v>7.9118395026843744E-2</v>
      </c>
      <c r="AZ103">
        <v>88</v>
      </c>
      <c r="BA103" s="32">
        <f t="shared" si="92"/>
        <v>3.4812093811811246E-2</v>
      </c>
      <c r="BB103">
        <v>99</v>
      </c>
      <c r="BC103" s="32">
        <f t="shared" si="93"/>
        <v>3.9163605538287648E-2</v>
      </c>
      <c r="BD103">
        <v>187</v>
      </c>
      <c r="BF103" s="48">
        <v>604</v>
      </c>
      <c r="BG103" s="48">
        <f t="shared" si="94"/>
        <v>0.16016459066957842</v>
      </c>
      <c r="BH103">
        <v>1400</v>
      </c>
      <c r="BI103" s="32">
        <f t="shared" si="95"/>
        <v>0.52430365920262156</v>
      </c>
      <c r="BJ103" s="47">
        <v>3100</v>
      </c>
      <c r="BK103" s="27">
        <f t="shared" si="96"/>
        <v>1.1609581025200906</v>
      </c>
      <c r="BL103" s="47">
        <v>43</v>
      </c>
      <c r="BM103" s="27">
        <f t="shared" si="97"/>
        <v>1.5822327353965437E-2</v>
      </c>
      <c r="BN103" s="47">
        <v>260</v>
      </c>
      <c r="BO103" s="27">
        <f t="shared" si="98"/>
        <v>9.7788729654367426E-2</v>
      </c>
      <c r="BP103" s="47">
        <v>69</v>
      </c>
      <c r="BQ103" s="27">
        <f t="shared" si="99"/>
        <v>2.573697509324991E-2</v>
      </c>
      <c r="BR103" s="47">
        <v>32</v>
      </c>
      <c r="BS103" s="27">
        <f t="shared" si="100"/>
        <v>1.184985692644336E-2</v>
      </c>
      <c r="BT103" s="47">
        <v>5.0999999999999996</v>
      </c>
      <c r="BU103" s="27">
        <f t="shared" si="101"/>
        <v>1.8885709476519103E-3</v>
      </c>
      <c r="BV103" s="47">
        <v>0.82</v>
      </c>
      <c r="BW103" s="27">
        <f t="shared" si="102"/>
        <v>3.0002472187886276E-4</v>
      </c>
      <c r="BX103" s="47">
        <v>0.71</v>
      </c>
      <c r="BY103" s="27">
        <f t="shared" si="103"/>
        <v>2.5977750309023483E-4</v>
      </c>
      <c r="BZ103" s="51">
        <f t="shared" si="104"/>
        <v>3510.63</v>
      </c>
      <c r="CA103" s="51">
        <f t="shared" si="105"/>
        <v>410.63</v>
      </c>
      <c r="CB103" s="27">
        <f t="shared" si="106"/>
        <v>1.3146043647207377</v>
      </c>
      <c r="CC103" s="27">
        <f t="shared" si="107"/>
        <v>0.15364626220064714</v>
      </c>
      <c r="CD103">
        <v>5100</v>
      </c>
      <c r="CE103">
        <v>2100</v>
      </c>
      <c r="CF103" t="s">
        <v>19</v>
      </c>
      <c r="CG103">
        <v>7200</v>
      </c>
      <c r="CH103" s="32">
        <v>0.4</v>
      </c>
      <c r="CI103" s="32">
        <f t="shared" si="108"/>
        <v>7.162041181736795E-3</v>
      </c>
      <c r="CJ103" s="32">
        <f t="shared" si="109"/>
        <v>7.162041181736795E-3</v>
      </c>
      <c r="CK103" s="32">
        <v>0.8</v>
      </c>
      <c r="CL103" s="32">
        <f t="shared" si="110"/>
        <v>1.4563990533406155E-2</v>
      </c>
      <c r="CM103" s="32">
        <f t="shared" si="111"/>
        <v>2.912798106681231E-2</v>
      </c>
      <c r="CN103" s="27">
        <v>77</v>
      </c>
      <c r="CO103" s="27">
        <f t="shared" si="112"/>
        <v>0.80158234436810327</v>
      </c>
      <c r="CP103" s="27">
        <f t="shared" si="113"/>
        <v>6.4126587549448262</v>
      </c>
      <c r="CQ103" s="57">
        <v>10</v>
      </c>
      <c r="CR103" s="57">
        <v>11.494252873563218</v>
      </c>
      <c r="CS103" s="57">
        <v>0.83281282531750989</v>
      </c>
      <c r="CT103" s="57">
        <f t="shared" si="114"/>
        <v>0.83281282531750989</v>
      </c>
      <c r="CU103" s="28">
        <v>10</v>
      </c>
      <c r="CV103" s="28">
        <v>11.494252873563218</v>
      </c>
      <c r="CW103" s="28">
        <v>0.83281282531750989</v>
      </c>
      <c r="CX103" s="28">
        <f t="shared" si="115"/>
        <v>0.83281282531750989</v>
      </c>
      <c r="CY103" s="32">
        <f t="shared" si="116"/>
        <v>5.8130335207162185</v>
      </c>
      <c r="CZ103" s="32">
        <f t="shared" si="117"/>
        <v>5.8130335207162185</v>
      </c>
      <c r="DA103" s="32">
        <f t="shared" si="118"/>
        <v>6.2130335207162188</v>
      </c>
      <c r="DB103" s="32">
        <f t="shared" si="119"/>
        <v>0.11124500484720176</v>
      </c>
      <c r="DC103" s="32">
        <f t="shared" si="120"/>
        <v>0.11124500484720176</v>
      </c>
      <c r="DD103" s="59">
        <f t="shared" si="121"/>
        <v>5.8130335207162185</v>
      </c>
      <c r="DE103" s="59">
        <f t="shared" si="122"/>
        <v>5.8130335207162185</v>
      </c>
      <c r="DF103" s="59">
        <f t="shared" si="123"/>
        <v>6.2130335207162188</v>
      </c>
      <c r="DG103" s="59">
        <f t="shared" si="124"/>
        <v>0.11124500484720176</v>
      </c>
      <c r="DH103" s="59">
        <f t="shared" si="125"/>
        <v>0.11124500484720176</v>
      </c>
      <c r="DI103" s="32">
        <f t="shared" si="126"/>
        <v>6.4126587549448262</v>
      </c>
      <c r="DJ103" s="32">
        <f t="shared" si="127"/>
        <v>7.0130335207162187</v>
      </c>
      <c r="DK103" s="32">
        <f t="shared" si="128"/>
        <v>0.14037298591401406</v>
      </c>
      <c r="DL103">
        <f t="shared" si="129"/>
        <v>0.97318581123152392</v>
      </c>
      <c r="DM103">
        <f t="shared" si="78"/>
        <v>2.9930544332486854E-2</v>
      </c>
      <c r="DN103">
        <f t="shared" si="79"/>
        <v>0.11431013847851532</v>
      </c>
      <c r="DO103">
        <f t="shared" si="80"/>
        <v>0.85575931718899789</v>
      </c>
      <c r="DP103">
        <f t="shared" si="130"/>
        <v>0.97318581123152392</v>
      </c>
      <c r="DQ103">
        <f t="shared" si="81"/>
        <v>2.9930544332486854E-2</v>
      </c>
      <c r="DR103">
        <f t="shared" si="82"/>
        <v>0.11431013847851532</v>
      </c>
      <c r="DS103">
        <f t="shared" si="83"/>
        <v>0.85575931718899789</v>
      </c>
      <c r="DT103" s="63">
        <f t="shared" si="84"/>
        <v>-0.28871756135932392</v>
      </c>
      <c r="DU103" s="63">
        <f t="shared" si="85"/>
        <v>-0.28871756135932392</v>
      </c>
      <c r="DV103" s="63">
        <f t="shared" si="86"/>
        <v>-0.13507129915867677</v>
      </c>
      <c r="DW103" s="63">
        <f t="shared" si="87"/>
        <v>-0.13507129915867677</v>
      </c>
      <c r="DX103" t="str">
        <f t="shared" si="131"/>
        <v>Sufficient Capacity</v>
      </c>
      <c r="DY103" t="str">
        <f t="shared" si="132"/>
        <v>Sufficient Capacity</v>
      </c>
      <c r="DZ103" t="str">
        <f t="shared" si="133"/>
        <v>Sulfate Dominant electron acceptor</v>
      </c>
      <c r="EA103" t="str">
        <f t="shared" si="88"/>
        <v>Sulfate Dominant electron acceptor</v>
      </c>
      <c r="EB103">
        <v>8.024092E-3</v>
      </c>
      <c r="EC103">
        <v>1.3243669999999999E-3</v>
      </c>
      <c r="ED103">
        <v>0</v>
      </c>
      <c r="EE103">
        <v>1.4032890000000001E-3</v>
      </c>
      <c r="EF103">
        <v>8.8671059999999996E-3</v>
      </c>
      <c r="EG103" s="66">
        <v>1.0907340000000001E-5</v>
      </c>
      <c r="EH103">
        <v>7.2007959999999998E-4</v>
      </c>
      <c r="EI103" s="66">
        <v>6.7591019999999999E-5</v>
      </c>
      <c r="EJ103">
        <v>9.2057450000000002E-4</v>
      </c>
      <c r="EK103">
        <v>1.3139359999999999E-3</v>
      </c>
      <c r="EL103">
        <v>9.6651739999999999E-4</v>
      </c>
      <c r="EM103">
        <v>9.7790690000000005E-4</v>
      </c>
      <c r="EN103">
        <v>2.17621E-3</v>
      </c>
      <c r="EO103">
        <v>9.2996789999999995E-4</v>
      </c>
      <c r="EP103">
        <v>3.8092479999999999E-3</v>
      </c>
      <c r="EQ103">
        <v>8.6613749999999996E-4</v>
      </c>
      <c r="ER103">
        <v>7.9151690000000001E-4</v>
      </c>
      <c r="ES103">
        <v>1.246551E-3</v>
      </c>
      <c r="ET103">
        <v>5.353104E-3</v>
      </c>
      <c r="EU103">
        <v>2.3231839999999998E-3</v>
      </c>
      <c r="EV103">
        <v>7.974465E-3</v>
      </c>
      <c r="EW103">
        <v>1.036092E-3</v>
      </c>
      <c r="EX103">
        <v>4.4844020000000002E-3</v>
      </c>
      <c r="EY103">
        <v>6.208608E-3</v>
      </c>
      <c r="EZ103">
        <v>2.3754819999999999E-3</v>
      </c>
      <c r="FA103">
        <v>1.5783679999999999E-3</v>
      </c>
      <c r="FB103">
        <v>1.659663E-3</v>
      </c>
      <c r="FC103">
        <v>2.2510299999999998E-3</v>
      </c>
      <c r="FD103">
        <v>6.5815679999999997E-4</v>
      </c>
      <c r="FE103">
        <v>2.6430680000000002E-2</v>
      </c>
      <c r="FF103">
        <v>1.196091E-2</v>
      </c>
      <c r="FG103">
        <v>7.5556690000000001E-3</v>
      </c>
      <c r="FH103">
        <v>8.9935470000000002E-4</v>
      </c>
      <c r="FI103">
        <v>1.904029E-3</v>
      </c>
      <c r="FJ103">
        <v>8.9364100000000005E-3</v>
      </c>
      <c r="FK103">
        <v>0.89617672779340496</v>
      </c>
      <c r="FL103">
        <v>0.65620335468279301</v>
      </c>
      <c r="FM103">
        <v>-0.102346675598658</v>
      </c>
      <c r="FN103">
        <v>0.88578960630301495</v>
      </c>
      <c r="FO103">
        <v>-0.160705841116416</v>
      </c>
      <c r="FP103">
        <v>0.73301092736243501</v>
      </c>
      <c r="FQ103">
        <v>0.60249039320359998</v>
      </c>
      <c r="FR103">
        <v>0.75202842728598096</v>
      </c>
      <c r="FS103">
        <v>1.3357944575220899</v>
      </c>
      <c r="FT103">
        <v>6.7813568603524402E-2</v>
      </c>
      <c r="FU103">
        <v>0.13036616884476199</v>
      </c>
      <c r="FV103">
        <v>0.58676962758167495</v>
      </c>
      <c r="FW103">
        <v>-0.33290668430544101</v>
      </c>
      <c r="FX103">
        <v>0.692161041263471</v>
      </c>
      <c r="FY103">
        <v>0.582405820213859</v>
      </c>
      <c r="FZ103">
        <v>-0.483330285981866</v>
      </c>
      <c r="GA103">
        <v>-0.17581431640637199</v>
      </c>
      <c r="GB103">
        <v>-0.103004315637352</v>
      </c>
      <c r="GC103">
        <v>0.47467434478882098</v>
      </c>
      <c r="GD103">
        <v>-0.10377128520125201</v>
      </c>
      <c r="GE103">
        <v>-8.6971190732611198E-2</v>
      </c>
      <c r="GF103">
        <v>0.62303955242652997</v>
      </c>
      <c r="GG103">
        <v>0.51211008250612799</v>
      </c>
      <c r="GH103">
        <v>0.51813585059910106</v>
      </c>
      <c r="GI103">
        <v>0.18356728116665799</v>
      </c>
      <c r="GJ103">
        <v>0.61126322467951899</v>
      </c>
      <c r="GK103">
        <v>0.125017750530556</v>
      </c>
      <c r="GL103">
        <v>-0.223059646874118</v>
      </c>
      <c r="GM103">
        <v>-0.10990877799425799</v>
      </c>
      <c r="GN103">
        <v>0.125905818138696</v>
      </c>
      <c r="GO103">
        <v>0.28215828092595202</v>
      </c>
      <c r="GP103">
        <v>-0.169958511823112</v>
      </c>
      <c r="GY103" s="65"/>
      <c r="HK103" s="1"/>
      <c r="HL103" s="1"/>
      <c r="HM103" s="65"/>
      <c r="HN103" s="1"/>
      <c r="HO103" s="65"/>
      <c r="HS103" s="65"/>
      <c r="HV103" s="65"/>
      <c r="HW103" s="65"/>
      <c r="HX103" s="65"/>
      <c r="JJ103" s="66"/>
      <c r="JL103" s="66"/>
      <c r="JN103" s="66"/>
    </row>
    <row r="104" spans="1:278" ht="15.75" x14ac:dyDescent="0.25">
      <c r="A104" s="6" t="s">
        <v>157</v>
      </c>
      <c r="B104" s="6" t="s">
        <v>157</v>
      </c>
      <c r="C104" s="2" t="s">
        <v>903</v>
      </c>
      <c r="D104" s="2" t="s">
        <v>546</v>
      </c>
      <c r="E104" s="2" t="s">
        <v>546</v>
      </c>
      <c r="F104" s="2">
        <v>103</v>
      </c>
      <c r="G104" s="2" t="s">
        <v>902</v>
      </c>
      <c r="H104" s="10" t="s">
        <v>656</v>
      </c>
      <c r="I104" s="2">
        <v>150</v>
      </c>
      <c r="J104" s="2">
        <v>65</v>
      </c>
      <c r="K104" s="15">
        <v>6.25</v>
      </c>
      <c r="L104" t="s">
        <v>329</v>
      </c>
      <c r="M104" s="2" t="s">
        <v>1120</v>
      </c>
      <c r="N104" s="2" t="s">
        <v>435</v>
      </c>
      <c r="O104" s="2" t="s">
        <v>666</v>
      </c>
      <c r="P104" s="2" t="s">
        <v>1131</v>
      </c>
      <c r="Q104" s="9" t="s">
        <v>667</v>
      </c>
      <c r="R104" s="2" t="str">
        <f t="shared" si="73"/>
        <v>CW_1_Section_2</v>
      </c>
      <c r="S104" s="2" t="str">
        <f t="shared" si="74"/>
        <v>CW_1_MF05</v>
      </c>
      <c r="T104" s="11" t="s">
        <v>891</v>
      </c>
      <c r="U104" s="1">
        <v>45762</v>
      </c>
      <c r="V104" s="2" t="s">
        <v>660</v>
      </c>
      <c r="W104" s="2" t="s">
        <v>655</v>
      </c>
      <c r="X104" s="2" t="s">
        <v>890</v>
      </c>
      <c r="Y104" s="2" t="str">
        <f t="shared" si="75"/>
        <v>T4_MF05</v>
      </c>
      <c r="Z104" s="2" t="str">
        <f t="shared" si="76"/>
        <v>T4_CW_1_MF05</v>
      </c>
      <c r="AA104" s="2" t="str">
        <f t="shared" si="77"/>
        <v>T4_0.15-0.30</v>
      </c>
      <c r="AB104" s="2">
        <v>245</v>
      </c>
      <c r="AC104" s="2">
        <v>8.0589999999999993</v>
      </c>
      <c r="AD104" s="2">
        <v>-0.02</v>
      </c>
      <c r="AE104" s="2">
        <v>4</v>
      </c>
      <c r="AF104" t="s">
        <v>33</v>
      </c>
      <c r="AG104" t="s">
        <v>1237</v>
      </c>
      <c r="AH104">
        <v>67</v>
      </c>
      <c r="AI104" t="s">
        <v>443</v>
      </c>
      <c r="AJ104">
        <v>1.2</v>
      </c>
      <c r="AK104">
        <v>5.5</v>
      </c>
      <c r="AL104">
        <v>13.9</v>
      </c>
      <c r="AM104">
        <v>-108</v>
      </c>
      <c r="AN104">
        <v>7.18</v>
      </c>
      <c r="AO104">
        <v>435</v>
      </c>
      <c r="AP104">
        <v>0.2</v>
      </c>
      <c r="AQ104">
        <v>0.01</v>
      </c>
      <c r="AR104">
        <v>11</v>
      </c>
      <c r="AS104">
        <v>12</v>
      </c>
      <c r="AT104">
        <v>380</v>
      </c>
      <c r="AU104" s="32">
        <f t="shared" si="89"/>
        <v>0.14594802202022789</v>
      </c>
      <c r="AV104">
        <v>1</v>
      </c>
      <c r="AW104" s="32">
        <f t="shared" si="90"/>
        <v>3.9070978945083569E-4</v>
      </c>
      <c r="AX104">
        <v>300</v>
      </c>
      <c r="AY104" s="32">
        <f t="shared" si="91"/>
        <v>0.11867759254026561</v>
      </c>
      <c r="AZ104">
        <v>110</v>
      </c>
      <c r="BA104" s="32">
        <f t="shared" si="92"/>
        <v>4.3515117264764057E-2</v>
      </c>
      <c r="BB104">
        <v>85</v>
      </c>
      <c r="BC104" s="32">
        <f t="shared" si="93"/>
        <v>3.3625317886408587E-2</v>
      </c>
      <c r="BD104">
        <v>195</v>
      </c>
      <c r="BF104" s="48">
        <v>882</v>
      </c>
      <c r="BG104" s="48">
        <f t="shared" si="94"/>
        <v>0.26501632434994432</v>
      </c>
      <c r="BH104">
        <v>2400</v>
      </c>
      <c r="BI104" s="32">
        <f t="shared" si="95"/>
        <v>0.89880627291877968</v>
      </c>
      <c r="BJ104" s="47">
        <v>16</v>
      </c>
      <c r="BK104" s="27">
        <f t="shared" si="96"/>
        <v>5.9920418194585306E-3</v>
      </c>
      <c r="BL104" s="47">
        <v>0.1</v>
      </c>
      <c r="BM104" s="27">
        <f t="shared" si="97"/>
        <v>3.6796110125501022E-5</v>
      </c>
      <c r="BN104" s="47">
        <v>0.11</v>
      </c>
      <c r="BO104" s="27">
        <f t="shared" si="98"/>
        <v>4.1372154853770834E-5</v>
      </c>
      <c r="BP104" s="47">
        <v>0.08</v>
      </c>
      <c r="BQ104" s="27">
        <f t="shared" si="99"/>
        <v>2.9839971122608595E-5</v>
      </c>
      <c r="BR104" s="47">
        <v>0.04</v>
      </c>
      <c r="BS104" s="27">
        <f t="shared" si="100"/>
        <v>1.4812321158054199E-5</v>
      </c>
      <c r="BT104" s="47">
        <v>0.01</v>
      </c>
      <c r="BU104" s="27">
        <f t="shared" si="101"/>
        <v>3.7030802895135499E-6</v>
      </c>
      <c r="BV104" s="47">
        <v>0.01</v>
      </c>
      <c r="BW104" s="27">
        <f t="shared" si="102"/>
        <v>3.6588380716934487E-6</v>
      </c>
      <c r="BX104" s="47">
        <v>2E-3</v>
      </c>
      <c r="BY104" s="27">
        <f t="shared" si="103"/>
        <v>7.3176761433868969E-7</v>
      </c>
      <c r="BZ104" s="51">
        <f t="shared" si="104"/>
        <v>16.352</v>
      </c>
      <c r="CA104" s="51">
        <f t="shared" si="105"/>
        <v>0.35200000000000004</v>
      </c>
      <c r="CB104" s="27">
        <f t="shared" si="106"/>
        <v>6.122956062694012E-3</v>
      </c>
      <c r="CC104" s="27">
        <f t="shared" si="107"/>
        <v>1.3091424323548033E-4</v>
      </c>
      <c r="CD104">
        <v>3300</v>
      </c>
      <c r="CE104">
        <v>40</v>
      </c>
      <c r="CF104" t="s">
        <v>19</v>
      </c>
      <c r="CG104">
        <v>3400</v>
      </c>
      <c r="CH104" s="32">
        <v>8.1999999999999993</v>
      </c>
      <c r="CI104" s="32">
        <f t="shared" si="108"/>
        <v>0.14682184422560429</v>
      </c>
      <c r="CJ104" s="32">
        <f t="shared" si="109"/>
        <v>0.14682184422560429</v>
      </c>
      <c r="CK104" s="32">
        <v>2.5</v>
      </c>
      <c r="CL104" s="32">
        <f t="shared" si="110"/>
        <v>4.5512470416894227E-2</v>
      </c>
      <c r="CM104" s="32">
        <f t="shared" si="111"/>
        <v>9.1024940833788454E-2</v>
      </c>
      <c r="CN104" s="27">
        <v>15</v>
      </c>
      <c r="CO104" s="27">
        <f t="shared" si="112"/>
        <v>0.1561524047470331</v>
      </c>
      <c r="CP104" s="27">
        <f t="shared" si="113"/>
        <v>1.2492192379762648</v>
      </c>
      <c r="CQ104" s="57">
        <v>72</v>
      </c>
      <c r="CR104" s="57">
        <v>82.758620689655174</v>
      </c>
      <c r="CS104" s="57">
        <v>5.9962523422860707</v>
      </c>
      <c r="CT104" s="57">
        <f t="shared" si="114"/>
        <v>5.9962523422860707</v>
      </c>
      <c r="CU104" s="28">
        <v>32</v>
      </c>
      <c r="CV104" s="28">
        <v>68.085106382978722</v>
      </c>
      <c r="CW104" s="28">
        <v>2.6650010410160316</v>
      </c>
      <c r="CX104" s="28">
        <f t="shared" si="115"/>
        <v>2.6650010410160316</v>
      </c>
      <c r="CY104" s="32">
        <f t="shared" si="116"/>
        <v>41.853841349156774</v>
      </c>
      <c r="CZ104" s="32">
        <f t="shared" si="117"/>
        <v>41.853841349156774</v>
      </c>
      <c r="DA104" s="32">
        <f t="shared" si="118"/>
        <v>50.05384134915677</v>
      </c>
      <c r="DB104" s="32">
        <f t="shared" si="119"/>
        <v>0.89621918261695199</v>
      </c>
      <c r="DC104" s="32">
        <f t="shared" si="120"/>
        <v>0.89621918261695199</v>
      </c>
      <c r="DD104" s="59">
        <f t="shared" si="121"/>
        <v>18.6017072662919</v>
      </c>
      <c r="DE104" s="59">
        <f t="shared" si="122"/>
        <v>18.6017072662919</v>
      </c>
      <c r="DF104" s="59">
        <f t="shared" si="123"/>
        <v>26.801707266291899</v>
      </c>
      <c r="DG104" s="59">
        <f t="shared" si="124"/>
        <v>0.4798873279550922</v>
      </c>
      <c r="DH104" s="59">
        <f t="shared" si="125"/>
        <v>0.4798873279550922</v>
      </c>
      <c r="DI104" s="32">
        <f t="shared" si="126"/>
        <v>1.2492192379762648</v>
      </c>
      <c r="DJ104" s="32">
        <f t="shared" si="127"/>
        <v>29.301707266291899</v>
      </c>
      <c r="DK104" s="32">
        <f t="shared" si="128"/>
        <v>0.57091226878888068</v>
      </c>
      <c r="DL104">
        <f t="shared" si="129"/>
        <v>6.9834964657368115</v>
      </c>
      <c r="DM104">
        <f t="shared" si="78"/>
        <v>1.3034293248430051E-2</v>
      </c>
      <c r="DN104">
        <f t="shared" si="79"/>
        <v>0.12833387788109865</v>
      </c>
      <c r="DO104">
        <f t="shared" si="80"/>
        <v>0.85863182887047129</v>
      </c>
      <c r="DP104">
        <f t="shared" si="130"/>
        <v>3.2359133098049124</v>
      </c>
      <c r="DQ104">
        <f t="shared" si="81"/>
        <v>2.8129598082241636E-2</v>
      </c>
      <c r="DR104">
        <f t="shared" si="82"/>
        <v>0.14830042773427196</v>
      </c>
      <c r="DS104">
        <f t="shared" si="83"/>
        <v>0.82356997418348632</v>
      </c>
      <c r="DT104" s="63">
        <f t="shared" si="84"/>
        <v>-5.8196738684680875</v>
      </c>
      <c r="DU104" s="63">
        <f t="shared" si="85"/>
        <v>-2.0720907125361885</v>
      </c>
      <c r="DV104" s="63">
        <f t="shared" si="86"/>
        <v>-5.8195429542248522</v>
      </c>
      <c r="DW104" s="63">
        <f t="shared" si="87"/>
        <v>-2.0719597982929532</v>
      </c>
      <c r="DX104" t="str">
        <f t="shared" si="131"/>
        <v>Sufficient Capacity</v>
      </c>
      <c r="DY104" t="str">
        <f t="shared" si="132"/>
        <v>Sufficient Capacity</v>
      </c>
      <c r="DZ104" t="str">
        <f t="shared" si="133"/>
        <v>Sulfate Dominant electron acceptor</v>
      </c>
      <c r="EA104" t="str">
        <f t="shared" si="88"/>
        <v>Sulfate Dominant electron acceptor</v>
      </c>
      <c r="EB104">
        <v>8.793782E-3</v>
      </c>
      <c r="EC104">
        <v>1.3843219999999999E-3</v>
      </c>
      <c r="ED104" s="66">
        <v>1.9717000000000001E-7</v>
      </c>
      <c r="EE104">
        <v>1.011238E-3</v>
      </c>
      <c r="EF104">
        <v>6.052328E-3</v>
      </c>
      <c r="EG104" s="66">
        <v>7.7206229999999998E-6</v>
      </c>
      <c r="EH104">
        <v>6.1592139999999999E-4</v>
      </c>
      <c r="EI104" s="66">
        <v>6.537999E-5</v>
      </c>
      <c r="EJ104">
        <v>1.045839E-3</v>
      </c>
      <c r="EK104">
        <v>1.4863929999999999E-3</v>
      </c>
      <c r="EL104">
        <v>7.8330969999999996E-4</v>
      </c>
      <c r="EM104">
        <v>4.7136429999999999E-4</v>
      </c>
      <c r="EN104">
        <v>1.9368759999999999E-3</v>
      </c>
      <c r="EO104">
        <v>7.5556099999999997E-4</v>
      </c>
      <c r="EP104">
        <v>2.5600319999999998E-3</v>
      </c>
      <c r="EQ104">
        <v>1.254214E-3</v>
      </c>
      <c r="ER104">
        <v>5.8944990000000001E-4</v>
      </c>
      <c r="ES104">
        <v>9.6718810000000004E-4</v>
      </c>
      <c r="ET104">
        <v>7.9509990000000003E-3</v>
      </c>
      <c r="EU104">
        <v>2.6478550000000002E-3</v>
      </c>
      <c r="EV104">
        <v>7.6533629999999998E-3</v>
      </c>
      <c r="EW104">
        <v>7.8188179999999995E-4</v>
      </c>
      <c r="EX104">
        <v>4.9117070000000004E-3</v>
      </c>
      <c r="EY104">
        <v>6.9850550000000004E-3</v>
      </c>
      <c r="EZ104">
        <v>1.5257739999999999E-3</v>
      </c>
      <c r="FA104">
        <v>1.0178749999999999E-3</v>
      </c>
      <c r="FB104">
        <v>1.0549909999999999E-3</v>
      </c>
      <c r="FC104">
        <v>1.6869299999999999E-3</v>
      </c>
      <c r="FD104">
        <v>4.6286310000000002E-4</v>
      </c>
      <c r="FE104">
        <v>2.9293010000000001E-2</v>
      </c>
      <c r="FF104">
        <v>1.8745270000000001E-2</v>
      </c>
      <c r="FG104">
        <v>1.0267159999999999E-2</v>
      </c>
      <c r="FH104">
        <v>8.7640000000000005E-4</v>
      </c>
      <c r="FI104">
        <v>1.3940129999999999E-3</v>
      </c>
      <c r="FJ104">
        <v>1.221977E-2</v>
      </c>
      <c r="FK104">
        <v>0.56853328353347898</v>
      </c>
      <c r="FL104">
        <v>0.274297871335764</v>
      </c>
      <c r="FM104">
        <v>-0.44788757243830801</v>
      </c>
      <c r="FN104">
        <v>0.72954720283785401</v>
      </c>
      <c r="FO104">
        <v>-0.19396472676052201</v>
      </c>
      <c r="FP104">
        <v>0.86058770877339696</v>
      </c>
      <c r="FQ104">
        <v>0.72581556026929495</v>
      </c>
      <c r="FR104">
        <v>0.54185727349786506</v>
      </c>
      <c r="FS104">
        <v>0.60601124206425405</v>
      </c>
      <c r="FT104">
        <v>-4.8694897231256598E-2</v>
      </c>
      <c r="FU104">
        <v>-7.7323380893442803E-2</v>
      </c>
      <c r="FV104">
        <v>0.18935759166556901</v>
      </c>
      <c r="FW104">
        <v>3.7314004294811902E-2</v>
      </c>
      <c r="FX104">
        <v>0.39739953939525102</v>
      </c>
      <c r="FY104">
        <v>0.328662999194689</v>
      </c>
      <c r="FZ104">
        <v>-8.7709284413317198E-2</v>
      </c>
      <c r="GA104">
        <v>-4.5003096711340597E-2</v>
      </c>
      <c r="GB104">
        <v>-0.14410371833612301</v>
      </c>
      <c r="GC104">
        <v>0.19316670104907299</v>
      </c>
      <c r="GD104">
        <v>-1.27548992604138E-2</v>
      </c>
      <c r="GE104">
        <v>3.08649597314412E-2</v>
      </c>
      <c r="GF104">
        <v>0.18034101045015599</v>
      </c>
      <c r="GG104">
        <v>7.3435801485413094E-2</v>
      </c>
      <c r="GH104">
        <v>6.5053516974531406E-2</v>
      </c>
      <c r="GI104">
        <v>-0.104910299152161</v>
      </c>
      <c r="GJ104">
        <v>0.25925135388889903</v>
      </c>
      <c r="GK104">
        <v>0.22784121491491</v>
      </c>
      <c r="GL104">
        <v>0.22623797446650601</v>
      </c>
      <c r="GM104">
        <v>0.196743531677705</v>
      </c>
      <c r="GN104">
        <v>0.10005091970313</v>
      </c>
      <c r="GO104">
        <v>-2.9627248443326901E-2</v>
      </c>
      <c r="GP104">
        <v>0.14296267759859899</v>
      </c>
      <c r="GR104" s="66"/>
      <c r="GT104" s="66"/>
      <c r="GV104" s="66"/>
      <c r="GW104" s="65"/>
      <c r="HK104" s="1"/>
      <c r="HL104" s="1"/>
      <c r="HM104" s="65"/>
      <c r="HN104" s="1"/>
      <c r="HO104" s="65"/>
      <c r="HP104" s="65"/>
      <c r="HQ104" s="65"/>
      <c r="HS104" s="65"/>
      <c r="HT104" s="65"/>
      <c r="HU104" s="65"/>
      <c r="HV104" s="65"/>
      <c r="HW104" s="65"/>
      <c r="HX104" s="65"/>
      <c r="IZ104" s="66"/>
      <c r="JB104" s="66"/>
      <c r="JD104" s="66"/>
      <c r="JF104" s="66"/>
      <c r="JH104" s="66"/>
      <c r="JJ104" s="66"/>
      <c r="JL104" s="66"/>
      <c r="JN104" s="66"/>
    </row>
    <row r="105" spans="1:278" ht="15.75" x14ac:dyDescent="0.25">
      <c r="A105" s="6" t="s">
        <v>158</v>
      </c>
      <c r="B105" s="6" t="s">
        <v>158</v>
      </c>
      <c r="C105" s="2" t="s">
        <v>905</v>
      </c>
      <c r="D105" s="2" t="s">
        <v>547</v>
      </c>
      <c r="E105" s="2" t="s">
        <v>547</v>
      </c>
      <c r="F105" s="2">
        <v>104</v>
      </c>
      <c r="G105" s="2" t="s">
        <v>904</v>
      </c>
      <c r="H105" s="10" t="s">
        <v>656</v>
      </c>
      <c r="I105" s="2">
        <v>150</v>
      </c>
      <c r="J105" s="2">
        <v>65</v>
      </c>
      <c r="K105" s="15">
        <v>5.5</v>
      </c>
      <c r="L105" t="s">
        <v>330</v>
      </c>
      <c r="M105" s="2" t="s">
        <v>1120</v>
      </c>
      <c r="N105" s="2" t="s">
        <v>435</v>
      </c>
      <c r="O105" s="2" t="s">
        <v>666</v>
      </c>
      <c r="P105" s="2" t="s">
        <v>1132</v>
      </c>
      <c r="Q105" s="9" t="s">
        <v>670</v>
      </c>
      <c r="R105" s="2" t="str">
        <f t="shared" si="73"/>
        <v>CW_1_Section_2</v>
      </c>
      <c r="S105" s="2" t="str">
        <f t="shared" si="74"/>
        <v>CW_1_MF06</v>
      </c>
      <c r="T105" s="11" t="s">
        <v>891</v>
      </c>
      <c r="U105" s="1">
        <v>45762</v>
      </c>
      <c r="V105" s="2" t="s">
        <v>660</v>
      </c>
      <c r="W105" s="2" t="s">
        <v>663</v>
      </c>
      <c r="X105" s="2" t="s">
        <v>890</v>
      </c>
      <c r="Y105" s="2" t="str">
        <f t="shared" si="75"/>
        <v>T4_MF06</v>
      </c>
      <c r="Z105" s="2" t="str">
        <f t="shared" si="76"/>
        <v>T4_CW_1_MF06</v>
      </c>
      <c r="AA105" s="2" t="str">
        <f t="shared" si="77"/>
        <v>T4_0.60-0.80</v>
      </c>
      <c r="AB105" s="2">
        <v>245</v>
      </c>
      <c r="AC105" s="2">
        <v>8.0589999999999993</v>
      </c>
      <c r="AD105" s="2">
        <v>-0.02</v>
      </c>
      <c r="AE105" s="2">
        <v>4</v>
      </c>
      <c r="AF105" t="s">
        <v>25</v>
      </c>
      <c r="AG105" t="s">
        <v>1237</v>
      </c>
      <c r="AH105">
        <v>69</v>
      </c>
      <c r="AI105" t="s">
        <v>443</v>
      </c>
      <c r="AJ105">
        <v>0.85</v>
      </c>
      <c r="AK105">
        <v>0.56000000000000005</v>
      </c>
      <c r="AL105">
        <v>14</v>
      </c>
      <c r="AM105">
        <v>-137</v>
      </c>
      <c r="AN105">
        <v>7.29</v>
      </c>
      <c r="AO105">
        <v>1080</v>
      </c>
      <c r="AP105">
        <v>0.2</v>
      </c>
      <c r="AQ105">
        <v>0.01</v>
      </c>
      <c r="AR105">
        <v>11</v>
      </c>
      <c r="AS105">
        <v>12</v>
      </c>
      <c r="AT105">
        <v>290</v>
      </c>
      <c r="AU105" s="32">
        <f t="shared" si="89"/>
        <v>0.11138138522596339</v>
      </c>
      <c r="AV105">
        <v>1</v>
      </c>
      <c r="AW105" s="32">
        <f t="shared" si="90"/>
        <v>3.9070978945083569E-4</v>
      </c>
      <c r="AX105">
        <v>280</v>
      </c>
      <c r="AY105" s="32">
        <f t="shared" si="91"/>
        <v>0.11076575303758124</v>
      </c>
      <c r="AZ105">
        <v>75</v>
      </c>
      <c r="BA105" s="32">
        <f t="shared" si="92"/>
        <v>2.9669398135066402E-2</v>
      </c>
      <c r="BB105">
        <v>60</v>
      </c>
      <c r="BC105" s="32">
        <f t="shared" si="93"/>
        <v>2.3735518508053124E-2</v>
      </c>
      <c r="BD105">
        <v>135</v>
      </c>
      <c r="BF105" s="48">
        <v>712</v>
      </c>
      <c r="BG105" s="48">
        <f t="shared" si="94"/>
        <v>0.22253784805299548</v>
      </c>
      <c r="BH105">
        <v>1400</v>
      </c>
      <c r="BI105" s="32">
        <f t="shared" si="95"/>
        <v>0.52430365920262156</v>
      </c>
      <c r="BJ105" s="47">
        <v>2800</v>
      </c>
      <c r="BK105" s="27">
        <f t="shared" si="96"/>
        <v>1.0486073184052431</v>
      </c>
      <c r="BL105" s="47">
        <v>63</v>
      </c>
      <c r="BM105" s="27">
        <f t="shared" si="97"/>
        <v>2.3181549379065643E-2</v>
      </c>
      <c r="BN105" s="47">
        <v>210</v>
      </c>
      <c r="BO105" s="27">
        <f t="shared" si="98"/>
        <v>7.8983204720835226E-2</v>
      </c>
      <c r="BP105" s="47">
        <v>53</v>
      </c>
      <c r="BQ105" s="27">
        <f t="shared" si="99"/>
        <v>1.9768980868728192E-2</v>
      </c>
      <c r="BR105" s="47">
        <v>13</v>
      </c>
      <c r="BS105" s="27">
        <f t="shared" si="100"/>
        <v>4.8140043763676144E-3</v>
      </c>
      <c r="BT105" s="47">
        <v>1.4</v>
      </c>
      <c r="BU105" s="27">
        <f t="shared" si="101"/>
        <v>5.1843124053189689E-4</v>
      </c>
      <c r="BV105" s="47">
        <v>0.06</v>
      </c>
      <c r="BW105" s="27">
        <f t="shared" si="102"/>
        <v>2.1953028430160689E-5</v>
      </c>
      <c r="BX105" s="47">
        <v>0.04</v>
      </c>
      <c r="BY105" s="27">
        <f t="shared" si="103"/>
        <v>1.4635352286773795E-5</v>
      </c>
      <c r="BZ105" s="51">
        <f t="shared" si="104"/>
        <v>3140.5</v>
      </c>
      <c r="CA105" s="51">
        <f t="shared" si="105"/>
        <v>340.5</v>
      </c>
      <c r="CB105" s="27">
        <f t="shared" si="106"/>
        <v>1.1759100773714888</v>
      </c>
      <c r="CC105" s="27">
        <f t="shared" si="107"/>
        <v>0.12730275896624549</v>
      </c>
      <c r="CD105">
        <v>3800</v>
      </c>
      <c r="CE105">
        <v>1300</v>
      </c>
      <c r="CF105" t="s">
        <v>19</v>
      </c>
      <c r="CG105">
        <v>5100</v>
      </c>
      <c r="CH105" s="32">
        <v>0.5</v>
      </c>
      <c r="CI105" s="32">
        <f t="shared" si="108"/>
        <v>8.9525514771709933E-3</v>
      </c>
      <c r="CJ105" s="32">
        <f t="shared" si="109"/>
        <v>8.9525514771709933E-3</v>
      </c>
      <c r="CK105" s="32">
        <v>0.9</v>
      </c>
      <c r="CL105" s="32">
        <f t="shared" si="110"/>
        <v>1.6384489350081924E-2</v>
      </c>
      <c r="CM105" s="32">
        <f t="shared" si="111"/>
        <v>3.2768978700163848E-2</v>
      </c>
      <c r="CN105" s="27">
        <v>58</v>
      </c>
      <c r="CO105" s="27">
        <f t="shared" si="112"/>
        <v>0.60378929835519468</v>
      </c>
      <c r="CP105" s="27">
        <f t="shared" si="113"/>
        <v>4.8303143868415575</v>
      </c>
      <c r="CQ105" s="57">
        <v>29</v>
      </c>
      <c r="CR105" s="57">
        <v>33.333333333333329</v>
      </c>
      <c r="CS105" s="57">
        <v>2.4151571934207787</v>
      </c>
      <c r="CT105" s="57">
        <f t="shared" si="114"/>
        <v>2.4151571934207787</v>
      </c>
      <c r="CU105" s="28">
        <v>19</v>
      </c>
      <c r="CV105" s="28">
        <v>24.675324675324674</v>
      </c>
      <c r="CW105" s="28">
        <v>1.5823443681032687</v>
      </c>
      <c r="CX105" s="28">
        <f t="shared" si="115"/>
        <v>1.5823443681032687</v>
      </c>
      <c r="CY105" s="32">
        <f t="shared" si="116"/>
        <v>16.857797210077035</v>
      </c>
      <c r="CZ105" s="32">
        <f t="shared" si="117"/>
        <v>16.857797210077035</v>
      </c>
      <c r="DA105" s="32">
        <f t="shared" si="118"/>
        <v>17.357797210077035</v>
      </c>
      <c r="DB105" s="32">
        <f t="shared" si="119"/>
        <v>0.31079314610701941</v>
      </c>
      <c r="DC105" s="32">
        <f t="shared" si="120"/>
        <v>0.31079314610701941</v>
      </c>
      <c r="DD105" s="59">
        <f t="shared" si="121"/>
        <v>11.044763689360815</v>
      </c>
      <c r="DE105" s="59">
        <f t="shared" si="122"/>
        <v>11.044763689360815</v>
      </c>
      <c r="DF105" s="59">
        <f t="shared" si="123"/>
        <v>11.544763689360815</v>
      </c>
      <c r="DG105" s="59">
        <f t="shared" si="124"/>
        <v>0.20671018244155442</v>
      </c>
      <c r="DH105" s="59">
        <f t="shared" si="125"/>
        <v>0.20671018244155442</v>
      </c>
      <c r="DI105" s="32">
        <f t="shared" si="126"/>
        <v>4.8303143868415575</v>
      </c>
      <c r="DJ105" s="32">
        <f t="shared" si="127"/>
        <v>12.444763689360816</v>
      </c>
      <c r="DK105" s="32">
        <f t="shared" si="128"/>
        <v>0.23947916114171827</v>
      </c>
      <c r="DL105">
        <f t="shared" si="129"/>
        <v>2.7587193182279619</v>
      </c>
      <c r="DM105">
        <f t="shared" si="78"/>
        <v>1.1878330094564567E-2</v>
      </c>
      <c r="DN105">
        <f t="shared" si="79"/>
        <v>0.11265848760092584</v>
      </c>
      <c r="DO105">
        <f t="shared" si="80"/>
        <v>0.87546318230450959</v>
      </c>
      <c r="DP105">
        <f t="shared" si="130"/>
        <v>1.8218235292449869</v>
      </c>
      <c r="DQ105">
        <f t="shared" si="81"/>
        <v>1.7986911560937079E-2</v>
      </c>
      <c r="DR105">
        <f t="shared" si="82"/>
        <v>0.11346333995764163</v>
      </c>
      <c r="DS105">
        <f t="shared" si="83"/>
        <v>0.8685497484814213</v>
      </c>
      <c r="DT105" s="63">
        <f t="shared" si="84"/>
        <v>-2.011877810972345</v>
      </c>
      <c r="DU105" s="63">
        <f t="shared" si="85"/>
        <v>-1.0749820219893698</v>
      </c>
      <c r="DV105" s="63">
        <f t="shared" si="86"/>
        <v>-1.8845750520060993</v>
      </c>
      <c r="DW105" s="63">
        <f t="shared" si="87"/>
        <v>-0.94767926302312433</v>
      </c>
      <c r="DX105" t="str">
        <f t="shared" si="131"/>
        <v>Sufficient Capacity</v>
      </c>
      <c r="DY105" t="str">
        <f t="shared" si="132"/>
        <v>Sufficient Capacity</v>
      </c>
      <c r="DZ105" t="str">
        <f t="shared" si="133"/>
        <v>Sulfate Dominant electron acceptor</v>
      </c>
      <c r="EA105" t="str">
        <f t="shared" si="88"/>
        <v>Sulfate Dominant electron acceptor</v>
      </c>
      <c r="EB105">
        <v>8.340821E-3</v>
      </c>
      <c r="EC105">
        <v>1.4050270000000001E-3</v>
      </c>
      <c r="ED105" s="66">
        <v>1.055294E-7</v>
      </c>
      <c r="EE105">
        <v>1.013599E-3</v>
      </c>
      <c r="EF105">
        <v>6.9946189999999997E-3</v>
      </c>
      <c r="EG105" s="66">
        <v>1.113336E-5</v>
      </c>
      <c r="EH105">
        <v>5.4117599999999998E-4</v>
      </c>
      <c r="EI105" s="66">
        <v>8.5894260000000006E-5</v>
      </c>
      <c r="EJ105">
        <v>8.5881589999999995E-4</v>
      </c>
      <c r="EK105">
        <v>1.222613E-3</v>
      </c>
      <c r="EL105">
        <v>7.9037599999999997E-4</v>
      </c>
      <c r="EM105">
        <v>6.8026670000000003E-4</v>
      </c>
      <c r="EN105">
        <v>2.218373E-3</v>
      </c>
      <c r="EO105">
        <v>8.9526500000000001E-4</v>
      </c>
      <c r="EP105">
        <v>2.9050640000000002E-3</v>
      </c>
      <c r="EQ105">
        <v>1.10732E-3</v>
      </c>
      <c r="ER105">
        <v>6.4508559999999998E-4</v>
      </c>
      <c r="ES105">
        <v>1.0355850000000001E-3</v>
      </c>
      <c r="ET105">
        <v>6.6475869999999999E-3</v>
      </c>
      <c r="EU105">
        <v>2.3843639999999999E-3</v>
      </c>
      <c r="EV105">
        <v>8.389835E-3</v>
      </c>
      <c r="EW105">
        <v>7.8068080000000002E-4</v>
      </c>
      <c r="EX105">
        <v>4.7068980000000002E-3</v>
      </c>
      <c r="EY105">
        <v>6.4968430000000004E-3</v>
      </c>
      <c r="EZ105">
        <v>1.864961E-3</v>
      </c>
      <c r="FA105">
        <v>1.255819E-3</v>
      </c>
      <c r="FB105">
        <v>1.292798E-3</v>
      </c>
      <c r="FC105">
        <v>2.111988E-3</v>
      </c>
      <c r="FD105">
        <v>4.773089E-4</v>
      </c>
      <c r="FE105">
        <v>2.575539E-2</v>
      </c>
      <c r="FF105">
        <v>1.3513310000000001E-2</v>
      </c>
      <c r="FG105">
        <v>7.9268710000000003E-3</v>
      </c>
      <c r="FH105">
        <v>9.1079560000000004E-4</v>
      </c>
      <c r="FI105">
        <v>1.6782469999999999E-3</v>
      </c>
      <c r="FJ105">
        <v>9.8473160000000001E-3</v>
      </c>
      <c r="FK105">
        <v>0.57086532415700397</v>
      </c>
      <c r="FL105">
        <v>0.418996019075842</v>
      </c>
      <c r="FM105">
        <v>-8.18366261795722E-2</v>
      </c>
      <c r="FN105">
        <v>0.600172394263494</v>
      </c>
      <c r="FO105">
        <v>7.8936029767011598E-2</v>
      </c>
      <c r="FP105">
        <v>0.66356757572856195</v>
      </c>
      <c r="FQ105">
        <v>0.53045355220086199</v>
      </c>
      <c r="FR105">
        <v>0.55083790729584703</v>
      </c>
      <c r="FS105">
        <v>0.97286491345244497</v>
      </c>
      <c r="FT105">
        <v>8.7002781224780001E-2</v>
      </c>
      <c r="FU105">
        <v>9.2335863256706396E-2</v>
      </c>
      <c r="FV105">
        <v>0.31579325429448601</v>
      </c>
      <c r="FW105">
        <v>-8.7252395752384096E-2</v>
      </c>
      <c r="FX105">
        <v>0.48759283147525401</v>
      </c>
      <c r="FY105">
        <v>0.39699176694204302</v>
      </c>
      <c r="FZ105">
        <v>-0.26675293388598897</v>
      </c>
      <c r="GA105">
        <v>-0.149820552866894</v>
      </c>
      <c r="GB105">
        <v>-5.2228023402123298E-2</v>
      </c>
      <c r="GC105">
        <v>0.19162948233348201</v>
      </c>
      <c r="GD105">
        <v>-5.5347346158198397E-2</v>
      </c>
      <c r="GE105">
        <v>-4.1591540355046398E-2</v>
      </c>
      <c r="GF105">
        <v>0.38107932951151502</v>
      </c>
      <c r="GG105">
        <v>0.28350663006141102</v>
      </c>
      <c r="GH105">
        <v>0.26833014264237098</v>
      </c>
      <c r="GI105">
        <v>0.11980907593052301</v>
      </c>
      <c r="GJ105">
        <v>0.28998389426182503</v>
      </c>
      <c r="GK105">
        <v>9.9136219499955699E-2</v>
      </c>
      <c r="GL105">
        <v>-0.101028353794095</v>
      </c>
      <c r="GM105">
        <v>-6.1948540200352099E-2</v>
      </c>
      <c r="GN105">
        <v>0.13854681524186099</v>
      </c>
      <c r="GO105">
        <v>0.15593590983911501</v>
      </c>
      <c r="GP105">
        <v>-7.2893523620852996E-2</v>
      </c>
      <c r="GT105" s="66"/>
      <c r="GV105" s="66"/>
      <c r="GY105" s="65"/>
      <c r="HK105" s="1"/>
      <c r="HL105" s="1"/>
      <c r="HM105" s="65"/>
      <c r="HN105" s="1"/>
      <c r="HO105" s="65"/>
      <c r="HP105" s="65"/>
      <c r="HQ105" s="65"/>
      <c r="HS105" s="65"/>
      <c r="HT105" s="65"/>
      <c r="HU105" s="65"/>
      <c r="HV105" s="65"/>
      <c r="HW105" s="65"/>
      <c r="HX105" s="65"/>
      <c r="JJ105" s="66"/>
      <c r="JL105" s="66"/>
      <c r="JN105" s="66"/>
    </row>
    <row r="106" spans="1:278" ht="15.75" x14ac:dyDescent="0.25">
      <c r="A106" s="6" t="s">
        <v>159</v>
      </c>
      <c r="B106" s="6" t="s">
        <v>159</v>
      </c>
      <c r="C106" s="2" t="s">
        <v>907</v>
      </c>
      <c r="D106" s="2" t="s">
        <v>548</v>
      </c>
      <c r="E106" s="2" t="s">
        <v>548</v>
      </c>
      <c r="F106" s="2">
        <v>105</v>
      </c>
      <c r="G106" s="2" t="s">
        <v>906</v>
      </c>
      <c r="H106" s="10" t="s">
        <v>656</v>
      </c>
      <c r="I106" s="2">
        <v>150</v>
      </c>
      <c r="J106" s="2">
        <v>65</v>
      </c>
      <c r="K106" s="15">
        <v>6.9</v>
      </c>
      <c r="L106" t="s">
        <v>331</v>
      </c>
      <c r="M106" s="2" t="s">
        <v>1120</v>
      </c>
      <c r="N106" s="2" t="s">
        <v>435</v>
      </c>
      <c r="O106" s="2" t="s">
        <v>673</v>
      </c>
      <c r="P106" s="2" t="s">
        <v>1127</v>
      </c>
      <c r="Q106" s="9" t="s">
        <v>674</v>
      </c>
      <c r="R106" s="2" t="str">
        <f t="shared" si="73"/>
        <v>CW_1_Section_3</v>
      </c>
      <c r="S106" s="2" t="str">
        <f t="shared" si="74"/>
        <v>CW_1_MF09</v>
      </c>
      <c r="T106" s="11" t="s">
        <v>891</v>
      </c>
      <c r="U106" s="1">
        <v>45762</v>
      </c>
      <c r="V106" s="2" t="s">
        <v>660</v>
      </c>
      <c r="W106" s="2" t="s">
        <v>655</v>
      </c>
      <c r="X106" s="2" t="s">
        <v>890</v>
      </c>
      <c r="Y106" s="2" t="str">
        <f t="shared" si="75"/>
        <v>T4_MF09</v>
      </c>
      <c r="Z106" s="2" t="str">
        <f t="shared" si="76"/>
        <v>T4_CW_1_MF09</v>
      </c>
      <c r="AA106" s="2" t="str">
        <f t="shared" si="77"/>
        <v>T4_0.15-0.30</v>
      </c>
      <c r="AB106" s="2">
        <v>245</v>
      </c>
      <c r="AC106" s="2">
        <v>8.0589999999999993</v>
      </c>
      <c r="AD106" s="2">
        <v>-0.02</v>
      </c>
      <c r="AE106" s="2">
        <v>4</v>
      </c>
      <c r="AF106" t="s">
        <v>21</v>
      </c>
      <c r="AG106" t="s">
        <v>1237</v>
      </c>
      <c r="AH106">
        <v>62</v>
      </c>
      <c r="AI106" t="s">
        <v>443</v>
      </c>
      <c r="AJ106">
        <v>1.1000000000000001</v>
      </c>
      <c r="AK106">
        <v>4.63</v>
      </c>
      <c r="AL106">
        <v>13.8</v>
      </c>
      <c r="AM106">
        <v>-101</v>
      </c>
      <c r="AN106">
        <v>7.01</v>
      </c>
      <c r="AO106">
        <v>749</v>
      </c>
      <c r="AP106">
        <v>0.2</v>
      </c>
      <c r="AQ106">
        <v>0.01</v>
      </c>
      <c r="AR106">
        <v>11</v>
      </c>
      <c r="AS106">
        <v>11</v>
      </c>
      <c r="AT106">
        <v>270</v>
      </c>
      <c r="AU106" s="32">
        <f t="shared" si="89"/>
        <v>0.1036999103827935</v>
      </c>
      <c r="AV106">
        <v>0.5</v>
      </c>
      <c r="AW106" s="32">
        <f t="shared" si="90"/>
        <v>1.9535489472541785E-4</v>
      </c>
      <c r="AX106">
        <v>290</v>
      </c>
      <c r="AY106" s="32">
        <f t="shared" si="91"/>
        <v>0.11472167278892344</v>
      </c>
      <c r="AZ106">
        <v>110</v>
      </c>
      <c r="BA106" s="32">
        <f t="shared" si="92"/>
        <v>4.3515117264764057E-2</v>
      </c>
      <c r="BB106">
        <v>100</v>
      </c>
      <c r="BC106" s="32">
        <f t="shared" si="93"/>
        <v>3.9559197513421872E-2</v>
      </c>
      <c r="BD106">
        <v>210</v>
      </c>
      <c r="BF106" s="48">
        <v>773.5</v>
      </c>
      <c r="BG106" s="48">
        <f t="shared" si="94"/>
        <v>0.21861693806644233</v>
      </c>
      <c r="BH106">
        <v>1300</v>
      </c>
      <c r="BI106" s="32">
        <f t="shared" si="95"/>
        <v>0.48685339783100573</v>
      </c>
      <c r="BJ106" s="47">
        <v>980</v>
      </c>
      <c r="BK106" s="27">
        <f t="shared" si="96"/>
        <v>0.36701256144183508</v>
      </c>
      <c r="BL106" s="47">
        <v>0.31</v>
      </c>
      <c r="BM106" s="27">
        <f t="shared" si="97"/>
        <v>1.1406794138905315E-4</v>
      </c>
      <c r="BN106" s="47">
        <v>0.79</v>
      </c>
      <c r="BO106" s="27">
        <f t="shared" si="98"/>
        <v>2.9712729394980872E-4</v>
      </c>
      <c r="BP106" s="47">
        <v>0.28999999999999998</v>
      </c>
      <c r="BQ106" s="27">
        <f t="shared" si="99"/>
        <v>1.0816989531945613E-4</v>
      </c>
      <c r="BR106" s="47">
        <v>0.18</v>
      </c>
      <c r="BS106" s="27">
        <f t="shared" si="100"/>
        <v>6.6655445211243893E-5</v>
      </c>
      <c r="BT106" s="47">
        <v>0.03</v>
      </c>
      <c r="BU106" s="27">
        <f t="shared" si="101"/>
        <v>1.110924086854065E-5</v>
      </c>
      <c r="BV106" s="47">
        <v>0.01</v>
      </c>
      <c r="BW106" s="27">
        <f t="shared" si="102"/>
        <v>3.6588380716934487E-6</v>
      </c>
      <c r="BX106" s="47">
        <v>2E-3</v>
      </c>
      <c r="BY106" s="27">
        <f t="shared" si="103"/>
        <v>7.3176761433868969E-7</v>
      </c>
      <c r="BZ106" s="51">
        <f t="shared" si="104"/>
        <v>981.61199999999974</v>
      </c>
      <c r="CA106" s="51">
        <f t="shared" si="105"/>
        <v>1.6120000000000001</v>
      </c>
      <c r="CB106" s="27">
        <f t="shared" si="106"/>
        <v>0.36761408186425926</v>
      </c>
      <c r="CC106" s="27">
        <f t="shared" si="107"/>
        <v>6.0152042242413465E-4</v>
      </c>
      <c r="CD106">
        <v>2000</v>
      </c>
      <c r="CE106">
        <v>25</v>
      </c>
      <c r="CF106" t="s">
        <v>19</v>
      </c>
      <c r="CG106">
        <v>2000</v>
      </c>
      <c r="CH106" s="32">
        <v>8.6999999999999993</v>
      </c>
      <c r="CI106" s="32">
        <f t="shared" si="108"/>
        <v>0.15577439570277526</v>
      </c>
      <c r="CJ106" s="32">
        <f t="shared" si="109"/>
        <v>0.15577439570277526</v>
      </c>
      <c r="CK106" s="32">
        <v>1.2</v>
      </c>
      <c r="CL106" s="32">
        <f t="shared" si="110"/>
        <v>2.1845985800109231E-2</v>
      </c>
      <c r="CM106" s="32">
        <f t="shared" si="111"/>
        <v>4.3691971600218461E-2</v>
      </c>
      <c r="CN106" s="27">
        <v>23</v>
      </c>
      <c r="CO106" s="27">
        <f t="shared" si="112"/>
        <v>0.23943368727878409</v>
      </c>
      <c r="CP106" s="27">
        <f t="shared" si="113"/>
        <v>1.9154694982302727</v>
      </c>
      <c r="CQ106" s="57">
        <v>64</v>
      </c>
      <c r="CR106" s="57">
        <v>73.563218390804593</v>
      </c>
      <c r="CS106" s="57">
        <v>5.3300020820320633</v>
      </c>
      <c r="CT106" s="57">
        <f t="shared" si="114"/>
        <v>5.3300020820320633</v>
      </c>
      <c r="CU106" s="28">
        <v>-8</v>
      </c>
      <c r="CV106" s="28">
        <v>-53.333333333333336</v>
      </c>
      <c r="CW106" s="28">
        <v>-0.66625026025400791</v>
      </c>
      <c r="CX106" s="28">
        <f t="shared" si="115"/>
        <v>0</v>
      </c>
      <c r="CY106" s="32">
        <f t="shared" si="116"/>
        <v>37.2034145325838</v>
      </c>
      <c r="CZ106" s="32">
        <f t="shared" si="117"/>
        <v>37.2034145325838</v>
      </c>
      <c r="DA106" s="32">
        <f t="shared" si="118"/>
        <v>45.903414532583795</v>
      </c>
      <c r="DB106" s="32">
        <f t="shared" si="119"/>
        <v>0.821905363161751</v>
      </c>
      <c r="DC106" s="32">
        <f t="shared" si="120"/>
        <v>0.821905363161751</v>
      </c>
      <c r="DD106" s="59">
        <f t="shared" si="121"/>
        <v>-4.650426816572975</v>
      </c>
      <c r="DE106" s="59">
        <f t="shared" si="122"/>
        <v>0</v>
      </c>
      <c r="DF106" s="59">
        <f t="shared" si="123"/>
        <v>8.6999999999999993</v>
      </c>
      <c r="DG106" s="59">
        <f t="shared" si="124"/>
        <v>0.15577439570277526</v>
      </c>
      <c r="DH106" s="59">
        <f t="shared" si="125"/>
        <v>0.15577439570277526</v>
      </c>
      <c r="DI106" s="32">
        <f t="shared" si="126"/>
        <v>1.9154694982302727</v>
      </c>
      <c r="DJ106" s="32">
        <f t="shared" si="127"/>
        <v>9.8999999999999986</v>
      </c>
      <c r="DK106" s="32">
        <f t="shared" si="128"/>
        <v>0.19946636730299372</v>
      </c>
      <c r="DL106">
        <f t="shared" si="129"/>
        <v>6.1955994167940327</v>
      </c>
      <c r="DM106">
        <f t="shared" ref="DM106:DM137" si="134">$CM106/$DL106</f>
        <v>7.052097571348029E-3</v>
      </c>
      <c r="DN106">
        <f t="shared" ref="DN106:DN137" si="135">$DC106/$DL106</f>
        <v>0.1326595391131748</v>
      </c>
      <c r="DO106">
        <f t="shared" ref="DO106:DO137" si="136">$CT106/$DL106</f>
        <v>0.8602883633154772</v>
      </c>
      <c r="DP106">
        <f t="shared" si="130"/>
        <v>0.19946636730299372</v>
      </c>
      <c r="DQ106">
        <f t="shared" ref="DQ106:DQ137" si="137">$CM106/$DP106</f>
        <v>0.21904430401466837</v>
      </c>
      <c r="DR106">
        <f t="shared" ref="DR106:DR137" si="138">$DH106/$DP106</f>
        <v>0.78095569598533165</v>
      </c>
      <c r="DS106">
        <f t="shared" ref="DS106:DS137" si="139">$CX106/$DP106</f>
        <v>0</v>
      </c>
      <c r="DT106" s="63">
        <f t="shared" ref="DT106:DT137" si="140">($BG106+$BI106)-$DL106</f>
        <v>-5.490129080896585</v>
      </c>
      <c r="DU106" s="63">
        <f t="shared" ref="DU106:DU137" si="141">($BG106+$BI106)-$DP106</f>
        <v>0.5060039685944544</v>
      </c>
      <c r="DV106" s="63">
        <f t="shared" ref="DV106:DV137" si="142">($BG106+$BI106+$CC106)-$DL106</f>
        <v>-5.4895275604741602</v>
      </c>
      <c r="DW106" s="63">
        <f t="shared" ref="DW106:DW137" si="143">($BG106+$BI106+$CC106)-$DP106</f>
        <v>0.50660548901687852</v>
      </c>
      <c r="DX106" t="str">
        <f t="shared" si="131"/>
        <v>Sufficient Capacity</v>
      </c>
      <c r="DY106" t="str">
        <f t="shared" si="132"/>
        <v>Insufficient Capacity</v>
      </c>
      <c r="DZ106" t="str">
        <f t="shared" si="133"/>
        <v>Sulfate Dominant electron acceptor</v>
      </c>
      <c r="EA106" t="str">
        <f t="shared" ref="EA106:EA137" si="144">IF(COUNT($DQ106:$DS106)=0, "No Data", IF(MAX($DQ106:$DS106)=$DS106, "Sulfate Dominant electron acceptor", IF(MAX($DQ106:$DS106)=$DQ106, "Iron Dominant electron acceptor", "Manganese Dominant electron acceptor")))</f>
        <v>Manganese Dominant electron acceptor</v>
      </c>
      <c r="EB106">
        <v>7.7619960000000002E-3</v>
      </c>
      <c r="EC106">
        <v>1.1184070000000001E-3</v>
      </c>
      <c r="ED106" s="66">
        <v>6.4657020000000003E-6</v>
      </c>
      <c r="EE106">
        <v>1.2420549999999999E-3</v>
      </c>
      <c r="EF106">
        <v>6.9261590000000003E-3</v>
      </c>
      <c r="EG106" s="66">
        <v>4.9483279999999996E-6</v>
      </c>
      <c r="EH106">
        <v>8.1310880000000005E-4</v>
      </c>
      <c r="EI106" s="66">
        <v>5.4644620000000003E-5</v>
      </c>
      <c r="EJ106">
        <v>1.027399E-3</v>
      </c>
      <c r="EK106">
        <v>1.5055229999999999E-3</v>
      </c>
      <c r="EL106">
        <v>8.9036940000000004E-4</v>
      </c>
      <c r="EM106">
        <v>6.3602850000000002E-4</v>
      </c>
      <c r="EN106">
        <v>2.2635630000000001E-3</v>
      </c>
      <c r="EO106">
        <v>8.2469770000000002E-4</v>
      </c>
      <c r="EP106">
        <v>3.1644899999999998E-3</v>
      </c>
      <c r="EQ106">
        <v>1.1340289999999999E-3</v>
      </c>
      <c r="ER106">
        <v>6.212848E-4</v>
      </c>
      <c r="ES106">
        <v>1.220446E-3</v>
      </c>
      <c r="ET106">
        <v>7.6755790000000001E-3</v>
      </c>
      <c r="EU106">
        <v>2.1790910000000002E-3</v>
      </c>
      <c r="EV106">
        <v>7.0661839999999997E-3</v>
      </c>
      <c r="EW106">
        <v>9.2105490000000002E-4</v>
      </c>
      <c r="EX106">
        <v>4.1861270000000004E-3</v>
      </c>
      <c r="EY106">
        <v>6.8900300000000001E-3</v>
      </c>
      <c r="EZ106">
        <v>1.8583370000000001E-3</v>
      </c>
      <c r="FA106">
        <v>1.295533E-3</v>
      </c>
      <c r="FB106">
        <v>1.3244299999999999E-3</v>
      </c>
      <c r="FC106">
        <v>1.8029159999999999E-3</v>
      </c>
      <c r="FD106">
        <v>4.5940009999999998E-4</v>
      </c>
      <c r="FE106">
        <v>3.4959419999999998E-2</v>
      </c>
      <c r="FF106">
        <v>1.6023160000000002E-2</v>
      </c>
      <c r="FG106">
        <v>9.5998760000000002E-3</v>
      </c>
      <c r="FH106">
        <v>7.1212360000000004E-4</v>
      </c>
      <c r="FI106">
        <v>1.4420940000000001E-3</v>
      </c>
      <c r="FJ106">
        <v>1.039764E-2</v>
      </c>
      <c r="FK106">
        <v>0.77412522665982997</v>
      </c>
      <c r="FL106">
        <v>0.40916028260901899</v>
      </c>
      <c r="FM106">
        <v>-0.89273289095777097</v>
      </c>
      <c r="FN106">
        <v>1.00729277078043</v>
      </c>
      <c r="FO106">
        <v>-0.37333020997580602</v>
      </c>
      <c r="FP106">
        <v>0.84279864039140895</v>
      </c>
      <c r="FQ106">
        <v>0.73860352670731599</v>
      </c>
      <c r="FR106">
        <v>0.66996555848963701</v>
      </c>
      <c r="FS106">
        <v>0.90562335994944199</v>
      </c>
      <c r="FT106">
        <v>0.107168857421955</v>
      </c>
      <c r="FU106">
        <v>1.0232994364677899E-2</v>
      </c>
      <c r="FV106">
        <v>0.401329738423572</v>
      </c>
      <c r="FW106">
        <v>-6.3418299092879798E-2</v>
      </c>
      <c r="FX106">
        <v>0.44999940224537699</v>
      </c>
      <c r="FY106">
        <v>0.56124164821843903</v>
      </c>
      <c r="FZ106">
        <v>-0.122963135195072</v>
      </c>
      <c r="GA106">
        <v>-0.23984515761191699</v>
      </c>
      <c r="GB106">
        <v>-0.22392828862810199</v>
      </c>
      <c r="GC106">
        <v>0.356982766422625</v>
      </c>
      <c r="GD106">
        <v>-0.17260047569942499</v>
      </c>
      <c r="GE106">
        <v>1.7167532190286199E-2</v>
      </c>
      <c r="GF106">
        <v>0.37752118993283201</v>
      </c>
      <c r="GG106">
        <v>0.314640874166285</v>
      </c>
      <c r="GH106">
        <v>0.29250345908982101</v>
      </c>
      <c r="GI106">
        <v>-3.8415253961592698E-2</v>
      </c>
      <c r="GJ106">
        <v>0.25174153180049202</v>
      </c>
      <c r="GK106">
        <v>0.40468025416701398</v>
      </c>
      <c r="GL106">
        <v>6.9331696162861597E-2</v>
      </c>
      <c r="GM106">
        <v>0.12954326129639501</v>
      </c>
      <c r="GN106">
        <v>-0.107520196166544</v>
      </c>
      <c r="GO106">
        <v>4.28233755843888E-3</v>
      </c>
      <c r="GP106">
        <v>-1.85135970443264E-2</v>
      </c>
      <c r="GR106" s="66"/>
      <c r="GT106" s="66"/>
      <c r="GV106" s="66"/>
      <c r="GW106" s="65"/>
      <c r="GX106" s="65"/>
      <c r="HK106" s="1"/>
      <c r="HL106" s="1"/>
      <c r="HM106" s="65"/>
      <c r="HN106" s="1"/>
      <c r="HO106" s="65"/>
      <c r="HP106" s="65"/>
      <c r="HQ106" s="65"/>
      <c r="HS106" s="65"/>
      <c r="HV106" s="65"/>
      <c r="HW106" s="65"/>
      <c r="HX106" s="65"/>
    </row>
    <row r="107" spans="1:278" ht="15.75" x14ac:dyDescent="0.25">
      <c r="A107" s="6" t="s">
        <v>160</v>
      </c>
      <c r="B107" s="6" t="s">
        <v>160</v>
      </c>
      <c r="C107" s="2" t="s">
        <v>909</v>
      </c>
      <c r="D107" s="2" t="s">
        <v>549</v>
      </c>
      <c r="E107" s="2" t="s">
        <v>549</v>
      </c>
      <c r="F107" s="2">
        <v>106</v>
      </c>
      <c r="G107" s="2" t="s">
        <v>908</v>
      </c>
      <c r="H107" s="10" t="s">
        <v>656</v>
      </c>
      <c r="I107" s="2">
        <v>150</v>
      </c>
      <c r="J107" s="2">
        <v>65</v>
      </c>
      <c r="K107" s="15">
        <v>4</v>
      </c>
      <c r="L107" t="s">
        <v>332</v>
      </c>
      <c r="M107" s="2" t="s">
        <v>1120</v>
      </c>
      <c r="N107" s="2" t="s">
        <v>435</v>
      </c>
      <c r="O107" s="2" t="s">
        <v>673</v>
      </c>
      <c r="P107" s="2" t="s">
        <v>1128</v>
      </c>
      <c r="Q107" s="9" t="s">
        <v>677</v>
      </c>
      <c r="R107" s="2" t="str">
        <f t="shared" si="73"/>
        <v>CW_1_Section_3</v>
      </c>
      <c r="S107" s="2" t="str">
        <f t="shared" si="74"/>
        <v>CW_1_MF10</v>
      </c>
      <c r="T107" s="11" t="s">
        <v>891</v>
      </c>
      <c r="U107" s="1">
        <v>45762</v>
      </c>
      <c r="V107" s="2" t="s">
        <v>660</v>
      </c>
      <c r="W107" s="2" t="s">
        <v>663</v>
      </c>
      <c r="X107" s="2" t="s">
        <v>890</v>
      </c>
      <c r="Y107" s="2" t="str">
        <f t="shared" si="75"/>
        <v>T4_MF10</v>
      </c>
      <c r="Z107" s="2" t="str">
        <f t="shared" si="76"/>
        <v>T4_CW_1_MF10</v>
      </c>
      <c r="AA107" s="2" t="str">
        <f t="shared" si="77"/>
        <v>T4_0.60-0.80</v>
      </c>
      <c r="AB107" s="2">
        <v>245</v>
      </c>
      <c r="AC107" s="2">
        <v>8.0589999999999993</v>
      </c>
      <c r="AD107" s="2">
        <v>-0.02</v>
      </c>
      <c r="AE107" s="2">
        <v>4</v>
      </c>
      <c r="AF107" t="s">
        <v>23</v>
      </c>
      <c r="AG107" t="s">
        <v>1237</v>
      </c>
      <c r="AH107">
        <v>69</v>
      </c>
      <c r="AI107" t="s">
        <v>443</v>
      </c>
      <c r="AJ107">
        <v>0.56999999999999995</v>
      </c>
      <c r="AK107">
        <v>0.22</v>
      </c>
      <c r="AL107">
        <v>14.1</v>
      </c>
      <c r="AM107">
        <v>-148</v>
      </c>
      <c r="AN107">
        <v>7.08</v>
      </c>
      <c r="AO107">
        <v>802</v>
      </c>
      <c r="AP107">
        <v>0.2</v>
      </c>
      <c r="AQ107">
        <v>0.01</v>
      </c>
      <c r="AR107">
        <v>11</v>
      </c>
      <c r="AS107">
        <v>12</v>
      </c>
      <c r="AT107">
        <v>260</v>
      </c>
      <c r="AU107" s="32">
        <f t="shared" si="89"/>
        <v>9.9859172961208553E-2</v>
      </c>
      <c r="AV107">
        <v>1</v>
      </c>
      <c r="AW107" s="32">
        <f t="shared" si="90"/>
        <v>3.9070978945083569E-4</v>
      </c>
      <c r="AX107">
        <v>230</v>
      </c>
      <c r="AY107" s="32">
        <f t="shared" si="91"/>
        <v>9.0986154280870299E-2</v>
      </c>
      <c r="AZ107">
        <v>70</v>
      </c>
      <c r="BA107" s="32">
        <f t="shared" si="92"/>
        <v>2.769143825939531E-2</v>
      </c>
      <c r="BB107">
        <v>62</v>
      </c>
      <c r="BC107" s="32">
        <f t="shared" si="93"/>
        <v>2.4526702458321559E-2</v>
      </c>
      <c r="BD107">
        <v>132</v>
      </c>
      <c r="BF107" s="48">
        <v>629</v>
      </c>
      <c r="BG107" s="48">
        <f t="shared" si="94"/>
        <v>0.19123603703152969</v>
      </c>
      <c r="BH107">
        <v>1800</v>
      </c>
      <c r="BI107" s="32">
        <f t="shared" si="95"/>
        <v>0.6741047046890849</v>
      </c>
      <c r="BJ107" s="47">
        <v>2400</v>
      </c>
      <c r="BK107" s="27">
        <f t="shared" si="96"/>
        <v>0.89880627291877968</v>
      </c>
      <c r="BL107" s="47">
        <v>89</v>
      </c>
      <c r="BM107" s="27">
        <f t="shared" si="97"/>
        <v>3.2748538011695909E-2</v>
      </c>
      <c r="BN107" s="47">
        <v>120</v>
      </c>
      <c r="BO107" s="27">
        <f t="shared" si="98"/>
        <v>4.5133259840477273E-2</v>
      </c>
      <c r="BP107" s="47">
        <v>30</v>
      </c>
      <c r="BQ107" s="27">
        <f t="shared" si="99"/>
        <v>1.1189989170978222E-2</v>
      </c>
      <c r="BR107" s="47">
        <v>0.72</v>
      </c>
      <c r="BS107" s="27">
        <f t="shared" si="100"/>
        <v>2.6662178084497557E-4</v>
      </c>
      <c r="BT107" s="47">
        <v>0.52</v>
      </c>
      <c r="BU107" s="27">
        <f t="shared" si="101"/>
        <v>1.925601750547046E-4</v>
      </c>
      <c r="BV107" s="47">
        <v>0.03</v>
      </c>
      <c r="BW107" s="27">
        <f t="shared" si="102"/>
        <v>1.0976514215080345E-5</v>
      </c>
      <c r="BX107" s="47">
        <v>2E-3</v>
      </c>
      <c r="BY107" s="27">
        <f t="shared" si="103"/>
        <v>7.3176761433868969E-7</v>
      </c>
      <c r="BZ107" s="51">
        <f t="shared" si="104"/>
        <v>2640.2719999999999</v>
      </c>
      <c r="CA107" s="51">
        <f t="shared" si="105"/>
        <v>240.27200000000002</v>
      </c>
      <c r="CB107" s="27">
        <f t="shared" si="106"/>
        <v>0.98834895017966029</v>
      </c>
      <c r="CC107" s="27">
        <f t="shared" si="107"/>
        <v>8.9542677260880513E-2</v>
      </c>
      <c r="CD107">
        <v>4200</v>
      </c>
      <c r="CE107">
        <v>1300</v>
      </c>
      <c r="CF107" t="s">
        <v>19</v>
      </c>
      <c r="CG107">
        <v>5500</v>
      </c>
      <c r="CH107" s="32">
        <v>0.8</v>
      </c>
      <c r="CI107" s="32">
        <f t="shared" si="108"/>
        <v>1.432408236347359E-2</v>
      </c>
      <c r="CJ107" s="32">
        <f t="shared" si="109"/>
        <v>1.432408236347359E-2</v>
      </c>
      <c r="CK107" s="32">
        <v>1.1000000000000001</v>
      </c>
      <c r="CL107" s="32">
        <f t="shared" si="110"/>
        <v>2.0025486983433462E-2</v>
      </c>
      <c r="CM107" s="32">
        <f t="shared" si="111"/>
        <v>4.0050973966866923E-2</v>
      </c>
      <c r="CN107" s="27">
        <v>61</v>
      </c>
      <c r="CO107" s="27">
        <f t="shared" si="112"/>
        <v>0.6350197793046013</v>
      </c>
      <c r="CP107" s="27">
        <f t="shared" si="113"/>
        <v>5.0801582344368104</v>
      </c>
      <c r="CQ107" s="57">
        <v>26</v>
      </c>
      <c r="CR107" s="57">
        <v>29.885057471264371</v>
      </c>
      <c r="CS107" s="57">
        <v>2.1653133458255258</v>
      </c>
      <c r="CT107" s="57">
        <f t="shared" si="114"/>
        <v>2.1653133458255258</v>
      </c>
      <c r="CU107" s="28">
        <v>-3</v>
      </c>
      <c r="CV107" s="28">
        <v>-5.1724137931034484</v>
      </c>
      <c r="CW107" s="28">
        <v>-0.24984384759525297</v>
      </c>
      <c r="CX107" s="28">
        <f t="shared" si="115"/>
        <v>0</v>
      </c>
      <c r="CY107" s="32">
        <f t="shared" si="116"/>
        <v>15.113887153862169</v>
      </c>
      <c r="CZ107" s="32">
        <f t="shared" si="117"/>
        <v>15.113887153862169</v>
      </c>
      <c r="DA107" s="32">
        <f t="shared" si="118"/>
        <v>15.91388715386217</v>
      </c>
      <c r="DB107" s="32">
        <f t="shared" si="119"/>
        <v>0.28493978789368252</v>
      </c>
      <c r="DC107" s="32">
        <f t="shared" si="120"/>
        <v>0.28493978789368252</v>
      </c>
      <c r="DD107" s="59">
        <f t="shared" si="121"/>
        <v>-1.7439100562148657</v>
      </c>
      <c r="DE107" s="59">
        <f t="shared" si="122"/>
        <v>0</v>
      </c>
      <c r="DF107" s="59">
        <f t="shared" si="123"/>
        <v>0.8</v>
      </c>
      <c r="DG107" s="59">
        <f t="shared" si="124"/>
        <v>1.432408236347359E-2</v>
      </c>
      <c r="DH107" s="59">
        <f t="shared" si="125"/>
        <v>1.432408236347359E-2</v>
      </c>
      <c r="DI107" s="32">
        <f t="shared" si="126"/>
        <v>5.0801582344368104</v>
      </c>
      <c r="DJ107" s="32">
        <f t="shared" si="127"/>
        <v>1.9000000000000001</v>
      </c>
      <c r="DK107" s="32">
        <f t="shared" si="128"/>
        <v>5.437505633034051E-2</v>
      </c>
      <c r="DL107">
        <f t="shared" si="129"/>
        <v>2.4903041076860752</v>
      </c>
      <c r="DM107">
        <f t="shared" si="134"/>
        <v>1.6082764287001571E-2</v>
      </c>
      <c r="DN107">
        <f t="shared" si="135"/>
        <v>0.11441967549836354</v>
      </c>
      <c r="DO107">
        <f t="shared" si="136"/>
        <v>0.86949756021463487</v>
      </c>
      <c r="DP107">
        <f t="shared" si="130"/>
        <v>5.437505633034051E-2</v>
      </c>
      <c r="DQ107">
        <f t="shared" si="137"/>
        <v>0.73656887311616537</v>
      </c>
      <c r="DR107">
        <f t="shared" si="138"/>
        <v>0.26343112688383469</v>
      </c>
      <c r="DS107">
        <f t="shared" si="139"/>
        <v>0</v>
      </c>
      <c r="DT107" s="63">
        <f t="shared" si="140"/>
        <v>-1.6249633659654608</v>
      </c>
      <c r="DU107" s="63">
        <f t="shared" si="141"/>
        <v>0.81096568539027403</v>
      </c>
      <c r="DV107" s="63">
        <f t="shared" si="142"/>
        <v>-1.5354206887045803</v>
      </c>
      <c r="DW107" s="63">
        <f t="shared" si="143"/>
        <v>0.90050836265115453</v>
      </c>
      <c r="DX107" t="str">
        <f t="shared" si="131"/>
        <v>Sufficient Capacity</v>
      </c>
      <c r="DY107" t="str">
        <f t="shared" si="132"/>
        <v>Insufficient Capacity</v>
      </c>
      <c r="DZ107" t="str">
        <f t="shared" si="133"/>
        <v>Sulfate Dominant electron acceptor</v>
      </c>
      <c r="EA107" t="str">
        <f t="shared" si="144"/>
        <v>Iron Dominant electron acceptor</v>
      </c>
      <c r="EB107">
        <v>8.3927570000000007E-3</v>
      </c>
      <c r="EC107">
        <v>1.4474589999999999E-3</v>
      </c>
      <c r="ED107" s="66">
        <v>5.2075389999999999E-5</v>
      </c>
      <c r="EE107">
        <v>1.071158E-3</v>
      </c>
      <c r="EF107">
        <v>7.2535960000000002E-3</v>
      </c>
      <c r="EG107" s="66">
        <v>1.473003E-5</v>
      </c>
      <c r="EH107">
        <v>5.7157710000000001E-4</v>
      </c>
      <c r="EI107" s="66">
        <v>8.5721020000000003E-5</v>
      </c>
      <c r="EJ107">
        <v>9.7667580000000004E-4</v>
      </c>
      <c r="EK107">
        <v>1.446831E-3</v>
      </c>
      <c r="EL107">
        <v>8.7193239999999999E-4</v>
      </c>
      <c r="EM107">
        <v>7.1054169999999999E-4</v>
      </c>
      <c r="EN107">
        <v>2.2835289999999999E-3</v>
      </c>
      <c r="EO107">
        <v>1.030031E-3</v>
      </c>
      <c r="EP107">
        <v>2.8584359999999998E-3</v>
      </c>
      <c r="EQ107">
        <v>1.0163489999999999E-3</v>
      </c>
      <c r="ER107">
        <v>7.020161E-4</v>
      </c>
      <c r="ES107">
        <v>1.05551E-3</v>
      </c>
      <c r="ET107">
        <v>6.7221169999999997E-3</v>
      </c>
      <c r="EU107">
        <v>2.3451380000000001E-3</v>
      </c>
      <c r="EV107">
        <v>8.1963959999999999E-3</v>
      </c>
      <c r="EW107">
        <v>7.0443869999999996E-4</v>
      </c>
      <c r="EX107">
        <v>4.7111210000000004E-3</v>
      </c>
      <c r="EY107">
        <v>6.6327060000000004E-3</v>
      </c>
      <c r="EZ107">
        <v>1.877814E-3</v>
      </c>
      <c r="FA107">
        <v>1.31036E-3</v>
      </c>
      <c r="FB107">
        <v>1.3330970000000001E-3</v>
      </c>
      <c r="FC107">
        <v>2.0890819999999999E-3</v>
      </c>
      <c r="FD107">
        <v>4.8307299999999999E-4</v>
      </c>
      <c r="FE107">
        <v>2.6523080000000001E-2</v>
      </c>
      <c r="FF107">
        <v>1.399361E-2</v>
      </c>
      <c r="FG107">
        <v>8.1195220000000005E-3</v>
      </c>
      <c r="FH107">
        <v>8.2955979999999995E-4</v>
      </c>
      <c r="FI107">
        <v>1.6574630000000001E-3</v>
      </c>
      <c r="FJ107">
        <v>1.0181539999999999E-2</v>
      </c>
      <c r="FK107">
        <v>0.62609826697688298</v>
      </c>
      <c r="FL107">
        <v>0.45535222581781598</v>
      </c>
      <c r="FM107">
        <v>0.19810563443151399</v>
      </c>
      <c r="FN107">
        <v>0.654827227120237</v>
      </c>
      <c r="FO107">
        <v>7.6917094636698394E-2</v>
      </c>
      <c r="FP107">
        <v>0.79216776052456706</v>
      </c>
      <c r="FQ107">
        <v>0.69883882803074204</v>
      </c>
      <c r="FR107">
        <v>0.649041023663807</v>
      </c>
      <c r="FS107">
        <v>1.0164076231701</v>
      </c>
      <c r="FT107">
        <v>0.11595079027863101</v>
      </c>
      <c r="FU107">
        <v>0.23256027728033901</v>
      </c>
      <c r="FV107">
        <v>0.29961245535841402</v>
      </c>
      <c r="FW107">
        <v>-0.172978283154364</v>
      </c>
      <c r="FX107">
        <v>0.57216614854255698</v>
      </c>
      <c r="FY107">
        <v>0.41604934495280199</v>
      </c>
      <c r="FZ107">
        <v>-0.25560373087680599</v>
      </c>
      <c r="GA107">
        <v>-0.16640872619785099</v>
      </c>
      <c r="GB107">
        <v>-7.5554331957195395E-2</v>
      </c>
      <c r="GC107">
        <v>8.8864438311021296E-2</v>
      </c>
      <c r="GD107">
        <v>-5.4450554532905898E-2</v>
      </c>
      <c r="GE107">
        <v>-2.08950412365114E-2</v>
      </c>
      <c r="GF107">
        <v>0.38794752251012399</v>
      </c>
      <c r="GG107">
        <v>0.32602058930049999</v>
      </c>
      <c r="GH107">
        <v>0.29902608762971999</v>
      </c>
      <c r="GI107">
        <v>0.10890412695608399</v>
      </c>
      <c r="GJ107">
        <v>0.30198780481891202</v>
      </c>
      <c r="GK107">
        <v>0.12850759124359201</v>
      </c>
      <c r="GL107">
        <v>-6.6102682610056404E-2</v>
      </c>
      <c r="GM107">
        <v>-3.7935634981525197E-2</v>
      </c>
      <c r="GN107">
        <v>4.5123510635300498E-2</v>
      </c>
      <c r="GO107">
        <v>0.143474233633793</v>
      </c>
      <c r="GP107">
        <v>-3.9516177668877703E-2</v>
      </c>
      <c r="GT107" s="66"/>
      <c r="GV107" s="66"/>
      <c r="GW107" s="65"/>
      <c r="GX107" s="65"/>
      <c r="HK107" s="1"/>
      <c r="HL107" s="1"/>
      <c r="HM107" s="65"/>
      <c r="HN107" s="1"/>
      <c r="HO107" s="65"/>
      <c r="HP107" s="65"/>
      <c r="HQ107" s="65"/>
      <c r="HS107" s="65"/>
      <c r="HV107" s="65"/>
      <c r="HW107" s="65"/>
      <c r="HX107" s="65"/>
    </row>
    <row r="108" spans="1:278" ht="15.75" x14ac:dyDescent="0.25">
      <c r="A108" s="6" t="s">
        <v>161</v>
      </c>
      <c r="B108" s="6" t="s">
        <v>161</v>
      </c>
      <c r="C108" s="2" t="s">
        <v>911</v>
      </c>
      <c r="D108" s="2" t="s">
        <v>550</v>
      </c>
      <c r="E108" s="2" t="s">
        <v>550</v>
      </c>
      <c r="F108" s="2">
        <v>107</v>
      </c>
      <c r="G108" s="2" t="s">
        <v>910</v>
      </c>
      <c r="H108" s="10" t="s">
        <v>656</v>
      </c>
      <c r="I108" s="2">
        <v>150</v>
      </c>
      <c r="J108" s="2">
        <v>65</v>
      </c>
      <c r="K108" s="15">
        <v>5.2</v>
      </c>
      <c r="L108" t="s">
        <v>335</v>
      </c>
      <c r="M108" s="2" t="s">
        <v>1120</v>
      </c>
      <c r="N108" s="2" t="s">
        <v>436</v>
      </c>
      <c r="O108" s="2" t="s">
        <v>653</v>
      </c>
      <c r="P108" s="2" t="s">
        <v>1123</v>
      </c>
      <c r="Q108" s="9" t="s">
        <v>713</v>
      </c>
      <c r="R108" s="2" t="str">
        <f t="shared" si="73"/>
        <v>CW_2_Section_1</v>
      </c>
      <c r="S108" s="2" t="str">
        <f t="shared" si="74"/>
        <v>CW_2_MF01</v>
      </c>
      <c r="T108" s="11" t="s">
        <v>891</v>
      </c>
      <c r="U108" s="1">
        <v>45762</v>
      </c>
      <c r="V108" s="2" t="s">
        <v>660</v>
      </c>
      <c r="W108" s="2" t="s">
        <v>655</v>
      </c>
      <c r="X108" s="2" t="s">
        <v>890</v>
      </c>
      <c r="Y108" s="2" t="str">
        <f t="shared" si="75"/>
        <v>T4_MF01</v>
      </c>
      <c r="Z108" s="2" t="str">
        <f t="shared" si="76"/>
        <v>T4_CW_2_MF01</v>
      </c>
      <c r="AA108" s="2" t="str">
        <f t="shared" si="77"/>
        <v>T4_0.15-0.30</v>
      </c>
      <c r="AB108" s="2">
        <v>245</v>
      </c>
      <c r="AC108" s="2">
        <v>8.0589999999999993</v>
      </c>
      <c r="AD108" s="2">
        <v>-0.02</v>
      </c>
      <c r="AE108" s="2">
        <v>4</v>
      </c>
      <c r="AF108" t="s">
        <v>41</v>
      </c>
      <c r="AG108" s="2" t="s">
        <v>1238</v>
      </c>
      <c r="AH108">
        <v>67</v>
      </c>
      <c r="AI108" t="s">
        <v>443</v>
      </c>
      <c r="AJ108">
        <v>0.89</v>
      </c>
      <c r="AK108">
        <v>4.4400000000000004</v>
      </c>
      <c r="AL108">
        <v>14.1</v>
      </c>
      <c r="AM108">
        <v>-65</v>
      </c>
      <c r="AN108">
        <v>7.18</v>
      </c>
      <c r="AO108">
        <v>708</v>
      </c>
      <c r="AP108">
        <v>0.2</v>
      </c>
      <c r="AQ108">
        <v>0.01</v>
      </c>
      <c r="AR108">
        <v>11</v>
      </c>
      <c r="AS108">
        <v>11</v>
      </c>
      <c r="AT108">
        <v>390</v>
      </c>
      <c r="AU108" s="32">
        <f t="shared" si="89"/>
        <v>0.14978875944181283</v>
      </c>
      <c r="AV108">
        <v>2</v>
      </c>
      <c r="AW108" s="32">
        <f t="shared" si="90"/>
        <v>7.8141957890167139E-4</v>
      </c>
      <c r="AX108">
        <v>240</v>
      </c>
      <c r="AY108" s="32">
        <f t="shared" si="91"/>
        <v>9.4942074032212498E-2</v>
      </c>
      <c r="AZ108">
        <v>62</v>
      </c>
      <c r="BA108" s="32">
        <f t="shared" si="92"/>
        <v>2.4526702458321559E-2</v>
      </c>
      <c r="BB108">
        <v>68</v>
      </c>
      <c r="BC108" s="32">
        <f t="shared" si="93"/>
        <v>2.6900254309126872E-2</v>
      </c>
      <c r="BD108">
        <v>130</v>
      </c>
      <c r="BF108" s="48">
        <v>774</v>
      </c>
      <c r="BG108" s="48">
        <f t="shared" si="94"/>
        <v>0.24551225305292701</v>
      </c>
      <c r="BH108">
        <v>2800</v>
      </c>
      <c r="BI108" s="32">
        <f t="shared" si="95"/>
        <v>1.0486073184052431</v>
      </c>
      <c r="BJ108" s="47">
        <v>600</v>
      </c>
      <c r="BK108" s="27">
        <f t="shared" si="96"/>
        <v>0.22470156822969492</v>
      </c>
      <c r="BL108" s="47">
        <v>4</v>
      </c>
      <c r="BM108" s="27">
        <f t="shared" si="97"/>
        <v>1.4718444050200407E-3</v>
      </c>
      <c r="BN108" s="47">
        <v>5</v>
      </c>
      <c r="BO108" s="27">
        <f t="shared" si="98"/>
        <v>1.8805524933532196E-3</v>
      </c>
      <c r="BP108" s="47">
        <v>7.0000000000000007E-2</v>
      </c>
      <c r="BQ108" s="27">
        <f t="shared" si="99"/>
        <v>2.6109974732282519E-5</v>
      </c>
      <c r="BR108" s="47">
        <v>0.05</v>
      </c>
      <c r="BS108" s="27">
        <f t="shared" si="100"/>
        <v>1.8515401447567749E-5</v>
      </c>
      <c r="BT108" s="47">
        <v>0.01</v>
      </c>
      <c r="BU108" s="27">
        <f t="shared" si="101"/>
        <v>3.7030802895135499E-6</v>
      </c>
      <c r="BV108" s="47">
        <v>1E-3</v>
      </c>
      <c r="BW108" s="27">
        <f t="shared" si="102"/>
        <v>3.6588380716934485E-7</v>
      </c>
      <c r="BX108" s="47">
        <v>2E-3</v>
      </c>
      <c r="BY108" s="27">
        <f t="shared" si="103"/>
        <v>7.3176761433868969E-7</v>
      </c>
      <c r="BZ108" s="51">
        <f t="shared" si="104"/>
        <v>609.13299999999992</v>
      </c>
      <c r="CA108" s="51">
        <f t="shared" si="105"/>
        <v>9.1330000000000009</v>
      </c>
      <c r="CB108" s="27">
        <f t="shared" si="106"/>
        <v>0.22810339123595907</v>
      </c>
      <c r="CC108" s="27">
        <f t="shared" si="107"/>
        <v>3.401823006264132E-3</v>
      </c>
      <c r="CD108">
        <v>5300</v>
      </c>
      <c r="CE108">
        <v>570</v>
      </c>
      <c r="CF108" t="s">
        <v>19</v>
      </c>
      <c r="CG108">
        <v>5900</v>
      </c>
      <c r="CH108" s="32">
        <v>3.3</v>
      </c>
      <c r="CI108" s="32">
        <f t="shared" si="108"/>
        <v>5.9086839749328553E-2</v>
      </c>
      <c r="CJ108" s="32">
        <f t="shared" si="109"/>
        <v>5.9086839749328553E-2</v>
      </c>
      <c r="CK108" s="32">
        <v>1.2</v>
      </c>
      <c r="CL108" s="32">
        <f t="shared" si="110"/>
        <v>2.1845985800109231E-2</v>
      </c>
      <c r="CM108" s="32">
        <f t="shared" si="111"/>
        <v>4.3691971600218461E-2</v>
      </c>
      <c r="CN108" s="27">
        <v>54</v>
      </c>
      <c r="CO108" s="27">
        <f t="shared" si="112"/>
        <v>0.56214865708931916</v>
      </c>
      <c r="CP108" s="27">
        <f t="shared" si="113"/>
        <v>4.4971892567145533</v>
      </c>
      <c r="CQ108" s="57">
        <v>33</v>
      </c>
      <c r="CR108" s="57">
        <v>37.931034482758619</v>
      </c>
      <c r="CS108" s="57">
        <v>2.7482823235477825</v>
      </c>
      <c r="CT108" s="57">
        <f t="shared" si="114"/>
        <v>2.7482823235477825</v>
      </c>
      <c r="CU108" s="28">
        <v>33</v>
      </c>
      <c r="CV108" s="28">
        <v>37.931034482758619</v>
      </c>
      <c r="CW108" s="28">
        <v>2.7482823235477825</v>
      </c>
      <c r="CX108" s="28">
        <f t="shared" si="115"/>
        <v>2.7482823235477825</v>
      </c>
      <c r="CY108" s="32">
        <f t="shared" si="116"/>
        <v>19.183010618363522</v>
      </c>
      <c r="CZ108" s="32">
        <f t="shared" si="117"/>
        <v>19.183010618363522</v>
      </c>
      <c r="DA108" s="32">
        <f t="shared" si="118"/>
        <v>22.483010618363522</v>
      </c>
      <c r="DB108" s="32">
        <f t="shared" si="119"/>
        <v>0.40256061984536295</v>
      </c>
      <c r="DC108" s="32">
        <f t="shared" si="120"/>
        <v>0.40256061984536295</v>
      </c>
      <c r="DD108" s="59">
        <f t="shared" si="121"/>
        <v>19.183010618363522</v>
      </c>
      <c r="DE108" s="59">
        <f t="shared" si="122"/>
        <v>19.183010618363522</v>
      </c>
      <c r="DF108" s="59">
        <f t="shared" si="123"/>
        <v>22.483010618363522</v>
      </c>
      <c r="DG108" s="59">
        <f t="shared" si="124"/>
        <v>0.40256061984536295</v>
      </c>
      <c r="DH108" s="59">
        <f t="shared" si="125"/>
        <v>0.40256061984536295</v>
      </c>
      <c r="DI108" s="32">
        <f t="shared" si="126"/>
        <v>4.4971892567145533</v>
      </c>
      <c r="DJ108" s="32">
        <f t="shared" si="127"/>
        <v>23.683010618363522</v>
      </c>
      <c r="DK108" s="32">
        <f t="shared" si="128"/>
        <v>0.44625259144558144</v>
      </c>
      <c r="DL108">
        <f t="shared" si="129"/>
        <v>3.1945349149933637</v>
      </c>
      <c r="DM108">
        <f t="shared" si="134"/>
        <v>1.3677099409730267E-2</v>
      </c>
      <c r="DN108">
        <f t="shared" si="135"/>
        <v>0.12601540773774866</v>
      </c>
      <c r="DO108">
        <f t="shared" si="136"/>
        <v>0.86030749285252117</v>
      </c>
      <c r="DP108">
        <f t="shared" si="130"/>
        <v>3.1945349149933637</v>
      </c>
      <c r="DQ108">
        <f t="shared" si="137"/>
        <v>1.3677099409730267E-2</v>
      </c>
      <c r="DR108">
        <f t="shared" si="138"/>
        <v>0.12601540773774866</v>
      </c>
      <c r="DS108">
        <f t="shared" si="139"/>
        <v>0.86030749285252117</v>
      </c>
      <c r="DT108" s="63">
        <f t="shared" si="140"/>
        <v>-1.9004153435351936</v>
      </c>
      <c r="DU108" s="63">
        <f t="shared" si="141"/>
        <v>-1.9004153435351936</v>
      </c>
      <c r="DV108" s="63">
        <f t="shared" si="142"/>
        <v>-1.8970135205289294</v>
      </c>
      <c r="DW108" s="63">
        <f t="shared" si="143"/>
        <v>-1.8970135205289294</v>
      </c>
      <c r="DX108" t="str">
        <f t="shared" si="131"/>
        <v>Sufficient Capacity</v>
      </c>
      <c r="DY108" t="str">
        <f t="shared" si="132"/>
        <v>Sufficient Capacity</v>
      </c>
      <c r="DZ108" t="str">
        <f t="shared" si="133"/>
        <v>Sulfate Dominant electron acceptor</v>
      </c>
      <c r="EA108" t="str">
        <f t="shared" si="144"/>
        <v>Sulfate Dominant electron acceptor</v>
      </c>
      <c r="EB108">
        <v>8.1808360000000004E-3</v>
      </c>
      <c r="EC108">
        <v>1.3957329999999999E-3</v>
      </c>
      <c r="ED108" s="66">
        <v>1.238135E-5</v>
      </c>
      <c r="EE108">
        <v>1.019458E-3</v>
      </c>
      <c r="EF108">
        <v>7.8569920000000001E-3</v>
      </c>
      <c r="EG108" s="66">
        <v>1.221922E-5</v>
      </c>
      <c r="EH108">
        <v>4.924463E-4</v>
      </c>
      <c r="EI108">
        <v>1.5017120000000001E-4</v>
      </c>
      <c r="EJ108">
        <v>7.9632200000000002E-4</v>
      </c>
      <c r="EK108">
        <v>1.1263219999999999E-3</v>
      </c>
      <c r="EL108">
        <v>7.1339120000000003E-4</v>
      </c>
      <c r="EM108">
        <v>6.5493850000000004E-4</v>
      </c>
      <c r="EN108">
        <v>2.2293450000000002E-3</v>
      </c>
      <c r="EO108">
        <v>1.088414E-3</v>
      </c>
      <c r="EP108">
        <v>3.0041410000000001E-3</v>
      </c>
      <c r="EQ108">
        <v>9.9964869999999992E-4</v>
      </c>
      <c r="ER108">
        <v>7.5892899999999998E-4</v>
      </c>
      <c r="ES108">
        <v>1.069022E-3</v>
      </c>
      <c r="ET108">
        <v>7.4422539999999997E-3</v>
      </c>
      <c r="EU108">
        <v>2.4597899999999999E-3</v>
      </c>
      <c r="EV108">
        <v>8.5552270000000003E-3</v>
      </c>
      <c r="EW108">
        <v>8.2236069999999997E-4</v>
      </c>
      <c r="EX108">
        <v>4.7798750000000003E-3</v>
      </c>
      <c r="EY108">
        <v>6.3082820000000001E-3</v>
      </c>
      <c r="EZ108">
        <v>2.1062519999999999E-3</v>
      </c>
      <c r="FA108">
        <v>1.2565199999999999E-3</v>
      </c>
      <c r="FB108">
        <v>1.328734E-3</v>
      </c>
      <c r="FC108">
        <v>2.0650170000000002E-3</v>
      </c>
      <c r="FD108">
        <v>5.8033E-4</v>
      </c>
      <c r="FE108">
        <v>2.5341430000000002E-2</v>
      </c>
      <c r="FF108">
        <v>1.3015519999999999E-2</v>
      </c>
      <c r="FG108">
        <v>7.5925139999999999E-3</v>
      </c>
      <c r="FH108">
        <v>8.5395809999999996E-4</v>
      </c>
      <c r="FI108">
        <v>1.6797750000000001E-3</v>
      </c>
      <c r="FJ108">
        <v>1.042883E-2</v>
      </c>
      <c r="FK108">
        <v>0.57662907423391097</v>
      </c>
      <c r="FL108">
        <v>0.53525871591140906</v>
      </c>
      <c r="FM108">
        <v>1.1227489218177801E-2</v>
      </c>
      <c r="FN108">
        <v>0.50581326398251603</v>
      </c>
      <c r="FO108">
        <v>0.63759500149925696</v>
      </c>
      <c r="FP108">
        <v>0.58801662234968799</v>
      </c>
      <c r="FQ108">
        <v>0.44842063743271099</v>
      </c>
      <c r="FR108">
        <v>0.44835906324861002</v>
      </c>
      <c r="FS108">
        <v>0.93492132438980802</v>
      </c>
      <c r="FT108">
        <v>9.1936557267607605E-2</v>
      </c>
      <c r="FU108">
        <v>0.28769296916659698</v>
      </c>
      <c r="FV108">
        <v>0.34932950346936198</v>
      </c>
      <c r="FW108">
        <v>-0.18954643898399201</v>
      </c>
      <c r="FX108">
        <v>0.65011803918988398</v>
      </c>
      <c r="FY108">
        <v>0.42876949432102601</v>
      </c>
      <c r="FZ108">
        <v>-0.153833105610267</v>
      </c>
      <c r="GA108">
        <v>-0.11867699453191299</v>
      </c>
      <c r="GB108">
        <v>-3.2706436235823602E-2</v>
      </c>
      <c r="GC108">
        <v>0.24364222941743699</v>
      </c>
      <c r="GD108">
        <v>-3.9962042955183498E-2</v>
      </c>
      <c r="GE108">
        <v>-7.1044533724349698E-2</v>
      </c>
      <c r="GF108">
        <v>0.50274925283551597</v>
      </c>
      <c r="GG108">
        <v>0.284064675785489</v>
      </c>
      <c r="GH108">
        <v>0.29574789009781299</v>
      </c>
      <c r="GI108">
        <v>9.7317850745461995E-2</v>
      </c>
      <c r="GJ108">
        <v>0.485416931128484</v>
      </c>
      <c r="GK108">
        <v>8.2932899724813297E-2</v>
      </c>
      <c r="GL108">
        <v>-0.138560987910919</v>
      </c>
      <c r="GM108">
        <v>-0.10504415856631601</v>
      </c>
      <c r="GN108">
        <v>7.4110441334898497E-2</v>
      </c>
      <c r="GO108">
        <v>0.156845969454841</v>
      </c>
      <c r="GP108">
        <v>-1.5518368057546399E-2</v>
      </c>
      <c r="GR108" s="66"/>
      <c r="GT108" s="66"/>
      <c r="GV108" s="66"/>
      <c r="GW108" s="65"/>
      <c r="GX108" s="65"/>
      <c r="HK108" s="1"/>
      <c r="HL108" s="1"/>
      <c r="HM108" s="65"/>
      <c r="HN108" s="1"/>
      <c r="HO108" s="65"/>
      <c r="HP108" s="65"/>
      <c r="HQ108" s="65"/>
      <c r="HS108" s="65"/>
      <c r="HT108" s="65"/>
      <c r="HU108" s="65"/>
      <c r="HV108" s="65"/>
      <c r="HW108" s="65"/>
      <c r="HX108" s="65"/>
      <c r="IJ108" s="66"/>
      <c r="IL108" s="66"/>
      <c r="JH108" s="66"/>
      <c r="JJ108" s="66"/>
      <c r="JL108" s="66"/>
      <c r="JN108" s="66"/>
    </row>
    <row r="109" spans="1:278" ht="15.75" x14ac:dyDescent="0.25">
      <c r="A109" s="6" t="s">
        <v>162</v>
      </c>
      <c r="B109" s="6" t="s">
        <v>162</v>
      </c>
      <c r="C109" s="2" t="s">
        <v>913</v>
      </c>
      <c r="D109" s="2" t="s">
        <v>551</v>
      </c>
      <c r="E109" s="2" t="s">
        <v>551</v>
      </c>
      <c r="F109" s="2">
        <v>108</v>
      </c>
      <c r="G109" s="2" t="s">
        <v>912</v>
      </c>
      <c r="H109" s="10" t="s">
        <v>656</v>
      </c>
      <c r="I109" s="2">
        <v>150</v>
      </c>
      <c r="J109" s="2">
        <v>65</v>
      </c>
      <c r="K109" s="15">
        <v>5.75</v>
      </c>
      <c r="L109" t="s">
        <v>336</v>
      </c>
      <c r="M109" s="2" t="s">
        <v>1120</v>
      </c>
      <c r="N109" s="2" t="s">
        <v>436</v>
      </c>
      <c r="O109" s="2" t="s">
        <v>653</v>
      </c>
      <c r="P109" s="2" t="s">
        <v>1124</v>
      </c>
      <c r="Q109" s="9" t="s">
        <v>716</v>
      </c>
      <c r="R109" s="2" t="str">
        <f t="shared" si="73"/>
        <v>CW_2_Section_1</v>
      </c>
      <c r="S109" s="2" t="str">
        <f t="shared" si="74"/>
        <v>CW_2_MF02</v>
      </c>
      <c r="T109" s="11" t="s">
        <v>891</v>
      </c>
      <c r="U109" s="1">
        <v>45762</v>
      </c>
      <c r="V109" s="2" t="s">
        <v>660</v>
      </c>
      <c r="W109" s="2" t="s">
        <v>663</v>
      </c>
      <c r="X109" s="2" t="s">
        <v>890</v>
      </c>
      <c r="Y109" s="2" t="str">
        <f t="shared" si="75"/>
        <v>T4_MF02</v>
      </c>
      <c r="Z109" s="2" t="str">
        <f t="shared" si="76"/>
        <v>T4_CW_2_MF02</v>
      </c>
      <c r="AA109" s="2" t="str">
        <f t="shared" si="77"/>
        <v>T4_0.60-0.80</v>
      </c>
      <c r="AB109" s="2">
        <v>245</v>
      </c>
      <c r="AC109" s="2">
        <v>8.0589999999999993</v>
      </c>
      <c r="AD109" s="2">
        <v>-0.02</v>
      </c>
      <c r="AE109" s="2">
        <v>4</v>
      </c>
      <c r="AF109" t="s">
        <v>43</v>
      </c>
      <c r="AG109" s="2" t="s">
        <v>1238</v>
      </c>
      <c r="AH109">
        <v>66</v>
      </c>
      <c r="AI109" t="s">
        <v>443</v>
      </c>
      <c r="AJ109">
        <v>0.71</v>
      </c>
      <c r="AK109">
        <v>0.41</v>
      </c>
      <c r="AL109">
        <v>14.2</v>
      </c>
      <c r="AM109">
        <v>-85</v>
      </c>
      <c r="AN109">
        <v>7.33</v>
      </c>
      <c r="AO109">
        <v>890</v>
      </c>
      <c r="AP109">
        <v>0.2</v>
      </c>
      <c r="AQ109">
        <v>0.01</v>
      </c>
      <c r="AR109">
        <v>10</v>
      </c>
      <c r="AS109">
        <v>11</v>
      </c>
      <c r="AT109">
        <v>220</v>
      </c>
      <c r="AU109" s="32">
        <f t="shared" si="89"/>
        <v>8.4496223274868776E-2</v>
      </c>
      <c r="AV109">
        <v>13</v>
      </c>
      <c r="AW109" s="32">
        <f t="shared" si="90"/>
        <v>5.0792272628608645E-3</v>
      </c>
      <c r="AX109">
        <v>190</v>
      </c>
      <c r="AY109" s="32">
        <f t="shared" si="91"/>
        <v>7.5162475275501545E-2</v>
      </c>
      <c r="AZ109">
        <v>69</v>
      </c>
      <c r="BA109" s="32">
        <f t="shared" si="92"/>
        <v>2.7295846284261092E-2</v>
      </c>
      <c r="BB109">
        <v>96</v>
      </c>
      <c r="BC109" s="32">
        <f t="shared" si="93"/>
        <v>3.7976829612884996E-2</v>
      </c>
      <c r="BD109">
        <v>165</v>
      </c>
      <c r="BF109" s="48">
        <v>588</v>
      </c>
      <c r="BG109" s="48">
        <f t="shared" si="94"/>
        <v>0.16473792581323118</v>
      </c>
      <c r="BH109">
        <v>1400</v>
      </c>
      <c r="BI109" s="32">
        <f t="shared" si="95"/>
        <v>0.52430365920262156</v>
      </c>
      <c r="BJ109" s="47">
        <v>3800</v>
      </c>
      <c r="BK109" s="27">
        <f t="shared" si="96"/>
        <v>1.4231099321214014</v>
      </c>
      <c r="BL109" s="47">
        <v>130</v>
      </c>
      <c r="BM109" s="27">
        <f t="shared" si="97"/>
        <v>4.7834943163151324E-2</v>
      </c>
      <c r="BN109" s="47">
        <v>140</v>
      </c>
      <c r="BO109" s="27">
        <f t="shared" si="98"/>
        <v>5.2655469813890153E-2</v>
      </c>
      <c r="BP109" s="47">
        <v>65</v>
      </c>
      <c r="BQ109" s="27">
        <f t="shared" si="99"/>
        <v>2.4244976537119479E-2</v>
      </c>
      <c r="BR109" s="47">
        <v>35</v>
      </c>
      <c r="BS109" s="27">
        <f t="shared" si="100"/>
        <v>1.2960781013297425E-2</v>
      </c>
      <c r="BT109" s="47">
        <v>5.3</v>
      </c>
      <c r="BU109" s="27">
        <f t="shared" si="101"/>
        <v>1.9626325534421812E-3</v>
      </c>
      <c r="BV109" s="47">
        <v>1.2</v>
      </c>
      <c r="BW109" s="27">
        <f t="shared" si="102"/>
        <v>4.3906056860321384E-4</v>
      </c>
      <c r="BX109" s="47">
        <v>1</v>
      </c>
      <c r="BY109" s="27">
        <f t="shared" si="103"/>
        <v>3.6588380716934482E-4</v>
      </c>
      <c r="BZ109" s="51">
        <f t="shared" si="104"/>
        <v>4177.5</v>
      </c>
      <c r="CA109" s="51">
        <f t="shared" si="105"/>
        <v>377.5</v>
      </c>
      <c r="CB109" s="27">
        <f t="shared" si="106"/>
        <v>1.5635736795780746</v>
      </c>
      <c r="CC109" s="27">
        <f t="shared" si="107"/>
        <v>0.14046374745667312</v>
      </c>
      <c r="CD109">
        <v>5600</v>
      </c>
      <c r="CE109">
        <v>2100</v>
      </c>
      <c r="CF109" t="s">
        <v>19</v>
      </c>
      <c r="CG109">
        <v>7700</v>
      </c>
      <c r="CH109" s="32">
        <v>0.3</v>
      </c>
      <c r="CI109" s="32">
        <f t="shared" si="108"/>
        <v>5.3715308863025958E-3</v>
      </c>
      <c r="CJ109" s="32">
        <f t="shared" si="109"/>
        <v>5.3715308863025958E-3</v>
      </c>
      <c r="CK109" s="32">
        <v>0.7</v>
      </c>
      <c r="CL109" s="32">
        <f t="shared" si="110"/>
        <v>1.2743491716730383E-2</v>
      </c>
      <c r="CM109" s="32">
        <f t="shared" si="111"/>
        <v>2.5486983433460765E-2</v>
      </c>
      <c r="CN109" s="27">
        <v>76</v>
      </c>
      <c r="CO109" s="27">
        <f t="shared" si="112"/>
        <v>0.79117218405163436</v>
      </c>
      <c r="CP109" s="27">
        <f t="shared" si="113"/>
        <v>6.3293774724130749</v>
      </c>
      <c r="CQ109" s="57">
        <v>11</v>
      </c>
      <c r="CR109" s="57">
        <v>12.643678160919542</v>
      </c>
      <c r="CS109" s="57">
        <v>0.91609410784926082</v>
      </c>
      <c r="CT109" s="57">
        <f t="shared" si="114"/>
        <v>0.91609410784926082</v>
      </c>
      <c r="CU109" s="28">
        <v>11</v>
      </c>
      <c r="CV109" s="28">
        <v>12.643678160919542</v>
      </c>
      <c r="CW109" s="28">
        <v>0.91609410784926082</v>
      </c>
      <c r="CX109" s="28">
        <f t="shared" si="115"/>
        <v>0.91609410784926082</v>
      </c>
      <c r="CY109" s="32">
        <f t="shared" si="116"/>
        <v>6.3943368727878402</v>
      </c>
      <c r="CZ109" s="32">
        <f t="shared" si="117"/>
        <v>6.3943368727878402</v>
      </c>
      <c r="DA109" s="32">
        <f t="shared" si="118"/>
        <v>6.6943368727878401</v>
      </c>
      <c r="DB109" s="32">
        <f t="shared" si="119"/>
        <v>0.11986279091831406</v>
      </c>
      <c r="DC109" s="32">
        <f t="shared" si="120"/>
        <v>0.11986279091831406</v>
      </c>
      <c r="DD109" s="59">
        <f t="shared" si="121"/>
        <v>6.3943368727878402</v>
      </c>
      <c r="DE109" s="59">
        <f t="shared" si="122"/>
        <v>6.3943368727878402</v>
      </c>
      <c r="DF109" s="59">
        <f t="shared" si="123"/>
        <v>6.6943368727878401</v>
      </c>
      <c r="DG109" s="59">
        <f t="shared" si="124"/>
        <v>0.11986279091831406</v>
      </c>
      <c r="DH109" s="59">
        <f t="shared" si="125"/>
        <v>0.11986279091831406</v>
      </c>
      <c r="DI109" s="32">
        <f t="shared" si="126"/>
        <v>6.3293774724130749</v>
      </c>
      <c r="DJ109" s="32">
        <f t="shared" si="127"/>
        <v>7.3943368727878402</v>
      </c>
      <c r="DK109" s="32">
        <f t="shared" si="128"/>
        <v>0.14534977435177482</v>
      </c>
      <c r="DL109">
        <f t="shared" si="129"/>
        <v>1.0614438822010357</v>
      </c>
      <c r="DM109">
        <f t="shared" si="134"/>
        <v>2.4011616497906927E-2</v>
      </c>
      <c r="DN109">
        <f t="shared" si="135"/>
        <v>0.11292428448479412</v>
      </c>
      <c r="DO109">
        <f t="shared" si="136"/>
        <v>0.86306409901729886</v>
      </c>
      <c r="DP109">
        <f t="shared" si="130"/>
        <v>1.0614438822010357</v>
      </c>
      <c r="DQ109">
        <f t="shared" si="137"/>
        <v>2.4011616497906927E-2</v>
      </c>
      <c r="DR109">
        <f t="shared" si="138"/>
        <v>0.11292428448479412</v>
      </c>
      <c r="DS109">
        <f t="shared" si="139"/>
        <v>0.86306409901729886</v>
      </c>
      <c r="DT109" s="63">
        <f t="shared" si="140"/>
        <v>-0.37240229718518292</v>
      </c>
      <c r="DU109" s="63">
        <f t="shared" si="141"/>
        <v>-0.37240229718518292</v>
      </c>
      <c r="DV109" s="63">
        <f t="shared" si="142"/>
        <v>-0.2319385497285098</v>
      </c>
      <c r="DW109" s="63">
        <f t="shared" si="143"/>
        <v>-0.2319385497285098</v>
      </c>
      <c r="DX109" t="str">
        <f t="shared" si="131"/>
        <v>Sufficient Capacity</v>
      </c>
      <c r="DY109" t="str">
        <f t="shared" si="132"/>
        <v>Sufficient Capacity</v>
      </c>
      <c r="DZ109" t="str">
        <f t="shared" si="133"/>
        <v>Sulfate Dominant electron acceptor</v>
      </c>
      <c r="EA109" t="str">
        <f t="shared" si="144"/>
        <v>Sulfate Dominant electron acceptor</v>
      </c>
      <c r="EB109">
        <v>8.1463479999999994E-3</v>
      </c>
      <c r="EC109">
        <v>1.431297E-3</v>
      </c>
      <c r="ED109">
        <v>0</v>
      </c>
      <c r="EE109">
        <v>1.1251950000000001E-3</v>
      </c>
      <c r="EF109">
        <v>7.5520320000000002E-3</v>
      </c>
      <c r="EG109" s="66">
        <v>1.278431E-5</v>
      </c>
      <c r="EH109">
        <v>6.208524E-4</v>
      </c>
      <c r="EI109" s="66">
        <v>5.4633709999999999E-5</v>
      </c>
      <c r="EJ109">
        <v>7.9246600000000003E-4</v>
      </c>
      <c r="EK109">
        <v>1.1453769999999999E-3</v>
      </c>
      <c r="EL109">
        <v>7.9606860000000002E-4</v>
      </c>
      <c r="EM109">
        <v>8.1426320000000003E-4</v>
      </c>
      <c r="EN109">
        <v>2.2683730000000002E-3</v>
      </c>
      <c r="EO109">
        <v>9.4839380000000001E-4</v>
      </c>
      <c r="EP109">
        <v>3.4038110000000001E-3</v>
      </c>
      <c r="EQ109">
        <v>8.9765669999999995E-4</v>
      </c>
      <c r="ER109">
        <v>6.7553969999999998E-4</v>
      </c>
      <c r="ES109">
        <v>1.1007390000000001E-3</v>
      </c>
      <c r="ET109">
        <v>5.4573479999999999E-3</v>
      </c>
      <c r="EU109">
        <v>2.3819280000000002E-3</v>
      </c>
      <c r="EV109">
        <v>8.0023899999999999E-3</v>
      </c>
      <c r="EW109">
        <v>8.716431E-4</v>
      </c>
      <c r="EX109">
        <v>4.5666409999999998E-3</v>
      </c>
      <c r="EY109">
        <v>6.2363490000000004E-3</v>
      </c>
      <c r="EZ109">
        <v>2.1342309999999999E-3</v>
      </c>
      <c r="FA109">
        <v>1.508335E-3</v>
      </c>
      <c r="FB109">
        <v>1.56503E-3</v>
      </c>
      <c r="FC109">
        <v>2.278497E-3</v>
      </c>
      <c r="FD109">
        <v>6.4579809999999998E-4</v>
      </c>
      <c r="FE109">
        <v>2.4606260000000001E-2</v>
      </c>
      <c r="FF109">
        <v>1.2436040000000001E-2</v>
      </c>
      <c r="FG109">
        <v>7.6608270000000003E-3</v>
      </c>
      <c r="FH109">
        <v>9.3504890000000005E-4</v>
      </c>
      <c r="FI109">
        <v>1.853836E-3</v>
      </c>
      <c r="FJ109">
        <v>9.2692729999999997E-3</v>
      </c>
      <c r="FK109">
        <v>0.67531431468440695</v>
      </c>
      <c r="FL109">
        <v>0.495671546040931</v>
      </c>
      <c r="FM109">
        <v>5.6436005090412203E-2</v>
      </c>
      <c r="FN109">
        <v>0.73752121737158804</v>
      </c>
      <c r="FO109">
        <v>-0.37352988359886002</v>
      </c>
      <c r="FP109">
        <v>0.58316259831236095</v>
      </c>
      <c r="FQ109">
        <v>0.46519702102257798</v>
      </c>
      <c r="FR109">
        <v>0.55801448873120996</v>
      </c>
      <c r="FS109">
        <v>1.1526636415548399</v>
      </c>
      <c r="FT109">
        <v>0.10929157133765099</v>
      </c>
      <c r="FU109">
        <v>0.14998591626604699</v>
      </c>
      <c r="FV109">
        <v>0.474233519507678</v>
      </c>
      <c r="FW109">
        <v>-0.29716265502324102</v>
      </c>
      <c r="FX109">
        <v>0.533721737260625</v>
      </c>
      <c r="FY109">
        <v>0.45800705492592197</v>
      </c>
      <c r="FZ109">
        <v>-0.46404390808860702</v>
      </c>
      <c r="GA109">
        <v>-0.150842731202633</v>
      </c>
      <c r="GB109">
        <v>-9.9508630355545705E-2</v>
      </c>
      <c r="GC109">
        <v>0.30184317395990301</v>
      </c>
      <c r="GD109">
        <v>-8.5598514776781306E-2</v>
      </c>
      <c r="GE109">
        <v>-8.2512991970291993E-2</v>
      </c>
      <c r="GF109">
        <v>0.51594558260644796</v>
      </c>
      <c r="GG109">
        <v>0.4667250741358</v>
      </c>
      <c r="GH109">
        <v>0.45942627402603697</v>
      </c>
      <c r="GI109">
        <v>0.19569540698606999</v>
      </c>
      <c r="GJ109">
        <v>0.59230694010280205</v>
      </c>
      <c r="GK109">
        <v>5.3493176016957897E-2</v>
      </c>
      <c r="GL109">
        <v>-0.184104770799007</v>
      </c>
      <c r="GM109">
        <v>-9.6086979055966595E-2</v>
      </c>
      <c r="GN109">
        <v>0.164827139368177</v>
      </c>
      <c r="GO109">
        <v>0.255443119421982</v>
      </c>
      <c r="GP109">
        <v>-0.13338750288840101</v>
      </c>
      <c r="GY109" s="65"/>
      <c r="HK109" s="1"/>
      <c r="HL109" s="1"/>
      <c r="HM109" s="65"/>
      <c r="HN109" s="1"/>
      <c r="HO109" s="65"/>
      <c r="HS109" s="65"/>
      <c r="HV109" s="65"/>
      <c r="HW109" s="65"/>
      <c r="HX109" s="65"/>
    </row>
    <row r="110" spans="1:278" ht="15.75" x14ac:dyDescent="0.25">
      <c r="A110" s="6" t="s">
        <v>163</v>
      </c>
      <c r="B110" s="6" t="s">
        <v>163</v>
      </c>
      <c r="C110" s="2" t="s">
        <v>915</v>
      </c>
      <c r="D110" s="2" t="s">
        <v>552</v>
      </c>
      <c r="E110" s="2" t="s">
        <v>552</v>
      </c>
      <c r="F110" s="2">
        <v>109</v>
      </c>
      <c r="G110" s="2" t="s">
        <v>914</v>
      </c>
      <c r="H110" s="10" t="s">
        <v>656</v>
      </c>
      <c r="I110" s="2">
        <v>150</v>
      </c>
      <c r="J110" s="2">
        <v>65</v>
      </c>
      <c r="K110" s="15">
        <v>19.850000000000001</v>
      </c>
      <c r="L110" t="s">
        <v>337</v>
      </c>
      <c r="M110" s="2" t="s">
        <v>1120</v>
      </c>
      <c r="N110" s="2" t="s">
        <v>436</v>
      </c>
      <c r="O110" s="2" t="s">
        <v>666</v>
      </c>
      <c r="P110" s="2" t="s">
        <v>1131</v>
      </c>
      <c r="Q110" s="9" t="s">
        <v>719</v>
      </c>
      <c r="R110" s="2" t="str">
        <f t="shared" si="73"/>
        <v>CW_2_Section_2</v>
      </c>
      <c r="S110" s="2" t="str">
        <f t="shared" si="74"/>
        <v>CW_2_MF05</v>
      </c>
      <c r="T110" s="11" t="s">
        <v>891</v>
      </c>
      <c r="U110" s="1">
        <v>45762</v>
      </c>
      <c r="V110" s="2" t="s">
        <v>660</v>
      </c>
      <c r="W110" s="2" t="s">
        <v>655</v>
      </c>
      <c r="X110" s="2" t="s">
        <v>890</v>
      </c>
      <c r="Y110" s="2" t="str">
        <f t="shared" si="75"/>
        <v>T4_MF05</v>
      </c>
      <c r="Z110" s="2" t="str">
        <f t="shared" si="76"/>
        <v>T4_CW_2_MF05</v>
      </c>
      <c r="AA110" s="2" t="str">
        <f t="shared" si="77"/>
        <v>T4_0.15-0.30</v>
      </c>
      <c r="AB110" s="2">
        <v>245</v>
      </c>
      <c r="AC110" s="2">
        <v>8.0589999999999993</v>
      </c>
      <c r="AD110" s="2">
        <v>-0.02</v>
      </c>
      <c r="AE110" s="2">
        <v>4</v>
      </c>
      <c r="AF110" t="s">
        <v>35</v>
      </c>
      <c r="AG110" s="2" t="s">
        <v>1238</v>
      </c>
      <c r="AH110">
        <v>63</v>
      </c>
      <c r="AI110" t="s">
        <v>443</v>
      </c>
      <c r="AJ110">
        <v>1.6</v>
      </c>
      <c r="AK110">
        <v>5.88</v>
      </c>
      <c r="AL110">
        <v>14.2</v>
      </c>
      <c r="AM110">
        <v>-29</v>
      </c>
      <c r="AN110">
        <v>7.08</v>
      </c>
      <c r="AO110">
        <v>436</v>
      </c>
      <c r="AP110">
        <v>0.1</v>
      </c>
      <c r="AQ110">
        <v>0.01</v>
      </c>
      <c r="AR110">
        <v>18</v>
      </c>
      <c r="AS110">
        <v>18</v>
      </c>
      <c r="AT110">
        <v>61</v>
      </c>
      <c r="AU110" s="32">
        <f t="shared" si="89"/>
        <v>2.3428498271668159E-2</v>
      </c>
      <c r="AV110">
        <v>0.83</v>
      </c>
      <c r="AW110" s="32">
        <f t="shared" si="90"/>
        <v>3.2428912524419361E-4</v>
      </c>
      <c r="AX110">
        <v>12</v>
      </c>
      <c r="AY110" s="32">
        <f t="shared" si="91"/>
        <v>4.7471037016106245E-3</v>
      </c>
      <c r="AZ110">
        <v>5.4</v>
      </c>
      <c r="BA110" s="32">
        <f t="shared" si="92"/>
        <v>2.1361966657247812E-3</v>
      </c>
      <c r="BB110">
        <v>3.4</v>
      </c>
      <c r="BC110" s="32">
        <f t="shared" si="93"/>
        <v>1.3450127154563435E-3</v>
      </c>
      <c r="BD110">
        <v>8.8000000000000007</v>
      </c>
      <c r="BF110" s="48">
        <v>82.63</v>
      </c>
      <c r="BG110" s="48">
        <f t="shared" si="94"/>
        <v>2.8499891098522974E-2</v>
      </c>
      <c r="BH110">
        <v>15</v>
      </c>
      <c r="BI110" s="32">
        <f t="shared" si="95"/>
        <v>5.6175392057423732E-3</v>
      </c>
      <c r="BJ110" s="47">
        <v>5.6</v>
      </c>
      <c r="BK110" s="27">
        <f t="shared" si="96"/>
        <v>2.0972146368104859E-3</v>
      </c>
      <c r="BL110" s="47">
        <v>0.01</v>
      </c>
      <c r="BM110" s="27">
        <f t="shared" si="97"/>
        <v>3.6796110125501018E-6</v>
      </c>
      <c r="BN110" s="47">
        <v>0.01</v>
      </c>
      <c r="BO110" s="27">
        <f t="shared" si="98"/>
        <v>3.7611049867064394E-6</v>
      </c>
      <c r="BP110" s="47">
        <v>5.0000000000000001E-3</v>
      </c>
      <c r="BQ110" s="27">
        <f t="shared" si="99"/>
        <v>1.8649981951630372E-6</v>
      </c>
      <c r="BR110" s="47">
        <v>1E-3</v>
      </c>
      <c r="BS110" s="27">
        <f t="shared" si="100"/>
        <v>3.7030802895135499E-7</v>
      </c>
      <c r="BT110" s="47">
        <v>1E-3</v>
      </c>
      <c r="BU110" s="27">
        <f t="shared" si="101"/>
        <v>3.7030802895135499E-7</v>
      </c>
      <c r="BV110" s="47">
        <v>1E-3</v>
      </c>
      <c r="BW110" s="27">
        <f t="shared" si="102"/>
        <v>3.6588380716934485E-7</v>
      </c>
      <c r="BX110" s="47">
        <v>2E-3</v>
      </c>
      <c r="BY110" s="27">
        <f t="shared" si="103"/>
        <v>7.3176761433868969E-7</v>
      </c>
      <c r="BZ110" s="51">
        <f t="shared" si="104"/>
        <v>5.63</v>
      </c>
      <c r="CA110" s="51">
        <f t="shared" si="105"/>
        <v>3.0000000000000006E-2</v>
      </c>
      <c r="CB110" s="27">
        <f t="shared" si="106"/>
        <v>2.1083586184843161E-3</v>
      </c>
      <c r="CC110" s="27">
        <f t="shared" si="107"/>
        <v>1.1143981673830322E-5</v>
      </c>
      <c r="CD110">
        <v>2.5</v>
      </c>
      <c r="CE110">
        <v>2.5</v>
      </c>
      <c r="CF110" t="s">
        <v>19</v>
      </c>
      <c r="CG110">
        <v>50</v>
      </c>
      <c r="CH110" s="32">
        <v>10</v>
      </c>
      <c r="CI110" s="32">
        <f t="shared" si="108"/>
        <v>0.17905102954341987</v>
      </c>
      <c r="CJ110" s="32">
        <f t="shared" si="109"/>
        <v>0.17905102954341987</v>
      </c>
      <c r="CK110" s="32">
        <v>8.6</v>
      </c>
      <c r="CL110" s="32">
        <f t="shared" si="110"/>
        <v>0.15656289823411615</v>
      </c>
      <c r="CM110" s="32">
        <f t="shared" si="111"/>
        <v>0.3131257964682323</v>
      </c>
      <c r="CN110" s="27">
        <v>6.2</v>
      </c>
      <c r="CO110" s="27">
        <f t="shared" si="112"/>
        <v>6.4542993962107012E-2</v>
      </c>
      <c r="CP110" s="27">
        <f t="shared" si="113"/>
        <v>0.5163439516968561</v>
      </c>
      <c r="CQ110" s="57">
        <v>80.8</v>
      </c>
      <c r="CR110" s="57">
        <v>92.8735632183908</v>
      </c>
      <c r="CS110" s="57">
        <v>6.7291276285654797</v>
      </c>
      <c r="CT110" s="57">
        <f t="shared" si="114"/>
        <v>6.7291276285654797</v>
      </c>
      <c r="CU110" s="28">
        <v>47.8</v>
      </c>
      <c r="CV110" s="28">
        <v>88.518518518518519</v>
      </c>
      <c r="CW110" s="28">
        <v>3.9808453050176968</v>
      </c>
      <c r="CX110" s="28">
        <f t="shared" si="115"/>
        <v>3.9808453050176968</v>
      </c>
      <c r="CY110" s="32">
        <f t="shared" si="116"/>
        <v>46.969310847387042</v>
      </c>
      <c r="CZ110" s="32">
        <f t="shared" si="117"/>
        <v>46.969310847387042</v>
      </c>
      <c r="DA110" s="32">
        <f t="shared" si="118"/>
        <v>56.969310847387042</v>
      </c>
      <c r="DB110" s="32">
        <f t="shared" si="119"/>
        <v>1.0200413759603768</v>
      </c>
      <c r="DC110" s="32">
        <f t="shared" si="120"/>
        <v>1.0200413759603768</v>
      </c>
      <c r="DD110" s="59">
        <f t="shared" si="121"/>
        <v>27.786300229023524</v>
      </c>
      <c r="DE110" s="59">
        <f t="shared" si="122"/>
        <v>27.786300229023524</v>
      </c>
      <c r="DF110" s="59">
        <f t="shared" si="123"/>
        <v>37.786300229023524</v>
      </c>
      <c r="DG110" s="59">
        <f t="shared" si="124"/>
        <v>0.67656759586434245</v>
      </c>
      <c r="DH110" s="59">
        <f t="shared" si="125"/>
        <v>0.67656759586434245</v>
      </c>
      <c r="DI110" s="32">
        <f t="shared" si="126"/>
        <v>0.5163439516968561</v>
      </c>
      <c r="DJ110" s="32">
        <f t="shared" si="127"/>
        <v>46.386300229023526</v>
      </c>
      <c r="DK110" s="32">
        <f t="shared" si="128"/>
        <v>0.98969339233257481</v>
      </c>
      <c r="DL110">
        <f t="shared" si="129"/>
        <v>8.0622948009940885</v>
      </c>
      <c r="DM110">
        <f t="shared" si="134"/>
        <v>3.8838296564102766E-2</v>
      </c>
      <c r="DN110">
        <f t="shared" si="135"/>
        <v>0.1265199798740434</v>
      </c>
      <c r="DO110">
        <f t="shared" si="136"/>
        <v>0.83464172356185384</v>
      </c>
      <c r="DP110">
        <f t="shared" si="130"/>
        <v>4.9705386973502712</v>
      </c>
      <c r="DQ110">
        <f t="shared" si="137"/>
        <v>6.2996350201469223E-2</v>
      </c>
      <c r="DR110">
        <f t="shared" si="138"/>
        <v>0.13611554744056448</v>
      </c>
      <c r="DS110">
        <f t="shared" si="139"/>
        <v>0.80088810235796637</v>
      </c>
      <c r="DT110" s="63">
        <f t="shared" si="140"/>
        <v>-8.0281773706898232</v>
      </c>
      <c r="DU110" s="63">
        <f t="shared" si="141"/>
        <v>-4.9364212670460059</v>
      </c>
      <c r="DV110" s="63">
        <f t="shared" si="142"/>
        <v>-8.0281662267081497</v>
      </c>
      <c r="DW110" s="63">
        <f t="shared" si="143"/>
        <v>-4.9364101230643325</v>
      </c>
      <c r="DX110" t="str">
        <f t="shared" si="131"/>
        <v>Sufficient Capacity</v>
      </c>
      <c r="DY110" t="str">
        <f t="shared" si="132"/>
        <v>Sufficient Capacity</v>
      </c>
      <c r="DZ110" t="str">
        <f t="shared" si="133"/>
        <v>Sulfate Dominant electron acceptor</v>
      </c>
      <c r="EA110" t="str">
        <f t="shared" si="144"/>
        <v>Sulfate Dominant electron acceptor</v>
      </c>
      <c r="EB110">
        <v>1.0966800000000001E-2</v>
      </c>
      <c r="EC110">
        <v>1.9603670000000002E-3</v>
      </c>
      <c r="ED110" s="66">
        <v>7.3197109999999997E-6</v>
      </c>
      <c r="EE110">
        <v>6.5486790000000004E-4</v>
      </c>
      <c r="EF110">
        <v>3.7599719999999999E-3</v>
      </c>
      <c r="EG110" s="66">
        <v>9.8435789999999993E-6</v>
      </c>
      <c r="EH110">
        <v>3.6456359999999997E-4</v>
      </c>
      <c r="EI110" s="66">
        <v>4.736696E-5</v>
      </c>
      <c r="EJ110">
        <v>4.064885E-4</v>
      </c>
      <c r="EK110">
        <v>6.0009579999999998E-4</v>
      </c>
      <c r="EL110">
        <v>4.0782909999999999E-4</v>
      </c>
      <c r="EM110">
        <v>2.328637E-4</v>
      </c>
      <c r="EN110">
        <v>1.8745649999999999E-3</v>
      </c>
      <c r="EO110">
        <v>6.9066780000000001E-4</v>
      </c>
      <c r="EP110">
        <v>1.924453E-3</v>
      </c>
      <c r="EQ110">
        <v>1.2739769999999999E-3</v>
      </c>
      <c r="ER110">
        <v>3.6689870000000002E-4</v>
      </c>
      <c r="ES110">
        <v>6.6001860000000005E-4</v>
      </c>
      <c r="ET110">
        <v>8.1022460000000004E-3</v>
      </c>
      <c r="EU110">
        <v>3.146243E-3</v>
      </c>
      <c r="EV110">
        <v>7.7784919999999997E-3</v>
      </c>
      <c r="EW110">
        <v>6.5635620000000004E-4</v>
      </c>
      <c r="EX110">
        <v>5.378608E-3</v>
      </c>
      <c r="EY110">
        <v>7.3514239999999996E-3</v>
      </c>
      <c r="EZ110">
        <v>1.038373E-3</v>
      </c>
      <c r="FA110">
        <v>9.7821600000000007E-4</v>
      </c>
      <c r="FB110">
        <v>1.0282830000000001E-3</v>
      </c>
      <c r="FC110">
        <v>1.7303329999999999E-3</v>
      </c>
      <c r="FD110">
        <v>4.0172709999999998E-4</v>
      </c>
      <c r="FE110">
        <v>2.4644490000000002E-2</v>
      </c>
      <c r="FF110">
        <v>1.8281809999999999E-2</v>
      </c>
      <c r="FG110">
        <v>9.594755E-3</v>
      </c>
      <c r="FH110">
        <v>1.1207420000000001E-3</v>
      </c>
      <c r="FI110">
        <v>1.3784660000000001E-3</v>
      </c>
      <c r="FJ110">
        <v>1.2398579999999999E-2</v>
      </c>
      <c r="FK110">
        <v>0.13403621763895601</v>
      </c>
      <c r="FL110">
        <v>-0.201733609515862</v>
      </c>
      <c r="FM110">
        <v>-0.20496326825437999</v>
      </c>
      <c r="FN110">
        <v>0.20512886667275201</v>
      </c>
      <c r="FO110">
        <v>-0.51625603586687596</v>
      </c>
      <c r="FP110">
        <v>-8.4431366005762107E-2</v>
      </c>
      <c r="FQ110">
        <v>-0.181202789276834</v>
      </c>
      <c r="FR110">
        <v>-0.110822660200804</v>
      </c>
      <c r="FS110">
        <v>-9.9166709849212595E-2</v>
      </c>
      <c r="FT110">
        <v>-8.1394630580367E-2</v>
      </c>
      <c r="FU110">
        <v>-0.16712494494125399</v>
      </c>
      <c r="FV110">
        <v>-9.60203952321068E-2</v>
      </c>
      <c r="FW110">
        <v>5.29484263481192E-2</v>
      </c>
      <c r="FX110">
        <v>-7.6704401538020106E-2</v>
      </c>
      <c r="FY110">
        <v>-5.3461980031992901E-2</v>
      </c>
      <c r="FZ110">
        <v>-6.8865558369392205E-2</v>
      </c>
      <c r="GA110">
        <v>0.127456067615381</v>
      </c>
      <c r="GB110">
        <v>-0.12788638834990401</v>
      </c>
      <c r="GC110">
        <v>1.81667522077813E-2</v>
      </c>
      <c r="GD110">
        <v>7.8053166147265401E-2</v>
      </c>
      <c r="GE110">
        <v>8.1986128993651902E-2</v>
      </c>
      <c r="GF110">
        <v>-0.20450574674865399</v>
      </c>
      <c r="GG110">
        <v>3.3693906242905101E-2</v>
      </c>
      <c r="GH110">
        <v>3.9411701864500999E-2</v>
      </c>
      <c r="GI110">
        <v>-7.9506732543314307E-2</v>
      </c>
      <c r="GJ110">
        <v>0.117593026241036</v>
      </c>
      <c r="GK110">
        <v>5.5045639996828703E-2</v>
      </c>
      <c r="GL110">
        <v>0.20120309698293901</v>
      </c>
      <c r="GM110">
        <v>0.12900967457399301</v>
      </c>
      <c r="GN110">
        <v>0.34597455691471102</v>
      </c>
      <c r="GO110">
        <v>-4.0842599732513897E-2</v>
      </c>
      <c r="GP110">
        <v>0.157489495560693</v>
      </c>
      <c r="GR110" s="66"/>
      <c r="GT110" s="66"/>
      <c r="GV110" s="66"/>
      <c r="GZ110" s="66"/>
      <c r="HK110" s="1"/>
      <c r="HL110" s="1"/>
      <c r="HM110" s="1"/>
      <c r="HN110" s="1"/>
      <c r="HO110" s="65"/>
      <c r="HP110" s="65"/>
      <c r="HQ110" s="65"/>
      <c r="HS110" s="65"/>
      <c r="HT110" s="65"/>
      <c r="HU110" s="65"/>
      <c r="HV110" s="65"/>
      <c r="HW110" s="65"/>
      <c r="HX110" s="65"/>
      <c r="IZ110" s="66"/>
      <c r="JB110" s="66"/>
      <c r="JD110" s="66"/>
      <c r="JF110" s="66"/>
      <c r="JH110" s="66"/>
      <c r="JJ110" s="66"/>
      <c r="JL110" s="66"/>
      <c r="JN110" s="66"/>
      <c r="JP110" s="66"/>
      <c r="JR110" s="66"/>
    </row>
    <row r="111" spans="1:278" ht="15.75" x14ac:dyDescent="0.25">
      <c r="A111" s="6" t="s">
        <v>164</v>
      </c>
      <c r="B111" s="6" t="s">
        <v>164</v>
      </c>
      <c r="C111" s="2" t="s">
        <v>917</v>
      </c>
      <c r="D111" s="2" t="s">
        <v>553</v>
      </c>
      <c r="E111" s="2" t="s">
        <v>553</v>
      </c>
      <c r="F111" s="2">
        <v>110</v>
      </c>
      <c r="G111" s="2" t="s">
        <v>916</v>
      </c>
      <c r="H111" s="10" t="s">
        <v>656</v>
      </c>
      <c r="I111" s="2">
        <v>150</v>
      </c>
      <c r="J111" s="2">
        <v>65</v>
      </c>
      <c r="K111" s="15">
        <v>6.5</v>
      </c>
      <c r="L111" t="s">
        <v>338</v>
      </c>
      <c r="M111" s="2" t="s">
        <v>1120</v>
      </c>
      <c r="N111" s="2" t="s">
        <v>436</v>
      </c>
      <c r="O111" s="2" t="s">
        <v>666</v>
      </c>
      <c r="P111" s="2" t="s">
        <v>1132</v>
      </c>
      <c r="Q111" s="9" t="s">
        <v>722</v>
      </c>
      <c r="R111" s="2" t="str">
        <f t="shared" si="73"/>
        <v>CW_2_Section_2</v>
      </c>
      <c r="S111" s="2" t="str">
        <f t="shared" si="74"/>
        <v>CW_2_MF06</v>
      </c>
      <c r="T111" s="11" t="s">
        <v>891</v>
      </c>
      <c r="U111" s="1">
        <v>45762</v>
      </c>
      <c r="V111" s="2" t="s">
        <v>660</v>
      </c>
      <c r="W111" s="2" t="s">
        <v>663</v>
      </c>
      <c r="X111" s="2" t="s">
        <v>890</v>
      </c>
      <c r="Y111" s="2" t="str">
        <f t="shared" si="75"/>
        <v>T4_MF06</v>
      </c>
      <c r="Z111" s="2" t="str">
        <f t="shared" si="76"/>
        <v>T4_CW_2_MF06</v>
      </c>
      <c r="AA111" s="2" t="str">
        <f t="shared" si="77"/>
        <v>T4_0.60-0.80</v>
      </c>
      <c r="AB111" s="2">
        <v>245</v>
      </c>
      <c r="AC111" s="2">
        <v>8.0589999999999993</v>
      </c>
      <c r="AD111" s="2">
        <v>-0.02</v>
      </c>
      <c r="AE111" s="2">
        <v>4</v>
      </c>
      <c r="AF111" t="s">
        <v>37</v>
      </c>
      <c r="AG111" s="2" t="s">
        <v>1238</v>
      </c>
      <c r="AH111">
        <v>66</v>
      </c>
      <c r="AI111" t="s">
        <v>443</v>
      </c>
      <c r="AJ111">
        <v>0.87</v>
      </c>
      <c r="AK111">
        <v>0.42</v>
      </c>
      <c r="AL111">
        <v>14.2</v>
      </c>
      <c r="AM111">
        <v>-55</v>
      </c>
      <c r="AN111">
        <v>7.11</v>
      </c>
      <c r="AO111">
        <v>780</v>
      </c>
      <c r="AP111">
        <v>0.2</v>
      </c>
      <c r="AQ111">
        <v>0.01</v>
      </c>
      <c r="AR111">
        <v>11</v>
      </c>
      <c r="AS111">
        <v>11</v>
      </c>
      <c r="AT111">
        <v>350</v>
      </c>
      <c r="AU111" s="32">
        <f t="shared" si="89"/>
        <v>0.13442580975547305</v>
      </c>
      <c r="AV111">
        <v>4.3</v>
      </c>
      <c r="AW111" s="32">
        <f t="shared" si="90"/>
        <v>1.6800520946385934E-3</v>
      </c>
      <c r="AX111">
        <v>250</v>
      </c>
      <c r="AY111" s="32">
        <f t="shared" si="91"/>
        <v>9.8897993783554669E-2</v>
      </c>
      <c r="AZ111">
        <v>100</v>
      </c>
      <c r="BA111" s="32">
        <f t="shared" si="92"/>
        <v>3.9559197513421872E-2</v>
      </c>
      <c r="BB111">
        <v>81</v>
      </c>
      <c r="BC111" s="32">
        <f t="shared" si="93"/>
        <v>3.2042949985871712E-2</v>
      </c>
      <c r="BD111">
        <v>181</v>
      </c>
      <c r="BF111" s="48">
        <v>785.3</v>
      </c>
      <c r="BG111" s="48">
        <f t="shared" si="94"/>
        <v>0.23500385563366633</v>
      </c>
      <c r="BH111">
        <v>1500</v>
      </c>
      <c r="BI111" s="32">
        <f t="shared" si="95"/>
        <v>0.56175392057423734</v>
      </c>
      <c r="BJ111" s="47">
        <v>2000</v>
      </c>
      <c r="BK111" s="27">
        <f t="shared" si="96"/>
        <v>0.74900522743231646</v>
      </c>
      <c r="BL111" s="47">
        <v>74</v>
      </c>
      <c r="BM111" s="27">
        <f t="shared" si="97"/>
        <v>2.7229121492870753E-2</v>
      </c>
      <c r="BN111" s="47">
        <v>60</v>
      </c>
      <c r="BO111" s="27">
        <f t="shared" si="98"/>
        <v>2.2566629920238637E-2</v>
      </c>
      <c r="BP111" s="47">
        <v>23</v>
      </c>
      <c r="BQ111" s="27">
        <f t="shared" si="99"/>
        <v>8.57899169774997E-3</v>
      </c>
      <c r="BR111" s="47">
        <v>5.9</v>
      </c>
      <c r="BS111" s="27">
        <f t="shared" si="100"/>
        <v>2.1848173708129944E-3</v>
      </c>
      <c r="BT111" s="47">
        <v>1.2</v>
      </c>
      <c r="BU111" s="27">
        <f t="shared" si="101"/>
        <v>4.4436963474162597E-4</v>
      </c>
      <c r="BV111" s="47">
        <v>0.13</v>
      </c>
      <c r="BW111" s="27">
        <f t="shared" si="102"/>
        <v>4.7564894932014834E-5</v>
      </c>
      <c r="BX111" s="47">
        <v>0.1</v>
      </c>
      <c r="BY111" s="27">
        <f t="shared" si="103"/>
        <v>3.6588380716934496E-5</v>
      </c>
      <c r="BZ111" s="51">
        <f t="shared" si="104"/>
        <v>2164.33</v>
      </c>
      <c r="CA111" s="51">
        <f t="shared" si="105"/>
        <v>164.32999999999998</v>
      </c>
      <c r="CB111" s="27">
        <f t="shared" si="106"/>
        <v>0.8100933108243793</v>
      </c>
      <c r="CC111" s="27">
        <f t="shared" si="107"/>
        <v>6.1088083392062939E-2</v>
      </c>
      <c r="CD111">
        <v>2900</v>
      </c>
      <c r="CE111">
        <v>790</v>
      </c>
      <c r="CF111" t="s">
        <v>19</v>
      </c>
      <c r="CG111">
        <v>3700</v>
      </c>
      <c r="CH111" s="32">
        <v>5.7</v>
      </c>
      <c r="CI111" s="32">
        <f t="shared" si="108"/>
        <v>0.10205908683974933</v>
      </c>
      <c r="CJ111" s="32">
        <f t="shared" si="109"/>
        <v>0.10205908683974933</v>
      </c>
      <c r="CK111" s="32">
        <v>2.6</v>
      </c>
      <c r="CL111" s="32">
        <f t="shared" si="110"/>
        <v>4.7332969233569999E-2</v>
      </c>
      <c r="CM111" s="32">
        <f t="shared" si="111"/>
        <v>9.4665938467139998E-2</v>
      </c>
      <c r="CN111" s="27">
        <v>42</v>
      </c>
      <c r="CO111" s="27">
        <f t="shared" si="112"/>
        <v>0.4372267332916927</v>
      </c>
      <c r="CP111" s="27">
        <f t="shared" si="113"/>
        <v>3.4978138663335416</v>
      </c>
      <c r="CQ111" s="57">
        <v>45</v>
      </c>
      <c r="CR111" s="57">
        <v>51.724137931034484</v>
      </c>
      <c r="CS111" s="57">
        <v>3.7476577139287945</v>
      </c>
      <c r="CT111" s="57">
        <f t="shared" si="114"/>
        <v>3.7476577139287945</v>
      </c>
      <c r="CU111" s="28">
        <v>34</v>
      </c>
      <c r="CV111" s="28">
        <v>44.736842105263158</v>
      </c>
      <c r="CW111" s="28">
        <v>2.8315636060795337</v>
      </c>
      <c r="CX111" s="28">
        <f t="shared" si="115"/>
        <v>2.8315636060795337</v>
      </c>
      <c r="CY111" s="32">
        <f t="shared" si="116"/>
        <v>26.158650843222983</v>
      </c>
      <c r="CZ111" s="32">
        <f t="shared" si="117"/>
        <v>26.158650843222983</v>
      </c>
      <c r="DA111" s="32">
        <f t="shared" si="118"/>
        <v>31.858650843222982</v>
      </c>
      <c r="DB111" s="32">
        <f t="shared" si="119"/>
        <v>0.57043242333434163</v>
      </c>
      <c r="DC111" s="32">
        <f t="shared" si="120"/>
        <v>0.57043242333434163</v>
      </c>
      <c r="DD111" s="59">
        <f t="shared" si="121"/>
        <v>19.764313970435143</v>
      </c>
      <c r="DE111" s="59">
        <f t="shared" si="122"/>
        <v>19.764313970435143</v>
      </c>
      <c r="DF111" s="59">
        <f t="shared" si="123"/>
        <v>25.464313970435143</v>
      </c>
      <c r="DG111" s="59">
        <f t="shared" si="124"/>
        <v>0.4559411633023302</v>
      </c>
      <c r="DH111" s="59">
        <f t="shared" si="125"/>
        <v>0.4559411633023302</v>
      </c>
      <c r="DI111" s="32">
        <f t="shared" si="126"/>
        <v>3.4978138663335416</v>
      </c>
      <c r="DJ111" s="32">
        <f t="shared" si="127"/>
        <v>28.064313970435144</v>
      </c>
      <c r="DK111" s="32">
        <f t="shared" si="128"/>
        <v>0.55060710176947025</v>
      </c>
      <c r="DL111">
        <f t="shared" si="129"/>
        <v>4.4127560757302762</v>
      </c>
      <c r="DM111">
        <f t="shared" si="134"/>
        <v>2.1452792051614485E-2</v>
      </c>
      <c r="DN111">
        <f t="shared" si="135"/>
        <v>0.12926896786152847</v>
      </c>
      <c r="DO111">
        <f t="shared" si="136"/>
        <v>0.84927824008685704</v>
      </c>
      <c r="DP111">
        <f t="shared" si="130"/>
        <v>3.3821707078490038</v>
      </c>
      <c r="DQ111">
        <f t="shared" si="137"/>
        <v>2.7989698523332589E-2</v>
      </c>
      <c r="DR111">
        <f t="shared" si="138"/>
        <v>0.13480725920907172</v>
      </c>
      <c r="DS111">
        <f t="shared" si="139"/>
        <v>0.83720304226759579</v>
      </c>
      <c r="DT111" s="63">
        <f t="shared" si="140"/>
        <v>-3.6159982995223725</v>
      </c>
      <c r="DU111" s="63">
        <f t="shared" si="141"/>
        <v>-2.5854129316411001</v>
      </c>
      <c r="DV111" s="63">
        <f t="shared" si="142"/>
        <v>-3.5549102161303097</v>
      </c>
      <c r="DW111" s="63">
        <f t="shared" si="143"/>
        <v>-2.5243248482490372</v>
      </c>
      <c r="DX111" t="str">
        <f t="shared" si="131"/>
        <v>Sufficient Capacity</v>
      </c>
      <c r="DY111" t="str">
        <f t="shared" si="132"/>
        <v>Sufficient Capacity</v>
      </c>
      <c r="DZ111" t="str">
        <f t="shared" si="133"/>
        <v>Sulfate Dominant electron acceptor</v>
      </c>
      <c r="EA111" t="str">
        <f t="shared" si="144"/>
        <v>Sulfate Dominant electron acceptor</v>
      </c>
      <c r="EB111">
        <v>8.1650109999999998E-3</v>
      </c>
      <c r="EC111">
        <v>1.4070389999999999E-3</v>
      </c>
      <c r="ED111" s="66">
        <v>7.5684140000000004E-7</v>
      </c>
      <c r="EE111">
        <v>1.0423469999999999E-3</v>
      </c>
      <c r="EF111">
        <v>6.765376E-3</v>
      </c>
      <c r="EG111" s="66">
        <v>8.6709519999999992E-6</v>
      </c>
      <c r="EH111">
        <v>6.0430480000000001E-4</v>
      </c>
      <c r="EI111" s="66">
        <v>5.712888E-5</v>
      </c>
      <c r="EJ111">
        <v>8.9698709999999995E-4</v>
      </c>
      <c r="EK111">
        <v>1.3099419999999999E-3</v>
      </c>
      <c r="EL111">
        <v>7.919957E-4</v>
      </c>
      <c r="EM111">
        <v>7.3463040000000003E-4</v>
      </c>
      <c r="EN111">
        <v>2.3301400000000001E-3</v>
      </c>
      <c r="EO111">
        <v>9.601926E-4</v>
      </c>
      <c r="EP111">
        <v>2.9030079999999999E-3</v>
      </c>
      <c r="EQ111">
        <v>9.0973370000000005E-4</v>
      </c>
      <c r="ER111">
        <v>6.2937509999999998E-4</v>
      </c>
      <c r="ES111">
        <v>1.012446E-3</v>
      </c>
      <c r="ET111">
        <v>6.5680879999999997E-3</v>
      </c>
      <c r="EU111">
        <v>2.463252E-3</v>
      </c>
      <c r="EV111">
        <v>8.0305919999999996E-3</v>
      </c>
      <c r="EW111">
        <v>6.9019299999999997E-4</v>
      </c>
      <c r="EX111">
        <v>4.6292820000000002E-3</v>
      </c>
      <c r="EY111">
        <v>6.2544640000000004E-3</v>
      </c>
      <c r="EZ111">
        <v>1.855436E-3</v>
      </c>
      <c r="FA111">
        <v>1.390645E-3</v>
      </c>
      <c r="FB111">
        <v>1.4151350000000001E-3</v>
      </c>
      <c r="FC111">
        <v>2.298853E-3</v>
      </c>
      <c r="FD111">
        <v>4.7180969999999998E-4</v>
      </c>
      <c r="FE111">
        <v>2.495323E-2</v>
      </c>
      <c r="FF111">
        <v>1.20876E-2</v>
      </c>
      <c r="FG111">
        <v>7.370181E-3</v>
      </c>
      <c r="FH111">
        <v>9.4099730000000005E-4</v>
      </c>
      <c r="FI111">
        <v>1.7890899999999999E-3</v>
      </c>
      <c r="FJ111">
        <v>9.0480669999999999E-3</v>
      </c>
      <c r="FK111">
        <v>0.59883286204538499</v>
      </c>
      <c r="FL111">
        <v>0.38567272018896898</v>
      </c>
      <c r="FM111">
        <v>-0.33180404401482</v>
      </c>
      <c r="FN111">
        <v>0.71050655125877205</v>
      </c>
      <c r="FO111">
        <v>-0.32887120697139199</v>
      </c>
      <c r="FP111">
        <v>0.70705447637393404</v>
      </c>
      <c r="FQ111">
        <v>0.59944604199159701</v>
      </c>
      <c r="FR111">
        <v>0.55288508820242299</v>
      </c>
      <c r="FS111">
        <v>1.04974750188749</v>
      </c>
      <c r="FT111">
        <v>0.13615708852285899</v>
      </c>
      <c r="FU111">
        <v>0.16234998876156601</v>
      </c>
      <c r="FV111">
        <v>0.31508527406081099</v>
      </c>
      <c r="FW111">
        <v>-0.28379843692423901</v>
      </c>
      <c r="FX111">
        <v>0.462937232667402</v>
      </c>
      <c r="FY111">
        <v>0.374394467751542</v>
      </c>
      <c r="FZ111">
        <v>-0.27878409520717901</v>
      </c>
      <c r="GA111">
        <v>-0.11727054682308601</v>
      </c>
      <c r="GB111">
        <v>-9.5990628640525003E-2</v>
      </c>
      <c r="GC111">
        <v>6.8434391447993001E-2</v>
      </c>
      <c r="GD111">
        <v>-7.1974658010272002E-2</v>
      </c>
      <c r="GE111">
        <v>-7.9612458161921806E-2</v>
      </c>
      <c r="GF111">
        <v>0.37595889703552599</v>
      </c>
      <c r="GG111">
        <v>0.38548634897177397</v>
      </c>
      <c r="GH111">
        <v>0.35874621379330401</v>
      </c>
      <c r="GI111">
        <v>0.20458969481372799</v>
      </c>
      <c r="GJ111">
        <v>0.27839575019165302</v>
      </c>
      <c r="GK111">
        <v>6.7495566642597801E-2</v>
      </c>
      <c r="GL111">
        <v>-0.21252334570416001</v>
      </c>
      <c r="GM111">
        <v>-0.13476465550456401</v>
      </c>
      <c r="GN111">
        <v>0.17116858227509099</v>
      </c>
      <c r="GO111">
        <v>0.219893224275859</v>
      </c>
      <c r="GP111">
        <v>-0.15754131062602</v>
      </c>
      <c r="GT111" s="66"/>
      <c r="GV111" s="66"/>
      <c r="HK111" s="1"/>
      <c r="HL111" s="1"/>
      <c r="HM111" s="65"/>
      <c r="HN111" s="1"/>
      <c r="HO111" s="65"/>
      <c r="HP111" s="65"/>
      <c r="HQ111" s="65"/>
      <c r="HS111" s="65"/>
      <c r="HT111" s="65"/>
      <c r="HU111" s="65"/>
      <c r="HV111" s="65"/>
      <c r="HW111" s="65"/>
      <c r="HX111" s="65"/>
    </row>
    <row r="112" spans="1:278" ht="15.75" x14ac:dyDescent="0.25">
      <c r="A112" s="6" t="s">
        <v>165</v>
      </c>
      <c r="B112" s="6" t="s">
        <v>165</v>
      </c>
      <c r="C112" s="2" t="s">
        <v>919</v>
      </c>
      <c r="D112" s="2" t="s">
        <v>554</v>
      </c>
      <c r="E112" s="2" t="s">
        <v>554</v>
      </c>
      <c r="F112" s="2">
        <v>111</v>
      </c>
      <c r="G112" s="2" t="s">
        <v>918</v>
      </c>
      <c r="H112" s="10" t="s">
        <v>656</v>
      </c>
      <c r="I112" s="2">
        <v>150</v>
      </c>
      <c r="J112" s="2">
        <v>65</v>
      </c>
      <c r="K112" s="15">
        <v>7.8</v>
      </c>
      <c r="L112" t="s">
        <v>339</v>
      </c>
      <c r="M112" s="2" t="s">
        <v>1120</v>
      </c>
      <c r="N112" s="2" t="s">
        <v>436</v>
      </c>
      <c r="O112" s="2" t="s">
        <v>673</v>
      </c>
      <c r="P112" s="2" t="s">
        <v>1127</v>
      </c>
      <c r="Q112" s="9" t="s">
        <v>725</v>
      </c>
      <c r="R112" s="2" t="str">
        <f t="shared" si="73"/>
        <v>CW_2_Section_3</v>
      </c>
      <c r="S112" s="2" t="str">
        <f t="shared" si="74"/>
        <v>CW_2_MF09</v>
      </c>
      <c r="T112" s="11" t="s">
        <v>891</v>
      </c>
      <c r="U112" s="1">
        <v>45762</v>
      </c>
      <c r="V112" s="2" t="s">
        <v>660</v>
      </c>
      <c r="W112" s="2" t="s">
        <v>655</v>
      </c>
      <c r="X112" s="2" t="s">
        <v>890</v>
      </c>
      <c r="Y112" s="2" t="str">
        <f t="shared" si="75"/>
        <v>T4_MF09</v>
      </c>
      <c r="Z112" s="2" t="str">
        <f t="shared" si="76"/>
        <v>T4_CW_2_MF09</v>
      </c>
      <c r="AA112" s="2" t="str">
        <f t="shared" si="77"/>
        <v>T4_0.15-0.30</v>
      </c>
      <c r="AB112" s="2">
        <v>245</v>
      </c>
      <c r="AC112" s="2">
        <v>8.0589999999999993</v>
      </c>
      <c r="AD112" s="2">
        <v>-0.02</v>
      </c>
      <c r="AE112" s="2">
        <v>4</v>
      </c>
      <c r="AF112" t="s">
        <v>45</v>
      </c>
      <c r="AG112" s="2" t="s">
        <v>1238</v>
      </c>
      <c r="AH112">
        <v>67</v>
      </c>
      <c r="AI112" t="s">
        <v>443</v>
      </c>
      <c r="AJ112">
        <v>1.5</v>
      </c>
      <c r="AK112">
        <v>6.52</v>
      </c>
      <c r="AL112">
        <v>14.1</v>
      </c>
      <c r="AM112">
        <v>-25</v>
      </c>
      <c r="AN112">
        <v>6.99</v>
      </c>
      <c r="AO112">
        <v>743</v>
      </c>
      <c r="AP112">
        <v>0.1</v>
      </c>
      <c r="AQ112">
        <v>0.01</v>
      </c>
      <c r="AR112">
        <v>11</v>
      </c>
      <c r="AS112">
        <v>12</v>
      </c>
      <c r="AT112">
        <v>470</v>
      </c>
      <c r="AU112" s="32">
        <f t="shared" si="89"/>
        <v>0.18051465881449238</v>
      </c>
      <c r="AV112">
        <v>0.5</v>
      </c>
      <c r="AW112" s="32">
        <f t="shared" si="90"/>
        <v>1.9535489472541785E-4</v>
      </c>
      <c r="AX112">
        <v>320</v>
      </c>
      <c r="AY112" s="32">
        <f t="shared" si="91"/>
        <v>0.12658943204294998</v>
      </c>
      <c r="AZ112">
        <v>82</v>
      </c>
      <c r="BA112" s="32">
        <f t="shared" si="92"/>
        <v>3.2438541961005936E-2</v>
      </c>
      <c r="BB112">
        <v>90</v>
      </c>
      <c r="BC112" s="32">
        <f t="shared" si="93"/>
        <v>3.560327776207968E-2</v>
      </c>
      <c r="BD112">
        <v>172</v>
      </c>
      <c r="BF112" s="48">
        <v>965.5</v>
      </c>
      <c r="BG112" s="48">
        <f t="shared" si="94"/>
        <v>0.30729944575216778</v>
      </c>
      <c r="BH112">
        <v>820</v>
      </c>
      <c r="BI112" s="32">
        <f t="shared" si="95"/>
        <v>0.30709214324724976</v>
      </c>
      <c r="BJ112" s="47">
        <v>930</v>
      </c>
      <c r="BK112" s="27">
        <f t="shared" si="96"/>
        <v>0.34828743075602714</v>
      </c>
      <c r="BL112" s="47">
        <v>0.15</v>
      </c>
      <c r="BM112" s="27">
        <f t="shared" si="97"/>
        <v>5.5194165188251526E-5</v>
      </c>
      <c r="BN112" s="47">
        <v>0.23</v>
      </c>
      <c r="BO112" s="27">
        <f t="shared" si="98"/>
        <v>8.6505414694248097E-5</v>
      </c>
      <c r="BP112" s="47">
        <v>0.11</v>
      </c>
      <c r="BQ112" s="27">
        <f t="shared" si="99"/>
        <v>4.1029960293586813E-5</v>
      </c>
      <c r="BR112" s="47">
        <v>7.0000000000000007E-2</v>
      </c>
      <c r="BS112" s="27">
        <f t="shared" si="100"/>
        <v>2.5921562026594851E-5</v>
      </c>
      <c r="BT112" s="47">
        <v>0.01</v>
      </c>
      <c r="BU112" s="27">
        <f t="shared" si="101"/>
        <v>3.7030802895135499E-6</v>
      </c>
      <c r="BV112" s="47">
        <v>0.01</v>
      </c>
      <c r="BW112" s="27">
        <f t="shared" si="102"/>
        <v>3.6588380716934487E-6</v>
      </c>
      <c r="BX112" s="47">
        <v>2E-3</v>
      </c>
      <c r="BY112" s="27">
        <f t="shared" si="103"/>
        <v>7.3176761433868969E-7</v>
      </c>
      <c r="BZ112" s="51">
        <f t="shared" si="104"/>
        <v>930.58199999999999</v>
      </c>
      <c r="CA112" s="51">
        <f t="shared" si="105"/>
        <v>0.58200000000000007</v>
      </c>
      <c r="CB112" s="27">
        <f t="shared" si="106"/>
        <v>0.34850417554420532</v>
      </c>
      <c r="CC112" s="27">
        <f t="shared" si="107"/>
        <v>2.1674478817822697E-4</v>
      </c>
      <c r="CD112">
        <v>1400</v>
      </c>
      <c r="CE112">
        <v>2.5</v>
      </c>
      <c r="CF112" t="s">
        <v>19</v>
      </c>
      <c r="CG112">
        <v>1400</v>
      </c>
      <c r="CH112" s="32">
        <v>11</v>
      </c>
      <c r="CI112" s="32">
        <f t="shared" si="108"/>
        <v>0.19695613249776187</v>
      </c>
      <c r="CJ112" s="32">
        <f t="shared" si="109"/>
        <v>0.19695613249776187</v>
      </c>
      <c r="CK112" s="32">
        <v>3.5</v>
      </c>
      <c r="CL112" s="32">
        <f t="shared" si="110"/>
        <v>6.3717458583651923E-2</v>
      </c>
      <c r="CM112" s="32">
        <f t="shared" si="111"/>
        <v>0.12743491716730385</v>
      </c>
      <c r="CN112" s="27">
        <v>0.5</v>
      </c>
      <c r="CO112" s="27">
        <f t="shared" si="112"/>
        <v>5.2050801582344368E-3</v>
      </c>
      <c r="CP112" s="27">
        <f t="shared" si="113"/>
        <v>4.1640641265875494E-2</v>
      </c>
      <c r="CQ112" s="57">
        <v>86.5</v>
      </c>
      <c r="CR112" s="57">
        <v>99.425287356321832</v>
      </c>
      <c r="CS112" s="57">
        <v>7.2038309389964601</v>
      </c>
      <c r="CT112" s="57">
        <f t="shared" si="114"/>
        <v>7.2038309389964601</v>
      </c>
      <c r="CU112" s="28">
        <v>5.7</v>
      </c>
      <c r="CV112" s="28">
        <v>91.935483870967744</v>
      </c>
      <c r="CW112" s="28">
        <v>0.47470331043098063</v>
      </c>
      <c r="CX112" s="28">
        <f t="shared" si="115"/>
        <v>0.47470331043098063</v>
      </c>
      <c r="CY112" s="32">
        <f t="shared" si="116"/>
        <v>50.282739954195293</v>
      </c>
      <c r="CZ112" s="32">
        <f t="shared" si="117"/>
        <v>50.282739954195293</v>
      </c>
      <c r="DA112" s="32">
        <f t="shared" si="118"/>
        <v>61.282739954195293</v>
      </c>
      <c r="DB112" s="32">
        <f t="shared" si="119"/>
        <v>1.0972737682040339</v>
      </c>
      <c r="DC112" s="32">
        <f t="shared" si="120"/>
        <v>1.0972737682040339</v>
      </c>
      <c r="DD112" s="59">
        <f t="shared" si="121"/>
        <v>3.3134291068082447</v>
      </c>
      <c r="DE112" s="59">
        <f t="shared" si="122"/>
        <v>3.3134291068082447</v>
      </c>
      <c r="DF112" s="59">
        <f t="shared" si="123"/>
        <v>14.313429106808245</v>
      </c>
      <c r="DG112" s="59">
        <f t="shared" si="124"/>
        <v>0.25628342178707691</v>
      </c>
      <c r="DH112" s="59">
        <f t="shared" si="125"/>
        <v>0.25628342178707691</v>
      </c>
      <c r="DI112" s="32">
        <f t="shared" si="126"/>
        <v>4.1640641265875494E-2</v>
      </c>
      <c r="DJ112" s="32">
        <f t="shared" si="127"/>
        <v>17.813429106808243</v>
      </c>
      <c r="DK112" s="32">
        <f t="shared" si="128"/>
        <v>0.38371833895438079</v>
      </c>
      <c r="DL112">
        <f t="shared" si="129"/>
        <v>8.4285396243677972</v>
      </c>
      <c r="DM112">
        <f t="shared" si="134"/>
        <v>1.5119454003499734E-2</v>
      </c>
      <c r="DN112">
        <f t="shared" si="135"/>
        <v>0.13018551458567029</v>
      </c>
      <c r="DO112">
        <f t="shared" si="136"/>
        <v>0.85469503141083003</v>
      </c>
      <c r="DP112">
        <f t="shared" si="130"/>
        <v>0.85842164938536136</v>
      </c>
      <c r="DQ112">
        <f t="shared" si="137"/>
        <v>0.14845259000463065</v>
      </c>
      <c r="DR112">
        <f t="shared" si="138"/>
        <v>0.29855190857613906</v>
      </c>
      <c r="DS112">
        <f t="shared" si="139"/>
        <v>0.55299550141923026</v>
      </c>
      <c r="DT112" s="63">
        <f t="shared" si="140"/>
        <v>-7.8141480353683797</v>
      </c>
      <c r="DU112" s="63">
        <f t="shared" si="141"/>
        <v>-0.24403006038594377</v>
      </c>
      <c r="DV112" s="63">
        <f t="shared" si="142"/>
        <v>-7.8139312905802019</v>
      </c>
      <c r="DW112" s="63">
        <f t="shared" si="143"/>
        <v>-0.24381331559776553</v>
      </c>
      <c r="DX112" t="str">
        <f t="shared" si="131"/>
        <v>Sufficient Capacity</v>
      </c>
      <c r="DY112" t="str">
        <f t="shared" si="132"/>
        <v>Sufficient Capacity</v>
      </c>
      <c r="DZ112" t="str">
        <f t="shared" si="133"/>
        <v>Sulfate Dominant electron acceptor</v>
      </c>
      <c r="EA112" t="str">
        <f t="shared" si="144"/>
        <v>Sulfate Dominant electron acceptor</v>
      </c>
      <c r="EB112">
        <v>9.706859E-3</v>
      </c>
      <c r="EC112">
        <v>1.4660649999999999E-3</v>
      </c>
      <c r="ED112" s="66">
        <v>1.224245E-6</v>
      </c>
      <c r="EE112">
        <v>7.414403E-4</v>
      </c>
      <c r="EF112">
        <v>4.3850779999999997E-3</v>
      </c>
      <c r="EG112" s="66">
        <v>1.127769E-5</v>
      </c>
      <c r="EH112">
        <v>4.3568110000000003E-4</v>
      </c>
      <c r="EI112" s="66">
        <v>9.1578429999999999E-5</v>
      </c>
      <c r="EJ112">
        <v>6.5409870000000001E-4</v>
      </c>
      <c r="EK112">
        <v>9.7823450000000009E-4</v>
      </c>
      <c r="EL112">
        <v>5.3214950000000005E-4</v>
      </c>
      <c r="EM112">
        <v>3.1319319999999998E-4</v>
      </c>
      <c r="EN112">
        <v>1.891808E-3</v>
      </c>
      <c r="EO112">
        <v>6.9733320000000003E-4</v>
      </c>
      <c r="EP112">
        <v>2.1156339999999999E-3</v>
      </c>
      <c r="EQ112">
        <v>1.3118299999999999E-3</v>
      </c>
      <c r="ER112">
        <v>4.1001150000000001E-4</v>
      </c>
      <c r="ES112">
        <v>7.9696810000000004E-4</v>
      </c>
      <c r="ET112">
        <v>1.241487E-2</v>
      </c>
      <c r="EU112">
        <v>2.975821E-3</v>
      </c>
      <c r="EV112">
        <v>8.3639260000000007E-3</v>
      </c>
      <c r="EW112">
        <v>6.96151E-4</v>
      </c>
      <c r="EX112">
        <v>5.1262640000000002E-3</v>
      </c>
      <c r="EY112">
        <v>6.8243569999999996E-3</v>
      </c>
      <c r="EZ112">
        <v>1.199114E-3</v>
      </c>
      <c r="FA112">
        <v>9.9226679999999995E-4</v>
      </c>
      <c r="FB112">
        <v>1.0667020000000001E-3</v>
      </c>
      <c r="FC112">
        <v>1.8178700000000001E-3</v>
      </c>
      <c r="FD112">
        <v>3.8702099999999998E-4</v>
      </c>
      <c r="FE112">
        <v>2.5392580000000001E-2</v>
      </c>
      <c r="FF112">
        <v>1.5172700000000001E-2</v>
      </c>
      <c r="FG112">
        <v>8.3445040000000009E-3</v>
      </c>
      <c r="FH112">
        <v>7.9323730000000002E-4</v>
      </c>
      <c r="FI112">
        <v>1.4133590000000001E-3</v>
      </c>
      <c r="FJ112">
        <v>1.045421E-2</v>
      </c>
      <c r="FK112">
        <v>0.25819732759500902</v>
      </c>
      <c r="FL112">
        <v>-4.7937706502142199E-2</v>
      </c>
      <c r="FM112">
        <v>-6.8956194836728102E-2</v>
      </c>
      <c r="FN112">
        <v>0.38333839855927099</v>
      </c>
      <c r="FO112">
        <v>0.14301478849628699</v>
      </c>
      <c r="FP112">
        <v>0.39127125319095502</v>
      </c>
      <c r="FQ112">
        <v>0.30745731793021802</v>
      </c>
      <c r="FR112">
        <v>0.15525359059757399</v>
      </c>
      <c r="FS112">
        <v>0.19720023880697601</v>
      </c>
      <c r="FT112">
        <v>-7.2238277521759806E-2</v>
      </c>
      <c r="FU112">
        <v>-0.15752055526571601</v>
      </c>
      <c r="FV112">
        <v>-1.3076355762846601E-3</v>
      </c>
      <c r="FW112">
        <v>8.2228031692145501E-2</v>
      </c>
      <c r="FX112">
        <v>3.43950183922841E-2</v>
      </c>
      <c r="FY112">
        <v>0.13508465642154099</v>
      </c>
      <c r="FZ112">
        <v>0.35788808213880502</v>
      </c>
      <c r="GA112">
        <v>7.1766992333774496E-2</v>
      </c>
      <c r="GB112">
        <v>-5.5320943332653798E-2</v>
      </c>
      <c r="GC112">
        <v>7.7029713649637593E-2</v>
      </c>
      <c r="GD112">
        <v>3.00006902726127E-2</v>
      </c>
      <c r="GE112">
        <v>7.5902172163075897E-3</v>
      </c>
      <c r="GF112">
        <v>-6.05778610791372E-2</v>
      </c>
      <c r="GG112">
        <v>4.79554244348925E-2</v>
      </c>
      <c r="GH112">
        <v>7.6092926477526704E-2</v>
      </c>
      <c r="GI112">
        <v>-3.0155122031354498E-2</v>
      </c>
      <c r="GJ112">
        <v>8.0298978993748299E-2</v>
      </c>
      <c r="GK112">
        <v>8.4949299269449205E-2</v>
      </c>
      <c r="GL112">
        <v>1.47942809256207E-2</v>
      </c>
      <c r="GM112">
        <v>-1.0603801868441599E-2</v>
      </c>
      <c r="GN112">
        <v>3.5073223186810097E-4</v>
      </c>
      <c r="GO112">
        <v>-1.58447456314494E-2</v>
      </c>
      <c r="GP112">
        <v>-1.30876862702332E-2</v>
      </c>
      <c r="GR112" s="66"/>
      <c r="GT112" s="66"/>
      <c r="GV112" s="66"/>
      <c r="GW112" s="65"/>
      <c r="HK112" s="1"/>
      <c r="HL112" s="1"/>
      <c r="HM112" s="1"/>
      <c r="HN112" s="1"/>
      <c r="HO112" s="65"/>
      <c r="HP112" s="65"/>
      <c r="HQ112" s="65"/>
      <c r="HS112" s="65"/>
      <c r="HV112" s="65"/>
      <c r="HW112" s="65"/>
      <c r="HX112" s="65"/>
    </row>
    <row r="113" spans="1:278" ht="15.75" x14ac:dyDescent="0.25">
      <c r="A113" s="6" t="s">
        <v>166</v>
      </c>
      <c r="B113" s="6" t="s">
        <v>166</v>
      </c>
      <c r="C113" s="2" t="s">
        <v>921</v>
      </c>
      <c r="D113" s="2" t="s">
        <v>555</v>
      </c>
      <c r="E113" s="2" t="s">
        <v>555</v>
      </c>
      <c r="F113" s="2">
        <v>112</v>
      </c>
      <c r="G113" s="2" t="s">
        <v>920</v>
      </c>
      <c r="H113" s="10" t="s">
        <v>656</v>
      </c>
      <c r="I113" s="2">
        <v>150</v>
      </c>
      <c r="J113" s="2">
        <v>65</v>
      </c>
      <c r="K113" s="15">
        <v>4.4000000000000004</v>
      </c>
      <c r="L113" t="s">
        <v>340</v>
      </c>
      <c r="M113" s="2" t="s">
        <v>1120</v>
      </c>
      <c r="N113" s="2" t="s">
        <v>436</v>
      </c>
      <c r="O113" s="2" t="s">
        <v>673</v>
      </c>
      <c r="P113" s="2" t="s">
        <v>1128</v>
      </c>
      <c r="Q113" s="9" t="s">
        <v>728</v>
      </c>
      <c r="R113" s="2" t="str">
        <f t="shared" si="73"/>
        <v>CW_2_Section_3</v>
      </c>
      <c r="S113" s="2" t="str">
        <f t="shared" si="74"/>
        <v>CW_2_MF10</v>
      </c>
      <c r="T113" s="11" t="s">
        <v>891</v>
      </c>
      <c r="U113" s="1">
        <v>45762</v>
      </c>
      <c r="V113" s="2" t="s">
        <v>660</v>
      </c>
      <c r="W113" s="2" t="s">
        <v>663</v>
      </c>
      <c r="X113" s="2" t="s">
        <v>890</v>
      </c>
      <c r="Y113" s="2" t="str">
        <f t="shared" si="75"/>
        <v>T4_MF10</v>
      </c>
      <c r="Z113" s="2" t="str">
        <f t="shared" si="76"/>
        <v>T4_CW_2_MF10</v>
      </c>
      <c r="AA113" s="2" t="str">
        <f t="shared" si="77"/>
        <v>T4_0.60-0.80</v>
      </c>
      <c r="AB113" s="2">
        <v>245</v>
      </c>
      <c r="AC113" s="2">
        <v>8.0589999999999993</v>
      </c>
      <c r="AD113" s="2">
        <v>-0.02</v>
      </c>
      <c r="AE113" s="2">
        <v>4</v>
      </c>
      <c r="AF113" t="s">
        <v>47</v>
      </c>
      <c r="AG113" s="2" t="s">
        <v>1238</v>
      </c>
      <c r="AH113">
        <v>65</v>
      </c>
      <c r="AI113" t="s">
        <v>443</v>
      </c>
      <c r="AJ113">
        <v>0.52</v>
      </c>
      <c r="AK113">
        <v>1.36</v>
      </c>
      <c r="AL113">
        <v>14.2</v>
      </c>
      <c r="AM113">
        <v>-27</v>
      </c>
      <c r="AN113">
        <v>7.02</v>
      </c>
      <c r="AO113">
        <v>721</v>
      </c>
      <c r="AP113">
        <v>0.2</v>
      </c>
      <c r="AQ113">
        <v>0.01</v>
      </c>
      <c r="AR113">
        <v>9.9</v>
      </c>
      <c r="AS113">
        <v>10</v>
      </c>
      <c r="AT113">
        <v>290</v>
      </c>
      <c r="AU113" s="32">
        <f t="shared" si="89"/>
        <v>0.11138138522596339</v>
      </c>
      <c r="AV113">
        <v>1</v>
      </c>
      <c r="AW113" s="32">
        <f t="shared" si="90"/>
        <v>3.9070978945083569E-4</v>
      </c>
      <c r="AX113">
        <v>230</v>
      </c>
      <c r="AY113" s="32">
        <f t="shared" si="91"/>
        <v>9.0986154280870299E-2</v>
      </c>
      <c r="AZ113">
        <v>50</v>
      </c>
      <c r="BA113" s="32">
        <f t="shared" si="92"/>
        <v>1.9779598756710936E-2</v>
      </c>
      <c r="BB113">
        <v>50</v>
      </c>
      <c r="BC113" s="32">
        <f t="shared" si="93"/>
        <v>1.9779598756710936E-2</v>
      </c>
      <c r="BD113">
        <v>100</v>
      </c>
      <c r="BF113" s="48">
        <v>627</v>
      </c>
      <c r="BG113" s="48">
        <f t="shared" si="94"/>
        <v>0.20275824929628453</v>
      </c>
      <c r="BH113">
        <v>1300</v>
      </c>
      <c r="BI113" s="32">
        <f t="shared" si="95"/>
        <v>0.48685339783100573</v>
      </c>
      <c r="BJ113" s="47">
        <v>2300</v>
      </c>
      <c r="BK113" s="27">
        <f t="shared" si="96"/>
        <v>0.8613560115471639</v>
      </c>
      <c r="BL113" s="47">
        <v>130</v>
      </c>
      <c r="BM113" s="27">
        <f t="shared" si="97"/>
        <v>4.7834943163151324E-2</v>
      </c>
      <c r="BN113" s="47">
        <v>86</v>
      </c>
      <c r="BO113" s="27">
        <f t="shared" si="98"/>
        <v>3.2345502885675378E-2</v>
      </c>
      <c r="BP113" s="47">
        <v>34</v>
      </c>
      <c r="BQ113" s="27">
        <f t="shared" si="99"/>
        <v>1.2681987727108652E-2</v>
      </c>
      <c r="BR113" s="47">
        <v>2.2000000000000002</v>
      </c>
      <c r="BS113" s="27">
        <f t="shared" si="100"/>
        <v>8.1467766369298098E-4</v>
      </c>
      <c r="BT113" s="47">
        <v>1.8</v>
      </c>
      <c r="BU113" s="27">
        <f t="shared" si="101"/>
        <v>6.6655445211243904E-4</v>
      </c>
      <c r="BV113" s="47">
        <v>0.14000000000000001</v>
      </c>
      <c r="BW113" s="27">
        <f t="shared" si="102"/>
        <v>5.1223733003708282E-5</v>
      </c>
      <c r="BX113" s="47">
        <v>7.0000000000000007E-2</v>
      </c>
      <c r="BY113" s="27">
        <f t="shared" si="103"/>
        <v>2.5611866501854141E-5</v>
      </c>
      <c r="BZ113" s="51">
        <f t="shared" si="104"/>
        <v>2554.21</v>
      </c>
      <c r="CA113" s="51">
        <f t="shared" si="105"/>
        <v>254.20999999999998</v>
      </c>
      <c r="CB113" s="27">
        <f t="shared" si="106"/>
        <v>0.95577651303841016</v>
      </c>
      <c r="CC113" s="27">
        <f t="shared" si="107"/>
        <v>9.4420501491246339E-2</v>
      </c>
      <c r="CD113">
        <v>3500</v>
      </c>
      <c r="CE113">
        <v>1000</v>
      </c>
      <c r="CF113" t="s">
        <v>19</v>
      </c>
      <c r="CG113">
        <v>4500</v>
      </c>
      <c r="CH113" s="32">
        <v>1.4</v>
      </c>
      <c r="CI113" s="32">
        <f t="shared" si="108"/>
        <v>2.506714413607878E-2</v>
      </c>
      <c r="CJ113" s="32">
        <f t="shared" si="109"/>
        <v>2.506714413607878E-2</v>
      </c>
      <c r="CK113" s="32">
        <v>1.5</v>
      </c>
      <c r="CL113" s="32">
        <f t="shared" si="110"/>
        <v>2.7307482250136537E-2</v>
      </c>
      <c r="CM113" s="32">
        <f t="shared" si="111"/>
        <v>5.4614964500273075E-2</v>
      </c>
      <c r="CN113" s="27">
        <v>39</v>
      </c>
      <c r="CO113" s="27">
        <f t="shared" si="112"/>
        <v>0.40599625234228603</v>
      </c>
      <c r="CP113" s="27">
        <f t="shared" si="113"/>
        <v>3.2479700187382883</v>
      </c>
      <c r="CQ113" s="57">
        <v>48</v>
      </c>
      <c r="CR113" s="57">
        <v>55.172413793103445</v>
      </c>
      <c r="CS113" s="57">
        <v>3.9975015615240475</v>
      </c>
      <c r="CT113" s="57">
        <f t="shared" si="114"/>
        <v>3.9975015615240475</v>
      </c>
      <c r="CU113" s="28">
        <v>3</v>
      </c>
      <c r="CV113" s="28">
        <v>7.1428571428571423</v>
      </c>
      <c r="CW113" s="28">
        <v>0.24984384759525297</v>
      </c>
      <c r="CX113" s="28">
        <f t="shared" si="115"/>
        <v>0.24984384759525297</v>
      </c>
      <c r="CY113" s="32">
        <f t="shared" si="116"/>
        <v>27.902560899437852</v>
      </c>
      <c r="CZ113" s="32">
        <f t="shared" si="117"/>
        <v>27.902560899437852</v>
      </c>
      <c r="DA113" s="32">
        <f t="shared" si="118"/>
        <v>29.30256089943785</v>
      </c>
      <c r="DB113" s="32">
        <f t="shared" si="119"/>
        <v>0.52466536973031064</v>
      </c>
      <c r="DC113" s="32">
        <f t="shared" si="120"/>
        <v>0.52466536973031064</v>
      </c>
      <c r="DD113" s="59">
        <f t="shared" si="121"/>
        <v>1.7439100562148657</v>
      </c>
      <c r="DE113" s="59">
        <f t="shared" si="122"/>
        <v>1.7439100562148657</v>
      </c>
      <c r="DF113" s="59">
        <f t="shared" si="123"/>
        <v>3.1439100562148656</v>
      </c>
      <c r="DG113" s="59">
        <f t="shared" si="124"/>
        <v>5.6292033235718276E-2</v>
      </c>
      <c r="DH113" s="59">
        <f t="shared" si="125"/>
        <v>5.6292033235718276E-2</v>
      </c>
      <c r="DI113" s="32">
        <f t="shared" si="126"/>
        <v>3.2479700187382883</v>
      </c>
      <c r="DJ113" s="32">
        <f t="shared" si="127"/>
        <v>4.6439100562148656</v>
      </c>
      <c r="DK113" s="32">
        <f t="shared" si="128"/>
        <v>0.11090699773599136</v>
      </c>
      <c r="DL113">
        <f t="shared" si="129"/>
        <v>4.5767818957546309</v>
      </c>
      <c r="DM113">
        <f t="shared" si="134"/>
        <v>1.1933049409877555E-2</v>
      </c>
      <c r="DN113">
        <f t="shared" si="135"/>
        <v>0.11463630596358199</v>
      </c>
      <c r="DO113">
        <f t="shared" si="136"/>
        <v>0.87343064462654052</v>
      </c>
      <c r="DP113">
        <f t="shared" si="130"/>
        <v>0.36075084533124435</v>
      </c>
      <c r="DQ113">
        <f t="shared" si="137"/>
        <v>0.15139247823556773</v>
      </c>
      <c r="DR113">
        <f t="shared" si="138"/>
        <v>0.15604130652564507</v>
      </c>
      <c r="DS113">
        <f t="shared" si="139"/>
        <v>0.69256621523878714</v>
      </c>
      <c r="DT113" s="63">
        <f t="shared" si="140"/>
        <v>-3.8871702486273407</v>
      </c>
      <c r="DU113" s="63">
        <f t="shared" si="141"/>
        <v>0.32886080179604593</v>
      </c>
      <c r="DV113" s="63">
        <f t="shared" si="142"/>
        <v>-3.792749747136094</v>
      </c>
      <c r="DW113" s="63">
        <f t="shared" si="143"/>
        <v>0.4232813032872923</v>
      </c>
      <c r="DX113" t="str">
        <f t="shared" si="131"/>
        <v>Sufficient Capacity</v>
      </c>
      <c r="DY113" t="str">
        <f t="shared" si="132"/>
        <v>Insufficient Capacity</v>
      </c>
      <c r="DZ113" t="str">
        <f t="shared" si="133"/>
        <v>Sulfate Dominant electron acceptor</v>
      </c>
      <c r="EA113" t="str">
        <f t="shared" si="144"/>
        <v>Sulfate Dominant electron acceptor</v>
      </c>
      <c r="EB113">
        <v>8.4649510000000001E-3</v>
      </c>
      <c r="EC113">
        <v>1.496002E-3</v>
      </c>
      <c r="ED113" s="66">
        <v>1.4019399999999999E-7</v>
      </c>
      <c r="EE113">
        <v>8.3773980000000005E-4</v>
      </c>
      <c r="EF113">
        <v>5.7875699999999997E-3</v>
      </c>
      <c r="EG113" s="66">
        <v>1.0504980000000001E-5</v>
      </c>
      <c r="EH113">
        <v>4.7341739999999998E-4</v>
      </c>
      <c r="EI113" s="66">
        <v>5.552993E-5</v>
      </c>
      <c r="EJ113">
        <v>8.6231280000000001E-4</v>
      </c>
      <c r="EK113">
        <v>1.285525E-3</v>
      </c>
      <c r="EL113">
        <v>6.9564089999999996E-4</v>
      </c>
      <c r="EM113">
        <v>5.7061739999999996E-4</v>
      </c>
      <c r="EN113">
        <v>2.4135110000000001E-3</v>
      </c>
      <c r="EO113">
        <v>1.0087309999999999E-3</v>
      </c>
      <c r="EP113">
        <v>2.3318039999999998E-3</v>
      </c>
      <c r="EQ113">
        <v>9.440443E-4</v>
      </c>
      <c r="ER113">
        <v>5.6250199999999999E-4</v>
      </c>
      <c r="ES113">
        <v>8.5379749999999995E-4</v>
      </c>
      <c r="ET113">
        <v>6.9978219999999999E-3</v>
      </c>
      <c r="EU113">
        <v>2.5991949999999999E-3</v>
      </c>
      <c r="EV113">
        <v>8.4174290000000006E-3</v>
      </c>
      <c r="EW113">
        <v>5.1247550000000004E-4</v>
      </c>
      <c r="EX113">
        <v>4.8196360000000004E-3</v>
      </c>
      <c r="EY113">
        <v>6.2566540000000004E-3</v>
      </c>
      <c r="EZ113">
        <v>1.5898830000000001E-3</v>
      </c>
      <c r="FA113">
        <v>1.2058699999999999E-3</v>
      </c>
      <c r="FB113">
        <v>1.2158329999999999E-3</v>
      </c>
      <c r="FC113">
        <v>2.2844559999999998E-3</v>
      </c>
      <c r="FD113">
        <v>4.081795E-4</v>
      </c>
      <c r="FE113">
        <v>2.28036E-2</v>
      </c>
      <c r="FF113">
        <v>1.2564219999999999E-2</v>
      </c>
      <c r="FG113">
        <v>7.3999369999999997E-3</v>
      </c>
      <c r="FH113">
        <v>9.5275899999999996E-4</v>
      </c>
      <c r="FI113">
        <v>1.6975460000000001E-3</v>
      </c>
      <c r="FJ113">
        <v>9.6104069999999996E-3</v>
      </c>
      <c r="FK113">
        <v>0.38031023280632897</v>
      </c>
      <c r="FL113">
        <v>0.229567394290179</v>
      </c>
      <c r="FM113">
        <v>-0.13993320226098499</v>
      </c>
      <c r="FN113">
        <v>0.46640529663915897</v>
      </c>
      <c r="FO113">
        <v>-0.357258820431748</v>
      </c>
      <c r="FP113">
        <v>0.66763107755936302</v>
      </c>
      <c r="FQ113">
        <v>0.58063037578828403</v>
      </c>
      <c r="FR113">
        <v>0.42316270460711097</v>
      </c>
      <c r="FS113">
        <v>0.79709891882363704</v>
      </c>
      <c r="FT113">
        <v>0.171311270717738</v>
      </c>
      <c r="FU113">
        <v>0.211664483636892</v>
      </c>
      <c r="FV113">
        <v>9.5980050180791004E-2</v>
      </c>
      <c r="FW113">
        <v>-0.24677726323530899</v>
      </c>
      <c r="FX113">
        <v>0.35060449993461301</v>
      </c>
      <c r="FY113">
        <v>0.20396404975982699</v>
      </c>
      <c r="FZ113">
        <v>-0.215407907779124</v>
      </c>
      <c r="GA113">
        <v>-6.3551193276571993E-2</v>
      </c>
      <c r="GB113">
        <v>-4.8944440209401897E-2</v>
      </c>
      <c r="GC113">
        <v>-0.22928397218482499</v>
      </c>
      <c r="GD113">
        <v>-3.1678031950368002E-2</v>
      </c>
      <c r="GE113">
        <v>-7.9262369541165598E-2</v>
      </c>
      <c r="GF113">
        <v>0.221499616781514</v>
      </c>
      <c r="GG113">
        <v>0.242919978813493</v>
      </c>
      <c r="GH113">
        <v>0.206950719474849</v>
      </c>
      <c r="GI113">
        <v>0.19830731352454201</v>
      </c>
      <c r="GJ113">
        <v>0.133527052504786</v>
      </c>
      <c r="GK113">
        <v>-2.25892878605078E-2</v>
      </c>
      <c r="GL113">
        <v>-0.17385038758854099</v>
      </c>
      <c r="GM113">
        <v>-0.130735433766938</v>
      </c>
      <c r="GN113">
        <v>0.183590298030715</v>
      </c>
      <c r="GO113">
        <v>0.16736979233840599</v>
      </c>
      <c r="GP113">
        <v>-9.7245880561439804E-2</v>
      </c>
      <c r="GT113" s="66"/>
      <c r="GV113" s="66"/>
      <c r="HK113" s="1"/>
      <c r="HL113" s="1"/>
      <c r="HM113" s="65"/>
      <c r="HN113" s="1"/>
      <c r="HO113" s="65"/>
      <c r="HP113" s="65"/>
      <c r="HQ113" s="65"/>
      <c r="HS113" s="65"/>
      <c r="HV113" s="65"/>
      <c r="HW113" s="65"/>
      <c r="HX113" s="65"/>
      <c r="IJ113" s="66"/>
      <c r="IL113" s="66"/>
      <c r="IX113" s="66"/>
      <c r="IZ113" s="66"/>
      <c r="JB113" s="66"/>
      <c r="JD113" s="66"/>
      <c r="JF113" s="66"/>
      <c r="JH113" s="66"/>
      <c r="JJ113" s="66"/>
      <c r="JL113" s="66"/>
      <c r="JN113" s="66"/>
      <c r="JO113" s="66"/>
      <c r="JP113" s="66"/>
      <c r="JQ113" s="66"/>
      <c r="JR113" s="66"/>
    </row>
    <row r="114" spans="1:278" ht="15.75" x14ac:dyDescent="0.25">
      <c r="A114" s="6" t="s">
        <v>167</v>
      </c>
      <c r="B114" s="6" t="s">
        <v>167</v>
      </c>
      <c r="C114" s="2" t="s">
        <v>923</v>
      </c>
      <c r="D114" s="2" t="s">
        <v>556</v>
      </c>
      <c r="E114" s="2" t="s">
        <v>556</v>
      </c>
      <c r="F114" s="2">
        <v>113</v>
      </c>
      <c r="G114" s="2" t="s">
        <v>922</v>
      </c>
      <c r="H114" s="10" t="s">
        <v>656</v>
      </c>
      <c r="I114" s="2">
        <v>150</v>
      </c>
      <c r="J114" s="2">
        <v>65</v>
      </c>
      <c r="K114" s="15">
        <v>14.1</v>
      </c>
      <c r="L114" t="s">
        <v>342</v>
      </c>
      <c r="M114" s="2" t="s">
        <v>1120</v>
      </c>
      <c r="N114" s="2" t="s">
        <v>437</v>
      </c>
      <c r="O114" s="2" t="s">
        <v>653</v>
      </c>
      <c r="P114" s="2" t="s">
        <v>1123</v>
      </c>
      <c r="Q114" s="9" t="s">
        <v>731</v>
      </c>
      <c r="R114" s="2" t="str">
        <f t="shared" si="73"/>
        <v>CW_3_Section_1</v>
      </c>
      <c r="S114" s="2" t="str">
        <f t="shared" si="74"/>
        <v>CW_3_MF01</v>
      </c>
      <c r="T114" s="11" t="s">
        <v>891</v>
      </c>
      <c r="U114" s="1">
        <v>45763</v>
      </c>
      <c r="V114" s="2" t="s">
        <v>660</v>
      </c>
      <c r="W114" s="2" t="s">
        <v>655</v>
      </c>
      <c r="X114" s="2" t="s">
        <v>890</v>
      </c>
      <c r="Y114" s="2" t="str">
        <f t="shared" si="75"/>
        <v>T4_MF01</v>
      </c>
      <c r="Z114" s="2" t="str">
        <f t="shared" si="76"/>
        <v>T4_CW_3_MF01</v>
      </c>
      <c r="AA114" s="2" t="str">
        <f t="shared" si="77"/>
        <v>T4_0.15-0.30</v>
      </c>
      <c r="AB114" s="2">
        <v>245</v>
      </c>
      <c r="AC114" s="2">
        <v>8.0589999999999993</v>
      </c>
      <c r="AD114" s="2">
        <v>-0.02</v>
      </c>
      <c r="AE114" s="2">
        <v>4</v>
      </c>
      <c r="AF114" t="s">
        <v>51</v>
      </c>
      <c r="AG114" t="s">
        <v>1237</v>
      </c>
      <c r="AH114">
        <v>68</v>
      </c>
      <c r="AI114" t="s">
        <v>443</v>
      </c>
      <c r="AJ114">
        <v>1.9</v>
      </c>
      <c r="AK114">
        <v>1.06</v>
      </c>
      <c r="AL114">
        <v>14</v>
      </c>
      <c r="AM114">
        <v>-52</v>
      </c>
      <c r="AN114">
        <v>6.91</v>
      </c>
      <c r="AO114">
        <v>682</v>
      </c>
      <c r="AP114">
        <v>0.2</v>
      </c>
      <c r="AQ114">
        <v>0.01</v>
      </c>
      <c r="AR114">
        <v>13</v>
      </c>
      <c r="AS114">
        <v>14</v>
      </c>
      <c r="AT114">
        <v>490</v>
      </c>
      <c r="AU114" s="32">
        <f t="shared" si="89"/>
        <v>0.18819613365766227</v>
      </c>
      <c r="AV114">
        <v>4.2</v>
      </c>
      <c r="AW114" s="32">
        <f t="shared" si="90"/>
        <v>1.64098111569351E-3</v>
      </c>
      <c r="AX114">
        <v>410</v>
      </c>
      <c r="AY114" s="32">
        <f t="shared" si="91"/>
        <v>0.16219270980502967</v>
      </c>
      <c r="AZ114">
        <v>210</v>
      </c>
      <c r="BA114" s="32">
        <f t="shared" si="92"/>
        <v>8.3074314778185929E-2</v>
      </c>
      <c r="BB114">
        <v>130</v>
      </c>
      <c r="BC114" s="32">
        <f t="shared" si="93"/>
        <v>5.1426956767448434E-2</v>
      </c>
      <c r="BD114">
        <v>340</v>
      </c>
      <c r="BF114" s="48">
        <v>1244.2</v>
      </c>
      <c r="BG114" s="48">
        <f t="shared" si="94"/>
        <v>0.3520298245783855</v>
      </c>
      <c r="BH114">
        <v>460</v>
      </c>
      <c r="BI114" s="32">
        <f t="shared" si="95"/>
        <v>0.17227120230943277</v>
      </c>
      <c r="BJ114" s="47">
        <v>670</v>
      </c>
      <c r="BK114" s="27">
        <f t="shared" si="96"/>
        <v>0.25091675118982604</v>
      </c>
      <c r="BL114" s="47">
        <v>4</v>
      </c>
      <c r="BM114" s="27">
        <f t="shared" si="97"/>
        <v>1.4718444050200407E-3</v>
      </c>
      <c r="BN114" s="47">
        <v>4</v>
      </c>
      <c r="BO114" s="27">
        <f t="shared" si="98"/>
        <v>1.5044419946825757E-3</v>
      </c>
      <c r="BP114" s="47">
        <v>2</v>
      </c>
      <c r="BQ114" s="27">
        <f t="shared" si="99"/>
        <v>7.4599927806521475E-4</v>
      </c>
      <c r="BR114" s="47">
        <v>0.4</v>
      </c>
      <c r="BS114" s="27">
        <f t="shared" si="100"/>
        <v>1.4812321158054199E-4</v>
      </c>
      <c r="BT114" s="47">
        <v>0.4</v>
      </c>
      <c r="BU114" s="27">
        <f t="shared" si="101"/>
        <v>1.4812321158054199E-4</v>
      </c>
      <c r="BV114" s="47">
        <v>0.4</v>
      </c>
      <c r="BW114" s="27">
        <f t="shared" si="102"/>
        <v>1.4635352286773798E-4</v>
      </c>
      <c r="BX114" s="47">
        <v>0.8</v>
      </c>
      <c r="BY114" s="27">
        <f t="shared" si="103"/>
        <v>2.9270704573547597E-4</v>
      </c>
      <c r="BZ114" s="51">
        <f t="shared" si="104"/>
        <v>681.99999999999989</v>
      </c>
      <c r="CA114" s="51">
        <f t="shared" si="105"/>
        <v>12.000000000000002</v>
      </c>
      <c r="CB114" s="27">
        <f t="shared" si="106"/>
        <v>0.25537434385935814</v>
      </c>
      <c r="CC114" s="27">
        <f t="shared" si="107"/>
        <v>4.4575926695321292E-3</v>
      </c>
      <c r="CD114">
        <v>690</v>
      </c>
      <c r="CE114">
        <v>2.5</v>
      </c>
      <c r="CF114" t="s">
        <v>19</v>
      </c>
      <c r="CG114">
        <v>710</v>
      </c>
      <c r="CH114" s="32">
        <v>14</v>
      </c>
      <c r="CI114" s="32">
        <f t="shared" si="108"/>
        <v>0.25067144136078784</v>
      </c>
      <c r="CJ114" s="32">
        <f t="shared" si="109"/>
        <v>0.25067144136078784</v>
      </c>
      <c r="CK114" s="32">
        <v>4.3</v>
      </c>
      <c r="CL114" s="32">
        <f t="shared" si="110"/>
        <v>7.8281449117058075E-2</v>
      </c>
      <c r="CM114" s="32">
        <f t="shared" si="111"/>
        <v>0.15656289823411615</v>
      </c>
      <c r="CN114" s="27">
        <v>0.5</v>
      </c>
      <c r="CO114" s="27">
        <f t="shared" si="112"/>
        <v>5.2050801582344368E-3</v>
      </c>
      <c r="CP114" s="27">
        <f t="shared" si="113"/>
        <v>4.1640641265875494E-2</v>
      </c>
      <c r="CQ114" s="57">
        <v>86.5</v>
      </c>
      <c r="CR114" s="57">
        <v>99.425287356321832</v>
      </c>
      <c r="CS114" s="57">
        <v>7.2038309389964601</v>
      </c>
      <c r="CT114" s="57">
        <f t="shared" si="114"/>
        <v>7.2038309389964601</v>
      </c>
      <c r="CU114" s="28">
        <v>86.5</v>
      </c>
      <c r="CV114" s="28">
        <v>99.425287356321832</v>
      </c>
      <c r="CW114" s="28">
        <v>7.2038309389964601</v>
      </c>
      <c r="CX114" s="28">
        <f t="shared" si="115"/>
        <v>7.2038309389964601</v>
      </c>
      <c r="CY114" s="32">
        <f t="shared" si="116"/>
        <v>50.282739954195293</v>
      </c>
      <c r="CZ114" s="32">
        <f t="shared" si="117"/>
        <v>50.282739954195293</v>
      </c>
      <c r="DA114" s="32">
        <f t="shared" si="118"/>
        <v>64.282739954195293</v>
      </c>
      <c r="DB114" s="32">
        <f t="shared" si="119"/>
        <v>1.1509890770670599</v>
      </c>
      <c r="DC114" s="32">
        <f t="shared" si="120"/>
        <v>1.1509890770670599</v>
      </c>
      <c r="DD114" s="59">
        <f t="shared" si="121"/>
        <v>50.282739954195293</v>
      </c>
      <c r="DE114" s="59">
        <f t="shared" si="122"/>
        <v>50.282739954195293</v>
      </c>
      <c r="DF114" s="59">
        <f t="shared" si="123"/>
        <v>64.282739954195293</v>
      </c>
      <c r="DG114" s="59">
        <f t="shared" si="124"/>
        <v>1.1509890770670599</v>
      </c>
      <c r="DH114" s="59">
        <f t="shared" si="125"/>
        <v>1.1509890770670599</v>
      </c>
      <c r="DI114" s="32">
        <f t="shared" si="126"/>
        <v>4.1640641265875494E-2</v>
      </c>
      <c r="DJ114" s="32">
        <f t="shared" si="127"/>
        <v>68.58273995419529</v>
      </c>
      <c r="DK114" s="32">
        <f t="shared" si="128"/>
        <v>1.307551975301176</v>
      </c>
      <c r="DL114">
        <f t="shared" si="129"/>
        <v>8.511382914297636</v>
      </c>
      <c r="DM114">
        <f t="shared" si="134"/>
        <v>1.8394531160279233E-2</v>
      </c>
      <c r="DN114">
        <f t="shared" si="135"/>
        <v>0.13522938500788154</v>
      </c>
      <c r="DO114">
        <f t="shared" si="136"/>
        <v>0.84637608383183927</v>
      </c>
      <c r="DP114">
        <f t="shared" si="130"/>
        <v>8.511382914297636</v>
      </c>
      <c r="DQ114">
        <f t="shared" si="137"/>
        <v>1.8394531160279233E-2</v>
      </c>
      <c r="DR114">
        <f t="shared" si="138"/>
        <v>0.13522938500788154</v>
      </c>
      <c r="DS114">
        <f t="shared" si="139"/>
        <v>0.84637608383183927</v>
      </c>
      <c r="DT114" s="63">
        <f t="shared" si="140"/>
        <v>-7.9870818874098175</v>
      </c>
      <c r="DU114" s="63">
        <f t="shared" si="141"/>
        <v>-7.9870818874098175</v>
      </c>
      <c r="DV114" s="63">
        <f t="shared" si="142"/>
        <v>-7.9826242947402859</v>
      </c>
      <c r="DW114" s="63">
        <f t="shared" si="143"/>
        <v>-7.9826242947402859</v>
      </c>
      <c r="DX114" t="str">
        <f t="shared" si="131"/>
        <v>Sufficient Capacity</v>
      </c>
      <c r="DY114" t="str">
        <f t="shared" si="132"/>
        <v>Sufficient Capacity</v>
      </c>
      <c r="DZ114" t="str">
        <f t="shared" si="133"/>
        <v>Sulfate Dominant electron acceptor</v>
      </c>
      <c r="EA114" t="str">
        <f t="shared" si="144"/>
        <v>Sulfate Dominant electron acceptor</v>
      </c>
      <c r="EB114">
        <v>1.033506E-2</v>
      </c>
      <c r="EC114">
        <v>1.794237E-3</v>
      </c>
      <c r="ED114" s="66">
        <v>3.2394860000000001E-6</v>
      </c>
      <c r="EE114">
        <v>6.5701249999999996E-4</v>
      </c>
      <c r="EF114">
        <v>3.9539600000000003E-3</v>
      </c>
      <c r="EG114" s="66">
        <v>8.9436140000000002E-6</v>
      </c>
      <c r="EH114">
        <v>3.8752049999999998E-4</v>
      </c>
      <c r="EI114" s="66">
        <v>5.7686190000000003E-5</v>
      </c>
      <c r="EJ114">
        <v>4.6010259999999998E-4</v>
      </c>
      <c r="EK114">
        <v>6.7156119999999995E-4</v>
      </c>
      <c r="EL114">
        <v>4.46864E-4</v>
      </c>
      <c r="EM114">
        <v>2.7115290000000002E-4</v>
      </c>
      <c r="EN114">
        <v>1.7771989999999999E-3</v>
      </c>
      <c r="EO114">
        <v>6.4529180000000004E-4</v>
      </c>
      <c r="EP114">
        <v>1.9748880000000002E-3</v>
      </c>
      <c r="EQ114">
        <v>1.3357989999999999E-3</v>
      </c>
      <c r="ER114">
        <v>3.8835820000000001E-4</v>
      </c>
      <c r="ES114">
        <v>6.4928139999999995E-4</v>
      </c>
      <c r="ET114">
        <v>9.1260779999999993E-3</v>
      </c>
      <c r="EU114">
        <v>3.1648599999999998E-3</v>
      </c>
      <c r="EV114">
        <v>7.8915789999999993E-3</v>
      </c>
      <c r="EW114">
        <v>6.60324E-4</v>
      </c>
      <c r="EX114">
        <v>5.6732659999999997E-3</v>
      </c>
      <c r="EY114">
        <v>7.3486059999999997E-3</v>
      </c>
      <c r="EZ114">
        <v>1.083222E-3</v>
      </c>
      <c r="FA114">
        <v>1.031585E-3</v>
      </c>
      <c r="FB114">
        <v>1.1183549999999999E-3</v>
      </c>
      <c r="FC114">
        <v>1.830295E-3</v>
      </c>
      <c r="FD114">
        <v>4.0872070000000003E-4</v>
      </c>
      <c r="FE114">
        <v>2.459501E-2</v>
      </c>
      <c r="FF114">
        <v>1.8553900000000002E-2</v>
      </c>
      <c r="FG114">
        <v>9.8619009999999993E-3</v>
      </c>
      <c r="FH114">
        <v>1.135917E-3</v>
      </c>
      <c r="FI114">
        <v>1.4296580000000001E-3</v>
      </c>
      <c r="FJ114">
        <v>1.227951E-2</v>
      </c>
      <c r="FK114">
        <v>0.13730572591185</v>
      </c>
      <c r="FL114">
        <v>-0.15142751172205701</v>
      </c>
      <c r="FM114">
        <v>-0.30084287464336601</v>
      </c>
      <c r="FN114">
        <v>0.26619659546805502</v>
      </c>
      <c r="FO114">
        <v>-0.31916317165842101</v>
      </c>
      <c r="FP114">
        <v>3.94625037803564E-2</v>
      </c>
      <c r="FQ114">
        <v>-6.8686947363411299E-2</v>
      </c>
      <c r="FR114">
        <v>-1.9416576543640901E-2</v>
      </c>
      <c r="FS114">
        <v>5.3062854709604097E-2</v>
      </c>
      <c r="FT114">
        <v>-0.134732733689992</v>
      </c>
      <c r="FU114">
        <v>-0.235081282984694</v>
      </c>
      <c r="FV114">
        <v>-7.0150478863459903E-2</v>
      </c>
      <c r="FW114">
        <v>0.100334537430364</v>
      </c>
      <c r="FX114">
        <v>-1.9862080076852501E-2</v>
      </c>
      <c r="FY114">
        <v>-6.9863783603822505E-2</v>
      </c>
      <c r="FZ114">
        <v>5.0129163914919901E-2</v>
      </c>
      <c r="GA114">
        <v>0.13335584583187499</v>
      </c>
      <c r="GB114">
        <v>-0.113452635840677</v>
      </c>
      <c r="GC114">
        <v>2.4193746478283099E-2</v>
      </c>
      <c r="GD114">
        <v>0.13138852752756</v>
      </c>
      <c r="GE114">
        <v>8.1602728410861594E-2</v>
      </c>
      <c r="GF114">
        <v>-0.162220878675817</v>
      </c>
      <c r="GG114">
        <v>8.6815135080011693E-2</v>
      </c>
      <c r="GH114">
        <v>0.123380136524991</v>
      </c>
      <c r="GI114">
        <v>-2.3343452031722799E-2</v>
      </c>
      <c r="GJ114">
        <v>0.134852061555291</v>
      </c>
      <c r="GK114">
        <v>5.3035870740242103E-2</v>
      </c>
      <c r="GL114">
        <v>0.21597653008451001</v>
      </c>
      <c r="GM114">
        <v>0.15647202879250199</v>
      </c>
      <c r="GN114">
        <v>0.359423845213375</v>
      </c>
      <c r="GO114">
        <v>-4.3786315905256501E-3</v>
      </c>
      <c r="GP114">
        <v>0.147839565278955</v>
      </c>
      <c r="HK114" s="1"/>
      <c r="HL114" s="1"/>
      <c r="HM114" s="1"/>
      <c r="HN114" s="1"/>
      <c r="HO114" s="65"/>
      <c r="HP114" s="65"/>
      <c r="HQ114" s="65"/>
      <c r="HS114" s="65"/>
      <c r="HT114" s="65"/>
      <c r="HU114" s="65"/>
      <c r="HV114" s="65"/>
      <c r="HW114" s="65"/>
      <c r="HX114" s="65"/>
      <c r="IX114" s="66"/>
      <c r="IZ114" s="66"/>
      <c r="JB114" s="66"/>
      <c r="JD114" s="66"/>
      <c r="JF114" s="66"/>
      <c r="JH114" s="66"/>
      <c r="JJ114" s="66"/>
      <c r="JL114" s="66"/>
      <c r="JN114" s="66"/>
      <c r="JO114" s="66"/>
      <c r="JP114" s="66"/>
      <c r="JQ114" s="66"/>
      <c r="JR114" s="66"/>
    </row>
    <row r="115" spans="1:278" ht="15.75" x14ac:dyDescent="0.25">
      <c r="A115" s="6" t="s">
        <v>168</v>
      </c>
      <c r="B115" s="6" t="s">
        <v>168</v>
      </c>
      <c r="C115" s="2" t="s">
        <v>925</v>
      </c>
      <c r="D115" s="2" t="s">
        <v>557</v>
      </c>
      <c r="E115" s="2" t="s">
        <v>557</v>
      </c>
      <c r="F115" s="2">
        <v>114</v>
      </c>
      <c r="G115" s="2" t="s">
        <v>924</v>
      </c>
      <c r="H115" s="10" t="s">
        <v>656</v>
      </c>
      <c r="I115" s="2">
        <v>150</v>
      </c>
      <c r="J115" s="2">
        <v>65</v>
      </c>
      <c r="K115" s="15">
        <v>6.2</v>
      </c>
      <c r="L115" t="s">
        <v>343</v>
      </c>
      <c r="M115" s="2" t="s">
        <v>1120</v>
      </c>
      <c r="N115" s="2" t="s">
        <v>437</v>
      </c>
      <c r="O115" s="2" t="s">
        <v>653</v>
      </c>
      <c r="P115" s="2" t="s">
        <v>1124</v>
      </c>
      <c r="Q115" s="9" t="s">
        <v>734</v>
      </c>
      <c r="R115" s="2" t="str">
        <f t="shared" si="73"/>
        <v>CW_3_Section_1</v>
      </c>
      <c r="S115" s="2" t="str">
        <f t="shared" si="74"/>
        <v>CW_3_MF02</v>
      </c>
      <c r="T115" s="11" t="s">
        <v>891</v>
      </c>
      <c r="U115" s="1">
        <v>45763</v>
      </c>
      <c r="V115" s="2" t="s">
        <v>660</v>
      </c>
      <c r="W115" s="2" t="s">
        <v>663</v>
      </c>
      <c r="X115" s="2" t="s">
        <v>890</v>
      </c>
      <c r="Y115" s="2" t="str">
        <f t="shared" si="75"/>
        <v>T4_MF02</v>
      </c>
      <c r="Z115" s="2" t="str">
        <f t="shared" si="76"/>
        <v>T4_CW_3_MF02</v>
      </c>
      <c r="AA115" s="2" t="str">
        <f t="shared" si="77"/>
        <v>T4_0.60-0.80</v>
      </c>
      <c r="AB115" s="2">
        <v>245</v>
      </c>
      <c r="AC115" s="2">
        <v>8.0589999999999993</v>
      </c>
      <c r="AD115" s="2">
        <v>-0.02</v>
      </c>
      <c r="AE115" s="2">
        <v>4</v>
      </c>
      <c r="AF115" t="s">
        <v>53</v>
      </c>
      <c r="AG115" t="s">
        <v>1237</v>
      </c>
      <c r="AH115">
        <v>70</v>
      </c>
      <c r="AI115" t="s">
        <v>443</v>
      </c>
      <c r="AJ115">
        <v>0.74</v>
      </c>
      <c r="AK115">
        <v>0.6</v>
      </c>
      <c r="AL115">
        <v>13.8</v>
      </c>
      <c r="AM115">
        <v>-88</v>
      </c>
      <c r="AN115">
        <v>7.01</v>
      </c>
      <c r="AO115">
        <v>744</v>
      </c>
      <c r="AP115">
        <v>0.2</v>
      </c>
      <c r="AQ115">
        <v>0.01</v>
      </c>
      <c r="AR115">
        <v>12</v>
      </c>
      <c r="AS115">
        <v>14</v>
      </c>
      <c r="AT115">
        <v>560</v>
      </c>
      <c r="AU115" s="32">
        <f t="shared" si="89"/>
        <v>0.21508129560875688</v>
      </c>
      <c r="AV115">
        <v>5</v>
      </c>
      <c r="AW115" s="32">
        <f t="shared" si="90"/>
        <v>1.9535489472541786E-3</v>
      </c>
      <c r="AX115">
        <v>520</v>
      </c>
      <c r="AY115" s="32">
        <f t="shared" si="91"/>
        <v>0.20570782706979374</v>
      </c>
      <c r="AZ115">
        <v>170</v>
      </c>
      <c r="BA115" s="32">
        <f t="shared" si="92"/>
        <v>6.7250635772817174E-2</v>
      </c>
      <c r="BB115">
        <v>180</v>
      </c>
      <c r="BC115" s="32">
        <f t="shared" si="93"/>
        <v>7.120655552415936E-2</v>
      </c>
      <c r="BD115">
        <v>350</v>
      </c>
      <c r="BF115" s="48">
        <v>1465</v>
      </c>
      <c r="BG115" s="48">
        <f t="shared" si="94"/>
        <v>0.42274267162580481</v>
      </c>
      <c r="BH115">
        <v>4800</v>
      </c>
      <c r="BI115" s="32">
        <f t="shared" si="95"/>
        <v>1.7976125458375594</v>
      </c>
      <c r="BJ115" s="47">
        <v>4300</v>
      </c>
      <c r="BK115" s="27">
        <f t="shared" si="96"/>
        <v>1.6103612389794804</v>
      </c>
      <c r="BL115" s="47">
        <v>4</v>
      </c>
      <c r="BM115" s="27">
        <f t="shared" si="97"/>
        <v>1.4718444050200407E-3</v>
      </c>
      <c r="BN115" s="47">
        <v>290</v>
      </c>
      <c r="BO115" s="27">
        <f t="shared" si="98"/>
        <v>0.10907204461448673</v>
      </c>
      <c r="BP115" s="47">
        <v>66</v>
      </c>
      <c r="BQ115" s="27">
        <f t="shared" si="99"/>
        <v>2.4617976176152086E-2</v>
      </c>
      <c r="BR115" s="47">
        <v>36</v>
      </c>
      <c r="BS115" s="27">
        <f t="shared" si="100"/>
        <v>1.333108904224878E-2</v>
      </c>
      <c r="BT115" s="47">
        <v>0.4</v>
      </c>
      <c r="BU115" s="27">
        <f t="shared" si="101"/>
        <v>1.4812321158054199E-4</v>
      </c>
      <c r="BV115" s="47">
        <v>0.4</v>
      </c>
      <c r="BW115" s="27">
        <f t="shared" si="102"/>
        <v>1.4635352286773798E-4</v>
      </c>
      <c r="BX115" s="47">
        <v>0.8</v>
      </c>
      <c r="BY115" s="27">
        <f t="shared" si="103"/>
        <v>2.9270704573547597E-4</v>
      </c>
      <c r="BZ115" s="51">
        <f t="shared" si="104"/>
        <v>4697.5999999999995</v>
      </c>
      <c r="CA115" s="51">
        <f t="shared" si="105"/>
        <v>397.59999999999997</v>
      </c>
      <c r="CB115" s="27">
        <f t="shared" si="106"/>
        <v>1.7594413769975721</v>
      </c>
      <c r="CC115" s="27">
        <f t="shared" si="107"/>
        <v>0.14908013801809139</v>
      </c>
      <c r="CD115">
        <v>6000</v>
      </c>
      <c r="CE115">
        <v>2000</v>
      </c>
      <c r="CF115" t="s">
        <v>19</v>
      </c>
      <c r="CG115">
        <v>8000</v>
      </c>
      <c r="CH115" s="32">
        <v>0.3</v>
      </c>
      <c r="CI115" s="32">
        <f t="shared" si="108"/>
        <v>5.3715308863025958E-3</v>
      </c>
      <c r="CJ115" s="32">
        <f t="shared" si="109"/>
        <v>5.3715308863025958E-3</v>
      </c>
      <c r="CK115" s="32">
        <v>0.9</v>
      </c>
      <c r="CL115" s="32">
        <f t="shared" si="110"/>
        <v>1.6384489350081924E-2</v>
      </c>
      <c r="CM115" s="32">
        <f t="shared" si="111"/>
        <v>3.2768978700163848E-2</v>
      </c>
      <c r="CN115" s="27">
        <v>67</v>
      </c>
      <c r="CO115" s="27">
        <f t="shared" si="112"/>
        <v>0.69748074120341452</v>
      </c>
      <c r="CP115" s="27">
        <f t="shared" si="113"/>
        <v>5.5798459296273162</v>
      </c>
      <c r="CQ115" s="57">
        <v>20</v>
      </c>
      <c r="CR115" s="57">
        <v>22.988505747126435</v>
      </c>
      <c r="CS115" s="57">
        <v>1.6656256506350198</v>
      </c>
      <c r="CT115" s="57">
        <f t="shared" si="114"/>
        <v>1.6656256506350198</v>
      </c>
      <c r="CU115" s="28">
        <v>20</v>
      </c>
      <c r="CV115" s="28">
        <v>22.988505747126435</v>
      </c>
      <c r="CW115" s="28">
        <v>1.6656256506350198</v>
      </c>
      <c r="CX115" s="28">
        <f t="shared" si="115"/>
        <v>1.6656256506350198</v>
      </c>
      <c r="CY115" s="32">
        <f t="shared" si="116"/>
        <v>11.626067041432437</v>
      </c>
      <c r="CZ115" s="32">
        <f t="shared" si="117"/>
        <v>11.626067041432437</v>
      </c>
      <c r="DA115" s="32">
        <f t="shared" si="118"/>
        <v>11.926067041432438</v>
      </c>
      <c r="DB115" s="32">
        <f t="shared" si="119"/>
        <v>0.21353745821723255</v>
      </c>
      <c r="DC115" s="32">
        <f t="shared" si="120"/>
        <v>0.21353745821723255</v>
      </c>
      <c r="DD115" s="59">
        <f t="shared" si="121"/>
        <v>11.626067041432437</v>
      </c>
      <c r="DE115" s="59">
        <f t="shared" si="122"/>
        <v>11.626067041432437</v>
      </c>
      <c r="DF115" s="59">
        <f t="shared" si="123"/>
        <v>11.926067041432438</v>
      </c>
      <c r="DG115" s="59">
        <f t="shared" si="124"/>
        <v>0.21353745821723255</v>
      </c>
      <c r="DH115" s="59">
        <f t="shared" si="125"/>
        <v>0.21353745821723255</v>
      </c>
      <c r="DI115" s="32">
        <f t="shared" si="126"/>
        <v>5.5798459296273162</v>
      </c>
      <c r="DJ115" s="32">
        <f t="shared" si="127"/>
        <v>12.826067041432438</v>
      </c>
      <c r="DK115" s="32">
        <f t="shared" si="128"/>
        <v>0.2463064369173964</v>
      </c>
      <c r="DL115">
        <f t="shared" si="129"/>
        <v>1.9119320875524162</v>
      </c>
      <c r="DM115">
        <f t="shared" si="134"/>
        <v>1.7139195954451219E-2</v>
      </c>
      <c r="DN115">
        <f t="shared" si="135"/>
        <v>0.11168673804235128</v>
      </c>
      <c r="DO115">
        <f t="shared" si="136"/>
        <v>0.87117406600319747</v>
      </c>
      <c r="DP115">
        <f t="shared" si="130"/>
        <v>1.9119320875524162</v>
      </c>
      <c r="DQ115">
        <f t="shared" si="137"/>
        <v>1.7139195954451219E-2</v>
      </c>
      <c r="DR115">
        <f t="shared" si="138"/>
        <v>0.11168673804235128</v>
      </c>
      <c r="DS115">
        <f t="shared" si="139"/>
        <v>0.87117406600319747</v>
      </c>
      <c r="DT115" s="63">
        <f t="shared" si="140"/>
        <v>0.30842312991094811</v>
      </c>
      <c r="DU115" s="63">
        <f t="shared" si="141"/>
        <v>0.30842312991094811</v>
      </c>
      <c r="DV115" s="63">
        <f t="shared" si="142"/>
        <v>0.45750326792903939</v>
      </c>
      <c r="DW115" s="63">
        <f t="shared" si="143"/>
        <v>0.45750326792903939</v>
      </c>
      <c r="DX115" t="str">
        <f t="shared" si="131"/>
        <v>Insufficient Capacity</v>
      </c>
      <c r="DY115" t="str">
        <f t="shared" si="132"/>
        <v>Insufficient Capacity</v>
      </c>
      <c r="DZ115" t="str">
        <f t="shared" si="133"/>
        <v>Sulfate Dominant electron acceptor</v>
      </c>
      <c r="EA115" t="str">
        <f t="shared" si="144"/>
        <v>Sulfate Dominant electron acceptor</v>
      </c>
      <c r="EB115">
        <v>7.8667909999999997E-3</v>
      </c>
      <c r="EC115">
        <v>1.3331230000000001E-3</v>
      </c>
      <c r="ED115" s="66">
        <v>1.2065140000000001E-7</v>
      </c>
      <c r="EE115">
        <v>1.2239340000000001E-3</v>
      </c>
      <c r="EF115">
        <v>7.6700350000000004E-3</v>
      </c>
      <c r="EG115" s="66">
        <v>9.6782259999999994E-6</v>
      </c>
      <c r="EH115">
        <v>7.1517849999999997E-4</v>
      </c>
      <c r="EI115" s="66">
        <v>5.9780169999999999E-5</v>
      </c>
      <c r="EJ115">
        <v>8.4491999999999998E-4</v>
      </c>
      <c r="EK115">
        <v>1.286815E-3</v>
      </c>
      <c r="EL115">
        <v>8.6659879999999995E-4</v>
      </c>
      <c r="EM115">
        <v>8.3328250000000003E-4</v>
      </c>
      <c r="EN115">
        <v>2.3239879999999999E-3</v>
      </c>
      <c r="EO115">
        <v>9.7326339999999996E-4</v>
      </c>
      <c r="EP115">
        <v>3.3820640000000002E-3</v>
      </c>
      <c r="EQ115">
        <v>8.9429259999999997E-4</v>
      </c>
      <c r="ER115">
        <v>6.8055310000000001E-4</v>
      </c>
      <c r="ES115">
        <v>1.1451569999999999E-3</v>
      </c>
      <c r="ET115">
        <v>5.5438919999999999E-3</v>
      </c>
      <c r="EU115">
        <v>2.2347309999999998E-3</v>
      </c>
      <c r="EV115">
        <v>7.7226880000000001E-3</v>
      </c>
      <c r="EW115">
        <v>8.6191869999999995E-4</v>
      </c>
      <c r="EX115">
        <v>4.4325659999999998E-3</v>
      </c>
      <c r="EY115">
        <v>6.3732429999999998E-3</v>
      </c>
      <c r="EZ115">
        <v>2.087116E-3</v>
      </c>
      <c r="FA115">
        <v>1.5308640000000001E-3</v>
      </c>
      <c r="FB115">
        <v>1.5729170000000001E-3</v>
      </c>
      <c r="FC115">
        <v>2.2025220000000002E-3</v>
      </c>
      <c r="FD115">
        <v>5.2482929999999998E-4</v>
      </c>
      <c r="FE115">
        <v>2.7660279999999999E-2</v>
      </c>
      <c r="FF115">
        <v>1.306848E-2</v>
      </c>
      <c r="FG115">
        <v>8.1283740000000007E-3</v>
      </c>
      <c r="FH115">
        <v>8.7871539999999999E-4</v>
      </c>
      <c r="FI115">
        <v>1.76918E-3</v>
      </c>
      <c r="FJ115">
        <v>9.518917E-3</v>
      </c>
      <c r="FK115">
        <v>0.75942822178286296</v>
      </c>
      <c r="FL115">
        <v>0.51117605852070402</v>
      </c>
      <c r="FM115">
        <v>-0.22190401267013701</v>
      </c>
      <c r="FN115">
        <v>0.87896000673436803</v>
      </c>
      <c r="FO115">
        <v>-0.28350697449239898</v>
      </c>
      <c r="FP115">
        <v>0.64725494400849604</v>
      </c>
      <c r="FQ115">
        <v>0.58163335370577696</v>
      </c>
      <c r="FR115">
        <v>0.642905250278614</v>
      </c>
      <c r="FS115">
        <v>1.1757527066201701</v>
      </c>
      <c r="FT115">
        <v>0.13351341237856801</v>
      </c>
      <c r="FU115">
        <v>0.17587085412005099</v>
      </c>
      <c r="FV115">
        <v>0.467824007263339</v>
      </c>
      <c r="FW115">
        <v>-0.30091734155612898</v>
      </c>
      <c r="FX115">
        <v>0.54111566021373603</v>
      </c>
      <c r="FY115">
        <v>0.497567028018924</v>
      </c>
      <c r="FZ115">
        <v>-0.44831008438393899</v>
      </c>
      <c r="GA115">
        <v>-0.21463211209855401</v>
      </c>
      <c r="GB115">
        <v>-0.135086387456167</v>
      </c>
      <c r="GC115">
        <v>0.29062407349380898</v>
      </c>
      <c r="GD115">
        <v>-0.115397789616709</v>
      </c>
      <c r="GE115">
        <v>-6.0799461747700803E-2</v>
      </c>
      <c r="GF115">
        <v>0.49362239688833798</v>
      </c>
      <c r="GG115">
        <v>0.481550962580586</v>
      </c>
      <c r="GH115">
        <v>0.46445313815617201</v>
      </c>
      <c r="GI115">
        <v>0.16178245934840499</v>
      </c>
      <c r="GJ115">
        <v>0.38489309073437</v>
      </c>
      <c r="GK115">
        <v>0.170489743012878</v>
      </c>
      <c r="GL115">
        <v>-0.13450025544857899</v>
      </c>
      <c r="GM115">
        <v>-3.6846016870256001E-2</v>
      </c>
      <c r="GN115">
        <v>0.10268938022056</v>
      </c>
      <c r="GO115">
        <v>0.20870227598404401</v>
      </c>
      <c r="GP115">
        <v>-0.106811372535938</v>
      </c>
      <c r="GY115" s="65"/>
      <c r="HK115" s="1"/>
      <c r="HL115" s="1"/>
      <c r="HM115" s="65"/>
      <c r="HN115" s="1"/>
      <c r="HO115" s="65"/>
      <c r="HP115" s="65"/>
      <c r="HQ115" s="65"/>
      <c r="HS115" s="65"/>
      <c r="HT115" s="65"/>
      <c r="HU115" s="65"/>
      <c r="HV115" s="65"/>
      <c r="HW115" s="65"/>
      <c r="HX115" s="65"/>
      <c r="JJ115" s="66"/>
      <c r="JL115" s="66"/>
      <c r="JN115" s="66"/>
    </row>
    <row r="116" spans="1:278" ht="15.75" x14ac:dyDescent="0.25">
      <c r="A116" s="6" t="s">
        <v>169</v>
      </c>
      <c r="B116" s="6" t="s">
        <v>169</v>
      </c>
      <c r="C116" s="2" t="s">
        <v>927</v>
      </c>
      <c r="D116" s="2" t="s">
        <v>558</v>
      </c>
      <c r="E116" s="2" t="s">
        <v>558</v>
      </c>
      <c r="F116" s="2">
        <v>115</v>
      </c>
      <c r="G116" s="2" t="s">
        <v>926</v>
      </c>
      <c r="H116" s="10" t="s">
        <v>656</v>
      </c>
      <c r="I116" s="2">
        <v>150</v>
      </c>
      <c r="J116" s="2">
        <v>65</v>
      </c>
      <c r="K116" s="15">
        <v>16.2</v>
      </c>
      <c r="L116" t="s">
        <v>344</v>
      </c>
      <c r="M116" s="2" t="s">
        <v>1120</v>
      </c>
      <c r="N116" s="2" t="s">
        <v>437</v>
      </c>
      <c r="O116" s="2" t="s">
        <v>666</v>
      </c>
      <c r="P116" s="2" t="s">
        <v>1131</v>
      </c>
      <c r="Q116" s="9" t="s">
        <v>737</v>
      </c>
      <c r="R116" s="2" t="str">
        <f t="shared" si="73"/>
        <v>CW_3_Section_2</v>
      </c>
      <c r="S116" s="2" t="str">
        <f t="shared" si="74"/>
        <v>CW_3_MF05</v>
      </c>
      <c r="T116" s="11" t="s">
        <v>891</v>
      </c>
      <c r="U116" s="1">
        <v>45763</v>
      </c>
      <c r="V116" s="2" t="s">
        <v>660</v>
      </c>
      <c r="W116" s="2" t="s">
        <v>655</v>
      </c>
      <c r="X116" s="2" t="s">
        <v>890</v>
      </c>
      <c r="Y116" s="2" t="str">
        <f t="shared" si="75"/>
        <v>T4_MF05</v>
      </c>
      <c r="Z116" s="2" t="str">
        <f t="shared" si="76"/>
        <v>T4_CW_3_MF05</v>
      </c>
      <c r="AA116" s="2" t="str">
        <f t="shared" si="77"/>
        <v>T4_0.15-0.30</v>
      </c>
      <c r="AB116" s="2">
        <v>245</v>
      </c>
      <c r="AC116" s="2">
        <v>8.0589999999999993</v>
      </c>
      <c r="AD116" s="2">
        <v>-0.02</v>
      </c>
      <c r="AE116" s="2">
        <v>4</v>
      </c>
      <c r="AF116" t="s">
        <v>55</v>
      </c>
      <c r="AG116" t="s">
        <v>1237</v>
      </c>
      <c r="AH116">
        <v>65</v>
      </c>
      <c r="AI116" t="s">
        <v>443</v>
      </c>
      <c r="AJ116">
        <v>1.4999999999999999E-2</v>
      </c>
      <c r="AK116">
        <v>2.11</v>
      </c>
      <c r="AL116">
        <v>14.1</v>
      </c>
      <c r="AM116">
        <v>-3.8</v>
      </c>
      <c r="AN116">
        <v>6.81</v>
      </c>
      <c r="AO116">
        <v>694</v>
      </c>
      <c r="AP116">
        <v>0.2</v>
      </c>
      <c r="AQ116">
        <v>0.01</v>
      </c>
      <c r="AR116">
        <v>1.4</v>
      </c>
      <c r="AS116">
        <v>1.6</v>
      </c>
      <c r="AT116">
        <v>0.89</v>
      </c>
      <c r="AU116" s="32">
        <f t="shared" si="89"/>
        <v>3.4182563052106009E-4</v>
      </c>
      <c r="AV116">
        <v>0.02</v>
      </c>
      <c r="AW116" s="32">
        <f t="shared" si="90"/>
        <v>7.8141957890167132E-6</v>
      </c>
      <c r="AX116">
        <v>1.8</v>
      </c>
      <c r="AY116" s="32">
        <f t="shared" si="91"/>
        <v>7.120655552415937E-4</v>
      </c>
      <c r="AZ116">
        <v>0.72</v>
      </c>
      <c r="BA116" s="32">
        <f t="shared" si="92"/>
        <v>2.8482622209663748E-4</v>
      </c>
      <c r="BB116">
        <v>0.52</v>
      </c>
      <c r="BC116" s="32">
        <f t="shared" si="93"/>
        <v>2.0570782706979374E-4</v>
      </c>
      <c r="BD116">
        <v>1.24</v>
      </c>
      <c r="BF116" s="48">
        <v>4.07</v>
      </c>
      <c r="BG116" s="48">
        <f t="shared" si="94"/>
        <v>1.0617053815516705E-3</v>
      </c>
      <c r="BH116">
        <v>9.6</v>
      </c>
      <c r="BI116" s="32">
        <f t="shared" si="95"/>
        <v>3.5952250916751185E-3</v>
      </c>
      <c r="BJ116" s="47">
        <v>1100</v>
      </c>
      <c r="BK116" s="27">
        <f t="shared" si="96"/>
        <v>0.41195287508777401</v>
      </c>
      <c r="BL116" s="47">
        <v>4</v>
      </c>
      <c r="BM116" s="27">
        <f t="shared" si="97"/>
        <v>1.4718444050200407E-3</v>
      </c>
      <c r="BN116" s="47">
        <v>4</v>
      </c>
      <c r="BO116" s="27">
        <f t="shared" si="98"/>
        <v>1.5044419946825757E-3</v>
      </c>
      <c r="BP116" s="47">
        <v>2</v>
      </c>
      <c r="BQ116" s="27">
        <f t="shared" si="99"/>
        <v>7.4599927806521475E-4</v>
      </c>
      <c r="BR116" s="47">
        <v>0.4</v>
      </c>
      <c r="BS116" s="27">
        <f t="shared" si="100"/>
        <v>1.4812321158054199E-4</v>
      </c>
      <c r="BT116" s="47">
        <v>1E-3</v>
      </c>
      <c r="BU116" s="27">
        <f t="shared" si="101"/>
        <v>3.7030802895135499E-7</v>
      </c>
      <c r="BV116" s="47">
        <v>1E-3</v>
      </c>
      <c r="BW116" s="27">
        <f t="shared" si="102"/>
        <v>3.6588380716934485E-7</v>
      </c>
      <c r="BX116" s="47">
        <v>2E-3</v>
      </c>
      <c r="BY116" s="27">
        <f t="shared" si="103"/>
        <v>7.3176761433868969E-7</v>
      </c>
      <c r="BZ116" s="51">
        <f t="shared" si="104"/>
        <v>1110.404</v>
      </c>
      <c r="CA116" s="51">
        <f t="shared" si="105"/>
        <v>10.404</v>
      </c>
      <c r="CB116" s="27">
        <f t="shared" si="106"/>
        <v>0.41582475193657287</v>
      </c>
      <c r="CC116" s="27">
        <f t="shared" si="107"/>
        <v>3.8718768487988327E-3</v>
      </c>
      <c r="CD116">
        <v>2.5</v>
      </c>
      <c r="CE116">
        <v>2.5</v>
      </c>
      <c r="CF116" t="s">
        <v>19</v>
      </c>
      <c r="CG116">
        <v>5</v>
      </c>
      <c r="CH116" s="32">
        <v>0.9</v>
      </c>
      <c r="CI116" s="32">
        <f t="shared" si="108"/>
        <v>1.611459265890779E-2</v>
      </c>
      <c r="CJ116" s="32">
        <f t="shared" si="109"/>
        <v>1.611459265890779E-2</v>
      </c>
      <c r="CK116" s="32">
        <v>6.6</v>
      </c>
      <c r="CL116" s="32">
        <f t="shared" si="110"/>
        <v>0.12015292190060076</v>
      </c>
      <c r="CM116" s="32">
        <f t="shared" si="111"/>
        <v>0.24030584380120151</v>
      </c>
      <c r="CN116" s="27">
        <v>68</v>
      </c>
      <c r="CO116" s="27">
        <f t="shared" si="112"/>
        <v>0.70789090151988343</v>
      </c>
      <c r="CP116" s="27">
        <f t="shared" si="113"/>
        <v>5.6631272121590674</v>
      </c>
      <c r="CQ116" s="57">
        <v>19</v>
      </c>
      <c r="CR116" s="57">
        <v>21.839080459770116</v>
      </c>
      <c r="CS116" s="57">
        <v>1.5823443681032687</v>
      </c>
      <c r="CT116" s="57">
        <f t="shared" si="114"/>
        <v>1.5823443681032687</v>
      </c>
      <c r="CU116" s="28">
        <v>-67.5</v>
      </c>
      <c r="CV116" s="28">
        <v>-13500</v>
      </c>
      <c r="CW116" s="28">
        <v>-5.6214865708931914</v>
      </c>
      <c r="CX116" s="28">
        <f t="shared" si="115"/>
        <v>0</v>
      </c>
      <c r="CY116" s="32">
        <f t="shared" si="116"/>
        <v>11.044763689360815</v>
      </c>
      <c r="CZ116" s="32">
        <f t="shared" si="117"/>
        <v>11.044763689360815</v>
      </c>
      <c r="DA116" s="32">
        <f t="shared" si="118"/>
        <v>11.944763689360816</v>
      </c>
      <c r="DB116" s="32">
        <f t="shared" si="119"/>
        <v>0.21387222362329122</v>
      </c>
      <c r="DC116" s="32">
        <f t="shared" si="120"/>
        <v>0.21387222362329122</v>
      </c>
      <c r="DD116" s="59">
        <f t="shared" si="121"/>
        <v>-39.237976264834479</v>
      </c>
      <c r="DE116" s="59">
        <f t="shared" si="122"/>
        <v>0</v>
      </c>
      <c r="DF116" s="59">
        <f t="shared" si="123"/>
        <v>0.9</v>
      </c>
      <c r="DG116" s="59">
        <f t="shared" si="124"/>
        <v>1.611459265890779E-2</v>
      </c>
      <c r="DH116" s="59">
        <f t="shared" si="125"/>
        <v>1.611459265890779E-2</v>
      </c>
      <c r="DI116" s="32">
        <f t="shared" si="126"/>
        <v>5.6631272121590674</v>
      </c>
      <c r="DJ116" s="32">
        <f t="shared" si="127"/>
        <v>7.5</v>
      </c>
      <c r="DK116" s="32">
        <f t="shared" si="128"/>
        <v>0.25642043646010931</v>
      </c>
      <c r="DL116">
        <f t="shared" si="129"/>
        <v>2.0365224355277616</v>
      </c>
      <c r="DM116">
        <f t="shared" si="134"/>
        <v>0.11799813231074306</v>
      </c>
      <c r="DN116">
        <f t="shared" si="135"/>
        <v>0.10501834887366049</v>
      </c>
      <c r="DO116">
        <f t="shared" si="136"/>
        <v>0.77698351881559635</v>
      </c>
      <c r="DP116">
        <f t="shared" si="130"/>
        <v>0.25642043646010931</v>
      </c>
      <c r="DQ116">
        <f t="shared" si="137"/>
        <v>0.93715558369149443</v>
      </c>
      <c r="DR116">
        <f t="shared" si="138"/>
        <v>6.2844416308505485E-2</v>
      </c>
      <c r="DS116">
        <f t="shared" si="139"/>
        <v>0</v>
      </c>
      <c r="DT116" s="63">
        <f t="shared" si="140"/>
        <v>-2.0318655050545349</v>
      </c>
      <c r="DU116" s="63">
        <f t="shared" si="141"/>
        <v>-0.25176350598688252</v>
      </c>
      <c r="DV116" s="63">
        <f t="shared" si="142"/>
        <v>-2.0279936282057358</v>
      </c>
      <c r="DW116" s="63">
        <f t="shared" si="143"/>
        <v>-0.24789162913808369</v>
      </c>
      <c r="DX116" t="str">
        <f t="shared" si="131"/>
        <v>Sufficient Capacity</v>
      </c>
      <c r="DY116" t="str">
        <f t="shared" si="132"/>
        <v>Sufficient Capacity</v>
      </c>
      <c r="DZ116" t="str">
        <f t="shared" si="133"/>
        <v>Sulfate Dominant electron acceptor</v>
      </c>
      <c r="EA116" t="str">
        <f t="shared" si="144"/>
        <v>Iron Dominant electron acceptor</v>
      </c>
      <c r="EB116">
        <v>9.3662620000000002E-3</v>
      </c>
      <c r="EC116">
        <v>1.746292E-3</v>
      </c>
      <c r="ED116" s="66">
        <v>3.4007510000000002E-7</v>
      </c>
      <c r="EE116">
        <v>8.5632009999999997E-4</v>
      </c>
      <c r="EF116">
        <v>6.492294E-3</v>
      </c>
      <c r="EG116" s="66">
        <v>9.5304540000000005E-6</v>
      </c>
      <c r="EH116">
        <v>4.511068E-4</v>
      </c>
      <c r="EI116" s="66">
        <v>9.0489370000000006E-5</v>
      </c>
      <c r="EJ116">
        <v>4.8726299999999999E-4</v>
      </c>
      <c r="EK116">
        <v>8.1786019999999997E-4</v>
      </c>
      <c r="EL116">
        <v>5.3136299999999997E-4</v>
      </c>
      <c r="EM116">
        <v>3.8882670000000002E-4</v>
      </c>
      <c r="EN116">
        <v>2.072689E-3</v>
      </c>
      <c r="EO116">
        <v>8.1642710000000003E-4</v>
      </c>
      <c r="EP116">
        <v>2.926774E-3</v>
      </c>
      <c r="EQ116">
        <v>1.084415E-3</v>
      </c>
      <c r="ER116">
        <v>5.8457140000000001E-4</v>
      </c>
      <c r="ES116">
        <v>1.002261E-3</v>
      </c>
      <c r="ET116">
        <v>6.4034239999999996E-3</v>
      </c>
      <c r="EU116">
        <v>2.528115E-3</v>
      </c>
      <c r="EV116">
        <v>7.7695359999999996E-3</v>
      </c>
      <c r="EW116">
        <v>7.7084539999999996E-4</v>
      </c>
      <c r="EX116">
        <v>4.5739800000000001E-3</v>
      </c>
      <c r="EY116">
        <v>7.0731980000000002E-3</v>
      </c>
      <c r="EZ116">
        <v>1.8665979999999999E-3</v>
      </c>
      <c r="FA116">
        <v>1.3533359999999999E-3</v>
      </c>
      <c r="FB116">
        <v>1.451258E-3</v>
      </c>
      <c r="FC116">
        <v>1.9778180000000001E-3</v>
      </c>
      <c r="FD116">
        <v>4.6262989999999997E-4</v>
      </c>
      <c r="FE116">
        <v>2.7127189999999999E-2</v>
      </c>
      <c r="FF116">
        <v>1.530773E-2</v>
      </c>
      <c r="FG116">
        <v>9.0388229999999996E-3</v>
      </c>
      <c r="FH116">
        <v>8.5102569999999996E-4</v>
      </c>
      <c r="FI116">
        <v>1.7520649999999999E-3</v>
      </c>
      <c r="FJ116">
        <v>1.016747E-2</v>
      </c>
      <c r="FK116">
        <v>0.40224693657156102</v>
      </c>
      <c r="FL116">
        <v>0.34447081505198501</v>
      </c>
      <c r="FM116">
        <v>-0.237290277134794</v>
      </c>
      <c r="FN116">
        <v>0.41813196341182002</v>
      </c>
      <c r="FO116">
        <v>0.131051410138945</v>
      </c>
      <c r="FP116">
        <v>9.6817014070105706E-2</v>
      </c>
      <c r="FQ116">
        <v>0.128399318937126</v>
      </c>
      <c r="FR116">
        <v>0.15377452919795601</v>
      </c>
      <c r="FS116">
        <v>0.41351372936047998</v>
      </c>
      <c r="FT116">
        <v>1.9075534992687399E-2</v>
      </c>
      <c r="FU116">
        <v>1.53724319445381E-4</v>
      </c>
      <c r="FV116">
        <v>0.32323862581833501</v>
      </c>
      <c r="FW116">
        <v>-0.10815440618286699</v>
      </c>
      <c r="FX116">
        <v>0.38908873944715</v>
      </c>
      <c r="FY116">
        <v>0.36428373029440497</v>
      </c>
      <c r="FZ116">
        <v>-0.30417401825816398</v>
      </c>
      <c r="GA116">
        <v>-9.1279009222375904E-2</v>
      </c>
      <c r="GB116">
        <v>-0.12903843168177001</v>
      </c>
      <c r="GC116">
        <v>0.17895095747335099</v>
      </c>
      <c r="GD116">
        <v>-8.3992715438415494E-2</v>
      </c>
      <c r="GE116">
        <v>4.3404804478963201E-2</v>
      </c>
      <c r="GF116">
        <v>0.38195671084463301</v>
      </c>
      <c r="GG116">
        <v>0.35829133606719499</v>
      </c>
      <c r="GH116">
        <v>0.38395204739257999</v>
      </c>
      <c r="GI116">
        <v>5.4173608754507697E-2</v>
      </c>
      <c r="GJ116">
        <v>0.25874740625248099</v>
      </c>
      <c r="GK116">
        <v>0.151028839835047</v>
      </c>
      <c r="GL116">
        <v>2.3654450112823099E-2</v>
      </c>
      <c r="GM116">
        <v>6.9322046385091901E-2</v>
      </c>
      <c r="GN116">
        <v>7.06706398641712E-2</v>
      </c>
      <c r="GO116">
        <v>0.19898120586294901</v>
      </c>
      <c r="GP116">
        <v>-4.0899046146725099E-2</v>
      </c>
      <c r="GR116" s="66"/>
      <c r="GT116" s="66"/>
      <c r="GV116" s="66"/>
      <c r="GW116" s="65"/>
      <c r="GX116" s="65"/>
      <c r="HK116" s="1"/>
      <c r="HL116" s="1"/>
      <c r="HM116" s="65"/>
      <c r="HN116" s="1"/>
      <c r="HO116" s="65"/>
      <c r="HP116" s="65"/>
      <c r="HQ116" s="65"/>
      <c r="HT116" s="65"/>
      <c r="HV116" s="65"/>
      <c r="HW116" s="65"/>
      <c r="HX116" s="65"/>
      <c r="JD116" s="66"/>
      <c r="JF116" s="66"/>
      <c r="JH116" s="66"/>
      <c r="JJ116" s="66"/>
      <c r="JL116" s="66"/>
      <c r="JN116" s="66"/>
    </row>
    <row r="117" spans="1:278" ht="15.75" x14ac:dyDescent="0.25">
      <c r="A117" s="6" t="s">
        <v>170</v>
      </c>
      <c r="B117" s="6" t="s">
        <v>170</v>
      </c>
      <c r="C117" s="2" t="s">
        <v>929</v>
      </c>
      <c r="D117" s="2" t="s">
        <v>559</v>
      </c>
      <c r="E117" s="2" t="s">
        <v>559</v>
      </c>
      <c r="F117" s="2">
        <v>116</v>
      </c>
      <c r="G117" s="2" t="s">
        <v>928</v>
      </c>
      <c r="H117" s="10" t="s">
        <v>656</v>
      </c>
      <c r="I117" s="2">
        <v>150</v>
      </c>
      <c r="J117" s="2">
        <v>65</v>
      </c>
      <c r="K117" s="15">
        <v>8.75</v>
      </c>
      <c r="L117" t="s">
        <v>345</v>
      </c>
      <c r="M117" s="2" t="s">
        <v>1120</v>
      </c>
      <c r="N117" s="2" t="s">
        <v>437</v>
      </c>
      <c r="O117" s="2" t="s">
        <v>666</v>
      </c>
      <c r="P117" s="2" t="s">
        <v>1132</v>
      </c>
      <c r="Q117" s="9" t="s">
        <v>740</v>
      </c>
      <c r="R117" s="2" t="str">
        <f t="shared" si="73"/>
        <v>CW_3_Section_2</v>
      </c>
      <c r="S117" s="2" t="str">
        <f t="shared" si="74"/>
        <v>CW_3_MF06</v>
      </c>
      <c r="T117" s="11" t="s">
        <v>891</v>
      </c>
      <c r="U117" s="1">
        <v>45763</v>
      </c>
      <c r="V117" s="2" t="s">
        <v>660</v>
      </c>
      <c r="W117" s="2" t="s">
        <v>663</v>
      </c>
      <c r="X117" s="2" t="s">
        <v>890</v>
      </c>
      <c r="Y117" s="2" t="str">
        <f t="shared" si="75"/>
        <v>T4_MF06</v>
      </c>
      <c r="Z117" s="2" t="str">
        <f t="shared" si="76"/>
        <v>T4_CW_3_MF06</v>
      </c>
      <c r="AA117" s="2" t="str">
        <f t="shared" si="77"/>
        <v>T4_0.60-0.80</v>
      </c>
      <c r="AB117" s="2">
        <v>245</v>
      </c>
      <c r="AC117" s="2">
        <v>8.0589999999999993</v>
      </c>
      <c r="AD117" s="2">
        <v>-0.02</v>
      </c>
      <c r="AE117" s="2">
        <v>4</v>
      </c>
      <c r="AF117" t="s">
        <v>57</v>
      </c>
      <c r="AG117" t="s">
        <v>1237</v>
      </c>
      <c r="AH117">
        <v>70</v>
      </c>
      <c r="AI117" t="s">
        <v>443</v>
      </c>
      <c r="AJ117">
        <v>0.98</v>
      </c>
      <c r="AK117">
        <v>0.45</v>
      </c>
      <c r="AL117">
        <v>14.1</v>
      </c>
      <c r="AM117">
        <v>-61</v>
      </c>
      <c r="AN117">
        <v>7.18</v>
      </c>
      <c r="AO117">
        <v>722</v>
      </c>
      <c r="AP117" t="s">
        <v>443</v>
      </c>
      <c r="AQ117">
        <v>0.01</v>
      </c>
      <c r="AR117">
        <v>10</v>
      </c>
      <c r="AS117">
        <v>12</v>
      </c>
      <c r="AT117">
        <v>470</v>
      </c>
      <c r="AU117" s="32">
        <f t="shared" si="89"/>
        <v>0.18051465881449238</v>
      </c>
      <c r="AV117">
        <v>25</v>
      </c>
      <c r="AW117" s="32">
        <f t="shared" si="90"/>
        <v>9.7677447362708933E-3</v>
      </c>
      <c r="AX117">
        <v>410</v>
      </c>
      <c r="AY117" s="32">
        <f t="shared" si="91"/>
        <v>0.16219270980502967</v>
      </c>
      <c r="AZ117">
        <v>140</v>
      </c>
      <c r="BA117" s="32">
        <f t="shared" si="92"/>
        <v>5.5382876518790619E-2</v>
      </c>
      <c r="BB117">
        <v>140</v>
      </c>
      <c r="BC117" s="32">
        <f t="shared" si="93"/>
        <v>5.5382876518790619E-2</v>
      </c>
      <c r="BD117">
        <v>280</v>
      </c>
      <c r="BF117" s="48">
        <v>1185</v>
      </c>
      <c r="BG117" s="48">
        <f t="shared" si="94"/>
        <v>0.35247511335579296</v>
      </c>
      <c r="BH117">
        <v>2700</v>
      </c>
      <c r="BI117" s="32">
        <f t="shared" si="95"/>
        <v>1.0111570570336272</v>
      </c>
      <c r="BJ117" s="47">
        <v>8100</v>
      </c>
      <c r="BK117" s="27">
        <f t="shared" si="96"/>
        <v>3.0334711711008815</v>
      </c>
      <c r="BL117" s="47">
        <v>150</v>
      </c>
      <c r="BM117" s="27">
        <f t="shared" si="97"/>
        <v>5.5194165188251522E-2</v>
      </c>
      <c r="BN117" s="47">
        <v>550</v>
      </c>
      <c r="BO117" s="27">
        <f t="shared" si="98"/>
        <v>0.20686077426885416</v>
      </c>
      <c r="BP117" s="47">
        <v>180</v>
      </c>
      <c r="BQ117" s="27">
        <f t="shared" si="99"/>
        <v>6.7139935025869332E-2</v>
      </c>
      <c r="BR117" s="47">
        <v>120</v>
      </c>
      <c r="BS117" s="27">
        <f t="shared" si="100"/>
        <v>4.4436963474162601E-2</v>
      </c>
      <c r="BT117" s="47">
        <v>16</v>
      </c>
      <c r="BU117" s="27">
        <f t="shared" si="101"/>
        <v>5.9249284632216801E-3</v>
      </c>
      <c r="BV117" s="47">
        <v>5.6</v>
      </c>
      <c r="BW117" s="27">
        <f t="shared" si="102"/>
        <v>2.048949320148331E-3</v>
      </c>
      <c r="BX117" s="47">
        <v>0.8</v>
      </c>
      <c r="BY117" s="27">
        <f t="shared" si="103"/>
        <v>2.9270704573547597E-4</v>
      </c>
      <c r="BZ117" s="51">
        <f t="shared" si="104"/>
        <v>9122.4</v>
      </c>
      <c r="CA117" s="51">
        <f t="shared" si="105"/>
        <v>1022.4</v>
      </c>
      <c r="CB117" s="27">
        <f t="shared" si="106"/>
        <v>3.4153695938871254</v>
      </c>
      <c r="CC117" s="27">
        <f t="shared" si="107"/>
        <v>0.38189842278624309</v>
      </c>
      <c r="CD117">
        <v>4000</v>
      </c>
      <c r="CE117">
        <v>1500</v>
      </c>
      <c r="CF117" t="s">
        <v>19</v>
      </c>
      <c r="CG117">
        <v>5500</v>
      </c>
      <c r="CH117" s="32">
        <v>0.3</v>
      </c>
      <c r="CI117" s="32">
        <f t="shared" si="108"/>
        <v>5.3715308863025958E-3</v>
      </c>
      <c r="CJ117" s="32">
        <f t="shared" si="109"/>
        <v>5.3715308863025958E-3</v>
      </c>
      <c r="CK117" s="32">
        <v>0.8</v>
      </c>
      <c r="CL117" s="32">
        <f t="shared" si="110"/>
        <v>1.4563990533406155E-2</v>
      </c>
      <c r="CM117" s="32">
        <f t="shared" si="111"/>
        <v>2.912798106681231E-2</v>
      </c>
      <c r="CN117" s="27">
        <v>70</v>
      </c>
      <c r="CO117" s="27">
        <f t="shared" si="112"/>
        <v>0.72871122215282114</v>
      </c>
      <c r="CP117" s="27">
        <f t="shared" si="113"/>
        <v>5.8296897772225691</v>
      </c>
      <c r="CQ117" s="57">
        <v>17</v>
      </c>
      <c r="CR117" s="57">
        <v>19.540229885057471</v>
      </c>
      <c r="CS117" s="57">
        <v>1.4157818030397669</v>
      </c>
      <c r="CT117" s="57">
        <f t="shared" si="114"/>
        <v>1.4157818030397669</v>
      </c>
      <c r="CU117" s="28">
        <v>-3</v>
      </c>
      <c r="CV117" s="28">
        <v>-4.4776119402985071</v>
      </c>
      <c r="CW117" s="28">
        <v>-0.24984384759525297</v>
      </c>
      <c r="CX117" s="28">
        <f t="shared" si="115"/>
        <v>0</v>
      </c>
      <c r="CY117" s="32">
        <f t="shared" si="116"/>
        <v>9.8821569852175717</v>
      </c>
      <c r="CZ117" s="32">
        <f t="shared" si="117"/>
        <v>9.8821569852175717</v>
      </c>
      <c r="DA117" s="32">
        <f t="shared" si="118"/>
        <v>10.182156985217572</v>
      </c>
      <c r="DB117" s="32">
        <f t="shared" si="119"/>
        <v>0.18231256911759305</v>
      </c>
      <c r="DC117" s="32">
        <f t="shared" si="120"/>
        <v>0.18231256911759305</v>
      </c>
      <c r="DD117" s="59">
        <f t="shared" si="121"/>
        <v>-1.7439100562148657</v>
      </c>
      <c r="DE117" s="59">
        <f t="shared" si="122"/>
        <v>0</v>
      </c>
      <c r="DF117" s="59">
        <f t="shared" si="123"/>
        <v>0.3</v>
      </c>
      <c r="DG117" s="59">
        <f t="shared" si="124"/>
        <v>5.3715308863025958E-3</v>
      </c>
      <c r="DH117" s="59">
        <f t="shared" si="125"/>
        <v>5.3715308863025958E-3</v>
      </c>
      <c r="DI117" s="32">
        <f t="shared" si="126"/>
        <v>5.8296897772225691</v>
      </c>
      <c r="DJ117" s="32">
        <f t="shared" si="127"/>
        <v>1.1000000000000001</v>
      </c>
      <c r="DK117" s="32">
        <f t="shared" si="128"/>
        <v>3.4499511953114903E-2</v>
      </c>
      <c r="DL117">
        <f t="shared" si="129"/>
        <v>1.6272223532241723</v>
      </c>
      <c r="DM117">
        <f t="shared" si="134"/>
        <v>1.7900430761105413E-2</v>
      </c>
      <c r="DN117">
        <f t="shared" si="135"/>
        <v>0.11203912529615857</v>
      </c>
      <c r="DO117">
        <f t="shared" si="136"/>
        <v>0.87006044394273596</v>
      </c>
      <c r="DP117">
        <f t="shared" si="130"/>
        <v>3.4499511953114903E-2</v>
      </c>
      <c r="DQ117">
        <f t="shared" si="137"/>
        <v>0.84430125001181044</v>
      </c>
      <c r="DR117">
        <f t="shared" si="138"/>
        <v>0.15569874998818958</v>
      </c>
      <c r="DS117">
        <f t="shared" si="139"/>
        <v>0</v>
      </c>
      <c r="DT117" s="63">
        <f t="shared" si="140"/>
        <v>-0.263590182834752</v>
      </c>
      <c r="DU117" s="63">
        <f t="shared" si="141"/>
        <v>1.3291326584363055</v>
      </c>
      <c r="DV117" s="63">
        <f t="shared" si="142"/>
        <v>0.11830823995149098</v>
      </c>
      <c r="DW117" s="63">
        <f t="shared" si="143"/>
        <v>1.7110310812225484</v>
      </c>
      <c r="DX117" t="str">
        <f t="shared" si="131"/>
        <v>Insufficient Capacity</v>
      </c>
      <c r="DY117" t="str">
        <f t="shared" si="132"/>
        <v>Insufficient Capacity</v>
      </c>
      <c r="DZ117" t="str">
        <f t="shared" si="133"/>
        <v>Sulfate Dominant electron acceptor</v>
      </c>
      <c r="EA117" t="str">
        <f t="shared" si="144"/>
        <v>Iron Dominant electron acceptor</v>
      </c>
      <c r="EB117">
        <v>7.8975940000000008E-3</v>
      </c>
      <c r="EC117">
        <v>1.347663E-3</v>
      </c>
      <c r="ED117">
        <v>0</v>
      </c>
      <c r="EE117">
        <v>1.176257E-3</v>
      </c>
      <c r="EF117">
        <v>7.4641229999999996E-3</v>
      </c>
      <c r="EG117" s="66">
        <v>9.5482180000000004E-6</v>
      </c>
      <c r="EH117">
        <v>6.8046950000000001E-4</v>
      </c>
      <c r="EI117" s="66">
        <v>6.3183550000000006E-5</v>
      </c>
      <c r="EJ117">
        <v>8.3787930000000003E-4</v>
      </c>
      <c r="EK117">
        <v>1.2481619999999999E-3</v>
      </c>
      <c r="EL117">
        <v>8.3014779999999999E-4</v>
      </c>
      <c r="EM117">
        <v>8.0317470000000005E-4</v>
      </c>
      <c r="EN117">
        <v>2.3304020000000001E-3</v>
      </c>
      <c r="EO117">
        <v>9.9911500000000007E-4</v>
      </c>
      <c r="EP117">
        <v>3.2869459999999998E-3</v>
      </c>
      <c r="EQ117">
        <v>8.7096609999999996E-4</v>
      </c>
      <c r="ER117">
        <v>6.6553520000000004E-4</v>
      </c>
      <c r="ES117">
        <v>1.095951E-3</v>
      </c>
      <c r="ET117">
        <v>5.6140469999999996E-3</v>
      </c>
      <c r="EU117">
        <v>2.2629239999999999E-3</v>
      </c>
      <c r="EV117">
        <v>7.7392909999999997E-3</v>
      </c>
      <c r="EW117">
        <v>8.2072350000000004E-4</v>
      </c>
      <c r="EX117">
        <v>4.4649850000000003E-3</v>
      </c>
      <c r="EY117">
        <v>6.403115E-3</v>
      </c>
      <c r="EZ117">
        <v>2.0189090000000002E-3</v>
      </c>
      <c r="FA117">
        <v>1.502619E-3</v>
      </c>
      <c r="FB117">
        <v>1.543382E-3</v>
      </c>
      <c r="FC117">
        <v>2.2087159999999999E-3</v>
      </c>
      <c r="FD117">
        <v>5.0108919999999999E-4</v>
      </c>
      <c r="FE117">
        <v>2.7543660000000001E-2</v>
      </c>
      <c r="FF117">
        <v>1.3305030000000001E-2</v>
      </c>
      <c r="FG117">
        <v>8.26643E-3</v>
      </c>
      <c r="FH117">
        <v>8.6163899999999998E-4</v>
      </c>
      <c r="FI117">
        <v>1.7561510000000001E-3</v>
      </c>
      <c r="FJ117">
        <v>9.7611350000000006E-3</v>
      </c>
      <c r="FK117">
        <v>0.71969532373075495</v>
      </c>
      <c r="FL117">
        <v>0.48396282242751598</v>
      </c>
      <c r="FM117">
        <v>-0.23542809247818899</v>
      </c>
      <c r="FN117">
        <v>0.82921084594994399</v>
      </c>
      <c r="FO117">
        <v>-0.228136992641887</v>
      </c>
      <c r="FP117">
        <v>0.63888705238484</v>
      </c>
      <c r="FQ117">
        <v>0.55113524978311002</v>
      </c>
      <c r="FR117">
        <v>0.59993288292247704</v>
      </c>
      <c r="FS117">
        <v>1.13895223572994</v>
      </c>
      <c r="FT117">
        <v>0.136269521797906</v>
      </c>
      <c r="FU117">
        <v>0.20208598656061999</v>
      </c>
      <c r="FV117">
        <v>0.43929669944523603</v>
      </c>
      <c r="FW117">
        <v>-0.32734730093147102</v>
      </c>
      <c r="FX117">
        <v>0.51880133930519001</v>
      </c>
      <c r="FY117">
        <v>0.45364776200578399</v>
      </c>
      <c r="FZ117">
        <v>-0.43573501573034201</v>
      </c>
      <c r="GA117">
        <v>-0.20209519262959999</v>
      </c>
      <c r="GB117">
        <v>-0.13293879607976</v>
      </c>
      <c r="GC117">
        <v>0.241649391141916</v>
      </c>
      <c r="GD117">
        <v>-0.108110583628666</v>
      </c>
      <c r="GE117">
        <v>-5.61233162557562E-2</v>
      </c>
      <c r="GF117">
        <v>0.460396454659739</v>
      </c>
      <c r="GG117">
        <v>0.46292826630233602</v>
      </c>
      <c r="GH117">
        <v>0.44549739329876198</v>
      </c>
      <c r="GI117">
        <v>0.164590743132107</v>
      </c>
      <c r="GJ117">
        <v>0.33860415301939301</v>
      </c>
      <c r="GK117">
        <v>0.166264675980207</v>
      </c>
      <c r="GL117">
        <v>-0.11656132024011701</v>
      </c>
      <c r="GM117">
        <v>-2.0004185366557799E-2</v>
      </c>
      <c r="GN117">
        <v>8.3064701423540804E-2</v>
      </c>
      <c r="GO117">
        <v>0.20131059598463599</v>
      </c>
      <c r="GP117">
        <v>-8.1683769716457605E-2</v>
      </c>
      <c r="GY117" s="65"/>
      <c r="HK117" s="1"/>
      <c r="HL117" s="1"/>
      <c r="HM117" s="65"/>
      <c r="HN117" s="1"/>
      <c r="HO117" s="65"/>
      <c r="HP117" s="65"/>
      <c r="HQ117" s="65"/>
      <c r="HS117" s="65"/>
      <c r="HV117" s="65"/>
      <c r="HW117" s="65"/>
      <c r="HX117" s="65"/>
    </row>
    <row r="118" spans="1:278" ht="15.75" x14ac:dyDescent="0.25">
      <c r="A118" s="6" t="s">
        <v>171</v>
      </c>
      <c r="B118" s="6" t="s">
        <v>171</v>
      </c>
      <c r="C118" s="2" t="s">
        <v>931</v>
      </c>
      <c r="D118" s="2" t="s">
        <v>560</v>
      </c>
      <c r="E118" s="2" t="s">
        <v>560</v>
      </c>
      <c r="F118" s="2">
        <v>117</v>
      </c>
      <c r="G118" s="2" t="s">
        <v>930</v>
      </c>
      <c r="H118" s="10" t="s">
        <v>656</v>
      </c>
      <c r="I118" s="2">
        <v>150</v>
      </c>
      <c r="J118" s="2">
        <v>65</v>
      </c>
      <c r="K118" s="15">
        <v>12.3</v>
      </c>
      <c r="L118" t="s">
        <v>346</v>
      </c>
      <c r="M118" s="2" t="s">
        <v>1120</v>
      </c>
      <c r="N118" s="2" t="s">
        <v>437</v>
      </c>
      <c r="O118" s="2" t="s">
        <v>673</v>
      </c>
      <c r="P118" s="2" t="s">
        <v>1127</v>
      </c>
      <c r="Q118" s="9" t="s">
        <v>743</v>
      </c>
      <c r="R118" s="2" t="str">
        <f t="shared" si="73"/>
        <v>CW_3_Section_3</v>
      </c>
      <c r="S118" s="2" t="str">
        <f t="shared" si="74"/>
        <v>CW_3_MF09</v>
      </c>
      <c r="T118" s="11" t="s">
        <v>891</v>
      </c>
      <c r="U118" s="1">
        <v>45763</v>
      </c>
      <c r="V118" s="2" t="s">
        <v>660</v>
      </c>
      <c r="W118" s="2" t="s">
        <v>655</v>
      </c>
      <c r="X118" s="2" t="s">
        <v>890</v>
      </c>
      <c r="Y118" s="2" t="str">
        <f t="shared" si="75"/>
        <v>T4_MF09</v>
      </c>
      <c r="Z118" s="2" t="str">
        <f t="shared" si="76"/>
        <v>T4_CW_3_MF09</v>
      </c>
      <c r="AA118" s="2" t="str">
        <f t="shared" si="77"/>
        <v>T4_0.15-0.30</v>
      </c>
      <c r="AB118" s="2">
        <v>245</v>
      </c>
      <c r="AC118" s="2">
        <v>8.0589999999999993</v>
      </c>
      <c r="AD118" s="2">
        <v>-0.02</v>
      </c>
      <c r="AE118" s="2">
        <v>4</v>
      </c>
      <c r="AF118" t="s">
        <v>59</v>
      </c>
      <c r="AG118" t="s">
        <v>1237</v>
      </c>
      <c r="AH118">
        <v>66</v>
      </c>
      <c r="AI118" t="s">
        <v>443</v>
      </c>
      <c r="AJ118">
        <v>1.8</v>
      </c>
      <c r="AK118">
        <v>2.3199999999999998</v>
      </c>
      <c r="AL118">
        <v>14</v>
      </c>
      <c r="AM118">
        <v>-30</v>
      </c>
      <c r="AN118">
        <v>6.91</v>
      </c>
      <c r="AO118">
        <v>705</v>
      </c>
      <c r="AP118">
        <v>0.1</v>
      </c>
      <c r="AQ118">
        <v>0.01</v>
      </c>
      <c r="AR118">
        <v>13</v>
      </c>
      <c r="AS118">
        <v>14</v>
      </c>
      <c r="AT118">
        <v>340</v>
      </c>
      <c r="AU118" s="32">
        <f t="shared" si="89"/>
        <v>0.13058507233388811</v>
      </c>
      <c r="AV118">
        <v>1.7</v>
      </c>
      <c r="AW118" s="32">
        <f t="shared" si="90"/>
        <v>6.6420664206642062E-4</v>
      </c>
      <c r="AX118">
        <v>80</v>
      </c>
      <c r="AY118" s="32">
        <f t="shared" si="91"/>
        <v>3.1647358010737495E-2</v>
      </c>
      <c r="AZ118">
        <v>31</v>
      </c>
      <c r="BA118" s="32">
        <f t="shared" si="92"/>
        <v>1.2263351229160779E-2</v>
      </c>
      <c r="BB118">
        <v>12</v>
      </c>
      <c r="BC118" s="32">
        <f t="shared" si="93"/>
        <v>4.7471037016106245E-3</v>
      </c>
      <c r="BD118">
        <v>43</v>
      </c>
      <c r="BF118" s="48">
        <v>464.7</v>
      </c>
      <c r="BG118" s="48">
        <f t="shared" si="94"/>
        <v>0.16289663698669204</v>
      </c>
      <c r="BH118">
        <v>7.8</v>
      </c>
      <c r="BI118" s="32">
        <f t="shared" si="95"/>
        <v>2.9211203869860341E-3</v>
      </c>
      <c r="BJ118" s="47">
        <v>5.3</v>
      </c>
      <c r="BK118" s="27">
        <f t="shared" si="96"/>
        <v>1.9848638526956384E-3</v>
      </c>
      <c r="BL118" s="47">
        <v>0.01</v>
      </c>
      <c r="BM118" s="27">
        <f t="shared" si="97"/>
        <v>3.6796110125501018E-6</v>
      </c>
      <c r="BN118" s="47">
        <v>0.01</v>
      </c>
      <c r="BO118" s="27">
        <f t="shared" si="98"/>
        <v>3.7611049867064394E-6</v>
      </c>
      <c r="BP118" s="47">
        <v>5.0000000000000001E-3</v>
      </c>
      <c r="BQ118" s="27">
        <f t="shared" si="99"/>
        <v>1.8649981951630372E-6</v>
      </c>
      <c r="BR118" s="47">
        <v>0.01</v>
      </c>
      <c r="BS118" s="27">
        <f t="shared" si="100"/>
        <v>3.7030802895135499E-6</v>
      </c>
      <c r="BT118" s="47">
        <v>1E-3</v>
      </c>
      <c r="BU118" s="27">
        <f t="shared" si="101"/>
        <v>3.7030802895135499E-7</v>
      </c>
      <c r="BV118" s="47">
        <v>1E-3</v>
      </c>
      <c r="BW118" s="27">
        <f t="shared" si="102"/>
        <v>3.6588380716934485E-7</v>
      </c>
      <c r="BX118" s="47">
        <v>2E-3</v>
      </c>
      <c r="BY118" s="27">
        <f t="shared" si="103"/>
        <v>7.3176761433868969E-7</v>
      </c>
      <c r="BZ118" s="51">
        <f t="shared" si="104"/>
        <v>5.3389999999999995</v>
      </c>
      <c r="CA118" s="51">
        <f t="shared" si="105"/>
        <v>3.9000000000000007E-2</v>
      </c>
      <c r="CB118" s="27">
        <f t="shared" si="106"/>
        <v>1.999340606630031E-3</v>
      </c>
      <c r="CC118" s="27">
        <f t="shared" si="107"/>
        <v>1.4476753934392517E-5</v>
      </c>
      <c r="CD118">
        <v>2.5</v>
      </c>
      <c r="CE118">
        <v>2.5</v>
      </c>
      <c r="CF118" t="s">
        <v>19</v>
      </c>
      <c r="CG118">
        <v>5</v>
      </c>
      <c r="CH118" s="32">
        <v>20</v>
      </c>
      <c r="CI118" s="32">
        <f t="shared" si="108"/>
        <v>0.35810205908683973</v>
      </c>
      <c r="CJ118" s="32">
        <f t="shared" si="109"/>
        <v>0.35810205908683973</v>
      </c>
      <c r="CK118" s="32">
        <v>4.2</v>
      </c>
      <c r="CL118" s="32">
        <f t="shared" si="110"/>
        <v>7.6460950300382302E-2</v>
      </c>
      <c r="CM118" s="32">
        <f t="shared" si="111"/>
        <v>0.1529219006007646</v>
      </c>
      <c r="CN118" s="27">
        <v>0.5</v>
      </c>
      <c r="CO118" s="27">
        <f t="shared" si="112"/>
        <v>5.2050801582344368E-3</v>
      </c>
      <c r="CP118" s="27">
        <f t="shared" si="113"/>
        <v>4.1640641265875494E-2</v>
      </c>
      <c r="CQ118" s="57">
        <v>86.5</v>
      </c>
      <c r="CR118" s="57">
        <v>99.425287356321832</v>
      </c>
      <c r="CS118" s="57">
        <v>7.2038309389964601</v>
      </c>
      <c r="CT118" s="57">
        <f t="shared" si="114"/>
        <v>7.2038309389964601</v>
      </c>
      <c r="CU118" s="28">
        <v>67.5</v>
      </c>
      <c r="CV118" s="28">
        <v>99.264705882352942</v>
      </c>
      <c r="CW118" s="28">
        <v>5.6214865708931914</v>
      </c>
      <c r="CX118" s="28">
        <f t="shared" si="115"/>
        <v>5.6214865708931914</v>
      </c>
      <c r="CY118" s="32">
        <f t="shared" si="116"/>
        <v>50.282739954195293</v>
      </c>
      <c r="CZ118" s="32">
        <f t="shared" si="117"/>
        <v>50.282739954195293</v>
      </c>
      <c r="DA118" s="32">
        <f t="shared" si="118"/>
        <v>70.282739954195293</v>
      </c>
      <c r="DB118" s="32">
        <f t="shared" si="119"/>
        <v>1.2584196947931117</v>
      </c>
      <c r="DC118" s="32">
        <f t="shared" si="120"/>
        <v>1.2584196947931117</v>
      </c>
      <c r="DD118" s="59">
        <f t="shared" si="121"/>
        <v>39.237976264834479</v>
      </c>
      <c r="DE118" s="59">
        <f t="shared" si="122"/>
        <v>39.237976264834479</v>
      </c>
      <c r="DF118" s="59">
        <f t="shared" si="123"/>
        <v>59.237976264834479</v>
      </c>
      <c r="DG118" s="59">
        <f t="shared" si="124"/>
        <v>1.0606620638287283</v>
      </c>
      <c r="DH118" s="59">
        <f t="shared" si="125"/>
        <v>1.0606620638287283</v>
      </c>
      <c r="DI118" s="32">
        <f t="shared" si="126"/>
        <v>4.1640641265875494E-2</v>
      </c>
      <c r="DJ118" s="32">
        <f t="shared" si="127"/>
        <v>63.437976264834482</v>
      </c>
      <c r="DK118" s="32">
        <f t="shared" si="128"/>
        <v>1.213583964429493</v>
      </c>
      <c r="DL118">
        <f t="shared" si="129"/>
        <v>8.6151725343903358</v>
      </c>
      <c r="DM118">
        <f t="shared" si="134"/>
        <v>1.7750300413639519E-2</v>
      </c>
      <c r="DN118">
        <f t="shared" si="135"/>
        <v>0.14607016745975887</v>
      </c>
      <c r="DO118">
        <f t="shared" si="136"/>
        <v>0.83617953212660168</v>
      </c>
      <c r="DP118">
        <f t="shared" si="130"/>
        <v>6.8350705353226839</v>
      </c>
      <c r="DQ118">
        <f t="shared" si="137"/>
        <v>2.2373126921000408E-2</v>
      </c>
      <c r="DR118">
        <f t="shared" si="138"/>
        <v>0.15517938817856755</v>
      </c>
      <c r="DS118">
        <f t="shared" si="139"/>
        <v>0.82244748490043207</v>
      </c>
      <c r="DT118" s="63">
        <f t="shared" si="140"/>
        <v>-8.4493547770166586</v>
      </c>
      <c r="DU118" s="63">
        <f t="shared" si="141"/>
        <v>-6.6692527779490058</v>
      </c>
      <c r="DV118" s="63">
        <f t="shared" si="142"/>
        <v>-8.4493403002627225</v>
      </c>
      <c r="DW118" s="63">
        <f t="shared" si="143"/>
        <v>-6.6692383011950715</v>
      </c>
      <c r="DX118" t="str">
        <f t="shared" si="131"/>
        <v>Sufficient Capacity</v>
      </c>
      <c r="DY118" t="str">
        <f t="shared" si="132"/>
        <v>Sufficient Capacity</v>
      </c>
      <c r="DZ118" t="str">
        <f t="shared" si="133"/>
        <v>Sulfate Dominant electron acceptor</v>
      </c>
      <c r="EA118" t="str">
        <f t="shared" si="144"/>
        <v>Sulfate Dominant electron acceptor</v>
      </c>
      <c r="EB118">
        <v>1.0057E-2</v>
      </c>
      <c r="EC118">
        <v>1.7222959999999999E-3</v>
      </c>
      <c r="ED118" s="66">
        <v>2.538978E-6</v>
      </c>
      <c r="EE118">
        <v>6.9672600000000005E-4</v>
      </c>
      <c r="EF118">
        <v>4.4237060000000003E-3</v>
      </c>
      <c r="EG118" s="66">
        <v>1.3149319999999999E-5</v>
      </c>
      <c r="EH118">
        <v>4.0127810000000001E-4</v>
      </c>
      <c r="EI118" s="66">
        <v>6.0815939999999998E-5</v>
      </c>
      <c r="EJ118">
        <v>4.5701800000000001E-4</v>
      </c>
      <c r="EK118">
        <v>6.9186580000000001E-4</v>
      </c>
      <c r="EL118">
        <v>4.3724319999999999E-4</v>
      </c>
      <c r="EM118">
        <v>2.7889940000000002E-4</v>
      </c>
      <c r="EN118">
        <v>1.9627659999999999E-3</v>
      </c>
      <c r="EO118">
        <v>7.483349E-4</v>
      </c>
      <c r="EP118">
        <v>2.1366699999999998E-3</v>
      </c>
      <c r="EQ118">
        <v>1.207781E-3</v>
      </c>
      <c r="ER118">
        <v>4.0933830000000002E-4</v>
      </c>
      <c r="ES118">
        <v>7.5257939999999999E-4</v>
      </c>
      <c r="ET118">
        <v>8.9231980000000002E-3</v>
      </c>
      <c r="EU118">
        <v>2.8357180000000001E-3</v>
      </c>
      <c r="EV118">
        <v>7.8977769999999999E-3</v>
      </c>
      <c r="EW118">
        <v>7.0244450000000005E-4</v>
      </c>
      <c r="EX118">
        <v>5.0781819999999997E-3</v>
      </c>
      <c r="EY118">
        <v>7.1017550000000004E-3</v>
      </c>
      <c r="EZ118">
        <v>1.281225E-3</v>
      </c>
      <c r="FA118">
        <v>1.153028E-3</v>
      </c>
      <c r="FB118">
        <v>1.2486489999999999E-3</v>
      </c>
      <c r="FC118">
        <v>1.8812200000000001E-3</v>
      </c>
      <c r="FD118">
        <v>4.196561E-4</v>
      </c>
      <c r="FE118">
        <v>2.5762699999999999E-2</v>
      </c>
      <c r="FF118">
        <v>1.626944E-2</v>
      </c>
      <c r="FG118">
        <v>9.1455019999999998E-3</v>
      </c>
      <c r="FH118">
        <v>9.3636139999999995E-4</v>
      </c>
      <c r="FI118">
        <v>1.4720569999999999E-3</v>
      </c>
      <c r="FJ118">
        <v>1.120408E-2</v>
      </c>
      <c r="FK118">
        <v>0.19599490186135901</v>
      </c>
      <c r="FL118">
        <v>-3.9167313765872798E-2</v>
      </c>
      <c r="FM118">
        <v>8.45874135592668E-2</v>
      </c>
      <c r="FN118">
        <v>0.30108254799298001</v>
      </c>
      <c r="FO118">
        <v>-0.26632904944067398</v>
      </c>
      <c r="FP118">
        <v>3.27357731165323E-2</v>
      </c>
      <c r="FQ118">
        <v>-3.89000922394276E-2</v>
      </c>
      <c r="FR118">
        <v>-4.1181312270406799E-2</v>
      </c>
      <c r="FS118">
        <v>8.1231129614978095E-2</v>
      </c>
      <c r="FT118">
        <v>-3.5416560195783701E-2</v>
      </c>
      <c r="FU118">
        <v>-8.6933295530556606E-2</v>
      </c>
      <c r="FV118">
        <v>8.5863755778774493E-3</v>
      </c>
      <c r="FW118">
        <v>-4.1028557706734902E-4</v>
      </c>
      <c r="FX118">
        <v>3.2751763822658701E-2</v>
      </c>
      <c r="FY118">
        <v>7.7776509533340005E-2</v>
      </c>
      <c r="FZ118">
        <v>2.76475369559748E-2</v>
      </c>
      <c r="GA118">
        <v>2.3542192922051602E-2</v>
      </c>
      <c r="GB118">
        <v>-0.11266754994884599</v>
      </c>
      <c r="GC118">
        <v>8.6029517351586399E-2</v>
      </c>
      <c r="GD118">
        <v>2.0576885033455599E-2</v>
      </c>
      <c r="GE118">
        <v>4.74340296389206E-2</v>
      </c>
      <c r="GF118">
        <v>5.6558396816290797E-3</v>
      </c>
      <c r="GG118">
        <v>0.198110206147596</v>
      </c>
      <c r="GH118">
        <v>0.23358344771728701</v>
      </c>
      <c r="GI118">
        <v>4.0998944648746897E-3</v>
      </c>
      <c r="GJ118">
        <v>0.161255590216273</v>
      </c>
      <c r="GK118">
        <v>9.9420003314497393E-2</v>
      </c>
      <c r="GL118">
        <v>8.4585022003535598E-2</v>
      </c>
      <c r="GM118">
        <v>8.1055253293297505E-2</v>
      </c>
      <c r="GN118">
        <v>0.16622982504880801</v>
      </c>
      <c r="GO118">
        <v>2.4846855963395399E-2</v>
      </c>
      <c r="GP118">
        <v>5.6185543315610403E-2</v>
      </c>
      <c r="GR118" s="66"/>
      <c r="GT118" s="66"/>
      <c r="GV118" s="66"/>
      <c r="GW118" s="65"/>
      <c r="GZ118" s="66"/>
      <c r="HK118" s="1"/>
      <c r="HL118" s="1"/>
      <c r="HM118" s="1"/>
      <c r="HN118" s="1"/>
      <c r="HO118" s="65"/>
      <c r="HP118" s="65"/>
      <c r="HQ118" s="65"/>
      <c r="HS118" s="65"/>
      <c r="HT118" s="65"/>
      <c r="HU118" s="65"/>
      <c r="HV118" s="65"/>
      <c r="HW118" s="65"/>
      <c r="HX118" s="65"/>
      <c r="JB118" s="66"/>
      <c r="JD118" s="66"/>
      <c r="JF118" s="66"/>
      <c r="JH118" s="66"/>
      <c r="JJ118" s="66"/>
      <c r="JL118" s="66"/>
      <c r="JN118" s="66"/>
    </row>
    <row r="119" spans="1:278" ht="16.5" customHeight="1" x14ac:dyDescent="0.25">
      <c r="A119" s="6" t="s">
        <v>172</v>
      </c>
      <c r="B119" s="6" t="s">
        <v>172</v>
      </c>
      <c r="C119" s="2" t="s">
        <v>933</v>
      </c>
      <c r="D119" s="2" t="s">
        <v>561</v>
      </c>
      <c r="E119" s="2" t="s">
        <v>561</v>
      </c>
      <c r="F119" s="2">
        <v>118</v>
      </c>
      <c r="G119" s="2" t="s">
        <v>932</v>
      </c>
      <c r="H119" s="10" t="s">
        <v>656</v>
      </c>
      <c r="I119" s="2">
        <v>150</v>
      </c>
      <c r="J119" s="2">
        <v>65</v>
      </c>
      <c r="K119" s="15">
        <v>5.5</v>
      </c>
      <c r="L119" t="s">
        <v>347</v>
      </c>
      <c r="M119" s="2" t="s">
        <v>1120</v>
      </c>
      <c r="N119" s="2" t="s">
        <v>437</v>
      </c>
      <c r="O119" s="2" t="s">
        <v>673</v>
      </c>
      <c r="P119" s="2" t="s">
        <v>1128</v>
      </c>
      <c r="Q119" s="9" t="s">
        <v>746</v>
      </c>
      <c r="R119" s="2" t="str">
        <f t="shared" si="73"/>
        <v>CW_3_Section_3</v>
      </c>
      <c r="S119" s="2" t="str">
        <f t="shared" si="74"/>
        <v>CW_3_MF10</v>
      </c>
      <c r="T119" s="11" t="s">
        <v>891</v>
      </c>
      <c r="U119" s="1">
        <v>45763</v>
      </c>
      <c r="V119" s="2" t="s">
        <v>660</v>
      </c>
      <c r="W119" s="2" t="s">
        <v>663</v>
      </c>
      <c r="X119" s="2" t="s">
        <v>890</v>
      </c>
      <c r="Y119" s="2" t="str">
        <f t="shared" si="75"/>
        <v>T4_MF10</v>
      </c>
      <c r="Z119" s="2" t="str">
        <f t="shared" si="76"/>
        <v>T4_CW_3_MF10</v>
      </c>
      <c r="AA119" s="2" t="str">
        <f t="shared" si="77"/>
        <v>T4_0.60-0.80</v>
      </c>
      <c r="AB119" s="2">
        <v>245</v>
      </c>
      <c r="AC119" s="2">
        <v>8.0589999999999993</v>
      </c>
      <c r="AD119" s="2">
        <v>-0.02</v>
      </c>
      <c r="AE119" s="2">
        <v>4</v>
      </c>
      <c r="AF119" t="s">
        <v>61</v>
      </c>
      <c r="AG119" t="s">
        <v>1237</v>
      </c>
      <c r="AH119">
        <v>69</v>
      </c>
      <c r="AI119" t="s">
        <v>443</v>
      </c>
      <c r="AJ119">
        <v>0.73</v>
      </c>
      <c r="AK119">
        <v>0.43</v>
      </c>
      <c r="AL119">
        <v>14</v>
      </c>
      <c r="AM119">
        <v>-47</v>
      </c>
      <c r="AN119">
        <v>7.09</v>
      </c>
      <c r="AO119">
        <v>772</v>
      </c>
      <c r="AP119">
        <v>0.2</v>
      </c>
      <c r="AQ119">
        <v>0.01</v>
      </c>
      <c r="AR119">
        <v>12</v>
      </c>
      <c r="AS119">
        <v>12</v>
      </c>
      <c r="AT119">
        <v>680</v>
      </c>
      <c r="AU119" s="32">
        <f t="shared" si="89"/>
        <v>0.26117014466777622</v>
      </c>
      <c r="AV119">
        <v>1</v>
      </c>
      <c r="AW119" s="32">
        <f t="shared" si="90"/>
        <v>3.9070978945083569E-4</v>
      </c>
      <c r="AX119">
        <v>530</v>
      </c>
      <c r="AY119" s="32">
        <f t="shared" si="91"/>
        <v>0.20966374682113592</v>
      </c>
      <c r="AZ119">
        <v>130</v>
      </c>
      <c r="BA119" s="32">
        <f t="shared" si="92"/>
        <v>5.1426956767448434E-2</v>
      </c>
      <c r="BB119">
        <v>93</v>
      </c>
      <c r="BC119" s="32">
        <f t="shared" si="93"/>
        <v>3.6790053687482338E-2</v>
      </c>
      <c r="BD119">
        <v>223</v>
      </c>
      <c r="BF119" s="48">
        <v>1440</v>
      </c>
      <c r="BG119" s="48">
        <f t="shared" si="94"/>
        <v>0.47122460127836296</v>
      </c>
      <c r="BH119">
        <v>2800</v>
      </c>
      <c r="BI119" s="32">
        <f t="shared" si="95"/>
        <v>1.0486073184052431</v>
      </c>
      <c r="BJ119" s="47">
        <v>3500</v>
      </c>
      <c r="BK119" s="27">
        <f t="shared" si="96"/>
        <v>1.3107591480065537</v>
      </c>
      <c r="BL119" s="47">
        <v>4</v>
      </c>
      <c r="BM119" s="27">
        <f t="shared" si="97"/>
        <v>1.4718444050200407E-3</v>
      </c>
      <c r="BN119" s="47">
        <v>280</v>
      </c>
      <c r="BO119" s="27">
        <f t="shared" si="98"/>
        <v>0.10531093962778031</v>
      </c>
      <c r="BP119" s="47">
        <v>60</v>
      </c>
      <c r="BQ119" s="27">
        <f t="shared" si="99"/>
        <v>2.2379978341956444E-2</v>
      </c>
      <c r="BR119" s="47">
        <v>27</v>
      </c>
      <c r="BS119" s="27">
        <f t="shared" si="100"/>
        <v>9.9983167816865854E-3</v>
      </c>
      <c r="BT119" s="47">
        <v>0.4</v>
      </c>
      <c r="BU119" s="27">
        <f t="shared" si="101"/>
        <v>1.4812321158054199E-4</v>
      </c>
      <c r="BV119" s="47">
        <v>0.4</v>
      </c>
      <c r="BW119" s="27">
        <f t="shared" si="102"/>
        <v>1.4635352286773798E-4</v>
      </c>
      <c r="BX119" s="47">
        <v>0.8</v>
      </c>
      <c r="BY119" s="27">
        <f t="shared" si="103"/>
        <v>2.9270704573547597E-4</v>
      </c>
      <c r="BZ119" s="51">
        <f t="shared" si="104"/>
        <v>3872.6000000000004</v>
      </c>
      <c r="CA119" s="51">
        <f t="shared" si="105"/>
        <v>372.59999999999997</v>
      </c>
      <c r="CB119" s="27">
        <f t="shared" si="106"/>
        <v>1.450507410943181</v>
      </c>
      <c r="CC119" s="27">
        <f t="shared" si="107"/>
        <v>0.13974826293662712</v>
      </c>
      <c r="CD119">
        <v>4100</v>
      </c>
      <c r="CE119">
        <v>1400</v>
      </c>
      <c r="CF119" t="s">
        <v>19</v>
      </c>
      <c r="CG119">
        <v>5500</v>
      </c>
      <c r="CH119" s="32">
        <v>0.4</v>
      </c>
      <c r="CI119" s="32">
        <f t="shared" si="108"/>
        <v>7.162041181736795E-3</v>
      </c>
      <c r="CJ119" s="32">
        <f t="shared" si="109"/>
        <v>7.162041181736795E-3</v>
      </c>
      <c r="CK119" s="32">
        <v>1.1000000000000001</v>
      </c>
      <c r="CL119" s="32">
        <f t="shared" si="110"/>
        <v>2.0025486983433462E-2</v>
      </c>
      <c r="CM119" s="32">
        <f t="shared" si="111"/>
        <v>4.0050973966866923E-2</v>
      </c>
      <c r="CN119" s="27">
        <v>57</v>
      </c>
      <c r="CO119" s="27">
        <f t="shared" si="112"/>
        <v>0.59337913803872577</v>
      </c>
      <c r="CP119" s="27">
        <f t="shared" si="113"/>
        <v>4.7470331043098062</v>
      </c>
      <c r="CQ119" s="57">
        <v>30</v>
      </c>
      <c r="CR119" s="57">
        <v>34.482758620689658</v>
      </c>
      <c r="CS119" s="57">
        <v>2.4984384759525295</v>
      </c>
      <c r="CT119" s="57">
        <f t="shared" si="114"/>
        <v>2.4984384759525295</v>
      </c>
      <c r="CU119" s="28">
        <v>13</v>
      </c>
      <c r="CV119" s="28">
        <v>18.571428571428573</v>
      </c>
      <c r="CW119" s="28">
        <v>1.0826566729127629</v>
      </c>
      <c r="CX119" s="28">
        <f t="shared" si="115"/>
        <v>1.0826566729127629</v>
      </c>
      <c r="CY119" s="32">
        <f t="shared" si="116"/>
        <v>17.439100562148656</v>
      </c>
      <c r="CZ119" s="32">
        <f t="shared" si="117"/>
        <v>17.439100562148656</v>
      </c>
      <c r="DA119" s="32">
        <f t="shared" si="118"/>
        <v>17.839100562148655</v>
      </c>
      <c r="DB119" s="32">
        <f t="shared" si="119"/>
        <v>0.31941093217813166</v>
      </c>
      <c r="DC119" s="32">
        <f t="shared" si="120"/>
        <v>0.31941093217813166</v>
      </c>
      <c r="DD119" s="59">
        <f t="shared" si="121"/>
        <v>7.5569435769310846</v>
      </c>
      <c r="DE119" s="59">
        <f t="shared" si="122"/>
        <v>7.5569435769310846</v>
      </c>
      <c r="DF119" s="59">
        <f t="shared" si="123"/>
        <v>7.956943576931085</v>
      </c>
      <c r="DG119" s="59">
        <f t="shared" si="124"/>
        <v>0.14246989394684126</v>
      </c>
      <c r="DH119" s="59">
        <f t="shared" si="125"/>
        <v>0.14246989394684126</v>
      </c>
      <c r="DI119" s="32">
        <f t="shared" si="126"/>
        <v>4.7470331043098062</v>
      </c>
      <c r="DJ119" s="32">
        <f t="shared" si="127"/>
        <v>9.0569435769310846</v>
      </c>
      <c r="DK119" s="32">
        <f t="shared" si="128"/>
        <v>0.1825208679137082</v>
      </c>
      <c r="DL119">
        <f t="shared" si="129"/>
        <v>2.8579003820975282</v>
      </c>
      <c r="DM119">
        <f t="shared" si="134"/>
        <v>1.4014125271039679E-2</v>
      </c>
      <c r="DN119">
        <f t="shared" si="135"/>
        <v>0.11176419380430018</v>
      </c>
      <c r="DO119">
        <f t="shared" si="136"/>
        <v>0.87422168092466013</v>
      </c>
      <c r="DP119">
        <f t="shared" si="130"/>
        <v>1.2651775408264712</v>
      </c>
      <c r="DQ119">
        <f t="shared" si="137"/>
        <v>3.16564060572114E-2</v>
      </c>
      <c r="DR119">
        <f t="shared" si="138"/>
        <v>0.11260861764410826</v>
      </c>
      <c r="DS119">
        <f t="shared" si="139"/>
        <v>0.85573497629868034</v>
      </c>
      <c r="DT119" s="63">
        <f t="shared" si="140"/>
        <v>-1.3380684624139221</v>
      </c>
      <c r="DU119" s="63">
        <f t="shared" si="141"/>
        <v>0.25465437885713493</v>
      </c>
      <c r="DV119" s="63">
        <f t="shared" si="142"/>
        <v>-1.198320199477295</v>
      </c>
      <c r="DW119" s="63">
        <f t="shared" si="143"/>
        <v>0.39440264179376205</v>
      </c>
      <c r="DX119" t="str">
        <f t="shared" si="131"/>
        <v>Sufficient Capacity</v>
      </c>
      <c r="DY119" t="str">
        <f t="shared" si="132"/>
        <v>Insufficient Capacity</v>
      </c>
      <c r="DZ119" t="str">
        <f t="shared" si="133"/>
        <v>Sulfate Dominant electron acceptor</v>
      </c>
      <c r="EA119" t="str">
        <f t="shared" si="144"/>
        <v>Sulfate Dominant electron acceptor</v>
      </c>
      <c r="EB119">
        <v>8.0439859999999995E-3</v>
      </c>
      <c r="EC119">
        <v>1.359154E-3</v>
      </c>
      <c r="ED119" s="66">
        <v>1.1566050000000001E-7</v>
      </c>
      <c r="EE119">
        <v>1.1118759999999999E-3</v>
      </c>
      <c r="EF119">
        <v>7.1896859999999998E-3</v>
      </c>
      <c r="EG119" s="66">
        <v>1.8791210000000001E-5</v>
      </c>
      <c r="EH119">
        <v>6.3022429999999997E-4</v>
      </c>
      <c r="EI119" s="66">
        <v>8.5332630000000006E-5</v>
      </c>
      <c r="EJ119">
        <v>9.5699339999999998E-4</v>
      </c>
      <c r="EK119">
        <v>1.526515E-3</v>
      </c>
      <c r="EL119">
        <v>8.8256949999999999E-4</v>
      </c>
      <c r="EM119">
        <v>6.654241E-4</v>
      </c>
      <c r="EN119">
        <v>2.4533419999999998E-3</v>
      </c>
      <c r="EO119">
        <v>1.0583750000000001E-3</v>
      </c>
      <c r="EP119">
        <v>2.9256410000000001E-3</v>
      </c>
      <c r="EQ119">
        <v>9.0830209999999997E-4</v>
      </c>
      <c r="ER119">
        <v>6.6874390000000005E-4</v>
      </c>
      <c r="ES119">
        <v>1.1184249999999999E-3</v>
      </c>
      <c r="ET119">
        <v>6.1345669999999996E-3</v>
      </c>
      <c r="EU119">
        <v>2.3081460000000001E-3</v>
      </c>
      <c r="EV119">
        <v>7.8356889999999998E-3</v>
      </c>
      <c r="EW119">
        <v>6.9525689999999998E-4</v>
      </c>
      <c r="EX119">
        <v>4.5688370000000001E-3</v>
      </c>
      <c r="EY119">
        <v>6.5721979999999996E-3</v>
      </c>
      <c r="EZ119">
        <v>1.906741E-3</v>
      </c>
      <c r="FA119">
        <v>1.454335E-3</v>
      </c>
      <c r="FB119">
        <v>1.4776870000000001E-3</v>
      </c>
      <c r="FC119">
        <v>2.157225E-3</v>
      </c>
      <c r="FD119">
        <v>5.2538789999999997E-4</v>
      </c>
      <c r="FE119">
        <v>2.6851739999999999E-2</v>
      </c>
      <c r="FF119">
        <v>1.438628E-2</v>
      </c>
      <c r="FG119">
        <v>8.6331210000000005E-3</v>
      </c>
      <c r="FH119">
        <v>8.3607790000000005E-4</v>
      </c>
      <c r="FI119">
        <v>1.674834E-3</v>
      </c>
      <c r="FJ119">
        <v>1.018085E-2</v>
      </c>
      <c r="FK119">
        <v>0.66340663953441004</v>
      </c>
      <c r="FL119">
        <v>0.44650237893154698</v>
      </c>
      <c r="FM119">
        <v>0.44160657460650898</v>
      </c>
      <c r="FN119">
        <v>0.752503632615521</v>
      </c>
      <c r="FO119">
        <v>7.2375938485383706E-2</v>
      </c>
      <c r="FP119">
        <v>0.77180949056690196</v>
      </c>
      <c r="FQ119">
        <v>0.75245054011263401</v>
      </c>
      <c r="FR119">
        <v>0.66116666494329701</v>
      </c>
      <c r="FS119">
        <v>0.95080456803680302</v>
      </c>
      <c r="FT119">
        <v>0.18767991358855299</v>
      </c>
      <c r="FU119">
        <v>0.25970609138462902</v>
      </c>
      <c r="FV119">
        <v>0.322851435226364</v>
      </c>
      <c r="FW119">
        <v>-0.28537332372888402</v>
      </c>
      <c r="FX119">
        <v>0.52361098698009101</v>
      </c>
      <c r="FY119">
        <v>0.473946728118113</v>
      </c>
      <c r="FZ119">
        <v>-0.347067368537335</v>
      </c>
      <c r="GA119">
        <v>-0.18230837010128301</v>
      </c>
      <c r="GB119">
        <v>-0.120560066740447</v>
      </c>
      <c r="GC119">
        <v>7.5744540375771094E-2</v>
      </c>
      <c r="GD119">
        <v>-8.5117751746691894E-2</v>
      </c>
      <c r="GE119">
        <v>-3.0059579426071199E-2</v>
      </c>
      <c r="GF119">
        <v>0.40323469014018398</v>
      </c>
      <c r="GG119">
        <v>0.430267432153419</v>
      </c>
      <c r="GH119">
        <v>0.40199930832182501</v>
      </c>
      <c r="GI119">
        <v>0.14100206543159099</v>
      </c>
      <c r="GJ119">
        <v>0.38595687078420599</v>
      </c>
      <c r="GK119">
        <v>0.140822917230746</v>
      </c>
      <c r="GL119">
        <v>-3.8428504835740902E-2</v>
      </c>
      <c r="GM119">
        <v>2.3399164713027599E-2</v>
      </c>
      <c r="GN119">
        <v>5.29501025435462E-2</v>
      </c>
      <c r="GO119">
        <v>0.15390016946857801</v>
      </c>
      <c r="GP119">
        <v>-3.95839496740562E-2</v>
      </c>
      <c r="GY119" s="65"/>
      <c r="HK119" s="1"/>
      <c r="HL119" s="1"/>
      <c r="HM119" s="65"/>
      <c r="HN119" s="1"/>
      <c r="HO119" s="65"/>
      <c r="HP119" s="65"/>
      <c r="HQ119" s="65"/>
      <c r="HS119" s="65"/>
      <c r="HT119" s="65"/>
      <c r="HU119" s="65"/>
      <c r="HV119" s="65"/>
      <c r="HW119" s="65"/>
      <c r="HX119" s="65"/>
      <c r="JJ119" s="66"/>
      <c r="JL119" s="66"/>
      <c r="JN119" s="66"/>
    </row>
    <row r="120" spans="1:278" ht="15.75" x14ac:dyDescent="0.25">
      <c r="A120" s="29" t="s">
        <v>173</v>
      </c>
      <c r="B120" s="29" t="s">
        <v>173</v>
      </c>
      <c r="C120" s="29" t="s">
        <v>935</v>
      </c>
      <c r="D120" s="29" t="s">
        <v>562</v>
      </c>
      <c r="E120" s="29" t="s">
        <v>562</v>
      </c>
      <c r="F120" s="29">
        <v>119</v>
      </c>
      <c r="G120" s="29" t="s">
        <v>934</v>
      </c>
      <c r="H120" s="30" t="s">
        <v>656</v>
      </c>
      <c r="I120" s="29">
        <v>150</v>
      </c>
      <c r="J120" s="29">
        <v>65</v>
      </c>
      <c r="K120" s="29">
        <v>5</v>
      </c>
      <c r="L120" s="32" t="s">
        <v>348</v>
      </c>
      <c r="M120" s="29" t="s">
        <v>1118</v>
      </c>
      <c r="N120" s="29" t="s">
        <v>688</v>
      </c>
      <c r="O120" s="29" t="s">
        <v>687</v>
      </c>
      <c r="P120" s="29" t="s">
        <v>1118</v>
      </c>
      <c r="Q120" s="29" t="s">
        <v>443</v>
      </c>
      <c r="R120" s="2" t="str">
        <f t="shared" si="73"/>
        <v>CW_0_Section_0</v>
      </c>
      <c r="S120" s="2" t="str">
        <f t="shared" si="74"/>
        <v>CW_0_INF</v>
      </c>
      <c r="T120" s="31" t="s">
        <v>937</v>
      </c>
      <c r="U120" s="33">
        <v>45825</v>
      </c>
      <c r="V120" s="29" t="s">
        <v>692</v>
      </c>
      <c r="W120" s="29" t="s">
        <v>1118</v>
      </c>
      <c r="X120" s="29" t="s">
        <v>936</v>
      </c>
      <c r="Y120" s="2" t="str">
        <f t="shared" si="75"/>
        <v>T5_INF</v>
      </c>
      <c r="Z120" s="2" t="str">
        <f t="shared" si="76"/>
        <v>T5_CW_0_INF</v>
      </c>
      <c r="AA120" s="2" t="str">
        <f t="shared" si="77"/>
        <v>T5_INF</v>
      </c>
      <c r="AB120" s="2">
        <v>307</v>
      </c>
      <c r="AC120" s="2">
        <v>10.098000000000001</v>
      </c>
      <c r="AD120" s="2">
        <v>0.38</v>
      </c>
      <c r="AE120" s="2">
        <v>5</v>
      </c>
      <c r="AF120" s="32" t="s">
        <v>27</v>
      </c>
      <c r="AG120" t="s">
        <v>1237</v>
      </c>
      <c r="AH120" s="32">
        <v>68</v>
      </c>
      <c r="AI120" s="32" t="s">
        <v>443</v>
      </c>
      <c r="AJ120" s="32">
        <v>0.78</v>
      </c>
      <c r="AK120" s="32" t="s">
        <v>443</v>
      </c>
      <c r="AL120" s="32" t="s">
        <v>443</v>
      </c>
      <c r="AM120" s="32" t="s">
        <v>443</v>
      </c>
      <c r="AN120" s="32" t="s">
        <v>443</v>
      </c>
      <c r="AO120" s="32" t="s">
        <v>443</v>
      </c>
      <c r="AP120" s="32" t="s">
        <v>443</v>
      </c>
      <c r="AQ120" s="32">
        <v>0.01</v>
      </c>
      <c r="AR120" s="32">
        <v>18</v>
      </c>
      <c r="AS120" s="32">
        <v>88</v>
      </c>
      <c r="AT120" s="32">
        <v>650</v>
      </c>
      <c r="AU120" s="32">
        <f t="shared" si="89"/>
        <v>0.24964793240302136</v>
      </c>
      <c r="AV120" s="32">
        <v>180</v>
      </c>
      <c r="AW120" s="32">
        <f t="shared" si="90"/>
        <v>7.0327762101150423E-2</v>
      </c>
      <c r="AX120" s="32">
        <v>800</v>
      </c>
      <c r="AY120" s="32">
        <f t="shared" si="91"/>
        <v>0.31647358010737497</v>
      </c>
      <c r="AZ120" s="32">
        <v>270</v>
      </c>
      <c r="BA120" s="32">
        <f t="shared" si="92"/>
        <v>0.10680983328623904</v>
      </c>
      <c r="BB120" s="32">
        <v>450</v>
      </c>
      <c r="BC120" s="32">
        <f t="shared" si="93"/>
        <v>0.17801638881039844</v>
      </c>
      <c r="BD120" s="32">
        <v>720</v>
      </c>
      <c r="BE120" s="32"/>
      <c r="BF120" s="48">
        <v>2350</v>
      </c>
      <c r="BG120" s="48">
        <f t="shared" si="94"/>
        <v>0.63644927461154677</v>
      </c>
      <c r="BH120" s="32">
        <v>5700</v>
      </c>
      <c r="BI120" s="32">
        <f t="shared" si="95"/>
        <v>2.1346648981821019</v>
      </c>
      <c r="BJ120" s="47">
        <v>7600</v>
      </c>
      <c r="BK120" s="27">
        <f t="shared" si="96"/>
        <v>2.8462198642428027</v>
      </c>
      <c r="BL120" s="47">
        <v>1500</v>
      </c>
      <c r="BM120" s="27">
        <f t="shared" si="97"/>
        <v>0.55194165188251532</v>
      </c>
      <c r="BN120" s="47">
        <v>1700</v>
      </c>
      <c r="BO120" s="27">
        <f t="shared" si="98"/>
        <v>0.63938784774009472</v>
      </c>
      <c r="BP120" s="47">
        <v>1800</v>
      </c>
      <c r="BQ120" s="27">
        <f t="shared" si="99"/>
        <v>0.67139935025869324</v>
      </c>
      <c r="BR120" s="47">
        <v>4000</v>
      </c>
      <c r="BS120" s="27">
        <f t="shared" si="100"/>
        <v>1.4812321158054198</v>
      </c>
      <c r="BT120" s="47">
        <v>1200</v>
      </c>
      <c r="BU120" s="27">
        <f t="shared" si="101"/>
        <v>0.444369634741626</v>
      </c>
      <c r="BV120" s="47">
        <v>1300</v>
      </c>
      <c r="BW120" s="27">
        <f t="shared" si="102"/>
        <v>0.47564894932014834</v>
      </c>
      <c r="BX120" s="47">
        <v>1700</v>
      </c>
      <c r="BY120" s="27">
        <f t="shared" si="103"/>
        <v>0.62200247218788629</v>
      </c>
      <c r="BZ120" s="51">
        <f t="shared" si="104"/>
        <v>20800</v>
      </c>
      <c r="CA120" s="51">
        <f t="shared" si="105"/>
        <v>13200</v>
      </c>
      <c r="CB120" s="27">
        <f t="shared" si="106"/>
        <v>7.7322018861791868</v>
      </c>
      <c r="CC120" s="27">
        <f t="shared" si="107"/>
        <v>4.8859820219363836</v>
      </c>
      <c r="CD120" s="32">
        <v>9100</v>
      </c>
      <c r="CE120" s="32">
        <v>5600</v>
      </c>
      <c r="CF120" s="32" t="s">
        <v>19</v>
      </c>
      <c r="CG120" s="32">
        <v>15000</v>
      </c>
      <c r="CH120" s="32">
        <v>20</v>
      </c>
      <c r="CI120" s="32">
        <f t="shared" si="108"/>
        <v>0.35810205908683973</v>
      </c>
      <c r="CJ120" s="32">
        <f t="shared" si="109"/>
        <v>0.35810205908683973</v>
      </c>
      <c r="CK120" s="32">
        <v>1.7</v>
      </c>
      <c r="CL120" s="32">
        <f t="shared" si="110"/>
        <v>3.0948479883488075E-2</v>
      </c>
      <c r="CM120" s="32">
        <f t="shared" si="111"/>
        <v>6.1896959766976151E-2</v>
      </c>
      <c r="CN120" s="32">
        <v>79</v>
      </c>
      <c r="CO120" s="32">
        <f t="shared" si="112"/>
        <v>0.82240266500104098</v>
      </c>
      <c r="CP120" s="32">
        <f t="shared" si="113"/>
        <v>6.5792213200083278</v>
      </c>
      <c r="CQ120" s="57">
        <v>0</v>
      </c>
      <c r="CR120" s="57">
        <v>0</v>
      </c>
      <c r="CS120" s="57">
        <v>0</v>
      </c>
      <c r="CT120" s="57">
        <f t="shared" si="114"/>
        <v>0</v>
      </c>
      <c r="CU120" s="28">
        <v>0</v>
      </c>
      <c r="CV120" s="28">
        <v>0</v>
      </c>
      <c r="CW120" s="28">
        <v>0</v>
      </c>
      <c r="CX120" s="28">
        <f t="shared" si="115"/>
        <v>0</v>
      </c>
      <c r="CY120" s="32">
        <f t="shared" si="116"/>
        <v>0</v>
      </c>
      <c r="CZ120" s="32">
        <f t="shared" si="117"/>
        <v>0</v>
      </c>
      <c r="DA120" s="32">
        <f t="shared" si="118"/>
        <v>20</v>
      </c>
      <c r="DB120" s="32">
        <f t="shared" si="119"/>
        <v>0.35810205908683973</v>
      </c>
      <c r="DC120" s="32">
        <f t="shared" si="120"/>
        <v>0.35810205908683973</v>
      </c>
      <c r="DD120" s="59">
        <f t="shared" si="121"/>
        <v>0</v>
      </c>
      <c r="DE120" s="59">
        <f t="shared" si="122"/>
        <v>0</v>
      </c>
      <c r="DF120" s="59">
        <f t="shared" si="123"/>
        <v>20</v>
      </c>
      <c r="DG120" s="59">
        <f t="shared" si="124"/>
        <v>0.35810205908683973</v>
      </c>
      <c r="DH120" s="59">
        <f t="shared" si="125"/>
        <v>0.35810205908683973</v>
      </c>
      <c r="DI120" s="32">
        <f t="shared" si="126"/>
        <v>6.5792213200083278</v>
      </c>
      <c r="DJ120" s="32">
        <f t="shared" si="127"/>
        <v>21.7</v>
      </c>
      <c r="DK120" s="32">
        <f t="shared" si="128"/>
        <v>0.41999901885381585</v>
      </c>
      <c r="DL120">
        <f t="shared" si="129"/>
        <v>0.41999901885381585</v>
      </c>
      <c r="DM120">
        <f t="shared" si="134"/>
        <v>0.14737405800588288</v>
      </c>
      <c r="DN120">
        <f t="shared" si="135"/>
        <v>0.85262594199411723</v>
      </c>
      <c r="DO120">
        <f t="shared" si="136"/>
        <v>0</v>
      </c>
      <c r="DP120">
        <f t="shared" si="130"/>
        <v>0.41999901885381585</v>
      </c>
      <c r="DQ120">
        <f t="shared" si="137"/>
        <v>0.14737405800588288</v>
      </c>
      <c r="DR120">
        <f t="shared" si="138"/>
        <v>0.85262594199411723</v>
      </c>
      <c r="DS120">
        <f t="shared" si="139"/>
        <v>0</v>
      </c>
      <c r="DT120" s="63">
        <f t="shared" si="140"/>
        <v>2.3511151539398325</v>
      </c>
      <c r="DU120" s="63">
        <f t="shared" si="141"/>
        <v>2.3511151539398325</v>
      </c>
      <c r="DV120" s="63">
        <f t="shared" si="142"/>
        <v>7.2370971758762161</v>
      </c>
      <c r="DW120" s="63">
        <f t="shared" si="143"/>
        <v>7.2370971758762161</v>
      </c>
      <c r="DX120" t="str">
        <f t="shared" si="131"/>
        <v>Insufficient Capacity</v>
      </c>
      <c r="DY120" t="str">
        <f t="shared" si="132"/>
        <v>Insufficient Capacity</v>
      </c>
      <c r="DZ120" t="str">
        <f t="shared" si="133"/>
        <v>Manganese Dominant electron acceptor</v>
      </c>
      <c r="EA120" t="str">
        <f t="shared" si="144"/>
        <v>Manganese Dominant electron acceptor</v>
      </c>
      <c r="EB120">
        <v>1.103763E-2</v>
      </c>
      <c r="EC120">
        <v>2.114051E-3</v>
      </c>
      <c r="ED120">
        <v>0</v>
      </c>
      <c r="EE120" s="66">
        <v>7.4113529999999996E-5</v>
      </c>
      <c r="EF120">
        <v>1.8448049999999999E-3</v>
      </c>
      <c r="EG120" s="66">
        <v>3.4835120000000001E-6</v>
      </c>
      <c r="EH120" s="66">
        <v>7.9820140000000001E-5</v>
      </c>
      <c r="EI120" s="66">
        <v>3.30903E-6</v>
      </c>
      <c r="EJ120">
        <v>2.1913950000000001E-4</v>
      </c>
      <c r="EK120">
        <v>3.4296450000000003E-4</v>
      </c>
      <c r="EL120">
        <v>2.7850269999999999E-4</v>
      </c>
      <c r="EM120" s="66">
        <v>2.7137589999999998E-5</v>
      </c>
      <c r="EN120">
        <v>1.484792E-3</v>
      </c>
      <c r="EO120">
        <v>2.8350519999999999E-4</v>
      </c>
      <c r="EP120">
        <v>1.0436149999999999E-3</v>
      </c>
      <c r="EQ120">
        <v>2.1422049999999999E-3</v>
      </c>
      <c r="ER120">
        <v>1.7908029999999999E-4</v>
      </c>
      <c r="ES120">
        <v>4.1791830000000003E-4</v>
      </c>
      <c r="ET120">
        <v>6.2049560000000002E-3</v>
      </c>
      <c r="EU120">
        <v>2.7319330000000002E-3</v>
      </c>
      <c r="EV120">
        <v>1.02921E-2</v>
      </c>
      <c r="EW120">
        <v>6.364621E-4</v>
      </c>
      <c r="EX120">
        <v>6.3134330000000002E-3</v>
      </c>
      <c r="EY120">
        <v>7.9770550000000003E-3</v>
      </c>
      <c r="EZ120">
        <v>4.1925689999999999E-4</v>
      </c>
      <c r="FA120">
        <v>2.264461E-4</v>
      </c>
      <c r="FB120">
        <v>2.4705629999999999E-4</v>
      </c>
      <c r="FC120">
        <v>1.3312599999999999E-3</v>
      </c>
      <c r="FD120">
        <v>3.461475E-4</v>
      </c>
      <c r="FE120">
        <v>1.7309519999999998E-2</v>
      </c>
      <c r="FF120">
        <v>2.5153930000000001E-2</v>
      </c>
      <c r="FG120">
        <v>1.1711269999999999E-2</v>
      </c>
      <c r="FH120">
        <v>1.2067989999999999E-3</v>
      </c>
      <c r="FI120">
        <v>9.987746E-4</v>
      </c>
      <c r="FJ120">
        <v>1.536468E-2</v>
      </c>
      <c r="FK120">
        <v>-2.0447992115395301</v>
      </c>
      <c r="FL120">
        <v>-0.91377153923153998</v>
      </c>
      <c r="FM120">
        <v>-1.24374165240747</v>
      </c>
      <c r="FN120">
        <v>-1.3137963015864</v>
      </c>
      <c r="FO120">
        <v>-3.1775258800230901</v>
      </c>
      <c r="FP120">
        <v>-0.70227849098233897</v>
      </c>
      <c r="FQ120">
        <v>-0.74066515514695896</v>
      </c>
      <c r="FR120">
        <v>-0.49224312019045302</v>
      </c>
      <c r="FS120">
        <v>-2.2487001620644902</v>
      </c>
      <c r="FT120">
        <v>-0.314496567982329</v>
      </c>
      <c r="FU120">
        <v>-1.0575534354265499</v>
      </c>
      <c r="FV120">
        <v>-0.70797151924752399</v>
      </c>
      <c r="FW120">
        <v>0.57264059513108501</v>
      </c>
      <c r="FX120">
        <v>-0.79395588109288795</v>
      </c>
      <c r="FY120">
        <v>-0.51044403759797197</v>
      </c>
      <c r="FZ120">
        <v>-0.33565853798648398</v>
      </c>
      <c r="GA120">
        <v>-1.3743557728958E-2</v>
      </c>
      <c r="GB120">
        <v>0.15212773323830101</v>
      </c>
      <c r="GC120">
        <v>-1.2612005335372E-2</v>
      </c>
      <c r="GD120">
        <v>0.23830314717104101</v>
      </c>
      <c r="GE120">
        <v>0.16366138876560701</v>
      </c>
      <c r="GF120">
        <v>-1.1114322322910699</v>
      </c>
      <c r="GG120">
        <v>-1.4295296507928501</v>
      </c>
      <c r="GH120">
        <v>-1.3866177522162</v>
      </c>
      <c r="GI120">
        <v>-0.34169474589469401</v>
      </c>
      <c r="GJ120">
        <v>-3.1314991334228097E-2</v>
      </c>
      <c r="GK120">
        <v>-0.29825106692608699</v>
      </c>
      <c r="GL120">
        <v>0.520310667304835</v>
      </c>
      <c r="GM120">
        <v>0.32834470561412799</v>
      </c>
      <c r="GN120">
        <v>0.41995499062866098</v>
      </c>
      <c r="GO120">
        <v>-0.36304003783616701</v>
      </c>
      <c r="GP120">
        <v>0.37197891444792303</v>
      </c>
      <c r="GY120" s="65"/>
      <c r="GZ120" s="65"/>
      <c r="HK120" s="1"/>
      <c r="HL120" s="1"/>
      <c r="HM120" s="65"/>
      <c r="HN120" s="1"/>
      <c r="JB120" s="66"/>
      <c r="JD120" s="66"/>
      <c r="JF120" s="66"/>
      <c r="JH120" s="66"/>
      <c r="JJ120" s="66"/>
      <c r="JL120" s="66"/>
      <c r="JN120" s="66"/>
    </row>
    <row r="121" spans="1:278" ht="15.75" x14ac:dyDescent="0.25">
      <c r="A121" s="7" t="s">
        <v>174</v>
      </c>
      <c r="B121" s="7" t="s">
        <v>174</v>
      </c>
      <c r="C121" s="2" t="s">
        <v>939</v>
      </c>
      <c r="D121" s="2" t="s">
        <v>563</v>
      </c>
      <c r="E121" s="2" t="s">
        <v>563</v>
      </c>
      <c r="F121" s="2">
        <v>120</v>
      </c>
      <c r="G121" s="2" t="s">
        <v>938</v>
      </c>
      <c r="H121" s="10" t="s">
        <v>656</v>
      </c>
      <c r="I121" s="2">
        <v>150</v>
      </c>
      <c r="J121" s="2">
        <v>65</v>
      </c>
      <c r="K121" s="2">
        <v>5.65</v>
      </c>
      <c r="L121" t="s">
        <v>355</v>
      </c>
      <c r="M121" s="2" t="s">
        <v>1119</v>
      </c>
      <c r="N121" s="2" t="s">
        <v>435</v>
      </c>
      <c r="O121" s="2" t="s">
        <v>694</v>
      </c>
      <c r="P121" s="2" t="s">
        <v>1119</v>
      </c>
      <c r="Q121" s="2" t="s">
        <v>443</v>
      </c>
      <c r="R121" s="2" t="str">
        <f t="shared" si="73"/>
        <v>CW_1_Section_5</v>
      </c>
      <c r="S121" s="2" t="str">
        <f t="shared" si="74"/>
        <v>CW_1_EFF</v>
      </c>
      <c r="T121" s="11" t="s">
        <v>937</v>
      </c>
      <c r="U121" s="1">
        <v>45826</v>
      </c>
      <c r="V121" s="2" t="s">
        <v>692</v>
      </c>
      <c r="W121" s="2" t="s">
        <v>1119</v>
      </c>
      <c r="X121" s="2" t="s">
        <v>936</v>
      </c>
      <c r="Y121" s="2" t="str">
        <f t="shared" si="75"/>
        <v>T5_EFF</v>
      </c>
      <c r="Z121" s="2" t="str">
        <f t="shared" si="76"/>
        <v>T5_CW_1_EFF</v>
      </c>
      <c r="AA121" s="2" t="str">
        <f t="shared" si="77"/>
        <v>T5_EFF</v>
      </c>
      <c r="AB121" s="2">
        <v>307</v>
      </c>
      <c r="AC121" s="2">
        <v>10.098000000000001</v>
      </c>
      <c r="AD121" s="2">
        <v>0.38</v>
      </c>
      <c r="AE121" s="2">
        <v>5</v>
      </c>
      <c r="AF121" t="s">
        <v>18</v>
      </c>
      <c r="AG121" t="s">
        <v>1237</v>
      </c>
      <c r="AH121">
        <v>46</v>
      </c>
      <c r="AI121" t="s">
        <v>443</v>
      </c>
      <c r="AJ121">
        <v>0.28000000000000003</v>
      </c>
      <c r="AK121">
        <v>3.8</v>
      </c>
      <c r="AL121">
        <v>22.8</v>
      </c>
      <c r="AM121">
        <v>-78</v>
      </c>
      <c r="AN121">
        <v>7.09</v>
      </c>
      <c r="AO121">
        <v>705</v>
      </c>
      <c r="AP121">
        <v>1</v>
      </c>
      <c r="AQ121">
        <v>0.01</v>
      </c>
      <c r="AR121">
        <v>11</v>
      </c>
      <c r="AS121">
        <v>11</v>
      </c>
      <c r="AT121">
        <v>45</v>
      </c>
      <c r="AU121" s="32">
        <f t="shared" si="89"/>
        <v>1.728331839713225E-2</v>
      </c>
      <c r="AV121">
        <v>0.1</v>
      </c>
      <c r="AW121" s="32">
        <f t="shared" si="90"/>
        <v>3.9070978945083576E-5</v>
      </c>
      <c r="AX121">
        <v>38</v>
      </c>
      <c r="AY121" s="32">
        <f t="shared" si="91"/>
        <v>1.5032495055100311E-2</v>
      </c>
      <c r="AZ121">
        <v>5.8</v>
      </c>
      <c r="BA121" s="32">
        <f t="shared" si="92"/>
        <v>2.2944334557784686E-3</v>
      </c>
      <c r="BB121">
        <v>3.1</v>
      </c>
      <c r="BC121" s="32">
        <f t="shared" si="93"/>
        <v>1.226335122916078E-3</v>
      </c>
      <c r="BD121">
        <v>8.9</v>
      </c>
      <c r="BF121" s="48">
        <v>92.6</v>
      </c>
      <c r="BG121" s="48">
        <f t="shared" si="94"/>
        <v>3.2354884431177643E-2</v>
      </c>
      <c r="BH121">
        <v>180</v>
      </c>
      <c r="BI121" s="32">
        <f t="shared" si="95"/>
        <v>6.7410470468908482E-2</v>
      </c>
      <c r="BJ121" s="47">
        <v>2E-3</v>
      </c>
      <c r="BK121" s="27">
        <f t="shared" si="96"/>
        <v>7.4900522743231646E-7</v>
      </c>
      <c r="BL121" s="47">
        <v>0.01</v>
      </c>
      <c r="BM121" s="27">
        <f t="shared" si="97"/>
        <v>3.6796110125501018E-6</v>
      </c>
      <c r="BN121" s="47">
        <v>0.01</v>
      </c>
      <c r="BO121" s="27">
        <f t="shared" si="98"/>
        <v>3.7611049867064394E-6</v>
      </c>
      <c r="BP121" s="47">
        <v>5.0000000000000001E-3</v>
      </c>
      <c r="BQ121" s="27">
        <f t="shared" si="99"/>
        <v>1.8649981951630372E-6</v>
      </c>
      <c r="BR121" s="47">
        <v>1E-3</v>
      </c>
      <c r="BS121" s="27">
        <f t="shared" si="100"/>
        <v>3.7030802895135499E-7</v>
      </c>
      <c r="BT121" s="47">
        <v>1E-3</v>
      </c>
      <c r="BU121" s="27">
        <f t="shared" si="101"/>
        <v>3.7030802895135499E-7</v>
      </c>
      <c r="BV121" s="47">
        <v>1E-3</v>
      </c>
      <c r="BW121" s="27">
        <f t="shared" si="102"/>
        <v>3.6588380716934485E-7</v>
      </c>
      <c r="BX121" s="47">
        <v>2E-3</v>
      </c>
      <c r="BY121" s="27">
        <f t="shared" si="103"/>
        <v>7.3176761433868969E-7</v>
      </c>
      <c r="BZ121" s="51">
        <f t="shared" si="104"/>
        <v>3.2000000000000001E-2</v>
      </c>
      <c r="CA121" s="51">
        <f t="shared" si="105"/>
        <v>3.0000000000000006E-2</v>
      </c>
      <c r="CB121" s="27">
        <f t="shared" si="106"/>
        <v>1.1892986901262639E-5</v>
      </c>
      <c r="CC121" s="27">
        <f t="shared" si="107"/>
        <v>1.1143981673830322E-5</v>
      </c>
      <c r="CD121">
        <v>270</v>
      </c>
      <c r="CE121">
        <v>80</v>
      </c>
      <c r="CF121" t="s">
        <v>19</v>
      </c>
      <c r="CG121">
        <v>350</v>
      </c>
      <c r="CH121" s="32">
        <v>3.1</v>
      </c>
      <c r="CI121" s="32">
        <f t="shared" si="108"/>
        <v>5.550581915846016E-2</v>
      </c>
      <c r="CJ121" s="32">
        <f t="shared" si="109"/>
        <v>5.550581915846016E-2</v>
      </c>
      <c r="CK121" s="32">
        <v>1.2</v>
      </c>
      <c r="CL121" s="32">
        <f t="shared" si="110"/>
        <v>2.1845985800109231E-2</v>
      </c>
      <c r="CM121" s="32">
        <f t="shared" si="111"/>
        <v>4.3691971600218461E-2</v>
      </c>
      <c r="CN121" s="27">
        <v>12</v>
      </c>
      <c r="CO121" s="27">
        <f t="shared" si="112"/>
        <v>0.12492192379762648</v>
      </c>
      <c r="CP121" s="27">
        <f t="shared" si="113"/>
        <v>0.99937539038101186</v>
      </c>
      <c r="CQ121" s="57">
        <v>67</v>
      </c>
      <c r="CR121" s="57">
        <v>84.810126582278471</v>
      </c>
      <c r="CS121" s="57">
        <v>5.5798459296273162</v>
      </c>
      <c r="CT121" s="57">
        <f t="shared" si="114"/>
        <v>5.5798459296273162</v>
      </c>
      <c r="CU121" s="28">
        <v>36</v>
      </c>
      <c r="CV121" s="28">
        <v>75</v>
      </c>
      <c r="CW121" s="28">
        <v>2.9981261711430354</v>
      </c>
      <c r="CX121" s="28">
        <f t="shared" si="115"/>
        <v>2.9981261711430354</v>
      </c>
      <c r="CY121" s="32">
        <f t="shared" si="116"/>
        <v>38.947324588798665</v>
      </c>
      <c r="CZ121" s="32">
        <f t="shared" si="117"/>
        <v>38.947324588798665</v>
      </c>
      <c r="DA121" s="32">
        <f t="shared" si="118"/>
        <v>42.047324588798666</v>
      </c>
      <c r="DB121" s="32">
        <f t="shared" si="119"/>
        <v>0.75286167571707552</v>
      </c>
      <c r="DC121" s="32">
        <f t="shared" si="120"/>
        <v>0.75286167571707552</v>
      </c>
      <c r="DD121" s="59">
        <f t="shared" si="121"/>
        <v>20.926920674578387</v>
      </c>
      <c r="DE121" s="59">
        <f t="shared" si="122"/>
        <v>20.926920674578387</v>
      </c>
      <c r="DF121" s="59">
        <f t="shared" si="123"/>
        <v>24.026920674578388</v>
      </c>
      <c r="DG121" s="59">
        <f t="shared" si="124"/>
        <v>0.43020448835413405</v>
      </c>
      <c r="DH121" s="59">
        <f t="shared" si="125"/>
        <v>0.43020448835413405</v>
      </c>
      <c r="DI121" s="32">
        <f t="shared" si="126"/>
        <v>0.99937539038101186</v>
      </c>
      <c r="DJ121" s="32">
        <f t="shared" si="127"/>
        <v>25.226920674578388</v>
      </c>
      <c r="DK121" s="32">
        <f t="shared" si="128"/>
        <v>0.47389645995435253</v>
      </c>
      <c r="DL121">
        <f t="shared" si="129"/>
        <v>6.3763995769446105</v>
      </c>
      <c r="DM121">
        <f t="shared" si="134"/>
        <v>6.8521382753673685E-3</v>
      </c>
      <c r="DN121">
        <f t="shared" si="135"/>
        <v>0.11807002786325155</v>
      </c>
      <c r="DO121">
        <f t="shared" si="136"/>
        <v>0.87507783386138105</v>
      </c>
      <c r="DP121">
        <f t="shared" si="130"/>
        <v>3.4720226310973881</v>
      </c>
      <c r="DQ121">
        <f t="shared" si="137"/>
        <v>1.2584011178063351E-2</v>
      </c>
      <c r="DR121">
        <f t="shared" si="138"/>
        <v>0.12390601504177438</v>
      </c>
      <c r="DS121">
        <f t="shared" si="139"/>
        <v>0.86350997378016225</v>
      </c>
      <c r="DT121" s="63">
        <f t="shared" si="140"/>
        <v>-6.2766342220445246</v>
      </c>
      <c r="DU121" s="63">
        <f t="shared" si="141"/>
        <v>-3.3722572761973018</v>
      </c>
      <c r="DV121" s="63">
        <f t="shared" si="142"/>
        <v>-6.2766230780628502</v>
      </c>
      <c r="DW121" s="63">
        <f t="shared" si="143"/>
        <v>-3.3722461322156283</v>
      </c>
      <c r="DX121" t="str">
        <f t="shared" si="131"/>
        <v>Sufficient Capacity</v>
      </c>
      <c r="DY121" t="str">
        <f t="shared" si="132"/>
        <v>Sufficient Capacity</v>
      </c>
      <c r="DZ121" t="str">
        <f t="shared" si="133"/>
        <v>Sulfate Dominant electron acceptor</v>
      </c>
      <c r="EA121" t="str">
        <f t="shared" si="144"/>
        <v>Sulfate Dominant electron acceptor</v>
      </c>
      <c r="EB121">
        <v>7.7038209999999996E-3</v>
      </c>
      <c r="EC121">
        <v>1.294927E-3</v>
      </c>
      <c r="ED121" s="66">
        <v>5.1351009999999998E-8</v>
      </c>
      <c r="EE121">
        <v>1.649312E-3</v>
      </c>
      <c r="EF121">
        <v>1.030959E-2</v>
      </c>
      <c r="EG121" s="66">
        <v>3.1326299999999999E-6</v>
      </c>
      <c r="EH121">
        <v>7.1450729999999996E-4</v>
      </c>
      <c r="EI121">
        <v>1.1295889999999999E-4</v>
      </c>
      <c r="EJ121">
        <v>3.4443959999999997E-4</v>
      </c>
      <c r="EK121">
        <v>3.8111280000000002E-4</v>
      </c>
      <c r="EL121">
        <v>8.6333280000000002E-4</v>
      </c>
      <c r="EM121">
        <v>1.2015400000000001E-3</v>
      </c>
      <c r="EN121">
        <v>1.794281E-3</v>
      </c>
      <c r="EO121">
        <v>7.4743749999999995E-4</v>
      </c>
      <c r="EP121">
        <v>5.079231E-3</v>
      </c>
      <c r="EQ121">
        <v>6.8665489999999996E-4</v>
      </c>
      <c r="ER121">
        <v>7.974783E-4</v>
      </c>
      <c r="ES121">
        <v>1.1814729999999999E-3</v>
      </c>
      <c r="ET121">
        <v>4.7528279999999997E-3</v>
      </c>
      <c r="EU121">
        <v>2.5957710000000002E-3</v>
      </c>
      <c r="EV121">
        <v>8.0180070000000006E-3</v>
      </c>
      <c r="EW121">
        <v>1.337363E-3</v>
      </c>
      <c r="EX121">
        <v>4.6389270000000002E-3</v>
      </c>
      <c r="EY121">
        <v>5.8059599999999998E-3</v>
      </c>
      <c r="EZ121">
        <v>2.9498290000000002E-3</v>
      </c>
      <c r="FA121">
        <v>1.7692809999999999E-3</v>
      </c>
      <c r="FB121">
        <v>1.9311739999999999E-3</v>
      </c>
      <c r="FC121">
        <v>2.4682340000000001E-3</v>
      </c>
      <c r="FD121">
        <v>5.5684609999999998E-4</v>
      </c>
      <c r="FE121">
        <v>2.7645929999999999E-2</v>
      </c>
      <c r="FF121">
        <v>1.022823E-2</v>
      </c>
      <c r="FG121">
        <v>7.7032489999999997E-3</v>
      </c>
      <c r="FH121">
        <v>8.1082180000000004E-4</v>
      </c>
      <c r="FI121">
        <v>2.2016269999999998E-3</v>
      </c>
      <c r="FJ121">
        <v>7.9818589999999991E-3</v>
      </c>
      <c r="FK121">
        <v>1.05771619197466</v>
      </c>
      <c r="FL121">
        <v>0.80692940994041096</v>
      </c>
      <c r="FM121">
        <v>-1.34990972537482</v>
      </c>
      <c r="FN121">
        <v>0.87802105910082195</v>
      </c>
      <c r="FO121">
        <v>0.35284306063257498</v>
      </c>
      <c r="FP121">
        <v>-0.25006825578856401</v>
      </c>
      <c r="FQ121">
        <v>-0.63519670411345297</v>
      </c>
      <c r="FR121">
        <v>0.63912937396033098</v>
      </c>
      <c r="FS121">
        <v>1.54173933263361</v>
      </c>
      <c r="FT121">
        <v>-0.12516687849382499</v>
      </c>
      <c r="FU121">
        <v>-8.8133210848786406E-2</v>
      </c>
      <c r="FV121">
        <v>0.87449770543105798</v>
      </c>
      <c r="FW121">
        <v>-0.56511851919946299</v>
      </c>
      <c r="FX121">
        <v>0.69966443456425398</v>
      </c>
      <c r="FY121">
        <v>0.528787247585909</v>
      </c>
      <c r="FZ121">
        <v>-0.60226705625617405</v>
      </c>
      <c r="GA121">
        <v>-6.4869392662596503E-2</v>
      </c>
      <c r="GB121">
        <v>-9.7558990162882595E-2</v>
      </c>
      <c r="GC121">
        <v>0.72991816644066898</v>
      </c>
      <c r="GD121">
        <v>-6.9893348993239193E-2</v>
      </c>
      <c r="GE121">
        <v>-0.15402293080825799</v>
      </c>
      <c r="GF121">
        <v>0.83958639073246899</v>
      </c>
      <c r="GG121">
        <v>0.62629193004919004</v>
      </c>
      <c r="GH121">
        <v>0.66964938902734605</v>
      </c>
      <c r="GI121">
        <v>0.275682307083709</v>
      </c>
      <c r="GJ121">
        <v>0.44410892400344998</v>
      </c>
      <c r="GK121">
        <v>0.16997081393341201</v>
      </c>
      <c r="GL121">
        <v>-0.37955193499276202</v>
      </c>
      <c r="GM121">
        <v>-9.0564732510768103E-2</v>
      </c>
      <c r="GN121">
        <v>2.2276613223374899E-2</v>
      </c>
      <c r="GO121">
        <v>0.42738274607016002</v>
      </c>
      <c r="GP121">
        <v>-0.28292111263895198</v>
      </c>
      <c r="GR121" s="66"/>
      <c r="GT121" s="66"/>
      <c r="GV121" s="66"/>
      <c r="GY121" s="66"/>
      <c r="GZ121" s="66"/>
      <c r="HK121" s="1"/>
      <c r="HL121" s="1"/>
      <c r="HM121" s="1"/>
      <c r="HN121" s="1"/>
      <c r="HO121" s="65"/>
      <c r="HP121" s="65"/>
      <c r="HQ121" s="65"/>
      <c r="HT121" s="65"/>
      <c r="HU121" s="65"/>
      <c r="HV121" s="65"/>
      <c r="HW121" s="65"/>
      <c r="HX121" s="65"/>
    </row>
    <row r="122" spans="1:278" ht="15.75" x14ac:dyDescent="0.25">
      <c r="A122" s="7" t="s">
        <v>175</v>
      </c>
      <c r="B122" s="7" t="s">
        <v>175</v>
      </c>
      <c r="C122" s="2" t="s">
        <v>941</v>
      </c>
      <c r="D122" s="2" t="s">
        <v>564</v>
      </c>
      <c r="E122" s="2" t="s">
        <v>564</v>
      </c>
      <c r="F122" s="2">
        <v>121</v>
      </c>
      <c r="G122" s="2" t="s">
        <v>940</v>
      </c>
      <c r="H122" s="10" t="s">
        <v>656</v>
      </c>
      <c r="I122" s="2">
        <v>150</v>
      </c>
      <c r="J122" s="2">
        <v>65</v>
      </c>
      <c r="K122" s="2">
        <v>6</v>
      </c>
      <c r="L122" t="s">
        <v>356</v>
      </c>
      <c r="M122" s="2" t="s">
        <v>1119</v>
      </c>
      <c r="N122" s="2" t="s">
        <v>436</v>
      </c>
      <c r="O122" s="2" t="s">
        <v>694</v>
      </c>
      <c r="P122" s="2" t="s">
        <v>1119</v>
      </c>
      <c r="Q122" s="2" t="s">
        <v>443</v>
      </c>
      <c r="R122" s="2" t="str">
        <f t="shared" si="73"/>
        <v>CW_2_Section_5</v>
      </c>
      <c r="S122" s="2" t="str">
        <f t="shared" si="74"/>
        <v>CW_2_EFF</v>
      </c>
      <c r="T122" s="11" t="s">
        <v>937</v>
      </c>
      <c r="U122" s="1">
        <v>45826</v>
      </c>
      <c r="V122" s="2" t="s">
        <v>692</v>
      </c>
      <c r="W122" s="2" t="s">
        <v>1119</v>
      </c>
      <c r="X122" s="2" t="s">
        <v>936</v>
      </c>
      <c r="Y122" s="2" t="str">
        <f t="shared" si="75"/>
        <v>T5_EFF</v>
      </c>
      <c r="Z122" s="2" t="str">
        <f t="shared" si="76"/>
        <v>T5_CW_2_EFF</v>
      </c>
      <c r="AA122" s="2" t="str">
        <f t="shared" si="77"/>
        <v>T5_EFF</v>
      </c>
      <c r="AB122" s="2">
        <v>307</v>
      </c>
      <c r="AC122" s="2">
        <v>10.098000000000001</v>
      </c>
      <c r="AD122" s="2">
        <v>0.38</v>
      </c>
      <c r="AE122" s="2">
        <v>5</v>
      </c>
      <c r="AF122" t="s">
        <v>39</v>
      </c>
      <c r="AG122" s="2" t="s">
        <v>1238</v>
      </c>
      <c r="AH122">
        <v>44</v>
      </c>
      <c r="AI122" t="s">
        <v>443</v>
      </c>
      <c r="AJ122">
        <v>0.16</v>
      </c>
      <c r="AK122">
        <v>69</v>
      </c>
      <c r="AL122">
        <v>21.5</v>
      </c>
      <c r="AM122">
        <v>-89</v>
      </c>
      <c r="AN122">
        <v>7.11</v>
      </c>
      <c r="AO122">
        <v>625</v>
      </c>
      <c r="AP122">
        <v>2</v>
      </c>
      <c r="AQ122">
        <v>0.01</v>
      </c>
      <c r="AR122">
        <v>8.9</v>
      </c>
      <c r="AS122">
        <v>9.1999999999999993</v>
      </c>
      <c r="AT122">
        <v>29</v>
      </c>
      <c r="AU122" s="32">
        <f t="shared" si="89"/>
        <v>1.1138138522596338E-2</v>
      </c>
      <c r="AV122">
        <v>0.37</v>
      </c>
      <c r="AW122" s="32">
        <f t="shared" si="90"/>
        <v>1.445626220968092E-4</v>
      </c>
      <c r="AX122">
        <v>34</v>
      </c>
      <c r="AY122" s="32">
        <f t="shared" si="91"/>
        <v>1.3450127154563436E-2</v>
      </c>
      <c r="AZ122">
        <v>7</v>
      </c>
      <c r="BA122" s="32">
        <f t="shared" si="92"/>
        <v>2.7691438259395311E-3</v>
      </c>
      <c r="BB122">
        <v>7.8</v>
      </c>
      <c r="BC122" s="32">
        <f t="shared" si="93"/>
        <v>3.0856174060469059E-3</v>
      </c>
      <c r="BD122">
        <v>14.8</v>
      </c>
      <c r="BF122" s="48">
        <v>78.17</v>
      </c>
      <c r="BG122" s="48">
        <f t="shared" si="94"/>
        <v>2.4732828299256583E-2</v>
      </c>
      <c r="BH122">
        <v>95</v>
      </c>
      <c r="BI122" s="32">
        <f t="shared" si="95"/>
        <v>3.5577748303035034E-2</v>
      </c>
      <c r="BJ122" s="47">
        <v>2E-3</v>
      </c>
      <c r="BK122" s="27">
        <f t="shared" si="96"/>
        <v>7.4900522743231646E-7</v>
      </c>
      <c r="BL122" s="47">
        <v>0.01</v>
      </c>
      <c r="BM122" s="27">
        <f t="shared" si="97"/>
        <v>3.6796110125501018E-6</v>
      </c>
      <c r="BN122" s="47">
        <v>0.01</v>
      </c>
      <c r="BO122" s="27">
        <f t="shared" si="98"/>
        <v>3.7611049867064394E-6</v>
      </c>
      <c r="BP122" s="47">
        <v>5.0000000000000001E-3</v>
      </c>
      <c r="BQ122" s="27">
        <f t="shared" si="99"/>
        <v>1.8649981951630372E-6</v>
      </c>
      <c r="BR122" s="47">
        <v>1E-3</v>
      </c>
      <c r="BS122" s="27">
        <f t="shared" si="100"/>
        <v>3.7030802895135499E-7</v>
      </c>
      <c r="BT122" s="47">
        <v>1E-3</v>
      </c>
      <c r="BU122" s="27">
        <f t="shared" si="101"/>
        <v>3.7030802895135499E-7</v>
      </c>
      <c r="BV122" s="47">
        <v>1E-3</v>
      </c>
      <c r="BW122" s="27">
        <f t="shared" si="102"/>
        <v>3.6588380716934485E-7</v>
      </c>
      <c r="BX122" s="47">
        <v>2E-3</v>
      </c>
      <c r="BY122" s="27">
        <f t="shared" si="103"/>
        <v>7.3176761433868969E-7</v>
      </c>
      <c r="BZ122" s="51">
        <f t="shared" si="104"/>
        <v>3.2000000000000001E-2</v>
      </c>
      <c r="CA122" s="51">
        <f t="shared" si="105"/>
        <v>3.0000000000000006E-2</v>
      </c>
      <c r="CB122" s="27">
        <f t="shared" si="106"/>
        <v>1.1892986901262639E-5</v>
      </c>
      <c r="CC122" s="27">
        <f t="shared" si="107"/>
        <v>1.1143981673830322E-5</v>
      </c>
      <c r="CD122">
        <v>290</v>
      </c>
      <c r="CE122">
        <v>210</v>
      </c>
      <c r="CF122" t="s">
        <v>19</v>
      </c>
      <c r="CG122">
        <v>500</v>
      </c>
      <c r="CH122" s="32">
        <v>0.9</v>
      </c>
      <c r="CI122" s="32">
        <f t="shared" si="108"/>
        <v>1.611459265890779E-2</v>
      </c>
      <c r="CJ122" s="32">
        <f t="shared" si="109"/>
        <v>1.611459265890779E-2</v>
      </c>
      <c r="CK122" s="32">
        <v>1.1000000000000001</v>
      </c>
      <c r="CL122" s="32">
        <f t="shared" si="110"/>
        <v>2.0025486983433462E-2</v>
      </c>
      <c r="CM122" s="32">
        <f t="shared" si="111"/>
        <v>4.0050973966866923E-2</v>
      </c>
      <c r="CN122" s="27">
        <v>21</v>
      </c>
      <c r="CO122" s="27">
        <f t="shared" si="112"/>
        <v>0.21861336664584635</v>
      </c>
      <c r="CP122" s="27">
        <f t="shared" si="113"/>
        <v>1.7489069331667708</v>
      </c>
      <c r="CQ122" s="57">
        <v>58</v>
      </c>
      <c r="CR122" s="57">
        <v>73.417721518987349</v>
      </c>
      <c r="CS122" s="57">
        <v>4.8303143868415575</v>
      </c>
      <c r="CT122" s="57">
        <f t="shared" si="114"/>
        <v>4.8303143868415575</v>
      </c>
      <c r="CU122" s="28">
        <v>11</v>
      </c>
      <c r="CV122" s="28">
        <v>34.375</v>
      </c>
      <c r="CW122" s="28">
        <v>0.91609410784926082</v>
      </c>
      <c r="CX122" s="28">
        <f t="shared" si="115"/>
        <v>0.91609410784926082</v>
      </c>
      <c r="CY122" s="32">
        <f t="shared" si="116"/>
        <v>33.715594420154069</v>
      </c>
      <c r="CZ122" s="32">
        <f t="shared" si="117"/>
        <v>33.715594420154069</v>
      </c>
      <c r="DA122" s="32">
        <f t="shared" si="118"/>
        <v>34.615594420154068</v>
      </c>
      <c r="DB122" s="32">
        <f t="shared" si="119"/>
        <v>0.61979578191860463</v>
      </c>
      <c r="DC122" s="32">
        <f t="shared" si="120"/>
        <v>0.61979578191860463</v>
      </c>
      <c r="DD122" s="59">
        <f t="shared" si="121"/>
        <v>6.3943368727878402</v>
      </c>
      <c r="DE122" s="59">
        <f t="shared" si="122"/>
        <v>6.3943368727878402</v>
      </c>
      <c r="DF122" s="59">
        <f t="shared" si="123"/>
        <v>7.2943368727878406</v>
      </c>
      <c r="DG122" s="59">
        <f t="shared" si="124"/>
        <v>0.13060585269091926</v>
      </c>
      <c r="DH122" s="59">
        <f t="shared" si="125"/>
        <v>0.13060585269091926</v>
      </c>
      <c r="DI122" s="32">
        <f t="shared" si="126"/>
        <v>1.7489069331667708</v>
      </c>
      <c r="DJ122" s="32">
        <f t="shared" si="127"/>
        <v>8.3943368727878411</v>
      </c>
      <c r="DK122" s="32">
        <f t="shared" si="128"/>
        <v>0.1706568266577862</v>
      </c>
      <c r="DL122">
        <f t="shared" si="129"/>
        <v>5.4901611427270289</v>
      </c>
      <c r="DM122">
        <f t="shared" si="134"/>
        <v>7.2950452501605667E-3</v>
      </c>
      <c r="DN122">
        <f t="shared" si="135"/>
        <v>0.11289209292875958</v>
      </c>
      <c r="DO122">
        <f t="shared" si="136"/>
        <v>0.87981286182107987</v>
      </c>
      <c r="DP122">
        <f t="shared" si="130"/>
        <v>1.086750934507047</v>
      </c>
      <c r="DQ122">
        <f t="shared" si="137"/>
        <v>3.6853866599189211E-2</v>
      </c>
      <c r="DR122">
        <f t="shared" si="138"/>
        <v>0.12018011537313507</v>
      </c>
      <c r="DS122">
        <f t="shared" si="139"/>
        <v>0.84296601802767579</v>
      </c>
      <c r="DT122" s="63">
        <f t="shared" si="140"/>
        <v>-5.4298505661247374</v>
      </c>
      <c r="DU122" s="63">
        <f t="shared" si="141"/>
        <v>-1.0264403579047554</v>
      </c>
      <c r="DV122" s="63">
        <f t="shared" si="142"/>
        <v>-5.4298394221430639</v>
      </c>
      <c r="DW122" s="63">
        <f t="shared" si="143"/>
        <v>-1.0264292139230815</v>
      </c>
      <c r="DX122" t="str">
        <f t="shared" si="131"/>
        <v>Sufficient Capacity</v>
      </c>
      <c r="DY122" t="str">
        <f t="shared" si="132"/>
        <v>Sufficient Capacity</v>
      </c>
      <c r="DZ122" t="str">
        <f t="shared" si="133"/>
        <v>Sulfate Dominant electron acceptor</v>
      </c>
      <c r="EA122" t="str">
        <f t="shared" si="144"/>
        <v>Sulfate Dominant electron acceptor</v>
      </c>
      <c r="EB122">
        <v>8.7326729999999998E-3</v>
      </c>
      <c r="EC122">
        <v>1.502986E-3</v>
      </c>
      <c r="ED122">
        <v>0</v>
      </c>
      <c r="EE122">
        <v>1.2330920000000001E-3</v>
      </c>
      <c r="EF122">
        <v>8.3565199999999992E-3</v>
      </c>
      <c r="EG122" s="66">
        <v>5.1344070000000003E-6</v>
      </c>
      <c r="EH122">
        <v>6.774401E-4</v>
      </c>
      <c r="EI122" s="66">
        <v>8.1741950000000001E-5</v>
      </c>
      <c r="EJ122">
        <v>3.5046669999999998E-4</v>
      </c>
      <c r="EK122">
        <v>6.2470570000000005E-4</v>
      </c>
      <c r="EL122">
        <v>6.8902630000000002E-4</v>
      </c>
      <c r="EM122">
        <v>7.6849660000000001E-4</v>
      </c>
      <c r="EN122">
        <v>1.7016430000000001E-3</v>
      </c>
      <c r="EO122">
        <v>6.1589489999999995E-4</v>
      </c>
      <c r="EP122">
        <v>3.522589E-3</v>
      </c>
      <c r="EQ122">
        <v>4.7017439999999999E-4</v>
      </c>
      <c r="ER122">
        <v>7.9397090000000005E-4</v>
      </c>
      <c r="ES122">
        <v>1.0907180000000001E-3</v>
      </c>
      <c r="ET122">
        <v>4.9496779999999999E-3</v>
      </c>
      <c r="EU122">
        <v>2.7490320000000002E-3</v>
      </c>
      <c r="EV122">
        <v>7.9044260000000009E-3</v>
      </c>
      <c r="EW122">
        <v>9.0059690000000002E-4</v>
      </c>
      <c r="EX122">
        <v>4.1030700000000003E-3</v>
      </c>
      <c r="EY122">
        <v>6.1300640000000002E-3</v>
      </c>
      <c r="EZ122">
        <v>2.256456E-3</v>
      </c>
      <c r="FA122">
        <v>1.4220669999999999E-3</v>
      </c>
      <c r="FB122">
        <v>1.5129270000000001E-3</v>
      </c>
      <c r="FC122">
        <v>2.5143079999999998E-3</v>
      </c>
      <c r="FD122">
        <v>4.332882E-4</v>
      </c>
      <c r="FE122">
        <v>2.476327E-2</v>
      </c>
      <c r="FF122">
        <v>9.0700720000000002E-3</v>
      </c>
      <c r="FG122">
        <v>6.9877910000000001E-3</v>
      </c>
      <c r="FH122">
        <v>8.4767619999999997E-4</v>
      </c>
      <c r="FI122">
        <v>1.9452650000000001E-3</v>
      </c>
      <c r="FJ122">
        <v>7.5470909999999997E-3</v>
      </c>
      <c r="FK122">
        <v>0.76688279687458705</v>
      </c>
      <c r="FL122">
        <v>0.59689695240904905</v>
      </c>
      <c r="FM122">
        <v>-0.85581827797523402</v>
      </c>
      <c r="FN122">
        <v>0.82474898040921096</v>
      </c>
      <c r="FO122">
        <v>2.9386358876165801E-2</v>
      </c>
      <c r="FP122">
        <v>-0.23272130948203401</v>
      </c>
      <c r="FQ122">
        <v>-0.141011439576681</v>
      </c>
      <c r="FR122">
        <v>0.41360856724352002</v>
      </c>
      <c r="FS122">
        <v>1.0948161250584301</v>
      </c>
      <c r="FT122">
        <v>-0.178177008168174</v>
      </c>
      <c r="FU122">
        <v>-0.28170756848412498</v>
      </c>
      <c r="FV122">
        <v>0.50853406386994005</v>
      </c>
      <c r="FW122">
        <v>-0.94384666653909499</v>
      </c>
      <c r="FX122">
        <v>0.69525662100826002</v>
      </c>
      <c r="FY122">
        <v>0.44886147748808197</v>
      </c>
      <c r="FZ122">
        <v>-0.56168434160264002</v>
      </c>
      <c r="GA122">
        <v>-7.5041252667160697E-3</v>
      </c>
      <c r="GB122">
        <v>-0.111826021664164</v>
      </c>
      <c r="GC122">
        <v>0.334520888535219</v>
      </c>
      <c r="GD122">
        <v>-0.19264096448717999</v>
      </c>
      <c r="GE122">
        <v>-9.9702716611842504E-2</v>
      </c>
      <c r="GF122">
        <v>0.57163462903287898</v>
      </c>
      <c r="GG122">
        <v>0.40783012768833599</v>
      </c>
      <c r="GH122">
        <v>0.42556746601791001</v>
      </c>
      <c r="GI122">
        <v>0.29417700850670597</v>
      </c>
      <c r="GJ122">
        <v>0.19322311938126499</v>
      </c>
      <c r="GK122">
        <v>5.9853800853894697E-2</v>
      </c>
      <c r="GL122">
        <v>-0.49972327710512898</v>
      </c>
      <c r="GM122">
        <v>-0.18804243701718801</v>
      </c>
      <c r="GN122">
        <v>6.6727035231768803E-2</v>
      </c>
      <c r="GO122">
        <v>0.30358432815662401</v>
      </c>
      <c r="GP122">
        <v>-0.33893026336245702</v>
      </c>
      <c r="GR122" s="66"/>
      <c r="GT122" s="66"/>
      <c r="GV122" s="66"/>
      <c r="GY122" s="66"/>
      <c r="GZ122" s="66"/>
      <c r="HK122" s="1"/>
      <c r="HL122" s="1"/>
      <c r="HM122" s="65"/>
      <c r="HN122" s="1"/>
      <c r="HO122" s="65"/>
      <c r="HP122" s="65"/>
      <c r="HQ122" s="65"/>
      <c r="HS122" s="65"/>
      <c r="HV122" s="65"/>
      <c r="HW122" s="65"/>
      <c r="HX122" s="65"/>
      <c r="JF122" s="66"/>
      <c r="JH122" s="66"/>
      <c r="JJ122" s="66"/>
      <c r="JL122" s="66"/>
      <c r="JN122" s="66"/>
    </row>
    <row r="123" spans="1:278" ht="15.75" x14ac:dyDescent="0.25">
      <c r="A123" s="7" t="s">
        <v>176</v>
      </c>
      <c r="B123" s="7" t="s">
        <v>176</v>
      </c>
      <c r="C123" s="2" t="s">
        <v>943</v>
      </c>
      <c r="D123" s="2" t="s">
        <v>565</v>
      </c>
      <c r="E123" s="2" t="s">
        <v>565</v>
      </c>
      <c r="F123" s="2">
        <v>122</v>
      </c>
      <c r="G123" s="2" t="s">
        <v>942</v>
      </c>
      <c r="H123" s="10" t="s">
        <v>656</v>
      </c>
      <c r="I123" s="2">
        <v>150</v>
      </c>
      <c r="J123" s="2">
        <v>65</v>
      </c>
      <c r="K123" s="2">
        <v>4.5</v>
      </c>
      <c r="L123" t="s">
        <v>363</v>
      </c>
      <c r="M123" s="2" t="s">
        <v>1119</v>
      </c>
      <c r="N123" s="2" t="s">
        <v>437</v>
      </c>
      <c r="O123" s="2" t="s">
        <v>694</v>
      </c>
      <c r="P123" s="2" t="s">
        <v>1119</v>
      </c>
      <c r="Q123" s="2" t="s">
        <v>443</v>
      </c>
      <c r="R123" s="2" t="str">
        <f t="shared" si="73"/>
        <v>CW_3_Section_5</v>
      </c>
      <c r="S123" s="2" t="str">
        <f t="shared" si="74"/>
        <v>CW_3_EFF</v>
      </c>
      <c r="T123" s="11" t="s">
        <v>937</v>
      </c>
      <c r="U123" s="1">
        <v>45827</v>
      </c>
      <c r="V123" s="2" t="s">
        <v>692</v>
      </c>
      <c r="W123" s="2" t="s">
        <v>1119</v>
      </c>
      <c r="X123" s="2" t="s">
        <v>936</v>
      </c>
      <c r="Y123" s="2" t="str">
        <f t="shared" si="75"/>
        <v>T5_EFF</v>
      </c>
      <c r="Z123" s="2" t="str">
        <f t="shared" si="76"/>
        <v>T5_CW_3_EFF</v>
      </c>
      <c r="AA123" s="2" t="str">
        <f t="shared" si="77"/>
        <v>T5_EFF</v>
      </c>
      <c r="AB123" s="2">
        <v>307</v>
      </c>
      <c r="AC123" s="2">
        <v>10.098000000000001</v>
      </c>
      <c r="AD123" s="2">
        <v>0.38</v>
      </c>
      <c r="AE123" s="2">
        <v>5</v>
      </c>
      <c r="AF123" t="s">
        <v>49</v>
      </c>
      <c r="AG123" t="s">
        <v>1237</v>
      </c>
      <c r="AH123">
        <v>68</v>
      </c>
      <c r="AI123" t="s">
        <v>443</v>
      </c>
      <c r="AJ123">
        <v>0.66</v>
      </c>
      <c r="AK123">
        <v>0.42</v>
      </c>
      <c r="AL123">
        <v>21.7</v>
      </c>
      <c r="AM123">
        <v>-63</v>
      </c>
      <c r="AN123">
        <v>7.12</v>
      </c>
      <c r="AO123">
        <v>809</v>
      </c>
      <c r="AP123">
        <v>0.2</v>
      </c>
      <c r="AQ123">
        <v>0.01</v>
      </c>
      <c r="AR123">
        <v>10</v>
      </c>
      <c r="AS123">
        <v>11</v>
      </c>
      <c r="AT123">
        <v>700</v>
      </c>
      <c r="AU123" s="32">
        <f t="shared" si="89"/>
        <v>0.2688516195109461</v>
      </c>
      <c r="AV123">
        <v>8</v>
      </c>
      <c r="AW123" s="32">
        <f t="shared" si="90"/>
        <v>3.1256783156066855E-3</v>
      </c>
      <c r="AX123">
        <v>640</v>
      </c>
      <c r="AY123" s="32">
        <f t="shared" si="91"/>
        <v>0.25317886408589996</v>
      </c>
      <c r="AZ123">
        <v>120</v>
      </c>
      <c r="BA123" s="32">
        <f t="shared" si="92"/>
        <v>4.7471037016106249E-2</v>
      </c>
      <c r="BB123">
        <v>91</v>
      </c>
      <c r="BC123" s="32">
        <f t="shared" si="93"/>
        <v>3.5998869737213904E-2</v>
      </c>
      <c r="BD123">
        <v>211</v>
      </c>
      <c r="BF123" s="48">
        <v>1559</v>
      </c>
      <c r="BG123" s="48">
        <f t="shared" si="94"/>
        <v>0.52515616191245273</v>
      </c>
      <c r="BH123">
        <v>1800</v>
      </c>
      <c r="BI123" s="32">
        <f t="shared" si="95"/>
        <v>0.6741047046890849</v>
      </c>
      <c r="BJ123" s="47">
        <v>3100</v>
      </c>
      <c r="BK123" s="27">
        <f t="shared" si="96"/>
        <v>1.1609581025200906</v>
      </c>
      <c r="BL123" s="47">
        <v>4</v>
      </c>
      <c r="BM123" s="27">
        <f t="shared" si="97"/>
        <v>1.4718444050200407E-3</v>
      </c>
      <c r="BN123" s="47">
        <v>510</v>
      </c>
      <c r="BO123" s="27">
        <f t="shared" si="98"/>
        <v>0.1918163543220284</v>
      </c>
      <c r="BP123" s="47">
        <v>100</v>
      </c>
      <c r="BQ123" s="27">
        <f t="shared" si="99"/>
        <v>3.7299963903260742E-2</v>
      </c>
      <c r="BR123" s="47">
        <v>66</v>
      </c>
      <c r="BS123" s="27">
        <f t="shared" si="100"/>
        <v>2.444032991078943E-2</v>
      </c>
      <c r="BT123" s="47">
        <v>3.7</v>
      </c>
      <c r="BU123" s="27">
        <f t="shared" si="101"/>
        <v>1.3701397071200136E-3</v>
      </c>
      <c r="BV123" s="47">
        <v>0.24</v>
      </c>
      <c r="BW123" s="27">
        <f t="shared" si="102"/>
        <v>8.7812113720642758E-5</v>
      </c>
      <c r="BX123" s="47">
        <v>0.13</v>
      </c>
      <c r="BY123" s="27">
        <f t="shared" si="103"/>
        <v>4.7564894932014834E-5</v>
      </c>
      <c r="BZ123" s="51">
        <f t="shared" si="104"/>
        <v>3784.0699999999997</v>
      </c>
      <c r="CA123" s="51">
        <f t="shared" si="105"/>
        <v>684.07</v>
      </c>
      <c r="CB123" s="27">
        <f t="shared" si="106"/>
        <v>1.4174921117769619</v>
      </c>
      <c r="CC123" s="27">
        <f t="shared" si="107"/>
        <v>0.25653400925687131</v>
      </c>
      <c r="CD123">
        <v>3000</v>
      </c>
      <c r="CE123">
        <v>1400</v>
      </c>
      <c r="CF123" t="s">
        <v>19</v>
      </c>
      <c r="CG123">
        <v>4400</v>
      </c>
      <c r="CH123" s="32">
        <v>1.1000000000000001</v>
      </c>
      <c r="CI123" s="32">
        <f t="shared" si="108"/>
        <v>1.9695613249776187E-2</v>
      </c>
      <c r="CJ123" s="32">
        <f t="shared" si="109"/>
        <v>1.9695613249776187E-2</v>
      </c>
      <c r="CK123" s="32">
        <v>1.1000000000000001</v>
      </c>
      <c r="CL123" s="32">
        <f t="shared" si="110"/>
        <v>2.0025486983433462E-2</v>
      </c>
      <c r="CM123" s="32">
        <f t="shared" si="111"/>
        <v>4.0050973966866923E-2</v>
      </c>
      <c r="CN123" s="27">
        <v>36</v>
      </c>
      <c r="CO123" s="27">
        <f t="shared" si="112"/>
        <v>0.37476577139287942</v>
      </c>
      <c r="CP123" s="27">
        <f t="shared" si="113"/>
        <v>2.9981261711430354</v>
      </c>
      <c r="CQ123" s="57">
        <v>43</v>
      </c>
      <c r="CR123" s="57">
        <v>54.430379746835442</v>
      </c>
      <c r="CS123" s="57">
        <v>3.5810951488652925</v>
      </c>
      <c r="CT123" s="57">
        <f t="shared" si="114"/>
        <v>3.5810951488652925</v>
      </c>
      <c r="CU123" s="28">
        <v>6</v>
      </c>
      <c r="CV123" s="28">
        <v>14.285714285714285</v>
      </c>
      <c r="CW123" s="28">
        <v>0.49968769519050593</v>
      </c>
      <c r="CX123" s="28">
        <f t="shared" si="115"/>
        <v>0.49968769519050593</v>
      </c>
      <c r="CY123" s="32">
        <f t="shared" si="116"/>
        <v>24.996044139079739</v>
      </c>
      <c r="CZ123" s="32">
        <f t="shared" si="117"/>
        <v>24.996044139079739</v>
      </c>
      <c r="DA123" s="32">
        <f t="shared" si="118"/>
        <v>26.096044139079741</v>
      </c>
      <c r="DB123" s="32">
        <f t="shared" si="119"/>
        <v>0.46725235701127554</v>
      </c>
      <c r="DC123" s="32">
        <f t="shared" si="120"/>
        <v>0.46725235701127554</v>
      </c>
      <c r="DD123" s="59">
        <f t="shared" si="121"/>
        <v>3.4878201124297314</v>
      </c>
      <c r="DE123" s="59">
        <f t="shared" si="122"/>
        <v>3.4878201124297314</v>
      </c>
      <c r="DF123" s="59">
        <f t="shared" si="123"/>
        <v>4.587820112429732</v>
      </c>
      <c r="DG123" s="59">
        <f t="shared" si="124"/>
        <v>8.214539144905518E-2</v>
      </c>
      <c r="DH123" s="59">
        <f t="shared" si="125"/>
        <v>8.214539144905518E-2</v>
      </c>
      <c r="DI123" s="32">
        <f t="shared" si="126"/>
        <v>2.9981261711430354</v>
      </c>
      <c r="DJ123" s="32">
        <f t="shared" si="127"/>
        <v>5.6878201124297316</v>
      </c>
      <c r="DK123" s="32">
        <f t="shared" si="128"/>
        <v>0.1221963654159221</v>
      </c>
      <c r="DL123">
        <f t="shared" si="129"/>
        <v>4.088398479843435</v>
      </c>
      <c r="DM123">
        <f t="shared" si="134"/>
        <v>9.7962500877362309E-3</v>
      </c>
      <c r="DN123">
        <f t="shared" si="135"/>
        <v>0.1142873815541505</v>
      </c>
      <c r="DO123">
        <f t="shared" si="136"/>
        <v>0.87591636835811326</v>
      </c>
      <c r="DP123">
        <f t="shared" si="130"/>
        <v>0.62188406060642798</v>
      </c>
      <c r="DQ123">
        <f t="shared" si="137"/>
        <v>6.4402637893325912E-2</v>
      </c>
      <c r="DR123">
        <f t="shared" si="138"/>
        <v>0.13209116723292666</v>
      </c>
      <c r="DS123">
        <f t="shared" si="139"/>
        <v>0.80350619487374753</v>
      </c>
      <c r="DT123" s="63">
        <f t="shared" si="140"/>
        <v>-2.8891376132418971</v>
      </c>
      <c r="DU123" s="63">
        <f t="shared" si="141"/>
        <v>0.57737680599510965</v>
      </c>
      <c r="DV123" s="63">
        <f t="shared" si="142"/>
        <v>-2.632603603985026</v>
      </c>
      <c r="DW123" s="63">
        <f t="shared" si="143"/>
        <v>0.83391081525198096</v>
      </c>
      <c r="DX123" t="str">
        <f t="shared" si="131"/>
        <v>Sufficient Capacity</v>
      </c>
      <c r="DY123" t="str">
        <f t="shared" si="132"/>
        <v>Insufficient Capacity</v>
      </c>
      <c r="DZ123" t="str">
        <f t="shared" si="133"/>
        <v>Sulfate Dominant electron acceptor</v>
      </c>
      <c r="EA123" t="str">
        <f t="shared" si="144"/>
        <v>Sulfate Dominant electron acceptor</v>
      </c>
      <c r="EB123">
        <v>8.3325120000000003E-3</v>
      </c>
      <c r="EC123">
        <v>1.4620169999999999E-3</v>
      </c>
      <c r="ED123" s="66">
        <v>4.2044089999999998E-8</v>
      </c>
      <c r="EE123">
        <v>6.1137069999999999E-4</v>
      </c>
      <c r="EF123">
        <v>5.3875609999999999E-3</v>
      </c>
      <c r="EG123" s="66">
        <v>2.3679720000000001E-5</v>
      </c>
      <c r="EH123">
        <v>3.5446799999999998E-4</v>
      </c>
      <c r="EI123" s="66">
        <v>8.5843399999999999E-5</v>
      </c>
      <c r="EJ123">
        <v>5.6054990000000001E-4</v>
      </c>
      <c r="EK123">
        <v>8.6460789999999997E-4</v>
      </c>
      <c r="EL123">
        <v>4.6873930000000002E-4</v>
      </c>
      <c r="EM123">
        <v>3.8644139999999998E-4</v>
      </c>
      <c r="EN123">
        <v>2.4203359999999999E-3</v>
      </c>
      <c r="EO123">
        <v>1.0974509999999999E-3</v>
      </c>
      <c r="EP123">
        <v>2.1542800000000002E-3</v>
      </c>
      <c r="EQ123">
        <v>9.1617860000000001E-4</v>
      </c>
      <c r="ER123">
        <v>4.6690320000000003E-4</v>
      </c>
      <c r="ES123">
        <v>6.8035909999999999E-4</v>
      </c>
      <c r="ET123">
        <v>7.6131849999999997E-3</v>
      </c>
      <c r="EU123">
        <v>2.5427290000000001E-3</v>
      </c>
      <c r="EV123">
        <v>8.8076549999999993E-3</v>
      </c>
      <c r="EW123">
        <v>4.8424299999999998E-4</v>
      </c>
      <c r="EX123">
        <v>4.6840359999999999E-3</v>
      </c>
      <c r="EY123">
        <v>6.2964589999999999E-3</v>
      </c>
      <c r="EZ123">
        <v>1.5855260000000001E-3</v>
      </c>
      <c r="FA123">
        <v>1.1345319999999999E-3</v>
      </c>
      <c r="FB123">
        <v>1.1523760000000001E-3</v>
      </c>
      <c r="FC123">
        <v>2.1647849999999998E-3</v>
      </c>
      <c r="FD123">
        <v>4.158314E-4</v>
      </c>
      <c r="FE123">
        <v>2.384905E-2</v>
      </c>
      <c r="FF123">
        <v>1.3430660000000001E-2</v>
      </c>
      <c r="FG123">
        <v>7.9917930000000005E-3</v>
      </c>
      <c r="FH123">
        <v>7.8945679999999996E-4</v>
      </c>
      <c r="FI123">
        <v>1.506573E-3</v>
      </c>
      <c r="FJ123">
        <v>1.03476E-2</v>
      </c>
      <c r="FK123">
        <v>6.5306167241308402E-2</v>
      </c>
      <c r="FL123">
        <v>0.157947657790142</v>
      </c>
      <c r="FM123">
        <v>0.67283635292074395</v>
      </c>
      <c r="FN123">
        <v>0.177045918762881</v>
      </c>
      <c r="FO123">
        <v>7.8343731007533002E-2</v>
      </c>
      <c r="FP123">
        <v>0.23693126189282099</v>
      </c>
      <c r="FQ123">
        <v>0.183984010950765</v>
      </c>
      <c r="FR123">
        <v>2.83758760530874E-2</v>
      </c>
      <c r="FS123">
        <v>0.40736022574868203</v>
      </c>
      <c r="FT123">
        <v>0.17413511041943</v>
      </c>
      <c r="FU123">
        <v>0.29596159644998099</v>
      </c>
      <c r="FV123">
        <v>1.6794394253307299E-2</v>
      </c>
      <c r="FW123">
        <v>-0.27673903241153203</v>
      </c>
      <c r="FX123">
        <v>0.16433176597620699</v>
      </c>
      <c r="FY123">
        <v>-2.31092494576206E-2</v>
      </c>
      <c r="FZ123">
        <v>-0.13112525299493799</v>
      </c>
      <c r="GA123">
        <v>-8.5515061264137798E-2</v>
      </c>
      <c r="GB123">
        <v>-3.62764770256074E-3</v>
      </c>
      <c r="GC123">
        <v>-0.28595003033733901</v>
      </c>
      <c r="GD123">
        <v>-6.02163070443789E-2</v>
      </c>
      <c r="GE123">
        <v>-7.2920495073705502E-2</v>
      </c>
      <c r="GF123">
        <v>0.21875540163677001</v>
      </c>
      <c r="GG123">
        <v>0.181938911778489</v>
      </c>
      <c r="GH123">
        <v>0.153347178797898</v>
      </c>
      <c r="GI123">
        <v>0.14450044128464901</v>
      </c>
      <c r="GJ123">
        <v>0.15209991351844701</v>
      </c>
      <c r="GK123">
        <v>2.2236678162225399E-2</v>
      </c>
      <c r="GL123">
        <v>-0.107163326422909</v>
      </c>
      <c r="GM123">
        <v>-5.3791780317390597E-2</v>
      </c>
      <c r="GN123">
        <v>-4.4265739956390604E-3</v>
      </c>
      <c r="GO123">
        <v>4.8023648682250702E-2</v>
      </c>
      <c r="GP123">
        <v>-2.3337845599651401E-2</v>
      </c>
      <c r="GT123" s="66"/>
      <c r="GV123" s="66"/>
      <c r="GY123" s="65"/>
      <c r="HK123" s="1"/>
      <c r="HL123" s="1"/>
      <c r="HM123" s="65"/>
      <c r="HN123" s="1"/>
      <c r="HO123" s="65"/>
      <c r="HP123" s="65"/>
      <c r="HQ123" s="65"/>
      <c r="HS123" s="65"/>
      <c r="HV123" s="65"/>
      <c r="HW123" s="65"/>
      <c r="HX123" s="65"/>
      <c r="IX123" s="66"/>
      <c r="IZ123" s="66"/>
      <c r="JB123" s="66"/>
      <c r="JD123" s="66"/>
      <c r="JF123" s="66"/>
      <c r="JH123" s="66"/>
      <c r="JJ123" s="66"/>
      <c r="JL123" s="66"/>
      <c r="JN123" s="66"/>
      <c r="JO123" s="66"/>
      <c r="JP123" s="66"/>
      <c r="JQ123" s="66"/>
      <c r="JR123" s="66"/>
    </row>
    <row r="124" spans="1:278" ht="15.75" x14ac:dyDescent="0.25">
      <c r="A124" s="7" t="s">
        <v>177</v>
      </c>
      <c r="B124" s="7" t="s">
        <v>177</v>
      </c>
      <c r="C124" s="2" t="s">
        <v>945</v>
      </c>
      <c r="D124" s="2" t="s">
        <v>566</v>
      </c>
      <c r="E124" s="2" t="s">
        <v>566</v>
      </c>
      <c r="F124" s="2">
        <v>123</v>
      </c>
      <c r="G124" s="2" t="s">
        <v>944</v>
      </c>
      <c r="H124" s="10" t="s">
        <v>656</v>
      </c>
      <c r="I124" s="2">
        <v>150</v>
      </c>
      <c r="J124" s="2">
        <v>65</v>
      </c>
      <c r="K124" s="2">
        <v>10.95</v>
      </c>
      <c r="L124" t="s">
        <v>349</v>
      </c>
      <c r="M124" s="2" t="s">
        <v>1120</v>
      </c>
      <c r="N124" s="2" t="s">
        <v>435</v>
      </c>
      <c r="O124" s="2" t="s">
        <v>653</v>
      </c>
      <c r="P124" s="2" t="s">
        <v>1123</v>
      </c>
      <c r="Q124" s="9" t="s">
        <v>654</v>
      </c>
      <c r="R124" s="2" t="str">
        <f t="shared" si="73"/>
        <v>CW_1_Section_1</v>
      </c>
      <c r="S124" s="2" t="str">
        <f t="shared" si="74"/>
        <v>CW_1_MF01</v>
      </c>
      <c r="T124" s="11" t="s">
        <v>937</v>
      </c>
      <c r="U124" s="1">
        <v>45825</v>
      </c>
      <c r="V124" s="2" t="s">
        <v>692</v>
      </c>
      <c r="W124" s="2" t="s">
        <v>655</v>
      </c>
      <c r="X124" s="2" t="s">
        <v>936</v>
      </c>
      <c r="Y124" s="2" t="str">
        <f t="shared" si="75"/>
        <v>T5_MF01</v>
      </c>
      <c r="Z124" s="2" t="str">
        <f t="shared" si="76"/>
        <v>T5_CW_1_MF01</v>
      </c>
      <c r="AA124" s="2" t="str">
        <f t="shared" si="77"/>
        <v>T5_0.15-0.30</v>
      </c>
      <c r="AB124" s="2">
        <v>307</v>
      </c>
      <c r="AC124" s="2">
        <v>10.098000000000001</v>
      </c>
      <c r="AD124" s="2">
        <v>0.38</v>
      </c>
      <c r="AE124" s="2">
        <v>5</v>
      </c>
      <c r="AF124" t="s">
        <v>29</v>
      </c>
      <c r="AG124" t="s">
        <v>1237</v>
      </c>
      <c r="AH124">
        <v>70</v>
      </c>
      <c r="AI124" t="s">
        <v>443</v>
      </c>
      <c r="AJ124">
        <v>0.49</v>
      </c>
      <c r="AK124">
        <v>3.5</v>
      </c>
      <c r="AL124">
        <v>22.1</v>
      </c>
      <c r="AM124">
        <v>-77</v>
      </c>
      <c r="AN124">
        <v>7.08</v>
      </c>
      <c r="AO124">
        <v>809</v>
      </c>
      <c r="AP124">
        <v>0.2</v>
      </c>
      <c r="AQ124">
        <v>0.01</v>
      </c>
      <c r="AR124">
        <v>12</v>
      </c>
      <c r="AS124">
        <v>12</v>
      </c>
      <c r="AT124">
        <v>500</v>
      </c>
      <c r="AU124" s="32">
        <f t="shared" si="89"/>
        <v>0.19203687107924722</v>
      </c>
      <c r="AV124">
        <v>1</v>
      </c>
      <c r="AW124" s="32">
        <f t="shared" si="90"/>
        <v>3.9070978945083569E-4</v>
      </c>
      <c r="AX124">
        <v>310</v>
      </c>
      <c r="AY124" s="32">
        <f t="shared" si="91"/>
        <v>0.12263351229160781</v>
      </c>
      <c r="AZ124">
        <v>75</v>
      </c>
      <c r="BA124" s="32">
        <f t="shared" si="92"/>
        <v>2.9669398135066402E-2</v>
      </c>
      <c r="BB124">
        <v>50</v>
      </c>
      <c r="BC124" s="32">
        <f t="shared" si="93"/>
        <v>1.9779598756710936E-2</v>
      </c>
      <c r="BD124">
        <v>125</v>
      </c>
      <c r="BF124" s="48">
        <v>942</v>
      </c>
      <c r="BG124" s="48">
        <f t="shared" si="94"/>
        <v>0.31506109316030584</v>
      </c>
      <c r="BH124">
        <v>2300</v>
      </c>
      <c r="BI124" s="32">
        <f t="shared" si="95"/>
        <v>0.8613560115471639</v>
      </c>
      <c r="BJ124" s="47">
        <v>2200</v>
      </c>
      <c r="BK124" s="27">
        <f t="shared" si="96"/>
        <v>0.82390575017554801</v>
      </c>
      <c r="BL124" s="47">
        <v>2</v>
      </c>
      <c r="BM124" s="27">
        <f t="shared" si="97"/>
        <v>7.3592220251002033E-4</v>
      </c>
      <c r="BN124" s="47">
        <v>2</v>
      </c>
      <c r="BO124" s="27">
        <f t="shared" si="98"/>
        <v>7.5222099734128785E-4</v>
      </c>
      <c r="BP124" s="47">
        <v>0.18</v>
      </c>
      <c r="BQ124" s="27">
        <f t="shared" si="99"/>
        <v>6.7139935025869335E-5</v>
      </c>
      <c r="BR124" s="47">
        <v>0.16</v>
      </c>
      <c r="BS124" s="27">
        <f t="shared" si="100"/>
        <v>5.9249284632216798E-5</v>
      </c>
      <c r="BT124" s="47">
        <v>0.03</v>
      </c>
      <c r="BU124" s="27">
        <f t="shared" si="101"/>
        <v>1.110924086854065E-5</v>
      </c>
      <c r="BV124" s="47">
        <v>0.02</v>
      </c>
      <c r="BW124" s="27">
        <f t="shared" si="102"/>
        <v>7.3176761433868973E-6</v>
      </c>
      <c r="BX124" s="47">
        <v>2E-3</v>
      </c>
      <c r="BY124" s="27">
        <f t="shared" si="103"/>
        <v>7.3176761433868969E-7</v>
      </c>
      <c r="BZ124" s="51">
        <f t="shared" si="104"/>
        <v>2204.3919999999998</v>
      </c>
      <c r="CA124" s="51">
        <f t="shared" si="105"/>
        <v>4.3919999999999995</v>
      </c>
      <c r="CB124" s="27">
        <f t="shared" si="106"/>
        <v>0.82553944127968371</v>
      </c>
      <c r="CC124" s="27">
        <f t="shared" si="107"/>
        <v>1.6336911041356606E-3</v>
      </c>
      <c r="CD124">
        <v>3100</v>
      </c>
      <c r="CE124">
        <v>230</v>
      </c>
      <c r="CF124" t="s">
        <v>19</v>
      </c>
      <c r="CG124">
        <v>3400</v>
      </c>
      <c r="CH124" s="32">
        <v>5</v>
      </c>
      <c r="CI124" s="32">
        <f t="shared" si="108"/>
        <v>8.9525514771709933E-2</v>
      </c>
      <c r="CJ124" s="32">
        <f t="shared" si="109"/>
        <v>8.9525514771709933E-2</v>
      </c>
      <c r="CK124" s="32">
        <v>1.8</v>
      </c>
      <c r="CL124" s="32">
        <f t="shared" si="110"/>
        <v>3.2768978700163848E-2</v>
      </c>
      <c r="CM124" s="32">
        <f t="shared" si="111"/>
        <v>6.5537957400327695E-2</v>
      </c>
      <c r="CN124" s="27">
        <v>21</v>
      </c>
      <c r="CO124" s="27">
        <f t="shared" si="112"/>
        <v>0.21861336664584635</v>
      </c>
      <c r="CP124" s="27">
        <f t="shared" si="113"/>
        <v>1.7489069331667708</v>
      </c>
      <c r="CQ124" s="57">
        <v>58</v>
      </c>
      <c r="CR124" s="57">
        <v>73.417721518987349</v>
      </c>
      <c r="CS124" s="57">
        <v>4.8303143868415575</v>
      </c>
      <c r="CT124" s="57">
        <f t="shared" si="114"/>
        <v>4.8303143868415575</v>
      </c>
      <c r="CU124" s="28">
        <v>58</v>
      </c>
      <c r="CV124" s="28">
        <v>73.417721518987349</v>
      </c>
      <c r="CW124" s="28">
        <v>4.8303143868415575</v>
      </c>
      <c r="CX124" s="28">
        <f t="shared" si="115"/>
        <v>4.8303143868415575</v>
      </c>
      <c r="CY124" s="32">
        <f t="shared" si="116"/>
        <v>33.715594420154069</v>
      </c>
      <c r="CZ124" s="32">
        <f t="shared" si="117"/>
        <v>33.715594420154069</v>
      </c>
      <c r="DA124" s="32">
        <f t="shared" si="118"/>
        <v>38.715594420154069</v>
      </c>
      <c r="DB124" s="32">
        <f t="shared" si="119"/>
        <v>0.69320670403140672</v>
      </c>
      <c r="DC124" s="32">
        <f t="shared" si="120"/>
        <v>0.69320670403140672</v>
      </c>
      <c r="DD124" s="59">
        <f t="shared" si="121"/>
        <v>33.715594420154069</v>
      </c>
      <c r="DE124" s="59">
        <f t="shared" si="122"/>
        <v>33.715594420154069</v>
      </c>
      <c r="DF124" s="59">
        <f t="shared" si="123"/>
        <v>38.715594420154069</v>
      </c>
      <c r="DG124" s="59">
        <f t="shared" si="124"/>
        <v>0.69320670403140672</v>
      </c>
      <c r="DH124" s="59">
        <f t="shared" si="125"/>
        <v>0.69320670403140672</v>
      </c>
      <c r="DI124" s="32">
        <f t="shared" si="126"/>
        <v>1.7489069331667708</v>
      </c>
      <c r="DJ124" s="32">
        <f t="shared" si="127"/>
        <v>40.515594420154066</v>
      </c>
      <c r="DK124" s="32">
        <f t="shared" si="128"/>
        <v>0.75874466143173436</v>
      </c>
      <c r="DL124">
        <f t="shared" si="129"/>
        <v>5.5890590482732918</v>
      </c>
      <c r="DM124">
        <f t="shared" si="134"/>
        <v>1.1726116477616259E-2</v>
      </c>
      <c r="DN124">
        <f t="shared" si="135"/>
        <v>0.12402923247797301</v>
      </c>
      <c r="DO124">
        <f t="shared" si="136"/>
        <v>0.86424465104441073</v>
      </c>
      <c r="DP124">
        <f t="shared" si="130"/>
        <v>5.5890590482732918</v>
      </c>
      <c r="DQ124">
        <f t="shared" si="137"/>
        <v>1.1726116477616259E-2</v>
      </c>
      <c r="DR124">
        <f t="shared" si="138"/>
        <v>0.12402923247797301</v>
      </c>
      <c r="DS124">
        <f t="shared" si="139"/>
        <v>0.86424465104441073</v>
      </c>
      <c r="DT124" s="63">
        <f t="shared" si="140"/>
        <v>-4.4126419435658217</v>
      </c>
      <c r="DU124" s="63">
        <f t="shared" si="141"/>
        <v>-4.4126419435658217</v>
      </c>
      <c r="DV124" s="63">
        <f t="shared" si="142"/>
        <v>-4.411008252461686</v>
      </c>
      <c r="DW124" s="63">
        <f t="shared" si="143"/>
        <v>-4.411008252461686</v>
      </c>
      <c r="DX124" t="str">
        <f t="shared" si="131"/>
        <v>Sufficient Capacity</v>
      </c>
      <c r="DY124" t="str">
        <f t="shared" si="132"/>
        <v>Sufficient Capacity</v>
      </c>
      <c r="DZ124" t="str">
        <f t="shared" si="133"/>
        <v>Sulfate Dominant electron acceptor</v>
      </c>
      <c r="EA124" t="str">
        <f t="shared" si="144"/>
        <v>Sulfate Dominant electron acceptor</v>
      </c>
      <c r="EB124">
        <v>9.0061310000000006E-3</v>
      </c>
      <c r="EC124">
        <v>1.5936259999999999E-3</v>
      </c>
      <c r="ED124" s="66">
        <v>1.4873399999999999E-7</v>
      </c>
      <c r="EE124">
        <v>1.074197E-3</v>
      </c>
      <c r="EF124">
        <v>6.9916900000000001E-3</v>
      </c>
      <c r="EG124" s="66">
        <v>1.3353949999999999E-5</v>
      </c>
      <c r="EH124">
        <v>5.0784159999999997E-4</v>
      </c>
      <c r="EI124">
        <v>1.057011E-4</v>
      </c>
      <c r="EJ124">
        <v>6.1784790000000002E-4</v>
      </c>
      <c r="EK124">
        <v>8.9652540000000004E-4</v>
      </c>
      <c r="EL124">
        <v>6.0374310000000004E-4</v>
      </c>
      <c r="EM124">
        <v>5.8636270000000002E-4</v>
      </c>
      <c r="EN124">
        <v>2.0859910000000001E-3</v>
      </c>
      <c r="EO124">
        <v>8.7989640000000005E-4</v>
      </c>
      <c r="EP124">
        <v>3.2374639999999998E-3</v>
      </c>
      <c r="EQ124">
        <v>8.8752660000000001E-4</v>
      </c>
      <c r="ER124">
        <v>6.6518869999999996E-4</v>
      </c>
      <c r="ES124">
        <v>1.059085E-3</v>
      </c>
      <c r="ET124">
        <v>6.7040809999999998E-3</v>
      </c>
      <c r="EU124">
        <v>2.6236100000000002E-3</v>
      </c>
      <c r="EV124">
        <v>7.9908940000000001E-3</v>
      </c>
      <c r="EW124">
        <v>8.9260939999999997E-4</v>
      </c>
      <c r="EX124">
        <v>4.6727950000000004E-3</v>
      </c>
      <c r="EY124">
        <v>6.398819E-3</v>
      </c>
      <c r="EZ124">
        <v>1.9355939999999999E-3</v>
      </c>
      <c r="FA124">
        <v>1.3507059999999999E-3</v>
      </c>
      <c r="FB124">
        <v>1.469064E-3</v>
      </c>
      <c r="FC124">
        <v>2.151979E-3</v>
      </c>
      <c r="FD124">
        <v>4.5271219999999999E-4</v>
      </c>
      <c r="FE124">
        <v>2.5813470000000002E-2</v>
      </c>
      <c r="FF124">
        <v>1.3286930000000001E-2</v>
      </c>
      <c r="FG124">
        <v>8.2723659999999997E-3</v>
      </c>
      <c r="FH124">
        <v>8.3612349999999998E-4</v>
      </c>
      <c r="FI124">
        <v>1.727627E-3</v>
      </c>
      <c r="FJ124">
        <v>9.7211620000000002E-3</v>
      </c>
      <c r="FK124">
        <v>0.628931366424479</v>
      </c>
      <c r="FL124">
        <v>0.41857718090448198</v>
      </c>
      <c r="FM124">
        <v>0.100029588531342</v>
      </c>
      <c r="FN124">
        <v>0.53659743277986804</v>
      </c>
      <c r="FO124">
        <v>0.286434324529171</v>
      </c>
      <c r="FP124">
        <v>0.33425530635065198</v>
      </c>
      <c r="FQ124">
        <v>0.220234526633344</v>
      </c>
      <c r="FR124">
        <v>0.28147790202571299</v>
      </c>
      <c r="FS124">
        <v>0.82431852638351</v>
      </c>
      <c r="FT124">
        <v>2.54727790052263E-2</v>
      </c>
      <c r="FU124">
        <v>7.5020272691313394E-2</v>
      </c>
      <c r="FV124">
        <v>0.42412814052493403</v>
      </c>
      <c r="FW124">
        <v>-0.30851186351441801</v>
      </c>
      <c r="FX124">
        <v>0.51828057010906903</v>
      </c>
      <c r="FY124">
        <v>0.41943061030722401</v>
      </c>
      <c r="FZ124">
        <v>-0.25829042011661901</v>
      </c>
      <c r="GA124">
        <v>-5.4201742991835097E-2</v>
      </c>
      <c r="GB124">
        <v>-0.10094623403717901</v>
      </c>
      <c r="GC124">
        <v>0.32561220599600599</v>
      </c>
      <c r="GD124">
        <v>-6.2619044767865603E-2</v>
      </c>
      <c r="GE124">
        <v>-5.6794464874591298E-2</v>
      </c>
      <c r="GF124">
        <v>0.41825344428074601</v>
      </c>
      <c r="GG124">
        <v>0.35634609939608197</v>
      </c>
      <c r="GH124">
        <v>0.39614674418371598</v>
      </c>
      <c r="GI124">
        <v>0.138567275808445</v>
      </c>
      <c r="GJ124">
        <v>0.237076627363696</v>
      </c>
      <c r="GK124">
        <v>0.10138874261400101</v>
      </c>
      <c r="GL124">
        <v>-0.11792263417073399</v>
      </c>
      <c r="GM124">
        <v>-1.92863579920752E-2</v>
      </c>
      <c r="GN124">
        <v>5.3004641428648497E-2</v>
      </c>
      <c r="GO124">
        <v>0.18493490418035199</v>
      </c>
      <c r="GP124">
        <v>-8.5787295711554606E-2</v>
      </c>
      <c r="GR124" s="66"/>
      <c r="GT124" s="66"/>
      <c r="GV124" s="66"/>
      <c r="GW124" s="65"/>
      <c r="GX124" s="65"/>
      <c r="HK124" s="1"/>
      <c r="HL124" s="1"/>
      <c r="HM124" s="65"/>
      <c r="HN124" s="1"/>
      <c r="HO124" s="65"/>
      <c r="HP124" s="65"/>
      <c r="HQ124" s="65"/>
      <c r="HS124" s="65"/>
      <c r="HT124" s="65"/>
      <c r="HU124" s="65"/>
      <c r="HV124" s="65"/>
      <c r="HW124" s="65"/>
      <c r="HX124" s="65"/>
      <c r="IJ124" s="66"/>
      <c r="IL124" s="66"/>
      <c r="IX124" s="66"/>
      <c r="IZ124" s="66"/>
      <c r="JB124" s="66"/>
      <c r="JD124" s="66"/>
      <c r="JF124" s="66"/>
      <c r="JH124" s="66"/>
      <c r="JJ124" s="66"/>
      <c r="JL124" s="66"/>
      <c r="JN124" s="66"/>
    </row>
    <row r="125" spans="1:278" ht="15.75" x14ac:dyDescent="0.25">
      <c r="A125" s="7" t="s">
        <v>178</v>
      </c>
      <c r="B125" s="7" t="s">
        <v>178</v>
      </c>
      <c r="C125" s="2" t="s">
        <v>947</v>
      </c>
      <c r="D125" s="2" t="s">
        <v>567</v>
      </c>
      <c r="E125" s="2" t="s">
        <v>567</v>
      </c>
      <c r="F125" s="2">
        <v>124</v>
      </c>
      <c r="G125" s="2" t="s">
        <v>946</v>
      </c>
      <c r="H125" s="10" t="s">
        <v>656</v>
      </c>
      <c r="I125" s="2">
        <v>150</v>
      </c>
      <c r="J125" s="2">
        <v>65</v>
      </c>
      <c r="K125" s="2">
        <v>4.3</v>
      </c>
      <c r="L125" t="s">
        <v>350</v>
      </c>
      <c r="M125" s="2" t="s">
        <v>1120</v>
      </c>
      <c r="N125" s="2" t="s">
        <v>435</v>
      </c>
      <c r="O125" s="2" t="s">
        <v>653</v>
      </c>
      <c r="P125" s="2" t="s">
        <v>1124</v>
      </c>
      <c r="Q125" s="9" t="s">
        <v>662</v>
      </c>
      <c r="R125" s="2" t="str">
        <f t="shared" si="73"/>
        <v>CW_1_Section_1</v>
      </c>
      <c r="S125" s="2" t="str">
        <f t="shared" si="74"/>
        <v>CW_1_MF02</v>
      </c>
      <c r="T125" s="11" t="s">
        <v>937</v>
      </c>
      <c r="U125" s="1">
        <v>45825</v>
      </c>
      <c r="V125" s="2" t="s">
        <v>692</v>
      </c>
      <c r="W125" s="2" t="s">
        <v>663</v>
      </c>
      <c r="X125" s="2" t="s">
        <v>936</v>
      </c>
      <c r="Y125" s="2" t="str">
        <f t="shared" si="75"/>
        <v>T5_MF02</v>
      </c>
      <c r="Z125" s="2" t="str">
        <f t="shared" si="76"/>
        <v>T5_CW_1_MF02</v>
      </c>
      <c r="AA125" s="2" t="str">
        <f t="shared" si="77"/>
        <v>T5_0.60-0.80</v>
      </c>
      <c r="AB125" s="2">
        <v>307</v>
      </c>
      <c r="AC125" s="2">
        <v>10.098000000000001</v>
      </c>
      <c r="AD125" s="2">
        <v>0.38</v>
      </c>
      <c r="AE125" s="2">
        <v>5</v>
      </c>
      <c r="AF125" t="s">
        <v>31</v>
      </c>
      <c r="AG125" t="s">
        <v>1237</v>
      </c>
      <c r="AH125">
        <v>72</v>
      </c>
      <c r="AI125" t="s">
        <v>443</v>
      </c>
      <c r="AJ125">
        <v>0.81</v>
      </c>
      <c r="AK125">
        <v>0.26</v>
      </c>
      <c r="AL125">
        <v>20.9</v>
      </c>
      <c r="AM125">
        <v>-11</v>
      </c>
      <c r="AN125">
        <v>7.2</v>
      </c>
      <c r="AO125">
        <v>1041</v>
      </c>
      <c r="AP125">
        <v>0.2</v>
      </c>
      <c r="AQ125">
        <v>0.01</v>
      </c>
      <c r="AR125">
        <v>12</v>
      </c>
      <c r="AS125">
        <v>12</v>
      </c>
      <c r="AT125">
        <v>630</v>
      </c>
      <c r="AU125" s="32">
        <f t="shared" si="89"/>
        <v>0.24196645755985149</v>
      </c>
      <c r="AV125">
        <v>43</v>
      </c>
      <c r="AW125" s="32">
        <f t="shared" si="90"/>
        <v>1.6800520946385934E-2</v>
      </c>
      <c r="AX125">
        <v>610</v>
      </c>
      <c r="AY125" s="32">
        <f t="shared" si="91"/>
        <v>0.2413111048318734</v>
      </c>
      <c r="AZ125">
        <v>210</v>
      </c>
      <c r="BA125" s="32">
        <f t="shared" si="92"/>
        <v>8.3074314778185929E-2</v>
      </c>
      <c r="BB125">
        <v>140</v>
      </c>
      <c r="BC125" s="32">
        <f t="shared" si="93"/>
        <v>5.5382876518790619E-2</v>
      </c>
      <c r="BD125">
        <v>350</v>
      </c>
      <c r="BF125" s="48">
        <v>1633</v>
      </c>
      <c r="BG125" s="48">
        <f t="shared" si="94"/>
        <v>0.50007808333811088</v>
      </c>
      <c r="BH125">
        <v>3400</v>
      </c>
      <c r="BI125" s="32">
        <f t="shared" si="95"/>
        <v>1.273308886634938</v>
      </c>
      <c r="BJ125" s="47">
        <v>3600</v>
      </c>
      <c r="BK125" s="27">
        <f t="shared" si="96"/>
        <v>1.3482094093781698</v>
      </c>
      <c r="BL125" s="47">
        <v>4</v>
      </c>
      <c r="BM125" s="27">
        <f t="shared" si="97"/>
        <v>1.4718444050200407E-3</v>
      </c>
      <c r="BN125" s="47">
        <v>300</v>
      </c>
      <c r="BO125" s="27">
        <f t="shared" si="98"/>
        <v>0.11283314960119319</v>
      </c>
      <c r="BP125" s="47">
        <v>74</v>
      </c>
      <c r="BQ125" s="27">
        <f t="shared" si="99"/>
        <v>2.7601973288412948E-2</v>
      </c>
      <c r="BR125" s="47">
        <v>45</v>
      </c>
      <c r="BS125" s="27">
        <f t="shared" si="100"/>
        <v>1.6663861302810973E-2</v>
      </c>
      <c r="BT125" s="47">
        <v>6.3</v>
      </c>
      <c r="BU125" s="27">
        <f t="shared" si="101"/>
        <v>2.3329405823935365E-3</v>
      </c>
      <c r="BV125" s="47">
        <v>1</v>
      </c>
      <c r="BW125" s="27">
        <f t="shared" si="102"/>
        <v>3.6588380716934482E-4</v>
      </c>
      <c r="BX125" s="47">
        <v>0.89</v>
      </c>
      <c r="BY125" s="27">
        <f t="shared" si="103"/>
        <v>3.2563658838071695E-4</v>
      </c>
      <c r="BZ125" s="51">
        <f t="shared" si="104"/>
        <v>4031.19</v>
      </c>
      <c r="CA125" s="51">
        <f t="shared" si="105"/>
        <v>431.19</v>
      </c>
      <c r="CB125" s="27">
        <f t="shared" si="106"/>
        <v>1.5098046989535507</v>
      </c>
      <c r="CC125" s="27">
        <f t="shared" si="107"/>
        <v>0.16159528957538075</v>
      </c>
      <c r="CD125">
        <v>5100</v>
      </c>
      <c r="CE125">
        <v>1800</v>
      </c>
      <c r="CF125" t="s">
        <v>19</v>
      </c>
      <c r="CG125">
        <v>7000</v>
      </c>
      <c r="CH125" s="32">
        <v>0.02</v>
      </c>
      <c r="CI125" s="32">
        <f t="shared" si="108"/>
        <v>3.5810205908683976E-4</v>
      </c>
      <c r="CJ125" s="32">
        <f t="shared" si="109"/>
        <v>3.5810205908683976E-4</v>
      </c>
      <c r="CK125" s="32">
        <v>0.8</v>
      </c>
      <c r="CL125" s="32">
        <f t="shared" si="110"/>
        <v>1.4563990533406155E-2</v>
      </c>
      <c r="CM125" s="32">
        <f t="shared" si="111"/>
        <v>2.912798106681231E-2</v>
      </c>
      <c r="CN125" s="27">
        <v>60</v>
      </c>
      <c r="CO125" s="27">
        <f t="shared" si="112"/>
        <v>0.62460961898813239</v>
      </c>
      <c r="CP125" s="27">
        <f t="shared" si="113"/>
        <v>4.9968769519050591</v>
      </c>
      <c r="CQ125" s="57">
        <v>19</v>
      </c>
      <c r="CR125" s="57">
        <v>24.050632911392405</v>
      </c>
      <c r="CS125" s="57">
        <v>1.5823443681032687</v>
      </c>
      <c r="CT125" s="57">
        <f t="shared" si="114"/>
        <v>1.5823443681032687</v>
      </c>
      <c r="CU125" s="28">
        <v>19</v>
      </c>
      <c r="CV125" s="28">
        <v>24.050632911392405</v>
      </c>
      <c r="CW125" s="28">
        <v>1.5823443681032687</v>
      </c>
      <c r="CX125" s="28">
        <f t="shared" si="115"/>
        <v>1.5823443681032687</v>
      </c>
      <c r="CY125" s="32">
        <f t="shared" si="116"/>
        <v>11.044763689360815</v>
      </c>
      <c r="CZ125" s="32">
        <f t="shared" si="117"/>
        <v>11.044763689360815</v>
      </c>
      <c r="DA125" s="32">
        <f t="shared" si="118"/>
        <v>11.064763689360815</v>
      </c>
      <c r="DB125" s="32">
        <f t="shared" si="119"/>
        <v>0.19811573302347027</v>
      </c>
      <c r="DC125" s="32">
        <f t="shared" si="120"/>
        <v>0.19811573302347027</v>
      </c>
      <c r="DD125" s="59">
        <f t="shared" si="121"/>
        <v>11.044763689360815</v>
      </c>
      <c r="DE125" s="59">
        <f t="shared" si="122"/>
        <v>11.044763689360815</v>
      </c>
      <c r="DF125" s="59">
        <f t="shared" si="123"/>
        <v>11.064763689360815</v>
      </c>
      <c r="DG125" s="59">
        <f t="shared" si="124"/>
        <v>0.19811573302347027</v>
      </c>
      <c r="DH125" s="59">
        <f t="shared" si="125"/>
        <v>0.19811573302347027</v>
      </c>
      <c r="DI125" s="32">
        <f t="shared" si="126"/>
        <v>4.9968769519050591</v>
      </c>
      <c r="DJ125" s="32">
        <f t="shared" si="127"/>
        <v>11.864763689360815</v>
      </c>
      <c r="DK125" s="32">
        <f t="shared" si="128"/>
        <v>0.22724371409028257</v>
      </c>
      <c r="DL125">
        <f t="shared" si="129"/>
        <v>1.8095880821935513</v>
      </c>
      <c r="DM125">
        <f t="shared" si="134"/>
        <v>1.6096470436246395E-2</v>
      </c>
      <c r="DN125">
        <f t="shared" si="135"/>
        <v>0.10948112168340422</v>
      </c>
      <c r="DO125">
        <f t="shared" si="136"/>
        <v>0.87442240788034942</v>
      </c>
      <c r="DP125">
        <f t="shared" si="130"/>
        <v>1.8095880821935513</v>
      </c>
      <c r="DQ125">
        <f t="shared" si="137"/>
        <v>1.6096470436246395E-2</v>
      </c>
      <c r="DR125">
        <f t="shared" si="138"/>
        <v>0.10948112168340422</v>
      </c>
      <c r="DS125">
        <f t="shared" si="139"/>
        <v>0.87442240788034942</v>
      </c>
      <c r="DT125" s="63">
        <f t="shared" si="140"/>
        <v>-3.6201112220502374E-2</v>
      </c>
      <c r="DU125" s="63">
        <f t="shared" si="141"/>
        <v>-3.6201112220502374E-2</v>
      </c>
      <c r="DV125" s="63">
        <f t="shared" si="142"/>
        <v>0.12539417735487834</v>
      </c>
      <c r="DW125" s="63">
        <f t="shared" si="143"/>
        <v>0.12539417735487834</v>
      </c>
      <c r="DX125" t="str">
        <f t="shared" si="131"/>
        <v>Insufficient Capacity</v>
      </c>
      <c r="DY125" t="str">
        <f t="shared" si="132"/>
        <v>Insufficient Capacity</v>
      </c>
      <c r="DZ125" t="str">
        <f t="shared" si="133"/>
        <v>Sulfate Dominant electron acceptor</v>
      </c>
      <c r="EA125" t="str">
        <f t="shared" si="144"/>
        <v>Sulfate Dominant electron acceptor</v>
      </c>
      <c r="EB125">
        <v>8.7659350000000007E-3</v>
      </c>
      <c r="EC125">
        <v>1.5512360000000001E-3</v>
      </c>
      <c r="ED125" s="66">
        <v>2.716037E-7</v>
      </c>
      <c r="EE125">
        <v>6.0807669999999995E-4</v>
      </c>
      <c r="EF125">
        <v>4.8863179999999997E-3</v>
      </c>
      <c r="EG125" s="66">
        <v>3.3814949999999997E-5</v>
      </c>
      <c r="EH125">
        <v>3.0338849999999998E-4</v>
      </c>
      <c r="EI125" s="66">
        <v>6.5207719999999997E-5</v>
      </c>
      <c r="EJ125">
        <v>4.0491589999999998E-4</v>
      </c>
      <c r="EK125">
        <v>6.4126250000000004E-4</v>
      </c>
      <c r="EL125">
        <v>4.7349799999999999E-4</v>
      </c>
      <c r="EM125">
        <v>3.8169739999999999E-4</v>
      </c>
      <c r="EN125">
        <v>2.2855409999999999E-3</v>
      </c>
      <c r="EO125">
        <v>1.0351030000000001E-3</v>
      </c>
      <c r="EP125">
        <v>2.2184599999999998E-3</v>
      </c>
      <c r="EQ125">
        <v>1.1353089999999999E-3</v>
      </c>
      <c r="ER125">
        <v>4.0547819999999998E-4</v>
      </c>
      <c r="ES125">
        <v>6.9285500000000003E-4</v>
      </c>
      <c r="ET125">
        <v>6.7432639999999997E-3</v>
      </c>
      <c r="EU125">
        <v>2.4944640000000001E-3</v>
      </c>
      <c r="EV125">
        <v>9.0512300000000004E-3</v>
      </c>
      <c r="EW125">
        <v>6.0172130000000004E-4</v>
      </c>
      <c r="EX125">
        <v>5.0490530000000004E-3</v>
      </c>
      <c r="EY125">
        <v>6.7178389999999998E-3</v>
      </c>
      <c r="EZ125">
        <v>1.4961690000000001E-3</v>
      </c>
      <c r="FA125">
        <v>1.057463E-3</v>
      </c>
      <c r="FB125">
        <v>1.0819099999999999E-3</v>
      </c>
      <c r="FC125">
        <v>1.9844229999999999E-3</v>
      </c>
      <c r="FD125">
        <v>4.1145930000000003E-4</v>
      </c>
      <c r="FE125">
        <v>2.33738E-2</v>
      </c>
      <c r="FF125">
        <v>1.6993609999999999E-2</v>
      </c>
      <c r="FG125">
        <v>9.4500309999999994E-3</v>
      </c>
      <c r="FH125">
        <v>7.9749849999999995E-4</v>
      </c>
      <c r="FI125">
        <v>1.3219989999999999E-3</v>
      </c>
      <c r="FJ125">
        <v>1.2352190000000001E-2</v>
      </c>
      <c r="FK125">
        <v>5.9903707058587101E-2</v>
      </c>
      <c r="FL125">
        <v>6.0293934549477499E-2</v>
      </c>
      <c r="FM125">
        <v>1.02912037969124</v>
      </c>
      <c r="FN125">
        <v>2.1442007286823099E-2</v>
      </c>
      <c r="FO125">
        <v>-0.196603108273328</v>
      </c>
      <c r="FP125">
        <v>-8.8307613088138795E-2</v>
      </c>
      <c r="FQ125">
        <v>-0.114853208941904</v>
      </c>
      <c r="FR125">
        <v>3.8476814448041602E-2</v>
      </c>
      <c r="FS125">
        <v>0.39500813438837501</v>
      </c>
      <c r="FT125">
        <v>0.116831494723977</v>
      </c>
      <c r="FU125">
        <v>0.237472317078391</v>
      </c>
      <c r="FV125">
        <v>4.6151094725917802E-2</v>
      </c>
      <c r="FW125">
        <v>-6.2290216686697902E-2</v>
      </c>
      <c r="FX125">
        <v>2.3276921627958001E-2</v>
      </c>
      <c r="FY125">
        <v>-4.9092543856179604E-3</v>
      </c>
      <c r="FZ125">
        <v>-0.25246278486338902</v>
      </c>
      <c r="GA125">
        <v>-0.10467909851368699</v>
      </c>
      <c r="GB125">
        <v>2.3651782660413002E-2</v>
      </c>
      <c r="GC125">
        <v>-6.8742495876050705E-2</v>
      </c>
      <c r="GD125">
        <v>1.4824262460828999E-2</v>
      </c>
      <c r="GE125">
        <v>-8.1413815252195897E-3</v>
      </c>
      <c r="GF125">
        <v>0.160747029248865</v>
      </c>
      <c r="GG125">
        <v>0.111591323826781</v>
      </c>
      <c r="GH125">
        <v>9.0249278555679893E-2</v>
      </c>
      <c r="GI125">
        <v>5.7507583703579897E-2</v>
      </c>
      <c r="GJ125">
        <v>0.14153013265599501</v>
      </c>
      <c r="GK125">
        <v>2.1080308648882E-3</v>
      </c>
      <c r="GL125">
        <v>0.128133911583136</v>
      </c>
      <c r="GM125">
        <v>0.113811101496244</v>
      </c>
      <c r="GN125">
        <v>5.70826576130656E-3</v>
      </c>
      <c r="GO125">
        <v>-8.2668901420111005E-2</v>
      </c>
      <c r="GP125">
        <v>0.15374092092467601</v>
      </c>
      <c r="GY125" s="65"/>
      <c r="HK125" s="1"/>
      <c r="HL125" s="1"/>
      <c r="HM125" s="65"/>
      <c r="HN125" s="1"/>
      <c r="HO125" s="65"/>
      <c r="HP125" s="65"/>
      <c r="HQ125" s="65"/>
      <c r="HS125" s="65"/>
      <c r="HT125" s="65"/>
      <c r="HU125" s="65"/>
      <c r="HV125" s="65"/>
      <c r="HW125" s="65"/>
      <c r="HX125" s="65"/>
      <c r="JJ125" s="66"/>
      <c r="JL125" s="66"/>
      <c r="JN125" s="66"/>
    </row>
    <row r="126" spans="1:278" ht="15.75" x14ac:dyDescent="0.25">
      <c r="A126" s="7" t="s">
        <v>179</v>
      </c>
      <c r="B126" s="7" t="s">
        <v>179</v>
      </c>
      <c r="C126" s="2" t="s">
        <v>949</v>
      </c>
      <c r="D126" s="2" t="s">
        <v>568</v>
      </c>
      <c r="E126" s="2" t="s">
        <v>568</v>
      </c>
      <c r="F126" s="2">
        <v>125</v>
      </c>
      <c r="G126" s="2" t="s">
        <v>948</v>
      </c>
      <c r="H126" s="10" t="s">
        <v>656</v>
      </c>
      <c r="I126" s="2">
        <v>150</v>
      </c>
      <c r="J126" s="2">
        <v>65</v>
      </c>
      <c r="K126" s="2">
        <v>7.2</v>
      </c>
      <c r="L126" t="s">
        <v>351</v>
      </c>
      <c r="M126" s="2" t="s">
        <v>1120</v>
      </c>
      <c r="N126" s="2" t="s">
        <v>435</v>
      </c>
      <c r="O126" s="2" t="s">
        <v>666</v>
      </c>
      <c r="P126" s="2" t="s">
        <v>1131</v>
      </c>
      <c r="Q126" s="9" t="s">
        <v>667</v>
      </c>
      <c r="R126" s="2" t="str">
        <f t="shared" si="73"/>
        <v>CW_1_Section_2</v>
      </c>
      <c r="S126" s="2" t="str">
        <f t="shared" si="74"/>
        <v>CW_1_MF05</v>
      </c>
      <c r="T126" s="11" t="s">
        <v>937</v>
      </c>
      <c r="U126" s="1">
        <v>45825</v>
      </c>
      <c r="V126" s="2" t="s">
        <v>692</v>
      </c>
      <c r="W126" s="2" t="s">
        <v>655</v>
      </c>
      <c r="X126" s="2" t="s">
        <v>936</v>
      </c>
      <c r="Y126" s="2" t="str">
        <f t="shared" si="75"/>
        <v>T5_MF05</v>
      </c>
      <c r="Z126" s="2" t="str">
        <f t="shared" si="76"/>
        <v>T5_CW_1_MF05</v>
      </c>
      <c r="AA126" s="2" t="str">
        <f t="shared" si="77"/>
        <v>T5_0.15-0.30</v>
      </c>
      <c r="AB126" s="2">
        <v>307</v>
      </c>
      <c r="AC126" s="2">
        <v>10.098000000000001</v>
      </c>
      <c r="AD126" s="2">
        <v>0.38</v>
      </c>
      <c r="AE126" s="2">
        <v>5</v>
      </c>
      <c r="AF126" t="s">
        <v>33</v>
      </c>
      <c r="AG126" t="s">
        <v>1237</v>
      </c>
      <c r="AH126">
        <v>68</v>
      </c>
      <c r="AI126" t="s">
        <v>443</v>
      </c>
      <c r="AJ126">
        <v>1.2</v>
      </c>
      <c r="AK126">
        <v>2.9</v>
      </c>
      <c r="AL126">
        <v>21.8</v>
      </c>
      <c r="AM126">
        <v>-58</v>
      </c>
      <c r="AN126">
        <v>6.88</v>
      </c>
      <c r="AO126">
        <v>955</v>
      </c>
      <c r="AP126">
        <v>0.2</v>
      </c>
      <c r="AQ126">
        <v>0.01</v>
      </c>
      <c r="AR126">
        <v>13</v>
      </c>
      <c r="AS126">
        <v>12</v>
      </c>
      <c r="AT126">
        <v>490</v>
      </c>
      <c r="AU126" s="32">
        <f t="shared" si="89"/>
        <v>0.18819613365766227</v>
      </c>
      <c r="AV126">
        <v>1</v>
      </c>
      <c r="AW126" s="32">
        <f t="shared" si="90"/>
        <v>3.9070978945083569E-4</v>
      </c>
      <c r="AX126">
        <v>250</v>
      </c>
      <c r="AY126" s="32">
        <f t="shared" si="91"/>
        <v>9.8897993783554669E-2</v>
      </c>
      <c r="AZ126">
        <v>72</v>
      </c>
      <c r="BA126" s="32">
        <f t="shared" si="92"/>
        <v>2.8482622209663747E-2</v>
      </c>
      <c r="BB126">
        <v>54</v>
      </c>
      <c r="BC126" s="32">
        <f t="shared" si="93"/>
        <v>2.1361966657247811E-2</v>
      </c>
      <c r="BD126">
        <v>126</v>
      </c>
      <c r="BF126" s="48">
        <v>873</v>
      </c>
      <c r="BG126" s="48">
        <f t="shared" si="94"/>
        <v>0.28748483723066776</v>
      </c>
      <c r="BH126">
        <v>2000</v>
      </c>
      <c r="BI126" s="32">
        <f t="shared" si="95"/>
        <v>0.74900522743231646</v>
      </c>
      <c r="BJ126" s="47">
        <v>2100</v>
      </c>
      <c r="BK126" s="27">
        <f t="shared" si="96"/>
        <v>0.78645548880393235</v>
      </c>
      <c r="BL126" s="47">
        <v>0.74</v>
      </c>
      <c r="BM126" s="27">
        <f t="shared" si="97"/>
        <v>2.7229121492870751E-4</v>
      </c>
      <c r="BN126" s="47">
        <v>0.18</v>
      </c>
      <c r="BO126" s="27">
        <f t="shared" si="98"/>
        <v>6.7699889760715914E-5</v>
      </c>
      <c r="BP126" s="47">
        <v>0.09</v>
      </c>
      <c r="BQ126" s="27">
        <f t="shared" si="99"/>
        <v>3.3569967512934667E-5</v>
      </c>
      <c r="BR126" s="47">
        <v>0.08</v>
      </c>
      <c r="BS126" s="27">
        <f t="shared" si="100"/>
        <v>2.9624642316108399E-5</v>
      </c>
      <c r="BT126" s="47">
        <v>0.01</v>
      </c>
      <c r="BU126" s="27">
        <f t="shared" si="101"/>
        <v>3.7030802895135499E-6</v>
      </c>
      <c r="BV126" s="47">
        <v>0.01</v>
      </c>
      <c r="BW126" s="27">
        <f t="shared" si="102"/>
        <v>3.6588380716934487E-6</v>
      </c>
      <c r="BX126" s="47">
        <v>2E-3</v>
      </c>
      <c r="BY126" s="27">
        <f t="shared" si="103"/>
        <v>7.3176761433868969E-7</v>
      </c>
      <c r="BZ126" s="51">
        <f t="shared" si="104"/>
        <v>2101.1120000000001</v>
      </c>
      <c r="CA126" s="51">
        <f t="shared" si="105"/>
        <v>1.1120000000000001</v>
      </c>
      <c r="CB126" s="27">
        <f t="shared" si="106"/>
        <v>0.78686676820442647</v>
      </c>
      <c r="CC126" s="27">
        <f t="shared" si="107"/>
        <v>4.1127940049401221E-4</v>
      </c>
      <c r="CD126">
        <v>2900</v>
      </c>
      <c r="CE126">
        <v>70</v>
      </c>
      <c r="CF126" t="s">
        <v>19</v>
      </c>
      <c r="CG126">
        <v>3000</v>
      </c>
      <c r="CH126" s="32">
        <v>12</v>
      </c>
      <c r="CI126" s="32">
        <f t="shared" si="108"/>
        <v>0.21486123545210384</v>
      </c>
      <c r="CJ126" s="32">
        <f t="shared" si="109"/>
        <v>0.21486123545210384</v>
      </c>
      <c r="CK126" s="32">
        <v>3</v>
      </c>
      <c r="CL126" s="32">
        <f t="shared" si="110"/>
        <v>5.4614964500273075E-2</v>
      </c>
      <c r="CM126" s="32">
        <f t="shared" si="111"/>
        <v>0.10922992900054615</v>
      </c>
      <c r="CN126" s="27">
        <v>0.5</v>
      </c>
      <c r="CO126" s="27">
        <f t="shared" si="112"/>
        <v>5.2050801582344368E-3</v>
      </c>
      <c r="CP126" s="27">
        <f t="shared" si="113"/>
        <v>4.1640641265875494E-2</v>
      </c>
      <c r="CQ126" s="57">
        <v>78.5</v>
      </c>
      <c r="CR126" s="57">
        <v>99.367088607594937</v>
      </c>
      <c r="CS126" s="57">
        <v>6.5375806787424526</v>
      </c>
      <c r="CT126" s="57">
        <f t="shared" si="114"/>
        <v>6.5375806787424526</v>
      </c>
      <c r="CU126" s="28">
        <v>20.5</v>
      </c>
      <c r="CV126" s="28">
        <v>97.61904761904762</v>
      </c>
      <c r="CW126" s="28">
        <v>1.7072662919008952</v>
      </c>
      <c r="CX126" s="28">
        <f t="shared" si="115"/>
        <v>1.7072662919008952</v>
      </c>
      <c r="CY126" s="32">
        <f t="shared" si="116"/>
        <v>45.632313137622319</v>
      </c>
      <c r="CZ126" s="32">
        <f t="shared" si="117"/>
        <v>45.632313137622319</v>
      </c>
      <c r="DA126" s="32">
        <f t="shared" si="118"/>
        <v>57.632313137622319</v>
      </c>
      <c r="DB126" s="32">
        <f t="shared" si="119"/>
        <v>1.0319125002260039</v>
      </c>
      <c r="DC126" s="32">
        <f t="shared" si="120"/>
        <v>1.0319125002260039</v>
      </c>
      <c r="DD126" s="59">
        <f t="shared" si="121"/>
        <v>11.916718717468248</v>
      </c>
      <c r="DE126" s="59">
        <f t="shared" si="122"/>
        <v>11.916718717468248</v>
      </c>
      <c r="DF126" s="59">
        <f t="shared" si="123"/>
        <v>23.91671871746825</v>
      </c>
      <c r="DG126" s="59">
        <f t="shared" si="124"/>
        <v>0.42823131096630707</v>
      </c>
      <c r="DH126" s="59">
        <f t="shared" si="125"/>
        <v>0.42823131096630707</v>
      </c>
      <c r="DI126" s="32">
        <f t="shared" si="126"/>
        <v>4.1640641265875494E-2</v>
      </c>
      <c r="DJ126" s="32">
        <f t="shared" si="127"/>
        <v>26.91671871746825</v>
      </c>
      <c r="DK126" s="32">
        <f t="shared" si="128"/>
        <v>0.53746123996685324</v>
      </c>
      <c r="DL126">
        <f t="shared" si="129"/>
        <v>7.6787231079690024</v>
      </c>
      <c r="DM126">
        <f t="shared" si="134"/>
        <v>1.4225012083999617E-2</v>
      </c>
      <c r="DN126">
        <f t="shared" si="135"/>
        <v>0.13438595007483495</v>
      </c>
      <c r="DO126">
        <f t="shared" si="136"/>
        <v>0.85138903784116549</v>
      </c>
      <c r="DP126">
        <f t="shared" si="130"/>
        <v>2.2447275318677482</v>
      </c>
      <c r="DQ126">
        <f t="shared" si="137"/>
        <v>4.8660662574784873E-2</v>
      </c>
      <c r="DR126">
        <f t="shared" si="138"/>
        <v>0.19077206693767099</v>
      </c>
      <c r="DS126">
        <f t="shared" si="139"/>
        <v>0.76056727048754424</v>
      </c>
      <c r="DT126" s="63">
        <f t="shared" si="140"/>
        <v>-6.6422330433060184</v>
      </c>
      <c r="DU126" s="63">
        <f t="shared" si="141"/>
        <v>-1.208237467204764</v>
      </c>
      <c r="DV126" s="63">
        <f t="shared" si="142"/>
        <v>-6.6418217639055239</v>
      </c>
      <c r="DW126" s="63">
        <f t="shared" si="143"/>
        <v>-1.20782618780427</v>
      </c>
      <c r="DX126" t="str">
        <f t="shared" si="131"/>
        <v>Sufficient Capacity</v>
      </c>
      <c r="DY126" t="str">
        <f t="shared" si="132"/>
        <v>Sufficient Capacity</v>
      </c>
      <c r="DZ126" t="str">
        <f t="shared" si="133"/>
        <v>Sulfate Dominant electron acceptor</v>
      </c>
      <c r="EA126" t="str">
        <f t="shared" si="144"/>
        <v>Sulfate Dominant electron acceptor</v>
      </c>
      <c r="EB126">
        <v>9.0681129999999992E-3</v>
      </c>
      <c r="EC126">
        <v>1.785993E-3</v>
      </c>
      <c r="ED126">
        <v>1.542286E-4</v>
      </c>
      <c r="EE126">
        <v>1.0016549999999999E-3</v>
      </c>
      <c r="EF126">
        <v>6.5980099999999996E-3</v>
      </c>
      <c r="EG126" s="66">
        <v>2.3474969999999999E-5</v>
      </c>
      <c r="EH126">
        <v>4.7886329999999999E-4</v>
      </c>
      <c r="EI126">
        <v>1.3654149999999999E-4</v>
      </c>
      <c r="EJ126">
        <v>6.0373169999999995E-4</v>
      </c>
      <c r="EK126">
        <v>8.7794179999999998E-4</v>
      </c>
      <c r="EL126">
        <v>5.6039220000000001E-4</v>
      </c>
      <c r="EM126">
        <v>5.3301659999999997E-4</v>
      </c>
      <c r="EN126">
        <v>2.350801E-3</v>
      </c>
      <c r="EO126">
        <v>1.0909299999999999E-3</v>
      </c>
      <c r="EP126">
        <v>3.205369E-3</v>
      </c>
      <c r="EQ126">
        <v>1.086736E-3</v>
      </c>
      <c r="ER126">
        <v>6.0937100000000004E-4</v>
      </c>
      <c r="ES126">
        <v>1.0817229999999999E-3</v>
      </c>
      <c r="ET126">
        <v>7.070954E-3</v>
      </c>
      <c r="EU126">
        <v>2.6573640000000002E-3</v>
      </c>
      <c r="EV126">
        <v>7.5559299999999998E-3</v>
      </c>
      <c r="EW126">
        <v>8.7803559999999998E-4</v>
      </c>
      <c r="EX126">
        <v>4.7189679999999996E-3</v>
      </c>
      <c r="EY126">
        <v>7.095896E-3</v>
      </c>
      <c r="EZ126">
        <v>1.91786E-3</v>
      </c>
      <c r="FA126">
        <v>1.7478820000000001E-3</v>
      </c>
      <c r="FB126">
        <v>1.825449E-3</v>
      </c>
      <c r="FC126">
        <v>2.148999E-3</v>
      </c>
      <c r="FD126">
        <v>4.790606E-4</v>
      </c>
      <c r="FE126">
        <v>2.82245E-2</v>
      </c>
      <c r="FF126">
        <v>1.502156E-2</v>
      </c>
      <c r="FG126">
        <v>8.9119279999999995E-3</v>
      </c>
      <c r="FH126">
        <v>7.9561949999999997E-4</v>
      </c>
      <c r="FI126">
        <v>1.764028E-3</v>
      </c>
      <c r="FJ126">
        <v>1.021145E-2</v>
      </c>
      <c r="FK126">
        <v>0.55901159271183198</v>
      </c>
      <c r="FL126">
        <v>0.360622968334606</v>
      </c>
      <c r="FM126">
        <v>0.66415211443740896</v>
      </c>
      <c r="FN126">
        <v>0.47784301530739698</v>
      </c>
      <c r="FO126">
        <v>0.54244762261689805</v>
      </c>
      <c r="FP126">
        <v>0.31114288963785502</v>
      </c>
      <c r="FQ126">
        <v>0.199288206007808</v>
      </c>
      <c r="FR126">
        <v>0.20696602143210199</v>
      </c>
      <c r="FS126">
        <v>0.72893255443871796</v>
      </c>
      <c r="FT126">
        <v>0.14498485805679201</v>
      </c>
      <c r="FU126">
        <v>0.29000192187694301</v>
      </c>
      <c r="FV126">
        <v>0.41416504960291101</v>
      </c>
      <c r="FW126">
        <v>-0.106016368907571</v>
      </c>
      <c r="FX126">
        <v>0.43063708793480598</v>
      </c>
      <c r="FY126">
        <v>0.44058042276367898</v>
      </c>
      <c r="FZ126">
        <v>-0.20501145840614399</v>
      </c>
      <c r="GA126">
        <v>-4.1418320971435399E-2</v>
      </c>
      <c r="GB126">
        <v>-0.156916191983067</v>
      </c>
      <c r="GC126">
        <v>0.30915026233351001</v>
      </c>
      <c r="GD126">
        <v>-5.27863068654311E-2</v>
      </c>
      <c r="GE126">
        <v>4.6608681793337298E-2</v>
      </c>
      <c r="GF126">
        <v>0.40904916925895501</v>
      </c>
      <c r="GG126">
        <v>0.61412344991416101</v>
      </c>
      <c r="GH126">
        <v>0.61334726506051396</v>
      </c>
      <c r="GI126">
        <v>0.137181544248384</v>
      </c>
      <c r="GJ126">
        <v>0.29364712684897498</v>
      </c>
      <c r="GK126">
        <v>0.190682688993283</v>
      </c>
      <c r="GL126">
        <v>4.7830230020711201E-3</v>
      </c>
      <c r="GM126">
        <v>5.5183683730370497E-2</v>
      </c>
      <c r="GN126">
        <v>3.3493684651970698E-3</v>
      </c>
      <c r="GO126">
        <v>0.20578594405483</v>
      </c>
      <c r="GP126">
        <v>-3.6582814640993E-2</v>
      </c>
      <c r="GR126" s="66"/>
      <c r="GT126" s="66"/>
      <c r="GV126" s="66"/>
      <c r="GW126" s="65"/>
      <c r="GX126" s="65"/>
      <c r="HK126" s="1"/>
      <c r="HL126" s="1"/>
      <c r="HM126" s="1"/>
      <c r="HN126" s="1"/>
      <c r="HO126" s="65"/>
      <c r="HP126" s="65"/>
      <c r="HQ126" s="65"/>
      <c r="HS126" s="65"/>
      <c r="HT126" s="65"/>
      <c r="HU126" s="65"/>
      <c r="HV126" s="65"/>
      <c r="HW126" s="65"/>
      <c r="HX126" s="65"/>
      <c r="IZ126" s="66"/>
      <c r="JB126" s="66"/>
      <c r="JD126" s="66"/>
      <c r="JF126" s="66"/>
      <c r="JH126" s="66"/>
      <c r="JJ126" s="66"/>
      <c r="JL126" s="66"/>
      <c r="JN126" s="66"/>
    </row>
    <row r="127" spans="1:278" ht="15.75" x14ac:dyDescent="0.25">
      <c r="A127" s="7" t="s">
        <v>180</v>
      </c>
      <c r="B127" s="7" t="s">
        <v>180</v>
      </c>
      <c r="C127" s="2" t="s">
        <v>951</v>
      </c>
      <c r="D127" s="2" t="s">
        <v>569</v>
      </c>
      <c r="E127" s="2" t="s">
        <v>569</v>
      </c>
      <c r="F127" s="2">
        <v>126</v>
      </c>
      <c r="G127" s="2" t="s">
        <v>950</v>
      </c>
      <c r="H127" s="10" t="s">
        <v>656</v>
      </c>
      <c r="I127" s="2">
        <v>150</v>
      </c>
      <c r="J127" s="2">
        <v>65</v>
      </c>
      <c r="K127" s="2">
        <v>3.8</v>
      </c>
      <c r="L127" t="s">
        <v>352</v>
      </c>
      <c r="M127" s="2" t="s">
        <v>1120</v>
      </c>
      <c r="N127" s="2" t="s">
        <v>435</v>
      </c>
      <c r="O127" s="2" t="s">
        <v>666</v>
      </c>
      <c r="P127" s="2" t="s">
        <v>1132</v>
      </c>
      <c r="Q127" s="9" t="s">
        <v>670</v>
      </c>
      <c r="R127" s="2" t="str">
        <f t="shared" si="73"/>
        <v>CW_1_Section_2</v>
      </c>
      <c r="S127" s="2" t="str">
        <f t="shared" si="74"/>
        <v>CW_1_MF06</v>
      </c>
      <c r="T127" s="11" t="s">
        <v>937</v>
      </c>
      <c r="U127" s="1">
        <v>45825</v>
      </c>
      <c r="V127" s="2" t="s">
        <v>692</v>
      </c>
      <c r="W127" s="2" t="s">
        <v>663</v>
      </c>
      <c r="X127" s="2" t="s">
        <v>936</v>
      </c>
      <c r="Y127" s="2" t="str">
        <f t="shared" si="75"/>
        <v>T5_MF06</v>
      </c>
      <c r="Z127" s="2" t="str">
        <f t="shared" si="76"/>
        <v>T5_CW_1_MF06</v>
      </c>
      <c r="AA127" s="2" t="str">
        <f t="shared" si="77"/>
        <v>T5_0.60-0.80</v>
      </c>
      <c r="AB127" s="2">
        <v>307</v>
      </c>
      <c r="AC127" s="2">
        <v>10.098000000000001</v>
      </c>
      <c r="AD127" s="2">
        <v>0.38</v>
      </c>
      <c r="AE127" s="2">
        <v>5</v>
      </c>
      <c r="AF127" t="s">
        <v>25</v>
      </c>
      <c r="AG127" t="s">
        <v>1237</v>
      </c>
      <c r="AH127">
        <v>69</v>
      </c>
      <c r="AI127" t="s">
        <v>443</v>
      </c>
      <c r="AJ127">
        <v>0.96</v>
      </c>
      <c r="AK127">
        <v>0.91</v>
      </c>
      <c r="AL127">
        <v>21.7</v>
      </c>
      <c r="AM127">
        <v>-5.9</v>
      </c>
      <c r="AN127">
        <v>7.15</v>
      </c>
      <c r="AO127">
        <v>994</v>
      </c>
      <c r="AP127">
        <v>0.2</v>
      </c>
      <c r="AQ127">
        <v>0.01</v>
      </c>
      <c r="AR127">
        <v>11</v>
      </c>
      <c r="AS127">
        <v>12</v>
      </c>
      <c r="AT127">
        <v>640</v>
      </c>
      <c r="AU127" s="32">
        <f t="shared" si="89"/>
        <v>0.24580719498143644</v>
      </c>
      <c r="AV127">
        <v>1</v>
      </c>
      <c r="AW127" s="32">
        <f t="shared" si="90"/>
        <v>3.9070978945083569E-4</v>
      </c>
      <c r="AX127">
        <v>550</v>
      </c>
      <c r="AY127" s="32">
        <f t="shared" si="91"/>
        <v>0.21757558632382029</v>
      </c>
      <c r="AZ127">
        <v>120</v>
      </c>
      <c r="BA127" s="32">
        <f t="shared" si="92"/>
        <v>4.7471037016106249E-2</v>
      </c>
      <c r="BB127">
        <v>63</v>
      </c>
      <c r="BC127" s="32">
        <f t="shared" si="93"/>
        <v>2.4922294433455779E-2</v>
      </c>
      <c r="BD127">
        <v>183</v>
      </c>
      <c r="BF127" s="48">
        <v>1380</v>
      </c>
      <c r="BG127" s="48">
        <f t="shared" si="94"/>
        <v>0.46377349109470756</v>
      </c>
      <c r="BH127">
        <v>1900</v>
      </c>
      <c r="BI127" s="32">
        <f t="shared" si="95"/>
        <v>0.71155496606070068</v>
      </c>
      <c r="BJ127" s="47">
        <v>1900</v>
      </c>
      <c r="BK127" s="27">
        <f t="shared" si="96"/>
        <v>0.71155496606070068</v>
      </c>
      <c r="BL127" s="47">
        <v>2</v>
      </c>
      <c r="BM127" s="27">
        <f t="shared" si="97"/>
        <v>7.3592220251002033E-4</v>
      </c>
      <c r="BN127" s="47">
        <v>200</v>
      </c>
      <c r="BO127" s="27">
        <f t="shared" si="98"/>
        <v>7.5222099734128786E-2</v>
      </c>
      <c r="BP127" s="47">
        <v>41</v>
      </c>
      <c r="BQ127" s="27">
        <f t="shared" si="99"/>
        <v>1.5292985200336905E-2</v>
      </c>
      <c r="BR127" s="47">
        <v>15</v>
      </c>
      <c r="BS127" s="27">
        <f t="shared" si="100"/>
        <v>5.5546204342703251E-3</v>
      </c>
      <c r="BT127" s="47">
        <v>1.5</v>
      </c>
      <c r="BU127" s="27">
        <f t="shared" si="101"/>
        <v>5.5546204342703253E-4</v>
      </c>
      <c r="BV127" s="47">
        <v>0.05</v>
      </c>
      <c r="BW127" s="27">
        <f t="shared" si="102"/>
        <v>1.8294190358467248E-5</v>
      </c>
      <c r="BX127" s="47">
        <v>0.02</v>
      </c>
      <c r="BY127" s="27">
        <f t="shared" si="103"/>
        <v>7.3176761433868973E-6</v>
      </c>
      <c r="BZ127" s="51">
        <f t="shared" si="104"/>
        <v>2159.5700000000002</v>
      </c>
      <c r="CA127" s="51">
        <f t="shared" si="105"/>
        <v>259.57</v>
      </c>
      <c r="CB127" s="27">
        <f t="shared" si="106"/>
        <v>0.80894166754187569</v>
      </c>
      <c r="CC127" s="27">
        <f t="shared" si="107"/>
        <v>9.7386701481174925E-2</v>
      </c>
      <c r="CD127">
        <v>3200</v>
      </c>
      <c r="CE127">
        <v>1100</v>
      </c>
      <c r="CF127" t="s">
        <v>19</v>
      </c>
      <c r="CG127">
        <v>4300</v>
      </c>
      <c r="CH127" s="32">
        <v>0.8</v>
      </c>
      <c r="CI127" s="32">
        <f t="shared" si="108"/>
        <v>1.432408236347359E-2</v>
      </c>
      <c r="CJ127" s="32">
        <f t="shared" si="109"/>
        <v>1.432408236347359E-2</v>
      </c>
      <c r="CK127" s="32">
        <v>1.1000000000000001</v>
      </c>
      <c r="CL127" s="32">
        <f t="shared" si="110"/>
        <v>2.0025486983433462E-2</v>
      </c>
      <c r="CM127" s="32">
        <f t="shared" si="111"/>
        <v>4.0050973966866923E-2</v>
      </c>
      <c r="CN127" s="27">
        <v>36</v>
      </c>
      <c r="CO127" s="27">
        <f t="shared" si="112"/>
        <v>0.37476577139287942</v>
      </c>
      <c r="CP127" s="27">
        <f t="shared" si="113"/>
        <v>2.9981261711430354</v>
      </c>
      <c r="CQ127" s="57">
        <v>43</v>
      </c>
      <c r="CR127" s="57">
        <v>54.430379746835442</v>
      </c>
      <c r="CS127" s="57">
        <v>3.5810951488652925</v>
      </c>
      <c r="CT127" s="57">
        <f t="shared" si="114"/>
        <v>3.5810951488652925</v>
      </c>
      <c r="CU127" s="28">
        <v>24</v>
      </c>
      <c r="CV127" s="28">
        <v>40</v>
      </c>
      <c r="CW127" s="28">
        <v>1.9987507807620237</v>
      </c>
      <c r="CX127" s="28">
        <f t="shared" si="115"/>
        <v>1.9987507807620237</v>
      </c>
      <c r="CY127" s="32">
        <f t="shared" si="116"/>
        <v>24.996044139079739</v>
      </c>
      <c r="CZ127" s="32">
        <f t="shared" si="117"/>
        <v>24.996044139079739</v>
      </c>
      <c r="DA127" s="32">
        <f t="shared" si="118"/>
        <v>25.79604413907974</v>
      </c>
      <c r="DB127" s="32">
        <f t="shared" si="119"/>
        <v>0.46188082612497294</v>
      </c>
      <c r="DC127" s="32">
        <f t="shared" si="120"/>
        <v>0.46188082612497294</v>
      </c>
      <c r="DD127" s="59">
        <f t="shared" si="121"/>
        <v>13.951280449718926</v>
      </c>
      <c r="DE127" s="59">
        <f t="shared" si="122"/>
        <v>13.951280449718926</v>
      </c>
      <c r="DF127" s="59">
        <f t="shared" si="123"/>
        <v>14.751280449718926</v>
      </c>
      <c r="DG127" s="59">
        <f t="shared" si="124"/>
        <v>0.26412319516058952</v>
      </c>
      <c r="DH127" s="59">
        <f t="shared" si="125"/>
        <v>0.26412319516058952</v>
      </c>
      <c r="DI127" s="32">
        <f t="shared" si="126"/>
        <v>2.9981261711430354</v>
      </c>
      <c r="DJ127" s="32">
        <f t="shared" si="127"/>
        <v>15.851280449718926</v>
      </c>
      <c r="DK127" s="32">
        <f t="shared" si="128"/>
        <v>0.30417416912745643</v>
      </c>
      <c r="DL127">
        <f t="shared" si="129"/>
        <v>4.0830269489571327</v>
      </c>
      <c r="DM127">
        <f t="shared" si="134"/>
        <v>9.8091377959424325E-3</v>
      </c>
      <c r="DN127">
        <f t="shared" si="135"/>
        <v>0.11312215958871992</v>
      </c>
      <c r="DO127">
        <f t="shared" si="136"/>
        <v>0.87706870261533754</v>
      </c>
      <c r="DP127">
        <f t="shared" si="130"/>
        <v>2.3029249498894799</v>
      </c>
      <c r="DQ127">
        <f t="shared" si="137"/>
        <v>1.7391350060621393E-2</v>
      </c>
      <c r="DR127">
        <f t="shared" si="138"/>
        <v>0.11469031814226734</v>
      </c>
      <c r="DS127">
        <f t="shared" si="139"/>
        <v>0.86791833179711142</v>
      </c>
      <c r="DT127" s="63">
        <f t="shared" si="140"/>
        <v>-2.9076984918017246</v>
      </c>
      <c r="DU127" s="63">
        <f t="shared" si="141"/>
        <v>-1.1275964927340718</v>
      </c>
      <c r="DV127" s="63">
        <f t="shared" si="142"/>
        <v>-2.8103117903205499</v>
      </c>
      <c r="DW127" s="63">
        <f t="shared" si="143"/>
        <v>-1.0302097912528969</v>
      </c>
      <c r="DX127" t="str">
        <f t="shared" si="131"/>
        <v>Sufficient Capacity</v>
      </c>
      <c r="DY127" t="str">
        <f t="shared" si="132"/>
        <v>Sufficient Capacity</v>
      </c>
      <c r="DZ127" t="str">
        <f t="shared" si="133"/>
        <v>Sulfate Dominant electron acceptor</v>
      </c>
      <c r="EA127" t="str">
        <f t="shared" si="144"/>
        <v>Sulfate Dominant electron acceptor</v>
      </c>
      <c r="EB127">
        <v>8.6514769999999994E-3</v>
      </c>
      <c r="EC127">
        <v>1.558762E-3</v>
      </c>
      <c r="ED127" s="66">
        <v>6.4482970000000001E-7</v>
      </c>
      <c r="EE127">
        <v>6.234519E-4</v>
      </c>
      <c r="EF127">
        <v>4.5937649999999997E-3</v>
      </c>
      <c r="EG127" s="66">
        <v>9.7645630000000001E-6</v>
      </c>
      <c r="EH127">
        <v>2.8443160000000002E-4</v>
      </c>
      <c r="EI127" s="66">
        <v>8.4319790000000005E-5</v>
      </c>
      <c r="EJ127">
        <v>4.0957679999999998E-4</v>
      </c>
      <c r="EK127">
        <v>5.6514990000000001E-4</v>
      </c>
      <c r="EL127">
        <v>4.2042289999999998E-4</v>
      </c>
      <c r="EM127">
        <v>3.9722850000000002E-4</v>
      </c>
      <c r="EN127">
        <v>2.2511829999999999E-3</v>
      </c>
      <c r="EO127">
        <v>9.0464150000000004E-4</v>
      </c>
      <c r="EP127">
        <v>2.1659589999999999E-3</v>
      </c>
      <c r="EQ127">
        <v>1.0432410000000001E-3</v>
      </c>
      <c r="ER127">
        <v>3.8610709999999999E-4</v>
      </c>
      <c r="ES127">
        <v>5.9804019999999995E-4</v>
      </c>
      <c r="ET127">
        <v>8.0492069999999992E-3</v>
      </c>
      <c r="EU127">
        <v>2.830768E-3</v>
      </c>
      <c r="EV127">
        <v>9.0989030000000002E-3</v>
      </c>
      <c r="EW127">
        <v>5.9529660000000003E-4</v>
      </c>
      <c r="EX127">
        <v>4.963421E-3</v>
      </c>
      <c r="EY127">
        <v>6.1610160000000001E-3</v>
      </c>
      <c r="EZ127">
        <v>1.3663150000000001E-3</v>
      </c>
      <c r="FA127">
        <v>9.9118540000000003E-4</v>
      </c>
      <c r="FB127">
        <v>1.0338789999999999E-3</v>
      </c>
      <c r="FC127">
        <v>2.2471219999999998E-3</v>
      </c>
      <c r="FD127">
        <v>2.8332100000000001E-4</v>
      </c>
      <c r="FE127">
        <v>2.19939E-2</v>
      </c>
      <c r="FF127">
        <v>1.258721E-2</v>
      </c>
      <c r="FG127">
        <v>7.6081889999999996E-3</v>
      </c>
      <c r="FH127">
        <v>9.2871510000000002E-4</v>
      </c>
      <c r="FI127">
        <v>1.510127E-3</v>
      </c>
      <c r="FJ127">
        <v>1.0008950000000001E-2</v>
      </c>
      <c r="FK127">
        <v>8.4874298728934094E-2</v>
      </c>
      <c r="FL127">
        <v>-1.4451708016256499E-3</v>
      </c>
      <c r="FM127">
        <v>-0.213022821037679</v>
      </c>
      <c r="FN127">
        <v>-4.3079352284012301E-2</v>
      </c>
      <c r="FO127">
        <v>6.0435619173014203E-2</v>
      </c>
      <c r="FP127">
        <v>-7.6862572814389907E-2</v>
      </c>
      <c r="FQ127">
        <v>-0.24120109272173099</v>
      </c>
      <c r="FR127">
        <v>-8.0409764853586196E-2</v>
      </c>
      <c r="FS127">
        <v>0.43489166815537</v>
      </c>
      <c r="FT127">
        <v>0.101684592734823</v>
      </c>
      <c r="FU127">
        <v>0.10275483204418499</v>
      </c>
      <c r="FV127">
        <v>2.2201052750666899E-2</v>
      </c>
      <c r="FW127">
        <v>-0.14686286369851001</v>
      </c>
      <c r="FX127">
        <v>-2.5675397573693599E-2</v>
      </c>
      <c r="FY127">
        <v>-0.152072020702084</v>
      </c>
      <c r="FZ127">
        <v>-7.5433288300971804E-2</v>
      </c>
      <c r="GA127">
        <v>2.1795077951991499E-2</v>
      </c>
      <c r="GB127">
        <v>2.8904979387099201E-2</v>
      </c>
      <c r="GC127">
        <v>-7.9477108439629504E-2</v>
      </c>
      <c r="GD127">
        <v>-2.2812177561970502E-3</v>
      </c>
      <c r="GE127">
        <v>-9.4666207952160505E-2</v>
      </c>
      <c r="GF127">
        <v>6.9956523019798503E-2</v>
      </c>
      <c r="GG127">
        <v>4.6865002283906797E-2</v>
      </c>
      <c r="GH127">
        <v>4.48390288506939E-2</v>
      </c>
      <c r="GI127">
        <v>0.18182967826516599</v>
      </c>
      <c r="GJ127">
        <v>-0.231599445672655</v>
      </c>
      <c r="GK127">
        <v>-5.8742563909829598E-2</v>
      </c>
      <c r="GL127">
        <v>-0.17202226040827201</v>
      </c>
      <c r="GM127">
        <v>-0.10298175322149</v>
      </c>
      <c r="GN127">
        <v>0.158030329918776</v>
      </c>
      <c r="GO127">
        <v>5.0379866830723201E-2</v>
      </c>
      <c r="GP127">
        <v>-5.6612761643435802E-2</v>
      </c>
      <c r="GT127" s="66"/>
      <c r="GV127" s="66"/>
      <c r="HK127" s="1"/>
      <c r="HL127" s="1"/>
      <c r="HM127" s="65"/>
      <c r="HN127" s="1"/>
      <c r="HO127" s="65"/>
      <c r="HP127" s="65"/>
      <c r="HQ127" s="65"/>
      <c r="HT127" s="65"/>
      <c r="HU127" s="65"/>
      <c r="HV127" s="65"/>
      <c r="HW127" s="65"/>
      <c r="HX127" s="65"/>
      <c r="JJ127" s="66"/>
      <c r="JL127" s="66"/>
      <c r="JN127" s="66"/>
    </row>
    <row r="128" spans="1:278" ht="15.75" x14ac:dyDescent="0.25">
      <c r="A128" s="7" t="s">
        <v>181</v>
      </c>
      <c r="B128" s="7" t="s">
        <v>181</v>
      </c>
      <c r="C128" s="2" t="s">
        <v>953</v>
      </c>
      <c r="D128" s="2" t="s">
        <v>570</v>
      </c>
      <c r="E128" s="2" t="s">
        <v>570</v>
      </c>
      <c r="F128" s="2">
        <v>127</v>
      </c>
      <c r="G128" s="2" t="s">
        <v>952</v>
      </c>
      <c r="H128" s="10" t="s">
        <v>656</v>
      </c>
      <c r="I128" s="2">
        <v>150</v>
      </c>
      <c r="J128" s="2">
        <v>65</v>
      </c>
      <c r="K128" s="2">
        <v>5.8</v>
      </c>
      <c r="L128" t="s">
        <v>353</v>
      </c>
      <c r="M128" s="2" t="s">
        <v>1120</v>
      </c>
      <c r="N128" s="2" t="s">
        <v>435</v>
      </c>
      <c r="O128" s="2" t="s">
        <v>673</v>
      </c>
      <c r="P128" s="2" t="s">
        <v>1127</v>
      </c>
      <c r="Q128" s="9" t="s">
        <v>674</v>
      </c>
      <c r="R128" s="2" t="str">
        <f t="shared" si="73"/>
        <v>CW_1_Section_3</v>
      </c>
      <c r="S128" s="2" t="str">
        <f t="shared" si="74"/>
        <v>CW_1_MF09</v>
      </c>
      <c r="T128" s="11" t="s">
        <v>937</v>
      </c>
      <c r="U128" s="1">
        <v>45825</v>
      </c>
      <c r="V128" s="2" t="s">
        <v>692</v>
      </c>
      <c r="W128" s="2" t="s">
        <v>655</v>
      </c>
      <c r="X128" s="2" t="s">
        <v>936</v>
      </c>
      <c r="Y128" s="2" t="str">
        <f t="shared" si="75"/>
        <v>T5_MF09</v>
      </c>
      <c r="Z128" s="2" t="str">
        <f t="shared" si="76"/>
        <v>T5_CW_1_MF09</v>
      </c>
      <c r="AA128" s="2" t="str">
        <f t="shared" si="77"/>
        <v>T5_0.15-0.30</v>
      </c>
      <c r="AB128" s="2">
        <v>307</v>
      </c>
      <c r="AC128" s="2">
        <v>10.098000000000001</v>
      </c>
      <c r="AD128" s="2">
        <v>0.38</v>
      </c>
      <c r="AE128" s="2">
        <v>5</v>
      </c>
      <c r="AF128" t="s">
        <v>21</v>
      </c>
      <c r="AG128" t="s">
        <v>1237</v>
      </c>
      <c r="AH128">
        <v>69</v>
      </c>
      <c r="AI128" t="s">
        <v>443</v>
      </c>
      <c r="AJ128">
        <v>0.7</v>
      </c>
      <c r="AK128">
        <v>2.09</v>
      </c>
      <c r="AL128">
        <v>21.6</v>
      </c>
      <c r="AM128">
        <v>-1.7</v>
      </c>
      <c r="AN128">
        <v>6.98</v>
      </c>
      <c r="AO128">
        <v>1032</v>
      </c>
      <c r="AP128">
        <v>0.2</v>
      </c>
      <c r="AQ128">
        <v>0.01</v>
      </c>
      <c r="AR128">
        <v>12</v>
      </c>
      <c r="AS128">
        <v>12</v>
      </c>
      <c r="AT128">
        <v>420</v>
      </c>
      <c r="AU128" s="32">
        <f t="shared" si="89"/>
        <v>0.16131097170656766</v>
      </c>
      <c r="AV128">
        <v>0.5</v>
      </c>
      <c r="AW128" s="32">
        <f t="shared" si="90"/>
        <v>1.9535489472541785E-4</v>
      </c>
      <c r="AX128">
        <v>200</v>
      </c>
      <c r="AY128" s="32">
        <f t="shared" si="91"/>
        <v>7.9118395026843744E-2</v>
      </c>
      <c r="AZ128">
        <v>60</v>
      </c>
      <c r="BA128" s="32">
        <f t="shared" si="92"/>
        <v>2.3735518508053124E-2</v>
      </c>
      <c r="BB128">
        <v>46</v>
      </c>
      <c r="BC128" s="32">
        <f t="shared" si="93"/>
        <v>1.819723085617406E-2</v>
      </c>
      <c r="BD128">
        <v>106</v>
      </c>
      <c r="BF128" s="48">
        <v>729.5</v>
      </c>
      <c r="BG128" s="48">
        <f t="shared" si="94"/>
        <v>0.24062472162813681</v>
      </c>
      <c r="BH128">
        <v>1200</v>
      </c>
      <c r="BI128" s="32">
        <f t="shared" si="95"/>
        <v>0.44940313645938984</v>
      </c>
      <c r="BJ128" s="47">
        <v>1600</v>
      </c>
      <c r="BK128" s="27">
        <f t="shared" si="96"/>
        <v>0.59920418194585312</v>
      </c>
      <c r="BL128" s="47">
        <v>0.42</v>
      </c>
      <c r="BM128" s="27">
        <f t="shared" si="97"/>
        <v>1.5454366252710426E-4</v>
      </c>
      <c r="BN128" s="47">
        <v>0.17</v>
      </c>
      <c r="BO128" s="27">
        <f t="shared" si="98"/>
        <v>6.3938784774009473E-5</v>
      </c>
      <c r="BP128" s="47">
        <v>7.0000000000000007E-2</v>
      </c>
      <c r="BQ128" s="27">
        <f t="shared" si="99"/>
        <v>2.6109974732282519E-5</v>
      </c>
      <c r="BR128" s="47">
        <v>0.05</v>
      </c>
      <c r="BS128" s="27">
        <f t="shared" si="100"/>
        <v>1.8515401447567749E-5</v>
      </c>
      <c r="BT128" s="47">
        <v>0.01</v>
      </c>
      <c r="BU128" s="27">
        <f t="shared" si="101"/>
        <v>3.7030802895135499E-6</v>
      </c>
      <c r="BV128" s="47">
        <v>0.01</v>
      </c>
      <c r="BW128" s="27">
        <f t="shared" si="102"/>
        <v>3.6588380716934487E-6</v>
      </c>
      <c r="BX128" s="47">
        <v>2E-3</v>
      </c>
      <c r="BY128" s="27">
        <f t="shared" si="103"/>
        <v>7.3176761433868969E-7</v>
      </c>
      <c r="BZ128" s="51">
        <f t="shared" si="104"/>
        <v>1600.732</v>
      </c>
      <c r="CA128" s="51">
        <f t="shared" si="105"/>
        <v>0.73199999999999998</v>
      </c>
      <c r="CB128" s="27">
        <f t="shared" si="106"/>
        <v>0.59947538345530982</v>
      </c>
      <c r="CC128" s="27">
        <f t="shared" si="107"/>
        <v>2.7120150945650974E-4</v>
      </c>
      <c r="CD128">
        <v>1800</v>
      </c>
      <c r="CE128">
        <v>2.5</v>
      </c>
      <c r="CF128" t="s">
        <v>19</v>
      </c>
      <c r="CG128">
        <v>1800</v>
      </c>
      <c r="CH128" s="32">
        <v>13</v>
      </c>
      <c r="CI128" s="32">
        <f t="shared" si="108"/>
        <v>0.23276633840644584</v>
      </c>
      <c r="CJ128" s="32">
        <f t="shared" si="109"/>
        <v>0.23276633840644584</v>
      </c>
      <c r="CK128" s="32">
        <v>4.0999999999999996</v>
      </c>
      <c r="CL128" s="32">
        <f t="shared" si="110"/>
        <v>7.464045148370653E-2</v>
      </c>
      <c r="CM128" s="32">
        <f t="shared" si="111"/>
        <v>0.14928090296741306</v>
      </c>
      <c r="CN128" s="27">
        <v>0.5</v>
      </c>
      <c r="CO128" s="27">
        <f t="shared" si="112"/>
        <v>5.2050801582344368E-3</v>
      </c>
      <c r="CP128" s="27">
        <f t="shared" si="113"/>
        <v>4.1640641265875494E-2</v>
      </c>
      <c r="CQ128" s="57">
        <v>78.5</v>
      </c>
      <c r="CR128" s="57">
        <v>99.367088607594937</v>
      </c>
      <c r="CS128" s="57">
        <v>6.5375806787424526</v>
      </c>
      <c r="CT128" s="57">
        <f t="shared" si="114"/>
        <v>6.5375806787424526</v>
      </c>
      <c r="CU128" s="28">
        <v>0</v>
      </c>
      <c r="CV128" s="28">
        <v>0</v>
      </c>
      <c r="CW128" s="28">
        <v>0</v>
      </c>
      <c r="CX128" s="28">
        <f t="shared" si="115"/>
        <v>0</v>
      </c>
      <c r="CY128" s="32">
        <f t="shared" si="116"/>
        <v>45.632313137622319</v>
      </c>
      <c r="CZ128" s="32">
        <f t="shared" si="117"/>
        <v>45.632313137622319</v>
      </c>
      <c r="DA128" s="32">
        <f t="shared" si="118"/>
        <v>58.632313137622319</v>
      </c>
      <c r="DB128" s="32">
        <f t="shared" si="119"/>
        <v>1.0498176031803459</v>
      </c>
      <c r="DC128" s="32">
        <f t="shared" si="120"/>
        <v>1.0498176031803459</v>
      </c>
      <c r="DD128" s="59">
        <f t="shared" si="121"/>
        <v>0</v>
      </c>
      <c r="DE128" s="59">
        <f t="shared" si="122"/>
        <v>0</v>
      </c>
      <c r="DF128" s="59">
        <f t="shared" si="123"/>
        <v>13</v>
      </c>
      <c r="DG128" s="59">
        <f t="shared" si="124"/>
        <v>0.23276633840644584</v>
      </c>
      <c r="DH128" s="59">
        <f t="shared" si="125"/>
        <v>0.23276633840644584</v>
      </c>
      <c r="DI128" s="32">
        <f t="shared" si="126"/>
        <v>4.1640641265875494E-2</v>
      </c>
      <c r="DJ128" s="32">
        <f t="shared" si="127"/>
        <v>17.100000000000001</v>
      </c>
      <c r="DK128" s="32">
        <f t="shared" si="128"/>
        <v>0.38204724137385893</v>
      </c>
      <c r="DL128">
        <f t="shared" si="129"/>
        <v>7.7366791848902121</v>
      </c>
      <c r="DM128">
        <f t="shared" si="134"/>
        <v>1.9295216901194467E-2</v>
      </c>
      <c r="DN128">
        <f t="shared" si="135"/>
        <v>0.13569356801438101</v>
      </c>
      <c r="DO128">
        <f t="shared" si="136"/>
        <v>0.84501121508442445</v>
      </c>
      <c r="DP128">
        <f t="shared" si="130"/>
        <v>0.38204724137385893</v>
      </c>
      <c r="DQ128">
        <f t="shared" si="137"/>
        <v>0.39073938194290392</v>
      </c>
      <c r="DR128">
        <f t="shared" si="138"/>
        <v>0.60926061805709608</v>
      </c>
      <c r="DS128">
        <f t="shared" si="139"/>
        <v>0</v>
      </c>
      <c r="DT128" s="63">
        <f t="shared" si="140"/>
        <v>-7.0466513268026851</v>
      </c>
      <c r="DU128" s="63">
        <f t="shared" si="141"/>
        <v>0.30798061671366772</v>
      </c>
      <c r="DV128" s="63">
        <f t="shared" si="142"/>
        <v>-7.0463801252932292</v>
      </c>
      <c r="DW128" s="63">
        <f t="shared" si="143"/>
        <v>0.3082518182231242</v>
      </c>
      <c r="DX128" t="str">
        <f t="shared" si="131"/>
        <v>Sufficient Capacity</v>
      </c>
      <c r="DY128" t="str">
        <f t="shared" si="132"/>
        <v>Insufficient Capacity</v>
      </c>
      <c r="DZ128" t="str">
        <f t="shared" si="133"/>
        <v>Sulfate Dominant electron acceptor</v>
      </c>
      <c r="EA128" t="str">
        <f t="shared" si="144"/>
        <v>Manganese Dominant electron acceptor</v>
      </c>
      <c r="EB128">
        <v>1.0086589999999999E-2</v>
      </c>
      <c r="EC128">
        <v>1.730685E-3</v>
      </c>
      <c r="ED128" s="66">
        <v>2.8655399999999999E-7</v>
      </c>
      <c r="EE128">
        <v>7.4778900000000001E-4</v>
      </c>
      <c r="EF128">
        <v>5.1257220000000001E-3</v>
      </c>
      <c r="EG128" s="66">
        <v>1.607551E-5</v>
      </c>
      <c r="EH128">
        <v>3.7591330000000001E-4</v>
      </c>
      <c r="EI128">
        <v>1.013284E-4</v>
      </c>
      <c r="EJ128">
        <v>5.3066720000000003E-4</v>
      </c>
      <c r="EK128">
        <v>8.2381550000000005E-4</v>
      </c>
      <c r="EL128">
        <v>4.2164060000000002E-4</v>
      </c>
      <c r="EM128">
        <v>2.9217220000000001E-4</v>
      </c>
      <c r="EN128">
        <v>2.1072840000000001E-3</v>
      </c>
      <c r="EO128">
        <v>8.8955600000000001E-4</v>
      </c>
      <c r="EP128">
        <v>2.384738E-3</v>
      </c>
      <c r="EQ128">
        <v>1.159406E-3</v>
      </c>
      <c r="ER128">
        <v>4.9556069999999995E-4</v>
      </c>
      <c r="ES128">
        <v>8.6538659999999999E-4</v>
      </c>
      <c r="ET128">
        <v>8.5061010000000003E-3</v>
      </c>
      <c r="EU128">
        <v>2.7717890000000002E-3</v>
      </c>
      <c r="EV128">
        <v>8.1418900000000006E-3</v>
      </c>
      <c r="EW128">
        <v>6.8293780000000005E-4</v>
      </c>
      <c r="EX128">
        <v>4.8106570000000003E-3</v>
      </c>
      <c r="EY128">
        <v>6.7715579999999996E-3</v>
      </c>
      <c r="EZ128">
        <v>1.4301069999999999E-3</v>
      </c>
      <c r="FA128">
        <v>1.184058E-3</v>
      </c>
      <c r="FB128">
        <v>1.2553499999999999E-3</v>
      </c>
      <c r="FC128">
        <v>1.9080499999999999E-3</v>
      </c>
      <c r="FD128">
        <v>3.8613200000000002E-4</v>
      </c>
      <c r="FE128">
        <v>2.4754100000000001E-2</v>
      </c>
      <c r="FF128">
        <v>1.5292699999999999E-2</v>
      </c>
      <c r="FG128">
        <v>8.7416969999999997E-3</v>
      </c>
      <c r="FH128">
        <v>8.1882020000000001E-4</v>
      </c>
      <c r="FI128">
        <v>1.4698770000000001E-3</v>
      </c>
      <c r="FJ128">
        <v>1.1054720000000001E-2</v>
      </c>
      <c r="FK128">
        <v>0.26672353435240398</v>
      </c>
      <c r="FL128">
        <v>0.108126273069446</v>
      </c>
      <c r="FM128">
        <v>0.28551436320263401</v>
      </c>
      <c r="FN128">
        <v>0.23578637654285201</v>
      </c>
      <c r="FO128">
        <v>0.24418575223786801</v>
      </c>
      <c r="FP128">
        <v>0.18214807845029199</v>
      </c>
      <c r="FQ128">
        <v>0.13565449865711399</v>
      </c>
      <c r="FR128">
        <v>-7.7517581903464403E-2</v>
      </c>
      <c r="FS128">
        <v>0.12772334076818101</v>
      </c>
      <c r="FT128">
        <v>3.5628651451520298E-2</v>
      </c>
      <c r="FU128">
        <v>8.5938561263643201E-2</v>
      </c>
      <c r="FV128">
        <v>0.118427098308741</v>
      </c>
      <c r="FW128">
        <v>-4.1287272263023297E-2</v>
      </c>
      <c r="FX128">
        <v>0.22389965909672799</v>
      </c>
      <c r="FY128">
        <v>0.21744634702818699</v>
      </c>
      <c r="FZ128">
        <v>-2.0223194830051298E-2</v>
      </c>
      <c r="GA128">
        <v>7.3998512573769703E-4</v>
      </c>
      <c r="GB128">
        <v>-8.22265376230185E-2</v>
      </c>
      <c r="GC128">
        <v>5.78669094330682E-2</v>
      </c>
      <c r="GD128">
        <v>-3.3542773262363199E-2</v>
      </c>
      <c r="GE128">
        <v>-1.76713575132048E-4</v>
      </c>
      <c r="GF128">
        <v>0.11558845480991201</v>
      </c>
      <c r="GG128">
        <v>0.22466620242875601</v>
      </c>
      <c r="GH128">
        <v>0.23893569905343201</v>
      </c>
      <c r="GI128">
        <v>1.8261170054302899E-2</v>
      </c>
      <c r="GJ128">
        <v>7.7999303788995E-2</v>
      </c>
      <c r="GK128">
        <v>5.9483425767139102E-2</v>
      </c>
      <c r="GL128">
        <v>2.2672110896762899E-2</v>
      </c>
      <c r="GM128">
        <v>3.5897415152324398E-2</v>
      </c>
      <c r="GN128">
        <v>3.2092835713792803E-2</v>
      </c>
      <c r="GO128">
        <v>2.336483740077E-2</v>
      </c>
      <c r="GP128">
        <v>4.2765031718934303E-2</v>
      </c>
      <c r="GR128" s="66"/>
      <c r="GT128" s="66"/>
      <c r="GV128" s="66"/>
      <c r="GW128" s="65"/>
      <c r="HK128" s="1"/>
      <c r="HL128" s="1"/>
      <c r="HM128" s="1"/>
      <c r="HN128" s="1"/>
      <c r="HO128" s="65"/>
      <c r="HP128" s="65"/>
      <c r="HQ128" s="65"/>
      <c r="HV128" s="65"/>
      <c r="HW128" s="65"/>
      <c r="HX128" s="65"/>
      <c r="IZ128" s="66"/>
      <c r="JB128" s="66"/>
      <c r="JD128" s="66"/>
      <c r="JF128" s="66"/>
      <c r="JH128" s="66"/>
      <c r="JJ128" s="66"/>
      <c r="JL128" s="66"/>
      <c r="JN128" s="66"/>
      <c r="JP128" s="66"/>
      <c r="JR128" s="66"/>
    </row>
    <row r="129" spans="1:278" ht="15.75" x14ac:dyDescent="0.25">
      <c r="A129" s="7" t="s">
        <v>182</v>
      </c>
      <c r="B129" s="7" t="s">
        <v>182</v>
      </c>
      <c r="C129" s="2" t="s">
        <v>955</v>
      </c>
      <c r="D129" s="2" t="s">
        <v>571</v>
      </c>
      <c r="E129" s="2" t="s">
        <v>571</v>
      </c>
      <c r="F129" s="2">
        <v>128</v>
      </c>
      <c r="G129" s="2" t="s">
        <v>954</v>
      </c>
      <c r="H129" s="10" t="s">
        <v>656</v>
      </c>
      <c r="I129" s="2">
        <v>150</v>
      </c>
      <c r="J129" s="2">
        <v>65</v>
      </c>
      <c r="K129" s="2">
        <v>7.3</v>
      </c>
      <c r="L129" t="s">
        <v>354</v>
      </c>
      <c r="M129" s="2" t="s">
        <v>1120</v>
      </c>
      <c r="N129" s="2" t="s">
        <v>435</v>
      </c>
      <c r="O129" s="2" t="s">
        <v>673</v>
      </c>
      <c r="P129" s="2" t="s">
        <v>1128</v>
      </c>
      <c r="Q129" s="9" t="s">
        <v>677</v>
      </c>
      <c r="R129" s="2" t="str">
        <f t="shared" si="73"/>
        <v>CW_1_Section_3</v>
      </c>
      <c r="S129" s="2" t="str">
        <f t="shared" si="74"/>
        <v>CW_1_MF10</v>
      </c>
      <c r="T129" s="11" t="s">
        <v>937</v>
      </c>
      <c r="U129" s="1">
        <v>45825</v>
      </c>
      <c r="V129" s="2" t="s">
        <v>692</v>
      </c>
      <c r="W129" s="2" t="s">
        <v>663</v>
      </c>
      <c r="X129" s="2" t="s">
        <v>936</v>
      </c>
      <c r="Y129" s="2" t="str">
        <f t="shared" si="75"/>
        <v>T5_MF10</v>
      </c>
      <c r="Z129" s="2" t="str">
        <f t="shared" si="76"/>
        <v>T5_CW_1_MF10</v>
      </c>
      <c r="AA129" s="2" t="str">
        <f t="shared" si="77"/>
        <v>T5_0.60-0.80</v>
      </c>
      <c r="AB129" s="2">
        <v>307</v>
      </c>
      <c r="AC129" s="2">
        <v>10.098000000000001</v>
      </c>
      <c r="AD129" s="2">
        <v>0.38</v>
      </c>
      <c r="AE129" s="2">
        <v>5</v>
      </c>
      <c r="AF129" t="s">
        <v>23</v>
      </c>
      <c r="AG129" t="s">
        <v>1237</v>
      </c>
      <c r="AH129">
        <v>71</v>
      </c>
      <c r="AI129" t="s">
        <v>443</v>
      </c>
      <c r="AJ129">
        <v>0.66</v>
      </c>
      <c r="AK129">
        <v>0.23</v>
      </c>
      <c r="AL129">
        <v>21.8</v>
      </c>
      <c r="AM129">
        <v>-51</v>
      </c>
      <c r="AN129">
        <v>7.08</v>
      </c>
      <c r="AO129">
        <v>890</v>
      </c>
      <c r="AP129">
        <v>0.2</v>
      </c>
      <c r="AQ129">
        <v>0.01</v>
      </c>
      <c r="AR129">
        <v>11</v>
      </c>
      <c r="AS129">
        <v>12</v>
      </c>
      <c r="AT129">
        <v>630</v>
      </c>
      <c r="AU129" s="32">
        <f t="shared" si="89"/>
        <v>0.24196645755985149</v>
      </c>
      <c r="AV129">
        <v>2</v>
      </c>
      <c r="AW129" s="32">
        <f t="shared" si="90"/>
        <v>7.8141957890167139E-4</v>
      </c>
      <c r="AX129">
        <v>560</v>
      </c>
      <c r="AY129" s="32">
        <f t="shared" si="91"/>
        <v>0.22153150607516248</v>
      </c>
      <c r="AZ129">
        <v>160</v>
      </c>
      <c r="BA129" s="32">
        <f t="shared" si="92"/>
        <v>6.3294716021474989E-2</v>
      </c>
      <c r="BB129">
        <v>85</v>
      </c>
      <c r="BC129" s="32">
        <f t="shared" si="93"/>
        <v>3.3625317886408587E-2</v>
      </c>
      <c r="BD129">
        <v>245</v>
      </c>
      <c r="BF129" s="48">
        <v>1449</v>
      </c>
      <c r="BG129" s="48">
        <f t="shared" si="94"/>
        <v>0.46427938321391565</v>
      </c>
      <c r="BH129">
        <v>2700</v>
      </c>
      <c r="BI129" s="32">
        <f t="shared" si="95"/>
        <v>1.0111570570336272</v>
      </c>
      <c r="BJ129" s="47">
        <v>2900</v>
      </c>
      <c r="BK129" s="27">
        <f t="shared" si="96"/>
        <v>1.0860575797768588</v>
      </c>
      <c r="BL129" s="47">
        <v>4</v>
      </c>
      <c r="BM129" s="27">
        <f t="shared" si="97"/>
        <v>1.4718444050200407E-3</v>
      </c>
      <c r="BN129" s="47">
        <v>280</v>
      </c>
      <c r="BO129" s="27">
        <f t="shared" si="98"/>
        <v>0.10531093962778031</v>
      </c>
      <c r="BP129" s="47">
        <v>63</v>
      </c>
      <c r="BQ129" s="27">
        <f t="shared" si="99"/>
        <v>2.3498977259054265E-2</v>
      </c>
      <c r="BR129" s="47">
        <v>34</v>
      </c>
      <c r="BS129" s="27">
        <f t="shared" si="100"/>
        <v>1.2590472984346068E-2</v>
      </c>
      <c r="BT129" s="47">
        <v>4.9000000000000004</v>
      </c>
      <c r="BU129" s="27">
        <f t="shared" si="101"/>
        <v>1.8145093418616396E-3</v>
      </c>
      <c r="BV129" s="47">
        <v>0.7</v>
      </c>
      <c r="BW129" s="27">
        <f t="shared" si="102"/>
        <v>2.5611866501854138E-4</v>
      </c>
      <c r="BX129" s="47">
        <v>0.62</v>
      </c>
      <c r="BY129" s="27">
        <f t="shared" si="103"/>
        <v>2.2684796044499382E-4</v>
      </c>
      <c r="BZ129" s="51">
        <f t="shared" si="104"/>
        <v>3287.22</v>
      </c>
      <c r="CA129" s="51">
        <f t="shared" si="105"/>
        <v>387.21999999999997</v>
      </c>
      <c r="CB129" s="27">
        <f t="shared" si="106"/>
        <v>1.2312272900203847</v>
      </c>
      <c r="CC129" s="27">
        <f t="shared" si="107"/>
        <v>0.14516971024352587</v>
      </c>
      <c r="CD129">
        <v>4400</v>
      </c>
      <c r="CE129">
        <v>1600</v>
      </c>
      <c r="CF129" t="s">
        <v>19</v>
      </c>
      <c r="CG129">
        <v>6000</v>
      </c>
      <c r="CH129" s="32">
        <v>0.02</v>
      </c>
      <c r="CI129" s="32">
        <f t="shared" si="108"/>
        <v>3.5810205908683976E-4</v>
      </c>
      <c r="CJ129" s="32">
        <f t="shared" si="109"/>
        <v>3.5810205908683976E-4</v>
      </c>
      <c r="CK129" s="32">
        <v>0.9</v>
      </c>
      <c r="CL129" s="32">
        <f t="shared" si="110"/>
        <v>1.6384489350081924E-2</v>
      </c>
      <c r="CM129" s="32">
        <f t="shared" si="111"/>
        <v>3.2768978700163848E-2</v>
      </c>
      <c r="CN129" s="27">
        <v>48</v>
      </c>
      <c r="CO129" s="27">
        <f t="shared" si="112"/>
        <v>0.49968769519050593</v>
      </c>
      <c r="CP129" s="27">
        <f t="shared" si="113"/>
        <v>3.9975015615240475</v>
      </c>
      <c r="CQ129" s="57">
        <v>31</v>
      </c>
      <c r="CR129" s="57">
        <v>39.24050632911392</v>
      </c>
      <c r="CS129" s="57">
        <v>2.5817197584842808</v>
      </c>
      <c r="CT129" s="57">
        <f t="shared" si="114"/>
        <v>2.5817197584842808</v>
      </c>
      <c r="CU129" s="28">
        <v>-12</v>
      </c>
      <c r="CV129" s="28">
        <v>-33.333333333333329</v>
      </c>
      <c r="CW129" s="28">
        <v>-0.99937539038101186</v>
      </c>
      <c r="CX129" s="28">
        <f t="shared" si="115"/>
        <v>0</v>
      </c>
      <c r="CY129" s="32">
        <f t="shared" si="116"/>
        <v>18.020403914220278</v>
      </c>
      <c r="CZ129" s="32">
        <f t="shared" si="117"/>
        <v>18.020403914220278</v>
      </c>
      <c r="DA129" s="32">
        <f t="shared" si="118"/>
        <v>18.040403914220278</v>
      </c>
      <c r="DB129" s="32">
        <f t="shared" si="119"/>
        <v>0.32301528942202823</v>
      </c>
      <c r="DC129" s="32">
        <f t="shared" si="120"/>
        <v>0.32301528942202823</v>
      </c>
      <c r="DD129" s="59">
        <f t="shared" si="121"/>
        <v>-6.9756402248594629</v>
      </c>
      <c r="DE129" s="59">
        <f t="shared" si="122"/>
        <v>0</v>
      </c>
      <c r="DF129" s="59">
        <f t="shared" si="123"/>
        <v>0.02</v>
      </c>
      <c r="DG129" s="59">
        <f t="shared" si="124"/>
        <v>3.5810205908683976E-4</v>
      </c>
      <c r="DH129" s="59">
        <f t="shared" si="125"/>
        <v>3.5810205908683976E-4</v>
      </c>
      <c r="DI129" s="32">
        <f t="shared" si="126"/>
        <v>3.9975015615240475</v>
      </c>
      <c r="DJ129" s="32">
        <f t="shared" si="127"/>
        <v>0.92</v>
      </c>
      <c r="DK129" s="32">
        <f t="shared" si="128"/>
        <v>3.3127080759250686E-2</v>
      </c>
      <c r="DL129">
        <f t="shared" si="129"/>
        <v>2.9375040266064731</v>
      </c>
      <c r="DM129">
        <f t="shared" si="134"/>
        <v>1.1155381712963959E-2</v>
      </c>
      <c r="DN129">
        <f t="shared" si="135"/>
        <v>0.10996250098597786</v>
      </c>
      <c r="DO129">
        <f t="shared" si="136"/>
        <v>0.87888211730105814</v>
      </c>
      <c r="DP129">
        <f t="shared" si="130"/>
        <v>3.3127080759250686E-2</v>
      </c>
      <c r="DQ129">
        <f t="shared" si="137"/>
        <v>0.98919005083214773</v>
      </c>
      <c r="DR129">
        <f t="shared" si="138"/>
        <v>1.0809949167852356E-2</v>
      </c>
      <c r="DS129">
        <f t="shared" si="139"/>
        <v>0</v>
      </c>
      <c r="DT129" s="63">
        <f t="shared" si="140"/>
        <v>-1.4620675863589303</v>
      </c>
      <c r="DU129" s="63">
        <f t="shared" si="141"/>
        <v>1.4423093594882921</v>
      </c>
      <c r="DV129" s="63">
        <f t="shared" si="142"/>
        <v>-1.3168978761154044</v>
      </c>
      <c r="DW129" s="63">
        <f t="shared" si="143"/>
        <v>1.587479069731818</v>
      </c>
      <c r="DX129" t="str">
        <f t="shared" si="131"/>
        <v>Sufficient Capacity</v>
      </c>
      <c r="DY129" t="str">
        <f t="shared" si="132"/>
        <v>Insufficient Capacity</v>
      </c>
      <c r="DZ129" t="str">
        <f t="shared" si="133"/>
        <v>Sulfate Dominant electron acceptor</v>
      </c>
      <c r="EA129" t="str">
        <f t="shared" si="144"/>
        <v>Iron Dominant electron acceptor</v>
      </c>
      <c r="EB129">
        <v>8.7453300000000008E-3</v>
      </c>
      <c r="EC129">
        <v>1.648091E-3</v>
      </c>
      <c r="ED129" s="66">
        <v>5.3169749999999996E-7</v>
      </c>
      <c r="EE129">
        <v>2.9341779999999997E-4</v>
      </c>
      <c r="EF129">
        <v>3.3420949999999998E-3</v>
      </c>
      <c r="EG129" s="66">
        <v>6.8941779999999998E-6</v>
      </c>
      <c r="EH129">
        <v>1.4018170000000001E-4</v>
      </c>
      <c r="EI129" s="66">
        <v>4.1856970000000001E-5</v>
      </c>
      <c r="EJ129">
        <v>4.1681150000000001E-4</v>
      </c>
      <c r="EK129">
        <v>6.3926339999999997E-4</v>
      </c>
      <c r="EL129">
        <v>2.7344160000000001E-4</v>
      </c>
      <c r="EM129">
        <v>1.3569689999999999E-4</v>
      </c>
      <c r="EN129">
        <v>2.369609E-3</v>
      </c>
      <c r="EO129">
        <v>1.0804009999999999E-3</v>
      </c>
      <c r="EP129">
        <v>1.3317540000000001E-3</v>
      </c>
      <c r="EQ129">
        <v>1.050587E-3</v>
      </c>
      <c r="ER129">
        <v>2.7981860000000002E-4</v>
      </c>
      <c r="ES129">
        <v>3.4598350000000002E-4</v>
      </c>
      <c r="ET129">
        <v>7.447703E-3</v>
      </c>
      <c r="EU129">
        <v>2.710985E-3</v>
      </c>
      <c r="EV129">
        <v>9.3362619999999997E-3</v>
      </c>
      <c r="EW129">
        <v>2.9597320000000001E-4</v>
      </c>
      <c r="EX129">
        <v>5.1482469999999999E-3</v>
      </c>
      <c r="EY129">
        <v>6.3569519999999999E-3</v>
      </c>
      <c r="EZ129">
        <v>9.148429E-4</v>
      </c>
      <c r="FA129">
        <v>7.5083759999999995E-4</v>
      </c>
      <c r="FB129">
        <v>7.5518739999999997E-4</v>
      </c>
      <c r="FC129">
        <v>2.0340750000000002E-3</v>
      </c>
      <c r="FD129">
        <v>1.7720640000000001E-4</v>
      </c>
      <c r="FE129">
        <v>2.1113099999999999E-2</v>
      </c>
      <c r="FF129">
        <v>1.7249339999999998E-2</v>
      </c>
      <c r="FG129">
        <v>9.7557040000000005E-3</v>
      </c>
      <c r="FH129">
        <v>8.0683199999999995E-4</v>
      </c>
      <c r="FI129">
        <v>1.163543E-3</v>
      </c>
      <c r="FJ129">
        <v>1.3136200000000001E-2</v>
      </c>
      <c r="FK129">
        <v>-0.66879978636831705</v>
      </c>
      <c r="FL129">
        <v>-0.31954726422007801</v>
      </c>
      <c r="FM129">
        <v>-0.56110534538624002</v>
      </c>
      <c r="FN129">
        <v>-0.75063271688823796</v>
      </c>
      <c r="FO129">
        <v>-0.63992264484420902</v>
      </c>
      <c r="FP129">
        <v>-5.9352923081193297E-2</v>
      </c>
      <c r="FQ129">
        <v>-0.117975522397766</v>
      </c>
      <c r="FR129">
        <v>-0.51058280357910002</v>
      </c>
      <c r="FS129">
        <v>-0.63919629163750302</v>
      </c>
      <c r="FT129">
        <v>0.15295369954699201</v>
      </c>
      <c r="FU129">
        <v>0.28030364692333698</v>
      </c>
      <c r="FV129">
        <v>-0.46416529637058102</v>
      </c>
      <c r="FW129">
        <v>-0.139846021684116</v>
      </c>
      <c r="FX129">
        <v>-0.34764865361692698</v>
      </c>
      <c r="FY129">
        <v>-0.69933891041419605</v>
      </c>
      <c r="FZ129">
        <v>-0.15310120285954101</v>
      </c>
      <c r="GA129">
        <v>-2.1440937491081301E-2</v>
      </c>
      <c r="GB129">
        <v>5.4657080582452403E-2</v>
      </c>
      <c r="GC129">
        <v>-0.77826796749217197</v>
      </c>
      <c r="GD129">
        <v>3.4279829891867002E-2</v>
      </c>
      <c r="GE129">
        <v>-6.3358889767943793E-2</v>
      </c>
      <c r="GF129">
        <v>-0.331163734274251</v>
      </c>
      <c r="GG129">
        <v>-0.23084721492872801</v>
      </c>
      <c r="GH129">
        <v>-0.26926806772348799</v>
      </c>
      <c r="GI129">
        <v>8.2220562023743504E-2</v>
      </c>
      <c r="GJ129">
        <v>-0.70086482122945803</v>
      </c>
      <c r="GK129">
        <v>-9.9614005180633597E-2</v>
      </c>
      <c r="GL129">
        <v>0.143070402417178</v>
      </c>
      <c r="GM129">
        <v>0.145645219162686</v>
      </c>
      <c r="GN129">
        <v>1.7343780140966401E-2</v>
      </c>
      <c r="GO129">
        <v>-0.21034422588641499</v>
      </c>
      <c r="GP129">
        <v>0.215279323565333</v>
      </c>
      <c r="GY129" s="65"/>
      <c r="HK129" s="1"/>
      <c r="HL129" s="1"/>
      <c r="HM129" s="65"/>
      <c r="HN129" s="1"/>
      <c r="HO129" s="65"/>
      <c r="HP129" s="65"/>
      <c r="HQ129" s="65"/>
      <c r="HS129" s="65"/>
      <c r="HV129" s="65"/>
      <c r="HW129" s="65"/>
      <c r="HX129" s="65"/>
    </row>
    <row r="130" spans="1:278" ht="15.75" x14ac:dyDescent="0.25">
      <c r="A130" s="7" t="s">
        <v>183</v>
      </c>
      <c r="B130" s="7" t="s">
        <v>183</v>
      </c>
      <c r="C130" s="2" t="s">
        <v>957</v>
      </c>
      <c r="D130" s="2" t="s">
        <v>572</v>
      </c>
      <c r="E130" s="2" t="s">
        <v>572</v>
      </c>
      <c r="F130" s="2">
        <v>129</v>
      </c>
      <c r="G130" s="2" t="s">
        <v>956</v>
      </c>
      <c r="H130" s="10" t="s">
        <v>656</v>
      </c>
      <c r="I130" s="2">
        <v>150</v>
      </c>
      <c r="J130" s="2">
        <v>65</v>
      </c>
      <c r="K130" s="2">
        <v>6.9</v>
      </c>
      <c r="L130" t="s">
        <v>357</v>
      </c>
      <c r="M130" s="2" t="s">
        <v>1120</v>
      </c>
      <c r="N130" s="2" t="s">
        <v>436</v>
      </c>
      <c r="O130" s="2" t="s">
        <v>653</v>
      </c>
      <c r="P130" s="2" t="s">
        <v>1123</v>
      </c>
      <c r="Q130" s="9" t="s">
        <v>713</v>
      </c>
      <c r="R130" s="2" t="str">
        <f t="shared" si="73"/>
        <v>CW_2_Section_1</v>
      </c>
      <c r="S130" s="2" t="str">
        <f t="shared" si="74"/>
        <v>CW_2_MF01</v>
      </c>
      <c r="T130" s="11" t="s">
        <v>937</v>
      </c>
      <c r="U130" s="1">
        <v>45826</v>
      </c>
      <c r="V130" s="2" t="s">
        <v>692</v>
      </c>
      <c r="W130" s="2" t="s">
        <v>655</v>
      </c>
      <c r="X130" s="2" t="s">
        <v>936</v>
      </c>
      <c r="Y130" s="2" t="str">
        <f t="shared" si="75"/>
        <v>T5_MF01</v>
      </c>
      <c r="Z130" s="2" t="str">
        <f t="shared" si="76"/>
        <v>T5_CW_2_MF01</v>
      </c>
      <c r="AA130" s="2" t="str">
        <f t="shared" si="77"/>
        <v>T5_0.15-0.30</v>
      </c>
      <c r="AB130" s="2">
        <v>307</v>
      </c>
      <c r="AC130" s="2">
        <v>10.098000000000001</v>
      </c>
      <c r="AD130" s="2">
        <v>0.38</v>
      </c>
      <c r="AE130" s="2">
        <v>5</v>
      </c>
      <c r="AF130" t="s">
        <v>41</v>
      </c>
      <c r="AG130" s="2" t="s">
        <v>1238</v>
      </c>
      <c r="AH130">
        <v>41</v>
      </c>
      <c r="AI130" t="s">
        <v>443</v>
      </c>
      <c r="AJ130">
        <v>1.3</v>
      </c>
      <c r="AK130">
        <v>1.89</v>
      </c>
      <c r="AL130">
        <v>22.8</v>
      </c>
      <c r="AM130">
        <v>-69</v>
      </c>
      <c r="AN130">
        <v>7.28</v>
      </c>
      <c r="AO130">
        <v>522</v>
      </c>
      <c r="AP130">
        <v>0.2</v>
      </c>
      <c r="AQ130">
        <v>0.01</v>
      </c>
      <c r="AR130">
        <v>6.4</v>
      </c>
      <c r="AS130">
        <v>7</v>
      </c>
      <c r="AT130">
        <v>1</v>
      </c>
      <c r="AU130" s="32">
        <f t="shared" si="89"/>
        <v>3.8407374215849446E-4</v>
      </c>
      <c r="AV130">
        <v>0.5</v>
      </c>
      <c r="AW130" s="32">
        <f t="shared" si="90"/>
        <v>1.9535489472541785E-4</v>
      </c>
      <c r="AX130">
        <v>46</v>
      </c>
      <c r="AY130" s="32">
        <f t="shared" si="91"/>
        <v>1.819723085617406E-2</v>
      </c>
      <c r="AZ130">
        <v>12</v>
      </c>
      <c r="BA130" s="32">
        <f t="shared" si="92"/>
        <v>4.7471037016106245E-3</v>
      </c>
      <c r="BB130">
        <v>12</v>
      </c>
      <c r="BC130" s="32">
        <f t="shared" si="93"/>
        <v>4.7471037016106245E-3</v>
      </c>
      <c r="BD130">
        <v>24</v>
      </c>
      <c r="BF130" s="48">
        <v>80.5</v>
      </c>
      <c r="BG130" s="48">
        <f t="shared" si="94"/>
        <v>1.8776659493057974E-2</v>
      </c>
      <c r="BH130">
        <v>2100</v>
      </c>
      <c r="BI130" s="32">
        <f t="shared" si="95"/>
        <v>0.78645548880393235</v>
      </c>
      <c r="BJ130" s="47">
        <v>3400</v>
      </c>
      <c r="BK130" s="27">
        <f t="shared" si="96"/>
        <v>1.273308886634938</v>
      </c>
      <c r="BL130" s="47">
        <v>360</v>
      </c>
      <c r="BM130" s="27">
        <f t="shared" si="97"/>
        <v>0.13246599645180368</v>
      </c>
      <c r="BN130" s="47">
        <v>210</v>
      </c>
      <c r="BO130" s="27">
        <f t="shared" si="98"/>
        <v>7.8983204720835226E-2</v>
      </c>
      <c r="BP130" s="47">
        <v>1.2</v>
      </c>
      <c r="BQ130" s="27">
        <f t="shared" si="99"/>
        <v>4.4759956683912888E-4</v>
      </c>
      <c r="BR130" s="47">
        <v>0.08</v>
      </c>
      <c r="BS130" s="27">
        <f t="shared" si="100"/>
        <v>2.9624642316108399E-5</v>
      </c>
      <c r="BT130" s="47">
        <v>0.01</v>
      </c>
      <c r="BU130" s="27">
        <f t="shared" si="101"/>
        <v>3.7030802895135499E-6</v>
      </c>
      <c r="BV130" s="47">
        <v>0.01</v>
      </c>
      <c r="BW130" s="27">
        <f t="shared" si="102"/>
        <v>3.6588380716934487E-6</v>
      </c>
      <c r="BX130" s="47">
        <v>2E-3</v>
      </c>
      <c r="BY130" s="27">
        <f t="shared" si="103"/>
        <v>7.3176761433868969E-7</v>
      </c>
      <c r="BZ130" s="51">
        <f t="shared" si="104"/>
        <v>3971.3020000000001</v>
      </c>
      <c r="CA130" s="51">
        <f t="shared" si="105"/>
        <v>571.30200000000002</v>
      </c>
      <c r="CB130" s="27">
        <f t="shared" si="106"/>
        <v>1.4852434057027075</v>
      </c>
      <c r="CC130" s="27">
        <f t="shared" si="107"/>
        <v>0.21193451906776967</v>
      </c>
      <c r="CD130">
        <v>3300</v>
      </c>
      <c r="CE130">
        <v>930</v>
      </c>
      <c r="CF130" t="s">
        <v>19</v>
      </c>
      <c r="CG130">
        <v>4200</v>
      </c>
      <c r="CH130" s="32">
        <v>0.9</v>
      </c>
      <c r="CI130" s="32">
        <f t="shared" si="108"/>
        <v>1.611459265890779E-2</v>
      </c>
      <c r="CJ130" s="32">
        <f t="shared" si="109"/>
        <v>1.611459265890779E-2</v>
      </c>
      <c r="CK130" s="32">
        <v>0.05</v>
      </c>
      <c r="CL130" s="32">
        <f t="shared" si="110"/>
        <v>9.1024940833788468E-4</v>
      </c>
      <c r="CM130" s="32">
        <f t="shared" si="111"/>
        <v>1.8204988166757694E-3</v>
      </c>
      <c r="CN130" s="27">
        <v>41</v>
      </c>
      <c r="CO130" s="27">
        <f t="shared" si="112"/>
        <v>0.4268165729752238</v>
      </c>
      <c r="CP130" s="27">
        <f t="shared" si="113"/>
        <v>3.4145325838017904</v>
      </c>
      <c r="CQ130" s="57">
        <v>38</v>
      </c>
      <c r="CR130" s="57">
        <v>48.101265822784811</v>
      </c>
      <c r="CS130" s="57">
        <v>3.1646887362065375</v>
      </c>
      <c r="CT130" s="57">
        <f t="shared" si="114"/>
        <v>3.1646887362065375</v>
      </c>
      <c r="CU130" s="28">
        <v>38</v>
      </c>
      <c r="CV130" s="28">
        <v>48.101265822784811</v>
      </c>
      <c r="CW130" s="28">
        <v>3.1646887362065375</v>
      </c>
      <c r="CX130" s="28">
        <f t="shared" si="115"/>
        <v>3.1646887362065375</v>
      </c>
      <c r="CY130" s="32">
        <f t="shared" si="116"/>
        <v>22.08952737872163</v>
      </c>
      <c r="CZ130" s="32">
        <f t="shared" si="117"/>
        <v>22.08952737872163</v>
      </c>
      <c r="DA130" s="32">
        <f t="shared" si="118"/>
        <v>22.989527378721629</v>
      </c>
      <c r="DB130" s="32">
        <f t="shared" si="119"/>
        <v>0.41162985458767465</v>
      </c>
      <c r="DC130" s="32">
        <f t="shared" si="120"/>
        <v>0.41162985458767465</v>
      </c>
      <c r="DD130" s="59">
        <f t="shared" si="121"/>
        <v>22.08952737872163</v>
      </c>
      <c r="DE130" s="59">
        <f t="shared" si="122"/>
        <v>22.08952737872163</v>
      </c>
      <c r="DF130" s="59">
        <f t="shared" si="123"/>
        <v>22.989527378721629</v>
      </c>
      <c r="DG130" s="59">
        <f t="shared" si="124"/>
        <v>0.41162985458767465</v>
      </c>
      <c r="DH130" s="59">
        <f t="shared" si="125"/>
        <v>0.41162985458767465</v>
      </c>
      <c r="DI130" s="32">
        <f t="shared" si="126"/>
        <v>3.4145325838017904</v>
      </c>
      <c r="DJ130" s="32">
        <f t="shared" si="127"/>
        <v>23.03952737872163</v>
      </c>
      <c r="DK130" s="32">
        <f t="shared" si="128"/>
        <v>0.41345035340435043</v>
      </c>
      <c r="DL130">
        <f t="shared" si="129"/>
        <v>3.5781390896108878</v>
      </c>
      <c r="DM130">
        <f t="shared" si="134"/>
        <v>5.0878369204863504E-4</v>
      </c>
      <c r="DN130">
        <f t="shared" si="135"/>
        <v>0.11504020505598574</v>
      </c>
      <c r="DO130">
        <f t="shared" si="136"/>
        <v>0.88445101125196568</v>
      </c>
      <c r="DP130">
        <f t="shared" si="130"/>
        <v>3.5781390896108878</v>
      </c>
      <c r="DQ130">
        <f t="shared" si="137"/>
        <v>5.0878369204863504E-4</v>
      </c>
      <c r="DR130">
        <f t="shared" si="138"/>
        <v>0.11504020505598574</v>
      </c>
      <c r="DS130">
        <f t="shared" si="139"/>
        <v>0.88445101125196568</v>
      </c>
      <c r="DT130" s="63">
        <f t="shared" si="140"/>
        <v>-2.7729069413138974</v>
      </c>
      <c r="DU130" s="63">
        <f t="shared" si="141"/>
        <v>-2.7729069413138974</v>
      </c>
      <c r="DV130" s="63">
        <f t="shared" si="142"/>
        <v>-2.5609724222461279</v>
      </c>
      <c r="DW130" s="63">
        <f t="shared" si="143"/>
        <v>-2.5609724222461279</v>
      </c>
      <c r="DX130" t="str">
        <f t="shared" si="131"/>
        <v>Sufficient Capacity</v>
      </c>
      <c r="DY130" t="str">
        <f t="shared" si="132"/>
        <v>Sufficient Capacity</v>
      </c>
      <c r="DZ130" t="str">
        <f t="shared" si="133"/>
        <v>Sulfate Dominant electron acceptor</v>
      </c>
      <c r="EA130" t="str">
        <f t="shared" si="144"/>
        <v>Sulfate Dominant electron acceptor</v>
      </c>
      <c r="EB130">
        <v>8.2228730000000003E-3</v>
      </c>
      <c r="EC130">
        <v>1.481701E-3</v>
      </c>
      <c r="ED130" s="66">
        <v>1.0308510000000001E-6</v>
      </c>
      <c r="EE130">
        <v>1.016325E-3</v>
      </c>
      <c r="EF130">
        <v>8.206929E-3</v>
      </c>
      <c r="EG130" s="66">
        <v>1.863804E-5</v>
      </c>
      <c r="EH130">
        <v>4.6930529999999999E-4</v>
      </c>
      <c r="EI130">
        <v>1.305988E-4</v>
      </c>
      <c r="EJ130">
        <v>3.9585340000000002E-4</v>
      </c>
      <c r="EK130">
        <v>5.7020729999999998E-4</v>
      </c>
      <c r="EL130">
        <v>6.1959449999999996E-4</v>
      </c>
      <c r="EM130">
        <v>7.0847170000000004E-4</v>
      </c>
      <c r="EN130">
        <v>2.026978E-3</v>
      </c>
      <c r="EO130">
        <v>8.9693840000000004E-4</v>
      </c>
      <c r="EP130">
        <v>3.6997940000000002E-3</v>
      </c>
      <c r="EQ130">
        <v>1.0201419999999999E-3</v>
      </c>
      <c r="ER130">
        <v>6.672348E-4</v>
      </c>
      <c r="ES130">
        <v>9.5835120000000004E-4</v>
      </c>
      <c r="ET130">
        <v>6.6597560000000002E-3</v>
      </c>
      <c r="EU130">
        <v>2.6172230000000001E-3</v>
      </c>
      <c r="EV130">
        <v>8.5140440000000001E-3</v>
      </c>
      <c r="EW130">
        <v>9.1047410000000002E-4</v>
      </c>
      <c r="EX130">
        <v>4.761014E-3</v>
      </c>
      <c r="EY130">
        <v>6.4317280000000003E-3</v>
      </c>
      <c r="EZ130">
        <v>2.4428309999999999E-3</v>
      </c>
      <c r="FA130">
        <v>1.4150199999999999E-3</v>
      </c>
      <c r="FB130">
        <v>1.516243E-3</v>
      </c>
      <c r="FC130">
        <v>2.153828E-3</v>
      </c>
      <c r="FD130">
        <v>5.2134999999999996E-4</v>
      </c>
      <c r="FE130">
        <v>2.6045260000000001E-2</v>
      </c>
      <c r="FF130">
        <v>1.2962390000000001E-2</v>
      </c>
      <c r="FG130">
        <v>8.1372040000000003E-3</v>
      </c>
      <c r="FH130">
        <v>7.4488750000000002E-4</v>
      </c>
      <c r="FI130">
        <v>1.8370649999999999E-3</v>
      </c>
      <c r="FJ130">
        <v>9.0538040000000004E-3</v>
      </c>
      <c r="FK130">
        <v>0.57355114060992696</v>
      </c>
      <c r="FL130">
        <v>0.57883367737727098</v>
      </c>
      <c r="FM130">
        <v>0.43342202081335202</v>
      </c>
      <c r="FN130">
        <v>0.457681361000501</v>
      </c>
      <c r="FO130">
        <v>0.497949053334106</v>
      </c>
      <c r="FP130">
        <v>-0.110943063617952</v>
      </c>
      <c r="FQ130">
        <v>-0.232292119492231</v>
      </c>
      <c r="FR130">
        <v>0.30739435750433902</v>
      </c>
      <c r="FS130">
        <v>1.0134901010828401</v>
      </c>
      <c r="FT130">
        <v>-3.22524915366085E-3</v>
      </c>
      <c r="FU130">
        <v>9.4203285767231498E-2</v>
      </c>
      <c r="FV130">
        <v>0.55761497567677798</v>
      </c>
      <c r="FW130">
        <v>-0.16925324397084199</v>
      </c>
      <c r="FX130">
        <v>0.52135181826452603</v>
      </c>
      <c r="FY130">
        <v>0.31948431139426903</v>
      </c>
      <c r="FZ130">
        <v>-0.26492401831779</v>
      </c>
      <c r="GA130">
        <v>-5.6639142986092801E-2</v>
      </c>
      <c r="GB130">
        <v>-3.75318420672235E-2</v>
      </c>
      <c r="GC130">
        <v>0.34542857567757901</v>
      </c>
      <c r="GD130">
        <v>-4.3915767722235301E-2</v>
      </c>
      <c r="GE130">
        <v>-5.1664664536966498E-2</v>
      </c>
      <c r="GF130">
        <v>0.65099680080418598</v>
      </c>
      <c r="GG130">
        <v>0.40286234595118697</v>
      </c>
      <c r="GH130">
        <v>0.42775684550111598</v>
      </c>
      <c r="GI130">
        <v>0.13942611602755001</v>
      </c>
      <c r="GJ130">
        <v>0.37824162510589099</v>
      </c>
      <c r="GK130">
        <v>0.110328087775856</v>
      </c>
      <c r="GL130">
        <v>-0.14265139195637699</v>
      </c>
      <c r="GM130">
        <v>-3.5760288362187302E-2</v>
      </c>
      <c r="GN130">
        <v>-6.2538487752692398E-2</v>
      </c>
      <c r="GO130">
        <v>0.24635530296522901</v>
      </c>
      <c r="GP130">
        <v>-0.15690745347478099</v>
      </c>
      <c r="GR130" s="66"/>
      <c r="GT130" s="66"/>
      <c r="GV130" s="66"/>
      <c r="GW130" s="65"/>
      <c r="GX130" s="65"/>
      <c r="GY130" s="65"/>
      <c r="HK130" s="1"/>
      <c r="HL130" s="1"/>
      <c r="HM130" s="65"/>
      <c r="HN130" s="1"/>
      <c r="HO130" s="65"/>
      <c r="HP130" s="65"/>
      <c r="HQ130" s="65"/>
      <c r="HS130" s="65"/>
      <c r="HT130" s="65"/>
      <c r="HU130" s="65"/>
      <c r="HV130" s="65"/>
      <c r="HW130" s="65"/>
      <c r="HX130" s="65"/>
      <c r="IH130" s="66"/>
      <c r="IJ130" s="66"/>
      <c r="IL130" s="66"/>
      <c r="IN130" s="66"/>
      <c r="IP130" s="66"/>
      <c r="IR130" s="66"/>
      <c r="IZ130" s="66"/>
      <c r="JB130" s="66"/>
      <c r="JD130" s="66"/>
      <c r="JF130" s="66"/>
      <c r="JH130" s="66"/>
      <c r="JJ130" s="66"/>
      <c r="JL130" s="66"/>
      <c r="JN130" s="66"/>
      <c r="JP130" s="66"/>
      <c r="JR130" s="66"/>
    </row>
    <row r="131" spans="1:278" ht="15.75" x14ac:dyDescent="0.25">
      <c r="A131" s="7" t="s">
        <v>184</v>
      </c>
      <c r="B131" s="7" t="s">
        <v>184</v>
      </c>
      <c r="C131" s="2" t="s">
        <v>959</v>
      </c>
      <c r="D131" s="2" t="s">
        <v>573</v>
      </c>
      <c r="E131" s="2" t="s">
        <v>573</v>
      </c>
      <c r="F131" s="2">
        <v>130</v>
      </c>
      <c r="G131" s="2" t="s">
        <v>958</v>
      </c>
      <c r="H131" s="10" t="s">
        <v>656</v>
      </c>
      <c r="I131" s="2">
        <v>150</v>
      </c>
      <c r="J131" s="2">
        <v>65</v>
      </c>
      <c r="K131" s="2">
        <v>10.6</v>
      </c>
      <c r="L131" t="s">
        <v>358</v>
      </c>
      <c r="M131" s="2" t="s">
        <v>1120</v>
      </c>
      <c r="N131" s="2" t="s">
        <v>436</v>
      </c>
      <c r="O131" s="2" t="s">
        <v>653</v>
      </c>
      <c r="P131" s="2" t="s">
        <v>1124</v>
      </c>
      <c r="Q131" s="9" t="s">
        <v>716</v>
      </c>
      <c r="R131" s="2" t="str">
        <f t="shared" ref="R131:R194" si="145">$N131&amp;"_"&amp;$O131</f>
        <v>CW_2_Section_1</v>
      </c>
      <c r="S131" s="2" t="str">
        <f t="shared" ref="S131:S194" si="146">$N131&amp;"_"&amp;$P131</f>
        <v>CW_2_MF02</v>
      </c>
      <c r="T131" s="11" t="s">
        <v>937</v>
      </c>
      <c r="U131" s="1">
        <v>45826</v>
      </c>
      <c r="V131" s="2" t="s">
        <v>692</v>
      </c>
      <c r="W131" s="2" t="s">
        <v>663</v>
      </c>
      <c r="X131" s="2" t="s">
        <v>936</v>
      </c>
      <c r="Y131" s="2" t="str">
        <f t="shared" ref="Y131:Y194" si="147">$X131&amp;"_"&amp;$P131</f>
        <v>T5_MF02</v>
      </c>
      <c r="Z131" s="2" t="str">
        <f t="shared" ref="Z131:Z194" si="148">$X131&amp;"_"&amp;$N131&amp;"_"&amp;$P131</f>
        <v>T5_CW_2_MF02</v>
      </c>
      <c r="AA131" s="2" t="str">
        <f t="shared" ref="AA131:AA194" si="149">$X131&amp;"_"&amp;$W131</f>
        <v>T5_0.60-0.80</v>
      </c>
      <c r="AB131" s="2">
        <v>307</v>
      </c>
      <c r="AC131" s="2">
        <v>10.098000000000001</v>
      </c>
      <c r="AD131" s="2">
        <v>0.38</v>
      </c>
      <c r="AE131" s="2">
        <v>5</v>
      </c>
      <c r="AF131" t="s">
        <v>43</v>
      </c>
      <c r="AG131" s="2" t="s">
        <v>1238</v>
      </c>
      <c r="AH131">
        <v>43</v>
      </c>
      <c r="AI131" t="s">
        <v>443</v>
      </c>
      <c r="AJ131">
        <v>0.34</v>
      </c>
      <c r="AK131">
        <v>0.98</v>
      </c>
      <c r="AL131">
        <v>23.8</v>
      </c>
      <c r="AM131">
        <v>-59</v>
      </c>
      <c r="AN131">
        <v>7.14</v>
      </c>
      <c r="AO131">
        <v>811</v>
      </c>
      <c r="AP131">
        <v>0.2</v>
      </c>
      <c r="AQ131">
        <v>0.01</v>
      </c>
      <c r="AR131">
        <v>3.9</v>
      </c>
      <c r="AS131">
        <v>4.7</v>
      </c>
      <c r="AT131">
        <v>3.7</v>
      </c>
      <c r="AU131" s="32">
        <f t="shared" si="89"/>
        <v>1.4210728459864296E-3</v>
      </c>
      <c r="AV131">
        <v>0.41</v>
      </c>
      <c r="AW131" s="32">
        <f t="shared" si="90"/>
        <v>1.6019101367484263E-4</v>
      </c>
      <c r="AX131">
        <v>10</v>
      </c>
      <c r="AY131" s="32">
        <f t="shared" si="91"/>
        <v>3.9559197513421868E-3</v>
      </c>
      <c r="AZ131">
        <v>5.8</v>
      </c>
      <c r="BA131" s="32">
        <f t="shared" si="92"/>
        <v>2.2944334557784686E-3</v>
      </c>
      <c r="BB131">
        <v>5.2</v>
      </c>
      <c r="BC131" s="32">
        <f t="shared" si="93"/>
        <v>2.0570782706979375E-3</v>
      </c>
      <c r="BD131">
        <v>11</v>
      </c>
      <c r="BF131" s="48">
        <v>25.11</v>
      </c>
      <c r="BG131" s="48">
        <f t="shared" si="94"/>
        <v>5.537183611003459E-3</v>
      </c>
      <c r="BH131">
        <v>39</v>
      </c>
      <c r="BI131" s="32">
        <f t="shared" si="95"/>
        <v>1.4605601934930171E-2</v>
      </c>
      <c r="BJ131" s="47">
        <v>0.02</v>
      </c>
      <c r="BK131" s="27">
        <f t="shared" si="96"/>
        <v>7.4900522743231651E-6</v>
      </c>
      <c r="BL131" s="47">
        <v>0.01</v>
      </c>
      <c r="BM131" s="27">
        <f t="shared" si="97"/>
        <v>3.6796110125501018E-6</v>
      </c>
      <c r="BN131" s="47">
        <v>0.01</v>
      </c>
      <c r="BO131" s="27">
        <f t="shared" si="98"/>
        <v>3.7611049867064394E-6</v>
      </c>
      <c r="BP131" s="47">
        <v>5.0000000000000001E-3</v>
      </c>
      <c r="BQ131" s="27">
        <f t="shared" si="99"/>
        <v>1.8649981951630372E-6</v>
      </c>
      <c r="BR131" s="47">
        <v>1E-3</v>
      </c>
      <c r="BS131" s="27">
        <f t="shared" si="100"/>
        <v>3.7030802895135499E-7</v>
      </c>
      <c r="BT131" s="47">
        <v>1E-3</v>
      </c>
      <c r="BU131" s="27">
        <f t="shared" si="101"/>
        <v>3.7030802895135499E-7</v>
      </c>
      <c r="BV131" s="47">
        <v>0.01</v>
      </c>
      <c r="BW131" s="27">
        <f t="shared" si="102"/>
        <v>3.6588380716934487E-6</v>
      </c>
      <c r="BX131" s="47">
        <v>2E-3</v>
      </c>
      <c r="BY131" s="27">
        <f t="shared" si="103"/>
        <v>7.3176761433868969E-7</v>
      </c>
      <c r="BZ131" s="51">
        <f t="shared" si="104"/>
        <v>5.9000000000000004E-2</v>
      </c>
      <c r="CA131" s="51">
        <f t="shared" si="105"/>
        <v>3.9000000000000007E-2</v>
      </c>
      <c r="CB131" s="27">
        <f t="shared" si="106"/>
        <v>2.1926988212677595E-5</v>
      </c>
      <c r="CC131" s="27">
        <f t="shared" si="107"/>
        <v>1.4436935938354425E-5</v>
      </c>
      <c r="CD131">
        <v>95</v>
      </c>
      <c r="CE131">
        <v>160</v>
      </c>
      <c r="CF131" t="s">
        <v>19</v>
      </c>
      <c r="CG131">
        <v>250</v>
      </c>
      <c r="CH131" s="32">
        <v>0.3</v>
      </c>
      <c r="CI131" s="32">
        <f t="shared" si="108"/>
        <v>5.3715308863025958E-3</v>
      </c>
      <c r="CJ131" s="32">
        <f t="shared" si="109"/>
        <v>5.3715308863025958E-3</v>
      </c>
      <c r="CK131" s="32">
        <v>0.05</v>
      </c>
      <c r="CL131" s="32">
        <f t="shared" si="110"/>
        <v>9.1024940833788468E-4</v>
      </c>
      <c r="CM131" s="32">
        <f t="shared" si="111"/>
        <v>1.8204988166757694E-3</v>
      </c>
      <c r="CN131" s="27">
        <v>41</v>
      </c>
      <c r="CO131" s="27">
        <f t="shared" si="112"/>
        <v>0.4268165729752238</v>
      </c>
      <c r="CP131" s="27">
        <f t="shared" si="113"/>
        <v>3.4145325838017904</v>
      </c>
      <c r="CQ131" s="57">
        <v>38</v>
      </c>
      <c r="CR131" s="57">
        <v>48.101265822784811</v>
      </c>
      <c r="CS131" s="57">
        <v>3.1646887362065375</v>
      </c>
      <c r="CT131" s="57">
        <f t="shared" si="114"/>
        <v>3.1646887362065375</v>
      </c>
      <c r="CU131" s="28">
        <v>38</v>
      </c>
      <c r="CV131" s="28">
        <v>48.101265822784811</v>
      </c>
      <c r="CW131" s="28">
        <v>3.1646887362065375</v>
      </c>
      <c r="CX131" s="28">
        <f t="shared" si="115"/>
        <v>3.1646887362065375</v>
      </c>
      <c r="CY131" s="32">
        <f t="shared" si="116"/>
        <v>22.08952737872163</v>
      </c>
      <c r="CZ131" s="32">
        <f t="shared" si="117"/>
        <v>22.08952737872163</v>
      </c>
      <c r="DA131" s="32">
        <f t="shared" si="118"/>
        <v>22.389527378721631</v>
      </c>
      <c r="DB131" s="32">
        <f t="shared" si="119"/>
        <v>0.4008867928150695</v>
      </c>
      <c r="DC131" s="32">
        <f t="shared" si="120"/>
        <v>0.4008867928150695</v>
      </c>
      <c r="DD131" s="59">
        <f t="shared" si="121"/>
        <v>22.08952737872163</v>
      </c>
      <c r="DE131" s="59">
        <f t="shared" si="122"/>
        <v>22.08952737872163</v>
      </c>
      <c r="DF131" s="59">
        <f t="shared" si="123"/>
        <v>22.389527378721631</v>
      </c>
      <c r="DG131" s="59">
        <f t="shared" si="124"/>
        <v>0.4008867928150695</v>
      </c>
      <c r="DH131" s="59">
        <f t="shared" si="125"/>
        <v>0.4008867928150695</v>
      </c>
      <c r="DI131" s="32">
        <f t="shared" si="126"/>
        <v>3.4145325838017904</v>
      </c>
      <c r="DJ131" s="32">
        <f t="shared" si="127"/>
        <v>22.439527378721632</v>
      </c>
      <c r="DK131" s="32">
        <f t="shared" si="128"/>
        <v>0.40270729163174529</v>
      </c>
      <c r="DL131">
        <f t="shared" si="129"/>
        <v>3.5673960278382828</v>
      </c>
      <c r="DM131">
        <f t="shared" si="134"/>
        <v>5.1031587254945956E-4</v>
      </c>
      <c r="DN131">
        <f t="shared" si="135"/>
        <v>0.11237518618250883</v>
      </c>
      <c r="DO131">
        <f t="shared" si="136"/>
        <v>0.88711449794494168</v>
      </c>
      <c r="DP131">
        <f t="shared" si="130"/>
        <v>3.5673960278382828</v>
      </c>
      <c r="DQ131">
        <f t="shared" si="137"/>
        <v>5.1031587254945956E-4</v>
      </c>
      <c r="DR131">
        <f t="shared" si="138"/>
        <v>0.11237518618250883</v>
      </c>
      <c r="DS131">
        <f t="shared" si="139"/>
        <v>0.88711449794494168</v>
      </c>
      <c r="DT131" s="63">
        <f t="shared" si="140"/>
        <v>-3.5472532422923493</v>
      </c>
      <c r="DU131" s="63">
        <f t="shared" si="141"/>
        <v>-3.5472532422923493</v>
      </c>
      <c r="DV131" s="63">
        <f t="shared" si="142"/>
        <v>-3.547238805356411</v>
      </c>
      <c r="DW131" s="63">
        <f t="shared" si="143"/>
        <v>-3.547238805356411</v>
      </c>
      <c r="DX131" t="str">
        <f t="shared" si="131"/>
        <v>Sufficient Capacity</v>
      </c>
      <c r="DY131" t="str">
        <f t="shared" si="132"/>
        <v>Sufficient Capacity</v>
      </c>
      <c r="DZ131" t="str">
        <f t="shared" si="133"/>
        <v>Sulfate Dominant electron acceptor</v>
      </c>
      <c r="EA131" t="str">
        <f t="shared" si="144"/>
        <v>Sulfate Dominant electron acceptor</v>
      </c>
      <c r="EB131">
        <v>8.1472660000000002E-3</v>
      </c>
      <c r="EC131">
        <v>1.4425849999999999E-3</v>
      </c>
      <c r="ED131" s="66">
        <v>9.7085369999999998E-6</v>
      </c>
      <c r="EE131">
        <v>1.6285480000000001E-3</v>
      </c>
      <c r="EF131">
        <v>9.7377479999999992E-3</v>
      </c>
      <c r="EG131" s="66">
        <v>1.013839E-5</v>
      </c>
      <c r="EH131">
        <v>7.2698619999999995E-4</v>
      </c>
      <c r="EI131">
        <v>1.246706E-4</v>
      </c>
      <c r="EJ131">
        <v>3.8449140000000002E-4</v>
      </c>
      <c r="EK131">
        <v>4.3375649999999999E-4</v>
      </c>
      <c r="EL131">
        <v>8.6471029999999997E-4</v>
      </c>
      <c r="EM131">
        <v>1.183868E-3</v>
      </c>
      <c r="EN131">
        <v>1.9690670000000001E-3</v>
      </c>
      <c r="EO131">
        <v>9.4674910000000002E-4</v>
      </c>
      <c r="EP131">
        <v>4.8541210000000003E-3</v>
      </c>
      <c r="EQ131">
        <v>7.2834379999999995E-4</v>
      </c>
      <c r="ER131">
        <v>7.8809340000000005E-4</v>
      </c>
      <c r="ES131">
        <v>1.145975E-3</v>
      </c>
      <c r="ET131">
        <v>5.1492040000000001E-3</v>
      </c>
      <c r="EU131">
        <v>2.6452469999999999E-3</v>
      </c>
      <c r="EV131">
        <v>8.2397270000000005E-3</v>
      </c>
      <c r="EW131">
        <v>1.3063840000000001E-3</v>
      </c>
      <c r="EX131">
        <v>4.6361070000000004E-3</v>
      </c>
      <c r="EY131">
        <v>5.9641529999999998E-3</v>
      </c>
      <c r="EZ131">
        <v>2.8913179999999999E-3</v>
      </c>
      <c r="FA131">
        <v>1.872903E-3</v>
      </c>
      <c r="FB131">
        <v>2.02944E-3</v>
      </c>
      <c r="FC131">
        <v>2.542262E-3</v>
      </c>
      <c r="FD131">
        <v>5.8395780000000002E-4</v>
      </c>
      <c r="FE131">
        <v>2.7019410000000001E-2</v>
      </c>
      <c r="FF131">
        <v>9.5752679999999996E-3</v>
      </c>
      <c r="FG131">
        <v>7.0580520000000004E-3</v>
      </c>
      <c r="FH131">
        <v>8.8012979999999995E-4</v>
      </c>
      <c r="FI131">
        <v>2.2479689999999998E-3</v>
      </c>
      <c r="FJ131">
        <v>8.1434669999999997E-3</v>
      </c>
      <c r="FK131">
        <v>1.0450467809919199</v>
      </c>
      <c r="FL131">
        <v>0.74986475934054497</v>
      </c>
      <c r="FM131">
        <v>-0.17545342426452901</v>
      </c>
      <c r="FN131">
        <v>0.89533534008323601</v>
      </c>
      <c r="FO131">
        <v>0.45149408394624302</v>
      </c>
      <c r="FP131">
        <v>-0.14006558232499999</v>
      </c>
      <c r="FQ131">
        <v>-0.50580878167471699</v>
      </c>
      <c r="FR131">
        <v>0.640723663236765</v>
      </c>
      <c r="FS131">
        <v>1.52692230903495</v>
      </c>
      <c r="FT131">
        <v>-3.2211436583420301E-2</v>
      </c>
      <c r="FU131">
        <v>0.14825021558309601</v>
      </c>
      <c r="FV131">
        <v>0.82916586814045801</v>
      </c>
      <c r="FW131">
        <v>-0.50617716677812397</v>
      </c>
      <c r="FX131">
        <v>0.68782642105958502</v>
      </c>
      <c r="FY131">
        <v>0.49828108555446299</v>
      </c>
      <c r="FZ131">
        <v>-0.52216472593957197</v>
      </c>
      <c r="GA131">
        <v>-4.5988530285471001E-2</v>
      </c>
      <c r="GB131">
        <v>-7.02816651139129E-2</v>
      </c>
      <c r="GC131">
        <v>0.70648141700717704</v>
      </c>
      <c r="GD131">
        <v>-7.0501433036251407E-2</v>
      </c>
      <c r="GE131">
        <v>-0.127140856465255</v>
      </c>
      <c r="GF131">
        <v>0.81955164168855799</v>
      </c>
      <c r="GG131">
        <v>0.68320831422665196</v>
      </c>
      <c r="GH131">
        <v>0.71928117381636703</v>
      </c>
      <c r="GI131">
        <v>0.30523362782694502</v>
      </c>
      <c r="GJ131">
        <v>0.49164874381364398</v>
      </c>
      <c r="GK131">
        <v>0.14704779052269101</v>
      </c>
      <c r="GL131">
        <v>-0.44551995522751398</v>
      </c>
      <c r="GM131">
        <v>-0.17803782767515799</v>
      </c>
      <c r="GN131">
        <v>0.10429770857701599</v>
      </c>
      <c r="GO131">
        <v>0.44821325548110602</v>
      </c>
      <c r="GP131">
        <v>-0.26287644365218599</v>
      </c>
      <c r="GR131" s="66"/>
      <c r="GT131" s="66"/>
      <c r="GV131" s="66"/>
      <c r="GY131" s="66"/>
      <c r="GZ131" s="66"/>
      <c r="HK131" s="1"/>
      <c r="HL131" s="1"/>
      <c r="HM131" s="65"/>
      <c r="HN131" s="1"/>
      <c r="HO131" s="65"/>
      <c r="HP131" s="65"/>
      <c r="HQ131" s="65"/>
      <c r="HS131" s="65"/>
      <c r="HT131" s="65"/>
      <c r="HU131" s="65"/>
      <c r="HV131" s="65"/>
      <c r="HW131" s="65"/>
      <c r="HX131" s="65"/>
    </row>
    <row r="132" spans="1:278" ht="15.75" x14ac:dyDescent="0.25">
      <c r="A132" s="7" t="s">
        <v>185</v>
      </c>
      <c r="B132" s="7" t="s">
        <v>185</v>
      </c>
      <c r="C132" s="2" t="s">
        <v>961</v>
      </c>
      <c r="D132" s="2" t="s">
        <v>574</v>
      </c>
      <c r="E132" s="2" t="s">
        <v>574</v>
      </c>
      <c r="F132" s="2">
        <v>131</v>
      </c>
      <c r="G132" s="2" t="s">
        <v>960</v>
      </c>
      <c r="H132" s="10" t="s">
        <v>656</v>
      </c>
      <c r="I132" s="2">
        <v>150</v>
      </c>
      <c r="J132" s="2">
        <v>65</v>
      </c>
      <c r="K132" s="2">
        <v>18.850000000000001</v>
      </c>
      <c r="L132" t="s">
        <v>359</v>
      </c>
      <c r="M132" s="2" t="s">
        <v>1120</v>
      </c>
      <c r="N132" s="2" t="s">
        <v>436</v>
      </c>
      <c r="O132" s="2" t="s">
        <v>666</v>
      </c>
      <c r="P132" s="2" t="s">
        <v>1131</v>
      </c>
      <c r="Q132" s="9" t="s">
        <v>719</v>
      </c>
      <c r="R132" s="2" t="str">
        <f t="shared" si="145"/>
        <v>CW_2_Section_2</v>
      </c>
      <c r="S132" s="2" t="str">
        <f t="shared" si="146"/>
        <v>CW_2_MF05</v>
      </c>
      <c r="T132" s="11" t="s">
        <v>937</v>
      </c>
      <c r="U132" s="1">
        <v>45826</v>
      </c>
      <c r="V132" s="2" t="s">
        <v>692</v>
      </c>
      <c r="W132" s="2" t="s">
        <v>655</v>
      </c>
      <c r="X132" s="2" t="s">
        <v>936</v>
      </c>
      <c r="Y132" s="2" t="str">
        <f t="shared" si="147"/>
        <v>T5_MF05</v>
      </c>
      <c r="Z132" s="2" t="str">
        <f t="shared" si="148"/>
        <v>T5_CW_2_MF05</v>
      </c>
      <c r="AA132" s="2" t="str">
        <f t="shared" si="149"/>
        <v>T5_0.15-0.30</v>
      </c>
      <c r="AB132" s="2">
        <v>307</v>
      </c>
      <c r="AC132" s="2">
        <v>10.098000000000001</v>
      </c>
      <c r="AD132" s="2">
        <v>0.38</v>
      </c>
      <c r="AE132" s="2">
        <v>5</v>
      </c>
      <c r="AF132" t="s">
        <v>35</v>
      </c>
      <c r="AG132" s="2" t="s">
        <v>1238</v>
      </c>
      <c r="AH132">
        <v>45</v>
      </c>
      <c r="AI132" t="s">
        <v>443</v>
      </c>
      <c r="AJ132">
        <v>1.6</v>
      </c>
      <c r="AK132">
        <v>3.88</v>
      </c>
      <c r="AL132">
        <v>23.8</v>
      </c>
      <c r="AM132">
        <v>-78</v>
      </c>
      <c r="AN132">
        <v>7.15</v>
      </c>
      <c r="AO132">
        <v>625</v>
      </c>
      <c r="AP132">
        <v>0.1</v>
      </c>
      <c r="AQ132">
        <v>0.01</v>
      </c>
      <c r="AR132">
        <v>15</v>
      </c>
      <c r="AS132">
        <v>16</v>
      </c>
      <c r="AT132">
        <v>3.2</v>
      </c>
      <c r="AU132" s="32">
        <f t="shared" si="89"/>
        <v>1.2290359749071824E-3</v>
      </c>
      <c r="AV132">
        <v>0.02</v>
      </c>
      <c r="AW132" s="32">
        <f t="shared" si="90"/>
        <v>7.8141957890167132E-6</v>
      </c>
      <c r="AX132">
        <v>1.1000000000000001</v>
      </c>
      <c r="AY132" s="32">
        <f t="shared" si="91"/>
        <v>4.3515117264764059E-4</v>
      </c>
      <c r="AZ132">
        <v>2</v>
      </c>
      <c r="BA132" s="32">
        <f t="shared" si="92"/>
        <v>7.9118395026843739E-4</v>
      </c>
      <c r="BB132">
        <v>1.3</v>
      </c>
      <c r="BC132" s="32">
        <f t="shared" si="93"/>
        <v>5.1426956767448438E-4</v>
      </c>
      <c r="BD132">
        <v>3.3</v>
      </c>
      <c r="BF132" s="48">
        <v>7.74</v>
      </c>
      <c r="BG132" s="48">
        <f t="shared" si="94"/>
        <v>1.6720013433438397E-3</v>
      </c>
      <c r="BH132">
        <v>6.6</v>
      </c>
      <c r="BI132" s="32">
        <f t="shared" si="95"/>
        <v>2.4717172505266441E-3</v>
      </c>
      <c r="BJ132" s="47">
        <v>0.08</v>
      </c>
      <c r="BK132" s="27">
        <f t="shared" si="96"/>
        <v>2.996020909729266E-5</v>
      </c>
      <c r="BL132" s="47">
        <v>0.01</v>
      </c>
      <c r="BM132" s="27">
        <f t="shared" si="97"/>
        <v>3.6796110125501018E-6</v>
      </c>
      <c r="BN132" s="47">
        <v>0.53</v>
      </c>
      <c r="BO132" s="27">
        <f t="shared" si="98"/>
        <v>1.9933856429544129E-4</v>
      </c>
      <c r="BP132" s="47">
        <v>0.1</v>
      </c>
      <c r="BQ132" s="27">
        <f t="shared" si="99"/>
        <v>3.729996390326074E-5</v>
      </c>
      <c r="BR132" s="47">
        <v>1E-3</v>
      </c>
      <c r="BS132" s="27">
        <f t="shared" si="100"/>
        <v>3.7030802895135499E-7</v>
      </c>
      <c r="BT132" s="47">
        <v>1E-3</v>
      </c>
      <c r="BU132" s="27">
        <f t="shared" si="101"/>
        <v>3.7030802895135499E-7</v>
      </c>
      <c r="BV132" s="47">
        <v>1E-3</v>
      </c>
      <c r="BW132" s="27">
        <f t="shared" si="102"/>
        <v>3.6588380716934485E-7</v>
      </c>
      <c r="BX132" s="47">
        <v>2E-3</v>
      </c>
      <c r="BY132" s="27">
        <f t="shared" si="103"/>
        <v>7.3176761433868969E-7</v>
      </c>
      <c r="BZ132" s="51">
        <f t="shared" si="104"/>
        <v>0.72499999999999998</v>
      </c>
      <c r="CA132" s="51">
        <f t="shared" si="105"/>
        <v>0.64500000000000002</v>
      </c>
      <c r="CB132" s="27">
        <f t="shared" si="106"/>
        <v>2.7211661578795549E-4</v>
      </c>
      <c r="CC132" s="27">
        <f t="shared" si="107"/>
        <v>2.4215640669066288E-4</v>
      </c>
      <c r="CD132">
        <v>2.5</v>
      </c>
      <c r="CE132">
        <v>2.5</v>
      </c>
      <c r="CF132" t="s">
        <v>19</v>
      </c>
      <c r="CG132">
        <v>5</v>
      </c>
      <c r="CH132" s="32">
        <v>12</v>
      </c>
      <c r="CI132" s="32">
        <f t="shared" si="108"/>
        <v>0.21486123545210384</v>
      </c>
      <c r="CJ132" s="32">
        <f t="shared" si="109"/>
        <v>0.21486123545210384</v>
      </c>
      <c r="CK132" s="32">
        <v>5.2</v>
      </c>
      <c r="CL132" s="32">
        <f t="shared" si="110"/>
        <v>9.4665938467139998E-2</v>
      </c>
      <c r="CM132" s="32">
        <f t="shared" si="111"/>
        <v>0.18933187693428</v>
      </c>
      <c r="CN132" s="27">
        <v>31</v>
      </c>
      <c r="CO132" s="27">
        <f t="shared" si="112"/>
        <v>0.3227149698105351</v>
      </c>
      <c r="CP132" s="27">
        <f t="shared" si="113"/>
        <v>2.5817197584842808</v>
      </c>
      <c r="CQ132" s="57">
        <v>48</v>
      </c>
      <c r="CR132" s="57">
        <v>60.75949367088608</v>
      </c>
      <c r="CS132" s="57">
        <v>3.9975015615240475</v>
      </c>
      <c r="CT132" s="57">
        <f t="shared" si="114"/>
        <v>3.9975015615240475</v>
      </c>
      <c r="CU132" s="28">
        <v>10</v>
      </c>
      <c r="CV132" s="28">
        <v>24.390243902439025</v>
      </c>
      <c r="CW132" s="28">
        <v>0.83281282531750989</v>
      </c>
      <c r="CX132" s="28">
        <f t="shared" si="115"/>
        <v>0.83281282531750989</v>
      </c>
      <c r="CY132" s="32">
        <f t="shared" si="116"/>
        <v>27.902560899437852</v>
      </c>
      <c r="CZ132" s="32">
        <f t="shared" si="117"/>
        <v>27.902560899437852</v>
      </c>
      <c r="DA132" s="32">
        <f t="shared" si="118"/>
        <v>39.902560899437852</v>
      </c>
      <c r="DB132" s="32">
        <f t="shared" si="119"/>
        <v>0.71445946104633573</v>
      </c>
      <c r="DC132" s="32">
        <f t="shared" si="120"/>
        <v>0.71445946104633573</v>
      </c>
      <c r="DD132" s="59">
        <f t="shared" si="121"/>
        <v>5.8130335207162185</v>
      </c>
      <c r="DE132" s="59">
        <f t="shared" si="122"/>
        <v>5.8130335207162185</v>
      </c>
      <c r="DF132" s="59">
        <f t="shared" si="123"/>
        <v>17.813033520716218</v>
      </c>
      <c r="DG132" s="59">
        <f t="shared" si="124"/>
        <v>0.31894419911756877</v>
      </c>
      <c r="DH132" s="59">
        <f t="shared" si="125"/>
        <v>0.31894419911756877</v>
      </c>
      <c r="DI132" s="32">
        <f t="shared" si="126"/>
        <v>2.5817197584842808</v>
      </c>
      <c r="DJ132" s="32">
        <f t="shared" si="127"/>
        <v>23.013033520716217</v>
      </c>
      <c r="DK132" s="32">
        <f t="shared" si="128"/>
        <v>0.50827607605184877</v>
      </c>
      <c r="DL132">
        <f t="shared" si="129"/>
        <v>4.9012928995046634</v>
      </c>
      <c r="DM132">
        <f t="shared" si="134"/>
        <v>3.8628966033312215E-2</v>
      </c>
      <c r="DN132">
        <f t="shared" si="135"/>
        <v>0.14576959094171676</v>
      </c>
      <c r="DO132">
        <f t="shared" si="136"/>
        <v>0.81560144302497095</v>
      </c>
      <c r="DP132">
        <f t="shared" si="130"/>
        <v>1.3410889013693588</v>
      </c>
      <c r="DQ132">
        <f t="shared" si="137"/>
        <v>0.14117772262596243</v>
      </c>
      <c r="DR132">
        <f t="shared" si="138"/>
        <v>0.23782479952813068</v>
      </c>
      <c r="DS132">
        <f t="shared" si="139"/>
        <v>0.62099747784590686</v>
      </c>
      <c r="DT132" s="63">
        <f t="shared" si="140"/>
        <v>-4.8971491809107928</v>
      </c>
      <c r="DU132" s="63">
        <f t="shared" si="141"/>
        <v>-1.3369451827754883</v>
      </c>
      <c r="DV132" s="63">
        <f t="shared" si="142"/>
        <v>-4.8969070245041024</v>
      </c>
      <c r="DW132" s="63">
        <f t="shared" si="143"/>
        <v>-1.3367030263687976</v>
      </c>
      <c r="DX132" t="str">
        <f t="shared" si="131"/>
        <v>Sufficient Capacity</v>
      </c>
      <c r="DY132" t="str">
        <f t="shared" si="132"/>
        <v>Sufficient Capacity</v>
      </c>
      <c r="DZ132" t="str">
        <f t="shared" si="133"/>
        <v>Sulfate Dominant electron acceptor</v>
      </c>
      <c r="EA132" t="str">
        <f t="shared" si="144"/>
        <v>Sulfate Dominant electron acceptor</v>
      </c>
      <c r="EB132">
        <v>8.9168870000000001E-3</v>
      </c>
      <c r="EC132">
        <v>1.584802E-3</v>
      </c>
      <c r="ED132" s="66">
        <v>6.5465680000000005E-7</v>
      </c>
      <c r="EE132">
        <v>5.3839709999999995E-4</v>
      </c>
      <c r="EF132">
        <v>7.4677249999999997E-3</v>
      </c>
      <c r="EG132" s="66">
        <v>3.0556649999999999E-6</v>
      </c>
      <c r="EH132">
        <v>2.9233319999999999E-4</v>
      </c>
      <c r="EI132">
        <v>1.06393E-4</v>
      </c>
      <c r="EJ132">
        <v>2.0822470000000001E-4</v>
      </c>
      <c r="EK132">
        <v>4.9437920000000005E-4</v>
      </c>
      <c r="EL132">
        <v>4.010358E-4</v>
      </c>
      <c r="EM132">
        <v>4.4573600000000002E-4</v>
      </c>
      <c r="EN132">
        <v>1.6433089999999999E-3</v>
      </c>
      <c r="EO132">
        <v>4.8744599999999999E-4</v>
      </c>
      <c r="EP132">
        <v>3.5187299999999999E-3</v>
      </c>
      <c r="EQ132">
        <v>1.622212E-3</v>
      </c>
      <c r="ER132">
        <v>4.4552719999999999E-4</v>
      </c>
      <c r="ES132">
        <v>7.0457549999999999E-4</v>
      </c>
      <c r="ET132">
        <v>7.6804710000000003E-3</v>
      </c>
      <c r="EU132">
        <v>2.7917369999999999E-3</v>
      </c>
      <c r="EV132">
        <v>8.5503569999999997E-3</v>
      </c>
      <c r="EW132">
        <v>6.1931300000000002E-4</v>
      </c>
      <c r="EX132">
        <v>5.5689789999999999E-3</v>
      </c>
      <c r="EY132">
        <v>7.6150219999999999E-3</v>
      </c>
      <c r="EZ132">
        <v>2.0089589999999998E-3</v>
      </c>
      <c r="FA132">
        <v>1.0245370000000001E-3</v>
      </c>
      <c r="FB132">
        <v>1.064302E-3</v>
      </c>
      <c r="FC132">
        <v>1.680321E-3</v>
      </c>
      <c r="FD132">
        <v>3.3915410000000002E-4</v>
      </c>
      <c r="FE132">
        <v>2.529669E-2</v>
      </c>
      <c r="FF132">
        <v>1.9628489999999998E-2</v>
      </c>
      <c r="FG132">
        <v>1.1317539999999999E-2</v>
      </c>
      <c r="FH132">
        <v>5.8299960000000005E-4</v>
      </c>
      <c r="FI132">
        <v>1.68498E-3</v>
      </c>
      <c r="FJ132">
        <v>1.0021759999999999E-2</v>
      </c>
      <c r="FK132">
        <v>-6.1800926280815502E-2</v>
      </c>
      <c r="FL132">
        <v>0.48444528113856999</v>
      </c>
      <c r="FM132">
        <v>-1.37478538782416</v>
      </c>
      <c r="FN132">
        <v>-1.56779075481994E-2</v>
      </c>
      <c r="FO132">
        <v>0.292958810165035</v>
      </c>
      <c r="FP132">
        <v>-0.75336921923936995</v>
      </c>
      <c r="FQ132">
        <v>-0.37498926435322799</v>
      </c>
      <c r="FR132">
        <v>-0.12762017417472199</v>
      </c>
      <c r="FS132">
        <v>0.55010683480281397</v>
      </c>
      <c r="FT132">
        <v>-0.21305937111195</v>
      </c>
      <c r="FU132">
        <v>-0.51560438550604404</v>
      </c>
      <c r="FV132">
        <v>0.50743796230534299</v>
      </c>
      <c r="FW132">
        <v>0.29459557272466302</v>
      </c>
      <c r="FX132">
        <v>0.11746811034827399</v>
      </c>
      <c r="FY132">
        <v>1.1865497327487901E-2</v>
      </c>
      <c r="FZ132">
        <v>-0.122325992158224</v>
      </c>
      <c r="GA132">
        <v>7.9110077768529408E-3</v>
      </c>
      <c r="GB132">
        <v>-3.3275840955543097E-2</v>
      </c>
      <c r="GC132">
        <v>-3.9926078011001599E-2</v>
      </c>
      <c r="GD132">
        <v>0.112835295236938</v>
      </c>
      <c r="GE132">
        <v>0.11721496841552</v>
      </c>
      <c r="GF132">
        <v>0.45545586562381801</v>
      </c>
      <c r="GG132">
        <v>7.9959483903071102E-2</v>
      </c>
      <c r="GH132">
        <v>7.3840466121079196E-2</v>
      </c>
      <c r="GI132">
        <v>-0.10883576148724999</v>
      </c>
      <c r="GJ132">
        <v>-5.17253997645497E-2</v>
      </c>
      <c r="GK132">
        <v>8.1165851041269804E-2</v>
      </c>
      <c r="GL132">
        <v>0.27227860279405602</v>
      </c>
      <c r="GM132">
        <v>0.294146814243882</v>
      </c>
      <c r="GN132">
        <v>-0.30758518777427002</v>
      </c>
      <c r="GO132">
        <v>0.15993980787801401</v>
      </c>
      <c r="GP132">
        <v>-5.5333725428907202E-2</v>
      </c>
      <c r="GR132" s="66"/>
      <c r="GT132" s="66"/>
      <c r="GV132" s="66"/>
      <c r="HK132" s="1"/>
      <c r="HL132" s="1"/>
      <c r="HM132" s="65"/>
      <c r="HN132" s="1"/>
      <c r="HO132" s="65"/>
      <c r="HP132" s="65"/>
      <c r="HQ132" s="65"/>
      <c r="HS132" s="65"/>
      <c r="HV132" s="65"/>
      <c r="HW132" s="65"/>
      <c r="HX132" s="65"/>
      <c r="IJ132" s="66"/>
      <c r="IL132" s="66"/>
      <c r="JD132" s="66"/>
      <c r="JF132" s="66"/>
      <c r="JH132" s="66"/>
      <c r="JJ132" s="66"/>
      <c r="JL132" s="66"/>
      <c r="JN132" s="66"/>
    </row>
    <row r="133" spans="1:278" ht="15.75" x14ac:dyDescent="0.25">
      <c r="A133" s="7" t="s">
        <v>186</v>
      </c>
      <c r="B133" s="7" t="s">
        <v>186</v>
      </c>
      <c r="C133" s="2" t="s">
        <v>963</v>
      </c>
      <c r="D133" s="2" t="s">
        <v>575</v>
      </c>
      <c r="E133" s="2" t="s">
        <v>575</v>
      </c>
      <c r="F133" s="2">
        <v>132</v>
      </c>
      <c r="G133" s="2" t="s">
        <v>962</v>
      </c>
      <c r="H133" s="10" t="s">
        <v>656</v>
      </c>
      <c r="I133" s="2">
        <v>150</v>
      </c>
      <c r="J133" s="2">
        <v>65</v>
      </c>
      <c r="K133" s="2">
        <v>2.4</v>
      </c>
      <c r="L133" t="s">
        <v>360</v>
      </c>
      <c r="M133" s="2" t="s">
        <v>1120</v>
      </c>
      <c r="N133" s="2" t="s">
        <v>436</v>
      </c>
      <c r="O133" s="2" t="s">
        <v>666</v>
      </c>
      <c r="P133" s="2" t="s">
        <v>1132</v>
      </c>
      <c r="Q133" s="9" t="s">
        <v>722</v>
      </c>
      <c r="R133" s="2" t="str">
        <f t="shared" si="145"/>
        <v>CW_2_Section_2</v>
      </c>
      <c r="S133" s="2" t="str">
        <f t="shared" si="146"/>
        <v>CW_2_MF06</v>
      </c>
      <c r="T133" s="11" t="s">
        <v>937</v>
      </c>
      <c r="U133" s="1">
        <v>45826</v>
      </c>
      <c r="V133" s="2" t="s">
        <v>692</v>
      </c>
      <c r="W133" s="2" t="s">
        <v>663</v>
      </c>
      <c r="X133" s="2" t="s">
        <v>936</v>
      </c>
      <c r="Y133" s="2" t="str">
        <f t="shared" si="147"/>
        <v>T5_MF06</v>
      </c>
      <c r="Z133" s="2" t="str">
        <f t="shared" si="148"/>
        <v>T5_CW_2_MF06</v>
      </c>
      <c r="AA133" s="2" t="str">
        <f t="shared" si="149"/>
        <v>T5_0.60-0.80</v>
      </c>
      <c r="AB133" s="2">
        <v>307</v>
      </c>
      <c r="AC133" s="2">
        <v>10.098000000000001</v>
      </c>
      <c r="AD133" s="2">
        <v>0.38</v>
      </c>
      <c r="AE133" s="2">
        <v>5</v>
      </c>
      <c r="AF133" t="s">
        <v>37</v>
      </c>
      <c r="AG133" s="2" t="s">
        <v>1238</v>
      </c>
      <c r="AH133">
        <v>45</v>
      </c>
      <c r="AI133" t="s">
        <v>443</v>
      </c>
      <c r="AJ133">
        <v>0.53</v>
      </c>
      <c r="AK133">
        <v>0.98</v>
      </c>
      <c r="AL133">
        <v>22</v>
      </c>
      <c r="AM133">
        <v>-66</v>
      </c>
      <c r="AN133">
        <v>7.13</v>
      </c>
      <c r="AO133">
        <v>659</v>
      </c>
      <c r="AP133">
        <v>0.2</v>
      </c>
      <c r="AQ133">
        <v>0.01</v>
      </c>
      <c r="AR133">
        <v>6.1</v>
      </c>
      <c r="AS133">
        <v>7.2</v>
      </c>
      <c r="AT133">
        <v>83</v>
      </c>
      <c r="AU133" s="32">
        <f t="shared" si="89"/>
        <v>3.1878120599155034E-2</v>
      </c>
      <c r="AV133">
        <v>0.5</v>
      </c>
      <c r="AW133" s="32">
        <f t="shared" si="90"/>
        <v>1.9535489472541785E-4</v>
      </c>
      <c r="AX133">
        <v>100</v>
      </c>
      <c r="AY133" s="32">
        <f t="shared" si="91"/>
        <v>3.9559197513421872E-2</v>
      </c>
      <c r="AZ133">
        <v>26</v>
      </c>
      <c r="BA133" s="32">
        <f t="shared" si="92"/>
        <v>1.0285391353489687E-2</v>
      </c>
      <c r="BB133">
        <v>19</v>
      </c>
      <c r="BC133" s="32">
        <f t="shared" si="93"/>
        <v>7.5162475275501557E-3</v>
      </c>
      <c r="BD133">
        <v>45</v>
      </c>
      <c r="BF133" s="48">
        <v>231.5</v>
      </c>
      <c r="BG133" s="48">
        <f t="shared" si="94"/>
        <v>7.1632673007302333E-2</v>
      </c>
      <c r="BH133">
        <v>680</v>
      </c>
      <c r="BI133" s="32">
        <f t="shared" si="95"/>
        <v>0.25466177732698758</v>
      </c>
      <c r="BJ133" s="47">
        <v>1900</v>
      </c>
      <c r="BK133" s="27">
        <f t="shared" si="96"/>
        <v>0.71155496606070068</v>
      </c>
      <c r="BL133" s="47">
        <v>230</v>
      </c>
      <c r="BM133" s="27">
        <f t="shared" si="97"/>
        <v>8.4631053288652336E-2</v>
      </c>
      <c r="BN133" s="47">
        <v>270</v>
      </c>
      <c r="BO133" s="27">
        <f t="shared" si="98"/>
        <v>0.10154983464107385</v>
      </c>
      <c r="BP133" s="47">
        <v>100</v>
      </c>
      <c r="BQ133" s="27">
        <f t="shared" si="99"/>
        <v>3.7299963903260742E-2</v>
      </c>
      <c r="BR133" s="47">
        <v>31</v>
      </c>
      <c r="BS133" s="27">
        <f t="shared" si="100"/>
        <v>1.1479548897492003E-2</v>
      </c>
      <c r="BT133" s="47">
        <v>1.2</v>
      </c>
      <c r="BU133" s="27">
        <f t="shared" si="101"/>
        <v>4.4436963474162597E-4</v>
      </c>
      <c r="BV133" s="47">
        <v>0.13</v>
      </c>
      <c r="BW133" s="27">
        <f t="shared" si="102"/>
        <v>4.7564894932014834E-5</v>
      </c>
      <c r="BX133" s="47">
        <v>0.1</v>
      </c>
      <c r="BY133" s="27">
        <f t="shared" si="103"/>
        <v>3.6588380716934496E-5</v>
      </c>
      <c r="BZ133" s="51">
        <f t="shared" si="104"/>
        <v>2532.4299999999998</v>
      </c>
      <c r="CA133" s="51">
        <f t="shared" si="105"/>
        <v>632.43000000000006</v>
      </c>
      <c r="CB133" s="27">
        <f t="shared" si="106"/>
        <v>0.94704388970157016</v>
      </c>
      <c r="CC133" s="27">
        <f t="shared" si="107"/>
        <v>0.23548892364086951</v>
      </c>
      <c r="CD133">
        <v>1200</v>
      </c>
      <c r="CE133">
        <v>640</v>
      </c>
      <c r="CF133" t="s">
        <v>19</v>
      </c>
      <c r="CG133">
        <v>1800</v>
      </c>
      <c r="CH133" s="32">
        <v>0.6</v>
      </c>
      <c r="CI133" s="32">
        <f t="shared" si="108"/>
        <v>1.0743061772605192E-2</v>
      </c>
      <c r="CJ133" s="32">
        <f t="shared" si="109"/>
        <v>1.0743061772605192E-2</v>
      </c>
      <c r="CK133" s="32">
        <v>0.8</v>
      </c>
      <c r="CL133" s="32">
        <f t="shared" si="110"/>
        <v>1.4563990533406155E-2</v>
      </c>
      <c r="CM133" s="32">
        <f t="shared" si="111"/>
        <v>2.912798106681231E-2</v>
      </c>
      <c r="CN133" s="27">
        <v>33</v>
      </c>
      <c r="CO133" s="27">
        <f t="shared" si="112"/>
        <v>0.34353529044347281</v>
      </c>
      <c r="CP133" s="27">
        <f t="shared" si="113"/>
        <v>2.7482823235477825</v>
      </c>
      <c r="CQ133" s="57">
        <v>46</v>
      </c>
      <c r="CR133" s="57">
        <v>58.22784810126582</v>
      </c>
      <c r="CS133" s="57">
        <v>3.8309389964605454</v>
      </c>
      <c r="CT133" s="57">
        <f t="shared" si="114"/>
        <v>3.8309389964605454</v>
      </c>
      <c r="CU133" s="28">
        <v>8</v>
      </c>
      <c r="CV133" s="28">
        <v>19.512195121951219</v>
      </c>
      <c r="CW133" s="28">
        <v>0.66625026025400791</v>
      </c>
      <c r="CX133" s="28">
        <f t="shared" si="115"/>
        <v>0.66625026025400791</v>
      </c>
      <c r="CY133" s="32">
        <f t="shared" si="116"/>
        <v>26.739954195294604</v>
      </c>
      <c r="CZ133" s="32">
        <f t="shared" si="117"/>
        <v>26.739954195294604</v>
      </c>
      <c r="DA133" s="32">
        <f t="shared" si="118"/>
        <v>27.339954195294606</v>
      </c>
      <c r="DB133" s="32">
        <f t="shared" si="119"/>
        <v>0.48952469463374404</v>
      </c>
      <c r="DC133" s="32">
        <f t="shared" si="120"/>
        <v>0.48952469463374404</v>
      </c>
      <c r="DD133" s="59">
        <f t="shared" si="121"/>
        <v>4.650426816572975</v>
      </c>
      <c r="DE133" s="59">
        <f t="shared" si="122"/>
        <v>4.650426816572975</v>
      </c>
      <c r="DF133" s="59">
        <f t="shared" si="123"/>
        <v>5.2504268165729746</v>
      </c>
      <c r="DG133" s="59">
        <f t="shared" si="124"/>
        <v>9.4009432704977164E-2</v>
      </c>
      <c r="DH133" s="59">
        <f t="shared" si="125"/>
        <v>9.4009432704977164E-2</v>
      </c>
      <c r="DI133" s="32">
        <f t="shared" si="126"/>
        <v>2.7482823235477825</v>
      </c>
      <c r="DJ133" s="32">
        <f t="shared" si="127"/>
        <v>6.0504268165729744</v>
      </c>
      <c r="DK133" s="32">
        <f t="shared" si="128"/>
        <v>0.12313741377178947</v>
      </c>
      <c r="DL133">
        <f t="shared" si="129"/>
        <v>4.3495916721611021</v>
      </c>
      <c r="DM133">
        <f t="shared" si="134"/>
        <v>6.6967162120622741E-3</v>
      </c>
      <c r="DN133">
        <f t="shared" si="135"/>
        <v>0.11254497698413213</v>
      </c>
      <c r="DO133">
        <f t="shared" si="136"/>
        <v>0.88075830680380551</v>
      </c>
      <c r="DP133">
        <f t="shared" si="130"/>
        <v>0.78938767402579735</v>
      </c>
      <c r="DQ133">
        <f t="shared" si="137"/>
        <v>3.6899462742130934E-2</v>
      </c>
      <c r="DR133">
        <f t="shared" si="138"/>
        <v>0.1190915893397962</v>
      </c>
      <c r="DS133">
        <f t="shared" si="139"/>
        <v>0.8440089479180729</v>
      </c>
      <c r="DT133" s="63">
        <f t="shared" si="140"/>
        <v>-4.0232972218268124</v>
      </c>
      <c r="DU133" s="63">
        <f t="shared" si="141"/>
        <v>-0.46309322369150741</v>
      </c>
      <c r="DV133" s="63">
        <f t="shared" si="142"/>
        <v>-3.7878082981859427</v>
      </c>
      <c r="DW133" s="63">
        <f t="shared" si="143"/>
        <v>-0.22760430005063792</v>
      </c>
      <c r="DX133" t="str">
        <f t="shared" si="131"/>
        <v>Sufficient Capacity</v>
      </c>
      <c r="DY133" t="str">
        <f t="shared" si="132"/>
        <v>Sufficient Capacity</v>
      </c>
      <c r="DZ133" t="str">
        <f t="shared" si="133"/>
        <v>Sulfate Dominant electron acceptor</v>
      </c>
      <c r="EA133" t="str">
        <f t="shared" si="144"/>
        <v>Sulfate Dominant electron acceptor</v>
      </c>
      <c r="EB133">
        <v>9.793843E-3</v>
      </c>
      <c r="EC133">
        <v>1.818222E-3</v>
      </c>
      <c r="ED133" s="66">
        <v>1.0880940000000001E-6</v>
      </c>
      <c r="EE133">
        <v>6.2464349999999998E-4</v>
      </c>
      <c r="EF133">
        <v>5.1690069999999998E-3</v>
      </c>
      <c r="EG133" s="66">
        <v>1.8843379999999998E-5</v>
      </c>
      <c r="EH133">
        <v>3.463594E-4</v>
      </c>
      <c r="EI133">
        <v>1.039736E-4</v>
      </c>
      <c r="EJ133">
        <v>4.121029E-4</v>
      </c>
      <c r="EK133">
        <v>6.5550809999999999E-4</v>
      </c>
      <c r="EL133">
        <v>5.1381829999999997E-4</v>
      </c>
      <c r="EM133">
        <v>4.0483480000000002E-4</v>
      </c>
      <c r="EN133">
        <v>1.9658309999999999E-3</v>
      </c>
      <c r="EO133">
        <v>8.2294669999999999E-4</v>
      </c>
      <c r="EP133">
        <v>2.417953E-3</v>
      </c>
      <c r="EQ133">
        <v>1.4159070000000001E-3</v>
      </c>
      <c r="ER133">
        <v>4.6888849999999999E-4</v>
      </c>
      <c r="ES133">
        <v>7.7640969999999995E-4</v>
      </c>
      <c r="ET133">
        <v>6.9518189999999997E-3</v>
      </c>
      <c r="EU133">
        <v>2.639331E-3</v>
      </c>
      <c r="EV133">
        <v>9.2358920000000008E-3</v>
      </c>
      <c r="EW133">
        <v>7.2610109999999997E-4</v>
      </c>
      <c r="EX133">
        <v>5.1381500000000002E-3</v>
      </c>
      <c r="EY133">
        <v>6.8054760000000004E-3</v>
      </c>
      <c r="EZ133">
        <v>1.5137849999999999E-3</v>
      </c>
      <c r="FA133">
        <v>1.038981E-3</v>
      </c>
      <c r="FB133">
        <v>1.0776519999999999E-3</v>
      </c>
      <c r="FC133">
        <v>1.8990809999999999E-3</v>
      </c>
      <c r="FD133">
        <v>3.9865849999999998E-4</v>
      </c>
      <c r="FE133">
        <v>2.2675020000000001E-2</v>
      </c>
      <c r="FF133">
        <v>1.6367920000000001E-2</v>
      </c>
      <c r="FG133">
        <v>8.7880170000000004E-3</v>
      </c>
      <c r="FH133">
        <v>9.4422760000000005E-4</v>
      </c>
      <c r="FI133">
        <v>1.566088E-3</v>
      </c>
      <c r="FJ133">
        <v>1.1354110000000001E-2</v>
      </c>
      <c r="FK133">
        <v>8.6783768729473507E-2</v>
      </c>
      <c r="FL133">
        <v>0.116535480358682</v>
      </c>
      <c r="FM133">
        <v>0.44437902587631101</v>
      </c>
      <c r="FN133">
        <v>0.15390480912462101</v>
      </c>
      <c r="FO133">
        <v>0.26995604565853598</v>
      </c>
      <c r="FP133">
        <v>-7.0713928863624695E-2</v>
      </c>
      <c r="FQ133">
        <v>-9.2881438307468797E-2</v>
      </c>
      <c r="FR133">
        <v>0.120198826708764</v>
      </c>
      <c r="FS133">
        <v>0.45385906895019501</v>
      </c>
      <c r="FT133">
        <v>-3.3856206399319098E-2</v>
      </c>
      <c r="FU133">
        <v>8.1075349400716607E-3</v>
      </c>
      <c r="FV133">
        <v>0.13225914770421601</v>
      </c>
      <c r="FW133">
        <v>0.15857523788484201</v>
      </c>
      <c r="FX133">
        <v>0.16857481061641</v>
      </c>
      <c r="FY133">
        <v>0.108950348303286</v>
      </c>
      <c r="FZ133">
        <v>-0.22200351361134399</v>
      </c>
      <c r="GA133">
        <v>-4.8227499024847902E-2</v>
      </c>
      <c r="GB133">
        <v>4.384832063164E-2</v>
      </c>
      <c r="GC133">
        <v>0.119152384151249</v>
      </c>
      <c r="GD133">
        <v>3.2316654011552301E-2</v>
      </c>
      <c r="GE133">
        <v>4.8196752621407803E-3</v>
      </c>
      <c r="GF133">
        <v>0.17245232516768799</v>
      </c>
      <c r="GG133">
        <v>9.3959105815894603E-2</v>
      </c>
      <c r="GH133">
        <v>8.6305881220670996E-2</v>
      </c>
      <c r="GI133">
        <v>1.3549476869759E-2</v>
      </c>
      <c r="GJ133">
        <v>0.109925184553104</v>
      </c>
      <c r="GK133">
        <v>-2.8243828064206299E-2</v>
      </c>
      <c r="GL133">
        <v>9.0619842153134095E-2</v>
      </c>
      <c r="GM133">
        <v>4.1182168549260802E-2</v>
      </c>
      <c r="GN133">
        <v>0.17459555076189201</v>
      </c>
      <c r="GO133">
        <v>8.6766903695273206E-2</v>
      </c>
      <c r="GP133">
        <v>6.9487338553417793E-2</v>
      </c>
      <c r="GT133" s="66"/>
      <c r="GV133" s="66"/>
      <c r="HK133" s="1"/>
      <c r="HL133" s="1"/>
      <c r="HM133" s="65"/>
      <c r="HN133" s="1"/>
      <c r="HO133" s="65"/>
      <c r="HP133" s="65"/>
      <c r="HQ133" s="65"/>
      <c r="HS133" s="65"/>
      <c r="HV133" s="65"/>
      <c r="HW133" s="65"/>
      <c r="HX133" s="65"/>
      <c r="JJ133" s="66"/>
      <c r="JL133" s="66"/>
      <c r="JN133" s="66"/>
    </row>
    <row r="134" spans="1:278" ht="15.75" x14ac:dyDescent="0.25">
      <c r="A134" s="7" t="s">
        <v>187</v>
      </c>
      <c r="B134" s="7" t="s">
        <v>187</v>
      </c>
      <c r="C134" s="2" t="s">
        <v>965</v>
      </c>
      <c r="D134" s="2" t="s">
        <v>576</v>
      </c>
      <c r="E134" s="2" t="s">
        <v>576</v>
      </c>
      <c r="F134" s="2">
        <v>133</v>
      </c>
      <c r="G134" s="2" t="s">
        <v>964</v>
      </c>
      <c r="H134" s="10" t="s">
        <v>656</v>
      </c>
      <c r="I134" s="2">
        <v>150</v>
      </c>
      <c r="J134" s="2">
        <v>65</v>
      </c>
      <c r="K134" s="2">
        <v>7.4</v>
      </c>
      <c r="L134" t="s">
        <v>361</v>
      </c>
      <c r="M134" s="2" t="s">
        <v>1120</v>
      </c>
      <c r="N134" s="2" t="s">
        <v>436</v>
      </c>
      <c r="O134" s="2" t="s">
        <v>673</v>
      </c>
      <c r="P134" s="2" t="s">
        <v>1127</v>
      </c>
      <c r="Q134" s="9" t="s">
        <v>725</v>
      </c>
      <c r="R134" s="2" t="str">
        <f t="shared" si="145"/>
        <v>CW_2_Section_3</v>
      </c>
      <c r="S134" s="2" t="str">
        <f t="shared" si="146"/>
        <v>CW_2_MF09</v>
      </c>
      <c r="T134" s="11" t="s">
        <v>937</v>
      </c>
      <c r="U134" s="1">
        <v>45826</v>
      </c>
      <c r="V134" s="2" t="s">
        <v>692</v>
      </c>
      <c r="W134" s="2" t="s">
        <v>655</v>
      </c>
      <c r="X134" s="2" t="s">
        <v>936</v>
      </c>
      <c r="Y134" s="2" t="str">
        <f t="shared" si="147"/>
        <v>T5_MF09</v>
      </c>
      <c r="Z134" s="2" t="str">
        <f t="shared" si="148"/>
        <v>T5_CW_2_MF09</v>
      </c>
      <c r="AA134" s="2" t="str">
        <f t="shared" si="149"/>
        <v>T5_0.15-0.30</v>
      </c>
      <c r="AB134" s="2">
        <v>307</v>
      </c>
      <c r="AC134" s="2">
        <v>10.098000000000001</v>
      </c>
      <c r="AD134" s="2">
        <v>0.38</v>
      </c>
      <c r="AE134" s="2">
        <v>5</v>
      </c>
      <c r="AF134" t="s">
        <v>45</v>
      </c>
      <c r="AG134" s="2" t="s">
        <v>1238</v>
      </c>
      <c r="AH134">
        <v>61</v>
      </c>
      <c r="AI134" t="s">
        <v>443</v>
      </c>
      <c r="AJ134">
        <v>0.7</v>
      </c>
      <c r="AK134">
        <v>4.1500000000000004</v>
      </c>
      <c r="AL134">
        <v>21.9</v>
      </c>
      <c r="AM134">
        <v>-37</v>
      </c>
      <c r="AN134">
        <v>7.12</v>
      </c>
      <c r="AO134">
        <v>1041</v>
      </c>
      <c r="AP134">
        <v>0.1</v>
      </c>
      <c r="AQ134">
        <v>0.01</v>
      </c>
      <c r="AR134">
        <v>11</v>
      </c>
      <c r="AS134">
        <v>11</v>
      </c>
      <c r="AT134">
        <v>310</v>
      </c>
      <c r="AU134" s="32">
        <f t="shared" si="89"/>
        <v>0.11906286006913326</v>
      </c>
      <c r="AV134">
        <v>0.5</v>
      </c>
      <c r="AW134" s="32">
        <f t="shared" si="90"/>
        <v>1.9535489472541785E-4</v>
      </c>
      <c r="AX134">
        <v>180</v>
      </c>
      <c r="AY134" s="32">
        <f t="shared" si="91"/>
        <v>7.120655552415936E-2</v>
      </c>
      <c r="AZ134">
        <v>56</v>
      </c>
      <c r="BA134" s="32">
        <f t="shared" si="92"/>
        <v>2.2153150607516249E-2</v>
      </c>
      <c r="BB134">
        <v>56</v>
      </c>
      <c r="BC134" s="32">
        <f t="shared" si="93"/>
        <v>2.2153150607516249E-2</v>
      </c>
      <c r="BD134">
        <v>112</v>
      </c>
      <c r="BF134" s="48">
        <v>605.5</v>
      </c>
      <c r="BG134" s="48">
        <f t="shared" si="94"/>
        <v>0.19046477048801802</v>
      </c>
      <c r="BH134">
        <v>860</v>
      </c>
      <c r="BI134" s="32">
        <f t="shared" si="95"/>
        <v>0.3220722477958961</v>
      </c>
      <c r="BJ134" s="47">
        <v>2700</v>
      </c>
      <c r="BK134" s="27">
        <f t="shared" si="96"/>
        <v>1.0111570570336272</v>
      </c>
      <c r="BL134" s="47">
        <v>0.14000000000000001</v>
      </c>
      <c r="BM134" s="27">
        <f t="shared" si="97"/>
        <v>5.1514554175701431E-5</v>
      </c>
      <c r="BN134" s="47">
        <v>0.28000000000000003</v>
      </c>
      <c r="BO134" s="27">
        <f t="shared" si="98"/>
        <v>1.0531093962778031E-4</v>
      </c>
      <c r="BP134" s="47">
        <v>0.08</v>
      </c>
      <c r="BQ134" s="27">
        <f t="shared" si="99"/>
        <v>2.9839971122608595E-5</v>
      </c>
      <c r="BR134" s="47">
        <v>0.04</v>
      </c>
      <c r="BS134" s="27">
        <f t="shared" si="100"/>
        <v>1.4812321158054199E-5</v>
      </c>
      <c r="BT134" s="47">
        <v>1E-3</v>
      </c>
      <c r="BU134" s="27">
        <f t="shared" si="101"/>
        <v>3.7030802895135499E-7</v>
      </c>
      <c r="BV134" s="47">
        <v>1E-3</v>
      </c>
      <c r="BW134" s="27">
        <f t="shared" si="102"/>
        <v>3.6588380716934485E-7</v>
      </c>
      <c r="BX134" s="47">
        <v>2E-3</v>
      </c>
      <c r="BY134" s="27">
        <f t="shared" si="103"/>
        <v>7.3176761433868969E-7</v>
      </c>
      <c r="BZ134" s="51">
        <f t="shared" si="104"/>
        <v>2700.5440000000003</v>
      </c>
      <c r="CA134" s="51">
        <f t="shared" si="105"/>
        <v>0.54400000000000004</v>
      </c>
      <c r="CB134" s="27">
        <f t="shared" si="106"/>
        <v>1.011360002779162</v>
      </c>
      <c r="CC134" s="27">
        <f t="shared" si="107"/>
        <v>2.0294574553460394E-4</v>
      </c>
      <c r="CD134">
        <v>1300</v>
      </c>
      <c r="CE134">
        <v>2.5</v>
      </c>
      <c r="CF134" t="s">
        <v>19</v>
      </c>
      <c r="CG134">
        <v>1400</v>
      </c>
      <c r="CH134" s="32">
        <v>15</v>
      </c>
      <c r="CI134" s="32">
        <f t="shared" si="108"/>
        <v>0.26857654431512978</v>
      </c>
      <c r="CJ134" s="32">
        <f t="shared" si="109"/>
        <v>0.26857654431512978</v>
      </c>
      <c r="CK134" s="32">
        <v>4.2</v>
      </c>
      <c r="CL134" s="32">
        <f t="shared" si="110"/>
        <v>7.6460950300382302E-2</v>
      </c>
      <c r="CM134" s="32">
        <f t="shared" si="111"/>
        <v>0.1529219006007646</v>
      </c>
      <c r="CN134" s="27">
        <v>0.5</v>
      </c>
      <c r="CO134" s="27">
        <f t="shared" si="112"/>
        <v>5.2050801582344368E-3</v>
      </c>
      <c r="CP134" s="27">
        <f t="shared" si="113"/>
        <v>4.1640641265875494E-2</v>
      </c>
      <c r="CQ134" s="57">
        <v>78.5</v>
      </c>
      <c r="CR134" s="57">
        <v>99.367088607594937</v>
      </c>
      <c r="CS134" s="57">
        <v>6.5375806787424526</v>
      </c>
      <c r="CT134" s="57">
        <f t="shared" si="114"/>
        <v>6.5375806787424526</v>
      </c>
      <c r="CU134" s="28">
        <v>30.5</v>
      </c>
      <c r="CV134" s="28">
        <v>98.387096774193552</v>
      </c>
      <c r="CW134" s="28">
        <v>2.5400791172184052</v>
      </c>
      <c r="CX134" s="28">
        <f t="shared" si="115"/>
        <v>2.5400791172184052</v>
      </c>
      <c r="CY134" s="32">
        <f t="shared" si="116"/>
        <v>45.632313137622319</v>
      </c>
      <c r="CZ134" s="32">
        <f t="shared" si="117"/>
        <v>45.632313137622319</v>
      </c>
      <c r="DA134" s="32">
        <f t="shared" si="118"/>
        <v>60.632313137622319</v>
      </c>
      <c r="DB134" s="32">
        <f t="shared" si="119"/>
        <v>1.0856278090890299</v>
      </c>
      <c r="DC134" s="32">
        <f t="shared" si="120"/>
        <v>1.0856278090890299</v>
      </c>
      <c r="DD134" s="59">
        <f t="shared" si="121"/>
        <v>17.729752238184467</v>
      </c>
      <c r="DE134" s="59">
        <f t="shared" si="122"/>
        <v>17.729752238184467</v>
      </c>
      <c r="DF134" s="59">
        <f t="shared" si="123"/>
        <v>32.729752238184467</v>
      </c>
      <c r="DG134" s="59">
        <f t="shared" si="124"/>
        <v>0.58602958349479795</v>
      </c>
      <c r="DH134" s="59">
        <f t="shared" si="125"/>
        <v>0.58602958349479795</v>
      </c>
      <c r="DI134" s="32">
        <f t="shared" si="126"/>
        <v>4.1640641265875494E-2</v>
      </c>
      <c r="DJ134" s="32">
        <f t="shared" si="127"/>
        <v>36.92975223818447</v>
      </c>
      <c r="DK134" s="32">
        <f t="shared" si="128"/>
        <v>0.73895148409556255</v>
      </c>
      <c r="DL134">
        <f t="shared" si="129"/>
        <v>7.7761303884322466</v>
      </c>
      <c r="DM134">
        <f t="shared" si="134"/>
        <v>1.9665552525746078E-2</v>
      </c>
      <c r="DN134">
        <f t="shared" si="135"/>
        <v>0.1396102887760225</v>
      </c>
      <c r="DO134">
        <f t="shared" si="136"/>
        <v>0.84072415869823147</v>
      </c>
      <c r="DP134">
        <f t="shared" si="130"/>
        <v>3.2790306013139676</v>
      </c>
      <c r="DQ134">
        <f t="shared" si="137"/>
        <v>4.6636313957999047E-2</v>
      </c>
      <c r="DR134">
        <f t="shared" si="138"/>
        <v>0.17872037646125205</v>
      </c>
      <c r="DS134">
        <f t="shared" si="139"/>
        <v>0.7746433095807489</v>
      </c>
      <c r="DT134" s="63">
        <f t="shared" si="140"/>
        <v>-7.2635933701483326</v>
      </c>
      <c r="DU134" s="63">
        <f t="shared" si="141"/>
        <v>-2.7664935830300532</v>
      </c>
      <c r="DV134" s="63">
        <f t="shared" si="142"/>
        <v>-7.2633904244027976</v>
      </c>
      <c r="DW134" s="63">
        <f t="shared" si="143"/>
        <v>-2.7662906372845191</v>
      </c>
      <c r="DX134" t="str">
        <f t="shared" si="131"/>
        <v>Sufficient Capacity</v>
      </c>
      <c r="DY134" t="str">
        <f t="shared" si="132"/>
        <v>Sufficient Capacity</v>
      </c>
      <c r="DZ134" t="str">
        <f t="shared" si="133"/>
        <v>Sulfate Dominant electron acceptor</v>
      </c>
      <c r="EA134" t="str">
        <f t="shared" si="144"/>
        <v>Sulfate Dominant electron acceptor</v>
      </c>
      <c r="EB134">
        <v>9.7037000000000009E-3</v>
      </c>
      <c r="EC134">
        <v>1.692341E-3</v>
      </c>
      <c r="ED134" s="66">
        <v>1.3379019999999999E-7</v>
      </c>
      <c r="EE134">
        <v>6.5307560000000002E-4</v>
      </c>
      <c r="EF134">
        <v>5.9430450000000001E-3</v>
      </c>
      <c r="EG134" s="66">
        <v>1.1889120000000001E-5</v>
      </c>
      <c r="EH134">
        <v>3.3148960000000001E-4</v>
      </c>
      <c r="EI134" s="66">
        <v>9.2953240000000006E-5</v>
      </c>
      <c r="EJ134">
        <v>3.6635059999999998E-4</v>
      </c>
      <c r="EK134">
        <v>6.3359319999999996E-4</v>
      </c>
      <c r="EL134">
        <v>4.0628049999999997E-4</v>
      </c>
      <c r="EM134">
        <v>3.5958700000000003E-4</v>
      </c>
      <c r="EN134">
        <v>1.89324E-3</v>
      </c>
      <c r="EO134">
        <v>7.0554850000000002E-4</v>
      </c>
      <c r="EP134">
        <v>2.7842750000000001E-3</v>
      </c>
      <c r="EQ134">
        <v>1.3394920000000001E-3</v>
      </c>
      <c r="ER134">
        <v>4.6530680000000002E-4</v>
      </c>
      <c r="ES134">
        <v>7.529476E-4</v>
      </c>
      <c r="ET134">
        <v>8.2031210000000007E-3</v>
      </c>
      <c r="EU134">
        <v>2.8487069999999998E-3</v>
      </c>
      <c r="EV134">
        <v>8.4034620000000004E-3</v>
      </c>
      <c r="EW134">
        <v>6.6049040000000004E-4</v>
      </c>
      <c r="EX134">
        <v>5.0787239999999997E-3</v>
      </c>
      <c r="EY134">
        <v>7.0848669999999999E-3</v>
      </c>
      <c r="EZ134">
        <v>1.64079E-3</v>
      </c>
      <c r="FA134">
        <v>1.1082780000000001E-3</v>
      </c>
      <c r="FB134">
        <v>1.1685440000000001E-3</v>
      </c>
      <c r="FC134">
        <v>1.838999E-3</v>
      </c>
      <c r="FD134">
        <v>3.6068219999999999E-4</v>
      </c>
      <c r="FE134">
        <v>2.43827E-2</v>
      </c>
      <c r="FF134">
        <v>1.646359E-2</v>
      </c>
      <c r="FG134">
        <v>9.4737799999999994E-3</v>
      </c>
      <c r="FH134">
        <v>7.69121E-4</v>
      </c>
      <c r="FI134">
        <v>1.6374950000000001E-3</v>
      </c>
      <c r="FJ134">
        <v>1.03558E-2</v>
      </c>
      <c r="FK134">
        <v>0.131295577662005</v>
      </c>
      <c r="FL134">
        <v>0.25607650820779698</v>
      </c>
      <c r="FM134">
        <v>-1.61589365117463E-2</v>
      </c>
      <c r="FN134">
        <v>0.110024281432942</v>
      </c>
      <c r="FO134">
        <v>0.15791559590558599</v>
      </c>
      <c r="FP134">
        <v>-0.18839620592783399</v>
      </c>
      <c r="FQ134">
        <v>-0.12688499029488901</v>
      </c>
      <c r="FR134">
        <v>-0.114627066555442</v>
      </c>
      <c r="FS134">
        <v>0.33533613695735498</v>
      </c>
      <c r="FT134">
        <v>-7.14816160113525E-2</v>
      </c>
      <c r="FU134">
        <v>-0.14580838607729399</v>
      </c>
      <c r="FV134">
        <v>0.27332534958172999</v>
      </c>
      <c r="FW134">
        <v>0.103095360343247</v>
      </c>
      <c r="FX134">
        <v>0.16090678327799901</v>
      </c>
      <c r="FY134">
        <v>7.8265640591555802E-2</v>
      </c>
      <c r="FZ134">
        <v>-5.64921739495272E-2</v>
      </c>
      <c r="GA134">
        <v>2.8112232145559801E-2</v>
      </c>
      <c r="GB134">
        <v>-5.06051136196142E-2</v>
      </c>
      <c r="GC134">
        <v>2.44457122365009E-2</v>
      </c>
      <c r="GD134">
        <v>2.06836104477723E-2</v>
      </c>
      <c r="GE134">
        <v>4.50531939505803E-2</v>
      </c>
      <c r="GF134">
        <v>0.253017021331991</v>
      </c>
      <c r="GG134">
        <v>0.158526140061648</v>
      </c>
      <c r="GH134">
        <v>0.16727981028980901</v>
      </c>
      <c r="GI134">
        <v>-1.8599206230922101E-2</v>
      </c>
      <c r="GJ134">
        <v>9.8172620730565506E-3</v>
      </c>
      <c r="GK134">
        <v>4.4366158341035501E-2</v>
      </c>
      <c r="GL134">
        <v>9.6447796504683894E-2</v>
      </c>
      <c r="GM134">
        <v>0.11632106235645601</v>
      </c>
      <c r="GN134">
        <v>-3.0523383686149201E-2</v>
      </c>
      <c r="GO134">
        <v>0.13135374866782701</v>
      </c>
      <c r="GP134">
        <v>-2.2545705136849399E-2</v>
      </c>
      <c r="GR134" s="66"/>
      <c r="GT134" s="66"/>
      <c r="GV134" s="66"/>
      <c r="GW134" s="65"/>
      <c r="GY134" s="65"/>
      <c r="HK134" s="1"/>
      <c r="HL134" s="1"/>
      <c r="HM134" s="1"/>
      <c r="HN134" s="1"/>
      <c r="HO134" s="65"/>
      <c r="HP134" s="65"/>
      <c r="HQ134" s="65"/>
      <c r="HS134" s="65"/>
      <c r="HT134" s="65"/>
      <c r="HU134" s="65"/>
      <c r="HV134" s="65"/>
      <c r="HW134" s="65"/>
      <c r="HX134" s="65"/>
    </row>
    <row r="135" spans="1:278" ht="15.75" x14ac:dyDescent="0.25">
      <c r="A135" s="7" t="s">
        <v>188</v>
      </c>
      <c r="B135" s="7" t="s">
        <v>188</v>
      </c>
      <c r="C135" s="2" t="s">
        <v>967</v>
      </c>
      <c r="D135" s="2" t="s">
        <v>577</v>
      </c>
      <c r="E135" s="2" t="s">
        <v>577</v>
      </c>
      <c r="F135" s="2">
        <v>134</v>
      </c>
      <c r="G135" s="2" t="s">
        <v>966</v>
      </c>
      <c r="H135" s="10" t="s">
        <v>656</v>
      </c>
      <c r="I135" s="2">
        <v>150</v>
      </c>
      <c r="J135" s="2">
        <v>65</v>
      </c>
      <c r="K135" s="2">
        <v>3.35</v>
      </c>
      <c r="L135" t="s">
        <v>362</v>
      </c>
      <c r="M135" s="2" t="s">
        <v>1120</v>
      </c>
      <c r="N135" s="2" t="s">
        <v>436</v>
      </c>
      <c r="O135" s="2" t="s">
        <v>673</v>
      </c>
      <c r="P135" s="2" t="s">
        <v>1128</v>
      </c>
      <c r="Q135" s="9" t="s">
        <v>728</v>
      </c>
      <c r="R135" s="2" t="str">
        <f t="shared" si="145"/>
        <v>CW_2_Section_3</v>
      </c>
      <c r="S135" s="2" t="str">
        <f t="shared" si="146"/>
        <v>CW_2_MF10</v>
      </c>
      <c r="T135" s="11" t="s">
        <v>937</v>
      </c>
      <c r="U135" s="1">
        <v>45826</v>
      </c>
      <c r="V135" s="2" t="s">
        <v>692</v>
      </c>
      <c r="W135" s="2" t="s">
        <v>663</v>
      </c>
      <c r="X135" s="2" t="s">
        <v>936</v>
      </c>
      <c r="Y135" s="2" t="str">
        <f t="shared" si="147"/>
        <v>T5_MF10</v>
      </c>
      <c r="Z135" s="2" t="str">
        <f t="shared" si="148"/>
        <v>T5_CW_2_MF10</v>
      </c>
      <c r="AA135" s="2" t="str">
        <f t="shared" si="149"/>
        <v>T5_0.60-0.80</v>
      </c>
      <c r="AB135" s="2">
        <v>307</v>
      </c>
      <c r="AC135" s="2">
        <v>10.098000000000001</v>
      </c>
      <c r="AD135" s="2">
        <v>0.38</v>
      </c>
      <c r="AE135" s="2">
        <v>5</v>
      </c>
      <c r="AF135" t="s">
        <v>47</v>
      </c>
      <c r="AG135" s="2" t="s">
        <v>1238</v>
      </c>
      <c r="AH135">
        <v>46</v>
      </c>
      <c r="AI135" t="s">
        <v>443</v>
      </c>
      <c r="AJ135">
        <v>0.41</v>
      </c>
      <c r="AK135">
        <v>0.79</v>
      </c>
      <c r="AL135">
        <v>21.7</v>
      </c>
      <c r="AM135">
        <v>-52</v>
      </c>
      <c r="AN135">
        <v>7.05</v>
      </c>
      <c r="AO135">
        <v>606</v>
      </c>
      <c r="AP135" t="s">
        <v>443</v>
      </c>
      <c r="AQ135">
        <v>0.01</v>
      </c>
      <c r="AR135">
        <v>6.2</v>
      </c>
      <c r="AS135">
        <v>7.2</v>
      </c>
      <c r="AT135">
        <v>170</v>
      </c>
      <c r="AU135" s="32">
        <f t="shared" si="89"/>
        <v>6.5292536166944054E-2</v>
      </c>
      <c r="AV135">
        <v>0.5</v>
      </c>
      <c r="AW135" s="32">
        <f t="shared" si="90"/>
        <v>1.9535489472541785E-4</v>
      </c>
      <c r="AX135">
        <v>170</v>
      </c>
      <c r="AY135" s="32">
        <f t="shared" si="91"/>
        <v>6.7250635772817174E-2</v>
      </c>
      <c r="AZ135">
        <v>28</v>
      </c>
      <c r="BA135" s="32">
        <f t="shared" si="92"/>
        <v>1.1076575303758125E-2</v>
      </c>
      <c r="BB135">
        <v>30</v>
      </c>
      <c r="BC135" s="32">
        <f t="shared" si="93"/>
        <v>1.1867759254026562E-2</v>
      </c>
      <c r="BD135">
        <v>58</v>
      </c>
      <c r="BF135" s="48">
        <v>401.5</v>
      </c>
      <c r="BG135" s="48">
        <f t="shared" si="94"/>
        <v>0.13273852683448664</v>
      </c>
      <c r="BH135">
        <v>1000</v>
      </c>
      <c r="BI135" s="32">
        <f t="shared" si="95"/>
        <v>0.37450261371615823</v>
      </c>
      <c r="BJ135" s="47">
        <v>2400</v>
      </c>
      <c r="BK135" s="27">
        <f t="shared" si="96"/>
        <v>0.89880627291877968</v>
      </c>
      <c r="BL135" s="47">
        <v>390</v>
      </c>
      <c r="BM135" s="27">
        <f t="shared" si="97"/>
        <v>0.14350482948945398</v>
      </c>
      <c r="BN135" s="47">
        <v>320</v>
      </c>
      <c r="BO135" s="27">
        <f t="shared" si="98"/>
        <v>0.12035535957460605</v>
      </c>
      <c r="BP135" s="47">
        <v>130</v>
      </c>
      <c r="BQ135" s="27">
        <f t="shared" si="99"/>
        <v>4.8489953074238958E-2</v>
      </c>
      <c r="BR135" s="47">
        <v>37</v>
      </c>
      <c r="BS135" s="27">
        <f t="shared" si="100"/>
        <v>1.3701397071200133E-2</v>
      </c>
      <c r="BT135" s="47">
        <v>1.4</v>
      </c>
      <c r="BU135" s="27">
        <f t="shared" si="101"/>
        <v>5.1843124053189689E-4</v>
      </c>
      <c r="BV135" s="47">
        <v>0.1</v>
      </c>
      <c r="BW135" s="27">
        <f t="shared" si="102"/>
        <v>3.6588380716934496E-5</v>
      </c>
      <c r="BX135" s="47">
        <v>0.05</v>
      </c>
      <c r="BY135" s="27">
        <f t="shared" si="103"/>
        <v>1.8294190358467248E-5</v>
      </c>
      <c r="BZ135" s="51">
        <f t="shared" si="104"/>
        <v>3278.55</v>
      </c>
      <c r="CA135" s="51">
        <f t="shared" si="105"/>
        <v>878.55</v>
      </c>
      <c r="CB135" s="27">
        <f t="shared" si="106"/>
        <v>1.225431125939886</v>
      </c>
      <c r="CC135" s="27">
        <f t="shared" si="107"/>
        <v>0.3266248530211065</v>
      </c>
      <c r="CD135">
        <v>1800</v>
      </c>
      <c r="CE135">
        <v>880</v>
      </c>
      <c r="CF135" t="s">
        <v>19</v>
      </c>
      <c r="CG135">
        <v>2700</v>
      </c>
      <c r="CH135" s="32">
        <v>1</v>
      </c>
      <c r="CI135" s="32">
        <f t="shared" si="108"/>
        <v>1.7905102954341987E-2</v>
      </c>
      <c r="CJ135" s="32">
        <f t="shared" si="109"/>
        <v>1.7905102954341987E-2</v>
      </c>
      <c r="CK135" s="32">
        <v>1.1000000000000001</v>
      </c>
      <c r="CL135" s="32">
        <f t="shared" si="110"/>
        <v>2.0025486983433462E-2</v>
      </c>
      <c r="CM135" s="32">
        <f t="shared" si="111"/>
        <v>4.0050973966866923E-2</v>
      </c>
      <c r="CN135" s="27">
        <v>32</v>
      </c>
      <c r="CO135" s="27">
        <f t="shared" si="112"/>
        <v>0.33312513012700395</v>
      </c>
      <c r="CP135" s="27">
        <f t="shared" si="113"/>
        <v>2.6650010410160316</v>
      </c>
      <c r="CQ135" s="57">
        <v>47</v>
      </c>
      <c r="CR135" s="57">
        <v>59.493670886075947</v>
      </c>
      <c r="CS135" s="57">
        <v>3.9142202789922962</v>
      </c>
      <c r="CT135" s="57">
        <f t="shared" si="114"/>
        <v>3.9142202789922962</v>
      </c>
      <c r="CU135" s="28">
        <v>1</v>
      </c>
      <c r="CV135" s="28">
        <v>3.0303030303030303</v>
      </c>
      <c r="CW135" s="28">
        <v>8.3281282531750989E-2</v>
      </c>
      <c r="CX135" s="28">
        <f t="shared" si="115"/>
        <v>8.3281282531750989E-2</v>
      </c>
      <c r="CY135" s="32">
        <f t="shared" si="116"/>
        <v>27.321257547366226</v>
      </c>
      <c r="CZ135" s="32">
        <f t="shared" si="117"/>
        <v>27.321257547366226</v>
      </c>
      <c r="DA135" s="32">
        <f t="shared" si="118"/>
        <v>28.321257547366226</v>
      </c>
      <c r="DB135" s="32">
        <f t="shared" si="119"/>
        <v>0.50709503218202734</v>
      </c>
      <c r="DC135" s="32">
        <f t="shared" si="120"/>
        <v>0.50709503218202734</v>
      </c>
      <c r="DD135" s="59">
        <f t="shared" si="121"/>
        <v>0.58130335207162187</v>
      </c>
      <c r="DE135" s="59">
        <f t="shared" si="122"/>
        <v>0.58130335207162187</v>
      </c>
      <c r="DF135" s="59">
        <f t="shared" si="123"/>
        <v>1.5813033520716218</v>
      </c>
      <c r="DG135" s="59">
        <f t="shared" si="124"/>
        <v>2.8313399320888482E-2</v>
      </c>
      <c r="DH135" s="59">
        <f t="shared" si="125"/>
        <v>2.8313399320888482E-2</v>
      </c>
      <c r="DI135" s="32">
        <f t="shared" si="126"/>
        <v>2.6650010410160316</v>
      </c>
      <c r="DJ135" s="32">
        <f t="shared" si="127"/>
        <v>2.6813033520716218</v>
      </c>
      <c r="DK135" s="32">
        <f t="shared" si="128"/>
        <v>6.8364373287755409E-2</v>
      </c>
      <c r="DL135">
        <f t="shared" si="129"/>
        <v>4.4613662851411906</v>
      </c>
      <c r="DM135">
        <f t="shared" si="134"/>
        <v>8.9772888857520498E-3</v>
      </c>
      <c r="DN135">
        <f t="shared" si="135"/>
        <v>0.11366361777353574</v>
      </c>
      <c r="DO135">
        <f t="shared" si="136"/>
        <v>0.87735909334071216</v>
      </c>
      <c r="DP135">
        <f t="shared" si="130"/>
        <v>0.1516456558195064</v>
      </c>
      <c r="DQ135">
        <f t="shared" si="137"/>
        <v>0.26410894364515725</v>
      </c>
      <c r="DR135">
        <f t="shared" si="138"/>
        <v>0.186707618941541</v>
      </c>
      <c r="DS135">
        <f t="shared" si="139"/>
        <v>0.54918343741330178</v>
      </c>
      <c r="DT135" s="63">
        <f t="shared" si="140"/>
        <v>-3.9541251445905456</v>
      </c>
      <c r="DU135" s="63">
        <f t="shared" si="141"/>
        <v>0.35559548473113844</v>
      </c>
      <c r="DV135" s="63">
        <f t="shared" si="142"/>
        <v>-3.6275002915694392</v>
      </c>
      <c r="DW135" s="63">
        <f t="shared" si="143"/>
        <v>0.682220337752245</v>
      </c>
      <c r="DX135" t="str">
        <f t="shared" si="131"/>
        <v>Sufficient Capacity</v>
      </c>
      <c r="DY135" t="str">
        <f t="shared" si="132"/>
        <v>Insufficient Capacity</v>
      </c>
      <c r="DZ135" t="str">
        <f t="shared" si="133"/>
        <v>Sulfate Dominant electron acceptor</v>
      </c>
      <c r="EA135" t="str">
        <f t="shared" si="144"/>
        <v>Sulfate Dominant electron acceptor</v>
      </c>
      <c r="EB135">
        <v>9.3903670000000002E-3</v>
      </c>
      <c r="EC135">
        <v>1.7049949999999999E-3</v>
      </c>
      <c r="ED135" s="66">
        <v>2.299947E-6</v>
      </c>
      <c r="EE135">
        <v>5.8708049999999998E-4</v>
      </c>
      <c r="EF135">
        <v>4.9959239999999997E-3</v>
      </c>
      <c r="EG135" s="66">
        <v>3.7950600000000002E-5</v>
      </c>
      <c r="EH135">
        <v>4.0682320000000002E-4</v>
      </c>
      <c r="EI135" s="66">
        <v>9.4702129999999998E-5</v>
      </c>
      <c r="EJ135">
        <v>4.7054390000000001E-4</v>
      </c>
      <c r="EK135">
        <v>8.5195819999999995E-4</v>
      </c>
      <c r="EL135">
        <v>5.5918709999999998E-4</v>
      </c>
      <c r="EM135">
        <v>3.5603529999999998E-4</v>
      </c>
      <c r="EN135">
        <v>2.0946720000000001E-3</v>
      </c>
      <c r="EO135">
        <v>8.9553120000000004E-4</v>
      </c>
      <c r="EP135">
        <v>2.281014E-3</v>
      </c>
      <c r="EQ135">
        <v>1.382793E-3</v>
      </c>
      <c r="ER135">
        <v>4.9511390000000002E-4</v>
      </c>
      <c r="ES135">
        <v>8.2063619999999998E-4</v>
      </c>
      <c r="ET135">
        <v>8.1637619999999998E-3</v>
      </c>
      <c r="EU135">
        <v>2.6113260000000002E-3</v>
      </c>
      <c r="EV135">
        <v>9.2991570000000006E-3</v>
      </c>
      <c r="EW135">
        <v>6.7927660000000002E-4</v>
      </c>
      <c r="EX135">
        <v>5.1155250000000001E-3</v>
      </c>
      <c r="EY135">
        <v>6.7183759999999999E-3</v>
      </c>
      <c r="EZ135">
        <v>1.578465E-3</v>
      </c>
      <c r="FA135">
        <v>1.078229E-3</v>
      </c>
      <c r="FB135">
        <v>1.1156499999999999E-3</v>
      </c>
      <c r="FC135">
        <v>1.91321E-3</v>
      </c>
      <c r="FD135">
        <v>4.4072380000000002E-4</v>
      </c>
      <c r="FE135">
        <v>2.243156E-2</v>
      </c>
      <c r="FF135">
        <v>1.5950820000000001E-2</v>
      </c>
      <c r="FG135">
        <v>8.552512E-3</v>
      </c>
      <c r="FH135">
        <v>8.8742170000000002E-4</v>
      </c>
      <c r="FI135">
        <v>1.5467199999999999E-3</v>
      </c>
      <c r="FJ135">
        <v>1.146165E-2</v>
      </c>
      <c r="FK135">
        <v>2.4764630148359501E-2</v>
      </c>
      <c r="FL135">
        <v>8.2477259896463401E-2</v>
      </c>
      <c r="FM135">
        <v>1.1445026812925101</v>
      </c>
      <c r="FN135">
        <v>0.314806537878211</v>
      </c>
      <c r="FO135">
        <v>0.176555516914741</v>
      </c>
      <c r="FP135">
        <v>6.1902255356933701E-2</v>
      </c>
      <c r="FQ135">
        <v>0.169245366178639</v>
      </c>
      <c r="FR135">
        <v>0.20481324767965201</v>
      </c>
      <c r="FS135">
        <v>0.32540986953220302</v>
      </c>
      <c r="FT135">
        <v>2.9625714784395501E-2</v>
      </c>
      <c r="FU135">
        <v>9.2633161187046995E-2</v>
      </c>
      <c r="FV135">
        <v>7.3957914194560104E-2</v>
      </c>
      <c r="FW135">
        <v>0.13491028959617499</v>
      </c>
      <c r="FX135">
        <v>0.22299764741641701</v>
      </c>
      <c r="FY135">
        <v>0.16434989662442401</v>
      </c>
      <c r="FZ135">
        <v>-6.1301773415938697E-2</v>
      </c>
      <c r="GA135">
        <v>-5.8894836678703703E-2</v>
      </c>
      <c r="GB135">
        <v>5.0674873470912402E-2</v>
      </c>
      <c r="GC135">
        <v>5.2491531202202103E-2</v>
      </c>
      <c r="GD135">
        <v>2.7903594943725601E-2</v>
      </c>
      <c r="GE135">
        <v>-8.0614482999346003E-3</v>
      </c>
      <c r="GF135">
        <v>0.21429204398361901</v>
      </c>
      <c r="GG135">
        <v>0.13103856103362899</v>
      </c>
      <c r="GH135">
        <v>0.120958475586951</v>
      </c>
      <c r="GI135">
        <v>2.09618515762529E-2</v>
      </c>
      <c r="GJ135">
        <v>0.210238399252071</v>
      </c>
      <c r="GK135">
        <v>-3.9038810269826002E-2</v>
      </c>
      <c r="GL135">
        <v>6.4806759109019105E-2</v>
      </c>
      <c r="GM135">
        <v>1.40181205398395E-2</v>
      </c>
      <c r="GN135">
        <v>0.112548604087191</v>
      </c>
      <c r="GO135">
        <v>7.43226733144908E-2</v>
      </c>
      <c r="GP135">
        <v>7.8914225616402198E-2</v>
      </c>
      <c r="GT135" s="66"/>
      <c r="GV135" s="66"/>
      <c r="GY135" s="65"/>
      <c r="HK135" s="1"/>
      <c r="HL135" s="1"/>
      <c r="HM135" s="65"/>
      <c r="HN135" s="1"/>
      <c r="HO135" s="65"/>
      <c r="HP135" s="65"/>
      <c r="HQ135" s="65"/>
      <c r="HS135" s="65"/>
      <c r="HV135" s="65"/>
      <c r="HW135" s="65"/>
      <c r="HX135" s="65"/>
      <c r="IX135" s="66"/>
      <c r="IZ135" s="66"/>
      <c r="JB135" s="66"/>
      <c r="JD135" s="66"/>
      <c r="JF135" s="66"/>
      <c r="JH135" s="66"/>
      <c r="JJ135" s="66"/>
      <c r="JL135" s="66"/>
      <c r="JN135" s="66"/>
      <c r="JO135" s="66"/>
      <c r="JP135" s="66"/>
      <c r="JQ135" s="66"/>
      <c r="JR135" s="66"/>
    </row>
    <row r="136" spans="1:278" ht="15.75" x14ac:dyDescent="0.25">
      <c r="A136" s="7" t="s">
        <v>189</v>
      </c>
      <c r="B136" s="7" t="s">
        <v>189</v>
      </c>
      <c r="C136" s="2" t="s">
        <v>969</v>
      </c>
      <c r="D136" s="2" t="s">
        <v>578</v>
      </c>
      <c r="E136" s="2" t="s">
        <v>578</v>
      </c>
      <c r="F136" s="2">
        <v>135</v>
      </c>
      <c r="G136" s="2" t="s">
        <v>968</v>
      </c>
      <c r="H136" s="10" t="s">
        <v>656</v>
      </c>
      <c r="I136" s="2">
        <v>150</v>
      </c>
      <c r="J136" s="2">
        <v>65</v>
      </c>
      <c r="K136" s="2">
        <v>4.5</v>
      </c>
      <c r="L136" t="s">
        <v>364</v>
      </c>
      <c r="M136" s="2" t="s">
        <v>1120</v>
      </c>
      <c r="N136" s="2" t="s">
        <v>437</v>
      </c>
      <c r="O136" s="2" t="s">
        <v>653</v>
      </c>
      <c r="P136" s="2" t="s">
        <v>1123</v>
      </c>
      <c r="Q136" s="9" t="s">
        <v>731</v>
      </c>
      <c r="R136" s="2" t="str">
        <f t="shared" si="145"/>
        <v>CW_3_Section_1</v>
      </c>
      <c r="S136" s="2" t="str">
        <f t="shared" si="146"/>
        <v>CW_3_MF01</v>
      </c>
      <c r="T136" s="11" t="s">
        <v>937</v>
      </c>
      <c r="U136" s="1">
        <v>45827</v>
      </c>
      <c r="V136" s="2" t="s">
        <v>692</v>
      </c>
      <c r="W136" s="2" t="s">
        <v>655</v>
      </c>
      <c r="X136" s="2" t="s">
        <v>936</v>
      </c>
      <c r="Y136" s="2" t="str">
        <f t="shared" si="147"/>
        <v>T5_MF01</v>
      </c>
      <c r="Z136" s="2" t="str">
        <f t="shared" si="148"/>
        <v>T5_CW_3_MF01</v>
      </c>
      <c r="AA136" s="2" t="str">
        <f t="shared" si="149"/>
        <v>T5_0.15-0.30</v>
      </c>
      <c r="AB136" s="2">
        <v>307</v>
      </c>
      <c r="AC136" s="2">
        <v>10.098000000000001</v>
      </c>
      <c r="AD136" s="2">
        <v>0.38</v>
      </c>
      <c r="AE136" s="2">
        <v>5</v>
      </c>
      <c r="AF136" t="s">
        <v>51</v>
      </c>
      <c r="AG136" t="s">
        <v>1237</v>
      </c>
      <c r="AH136">
        <v>67</v>
      </c>
      <c r="AI136" t="s">
        <v>443</v>
      </c>
      <c r="AJ136">
        <v>1.4</v>
      </c>
      <c r="AK136">
        <v>2.89</v>
      </c>
      <c r="AL136">
        <v>21.1</v>
      </c>
      <c r="AM136">
        <v>-88</v>
      </c>
      <c r="AN136">
        <v>7.08</v>
      </c>
      <c r="AO136">
        <v>744</v>
      </c>
      <c r="AP136">
        <v>1</v>
      </c>
      <c r="AQ136">
        <v>0.01</v>
      </c>
      <c r="AR136">
        <v>12</v>
      </c>
      <c r="AS136">
        <v>12</v>
      </c>
      <c r="AT136">
        <v>400</v>
      </c>
      <c r="AU136" s="32">
        <f t="shared" si="89"/>
        <v>0.15362949686339777</v>
      </c>
      <c r="AV136">
        <v>0.5</v>
      </c>
      <c r="AW136" s="32">
        <f t="shared" si="90"/>
        <v>1.9535489472541785E-4</v>
      </c>
      <c r="AX136">
        <v>200</v>
      </c>
      <c r="AY136" s="32">
        <f t="shared" si="91"/>
        <v>7.9118395026843744E-2</v>
      </c>
      <c r="AZ136">
        <v>100</v>
      </c>
      <c r="BA136" s="32">
        <f t="shared" si="92"/>
        <v>3.9559197513421872E-2</v>
      </c>
      <c r="BB136">
        <v>62</v>
      </c>
      <c r="BC136" s="32">
        <f t="shared" si="93"/>
        <v>2.4526702458321559E-2</v>
      </c>
      <c r="BD136">
        <v>162</v>
      </c>
      <c r="BF136" s="48">
        <v>765.5</v>
      </c>
      <c r="BG136" s="48">
        <f t="shared" si="94"/>
        <v>0.23294324678496692</v>
      </c>
      <c r="BH136">
        <v>540</v>
      </c>
      <c r="BI136" s="32">
        <f t="shared" si="95"/>
        <v>0.20223141140672546</v>
      </c>
      <c r="BJ136" s="47">
        <v>500</v>
      </c>
      <c r="BK136" s="27">
        <f t="shared" si="96"/>
        <v>0.18725130685807911</v>
      </c>
      <c r="BL136" s="47">
        <v>0.11</v>
      </c>
      <c r="BM136" s="27">
        <f t="shared" si="97"/>
        <v>4.0475721138051117E-5</v>
      </c>
      <c r="BN136" s="47">
        <v>0.01</v>
      </c>
      <c r="BO136" s="27">
        <f t="shared" si="98"/>
        <v>3.7611049867064394E-6</v>
      </c>
      <c r="BP136" s="47">
        <v>5.0000000000000001E-3</v>
      </c>
      <c r="BQ136" s="27">
        <f t="shared" si="99"/>
        <v>1.8649981951630372E-6</v>
      </c>
      <c r="BR136" s="47">
        <v>1E-3</v>
      </c>
      <c r="BS136" s="27">
        <f t="shared" si="100"/>
        <v>3.7030802895135499E-7</v>
      </c>
      <c r="BT136" s="47">
        <v>1E-3</v>
      </c>
      <c r="BU136" s="27">
        <f t="shared" si="101"/>
        <v>3.7030802895135499E-7</v>
      </c>
      <c r="BV136" s="47">
        <v>1E-3</v>
      </c>
      <c r="BW136" s="27">
        <f t="shared" si="102"/>
        <v>3.6588380716934485E-7</v>
      </c>
      <c r="BX136" s="47">
        <v>2E-3</v>
      </c>
      <c r="BY136" s="27">
        <f t="shared" si="103"/>
        <v>7.3176761433868969E-7</v>
      </c>
      <c r="BZ136" s="51">
        <f t="shared" si="104"/>
        <v>500.12999999999994</v>
      </c>
      <c r="CA136" s="51">
        <f t="shared" si="105"/>
        <v>0.13</v>
      </c>
      <c r="CB136" s="27">
        <f t="shared" si="106"/>
        <v>0.18729924694987846</v>
      </c>
      <c r="CC136" s="27">
        <f t="shared" si="107"/>
        <v>4.7940091799331339E-5</v>
      </c>
      <c r="CD136">
        <v>980</v>
      </c>
      <c r="CE136">
        <v>2.5</v>
      </c>
      <c r="CF136" t="s">
        <v>19</v>
      </c>
      <c r="CG136">
        <v>1000</v>
      </c>
      <c r="CH136" s="32">
        <v>17</v>
      </c>
      <c r="CI136" s="32">
        <f t="shared" si="108"/>
        <v>0.30438675022381378</v>
      </c>
      <c r="CJ136" s="32">
        <f t="shared" si="109"/>
        <v>0.30438675022381378</v>
      </c>
      <c r="CK136" s="32">
        <v>4.5</v>
      </c>
      <c r="CL136" s="32">
        <f t="shared" si="110"/>
        <v>8.1922446750409619E-2</v>
      </c>
      <c r="CM136" s="32">
        <f t="shared" si="111"/>
        <v>0.16384489350081924</v>
      </c>
      <c r="CN136" s="27">
        <v>6.6</v>
      </c>
      <c r="CO136" s="27">
        <f t="shared" si="112"/>
        <v>6.8707058088694567E-2</v>
      </c>
      <c r="CP136" s="27">
        <f t="shared" si="113"/>
        <v>0.54965646470955654</v>
      </c>
      <c r="CQ136" s="57">
        <v>72.400000000000006</v>
      </c>
      <c r="CR136" s="57">
        <v>91.64556962025317</v>
      </c>
      <c r="CS136" s="57">
        <v>6.029564855298772</v>
      </c>
      <c r="CT136" s="57">
        <f t="shared" si="114"/>
        <v>6.029564855298772</v>
      </c>
      <c r="CU136" s="28">
        <v>72.400000000000006</v>
      </c>
      <c r="CV136" s="28">
        <v>91.64556962025317</v>
      </c>
      <c r="CW136" s="28">
        <v>6.029564855298772</v>
      </c>
      <c r="CX136" s="28">
        <f t="shared" si="115"/>
        <v>6.029564855298772</v>
      </c>
      <c r="CY136" s="32">
        <f t="shared" si="116"/>
        <v>42.086362689985428</v>
      </c>
      <c r="CZ136" s="32">
        <f t="shared" si="117"/>
        <v>42.086362689985428</v>
      </c>
      <c r="DA136" s="32">
        <f t="shared" si="118"/>
        <v>59.086362689985428</v>
      </c>
      <c r="DB136" s="32">
        <f t="shared" si="119"/>
        <v>1.0579474071617803</v>
      </c>
      <c r="DC136" s="32">
        <f t="shared" si="120"/>
        <v>1.0579474071617803</v>
      </c>
      <c r="DD136" s="59">
        <f t="shared" si="121"/>
        <v>42.086362689985428</v>
      </c>
      <c r="DE136" s="59">
        <f t="shared" si="122"/>
        <v>42.086362689985428</v>
      </c>
      <c r="DF136" s="59">
        <f t="shared" si="123"/>
        <v>59.086362689985428</v>
      </c>
      <c r="DG136" s="59">
        <f t="shared" si="124"/>
        <v>1.0579474071617803</v>
      </c>
      <c r="DH136" s="59">
        <f t="shared" si="125"/>
        <v>1.0579474071617803</v>
      </c>
      <c r="DI136" s="32">
        <f t="shared" si="126"/>
        <v>0.54965646470955654</v>
      </c>
      <c r="DJ136" s="32">
        <f t="shared" si="127"/>
        <v>63.586362689985428</v>
      </c>
      <c r="DK136" s="32">
        <f t="shared" si="128"/>
        <v>1.2217923006625995</v>
      </c>
      <c r="DL136">
        <f t="shared" si="129"/>
        <v>7.2513571559613714</v>
      </c>
      <c r="DM136">
        <f t="shared" si="134"/>
        <v>2.2595065996179994E-2</v>
      </c>
      <c r="DN136">
        <f t="shared" si="135"/>
        <v>0.14589646936532938</v>
      </c>
      <c r="DO136">
        <f t="shared" si="136"/>
        <v>0.8315084646384906</v>
      </c>
      <c r="DP136">
        <f t="shared" si="130"/>
        <v>7.2513571559613714</v>
      </c>
      <c r="DQ136">
        <f t="shared" si="137"/>
        <v>2.2595065996179994E-2</v>
      </c>
      <c r="DR136">
        <f t="shared" si="138"/>
        <v>0.14589646936532938</v>
      </c>
      <c r="DS136">
        <f t="shared" si="139"/>
        <v>0.8315084646384906</v>
      </c>
      <c r="DT136" s="63">
        <f t="shared" si="140"/>
        <v>-6.8161824977696792</v>
      </c>
      <c r="DU136" s="63">
        <f t="shared" si="141"/>
        <v>-6.8161824977696792</v>
      </c>
      <c r="DV136" s="63">
        <f t="shared" si="142"/>
        <v>-6.8161345576778798</v>
      </c>
      <c r="DW136" s="63">
        <f t="shared" si="143"/>
        <v>-6.8161345576778798</v>
      </c>
      <c r="DX136" t="str">
        <f t="shared" si="131"/>
        <v>Sufficient Capacity</v>
      </c>
      <c r="DY136" t="str">
        <f t="shared" si="132"/>
        <v>Sufficient Capacity</v>
      </c>
      <c r="DZ136" t="str">
        <f t="shared" si="133"/>
        <v>Sulfate Dominant electron acceptor</v>
      </c>
      <c r="EA136" t="str">
        <f t="shared" si="144"/>
        <v>Sulfate Dominant electron acceptor</v>
      </c>
      <c r="EB136">
        <v>9.4400149999999995E-3</v>
      </c>
      <c r="EC136">
        <v>1.4920389999999999E-3</v>
      </c>
      <c r="ED136" s="66">
        <v>1.5029230000000001E-7</v>
      </c>
      <c r="EE136">
        <v>5.5286889999999996E-4</v>
      </c>
      <c r="EF136">
        <v>4.7148279999999999E-3</v>
      </c>
      <c r="EG136" s="66">
        <v>3.1336659999999998E-5</v>
      </c>
      <c r="EH136">
        <v>3.1532100000000003E-4</v>
      </c>
      <c r="EI136" s="66">
        <v>9.9000849999999999E-5</v>
      </c>
      <c r="EJ136">
        <v>4.5541800000000002E-4</v>
      </c>
      <c r="EK136">
        <v>8.1530160000000003E-4</v>
      </c>
      <c r="EL136">
        <v>4.3354670000000001E-4</v>
      </c>
      <c r="EM136">
        <v>2.8500489999999998E-4</v>
      </c>
      <c r="EN136">
        <v>2.2679470000000002E-3</v>
      </c>
      <c r="EO136">
        <v>9.7432620000000004E-4</v>
      </c>
      <c r="EP136">
        <v>2.155321E-3</v>
      </c>
      <c r="EQ136">
        <v>1.103311E-3</v>
      </c>
      <c r="ER136">
        <v>3.8825319999999998E-4</v>
      </c>
      <c r="ES136">
        <v>7.8588789999999996E-4</v>
      </c>
      <c r="ET136">
        <v>1.0063910000000001E-2</v>
      </c>
      <c r="EU136">
        <v>2.8890650000000001E-3</v>
      </c>
      <c r="EV136">
        <v>8.4126119999999999E-3</v>
      </c>
      <c r="EW136">
        <v>6.5917730000000004E-4</v>
      </c>
      <c r="EX136">
        <v>4.4318969999999997E-3</v>
      </c>
      <c r="EY136">
        <v>6.6045230000000002E-3</v>
      </c>
      <c r="EZ136">
        <v>1.47303E-3</v>
      </c>
      <c r="FA136">
        <v>1.025532E-3</v>
      </c>
      <c r="FB136">
        <v>1.064859E-3</v>
      </c>
      <c r="FC136">
        <v>1.926554E-3</v>
      </c>
      <c r="FD136">
        <v>5.4593999999999997E-4</v>
      </c>
      <c r="FE136">
        <v>2.4554650000000001E-2</v>
      </c>
      <c r="FF136">
        <v>1.0904189999999999E-2</v>
      </c>
      <c r="FG136">
        <v>6.6059589999999998E-3</v>
      </c>
      <c r="FH136">
        <v>7.0316379999999998E-4</v>
      </c>
      <c r="FI136">
        <v>1.453146E-3</v>
      </c>
      <c r="FJ136">
        <v>8.1787890000000005E-3</v>
      </c>
      <c r="FK136">
        <v>-3.5276415374696897E-2</v>
      </c>
      <c r="FL136">
        <v>2.45673160172926E-2</v>
      </c>
      <c r="FM136">
        <v>0.95300602547817304</v>
      </c>
      <c r="FN136">
        <v>6.0019012416305799E-2</v>
      </c>
      <c r="FO136">
        <v>0.22094746085171499</v>
      </c>
      <c r="FP136">
        <v>2.9228674229672801E-2</v>
      </c>
      <c r="FQ136">
        <v>0.12526600772046101</v>
      </c>
      <c r="FR136">
        <v>-4.9671356088959201E-2</v>
      </c>
      <c r="FS136">
        <v>0.102886359395871</v>
      </c>
      <c r="FT136">
        <v>0.109103753899175</v>
      </c>
      <c r="FU136">
        <v>0.17696225459322801</v>
      </c>
      <c r="FV136">
        <v>1.7277501631576299E-2</v>
      </c>
      <c r="FW136">
        <v>-9.0879418439538298E-2</v>
      </c>
      <c r="FX136">
        <v>-2.0132485586326101E-2</v>
      </c>
      <c r="FY136">
        <v>0.121084164919198</v>
      </c>
      <c r="FZ136">
        <v>0.14794889158949001</v>
      </c>
      <c r="GA136">
        <v>4.2179945386990901E-2</v>
      </c>
      <c r="GB136">
        <v>-4.9516869014719397E-2</v>
      </c>
      <c r="GC136">
        <v>2.24556651460786E-2</v>
      </c>
      <c r="GD136">
        <v>-0.115548729386274</v>
      </c>
      <c r="GE136">
        <v>-2.5153189612443502E-2</v>
      </c>
      <c r="GF136">
        <v>0.14516069203441001</v>
      </c>
      <c r="GG136">
        <v>8.0930183014299203E-2</v>
      </c>
      <c r="GH136">
        <v>7.4363676918859603E-2</v>
      </c>
      <c r="GI136">
        <v>2.7912306718481401E-2</v>
      </c>
      <c r="GJ136">
        <v>0.42432910346694303</v>
      </c>
      <c r="GK136">
        <v>5.1393539579792397E-2</v>
      </c>
      <c r="GL136">
        <v>-0.315556360417999</v>
      </c>
      <c r="GM136">
        <v>-0.24423479995692901</v>
      </c>
      <c r="GN136">
        <v>-0.120181821925657</v>
      </c>
      <c r="GO136">
        <v>1.1916974882396399E-2</v>
      </c>
      <c r="GP136">
        <v>-0.258548358718514</v>
      </c>
      <c r="GR136" s="66"/>
      <c r="GT136" s="66"/>
      <c r="GV136" s="66"/>
      <c r="GZ136" s="66"/>
      <c r="HK136" s="1"/>
      <c r="HL136" s="1"/>
      <c r="HM136" s="1"/>
      <c r="HN136" s="1"/>
      <c r="HO136" s="65"/>
      <c r="HP136" s="65"/>
      <c r="HQ136" s="65"/>
      <c r="HS136" s="65"/>
      <c r="HT136" s="65"/>
      <c r="HU136" s="65"/>
      <c r="HV136" s="65"/>
      <c r="HW136" s="65"/>
      <c r="HX136" s="65"/>
      <c r="JJ136" s="66"/>
      <c r="JL136" s="66"/>
      <c r="JN136" s="66"/>
    </row>
    <row r="137" spans="1:278" ht="15.75" x14ac:dyDescent="0.25">
      <c r="A137" s="7" t="s">
        <v>190</v>
      </c>
      <c r="B137" s="7" t="s">
        <v>190</v>
      </c>
      <c r="C137" s="2" t="s">
        <v>971</v>
      </c>
      <c r="D137" s="2" t="s">
        <v>579</v>
      </c>
      <c r="E137" s="2" t="s">
        <v>579</v>
      </c>
      <c r="F137" s="2">
        <v>136</v>
      </c>
      <c r="G137" s="2" t="s">
        <v>970</v>
      </c>
      <c r="H137" s="10" t="s">
        <v>656</v>
      </c>
      <c r="I137" s="2">
        <v>150</v>
      </c>
      <c r="J137" s="2">
        <v>65</v>
      </c>
      <c r="K137" s="2">
        <v>3.1</v>
      </c>
      <c r="L137" t="s">
        <v>365</v>
      </c>
      <c r="M137" s="2" t="s">
        <v>1120</v>
      </c>
      <c r="N137" s="2" t="s">
        <v>437</v>
      </c>
      <c r="O137" s="2" t="s">
        <v>653</v>
      </c>
      <c r="P137" s="2" t="s">
        <v>1124</v>
      </c>
      <c r="Q137" s="9" t="s">
        <v>734</v>
      </c>
      <c r="R137" s="2" t="str">
        <f t="shared" si="145"/>
        <v>CW_3_Section_1</v>
      </c>
      <c r="S137" s="2" t="str">
        <f t="shared" si="146"/>
        <v>CW_3_MF02</v>
      </c>
      <c r="T137" s="11" t="s">
        <v>937</v>
      </c>
      <c r="U137" s="1">
        <v>45827</v>
      </c>
      <c r="V137" s="2" t="s">
        <v>692</v>
      </c>
      <c r="W137" s="2" t="s">
        <v>663</v>
      </c>
      <c r="X137" s="2" t="s">
        <v>936</v>
      </c>
      <c r="Y137" s="2" t="str">
        <f t="shared" si="147"/>
        <v>T5_MF02</v>
      </c>
      <c r="Z137" s="2" t="str">
        <f t="shared" si="148"/>
        <v>T5_CW_3_MF02</v>
      </c>
      <c r="AA137" s="2" t="str">
        <f t="shared" si="149"/>
        <v>T5_0.60-0.80</v>
      </c>
      <c r="AB137" s="2">
        <v>307</v>
      </c>
      <c r="AC137" s="2">
        <v>10.098000000000001</v>
      </c>
      <c r="AD137" s="2">
        <v>0.38</v>
      </c>
      <c r="AE137" s="2">
        <v>5</v>
      </c>
      <c r="AF137" t="s">
        <v>53</v>
      </c>
      <c r="AG137" t="s">
        <v>1237</v>
      </c>
      <c r="AH137">
        <v>72</v>
      </c>
      <c r="AI137" t="s">
        <v>443</v>
      </c>
      <c r="AJ137">
        <v>0.74</v>
      </c>
      <c r="AK137">
        <v>0.61</v>
      </c>
      <c r="AL137">
        <v>21.8</v>
      </c>
      <c r="AM137">
        <v>-56</v>
      </c>
      <c r="AN137">
        <v>7.09</v>
      </c>
      <c r="AO137">
        <v>812</v>
      </c>
      <c r="AP137">
        <v>2</v>
      </c>
      <c r="AQ137">
        <v>0.01</v>
      </c>
      <c r="AR137">
        <v>9.6999999999999993</v>
      </c>
      <c r="AS137">
        <v>10</v>
      </c>
      <c r="AT137">
        <v>640</v>
      </c>
      <c r="AU137" s="32">
        <f t="shared" si="89"/>
        <v>0.24580719498143644</v>
      </c>
      <c r="AV137">
        <v>25</v>
      </c>
      <c r="AW137" s="32">
        <f t="shared" si="90"/>
        <v>9.7677447362708933E-3</v>
      </c>
      <c r="AX137">
        <v>440</v>
      </c>
      <c r="AY137" s="32">
        <f t="shared" si="91"/>
        <v>0.17406046905905623</v>
      </c>
      <c r="AZ137">
        <v>150</v>
      </c>
      <c r="BA137" s="32">
        <f t="shared" si="92"/>
        <v>5.9338796270132804E-2</v>
      </c>
      <c r="BB137">
        <v>83</v>
      </c>
      <c r="BC137" s="32">
        <f t="shared" si="93"/>
        <v>3.2834133936140153E-2</v>
      </c>
      <c r="BD137">
        <v>233</v>
      </c>
      <c r="BF137" s="48">
        <v>1338</v>
      </c>
      <c r="BG137" s="48">
        <f t="shared" si="94"/>
        <v>0.42963540877676354</v>
      </c>
      <c r="BH137">
        <v>1800</v>
      </c>
      <c r="BI137" s="32">
        <f t="shared" si="95"/>
        <v>0.6741047046890849</v>
      </c>
      <c r="BJ137" s="47">
        <v>4100</v>
      </c>
      <c r="BK137" s="27">
        <f t="shared" si="96"/>
        <v>1.5354607162362488</v>
      </c>
      <c r="BL137" s="47">
        <v>4</v>
      </c>
      <c r="BM137" s="27">
        <f t="shared" si="97"/>
        <v>1.4718444050200407E-3</v>
      </c>
      <c r="BN137" s="47">
        <v>340</v>
      </c>
      <c r="BO137" s="27">
        <f t="shared" si="98"/>
        <v>0.12787756954801893</v>
      </c>
      <c r="BP137" s="47">
        <v>64</v>
      </c>
      <c r="BQ137" s="27">
        <f t="shared" si="99"/>
        <v>2.3871976898086872E-2</v>
      </c>
      <c r="BR137" s="47">
        <v>40</v>
      </c>
      <c r="BS137" s="27">
        <f t="shared" si="100"/>
        <v>1.48123211580542E-2</v>
      </c>
      <c r="BT137" s="47">
        <v>2.1</v>
      </c>
      <c r="BU137" s="27">
        <f t="shared" si="101"/>
        <v>7.7764686079784555E-4</v>
      </c>
      <c r="BV137" s="47">
        <v>0.38</v>
      </c>
      <c r="BW137" s="27">
        <f t="shared" si="102"/>
        <v>1.3903584672435106E-4</v>
      </c>
      <c r="BX137" s="47">
        <v>0.37</v>
      </c>
      <c r="BY137" s="27">
        <f t="shared" si="103"/>
        <v>1.3537700865265761E-4</v>
      </c>
      <c r="BZ137" s="51">
        <f t="shared" si="104"/>
        <v>4550.8500000000004</v>
      </c>
      <c r="CA137" s="51">
        <f t="shared" si="105"/>
        <v>450.85</v>
      </c>
      <c r="CB137" s="27">
        <f t="shared" si="106"/>
        <v>1.7045464879616039</v>
      </c>
      <c r="CC137" s="27">
        <f t="shared" si="107"/>
        <v>0.16908577172535488</v>
      </c>
      <c r="CD137">
        <v>2900</v>
      </c>
      <c r="CE137">
        <v>870</v>
      </c>
      <c r="CF137" t="s">
        <v>19</v>
      </c>
      <c r="CG137">
        <v>3800</v>
      </c>
      <c r="CH137" s="32">
        <v>0.02</v>
      </c>
      <c r="CI137" s="32">
        <f t="shared" si="108"/>
        <v>3.5810205908683976E-4</v>
      </c>
      <c r="CJ137" s="32">
        <f t="shared" si="109"/>
        <v>3.5810205908683976E-4</v>
      </c>
      <c r="CK137" s="32">
        <v>0.9</v>
      </c>
      <c r="CL137" s="32">
        <f t="shared" si="110"/>
        <v>1.6384489350081924E-2</v>
      </c>
      <c r="CM137" s="32">
        <f t="shared" si="111"/>
        <v>3.2768978700163848E-2</v>
      </c>
      <c r="CN137" s="27">
        <v>42</v>
      </c>
      <c r="CO137" s="27">
        <f t="shared" si="112"/>
        <v>0.4372267332916927</v>
      </c>
      <c r="CP137" s="27">
        <f t="shared" si="113"/>
        <v>3.4978138663335416</v>
      </c>
      <c r="CQ137" s="57">
        <v>37</v>
      </c>
      <c r="CR137" s="57">
        <v>46.835443037974684</v>
      </c>
      <c r="CS137" s="57">
        <v>3.0814074536747866</v>
      </c>
      <c r="CT137" s="57">
        <f t="shared" si="114"/>
        <v>3.0814074536747866</v>
      </c>
      <c r="CU137" s="28">
        <v>37</v>
      </c>
      <c r="CV137" s="28">
        <v>46.835443037974684</v>
      </c>
      <c r="CW137" s="28">
        <v>3.0814074536747866</v>
      </c>
      <c r="CX137" s="28">
        <f t="shared" si="115"/>
        <v>3.0814074536747866</v>
      </c>
      <c r="CY137" s="32">
        <f t="shared" si="116"/>
        <v>21.508224026650009</v>
      </c>
      <c r="CZ137" s="32">
        <f t="shared" si="117"/>
        <v>21.508224026650009</v>
      </c>
      <c r="DA137" s="32">
        <f t="shared" si="118"/>
        <v>21.528224026650008</v>
      </c>
      <c r="DB137" s="32">
        <f t="shared" si="119"/>
        <v>0.38546506762130722</v>
      </c>
      <c r="DC137" s="32">
        <f t="shared" si="120"/>
        <v>0.38546506762130722</v>
      </c>
      <c r="DD137" s="59">
        <f t="shared" si="121"/>
        <v>21.508224026650009</v>
      </c>
      <c r="DE137" s="59">
        <f t="shared" si="122"/>
        <v>21.508224026650009</v>
      </c>
      <c r="DF137" s="59">
        <f t="shared" si="123"/>
        <v>21.528224026650008</v>
      </c>
      <c r="DG137" s="59">
        <f t="shared" si="124"/>
        <v>0.38546506762130722</v>
      </c>
      <c r="DH137" s="59">
        <f t="shared" si="125"/>
        <v>0.38546506762130722</v>
      </c>
      <c r="DI137" s="32">
        <f t="shared" si="126"/>
        <v>3.4978138663335416</v>
      </c>
      <c r="DJ137" s="32">
        <f t="shared" si="127"/>
        <v>22.428224026650007</v>
      </c>
      <c r="DK137" s="32">
        <f t="shared" si="128"/>
        <v>0.4182340463214711</v>
      </c>
      <c r="DL137">
        <f t="shared" si="129"/>
        <v>3.4996414999962577</v>
      </c>
      <c r="DM137">
        <f t="shared" si="134"/>
        <v>9.3635244353454175E-3</v>
      </c>
      <c r="DN137">
        <f t="shared" si="135"/>
        <v>0.11014415837214167</v>
      </c>
      <c r="DO137">
        <f t="shared" si="136"/>
        <v>0.88049231719251286</v>
      </c>
      <c r="DP137">
        <f t="shared" si="130"/>
        <v>3.4996414999962577</v>
      </c>
      <c r="DQ137">
        <f t="shared" si="137"/>
        <v>9.3635244353454175E-3</v>
      </c>
      <c r="DR137">
        <f t="shared" si="138"/>
        <v>0.11014415837214167</v>
      </c>
      <c r="DS137">
        <f t="shared" si="139"/>
        <v>0.88049231719251286</v>
      </c>
      <c r="DT137" s="63">
        <f t="shared" si="140"/>
        <v>-2.3959013865304093</v>
      </c>
      <c r="DU137" s="63">
        <f t="shared" si="141"/>
        <v>-2.3959013865304093</v>
      </c>
      <c r="DV137" s="63">
        <f t="shared" si="142"/>
        <v>-2.2268156148050542</v>
      </c>
      <c r="DW137" s="63">
        <f t="shared" si="143"/>
        <v>-2.2268156148050542</v>
      </c>
      <c r="DX137" t="str">
        <f t="shared" si="131"/>
        <v>Sufficient Capacity</v>
      </c>
      <c r="DY137" t="str">
        <f t="shared" si="132"/>
        <v>Sufficient Capacity</v>
      </c>
      <c r="DZ137" t="str">
        <f t="shared" si="133"/>
        <v>Sulfate Dominant electron acceptor</v>
      </c>
      <c r="EA137" t="str">
        <f t="shared" si="144"/>
        <v>Sulfate Dominant electron acceptor</v>
      </c>
      <c r="EB137">
        <v>9.1492069999999995E-3</v>
      </c>
      <c r="EC137">
        <v>1.6525800000000001E-3</v>
      </c>
      <c r="ED137" s="66">
        <v>3.2687680000000001E-7</v>
      </c>
      <c r="EE137">
        <v>3.6972179999999999E-4</v>
      </c>
      <c r="EF137">
        <v>3.6358240000000002E-3</v>
      </c>
      <c r="EG137" s="66">
        <v>6.2965169999999996E-6</v>
      </c>
      <c r="EH137">
        <v>1.6506029999999999E-4</v>
      </c>
      <c r="EI137" s="66">
        <v>4.8171709999999999E-5</v>
      </c>
      <c r="EJ137">
        <v>2.9914729999999998E-4</v>
      </c>
      <c r="EK137">
        <v>4.7719929999999998E-4</v>
      </c>
      <c r="EL137">
        <v>3.2104520000000001E-4</v>
      </c>
      <c r="EM137">
        <v>2.088142E-4</v>
      </c>
      <c r="EN137">
        <v>2.1349419999999999E-3</v>
      </c>
      <c r="EO137">
        <v>9.6839319999999997E-4</v>
      </c>
      <c r="EP137">
        <v>1.622643E-3</v>
      </c>
      <c r="EQ137">
        <v>1.250281E-3</v>
      </c>
      <c r="ER137">
        <v>2.7719380000000002E-4</v>
      </c>
      <c r="ES137">
        <v>4.2116970000000001E-4</v>
      </c>
      <c r="ET137">
        <v>7.0074999999999998E-3</v>
      </c>
      <c r="EU137">
        <v>2.5586509999999999E-3</v>
      </c>
      <c r="EV137">
        <v>9.4652420000000004E-3</v>
      </c>
      <c r="EW137">
        <v>4.7947799999999998E-4</v>
      </c>
      <c r="EX137">
        <v>5.4168030000000004E-3</v>
      </c>
      <c r="EY137">
        <v>6.7952849999999999E-3</v>
      </c>
      <c r="EZ137">
        <v>9.5886699999999997E-4</v>
      </c>
      <c r="FA137">
        <v>7.2299249999999995E-4</v>
      </c>
      <c r="FB137">
        <v>7.4173049999999997E-4</v>
      </c>
      <c r="FC137">
        <v>1.798046E-3</v>
      </c>
      <c r="FD137">
        <v>2.3785049999999999E-4</v>
      </c>
      <c r="FE137">
        <v>2.2030279999999999E-2</v>
      </c>
      <c r="FF137">
        <v>2.0335499999999999E-2</v>
      </c>
      <c r="FG137">
        <v>1.0963519999999999E-2</v>
      </c>
      <c r="FH137">
        <v>7.8367089999999996E-4</v>
      </c>
      <c r="FI137">
        <v>1.085857E-3</v>
      </c>
      <c r="FJ137">
        <v>1.455686E-2</v>
      </c>
      <c r="FK137">
        <v>-0.43764648733306299</v>
      </c>
      <c r="FL137">
        <v>-0.23530934977823001</v>
      </c>
      <c r="FM137">
        <v>-0.65178600932806097</v>
      </c>
      <c r="FN137">
        <v>-0.58726129346803901</v>
      </c>
      <c r="FO137">
        <v>-0.49940905581915002</v>
      </c>
      <c r="FP137">
        <v>-0.39105091008769199</v>
      </c>
      <c r="FQ137">
        <v>-0.410357875081789</v>
      </c>
      <c r="FR137">
        <v>-0.35008895111826499</v>
      </c>
      <c r="FS137">
        <v>-0.20817515234853501</v>
      </c>
      <c r="FT137">
        <v>4.8668216948652997E-2</v>
      </c>
      <c r="FU137">
        <v>0.170854302569657</v>
      </c>
      <c r="FV137">
        <v>-0.26660586544216303</v>
      </c>
      <c r="FW137">
        <v>3.4173248786784099E-2</v>
      </c>
      <c r="FX137">
        <v>-0.35707328914995001</v>
      </c>
      <c r="FY137">
        <v>-0.50269415612327595</v>
      </c>
      <c r="FZ137">
        <v>-0.21402586150550601</v>
      </c>
      <c r="GA137">
        <v>-7.9272808500775199E-2</v>
      </c>
      <c r="GB137">
        <v>6.8377474797616203E-2</v>
      </c>
      <c r="GC137">
        <v>-0.29583886503190099</v>
      </c>
      <c r="GD137">
        <v>8.5129350532667097E-2</v>
      </c>
      <c r="GE137">
        <v>3.3210823661651298E-3</v>
      </c>
      <c r="GF137">
        <v>-0.28416371168536098</v>
      </c>
      <c r="GG137">
        <v>-0.26863774964090598</v>
      </c>
      <c r="GH137">
        <v>-0.28724802844918701</v>
      </c>
      <c r="GI137">
        <v>-4.1120088374802001E-2</v>
      </c>
      <c r="GJ137">
        <v>-0.40653765108840001</v>
      </c>
      <c r="GK137">
        <v>-5.7089835419212399E-2</v>
      </c>
      <c r="GL137">
        <v>0.307664647746758</v>
      </c>
      <c r="GM137">
        <v>0.26236647741240798</v>
      </c>
      <c r="GN137">
        <v>-1.17825262041977E-2</v>
      </c>
      <c r="GO137">
        <v>-0.27944434945272301</v>
      </c>
      <c r="GP137">
        <v>0.31796990580626799</v>
      </c>
      <c r="GY137" s="65"/>
      <c r="HK137" s="1"/>
      <c r="HL137" s="1"/>
      <c r="HM137" s="65"/>
      <c r="HN137" s="1"/>
      <c r="HO137" s="65"/>
      <c r="HP137" s="65"/>
      <c r="HQ137" s="65"/>
      <c r="HS137" s="65"/>
      <c r="HT137" s="65"/>
      <c r="HU137" s="65"/>
      <c r="HV137" s="65"/>
      <c r="HW137" s="65"/>
      <c r="HX137" s="65"/>
      <c r="JL137" s="66"/>
      <c r="JN137" s="66"/>
    </row>
    <row r="138" spans="1:278" ht="15.75" x14ac:dyDescent="0.25">
      <c r="A138" s="7" t="s">
        <v>191</v>
      </c>
      <c r="B138" s="7" t="s">
        <v>191</v>
      </c>
      <c r="C138" s="2" t="s">
        <v>973</v>
      </c>
      <c r="D138" s="2" t="s">
        <v>580</v>
      </c>
      <c r="E138" s="2" t="s">
        <v>580</v>
      </c>
      <c r="F138" s="2">
        <v>137</v>
      </c>
      <c r="G138" s="2" t="s">
        <v>972</v>
      </c>
      <c r="H138" s="10" t="s">
        <v>656</v>
      </c>
      <c r="I138" s="2">
        <v>150</v>
      </c>
      <c r="J138" s="2">
        <v>65</v>
      </c>
      <c r="K138" s="2">
        <v>7.9</v>
      </c>
      <c r="L138" t="s">
        <v>366</v>
      </c>
      <c r="M138" s="2" t="s">
        <v>1120</v>
      </c>
      <c r="N138" s="2" t="s">
        <v>437</v>
      </c>
      <c r="O138" s="2" t="s">
        <v>666</v>
      </c>
      <c r="P138" s="2" t="s">
        <v>1131</v>
      </c>
      <c r="Q138" s="9" t="s">
        <v>737</v>
      </c>
      <c r="R138" s="2" t="str">
        <f t="shared" si="145"/>
        <v>CW_3_Section_2</v>
      </c>
      <c r="S138" s="2" t="str">
        <f t="shared" si="146"/>
        <v>CW_3_MF05</v>
      </c>
      <c r="T138" s="11" t="s">
        <v>937</v>
      </c>
      <c r="U138" s="1">
        <v>45827</v>
      </c>
      <c r="V138" s="2" t="s">
        <v>692</v>
      </c>
      <c r="W138" s="2" t="s">
        <v>655</v>
      </c>
      <c r="X138" s="2" t="s">
        <v>936</v>
      </c>
      <c r="Y138" s="2" t="str">
        <f t="shared" si="147"/>
        <v>T5_MF05</v>
      </c>
      <c r="Z138" s="2" t="str">
        <f t="shared" si="148"/>
        <v>T5_CW_3_MF05</v>
      </c>
      <c r="AA138" s="2" t="str">
        <f t="shared" si="149"/>
        <v>T5_0.15-0.30</v>
      </c>
      <c r="AB138" s="2">
        <v>307</v>
      </c>
      <c r="AC138" s="2">
        <v>10.098000000000001</v>
      </c>
      <c r="AD138" s="2">
        <v>0.38</v>
      </c>
      <c r="AE138" s="2">
        <v>5</v>
      </c>
      <c r="AF138" t="s">
        <v>55</v>
      </c>
      <c r="AG138" t="s">
        <v>1237</v>
      </c>
      <c r="AH138">
        <v>67</v>
      </c>
      <c r="AI138" t="s">
        <v>443</v>
      </c>
      <c r="AJ138">
        <v>1.4999999999999999E-2</v>
      </c>
      <c r="AK138">
        <v>3.77</v>
      </c>
      <c r="AL138">
        <v>21.9</v>
      </c>
      <c r="AM138">
        <v>-2.8</v>
      </c>
      <c r="AN138">
        <v>708</v>
      </c>
      <c r="AO138">
        <v>1090</v>
      </c>
      <c r="AP138">
        <v>0.1</v>
      </c>
      <c r="AQ138">
        <v>0.01</v>
      </c>
      <c r="AR138">
        <v>0.7</v>
      </c>
      <c r="AS138">
        <v>1.6</v>
      </c>
      <c r="AT138">
        <v>0.02</v>
      </c>
      <c r="AU138" s="32">
        <f t="shared" si="89"/>
        <v>7.6814748431698889E-6</v>
      </c>
      <c r="AV138">
        <v>0.02</v>
      </c>
      <c r="AW138" s="32">
        <f t="shared" si="90"/>
        <v>7.8141957890167132E-6</v>
      </c>
      <c r="AX138">
        <v>0.3</v>
      </c>
      <c r="AY138" s="32">
        <f t="shared" si="91"/>
        <v>1.1867759254026561E-4</v>
      </c>
      <c r="AZ138">
        <v>0.01</v>
      </c>
      <c r="BA138" s="32">
        <f t="shared" si="92"/>
        <v>3.9559197513421876E-6</v>
      </c>
      <c r="BB138">
        <v>0.02</v>
      </c>
      <c r="BC138" s="32">
        <f t="shared" si="93"/>
        <v>7.9118395026843752E-6</v>
      </c>
      <c r="BD138">
        <v>0.21</v>
      </c>
      <c r="BF138" s="48">
        <v>0.79</v>
      </c>
      <c r="BG138" s="48">
        <f t="shared" si="94"/>
        <v>1.3417326317245222E-4</v>
      </c>
      <c r="BH138">
        <v>5.8</v>
      </c>
      <c r="BI138" s="32">
        <f t="shared" si="95"/>
        <v>2.1721151595537175E-3</v>
      </c>
      <c r="BJ138" s="47">
        <v>0.8</v>
      </c>
      <c r="BK138" s="27">
        <f t="shared" si="96"/>
        <v>2.9960209097292662E-4</v>
      </c>
      <c r="BL138" s="47">
        <v>0.01</v>
      </c>
      <c r="BM138" s="27">
        <f t="shared" si="97"/>
        <v>3.6796110125501018E-6</v>
      </c>
      <c r="BN138" s="47">
        <v>0.2</v>
      </c>
      <c r="BO138" s="27">
        <f t="shared" si="98"/>
        <v>7.5222099734128785E-5</v>
      </c>
      <c r="BP138" s="47">
        <v>5.0000000000000001E-3</v>
      </c>
      <c r="BQ138" s="27">
        <f t="shared" si="99"/>
        <v>1.8649981951630372E-6</v>
      </c>
      <c r="BR138" s="47">
        <v>0.01</v>
      </c>
      <c r="BS138" s="27">
        <f t="shared" si="100"/>
        <v>3.7030802895135499E-6</v>
      </c>
      <c r="BT138" s="47">
        <v>1E-3</v>
      </c>
      <c r="BU138" s="27">
        <f t="shared" si="101"/>
        <v>3.7030802895135499E-7</v>
      </c>
      <c r="BV138" s="47">
        <v>1E-3</v>
      </c>
      <c r="BW138" s="27">
        <f t="shared" si="102"/>
        <v>3.6588380716934485E-7</v>
      </c>
      <c r="BX138" s="47">
        <v>2E-3</v>
      </c>
      <c r="BY138" s="27">
        <f t="shared" si="103"/>
        <v>7.3176761433868969E-7</v>
      </c>
      <c r="BZ138" s="51">
        <f t="shared" si="104"/>
        <v>1.0289999999999997</v>
      </c>
      <c r="CA138" s="51">
        <f t="shared" si="105"/>
        <v>0.22900000000000004</v>
      </c>
      <c r="CB138" s="27">
        <f t="shared" si="106"/>
        <v>3.8553983965474147E-4</v>
      </c>
      <c r="CC138" s="27">
        <f t="shared" si="107"/>
        <v>8.5937748681814868E-5</v>
      </c>
      <c r="CD138">
        <v>2.5</v>
      </c>
      <c r="CE138">
        <v>2.5</v>
      </c>
      <c r="CF138" t="s">
        <v>19</v>
      </c>
      <c r="CG138">
        <v>5</v>
      </c>
      <c r="CH138" s="32">
        <v>1.5</v>
      </c>
      <c r="CI138" s="32">
        <f t="shared" si="108"/>
        <v>2.685765443151298E-2</v>
      </c>
      <c r="CJ138" s="32">
        <f t="shared" si="109"/>
        <v>2.685765443151298E-2</v>
      </c>
      <c r="CK138" s="32">
        <v>7.9</v>
      </c>
      <c r="CL138" s="32">
        <f t="shared" si="110"/>
        <v>0.14381940651738578</v>
      </c>
      <c r="CM138" s="32">
        <f t="shared" si="111"/>
        <v>0.28763881303477157</v>
      </c>
      <c r="CN138" s="27">
        <v>71</v>
      </c>
      <c r="CO138" s="27">
        <f t="shared" si="112"/>
        <v>0.73912138246929004</v>
      </c>
      <c r="CP138" s="27">
        <f t="shared" si="113"/>
        <v>5.9129710597543204</v>
      </c>
      <c r="CQ138" s="57">
        <v>8</v>
      </c>
      <c r="CR138" s="57">
        <v>10.126582278481013</v>
      </c>
      <c r="CS138" s="57">
        <v>0.66625026025400791</v>
      </c>
      <c r="CT138" s="57">
        <f t="shared" si="114"/>
        <v>0.66625026025400791</v>
      </c>
      <c r="CU138" s="28">
        <v>-64.400000000000006</v>
      </c>
      <c r="CV138" s="28">
        <v>-975.75757575757598</v>
      </c>
      <c r="CW138" s="28">
        <v>-5.3633145950447636</v>
      </c>
      <c r="CX138" s="28">
        <f t="shared" si="115"/>
        <v>0</v>
      </c>
      <c r="CY138" s="32">
        <f t="shared" si="116"/>
        <v>4.650426816572975</v>
      </c>
      <c r="CZ138" s="32">
        <f t="shared" si="117"/>
        <v>4.650426816572975</v>
      </c>
      <c r="DA138" s="32">
        <f t="shared" si="118"/>
        <v>6.150426816572975</v>
      </c>
      <c r="DB138" s="32">
        <f t="shared" si="119"/>
        <v>0.11012402536388495</v>
      </c>
      <c r="DC138" s="32">
        <f t="shared" si="120"/>
        <v>0.11012402536388495</v>
      </c>
      <c r="DD138" s="59">
        <f t="shared" si="121"/>
        <v>-37.435935873412454</v>
      </c>
      <c r="DE138" s="59">
        <f t="shared" si="122"/>
        <v>0</v>
      </c>
      <c r="DF138" s="59">
        <f t="shared" si="123"/>
        <v>1.5</v>
      </c>
      <c r="DG138" s="59">
        <f t="shared" si="124"/>
        <v>2.685765443151298E-2</v>
      </c>
      <c r="DH138" s="59">
        <f t="shared" si="125"/>
        <v>2.685765443151298E-2</v>
      </c>
      <c r="DI138" s="32">
        <f t="shared" si="126"/>
        <v>5.9129710597543204</v>
      </c>
      <c r="DJ138" s="32">
        <f t="shared" si="127"/>
        <v>9.4</v>
      </c>
      <c r="DK138" s="32">
        <f t="shared" si="128"/>
        <v>0.31449646746628457</v>
      </c>
      <c r="DL138">
        <f t="shared" si="129"/>
        <v>1.0640130986526644</v>
      </c>
      <c r="DM138">
        <f t="shared" ref="DM138:DM169" si="150">$CM138/$DL138</f>
        <v>0.27033390227902465</v>
      </c>
      <c r="DN138">
        <f t="shared" ref="DN138:DN169" si="151">$DC138/$DL138</f>
        <v>0.10349874968957855</v>
      </c>
      <c r="DO138">
        <f t="shared" ref="DO138:DO169" si="152">$CT138/$DL138</f>
        <v>0.62616734803139684</v>
      </c>
      <c r="DP138">
        <f t="shared" si="130"/>
        <v>0.31449646746628457</v>
      </c>
      <c r="DQ138">
        <f t="shared" ref="DQ138:DQ169" si="153">$CM138/$DP138</f>
        <v>0.91460109346254492</v>
      </c>
      <c r="DR138">
        <f t="shared" ref="DR138:DR169" si="154">$DH138/$DP138</f>
        <v>8.5398906537454952E-2</v>
      </c>
      <c r="DS138">
        <f t="shared" ref="DS138:DS169" si="155">$CX138/$DP138</f>
        <v>0</v>
      </c>
      <c r="DT138" s="63">
        <f t="shared" ref="DT138:DT169" si="156">($BG138+$BI138)-$DL138</f>
        <v>-1.0617068102299383</v>
      </c>
      <c r="DU138" s="63">
        <f t="shared" ref="DU138:DU169" si="157">($BG138+$BI138)-$DP138</f>
        <v>-0.31219017904355839</v>
      </c>
      <c r="DV138" s="63">
        <f t="shared" ref="DV138:DV169" si="158">($BG138+$BI138+$CC138)-$DL138</f>
        <v>-1.0616208724812564</v>
      </c>
      <c r="DW138" s="63">
        <f t="shared" ref="DW138:DW169" si="159">($BG138+$BI138+$CC138)-$DP138</f>
        <v>-0.31210424129487657</v>
      </c>
      <c r="DX138" t="str">
        <f t="shared" si="131"/>
        <v>Sufficient Capacity</v>
      </c>
      <c r="DY138" t="str">
        <f t="shared" si="132"/>
        <v>Sufficient Capacity</v>
      </c>
      <c r="DZ138" t="str">
        <f t="shared" si="133"/>
        <v>Sulfate Dominant electron acceptor</v>
      </c>
      <c r="EA138" t="str">
        <f t="shared" ref="EA138:EA169" si="160">IF(COUNT($DQ138:$DS138)=0, "No Data", IF(MAX($DQ138:$DS138)=$DS138, "Sulfate Dominant electron acceptor", IF(MAX($DQ138:$DS138)=$DQ138, "Iron Dominant electron acceptor", "Manganese Dominant electron acceptor")))</f>
        <v>Iron Dominant electron acceptor</v>
      </c>
      <c r="EB138">
        <v>8.5189040000000008E-3</v>
      </c>
      <c r="EC138">
        <v>1.545205E-3</v>
      </c>
      <c r="ED138" s="66">
        <v>1.9942279999999999E-7</v>
      </c>
      <c r="EE138">
        <v>6.8245999999999997E-4</v>
      </c>
      <c r="EF138">
        <v>6.9627619999999999E-3</v>
      </c>
      <c r="EG138" s="66">
        <v>2.1109590000000001E-5</v>
      </c>
      <c r="EH138">
        <v>3.5482580000000002E-4</v>
      </c>
      <c r="EI138">
        <v>1.122699E-4</v>
      </c>
      <c r="EJ138">
        <v>3.7513230000000002E-4</v>
      </c>
      <c r="EK138">
        <v>7.0351590000000002E-4</v>
      </c>
      <c r="EL138">
        <v>4.7700120000000002E-4</v>
      </c>
      <c r="EM138">
        <v>4.2100850000000001E-4</v>
      </c>
      <c r="EN138">
        <v>1.9961340000000001E-3</v>
      </c>
      <c r="EO138">
        <v>6.944335E-4</v>
      </c>
      <c r="EP138">
        <v>3.1898400000000002E-3</v>
      </c>
      <c r="EQ138">
        <v>1.1623619999999999E-3</v>
      </c>
      <c r="ER138">
        <v>5.0508680000000002E-4</v>
      </c>
      <c r="ES138">
        <v>8.8560519999999999E-4</v>
      </c>
      <c r="ET138">
        <v>6.2883069999999999E-3</v>
      </c>
      <c r="EU138">
        <v>2.574401E-3</v>
      </c>
      <c r="EV138">
        <v>7.9542350000000005E-3</v>
      </c>
      <c r="EW138">
        <v>6.5259050000000005E-4</v>
      </c>
      <c r="EX138">
        <v>4.7841029999999996E-3</v>
      </c>
      <c r="EY138">
        <v>7.0397769999999997E-3</v>
      </c>
      <c r="EZ138">
        <v>2.0567099999999998E-3</v>
      </c>
      <c r="FA138">
        <v>1.224403E-3</v>
      </c>
      <c r="FB138">
        <v>1.2737829999999999E-3</v>
      </c>
      <c r="FC138">
        <v>2.0206019999999998E-3</v>
      </c>
      <c r="FD138">
        <v>4.132839E-4</v>
      </c>
      <c r="FE138">
        <v>2.5711890000000001E-2</v>
      </c>
      <c r="FF138">
        <v>1.574915E-2</v>
      </c>
      <c r="FG138">
        <v>9.4520070000000001E-3</v>
      </c>
      <c r="FH138">
        <v>7.3872860000000001E-4</v>
      </c>
      <c r="FI138">
        <v>1.767362E-3</v>
      </c>
      <c r="FJ138">
        <v>9.3062300000000004E-3</v>
      </c>
      <c r="FK138">
        <v>0.17530659901602599</v>
      </c>
      <c r="FL138">
        <v>0.41443111462555898</v>
      </c>
      <c r="FM138">
        <v>0.55794480689594295</v>
      </c>
      <c r="FN138">
        <v>0.178054809663518</v>
      </c>
      <c r="FO138">
        <v>0.34672481865579302</v>
      </c>
      <c r="FP138">
        <v>-0.16470824055942199</v>
      </c>
      <c r="FQ138">
        <v>-2.22016208359248E-2</v>
      </c>
      <c r="FR138">
        <v>4.5848132304112901E-2</v>
      </c>
      <c r="FS138">
        <v>0.49303300979488102</v>
      </c>
      <c r="FT138">
        <v>-1.8558953182172801E-2</v>
      </c>
      <c r="FU138">
        <v>-0.16168749530777499</v>
      </c>
      <c r="FV138">
        <v>0.40930859205127201</v>
      </c>
      <c r="FW138">
        <v>-3.8740935508288402E-2</v>
      </c>
      <c r="FX138">
        <v>0.242940106000402</v>
      </c>
      <c r="FY138">
        <v>0.24054125662902701</v>
      </c>
      <c r="FZ138">
        <v>-0.32231498847200202</v>
      </c>
      <c r="GA138">
        <v>-7.3136089282722402E-2</v>
      </c>
      <c r="GB138">
        <v>-0.10554438618635099</v>
      </c>
      <c r="GC138">
        <v>1.24129497206225E-2</v>
      </c>
      <c r="GD138">
        <v>-3.9077891972103998E-2</v>
      </c>
      <c r="GE138">
        <v>3.8668586569656299E-2</v>
      </c>
      <c r="GF138">
        <v>0.47894680688181801</v>
      </c>
      <c r="GG138">
        <v>0.258172058946053</v>
      </c>
      <c r="GH138">
        <v>0.25351249386047198</v>
      </c>
      <c r="GI138">
        <v>7.5574878736844694E-2</v>
      </c>
      <c r="GJ138">
        <v>0.14595478987480301</v>
      </c>
      <c r="GK138">
        <v>9.7445824734263595E-2</v>
      </c>
      <c r="GL138">
        <v>5.2082916102675902E-2</v>
      </c>
      <c r="GM138">
        <v>0.11402017948108201</v>
      </c>
      <c r="GN138">
        <v>-7.0841087568549496E-2</v>
      </c>
      <c r="GO138">
        <v>0.20767415294173799</v>
      </c>
      <c r="GP138">
        <v>-0.12940838600927099</v>
      </c>
      <c r="GR138" s="66"/>
      <c r="GT138" s="66"/>
      <c r="GV138" s="66"/>
      <c r="GW138" s="65"/>
      <c r="GZ138" s="66"/>
      <c r="HK138" s="1"/>
      <c r="HL138" s="1"/>
      <c r="HM138" s="65"/>
      <c r="HN138" s="1"/>
      <c r="HO138" s="65"/>
      <c r="HS138" s="65"/>
      <c r="HT138" s="65"/>
      <c r="HV138" s="65"/>
      <c r="HW138" s="65"/>
      <c r="HX138" s="65"/>
      <c r="IJ138" s="66"/>
      <c r="IL138" s="66"/>
      <c r="JD138" s="66"/>
      <c r="JF138" s="66"/>
      <c r="JH138" s="66"/>
      <c r="JJ138" s="66"/>
      <c r="JL138" s="66"/>
      <c r="JN138" s="66"/>
    </row>
    <row r="139" spans="1:278" ht="15.75" x14ac:dyDescent="0.25">
      <c r="A139" s="7" t="s">
        <v>192</v>
      </c>
      <c r="B139" s="7" t="s">
        <v>192</v>
      </c>
      <c r="C139" s="2" t="s">
        <v>975</v>
      </c>
      <c r="D139" s="2" t="s">
        <v>581</v>
      </c>
      <c r="E139" s="2" t="s">
        <v>581</v>
      </c>
      <c r="F139" s="2">
        <v>138</v>
      </c>
      <c r="G139" s="2" t="s">
        <v>974</v>
      </c>
      <c r="H139" s="10" t="s">
        <v>656</v>
      </c>
      <c r="I139" s="2">
        <v>150</v>
      </c>
      <c r="J139" s="2">
        <v>65</v>
      </c>
      <c r="K139" s="2">
        <v>2</v>
      </c>
      <c r="L139" t="s">
        <v>367</v>
      </c>
      <c r="M139" s="2" t="s">
        <v>1120</v>
      </c>
      <c r="N139" s="2" t="s">
        <v>437</v>
      </c>
      <c r="O139" s="2" t="s">
        <v>666</v>
      </c>
      <c r="P139" s="2" t="s">
        <v>1132</v>
      </c>
      <c r="Q139" s="9" t="s">
        <v>740</v>
      </c>
      <c r="R139" s="2" t="str">
        <f t="shared" si="145"/>
        <v>CW_3_Section_2</v>
      </c>
      <c r="S139" s="2" t="str">
        <f t="shared" si="146"/>
        <v>CW_3_MF06</v>
      </c>
      <c r="T139" s="11" t="s">
        <v>937</v>
      </c>
      <c r="U139" s="1">
        <v>45827</v>
      </c>
      <c r="V139" s="2" t="s">
        <v>692</v>
      </c>
      <c r="W139" s="2" t="s">
        <v>663</v>
      </c>
      <c r="X139" s="2" t="s">
        <v>936</v>
      </c>
      <c r="Y139" s="2" t="str">
        <f t="shared" si="147"/>
        <v>T5_MF06</v>
      </c>
      <c r="Z139" s="2" t="str">
        <f t="shared" si="148"/>
        <v>T5_CW_3_MF06</v>
      </c>
      <c r="AA139" s="2" t="str">
        <f t="shared" si="149"/>
        <v>T5_0.60-0.80</v>
      </c>
      <c r="AB139" s="2">
        <v>307</v>
      </c>
      <c r="AC139" s="2">
        <v>10.098000000000001</v>
      </c>
      <c r="AD139" s="2">
        <v>0.38</v>
      </c>
      <c r="AE139" s="2">
        <v>5</v>
      </c>
      <c r="AF139" t="s">
        <v>57</v>
      </c>
      <c r="AG139" t="s">
        <v>1237</v>
      </c>
      <c r="AH139">
        <v>75</v>
      </c>
      <c r="AI139" t="s">
        <v>443</v>
      </c>
      <c r="AJ139">
        <v>0.73</v>
      </c>
      <c r="AK139">
        <v>0.18</v>
      </c>
      <c r="AL139">
        <v>21.9</v>
      </c>
      <c r="AM139">
        <v>-25</v>
      </c>
      <c r="AN139">
        <v>7.16</v>
      </c>
      <c r="AO139">
        <v>1036</v>
      </c>
      <c r="AP139">
        <v>0.2</v>
      </c>
      <c r="AQ139">
        <v>0.01</v>
      </c>
      <c r="AR139">
        <v>8.1</v>
      </c>
      <c r="AS139">
        <v>8.4</v>
      </c>
      <c r="AT139">
        <v>580</v>
      </c>
      <c r="AU139" s="32">
        <f t="shared" ref="AU139:AU202" si="161">($AT139/78110)*30</f>
        <v>0.22276277045192677</v>
      </c>
      <c r="AV139">
        <v>33</v>
      </c>
      <c r="AW139" s="32">
        <f t="shared" ref="AW139:AW202" si="162">($AV139/92140)*36</f>
        <v>1.2893423051877576E-2</v>
      </c>
      <c r="AX139">
        <v>500</v>
      </c>
      <c r="AY139" s="32">
        <f t="shared" ref="AY139:AY202" si="163">($AX139/106170)*42</f>
        <v>0.19779598756710934</v>
      </c>
      <c r="AZ139">
        <v>170</v>
      </c>
      <c r="BA139" s="32">
        <f t="shared" ref="BA139:BA202" si="164">($AZ139/106170)*42</f>
        <v>6.7250635772817174E-2</v>
      </c>
      <c r="BB139">
        <v>110</v>
      </c>
      <c r="BC139" s="32">
        <f t="shared" ref="BC139:BC202" si="165">($BB139/106170)*42</f>
        <v>4.3515117264764057E-2</v>
      </c>
      <c r="BD139">
        <v>280</v>
      </c>
      <c r="BF139" s="48">
        <v>1393</v>
      </c>
      <c r="BG139" s="48">
        <f t="shared" ref="BG139:BG202" si="166">$AU139+$AW139+$AY139+$BE139</f>
        <v>0.43345218107091366</v>
      </c>
      <c r="BH139">
        <v>1800</v>
      </c>
      <c r="BI139" s="32">
        <f t="shared" ref="BI139:BI202" si="167">($BH139/128170)*48</f>
        <v>0.6741047046890849</v>
      </c>
      <c r="BJ139" s="47">
        <v>3300</v>
      </c>
      <c r="BK139" s="27">
        <f t="shared" ref="BK139:BK202" si="168">($BJ139/128170)*48</f>
        <v>1.2358586252633221</v>
      </c>
      <c r="BL139" s="47">
        <v>40</v>
      </c>
      <c r="BM139" s="27">
        <f t="shared" ref="BM139:BM202" si="169">($BL139/152190)*56</f>
        <v>1.4718444050200407E-2</v>
      </c>
      <c r="BN139" s="47">
        <v>360</v>
      </c>
      <c r="BO139" s="27">
        <f t="shared" ref="BO139:BO202" si="170">($BN139/154210)*58</f>
        <v>0.13539977952143184</v>
      </c>
      <c r="BP139" s="47">
        <v>83</v>
      </c>
      <c r="BQ139" s="27">
        <f t="shared" ref="BQ139:BQ202" si="171">($BP139/166220)*62</f>
        <v>3.0958970039706414E-2</v>
      </c>
      <c r="BR139" s="47">
        <v>63</v>
      </c>
      <c r="BS139" s="27">
        <f t="shared" ref="BS139:BS202" si="172">($BR139/178230)*66</f>
        <v>2.3329405823935362E-2</v>
      </c>
      <c r="BT139" s="47">
        <v>4.0999999999999996</v>
      </c>
      <c r="BU139" s="27">
        <f t="shared" ref="BU139:BU202" si="173">($BT139/178230)*66</f>
        <v>1.5182629187005553E-3</v>
      </c>
      <c r="BV139" s="47">
        <v>0.95</v>
      </c>
      <c r="BW139" s="27">
        <f t="shared" ref="BW139:BW202" si="174">($BV139/202250)*74</f>
        <v>3.4758961681087758E-4</v>
      </c>
      <c r="BX139" s="47">
        <v>0.99</v>
      </c>
      <c r="BY139" s="27">
        <f t="shared" ref="BY139:BY202" si="175">($BX139/202250)*74</f>
        <v>3.6222496909765138E-4</v>
      </c>
      <c r="BZ139" s="51">
        <f t="shared" ref="BZ139:BZ202" si="176">$BJ139+$BL139+$BN139+$BP139+$BR139+$BT139+$BV139+$BX139</f>
        <v>3852.0399999999995</v>
      </c>
      <c r="CA139" s="51">
        <f t="shared" ref="CA139:CA202" si="177">$BL139+$BN139+$BP139+$BR139+$BT139+$BV139+$BX139</f>
        <v>552.04000000000008</v>
      </c>
      <c r="CB139" s="27">
        <f t="shared" ref="CB139:CB202" si="178">$BK139+$BM139+$BO139+$BQ139+$BS139+$BU139+$BW139+$BY139</f>
        <v>1.4424933022032049</v>
      </c>
      <c r="CC139" s="27">
        <f t="shared" ref="CC139:CC202" si="179">$BM139+$BO139+$BQ139+$BS139+$BU139+$BW139+$BY139</f>
        <v>0.20663467693988311</v>
      </c>
      <c r="CD139">
        <v>2900</v>
      </c>
      <c r="CE139">
        <v>1100</v>
      </c>
      <c r="CF139" t="s">
        <v>19</v>
      </c>
      <c r="CG139">
        <v>4100</v>
      </c>
      <c r="CH139" s="32">
        <v>0.02</v>
      </c>
      <c r="CI139" s="32">
        <f t="shared" ref="CI139:CI202" si="180">$CH139/55.85</f>
        <v>3.5810205908683976E-4</v>
      </c>
      <c r="CJ139" s="32">
        <f t="shared" ref="CJ139:CJ202" si="181">$CI139*1</f>
        <v>3.5810205908683976E-4</v>
      </c>
      <c r="CK139" s="32">
        <v>0.8</v>
      </c>
      <c r="CL139" s="32">
        <f t="shared" ref="CL139:CL202" si="182">$CK139/54.93</f>
        <v>1.4563990533406155E-2</v>
      </c>
      <c r="CM139" s="32">
        <f t="shared" ref="CM139:CM202" si="183">$CL139*2</f>
        <v>2.912798106681231E-2</v>
      </c>
      <c r="CN139" s="27">
        <v>43</v>
      </c>
      <c r="CO139" s="27">
        <f t="shared" ref="CO139:CO202" si="184">CN139/96.06</f>
        <v>0.44763689360816156</v>
      </c>
      <c r="CP139" s="27">
        <f t="shared" ref="CP139:CP202" si="185">CO139*8</f>
        <v>3.5810951488652925</v>
      </c>
      <c r="CQ139" s="57">
        <v>36</v>
      </c>
      <c r="CR139" s="57">
        <v>45.569620253164558</v>
      </c>
      <c r="CS139" s="57">
        <v>2.9981261711430354</v>
      </c>
      <c r="CT139" s="57">
        <f t="shared" ref="CT139:CT202" si="186">IF($CS139&lt;0, 0,  $CS139)</f>
        <v>2.9981261711430354</v>
      </c>
      <c r="CU139" s="28">
        <v>-1</v>
      </c>
      <c r="CV139" s="28">
        <v>-2.3809523809523809</v>
      </c>
      <c r="CW139" s="28">
        <v>-8.3281282531750989E-2</v>
      </c>
      <c r="CX139" s="28">
        <f t="shared" ref="CX139:CX202" si="187">IF($CW139&lt;0, 0,  $CW139)</f>
        <v>0</v>
      </c>
      <c r="CY139" s="32">
        <f t="shared" ref="CY139:CY202" si="188">$CQ139*(55.84/96.06)</f>
        <v>20.926920674578387</v>
      </c>
      <c r="CZ139" s="32">
        <f t="shared" ref="CZ139:CZ202" si="189">IF($CY139&lt;0, 0,  $CY139)</f>
        <v>20.926920674578387</v>
      </c>
      <c r="DA139" s="32">
        <f t="shared" ref="DA139:DA202" si="190">$CH139+$CZ139</f>
        <v>20.946920674578386</v>
      </c>
      <c r="DB139" s="32">
        <f t="shared" ref="DB139:DB202" si="191">$DA139/55.85</f>
        <v>0.37505677125476072</v>
      </c>
      <c r="DC139" s="32">
        <f t="shared" ref="DC139:DC202" si="192">$DB139*1</f>
        <v>0.37505677125476072</v>
      </c>
      <c r="DD139" s="59">
        <f t="shared" ref="DD139:DD202" si="193">$CU139*(55.84/96.06)</f>
        <v>-0.58130335207162187</v>
      </c>
      <c r="DE139" s="59">
        <f t="shared" ref="DE139:DE202" si="194">IF($DD139&lt;0, 0,  $DD139)</f>
        <v>0</v>
      </c>
      <c r="DF139" s="59">
        <f t="shared" ref="DF139:DF202" si="195">$CH139+$DE139</f>
        <v>0.02</v>
      </c>
      <c r="DG139" s="59">
        <f t="shared" ref="DG139:DG202" si="196">$DF139/55.85</f>
        <v>3.5810205908683976E-4</v>
      </c>
      <c r="DH139" s="59">
        <f t="shared" ref="DH139:DH202" si="197">$DG139*1</f>
        <v>3.5810205908683976E-4</v>
      </c>
      <c r="DI139" s="32">
        <f t="shared" ref="DI139:DI202" si="198">$CP139</f>
        <v>3.5810951488652925</v>
      </c>
      <c r="DJ139" s="32">
        <f t="shared" ref="DJ139:DJ202" si="199">$CK139+$DF139</f>
        <v>0.82000000000000006</v>
      </c>
      <c r="DK139" s="32">
        <f t="shared" ref="DK139:DK202" si="200">$CM139+$DH139</f>
        <v>2.9486083125899148E-2</v>
      </c>
      <c r="DL139">
        <f t="shared" ref="DL139:DL202" si="201">$DC139+$CM139+$CT139</f>
        <v>3.4023109234646083</v>
      </c>
      <c r="DM139">
        <f t="shared" si="150"/>
        <v>8.5612343263298772E-3</v>
      </c>
      <c r="DN139">
        <f t="shared" si="151"/>
        <v>0.1102358895737949</v>
      </c>
      <c r="DO139">
        <f t="shared" si="152"/>
        <v>0.88120287609987524</v>
      </c>
      <c r="DP139">
        <f t="shared" ref="DP139:DP202" si="202">$DH139+$CM139+$CX139</f>
        <v>2.9486083125899148E-2</v>
      </c>
      <c r="DQ139">
        <f t="shared" si="153"/>
        <v>0.9878552177460187</v>
      </c>
      <c r="DR139">
        <f t="shared" si="154"/>
        <v>1.2144782253981379E-2</v>
      </c>
      <c r="DS139">
        <f t="shared" si="155"/>
        <v>0</v>
      </c>
      <c r="DT139" s="63">
        <f t="shared" si="156"/>
        <v>-2.2947540377046098</v>
      </c>
      <c r="DU139" s="63">
        <f t="shared" si="157"/>
        <v>1.0780708026340993</v>
      </c>
      <c r="DV139" s="63">
        <f t="shared" si="158"/>
        <v>-2.0881193607647268</v>
      </c>
      <c r="DW139" s="63">
        <f t="shared" si="159"/>
        <v>1.2847054795739823</v>
      </c>
      <c r="DX139" t="str">
        <f t="shared" ref="DX139:DX202" si="203">IF(DV139&lt;0, "Sufficient Capacity", "Insufficient Capacity")</f>
        <v>Sufficient Capacity</v>
      </c>
      <c r="DY139" t="str">
        <f t="shared" ref="DY139:DY202" si="204">IF($DW139&lt;0, "Sufficient Capacity", "Insufficient Capacity")</f>
        <v>Insufficient Capacity</v>
      </c>
      <c r="DZ139" t="str">
        <f t="shared" ref="DZ139:DZ202" si="205">IF(COUNT($DM139:$DO139)=0, "No Data", IF(MAX($DM139:$DO139)=$DO139, "Sulfate Dominant electron acceptor", IF(MAX($DM139:$DO139)=$DM139, "Iron Dominant electron acceptor", "Manganese Dominant electron acceptor")))</f>
        <v>Sulfate Dominant electron acceptor</v>
      </c>
      <c r="EA139" t="str">
        <f t="shared" si="160"/>
        <v>Iron Dominant electron acceptor</v>
      </c>
      <c r="EB139">
        <v>9.7057010000000006E-3</v>
      </c>
      <c r="EC139">
        <v>1.9232419999999999E-3</v>
      </c>
      <c r="ED139" s="66">
        <v>3.1847589999999997E-8</v>
      </c>
      <c r="EE139">
        <v>2.28481E-4</v>
      </c>
      <c r="EF139">
        <v>2.3624100000000001E-3</v>
      </c>
      <c r="EG139" s="66">
        <v>2.0744119999999999E-6</v>
      </c>
      <c r="EH139">
        <v>1.016009E-4</v>
      </c>
      <c r="EI139" s="66">
        <v>2.2287520000000001E-5</v>
      </c>
      <c r="EJ139">
        <v>2.7388039999999997E-4</v>
      </c>
      <c r="EK139">
        <v>3.9535219999999998E-4</v>
      </c>
      <c r="EL139">
        <v>2.7911849999999997E-4</v>
      </c>
      <c r="EM139">
        <v>1.0687399999999999E-4</v>
      </c>
      <c r="EN139">
        <v>2.2329199999999998E-3</v>
      </c>
      <c r="EO139">
        <v>8.2708930000000003E-4</v>
      </c>
      <c r="EP139">
        <v>1.194673E-3</v>
      </c>
      <c r="EQ139">
        <v>1.343665E-3</v>
      </c>
      <c r="ER139">
        <v>1.6599879999999999E-4</v>
      </c>
      <c r="ES139">
        <v>2.9987509999999999E-4</v>
      </c>
      <c r="ET139">
        <v>6.9086950000000003E-3</v>
      </c>
      <c r="EU139">
        <v>2.8569820000000001E-3</v>
      </c>
      <c r="EV139">
        <v>9.5757859999999993E-3</v>
      </c>
      <c r="EW139">
        <v>3.6201709999999999E-4</v>
      </c>
      <c r="EX139">
        <v>5.6372840000000002E-3</v>
      </c>
      <c r="EY139">
        <v>6.7129809999999998E-3</v>
      </c>
      <c r="EZ139">
        <v>6.7566139999999995E-4</v>
      </c>
      <c r="FA139">
        <v>6.4087710000000002E-4</v>
      </c>
      <c r="FB139">
        <v>6.4677829999999997E-4</v>
      </c>
      <c r="FC139">
        <v>1.930214E-3</v>
      </c>
      <c r="FD139">
        <v>1.43084E-4</v>
      </c>
      <c r="FE139">
        <v>1.899288E-2</v>
      </c>
      <c r="FF139">
        <v>1.8507030000000001E-2</v>
      </c>
      <c r="FG139">
        <v>9.7345220000000007E-3</v>
      </c>
      <c r="FH139">
        <v>1.0209710000000001E-3</v>
      </c>
      <c r="FI139">
        <v>1.1959550000000001E-3</v>
      </c>
      <c r="FJ139">
        <v>1.359107E-2</v>
      </c>
      <c r="FK139">
        <v>-0.91894426237461901</v>
      </c>
      <c r="FL139">
        <v>-0.66646283565940301</v>
      </c>
      <c r="FM139">
        <v>-1.76210489267</v>
      </c>
      <c r="FN139">
        <v>-1.0725197617789599</v>
      </c>
      <c r="FO139">
        <v>-1.27015409455175</v>
      </c>
      <c r="FP139">
        <v>-0.47929548956510398</v>
      </c>
      <c r="FQ139">
        <v>-0.59851508522331298</v>
      </c>
      <c r="FR139">
        <v>-0.49003445147293101</v>
      </c>
      <c r="FS139">
        <v>-0.87796944321943504</v>
      </c>
      <c r="FT139">
        <v>9.3538882886944605E-2</v>
      </c>
      <c r="FU139">
        <v>1.31287692693505E-2</v>
      </c>
      <c r="FV139">
        <v>-0.57278965897796896</v>
      </c>
      <c r="FW139">
        <v>0.106205877815458</v>
      </c>
      <c r="FX139">
        <v>-0.86980963027844505</v>
      </c>
      <c r="FY139">
        <v>-0.84236394184146202</v>
      </c>
      <c r="FZ139">
        <v>-0.22822610234778901</v>
      </c>
      <c r="GA139">
        <v>3.1012847935118999E-2</v>
      </c>
      <c r="GB139">
        <v>7.9988743051970304E-2</v>
      </c>
      <c r="GC139">
        <v>-0.57684542889747703</v>
      </c>
      <c r="GD139">
        <v>0.12502595074988901</v>
      </c>
      <c r="GE139">
        <v>-8.8647923388345297E-3</v>
      </c>
      <c r="GF139">
        <v>-0.63422402783668796</v>
      </c>
      <c r="GG139">
        <v>-0.38919889143334502</v>
      </c>
      <c r="GH139">
        <v>-0.42423042073696499</v>
      </c>
      <c r="GI139">
        <v>2.98102695198166E-2</v>
      </c>
      <c r="GJ139">
        <v>-0.91474810574163201</v>
      </c>
      <c r="GK139">
        <v>-0.205443534000745</v>
      </c>
      <c r="GL139">
        <v>0.21344718044390601</v>
      </c>
      <c r="GM139">
        <v>0.14347161601004799</v>
      </c>
      <c r="GN139">
        <v>0.25273772621714102</v>
      </c>
      <c r="GO139">
        <v>-0.18286885701714101</v>
      </c>
      <c r="GP139">
        <v>0.249320505063374</v>
      </c>
      <c r="GY139" s="65"/>
      <c r="HK139" s="1"/>
      <c r="HL139" s="1"/>
      <c r="HM139" s="65"/>
      <c r="HN139" s="1"/>
      <c r="HO139" s="65"/>
      <c r="HP139" s="65"/>
      <c r="HQ139" s="65"/>
      <c r="HS139" s="65"/>
      <c r="HV139" s="65"/>
      <c r="HW139" s="65"/>
      <c r="HX139" s="65"/>
    </row>
    <row r="140" spans="1:278" ht="15.75" x14ac:dyDescent="0.25">
      <c r="A140" s="7" t="s">
        <v>193</v>
      </c>
      <c r="B140" s="7" t="s">
        <v>193</v>
      </c>
      <c r="C140" s="2" t="s">
        <v>977</v>
      </c>
      <c r="D140" s="2" t="s">
        <v>582</v>
      </c>
      <c r="E140" s="2" t="s">
        <v>582</v>
      </c>
      <c r="F140" s="2">
        <v>139</v>
      </c>
      <c r="G140" s="2" t="s">
        <v>976</v>
      </c>
      <c r="H140" s="10" t="s">
        <v>656</v>
      </c>
      <c r="I140" s="2">
        <v>150</v>
      </c>
      <c r="J140" s="2">
        <v>65</v>
      </c>
      <c r="K140" s="2">
        <v>11.4</v>
      </c>
      <c r="L140" t="s">
        <v>368</v>
      </c>
      <c r="M140" s="2" t="s">
        <v>1120</v>
      </c>
      <c r="N140" s="2" t="s">
        <v>437</v>
      </c>
      <c r="O140" s="2" t="s">
        <v>673</v>
      </c>
      <c r="P140" s="2" t="s">
        <v>1127</v>
      </c>
      <c r="Q140" s="9" t="s">
        <v>743</v>
      </c>
      <c r="R140" s="2" t="str">
        <f t="shared" si="145"/>
        <v>CW_3_Section_3</v>
      </c>
      <c r="S140" s="2" t="str">
        <f t="shared" si="146"/>
        <v>CW_3_MF09</v>
      </c>
      <c r="T140" s="11" t="s">
        <v>937</v>
      </c>
      <c r="U140" s="1">
        <v>45827</v>
      </c>
      <c r="V140" s="2" t="s">
        <v>692</v>
      </c>
      <c r="W140" s="2" t="s">
        <v>655</v>
      </c>
      <c r="X140" s="2" t="s">
        <v>936</v>
      </c>
      <c r="Y140" s="2" t="str">
        <f t="shared" si="147"/>
        <v>T5_MF09</v>
      </c>
      <c r="Z140" s="2" t="str">
        <f t="shared" si="148"/>
        <v>T5_CW_3_MF09</v>
      </c>
      <c r="AA140" s="2" t="str">
        <f t="shared" si="149"/>
        <v>T5_0.15-0.30</v>
      </c>
      <c r="AB140" s="2">
        <v>307</v>
      </c>
      <c r="AC140" s="2">
        <v>10.098000000000001</v>
      </c>
      <c r="AD140" s="2">
        <v>0.38</v>
      </c>
      <c r="AE140" s="2">
        <v>5</v>
      </c>
      <c r="AF140" t="s">
        <v>59</v>
      </c>
      <c r="AG140" t="s">
        <v>1237</v>
      </c>
      <c r="AH140">
        <v>61</v>
      </c>
      <c r="AI140" t="s">
        <v>443</v>
      </c>
      <c r="AJ140">
        <v>1.7</v>
      </c>
      <c r="AK140">
        <v>5.21</v>
      </c>
      <c r="AL140">
        <v>20.8</v>
      </c>
      <c r="AM140">
        <v>-44</v>
      </c>
      <c r="AN140">
        <v>6.92</v>
      </c>
      <c r="AO140">
        <v>1025</v>
      </c>
      <c r="AP140">
        <v>0.1</v>
      </c>
      <c r="AQ140">
        <v>0.01</v>
      </c>
      <c r="AR140">
        <v>17</v>
      </c>
      <c r="AS140">
        <v>18</v>
      </c>
      <c r="AT140">
        <v>180</v>
      </c>
      <c r="AU140" s="32">
        <f t="shared" si="161"/>
        <v>6.9133273588528998E-2</v>
      </c>
      <c r="AV140">
        <v>0.1</v>
      </c>
      <c r="AW140" s="32">
        <f t="shared" si="162"/>
        <v>3.9070978945083576E-5</v>
      </c>
      <c r="AX140">
        <v>42</v>
      </c>
      <c r="AY140" s="32">
        <f t="shared" si="163"/>
        <v>1.6614862955637185E-2</v>
      </c>
      <c r="AZ140">
        <v>26</v>
      </c>
      <c r="BA140" s="32">
        <f t="shared" si="164"/>
        <v>1.0285391353489687E-2</v>
      </c>
      <c r="BB140">
        <v>13</v>
      </c>
      <c r="BC140" s="32">
        <f t="shared" si="165"/>
        <v>5.1426956767448434E-3</v>
      </c>
      <c r="BD140">
        <v>39</v>
      </c>
      <c r="BF140" s="48">
        <v>261.7</v>
      </c>
      <c r="BG140" s="48">
        <f t="shared" si="166"/>
        <v>8.5787207523111267E-2</v>
      </c>
      <c r="BH140">
        <v>28</v>
      </c>
      <c r="BI140" s="32">
        <f t="shared" si="167"/>
        <v>1.048607318405243E-2</v>
      </c>
      <c r="BJ140" s="47">
        <v>32</v>
      </c>
      <c r="BK140" s="27">
        <f t="shared" si="168"/>
        <v>1.1984083638917061E-2</v>
      </c>
      <c r="BL140" s="47">
        <v>0.33</v>
      </c>
      <c r="BM140" s="27">
        <f t="shared" si="169"/>
        <v>1.2142716341415337E-4</v>
      </c>
      <c r="BN140" s="47">
        <v>0.7</v>
      </c>
      <c r="BO140" s="27">
        <f t="shared" si="170"/>
        <v>2.6327734906945072E-4</v>
      </c>
      <c r="BP140" s="47">
        <v>0.16</v>
      </c>
      <c r="BQ140" s="27">
        <f t="shared" si="171"/>
        <v>5.9679942245217189E-5</v>
      </c>
      <c r="BR140" s="47">
        <v>0.06</v>
      </c>
      <c r="BS140" s="27">
        <f t="shared" si="172"/>
        <v>2.22184817370813E-5</v>
      </c>
      <c r="BT140" s="47">
        <v>1E-3</v>
      </c>
      <c r="BU140" s="27">
        <f t="shared" si="173"/>
        <v>3.7030802895135499E-7</v>
      </c>
      <c r="BV140" s="47">
        <v>1E-3</v>
      </c>
      <c r="BW140" s="27">
        <f t="shared" si="174"/>
        <v>3.6588380716934485E-7</v>
      </c>
      <c r="BX140" s="47">
        <v>2E-3</v>
      </c>
      <c r="BY140" s="27">
        <f t="shared" si="175"/>
        <v>7.3176761433868969E-7</v>
      </c>
      <c r="BZ140" s="51">
        <f t="shared" si="176"/>
        <v>33.253999999999998</v>
      </c>
      <c r="CA140" s="51">
        <f t="shared" si="177"/>
        <v>1.2539999999999998</v>
      </c>
      <c r="CB140" s="27">
        <f t="shared" si="178"/>
        <v>1.2452154534833424E-2</v>
      </c>
      <c r="CC140" s="27">
        <f t="shared" si="179"/>
        <v>4.6807089591636189E-4</v>
      </c>
      <c r="CD140">
        <v>55</v>
      </c>
      <c r="CE140">
        <v>2.5</v>
      </c>
      <c r="CF140" t="s">
        <v>19</v>
      </c>
      <c r="CG140">
        <v>65</v>
      </c>
      <c r="CH140" s="32">
        <v>18</v>
      </c>
      <c r="CI140" s="32">
        <f t="shared" si="180"/>
        <v>0.32229185317815578</v>
      </c>
      <c r="CJ140" s="32">
        <f t="shared" si="181"/>
        <v>0.32229185317815578</v>
      </c>
      <c r="CK140" s="32">
        <v>5.3</v>
      </c>
      <c r="CL140" s="32">
        <f t="shared" si="182"/>
        <v>9.6486437283815757E-2</v>
      </c>
      <c r="CM140" s="32">
        <f t="shared" si="183"/>
        <v>0.19297287456763151</v>
      </c>
      <c r="CN140" s="27">
        <v>0.5</v>
      </c>
      <c r="CO140" s="27">
        <f t="shared" si="184"/>
        <v>5.2050801582344368E-3</v>
      </c>
      <c r="CP140" s="27">
        <f t="shared" si="185"/>
        <v>4.1640641265875494E-2</v>
      </c>
      <c r="CQ140" s="57">
        <v>78.5</v>
      </c>
      <c r="CR140" s="57">
        <v>99.367088607594937</v>
      </c>
      <c r="CS140" s="57">
        <v>6.5375806787424526</v>
      </c>
      <c r="CT140" s="57">
        <f t="shared" si="186"/>
        <v>6.5375806787424526</v>
      </c>
      <c r="CU140" s="28">
        <v>70.5</v>
      </c>
      <c r="CV140" s="28">
        <v>99.295774647887328</v>
      </c>
      <c r="CW140" s="28">
        <v>5.8713304184884443</v>
      </c>
      <c r="CX140" s="28">
        <f t="shared" si="187"/>
        <v>5.8713304184884443</v>
      </c>
      <c r="CY140" s="32">
        <f t="shared" si="188"/>
        <v>45.632313137622319</v>
      </c>
      <c r="CZ140" s="32">
        <f t="shared" si="189"/>
        <v>45.632313137622319</v>
      </c>
      <c r="DA140" s="32">
        <f t="shared" si="190"/>
        <v>63.632313137622319</v>
      </c>
      <c r="DB140" s="32">
        <f t="shared" si="191"/>
        <v>1.1393431179520559</v>
      </c>
      <c r="DC140" s="32">
        <f t="shared" si="192"/>
        <v>1.1393431179520559</v>
      </c>
      <c r="DD140" s="59">
        <f t="shared" si="193"/>
        <v>40.981886321049345</v>
      </c>
      <c r="DE140" s="59">
        <f t="shared" si="194"/>
        <v>40.981886321049345</v>
      </c>
      <c r="DF140" s="59">
        <f t="shared" si="195"/>
        <v>58.981886321049345</v>
      </c>
      <c r="DG140" s="59">
        <f t="shared" si="196"/>
        <v>1.0560767470196839</v>
      </c>
      <c r="DH140" s="59">
        <f t="shared" si="197"/>
        <v>1.0560767470196839</v>
      </c>
      <c r="DI140" s="32">
        <f t="shared" si="198"/>
        <v>4.1640641265875494E-2</v>
      </c>
      <c r="DJ140" s="32">
        <f t="shared" si="199"/>
        <v>64.281886321049342</v>
      </c>
      <c r="DK140" s="32">
        <f t="shared" si="200"/>
        <v>1.2490496215873155</v>
      </c>
      <c r="DL140">
        <f t="shared" si="201"/>
        <v>7.8698966712621399</v>
      </c>
      <c r="DM140">
        <f t="shared" si="150"/>
        <v>2.4520382239870419E-2</v>
      </c>
      <c r="DN140">
        <f t="shared" si="151"/>
        <v>0.14477230966862656</v>
      </c>
      <c r="DO140">
        <f t="shared" si="152"/>
        <v>0.83070730809150306</v>
      </c>
      <c r="DP140">
        <f t="shared" si="202"/>
        <v>7.1203800400757595</v>
      </c>
      <c r="DQ140">
        <f t="shared" si="153"/>
        <v>2.7101485241169558E-2</v>
      </c>
      <c r="DR140">
        <f t="shared" si="154"/>
        <v>0.14831746916256558</v>
      </c>
      <c r="DS140">
        <f t="shared" si="155"/>
        <v>0.82458104559626488</v>
      </c>
      <c r="DT140" s="63">
        <f t="shared" si="156"/>
        <v>-7.7736233905549765</v>
      </c>
      <c r="DU140" s="63">
        <f t="shared" si="157"/>
        <v>-7.0241067593685962</v>
      </c>
      <c r="DV140" s="63">
        <f t="shared" si="158"/>
        <v>-7.7731553196590601</v>
      </c>
      <c r="DW140" s="63">
        <f t="shared" si="159"/>
        <v>-7.0236386884726798</v>
      </c>
      <c r="DX140" t="str">
        <f t="shared" si="203"/>
        <v>Sufficient Capacity</v>
      </c>
      <c r="DY140" t="str">
        <f t="shared" si="204"/>
        <v>Sufficient Capacity</v>
      </c>
      <c r="DZ140" t="str">
        <f t="shared" si="205"/>
        <v>Sulfate Dominant electron acceptor</v>
      </c>
      <c r="EA140" t="str">
        <f t="shared" si="160"/>
        <v>Sulfate Dominant electron acceptor</v>
      </c>
      <c r="EB140">
        <v>9.2715200000000001E-3</v>
      </c>
      <c r="EC140">
        <v>1.704026E-3</v>
      </c>
      <c r="ED140" s="66">
        <v>4.4099030000000001E-7</v>
      </c>
      <c r="EE140">
        <v>5.667844E-4</v>
      </c>
      <c r="EF140">
        <v>3.5870239999999999E-3</v>
      </c>
      <c r="EG140" s="66">
        <v>1.076217E-5</v>
      </c>
      <c r="EH140">
        <v>3.355896E-4</v>
      </c>
      <c r="EI140" s="66">
        <v>4.089325E-5</v>
      </c>
      <c r="EJ140">
        <v>4.7248329999999999E-4</v>
      </c>
      <c r="EK140">
        <v>6.9504080000000002E-4</v>
      </c>
      <c r="EL140">
        <v>3.6549869999999998E-4</v>
      </c>
      <c r="EM140">
        <v>2.469018E-4</v>
      </c>
      <c r="EN140">
        <v>2.3998460000000002E-3</v>
      </c>
      <c r="EO140">
        <v>8.5048039999999995E-4</v>
      </c>
      <c r="EP140">
        <v>1.8728359999999999E-3</v>
      </c>
      <c r="EQ140">
        <v>1.0386149999999999E-3</v>
      </c>
      <c r="ER140">
        <v>3.1003349999999999E-4</v>
      </c>
      <c r="ES140">
        <v>6.2328419999999995E-4</v>
      </c>
      <c r="ET140">
        <v>8.5325139999999997E-3</v>
      </c>
      <c r="EU140">
        <v>2.9976949999999999E-3</v>
      </c>
      <c r="EV140">
        <v>8.4162430000000003E-3</v>
      </c>
      <c r="EW140">
        <v>5.1968469999999999E-4</v>
      </c>
      <c r="EX140">
        <v>4.7964619999999996E-3</v>
      </c>
      <c r="EY140">
        <v>6.1828810000000003E-3</v>
      </c>
      <c r="EZ140">
        <v>1.1486140000000001E-3</v>
      </c>
      <c r="FA140">
        <v>1.0340219999999999E-3</v>
      </c>
      <c r="FB140">
        <v>1.0680819999999999E-3</v>
      </c>
      <c r="FC140">
        <v>2.2509259999999999E-3</v>
      </c>
      <c r="FD140">
        <v>3.0344889999999998E-4</v>
      </c>
      <c r="FE140">
        <v>2.2547169999999998E-2</v>
      </c>
      <c r="FF140">
        <v>1.1611639999999999E-2</v>
      </c>
      <c r="FG140">
        <v>7.0802089999999996E-3</v>
      </c>
      <c r="FH140">
        <v>1.0065499999999999E-3</v>
      </c>
      <c r="FI140">
        <v>1.491214E-3</v>
      </c>
      <c r="FJ140">
        <v>9.0026670000000007E-3</v>
      </c>
      <c r="FK140">
        <v>-1.0418333764977901E-2</v>
      </c>
      <c r="FL140">
        <v>-0.248822230725675</v>
      </c>
      <c r="FM140">
        <v>-0.115745425437976</v>
      </c>
      <c r="FN140">
        <v>0.12231682968810299</v>
      </c>
      <c r="FO140">
        <v>-0.66321596235071401</v>
      </c>
      <c r="FP140">
        <v>6.6015398083296303E-2</v>
      </c>
      <c r="FQ140">
        <v>-3.4321549536590702E-2</v>
      </c>
      <c r="FR140">
        <v>-0.22040815189237201</v>
      </c>
      <c r="FS140">
        <v>-4.0629326981907403E-2</v>
      </c>
      <c r="FT140">
        <v>0.16563330554188699</v>
      </c>
      <c r="FU140">
        <v>4.1017465725068397E-2</v>
      </c>
      <c r="FV140">
        <v>-0.123208307183501</v>
      </c>
      <c r="FW140">
        <v>-0.151306982421128</v>
      </c>
      <c r="FX140">
        <v>-0.24510983353642599</v>
      </c>
      <c r="FY140">
        <v>-0.11072740192917201</v>
      </c>
      <c r="FZ140">
        <v>-1.71228229797009E-2</v>
      </c>
      <c r="GA140">
        <v>7.9090685036788094E-2</v>
      </c>
      <c r="GB140">
        <v>-4.9085348265821303E-2</v>
      </c>
      <c r="GC140">
        <v>-0.21531459565719499</v>
      </c>
      <c r="GD140">
        <v>-3.6497875687965503E-2</v>
      </c>
      <c r="GE140">
        <v>-9.1123562891569407E-2</v>
      </c>
      <c r="GF140">
        <v>-0.103604813712164</v>
      </c>
      <c r="GG140">
        <v>8.9174733135893205E-2</v>
      </c>
      <c r="GH140">
        <v>7.7385797505438197E-2</v>
      </c>
      <c r="GI140">
        <v>0.183521079026957</v>
      </c>
      <c r="GJ140">
        <v>-0.16296674883382101</v>
      </c>
      <c r="GK140">
        <v>-3.3898146911993401E-2</v>
      </c>
      <c r="GL140">
        <v>-0.25269543618815898</v>
      </c>
      <c r="GM140">
        <v>-0.174903493383368</v>
      </c>
      <c r="GN140">
        <v>0.23851223292665599</v>
      </c>
      <c r="GO140">
        <v>3.7776666897468801E-2</v>
      </c>
      <c r="GP140">
        <v>-0.16257158759229101</v>
      </c>
      <c r="GR140" s="66"/>
      <c r="GT140" s="66"/>
      <c r="GV140" s="66"/>
      <c r="GW140" s="65"/>
      <c r="GX140" s="65"/>
      <c r="HK140" s="1"/>
      <c r="HL140" s="1"/>
      <c r="HM140" s="1"/>
      <c r="HN140" s="1"/>
      <c r="HO140" s="65"/>
      <c r="HP140" s="65"/>
      <c r="HQ140" s="65"/>
      <c r="HS140" s="65"/>
      <c r="HT140" s="65"/>
      <c r="HU140" s="65"/>
      <c r="HV140" s="65"/>
      <c r="HW140" s="65"/>
      <c r="HX140" s="65"/>
      <c r="IX140" s="66"/>
      <c r="IZ140" s="66"/>
      <c r="JD140" s="66"/>
      <c r="JF140" s="66"/>
      <c r="JH140" s="66"/>
      <c r="JJ140" s="66"/>
      <c r="JL140" s="66"/>
      <c r="JN140" s="66"/>
    </row>
    <row r="141" spans="1:278" ht="15.75" x14ac:dyDescent="0.25">
      <c r="A141" s="7" t="s">
        <v>194</v>
      </c>
      <c r="B141" s="7" t="s">
        <v>194</v>
      </c>
      <c r="C141" s="2" t="s">
        <v>979</v>
      </c>
      <c r="D141" s="2" t="s">
        <v>583</v>
      </c>
      <c r="E141" s="2" t="s">
        <v>583</v>
      </c>
      <c r="F141" s="2">
        <v>140</v>
      </c>
      <c r="G141" s="2" t="s">
        <v>978</v>
      </c>
      <c r="H141" s="10" t="s">
        <v>656</v>
      </c>
      <c r="I141" s="2">
        <v>150</v>
      </c>
      <c r="J141" s="2">
        <v>65</v>
      </c>
      <c r="K141" s="2">
        <v>3.6</v>
      </c>
      <c r="L141" t="s">
        <v>369</v>
      </c>
      <c r="M141" s="2" t="s">
        <v>1120</v>
      </c>
      <c r="N141" s="2" t="s">
        <v>437</v>
      </c>
      <c r="O141" s="2" t="s">
        <v>673</v>
      </c>
      <c r="P141" s="2" t="s">
        <v>1128</v>
      </c>
      <c r="Q141" s="9" t="s">
        <v>746</v>
      </c>
      <c r="R141" s="2" t="str">
        <f t="shared" si="145"/>
        <v>CW_3_Section_3</v>
      </c>
      <c r="S141" s="2" t="str">
        <f t="shared" si="146"/>
        <v>CW_3_MF10</v>
      </c>
      <c r="T141" s="11" t="s">
        <v>937</v>
      </c>
      <c r="U141" s="1">
        <v>45827</v>
      </c>
      <c r="V141" s="2" t="s">
        <v>692</v>
      </c>
      <c r="W141" s="2" t="s">
        <v>663</v>
      </c>
      <c r="X141" s="2" t="s">
        <v>936</v>
      </c>
      <c r="Y141" s="2" t="str">
        <f t="shared" si="147"/>
        <v>T5_MF10</v>
      </c>
      <c r="Z141" s="2" t="str">
        <f t="shared" si="148"/>
        <v>T5_CW_3_MF10</v>
      </c>
      <c r="AA141" s="2" t="str">
        <f t="shared" si="149"/>
        <v>T5_0.60-0.80</v>
      </c>
      <c r="AB141" s="2">
        <v>307</v>
      </c>
      <c r="AC141" s="2">
        <v>10.098000000000001</v>
      </c>
      <c r="AD141" s="2">
        <v>0.38</v>
      </c>
      <c r="AE141" s="2">
        <v>5</v>
      </c>
      <c r="AF141" t="s">
        <v>61</v>
      </c>
      <c r="AG141" t="s">
        <v>1237</v>
      </c>
      <c r="AH141">
        <v>68</v>
      </c>
      <c r="AI141" t="s">
        <v>443</v>
      </c>
      <c r="AJ141">
        <v>0.62</v>
      </c>
      <c r="AK141">
        <v>0.59</v>
      </c>
      <c r="AL141">
        <v>22</v>
      </c>
      <c r="AM141">
        <v>-51</v>
      </c>
      <c r="AN141">
        <v>7.11</v>
      </c>
      <c r="AO141">
        <v>988</v>
      </c>
      <c r="AP141">
        <v>0.2</v>
      </c>
      <c r="AQ141">
        <v>0.01</v>
      </c>
      <c r="AR141">
        <v>9.6</v>
      </c>
      <c r="AS141">
        <v>9.8000000000000007</v>
      </c>
      <c r="AT141">
        <v>610</v>
      </c>
      <c r="AU141" s="32">
        <f t="shared" si="161"/>
        <v>0.23428498271668158</v>
      </c>
      <c r="AV141">
        <v>9.1</v>
      </c>
      <c r="AW141" s="32">
        <f t="shared" si="162"/>
        <v>3.5554590840026047E-3</v>
      </c>
      <c r="AX141">
        <v>480</v>
      </c>
      <c r="AY141" s="32">
        <f t="shared" si="163"/>
        <v>0.189884148064425</v>
      </c>
      <c r="AZ141">
        <v>98</v>
      </c>
      <c r="BA141" s="32">
        <f t="shared" si="164"/>
        <v>3.8768013563153431E-2</v>
      </c>
      <c r="BB141">
        <v>59</v>
      </c>
      <c r="BC141" s="32">
        <f t="shared" si="165"/>
        <v>2.3339926532918904E-2</v>
      </c>
      <c r="BD141">
        <v>157</v>
      </c>
      <c r="BF141" s="48">
        <v>1256.0999999999999</v>
      </c>
      <c r="BG141" s="48">
        <f t="shared" si="166"/>
        <v>0.42772458986510919</v>
      </c>
      <c r="BH141">
        <v>1200</v>
      </c>
      <c r="BI141" s="32">
        <f t="shared" si="167"/>
        <v>0.44940313645938984</v>
      </c>
      <c r="BJ141" s="47">
        <v>2800</v>
      </c>
      <c r="BK141" s="27">
        <f t="shared" si="168"/>
        <v>1.0486073184052431</v>
      </c>
      <c r="BL141" s="47">
        <v>3.2</v>
      </c>
      <c r="BM141" s="27">
        <f t="shared" si="169"/>
        <v>1.1774755240160327E-3</v>
      </c>
      <c r="BN141" s="47">
        <v>490</v>
      </c>
      <c r="BO141" s="27">
        <f t="shared" si="170"/>
        <v>0.18429414434861552</v>
      </c>
      <c r="BP141" s="47">
        <v>92</v>
      </c>
      <c r="BQ141" s="27">
        <f t="shared" si="171"/>
        <v>3.431596679099988E-2</v>
      </c>
      <c r="BR141" s="47">
        <v>2.2999999999999998</v>
      </c>
      <c r="BS141" s="27">
        <f t="shared" si="172"/>
        <v>8.5170846658811641E-4</v>
      </c>
      <c r="BT141" s="47">
        <v>2.5</v>
      </c>
      <c r="BU141" s="27">
        <f t="shared" si="173"/>
        <v>9.2577007237838748E-4</v>
      </c>
      <c r="BV141" s="47">
        <v>0.17</v>
      </c>
      <c r="BW141" s="27">
        <f t="shared" si="174"/>
        <v>6.2200247218788634E-5</v>
      </c>
      <c r="BX141" s="47">
        <v>0.09</v>
      </c>
      <c r="BY141" s="27">
        <f t="shared" si="175"/>
        <v>3.2929542645241034E-5</v>
      </c>
      <c r="BZ141" s="51">
        <f t="shared" si="176"/>
        <v>3390.26</v>
      </c>
      <c r="CA141" s="51">
        <f t="shared" si="177"/>
        <v>590.26</v>
      </c>
      <c r="CB141" s="27">
        <f t="shared" si="178"/>
        <v>1.2702675133977051</v>
      </c>
      <c r="CC141" s="27">
        <f t="shared" si="179"/>
        <v>0.22166019499246198</v>
      </c>
      <c r="CD141">
        <v>2200</v>
      </c>
      <c r="CE141">
        <v>1100</v>
      </c>
      <c r="CF141" t="s">
        <v>19</v>
      </c>
      <c r="CG141">
        <v>3300</v>
      </c>
      <c r="CH141" s="32">
        <v>0.2</v>
      </c>
      <c r="CI141" s="32">
        <f t="shared" si="180"/>
        <v>3.5810205908683975E-3</v>
      </c>
      <c r="CJ141" s="32">
        <f t="shared" si="181"/>
        <v>3.5810205908683975E-3</v>
      </c>
      <c r="CK141" s="32">
        <v>1</v>
      </c>
      <c r="CL141" s="32">
        <f t="shared" si="182"/>
        <v>1.8204988166757693E-2</v>
      </c>
      <c r="CM141" s="32">
        <f t="shared" si="183"/>
        <v>3.6409976333515386E-2</v>
      </c>
      <c r="CN141" s="27">
        <v>42</v>
      </c>
      <c r="CO141" s="27">
        <f t="shared" si="184"/>
        <v>0.4372267332916927</v>
      </c>
      <c r="CP141" s="27">
        <f t="shared" si="185"/>
        <v>3.4978138663335416</v>
      </c>
      <c r="CQ141" s="57">
        <v>37</v>
      </c>
      <c r="CR141" s="57">
        <v>46.835443037974684</v>
      </c>
      <c r="CS141" s="57">
        <v>3.0814074536747866</v>
      </c>
      <c r="CT141" s="57">
        <f t="shared" si="186"/>
        <v>3.0814074536747866</v>
      </c>
      <c r="CU141" s="28">
        <v>1</v>
      </c>
      <c r="CV141" s="28">
        <v>2.3255813953488373</v>
      </c>
      <c r="CW141" s="28">
        <v>8.3281282531750989E-2</v>
      </c>
      <c r="CX141" s="28">
        <f t="shared" si="187"/>
        <v>8.3281282531750989E-2</v>
      </c>
      <c r="CY141" s="32">
        <f t="shared" si="188"/>
        <v>21.508224026650009</v>
      </c>
      <c r="CZ141" s="32">
        <f t="shared" si="189"/>
        <v>21.508224026650009</v>
      </c>
      <c r="DA141" s="32">
        <f t="shared" si="190"/>
        <v>21.708224026650008</v>
      </c>
      <c r="DB141" s="32">
        <f t="shared" si="191"/>
        <v>0.38868798615308875</v>
      </c>
      <c r="DC141" s="32">
        <f t="shared" si="192"/>
        <v>0.38868798615308875</v>
      </c>
      <c r="DD141" s="59">
        <f t="shared" si="193"/>
        <v>0.58130335207162187</v>
      </c>
      <c r="DE141" s="59">
        <f t="shared" si="194"/>
        <v>0.58130335207162187</v>
      </c>
      <c r="DF141" s="59">
        <f t="shared" si="195"/>
        <v>0.78130335207162194</v>
      </c>
      <c r="DG141" s="59">
        <f t="shared" si="196"/>
        <v>1.3989316957414896E-2</v>
      </c>
      <c r="DH141" s="59">
        <f t="shared" si="197"/>
        <v>1.3989316957414896E-2</v>
      </c>
      <c r="DI141" s="32">
        <f t="shared" si="198"/>
        <v>3.4978138663335416</v>
      </c>
      <c r="DJ141" s="32">
        <f t="shared" si="199"/>
        <v>1.7813033520716219</v>
      </c>
      <c r="DK141" s="32">
        <f t="shared" si="200"/>
        <v>5.0399293290930278E-2</v>
      </c>
      <c r="DL141">
        <f t="shared" si="201"/>
        <v>3.5065054161613909</v>
      </c>
      <c r="DM141">
        <f t="shared" si="150"/>
        <v>1.0383550575938873E-2</v>
      </c>
      <c r="DN141">
        <f t="shared" si="151"/>
        <v>0.11084767882052488</v>
      </c>
      <c r="DO141">
        <f t="shared" si="152"/>
        <v>0.8787687706035362</v>
      </c>
      <c r="DP141">
        <f t="shared" si="202"/>
        <v>0.13368057582268128</v>
      </c>
      <c r="DQ141">
        <f t="shared" si="153"/>
        <v>0.27236549595515575</v>
      </c>
      <c r="DR141">
        <f t="shared" si="154"/>
        <v>0.10464734215366359</v>
      </c>
      <c r="DS141">
        <f t="shared" si="155"/>
        <v>0.62298716189118064</v>
      </c>
      <c r="DT141" s="63">
        <f t="shared" si="156"/>
        <v>-2.6293776898368919</v>
      </c>
      <c r="DU141" s="63">
        <f t="shared" si="157"/>
        <v>0.74344715050181764</v>
      </c>
      <c r="DV141" s="63">
        <f t="shared" si="158"/>
        <v>-2.4077174948444302</v>
      </c>
      <c r="DW141" s="63">
        <f t="shared" si="159"/>
        <v>0.96510734549427957</v>
      </c>
      <c r="DX141" t="str">
        <f t="shared" si="203"/>
        <v>Sufficient Capacity</v>
      </c>
      <c r="DY141" t="str">
        <f t="shared" si="204"/>
        <v>Insufficient Capacity</v>
      </c>
      <c r="DZ141" t="str">
        <f t="shared" si="205"/>
        <v>Sulfate Dominant electron acceptor</v>
      </c>
      <c r="EA141" t="str">
        <f t="shared" si="160"/>
        <v>Sulfate Dominant electron acceptor</v>
      </c>
      <c r="EB141">
        <v>9.1456920000000004E-3</v>
      </c>
      <c r="EC141">
        <v>1.747836E-3</v>
      </c>
      <c r="ED141" s="66">
        <v>4.6039730000000002E-7</v>
      </c>
      <c r="EE141">
        <v>1.750609E-4</v>
      </c>
      <c r="EF141">
        <v>2.2872830000000002E-3</v>
      </c>
      <c r="EG141" s="66">
        <v>7.5758179999999996E-6</v>
      </c>
      <c r="EH141" s="66">
        <v>5.8216249999999997E-5</v>
      </c>
      <c r="EI141" s="66">
        <v>3.7389319999999999E-5</v>
      </c>
      <c r="EJ141">
        <v>2.4831849999999998E-4</v>
      </c>
      <c r="EK141">
        <v>3.9572020000000003E-4</v>
      </c>
      <c r="EL141">
        <v>1.7848239999999999E-4</v>
      </c>
      <c r="EM141" s="66">
        <v>5.287387E-5</v>
      </c>
      <c r="EN141">
        <v>2.3690540000000002E-3</v>
      </c>
      <c r="EO141">
        <v>1.0770140000000001E-3</v>
      </c>
      <c r="EP141">
        <v>1.0397189999999999E-3</v>
      </c>
      <c r="EQ141">
        <v>1.073091E-3</v>
      </c>
      <c r="ER141">
        <v>1.445161E-4</v>
      </c>
      <c r="ES141">
        <v>1.9592519999999999E-4</v>
      </c>
      <c r="ET141">
        <v>7.4661079999999999E-3</v>
      </c>
      <c r="EU141">
        <v>2.7564320000000001E-3</v>
      </c>
      <c r="EV141">
        <v>9.5171130000000007E-3</v>
      </c>
      <c r="EW141">
        <v>2.377972E-4</v>
      </c>
      <c r="EX141">
        <v>5.4061550000000002E-3</v>
      </c>
      <c r="EY141">
        <v>6.4830950000000004E-3</v>
      </c>
      <c r="EZ141">
        <v>6.2683550000000002E-4</v>
      </c>
      <c r="FA141">
        <v>6.7808479999999997E-4</v>
      </c>
      <c r="FB141">
        <v>6.7795189999999997E-4</v>
      </c>
      <c r="FC141">
        <v>1.990889E-3</v>
      </c>
      <c r="FD141">
        <v>1.145302E-4</v>
      </c>
      <c r="FE141">
        <v>2.0033869999999999E-2</v>
      </c>
      <c r="FF141">
        <v>1.9131760000000001E-2</v>
      </c>
      <c r="FG141">
        <v>1.056465E-2</v>
      </c>
      <c r="FH141">
        <v>7.9400710000000004E-4</v>
      </c>
      <c r="FI141">
        <v>1.0444600000000001E-3</v>
      </c>
      <c r="FJ141">
        <v>1.438566E-2</v>
      </c>
      <c r="FK141">
        <v>-1.1852634048813999</v>
      </c>
      <c r="FL141">
        <v>-0.69878046980167996</v>
      </c>
      <c r="FM141">
        <v>-0.46682130033687103</v>
      </c>
      <c r="FN141">
        <v>-1.62940762976419</v>
      </c>
      <c r="FO141">
        <v>-0.75279587296188999</v>
      </c>
      <c r="FP141">
        <v>-0.57727480792672103</v>
      </c>
      <c r="FQ141">
        <v>-0.59758470255152296</v>
      </c>
      <c r="FR141">
        <v>-0.93718087738566103</v>
      </c>
      <c r="FS141">
        <v>-1.5817107477277501</v>
      </c>
      <c r="FT141">
        <v>0.15271945625830999</v>
      </c>
      <c r="FU141">
        <v>0.27716377556558403</v>
      </c>
      <c r="FV141">
        <v>-0.71171168241070704</v>
      </c>
      <c r="FW141">
        <v>-0.118651808264327</v>
      </c>
      <c r="FX141">
        <v>-1.00839926966219</v>
      </c>
      <c r="FY141">
        <v>-1.26799704273636</v>
      </c>
      <c r="FZ141">
        <v>-0.150633019597262</v>
      </c>
      <c r="GA141">
        <v>-4.8158851996031897E-3</v>
      </c>
      <c r="GB141">
        <v>7.3842669090775595E-2</v>
      </c>
      <c r="GC141">
        <v>-0.99711866758979495</v>
      </c>
      <c r="GD141">
        <v>8.3161680800324198E-2</v>
      </c>
      <c r="GE141">
        <v>-4.3709887167035603E-2</v>
      </c>
      <c r="GF141">
        <v>-0.70923194505577503</v>
      </c>
      <c r="GG141">
        <v>-0.33276424443624297</v>
      </c>
      <c r="GH141">
        <v>-0.37715765662260903</v>
      </c>
      <c r="GI141">
        <v>6.0760664569797597E-2</v>
      </c>
      <c r="GJ141">
        <v>-1.1373414324542599</v>
      </c>
      <c r="GK141">
        <v>-0.15208336489391699</v>
      </c>
      <c r="GL141">
        <v>0.24664630185252601</v>
      </c>
      <c r="GM141">
        <v>0.22530660183829099</v>
      </c>
      <c r="GN141">
        <v>1.32071525446609E-3</v>
      </c>
      <c r="GO141">
        <v>-0.31831388097381602</v>
      </c>
      <c r="GP141">
        <v>0.30613942271338401</v>
      </c>
      <c r="GT141" s="66"/>
      <c r="GV141" s="66"/>
      <c r="GY141" s="65"/>
      <c r="HK141" s="1"/>
      <c r="HL141" s="1"/>
      <c r="HM141" s="65"/>
      <c r="HN141" s="1"/>
      <c r="HO141" s="65"/>
      <c r="HP141" s="65"/>
      <c r="HQ141" s="65"/>
      <c r="HS141" s="65"/>
      <c r="HV141" s="65"/>
      <c r="HW141" s="65"/>
      <c r="HX141" s="65"/>
      <c r="JJ141" s="66"/>
      <c r="JL141" s="66"/>
      <c r="JN141" s="66"/>
    </row>
    <row r="142" spans="1:278" ht="15.75" x14ac:dyDescent="0.25">
      <c r="A142" s="29" t="s">
        <v>195</v>
      </c>
      <c r="B142" s="29" t="s">
        <v>195</v>
      </c>
      <c r="C142" s="29" t="s">
        <v>981</v>
      </c>
      <c r="D142" s="29" t="s">
        <v>584</v>
      </c>
      <c r="E142" s="29" t="s">
        <v>584</v>
      </c>
      <c r="F142" s="29">
        <v>141</v>
      </c>
      <c r="G142" s="29" t="s">
        <v>980</v>
      </c>
      <c r="H142" s="30" t="s">
        <v>656</v>
      </c>
      <c r="I142" s="29">
        <v>150</v>
      </c>
      <c r="J142" s="29">
        <v>65</v>
      </c>
      <c r="K142" s="29">
        <v>6.4</v>
      </c>
      <c r="L142" s="32" t="s">
        <v>370</v>
      </c>
      <c r="M142" s="29" t="s">
        <v>1118</v>
      </c>
      <c r="N142" s="29" t="s">
        <v>688</v>
      </c>
      <c r="O142" s="29" t="s">
        <v>687</v>
      </c>
      <c r="P142" s="29" t="s">
        <v>1118</v>
      </c>
      <c r="Q142" s="29" t="s">
        <v>443</v>
      </c>
      <c r="R142" s="2" t="str">
        <f t="shared" si="145"/>
        <v>CW_0_Section_0</v>
      </c>
      <c r="S142" s="2" t="str">
        <f t="shared" si="146"/>
        <v>CW_0_INF</v>
      </c>
      <c r="T142" s="31" t="s">
        <v>983</v>
      </c>
      <c r="U142" s="33">
        <v>45882</v>
      </c>
      <c r="V142" s="29" t="s">
        <v>692</v>
      </c>
      <c r="W142" s="29" t="s">
        <v>1118</v>
      </c>
      <c r="X142" s="29" t="s">
        <v>982</v>
      </c>
      <c r="Y142" s="2" t="str">
        <f t="shared" si="147"/>
        <v>T6_INF</v>
      </c>
      <c r="Z142" s="2" t="str">
        <f t="shared" si="148"/>
        <v>T6_CW_0_INF</v>
      </c>
      <c r="AA142" s="2" t="str">
        <f t="shared" si="149"/>
        <v>T6_INF</v>
      </c>
      <c r="AB142" s="2">
        <v>365</v>
      </c>
      <c r="AC142" s="2">
        <v>12.007</v>
      </c>
      <c r="AD142" s="2">
        <v>0.74</v>
      </c>
      <c r="AE142" s="2">
        <v>6</v>
      </c>
      <c r="AF142" s="32" t="s">
        <v>27</v>
      </c>
      <c r="AG142" t="s">
        <v>1237</v>
      </c>
      <c r="AH142" s="32">
        <v>66</v>
      </c>
      <c r="AI142" s="32">
        <v>28</v>
      </c>
      <c r="AJ142" s="32">
        <v>0.43</v>
      </c>
      <c r="AK142" s="32" t="s">
        <v>443</v>
      </c>
      <c r="AL142" s="32" t="s">
        <v>443</v>
      </c>
      <c r="AM142" s="32" t="s">
        <v>443</v>
      </c>
      <c r="AN142" s="32" t="s">
        <v>443</v>
      </c>
      <c r="AO142" s="32" t="s">
        <v>443</v>
      </c>
      <c r="AP142" s="32" t="s">
        <v>443</v>
      </c>
      <c r="AQ142" s="32">
        <v>0.01</v>
      </c>
      <c r="AR142" s="32">
        <v>10</v>
      </c>
      <c r="AS142" s="32">
        <v>98</v>
      </c>
      <c r="AT142" s="32">
        <v>110</v>
      </c>
      <c r="AU142" s="32">
        <f t="shared" si="161"/>
        <v>4.2248111637434388E-2</v>
      </c>
      <c r="AV142" s="32">
        <v>4.2</v>
      </c>
      <c r="AW142" s="32">
        <f t="shared" si="162"/>
        <v>1.64098111569351E-3</v>
      </c>
      <c r="AX142" s="32">
        <v>70</v>
      </c>
      <c r="AY142" s="32">
        <f t="shared" si="163"/>
        <v>2.769143825939531E-2</v>
      </c>
      <c r="AZ142" s="32">
        <v>25</v>
      </c>
      <c r="BA142" s="32">
        <f t="shared" si="164"/>
        <v>9.8897993783554679E-3</v>
      </c>
      <c r="BB142" s="32">
        <v>30</v>
      </c>
      <c r="BC142" s="32">
        <f t="shared" si="165"/>
        <v>1.1867759254026562E-2</v>
      </c>
      <c r="BD142" s="32">
        <v>55</v>
      </c>
      <c r="BE142" s="32"/>
      <c r="BF142" s="48">
        <v>239.2</v>
      </c>
      <c r="BG142" s="48">
        <f t="shared" si="166"/>
        <v>7.1580531012523207E-2</v>
      </c>
      <c r="BH142" s="32">
        <v>410</v>
      </c>
      <c r="BI142" s="32">
        <f t="shared" si="167"/>
        <v>0.15354607162362488</v>
      </c>
      <c r="BJ142" s="47">
        <v>150</v>
      </c>
      <c r="BK142" s="27">
        <f t="shared" si="168"/>
        <v>5.617539205742373E-2</v>
      </c>
      <c r="BL142" s="47">
        <v>87</v>
      </c>
      <c r="BM142" s="27">
        <f t="shared" si="169"/>
        <v>3.2012615809185886E-2</v>
      </c>
      <c r="BN142" s="47">
        <v>130</v>
      </c>
      <c r="BO142" s="27">
        <f t="shared" si="170"/>
        <v>4.8894364827183713E-2</v>
      </c>
      <c r="BP142" s="47">
        <v>85</v>
      </c>
      <c r="BQ142" s="27">
        <f t="shared" si="171"/>
        <v>3.1704969317771628E-2</v>
      </c>
      <c r="BR142" s="47">
        <v>150</v>
      </c>
      <c r="BS142" s="27">
        <f t="shared" si="172"/>
        <v>5.554620434270325E-2</v>
      </c>
      <c r="BT142" s="47">
        <v>100</v>
      </c>
      <c r="BU142" s="27">
        <f t="shared" si="173"/>
        <v>3.7030802895135495E-2</v>
      </c>
      <c r="BV142" s="47">
        <v>110</v>
      </c>
      <c r="BW142" s="27">
        <f t="shared" si="174"/>
        <v>4.0247218788627935E-2</v>
      </c>
      <c r="BX142" s="47">
        <v>160</v>
      </c>
      <c r="BY142" s="27">
        <f t="shared" si="175"/>
        <v>5.8541409147095179E-2</v>
      </c>
      <c r="BZ142" s="51">
        <f t="shared" si="176"/>
        <v>972</v>
      </c>
      <c r="CA142" s="51">
        <f t="shared" si="177"/>
        <v>822</v>
      </c>
      <c r="CB142" s="27">
        <f t="shared" si="178"/>
        <v>0.36015297718512679</v>
      </c>
      <c r="CC142" s="27">
        <f t="shared" si="179"/>
        <v>0.30397758512770306</v>
      </c>
      <c r="CD142" s="32">
        <v>1000</v>
      </c>
      <c r="CE142" s="32">
        <v>2400</v>
      </c>
      <c r="CF142" s="32" t="s">
        <v>19</v>
      </c>
      <c r="CG142" s="32">
        <v>3500</v>
      </c>
      <c r="CH142" s="32">
        <v>4.2</v>
      </c>
      <c r="CI142" s="32">
        <f t="shared" si="180"/>
        <v>7.5201432408236346E-2</v>
      </c>
      <c r="CJ142" s="32">
        <f t="shared" si="181"/>
        <v>7.5201432408236346E-2</v>
      </c>
      <c r="CK142" s="32">
        <v>1.4</v>
      </c>
      <c r="CL142" s="32">
        <f t="shared" si="182"/>
        <v>2.5486983433460765E-2</v>
      </c>
      <c r="CM142" s="32">
        <f t="shared" si="183"/>
        <v>5.097396686692153E-2</v>
      </c>
      <c r="CN142" s="32">
        <v>140</v>
      </c>
      <c r="CO142" s="32">
        <f t="shared" si="184"/>
        <v>1.4574224443056423</v>
      </c>
      <c r="CP142" s="32">
        <f t="shared" si="185"/>
        <v>11.659379554445138</v>
      </c>
      <c r="CQ142" s="57">
        <v>0</v>
      </c>
      <c r="CR142" s="57">
        <v>0</v>
      </c>
      <c r="CS142" s="57">
        <v>0</v>
      </c>
      <c r="CT142" s="57">
        <f t="shared" si="186"/>
        <v>0</v>
      </c>
      <c r="CU142" s="28">
        <v>0</v>
      </c>
      <c r="CV142" s="28">
        <v>0</v>
      </c>
      <c r="CW142" s="28">
        <v>0</v>
      </c>
      <c r="CX142" s="28">
        <f t="shared" si="187"/>
        <v>0</v>
      </c>
      <c r="CY142" s="32">
        <f t="shared" si="188"/>
        <v>0</v>
      </c>
      <c r="CZ142" s="32">
        <f t="shared" si="189"/>
        <v>0</v>
      </c>
      <c r="DA142" s="32">
        <f t="shared" si="190"/>
        <v>4.2</v>
      </c>
      <c r="DB142" s="32">
        <f t="shared" si="191"/>
        <v>7.5201432408236346E-2</v>
      </c>
      <c r="DC142" s="32">
        <f t="shared" si="192"/>
        <v>7.5201432408236346E-2</v>
      </c>
      <c r="DD142" s="59">
        <f t="shared" si="193"/>
        <v>0</v>
      </c>
      <c r="DE142" s="59">
        <f t="shared" si="194"/>
        <v>0</v>
      </c>
      <c r="DF142" s="59">
        <f t="shared" si="195"/>
        <v>4.2</v>
      </c>
      <c r="DG142" s="59">
        <f t="shared" si="196"/>
        <v>7.5201432408236346E-2</v>
      </c>
      <c r="DH142" s="59">
        <f t="shared" si="197"/>
        <v>7.5201432408236346E-2</v>
      </c>
      <c r="DI142" s="32">
        <f t="shared" si="198"/>
        <v>11.659379554445138</v>
      </c>
      <c r="DJ142" s="32">
        <f t="shared" si="199"/>
        <v>5.6</v>
      </c>
      <c r="DK142" s="32">
        <f t="shared" si="200"/>
        <v>0.12617539927515786</v>
      </c>
      <c r="DL142">
        <f t="shared" si="201"/>
        <v>0.12617539927515786</v>
      </c>
      <c r="DM142">
        <f t="shared" si="150"/>
        <v>0.40399291113602664</v>
      </c>
      <c r="DN142">
        <f t="shared" si="151"/>
        <v>0.59600708886397347</v>
      </c>
      <c r="DO142">
        <f t="shared" si="152"/>
        <v>0</v>
      </c>
      <c r="DP142">
        <f t="shared" si="202"/>
        <v>0.12617539927515786</v>
      </c>
      <c r="DQ142">
        <f t="shared" si="153"/>
        <v>0.40399291113602664</v>
      </c>
      <c r="DR142">
        <f t="shared" si="154"/>
        <v>0.59600708886397347</v>
      </c>
      <c r="DS142">
        <f t="shared" si="155"/>
        <v>0</v>
      </c>
      <c r="DT142" s="63">
        <f t="shared" si="156"/>
        <v>9.8951203360990225E-2</v>
      </c>
      <c r="DU142" s="63">
        <f t="shared" si="157"/>
        <v>9.8951203360990225E-2</v>
      </c>
      <c r="DV142" s="63">
        <f t="shared" si="158"/>
        <v>0.40292878848869329</v>
      </c>
      <c r="DW142" s="63">
        <f t="shared" si="159"/>
        <v>0.40292878848869329</v>
      </c>
      <c r="DX142" t="str">
        <f t="shared" si="203"/>
        <v>Insufficient Capacity</v>
      </c>
      <c r="DY142" t="str">
        <f t="shared" si="204"/>
        <v>Insufficient Capacity</v>
      </c>
      <c r="DZ142" t="str">
        <f t="shared" si="205"/>
        <v>Manganese Dominant electron acceptor</v>
      </c>
      <c r="EA142" t="str">
        <f t="shared" si="160"/>
        <v>Manganese Dominant electron acceptor</v>
      </c>
      <c r="EB142">
        <v>9.5418259999999998E-3</v>
      </c>
      <c r="EC142">
        <v>1.9174260000000001E-3</v>
      </c>
      <c r="ED142">
        <v>0</v>
      </c>
      <c r="EE142">
        <v>1.312382E-3</v>
      </c>
      <c r="EF142">
        <v>7.4775930000000003E-3</v>
      </c>
      <c r="EG142" s="66">
        <v>2.0604490000000002E-5</v>
      </c>
      <c r="EH142">
        <v>6.6012600000000003E-4</v>
      </c>
      <c r="EI142" s="66">
        <v>4.6834649999999997E-5</v>
      </c>
      <c r="EJ142">
        <v>5.0969000000000003E-4</v>
      </c>
      <c r="EK142">
        <v>1.1416270000000001E-3</v>
      </c>
      <c r="EL142">
        <v>6.3141339999999997E-4</v>
      </c>
      <c r="EM142">
        <v>3.2449740000000001E-4</v>
      </c>
      <c r="EN142">
        <v>2.5091839999999998E-3</v>
      </c>
      <c r="EO142">
        <v>8.9990719999999999E-4</v>
      </c>
      <c r="EP142">
        <v>3.3904709999999999E-3</v>
      </c>
      <c r="EQ142">
        <v>4.8754540000000001E-4</v>
      </c>
      <c r="ER142">
        <v>7.1259310000000001E-4</v>
      </c>
      <c r="ES142">
        <v>1.482672E-3</v>
      </c>
      <c r="ET142">
        <v>5.5405599999999999E-3</v>
      </c>
      <c r="EU142">
        <v>2.6579059999999998E-3</v>
      </c>
      <c r="EV142">
        <v>7.6921280000000003E-3</v>
      </c>
      <c r="EW142">
        <v>7.1891710000000005E-4</v>
      </c>
      <c r="EX142">
        <v>3.7124160000000001E-3</v>
      </c>
      <c r="EY142">
        <v>6.7294700000000004E-3</v>
      </c>
      <c r="EZ142">
        <v>2.1427260000000002E-3</v>
      </c>
      <c r="FA142">
        <v>1.7125739999999999E-3</v>
      </c>
      <c r="FB142">
        <v>1.892917E-3</v>
      </c>
      <c r="FC142">
        <v>2.7952810000000002E-3</v>
      </c>
      <c r="FD142">
        <v>4.9494730000000002E-4</v>
      </c>
      <c r="FE142">
        <v>2.347701E-2</v>
      </c>
      <c r="FF142">
        <v>8.2696460000000003E-3</v>
      </c>
      <c r="FG142">
        <v>6.1583480000000001E-3</v>
      </c>
      <c r="FH142">
        <v>6.4709719999999997E-4</v>
      </c>
      <c r="FI142">
        <v>1.822169E-3</v>
      </c>
      <c r="FJ142">
        <v>6.1369299999999996E-3</v>
      </c>
      <c r="FK142">
        <v>0.82920176739523699</v>
      </c>
      <c r="FL142">
        <v>0.48576582867513302</v>
      </c>
      <c r="FM142">
        <v>0.53372638050967103</v>
      </c>
      <c r="FN142">
        <v>0.79885857073873201</v>
      </c>
      <c r="FO142">
        <v>-0.52755766151509598</v>
      </c>
      <c r="FP142">
        <v>0.141815693459035</v>
      </c>
      <c r="FQ142">
        <v>0.46191761848478202</v>
      </c>
      <c r="FR142">
        <v>0.32628992427411802</v>
      </c>
      <c r="FS142">
        <v>0.23265751007795099</v>
      </c>
      <c r="FT142">
        <v>0.210186337599189</v>
      </c>
      <c r="FU142">
        <v>9.7507746319071706E-2</v>
      </c>
      <c r="FV142">
        <v>0.470306683046681</v>
      </c>
      <c r="FW142">
        <v>-0.90756694193896104</v>
      </c>
      <c r="FX142">
        <v>0.58712038058013005</v>
      </c>
      <c r="FY142">
        <v>0.75587114790459498</v>
      </c>
      <c r="FZ142">
        <v>-0.44891128687917398</v>
      </c>
      <c r="GA142">
        <v>-4.1214380248996797E-2</v>
      </c>
      <c r="GB142">
        <v>-0.13905140916478101</v>
      </c>
      <c r="GC142">
        <v>0.109209174870528</v>
      </c>
      <c r="GD142">
        <v>-0.29269356087878501</v>
      </c>
      <c r="GE142">
        <v>-6.4115182640405201E-3</v>
      </c>
      <c r="GF142">
        <v>0.51991803833663597</v>
      </c>
      <c r="GG142">
        <v>0.59371618257973202</v>
      </c>
      <c r="GH142">
        <v>0.64964030640701897</v>
      </c>
      <c r="GI142">
        <v>0.40011203014705099</v>
      </c>
      <c r="GJ142">
        <v>0.32627131612475102</v>
      </c>
      <c r="GK142">
        <v>6.5139383383980799E-3</v>
      </c>
      <c r="GL142">
        <v>-0.59211177665966797</v>
      </c>
      <c r="GM142">
        <v>-0.31439836066723598</v>
      </c>
      <c r="GN142">
        <v>-0.20327517296169501</v>
      </c>
      <c r="GO142">
        <v>0.238213663330651</v>
      </c>
      <c r="GP142">
        <v>-0.54576783724642497</v>
      </c>
      <c r="HK142" s="1"/>
      <c r="HL142" s="65"/>
      <c r="HM142" s="65"/>
      <c r="HN142" s="1"/>
      <c r="JD142" s="66"/>
      <c r="JF142" s="66"/>
      <c r="JH142" s="66"/>
      <c r="JJ142" s="66"/>
      <c r="JL142" s="66"/>
      <c r="JN142" s="66"/>
    </row>
    <row r="143" spans="1:278" ht="15.75" x14ac:dyDescent="0.25">
      <c r="A143" s="6" t="s">
        <v>196</v>
      </c>
      <c r="B143" s="6" t="s">
        <v>196</v>
      </c>
      <c r="C143" s="2" t="s">
        <v>985</v>
      </c>
      <c r="D143" s="2" t="s">
        <v>585</v>
      </c>
      <c r="E143" s="2" t="s">
        <v>585</v>
      </c>
      <c r="F143" s="2">
        <v>142</v>
      </c>
      <c r="G143" s="2" t="s">
        <v>984</v>
      </c>
      <c r="H143" s="10" t="s">
        <v>656</v>
      </c>
      <c r="I143" s="2">
        <v>150</v>
      </c>
      <c r="J143" s="2">
        <v>65</v>
      </c>
      <c r="K143" s="2">
        <v>8.4</v>
      </c>
      <c r="L143" t="s">
        <v>371</v>
      </c>
      <c r="M143" s="2" t="s">
        <v>1119</v>
      </c>
      <c r="N143" s="2" t="s">
        <v>435</v>
      </c>
      <c r="O143" s="2" t="s">
        <v>694</v>
      </c>
      <c r="P143" s="2" t="s">
        <v>1119</v>
      </c>
      <c r="Q143" s="2" t="s">
        <v>443</v>
      </c>
      <c r="R143" s="2" t="str">
        <f t="shared" si="145"/>
        <v>CW_1_Section_5</v>
      </c>
      <c r="S143" s="2" t="str">
        <f t="shared" si="146"/>
        <v>CW_1_EFF</v>
      </c>
      <c r="T143" s="11" t="s">
        <v>983</v>
      </c>
      <c r="U143" s="1">
        <v>45882</v>
      </c>
      <c r="V143" s="2" t="s">
        <v>692</v>
      </c>
      <c r="W143" s="2" t="s">
        <v>1119</v>
      </c>
      <c r="X143" s="2" t="s">
        <v>982</v>
      </c>
      <c r="Y143" s="2" t="str">
        <f t="shared" si="147"/>
        <v>T6_EFF</v>
      </c>
      <c r="Z143" s="2" t="str">
        <f t="shared" si="148"/>
        <v>T6_CW_1_EFF</v>
      </c>
      <c r="AA143" s="2" t="str">
        <f t="shared" si="149"/>
        <v>T6_EFF</v>
      </c>
      <c r="AB143" s="2">
        <v>365</v>
      </c>
      <c r="AC143" s="2">
        <v>12.007</v>
      </c>
      <c r="AD143" s="2">
        <v>0.74</v>
      </c>
      <c r="AE143" s="2">
        <v>6</v>
      </c>
      <c r="AF143" t="s">
        <v>18</v>
      </c>
      <c r="AG143" t="s">
        <v>1237</v>
      </c>
      <c r="AH143">
        <v>53</v>
      </c>
      <c r="AI143">
        <v>7.8</v>
      </c>
      <c r="AJ143">
        <v>1.4999999999999999E-2</v>
      </c>
      <c r="AK143">
        <v>3.51</v>
      </c>
      <c r="AL143">
        <v>22.9</v>
      </c>
      <c r="AM143">
        <v>-144</v>
      </c>
      <c r="AN143">
        <v>7.19</v>
      </c>
      <c r="AO143">
        <v>620</v>
      </c>
      <c r="AP143">
        <v>0.2</v>
      </c>
      <c r="AQ143">
        <v>0.01</v>
      </c>
      <c r="AR143">
        <v>8.1999999999999993</v>
      </c>
      <c r="AS143">
        <v>8.1</v>
      </c>
      <c r="AT143">
        <v>9.3000000000000007</v>
      </c>
      <c r="AU143" s="32">
        <f t="shared" si="161"/>
        <v>3.5718858020739987E-3</v>
      </c>
      <c r="AV143">
        <v>0.56000000000000005</v>
      </c>
      <c r="AW143" s="32">
        <f t="shared" si="162"/>
        <v>2.1879748209246801E-4</v>
      </c>
      <c r="AX143">
        <v>11</v>
      </c>
      <c r="AY143" s="32">
        <f t="shared" si="163"/>
        <v>4.3515117264764057E-3</v>
      </c>
      <c r="AZ143">
        <v>1.5</v>
      </c>
      <c r="BA143" s="32">
        <f t="shared" si="164"/>
        <v>5.9338796270132807E-4</v>
      </c>
      <c r="BB143">
        <v>0.45</v>
      </c>
      <c r="BC143" s="32">
        <f t="shared" si="165"/>
        <v>1.7801638881039843E-4</v>
      </c>
      <c r="BD143">
        <v>1.95</v>
      </c>
      <c r="BF143" s="48">
        <v>22.81</v>
      </c>
      <c r="BG143" s="48">
        <f t="shared" si="166"/>
        <v>8.1421950106428734E-3</v>
      </c>
      <c r="BH143">
        <v>37</v>
      </c>
      <c r="BI143" s="32">
        <f t="shared" si="167"/>
        <v>1.3856596707497854E-2</v>
      </c>
      <c r="BJ143" s="47">
        <v>2E-3</v>
      </c>
      <c r="BK143" s="27">
        <f t="shared" si="168"/>
        <v>7.4900522743231646E-7</v>
      </c>
      <c r="BL143" s="47">
        <v>0.01</v>
      </c>
      <c r="BM143" s="27">
        <f t="shared" si="169"/>
        <v>3.6796110125501018E-6</v>
      </c>
      <c r="BN143" s="47">
        <v>0.01</v>
      </c>
      <c r="BO143" s="27">
        <f t="shared" si="170"/>
        <v>3.7611049867064394E-6</v>
      </c>
      <c r="BP143" s="47">
        <v>5.0000000000000001E-3</v>
      </c>
      <c r="BQ143" s="27">
        <f t="shared" si="171"/>
        <v>1.8649981951630372E-6</v>
      </c>
      <c r="BR143" s="47">
        <v>1E-3</v>
      </c>
      <c r="BS143" s="27">
        <f t="shared" si="172"/>
        <v>3.7030802895135499E-7</v>
      </c>
      <c r="BT143" s="47">
        <v>1E-3</v>
      </c>
      <c r="BU143" s="27">
        <f t="shared" si="173"/>
        <v>3.7030802895135499E-7</v>
      </c>
      <c r="BV143" s="47">
        <v>1E-3</v>
      </c>
      <c r="BW143" s="27">
        <f t="shared" si="174"/>
        <v>3.6588380716934485E-7</v>
      </c>
      <c r="BX143" s="47">
        <v>2E-3</v>
      </c>
      <c r="BY143" s="27">
        <f t="shared" si="175"/>
        <v>7.3176761433868969E-7</v>
      </c>
      <c r="BZ143" s="51">
        <f t="shared" si="176"/>
        <v>3.2000000000000001E-2</v>
      </c>
      <c r="CA143" s="51">
        <f t="shared" si="177"/>
        <v>3.0000000000000006E-2</v>
      </c>
      <c r="CB143" s="27">
        <f t="shared" si="178"/>
        <v>1.1892986901262639E-5</v>
      </c>
      <c r="CC143" s="27">
        <f t="shared" si="179"/>
        <v>1.1143981673830322E-5</v>
      </c>
      <c r="CD143">
        <v>25</v>
      </c>
      <c r="CE143">
        <v>60</v>
      </c>
      <c r="CF143" t="s">
        <v>19</v>
      </c>
      <c r="CG143">
        <v>85</v>
      </c>
      <c r="CH143" s="32">
        <v>2.2999999999999998</v>
      </c>
      <c r="CI143" s="32">
        <f t="shared" si="180"/>
        <v>4.1181736794986566E-2</v>
      </c>
      <c r="CJ143" s="32">
        <f t="shared" si="181"/>
        <v>4.1181736794986566E-2</v>
      </c>
      <c r="CK143" s="32">
        <v>0.6</v>
      </c>
      <c r="CL143" s="32">
        <f t="shared" si="182"/>
        <v>1.0922992900054615E-2</v>
      </c>
      <c r="CM143" s="32">
        <f t="shared" si="183"/>
        <v>2.1845985800109231E-2</v>
      </c>
      <c r="CN143" s="27">
        <v>28</v>
      </c>
      <c r="CO143" s="27">
        <f t="shared" si="184"/>
        <v>0.29148448886112843</v>
      </c>
      <c r="CP143" s="27">
        <f t="shared" si="185"/>
        <v>2.3318759108890275</v>
      </c>
      <c r="CQ143" s="57">
        <v>112</v>
      </c>
      <c r="CR143" s="57">
        <v>80</v>
      </c>
      <c r="CS143" s="57">
        <v>9.3275036435561098</v>
      </c>
      <c r="CT143" s="57">
        <f t="shared" si="186"/>
        <v>9.3275036435561098</v>
      </c>
      <c r="CU143" s="28">
        <v>56</v>
      </c>
      <c r="CV143" s="28">
        <v>66.666666666666657</v>
      </c>
      <c r="CW143" s="28">
        <v>4.6637518217780549</v>
      </c>
      <c r="CX143" s="28">
        <f t="shared" si="187"/>
        <v>4.6637518217780549</v>
      </c>
      <c r="CY143" s="32">
        <f t="shared" si="188"/>
        <v>65.105975432021651</v>
      </c>
      <c r="CZ143" s="32">
        <f t="shared" si="189"/>
        <v>65.105975432021651</v>
      </c>
      <c r="DA143" s="32">
        <f t="shared" si="190"/>
        <v>67.405975432021648</v>
      </c>
      <c r="DB143" s="32">
        <f t="shared" si="191"/>
        <v>1.2069109298481941</v>
      </c>
      <c r="DC143" s="32">
        <f t="shared" si="192"/>
        <v>1.2069109298481941</v>
      </c>
      <c r="DD143" s="59">
        <f t="shared" si="193"/>
        <v>32.552987716010826</v>
      </c>
      <c r="DE143" s="59">
        <f t="shared" si="194"/>
        <v>32.552987716010826</v>
      </c>
      <c r="DF143" s="59">
        <f t="shared" si="195"/>
        <v>34.852987716010823</v>
      </c>
      <c r="DG143" s="59">
        <f t="shared" si="196"/>
        <v>0.62404633332159032</v>
      </c>
      <c r="DH143" s="59">
        <f t="shared" si="197"/>
        <v>0.62404633332159032</v>
      </c>
      <c r="DI143" s="32">
        <f t="shared" si="198"/>
        <v>2.3318759108890275</v>
      </c>
      <c r="DJ143" s="32">
        <f t="shared" si="199"/>
        <v>35.452987716010824</v>
      </c>
      <c r="DK143" s="32">
        <f t="shared" si="200"/>
        <v>0.64589231912169953</v>
      </c>
      <c r="DL143">
        <f t="shared" si="201"/>
        <v>10.556260559204413</v>
      </c>
      <c r="DM143">
        <f t="shared" si="150"/>
        <v>2.0694814870840668E-3</v>
      </c>
      <c r="DN143">
        <f t="shared" si="151"/>
        <v>0.11433129402966866</v>
      </c>
      <c r="DO143">
        <f t="shared" si="152"/>
        <v>0.88359922448324735</v>
      </c>
      <c r="DP143">
        <f t="shared" si="202"/>
        <v>5.3096441408997546</v>
      </c>
      <c r="DQ143">
        <f t="shared" si="153"/>
        <v>4.11439735326731E-3</v>
      </c>
      <c r="DR143">
        <f t="shared" si="154"/>
        <v>0.11753072649720768</v>
      </c>
      <c r="DS143">
        <f t="shared" si="155"/>
        <v>0.87835487614952501</v>
      </c>
      <c r="DT143" s="63">
        <f t="shared" si="156"/>
        <v>-10.534261767486273</v>
      </c>
      <c r="DU143" s="63">
        <f t="shared" si="157"/>
        <v>-5.2876453491816138</v>
      </c>
      <c r="DV143" s="63">
        <f t="shared" si="158"/>
        <v>-10.534250623504597</v>
      </c>
      <c r="DW143" s="63">
        <f t="shared" si="159"/>
        <v>-5.2876342051999403</v>
      </c>
      <c r="DX143" t="str">
        <f t="shared" si="203"/>
        <v>Sufficient Capacity</v>
      </c>
      <c r="DY143" t="str">
        <f t="shared" si="204"/>
        <v>Sufficient Capacity</v>
      </c>
      <c r="DZ143" t="str">
        <f t="shared" si="205"/>
        <v>Sulfate Dominant electron acceptor</v>
      </c>
      <c r="EA143" t="str">
        <f t="shared" si="160"/>
        <v>Sulfate Dominant electron acceptor</v>
      </c>
      <c r="EB143">
        <v>9.5944299999999993E-3</v>
      </c>
      <c r="EC143">
        <v>1.76385E-3</v>
      </c>
      <c r="ED143" s="66">
        <v>4.3583549999999997E-8</v>
      </c>
      <c r="EE143">
        <v>1.1971060000000001E-3</v>
      </c>
      <c r="EF143">
        <v>7.3305660000000002E-3</v>
      </c>
      <c r="EG143" s="66">
        <v>2.9506449999999999E-5</v>
      </c>
      <c r="EH143">
        <v>5.8802669999999998E-4</v>
      </c>
      <c r="EI143" s="66">
        <v>4.7303089999999997E-5</v>
      </c>
      <c r="EJ143">
        <v>5.4144499999999999E-4</v>
      </c>
      <c r="EK143">
        <v>1.040383E-3</v>
      </c>
      <c r="EL143">
        <v>6.7366720000000004E-4</v>
      </c>
      <c r="EM143">
        <v>3.650487E-4</v>
      </c>
      <c r="EN143">
        <v>2.204723E-3</v>
      </c>
      <c r="EO143">
        <v>7.6580590000000003E-4</v>
      </c>
      <c r="EP143">
        <v>3.2236019999999999E-3</v>
      </c>
      <c r="EQ143">
        <v>5.3906259999999997E-4</v>
      </c>
      <c r="ER143">
        <v>6.9014170000000004E-4</v>
      </c>
      <c r="ES143">
        <v>1.255557E-3</v>
      </c>
      <c r="ET143">
        <v>5.6823150000000003E-3</v>
      </c>
      <c r="EU143">
        <v>2.626022E-3</v>
      </c>
      <c r="EV143">
        <v>7.8096440000000001E-3</v>
      </c>
      <c r="EW143">
        <v>7.4411840000000002E-4</v>
      </c>
      <c r="EX143">
        <v>3.9102640000000001E-3</v>
      </c>
      <c r="EY143">
        <v>6.6828670000000003E-3</v>
      </c>
      <c r="EZ143">
        <v>2.0868000000000002E-3</v>
      </c>
      <c r="FA143">
        <v>1.61896E-3</v>
      </c>
      <c r="FB143">
        <v>1.760408E-3</v>
      </c>
      <c r="FC143">
        <v>2.977773E-3</v>
      </c>
      <c r="FD143">
        <v>4.7980750000000002E-4</v>
      </c>
      <c r="FE143">
        <v>2.3967820000000001E-2</v>
      </c>
      <c r="FF143">
        <v>9.269902E-3</v>
      </c>
      <c r="FG143">
        <v>6.5416420000000003E-3</v>
      </c>
      <c r="FH143">
        <v>7.3632839999999999E-4</v>
      </c>
      <c r="FI143">
        <v>1.8238099999999999E-3</v>
      </c>
      <c r="FJ143">
        <v>6.9658990000000002E-3</v>
      </c>
      <c r="FK143">
        <v>0.73726493809040905</v>
      </c>
      <c r="FL143">
        <v>0.46590760975284201</v>
      </c>
      <c r="FM143">
        <v>0.89282625081361</v>
      </c>
      <c r="FN143">
        <v>0.68320019987914604</v>
      </c>
      <c r="FO143">
        <v>-0.51760535404491603</v>
      </c>
      <c r="FP143">
        <v>0.20225448725818801</v>
      </c>
      <c r="FQ143">
        <v>0.36905209515743698</v>
      </c>
      <c r="FR143">
        <v>0.39106534611814697</v>
      </c>
      <c r="FS143">
        <v>0.35041075563231</v>
      </c>
      <c r="FT143">
        <v>8.0830614338161397E-2</v>
      </c>
      <c r="FU143">
        <v>-6.3855157202844695E-2</v>
      </c>
      <c r="FV143">
        <v>0.41983720114461898</v>
      </c>
      <c r="FW143">
        <v>-0.80711865107881997</v>
      </c>
      <c r="FX143">
        <v>0.55510674913299296</v>
      </c>
      <c r="FY143">
        <v>0.58960458133248295</v>
      </c>
      <c r="FZ143">
        <v>-0.42364814544098101</v>
      </c>
      <c r="GA143">
        <v>-5.3282821372289603E-2</v>
      </c>
      <c r="GB143">
        <v>-0.12388949719223701</v>
      </c>
      <c r="GC143">
        <v>0.14366328477999599</v>
      </c>
      <c r="GD143">
        <v>-0.24077154758945701</v>
      </c>
      <c r="GE143">
        <v>-1.3360819873288E-2</v>
      </c>
      <c r="GF143">
        <v>0.49347098032863601</v>
      </c>
      <c r="GG143">
        <v>0.53750264846152196</v>
      </c>
      <c r="GH143">
        <v>0.57706688125477201</v>
      </c>
      <c r="GI143">
        <v>0.46335509762252403</v>
      </c>
      <c r="GJ143">
        <v>0.29520500566684199</v>
      </c>
      <c r="GK143">
        <v>2.7204391199574299E-2</v>
      </c>
      <c r="GL143">
        <v>-0.47793067167356201</v>
      </c>
      <c r="GM143">
        <v>-0.25401871613469101</v>
      </c>
      <c r="GN143">
        <v>-7.4095473152810107E-2</v>
      </c>
      <c r="GO143">
        <v>0.239113833140082</v>
      </c>
      <c r="GP143">
        <v>-0.41906578152021501</v>
      </c>
      <c r="GR143" s="66"/>
      <c r="GT143" s="66"/>
      <c r="GV143" s="66"/>
      <c r="GY143" s="66"/>
      <c r="GZ143" s="66"/>
      <c r="HK143" s="1"/>
      <c r="HL143" s="1"/>
      <c r="HM143" s="65"/>
      <c r="HN143" s="1"/>
      <c r="HP143" s="65"/>
      <c r="HQ143" s="65"/>
      <c r="HS143" s="65"/>
      <c r="HT143" s="65"/>
      <c r="HU143" s="65"/>
      <c r="HV143" s="65"/>
      <c r="HW143" s="65"/>
      <c r="HX143" s="65"/>
      <c r="JH143" s="66"/>
      <c r="JJ143" s="66"/>
      <c r="JL143" s="66"/>
      <c r="JN143" s="66"/>
    </row>
    <row r="144" spans="1:278" ht="15.75" x14ac:dyDescent="0.25">
      <c r="A144" s="6" t="s">
        <v>197</v>
      </c>
      <c r="B144" s="6" t="s">
        <v>197</v>
      </c>
      <c r="C144" s="2" t="s">
        <v>987</v>
      </c>
      <c r="D144" s="2" t="s">
        <v>586</v>
      </c>
      <c r="E144" s="2" t="s">
        <v>586</v>
      </c>
      <c r="F144" s="2">
        <v>143</v>
      </c>
      <c r="G144" s="2" t="s">
        <v>986</v>
      </c>
      <c r="H144" s="10" t="s">
        <v>656</v>
      </c>
      <c r="I144" s="2">
        <v>150</v>
      </c>
      <c r="J144" s="2">
        <v>65</v>
      </c>
      <c r="K144" s="2">
        <v>15.65</v>
      </c>
      <c r="L144" t="s">
        <v>378</v>
      </c>
      <c r="M144" s="2" t="s">
        <v>1119</v>
      </c>
      <c r="N144" s="2" t="s">
        <v>436</v>
      </c>
      <c r="O144" s="2" t="s">
        <v>694</v>
      </c>
      <c r="P144" s="2" t="s">
        <v>1119</v>
      </c>
      <c r="Q144" s="2" t="s">
        <v>443</v>
      </c>
      <c r="R144" s="2" t="str">
        <f t="shared" si="145"/>
        <v>CW_2_Section_5</v>
      </c>
      <c r="S144" s="2" t="str">
        <f t="shared" si="146"/>
        <v>CW_2_EFF</v>
      </c>
      <c r="T144" s="11" t="s">
        <v>983</v>
      </c>
      <c r="U144" s="1">
        <v>45883</v>
      </c>
      <c r="V144" s="2" t="s">
        <v>692</v>
      </c>
      <c r="W144" s="2" t="s">
        <v>1119</v>
      </c>
      <c r="X144" s="2" t="s">
        <v>982</v>
      </c>
      <c r="Y144" s="2" t="str">
        <f t="shared" si="147"/>
        <v>T6_EFF</v>
      </c>
      <c r="Z144" s="2" t="str">
        <f t="shared" si="148"/>
        <v>T6_CW_2_EFF</v>
      </c>
      <c r="AA144" s="2" t="str">
        <f t="shared" si="149"/>
        <v>T6_EFF</v>
      </c>
      <c r="AB144" s="2">
        <v>365</v>
      </c>
      <c r="AC144" s="2">
        <v>12.007</v>
      </c>
      <c r="AD144" s="2">
        <v>0.74</v>
      </c>
      <c r="AE144" s="2">
        <v>6</v>
      </c>
      <c r="AF144" t="s">
        <v>39</v>
      </c>
      <c r="AG144" s="2" t="s">
        <v>1238</v>
      </c>
      <c r="AH144">
        <v>47</v>
      </c>
      <c r="AI144">
        <v>8.6</v>
      </c>
      <c r="AJ144">
        <v>1.4999999999999999E-2</v>
      </c>
      <c r="AK144">
        <v>1.1599999999999999</v>
      </c>
      <c r="AL144">
        <v>22.4</v>
      </c>
      <c r="AM144">
        <v>-190</v>
      </c>
      <c r="AN144">
        <v>7.08</v>
      </c>
      <c r="AO144">
        <v>620</v>
      </c>
      <c r="AP144">
        <v>0.2</v>
      </c>
      <c r="AQ144">
        <v>0.01</v>
      </c>
      <c r="AR144">
        <v>7.5</v>
      </c>
      <c r="AS144">
        <v>7.7</v>
      </c>
      <c r="AT144">
        <v>46</v>
      </c>
      <c r="AU144" s="32">
        <f t="shared" si="161"/>
        <v>1.7667392139290746E-2</v>
      </c>
      <c r="AV144">
        <v>1.3</v>
      </c>
      <c r="AW144" s="32">
        <f t="shared" si="162"/>
        <v>5.0792272628608645E-4</v>
      </c>
      <c r="AX144">
        <v>44</v>
      </c>
      <c r="AY144" s="32">
        <f t="shared" si="163"/>
        <v>1.7406046905905623E-2</v>
      </c>
      <c r="AZ144">
        <v>4.9000000000000004</v>
      </c>
      <c r="BA144" s="32">
        <f t="shared" si="164"/>
        <v>1.9384006781576718E-3</v>
      </c>
      <c r="BB144">
        <v>3.2</v>
      </c>
      <c r="BC144" s="32">
        <f t="shared" si="165"/>
        <v>1.2658943204294998E-3</v>
      </c>
      <c r="BD144">
        <v>8.1</v>
      </c>
      <c r="BF144" s="48">
        <v>99.4</v>
      </c>
      <c r="BG144" s="48">
        <f t="shared" si="166"/>
        <v>3.5581361771482453E-2</v>
      </c>
      <c r="BH144">
        <v>73</v>
      </c>
      <c r="BI144" s="32">
        <f t="shared" si="167"/>
        <v>2.7338690801279548E-2</v>
      </c>
      <c r="BJ144" s="47">
        <v>3.4</v>
      </c>
      <c r="BK144" s="27">
        <f t="shared" si="168"/>
        <v>1.2733088866349379E-3</v>
      </c>
      <c r="BL144" s="47">
        <v>13</v>
      </c>
      <c r="BM144" s="27">
        <f t="shared" si="169"/>
        <v>4.7834943163151322E-3</v>
      </c>
      <c r="BN144" s="47">
        <v>38</v>
      </c>
      <c r="BO144" s="27">
        <f t="shared" si="170"/>
        <v>1.4292198949484469E-2</v>
      </c>
      <c r="BP144" s="47">
        <v>12</v>
      </c>
      <c r="BQ144" s="27">
        <f t="shared" si="171"/>
        <v>4.4759956683912885E-3</v>
      </c>
      <c r="BR144" s="47">
        <v>5.3</v>
      </c>
      <c r="BS144" s="27">
        <f t="shared" si="172"/>
        <v>1.9626325534421812E-3</v>
      </c>
      <c r="BT144" s="47">
        <v>0.86</v>
      </c>
      <c r="BU144" s="27">
        <f t="shared" si="173"/>
        <v>3.1846490489816526E-4</v>
      </c>
      <c r="BV144" s="47">
        <v>0.09</v>
      </c>
      <c r="BW144" s="27">
        <f t="shared" si="174"/>
        <v>3.2929542645241034E-5</v>
      </c>
      <c r="BX144" s="47">
        <v>0.06</v>
      </c>
      <c r="BY144" s="27">
        <f t="shared" si="175"/>
        <v>2.1953028430160689E-5</v>
      </c>
      <c r="BZ144" s="51">
        <f t="shared" si="176"/>
        <v>72.710000000000008</v>
      </c>
      <c r="CA144" s="51">
        <f t="shared" si="177"/>
        <v>69.31</v>
      </c>
      <c r="CB144" s="27">
        <f t="shared" si="178"/>
        <v>2.7160977850241571E-2</v>
      </c>
      <c r="CC144" s="27">
        <f t="shared" si="179"/>
        <v>2.5887668963606638E-2</v>
      </c>
      <c r="CD144">
        <v>170</v>
      </c>
      <c r="CE144">
        <v>200</v>
      </c>
      <c r="CF144" t="s">
        <v>19</v>
      </c>
      <c r="CG144">
        <v>370</v>
      </c>
      <c r="CH144" s="32">
        <v>1.5</v>
      </c>
      <c r="CI144" s="32">
        <f t="shared" si="180"/>
        <v>2.685765443151298E-2</v>
      </c>
      <c r="CJ144" s="32">
        <f t="shared" si="181"/>
        <v>2.685765443151298E-2</v>
      </c>
      <c r="CK144" s="32">
        <v>0.8</v>
      </c>
      <c r="CL144" s="32">
        <f t="shared" si="182"/>
        <v>1.4563990533406155E-2</v>
      </c>
      <c r="CM144" s="32">
        <f t="shared" si="183"/>
        <v>2.912798106681231E-2</v>
      </c>
      <c r="CN144" s="27">
        <v>29</v>
      </c>
      <c r="CO144" s="27">
        <f t="shared" si="184"/>
        <v>0.30189464917759734</v>
      </c>
      <c r="CP144" s="27">
        <f t="shared" si="185"/>
        <v>2.4151571934207787</v>
      </c>
      <c r="CQ144" s="57">
        <v>111</v>
      </c>
      <c r="CR144" s="57">
        <v>79.285714285714278</v>
      </c>
      <c r="CS144" s="57">
        <v>9.2442223610243595</v>
      </c>
      <c r="CT144" s="57">
        <f t="shared" si="186"/>
        <v>9.2442223610243595</v>
      </c>
      <c r="CU144" s="28">
        <v>-19.100000000000001</v>
      </c>
      <c r="CV144" s="28">
        <v>-192.92929292929293</v>
      </c>
      <c r="CW144" s="28">
        <v>-1.590672496356444</v>
      </c>
      <c r="CX144" s="28">
        <f t="shared" si="187"/>
        <v>0</v>
      </c>
      <c r="CY144" s="32">
        <f t="shared" si="188"/>
        <v>64.524672079950022</v>
      </c>
      <c r="CZ144" s="32">
        <f t="shared" si="189"/>
        <v>64.524672079950022</v>
      </c>
      <c r="DA144" s="32">
        <f t="shared" si="190"/>
        <v>66.024672079950022</v>
      </c>
      <c r="DB144" s="32">
        <f t="shared" si="191"/>
        <v>1.1821785511181742</v>
      </c>
      <c r="DC144" s="32">
        <f t="shared" si="192"/>
        <v>1.1821785511181742</v>
      </c>
      <c r="DD144" s="59">
        <f t="shared" si="193"/>
        <v>-11.102894024567979</v>
      </c>
      <c r="DE144" s="59">
        <f t="shared" si="194"/>
        <v>0</v>
      </c>
      <c r="DF144" s="59">
        <f t="shared" si="195"/>
        <v>1.5</v>
      </c>
      <c r="DG144" s="59">
        <f t="shared" si="196"/>
        <v>2.685765443151298E-2</v>
      </c>
      <c r="DH144" s="59">
        <f t="shared" si="197"/>
        <v>2.685765443151298E-2</v>
      </c>
      <c r="DI144" s="32">
        <f t="shared" si="198"/>
        <v>2.4151571934207787</v>
      </c>
      <c r="DJ144" s="32">
        <f t="shared" si="199"/>
        <v>2.2999999999999998</v>
      </c>
      <c r="DK144" s="32">
        <f t="shared" si="200"/>
        <v>5.598563549832529E-2</v>
      </c>
      <c r="DL144">
        <f t="shared" si="201"/>
        <v>10.455528893209346</v>
      </c>
      <c r="DM144">
        <f t="shared" si="150"/>
        <v>2.7858926472605649E-3</v>
      </c>
      <c r="DN144">
        <f t="shared" si="151"/>
        <v>0.11306731234667385</v>
      </c>
      <c r="DO144">
        <f t="shared" si="152"/>
        <v>0.88414679500606563</v>
      </c>
      <c r="DP144">
        <f t="shared" si="202"/>
        <v>5.598563549832529E-2</v>
      </c>
      <c r="DQ144">
        <f t="shared" si="153"/>
        <v>0.520275974498559</v>
      </c>
      <c r="DR144">
        <f t="shared" si="154"/>
        <v>0.47972402550144094</v>
      </c>
      <c r="DS144">
        <f t="shared" si="155"/>
        <v>0</v>
      </c>
      <c r="DT144" s="63">
        <f t="shared" si="156"/>
        <v>-10.392608840636584</v>
      </c>
      <c r="DU144" s="63">
        <f t="shared" si="157"/>
        <v>6.934417074436719E-3</v>
      </c>
      <c r="DV144" s="63">
        <f t="shared" si="158"/>
        <v>-10.366721171672976</v>
      </c>
      <c r="DW144" s="63">
        <f t="shared" si="159"/>
        <v>3.282208603804336E-2</v>
      </c>
      <c r="DX144" t="str">
        <f t="shared" si="203"/>
        <v>Sufficient Capacity</v>
      </c>
      <c r="DY144" t="str">
        <f t="shared" si="204"/>
        <v>Insufficient Capacity</v>
      </c>
      <c r="DZ144" t="str">
        <f t="shared" si="205"/>
        <v>Sulfate Dominant electron acceptor</v>
      </c>
      <c r="EA144" t="str">
        <f t="shared" si="160"/>
        <v>Iron Dominant electron acceptor</v>
      </c>
      <c r="EB144">
        <v>9.6512179999999996E-3</v>
      </c>
      <c r="EC144">
        <v>1.9665030000000001E-3</v>
      </c>
      <c r="ED144">
        <v>0</v>
      </c>
      <c r="EE144">
        <v>9.6412940000000001E-4</v>
      </c>
      <c r="EF144">
        <v>6.916724E-3</v>
      </c>
      <c r="EG144" s="66">
        <v>6.8837130000000004E-6</v>
      </c>
      <c r="EH144">
        <v>5.1038419999999997E-4</v>
      </c>
      <c r="EI144" s="66">
        <v>3.3400350000000003E-5</v>
      </c>
      <c r="EJ144">
        <v>3.3471739999999997E-4</v>
      </c>
      <c r="EK144">
        <v>8.5393130000000004E-4</v>
      </c>
      <c r="EL144">
        <v>4.3600939999999998E-4</v>
      </c>
      <c r="EM144">
        <v>3.401508E-4</v>
      </c>
      <c r="EN144">
        <v>2.1030049999999998E-3</v>
      </c>
      <c r="EO144">
        <v>7.0281160000000001E-4</v>
      </c>
      <c r="EP144">
        <v>2.7816709999999999E-3</v>
      </c>
      <c r="EQ144">
        <v>4.6557370000000002E-4</v>
      </c>
      <c r="ER144">
        <v>7.3509940000000005E-4</v>
      </c>
      <c r="ES144">
        <v>1.3167890000000001E-3</v>
      </c>
      <c r="ET144">
        <v>5.1105430000000004E-3</v>
      </c>
      <c r="EU144">
        <v>2.9801720000000001E-3</v>
      </c>
      <c r="EV144">
        <v>7.9683140000000006E-3</v>
      </c>
      <c r="EW144">
        <v>5.6648590000000002E-4</v>
      </c>
      <c r="EX144">
        <v>3.6903140000000001E-3</v>
      </c>
      <c r="EY144">
        <v>6.1883290000000002E-3</v>
      </c>
      <c r="EZ144">
        <v>1.8047269999999999E-3</v>
      </c>
      <c r="FA144">
        <v>1.286195E-3</v>
      </c>
      <c r="FB144">
        <v>1.4254140000000001E-3</v>
      </c>
      <c r="FC144">
        <v>2.6009649999999998E-3</v>
      </c>
      <c r="FD144">
        <v>3.7873619999999997E-4</v>
      </c>
      <c r="FE144">
        <v>2.0855200000000001E-2</v>
      </c>
      <c r="FF144">
        <v>8.1220790000000008E-3</v>
      </c>
      <c r="FG144">
        <v>6.214191E-3</v>
      </c>
      <c r="FH144">
        <v>7.5118760000000004E-4</v>
      </c>
      <c r="FI144">
        <v>1.6120119999999999E-3</v>
      </c>
      <c r="FJ144">
        <v>6.3955390000000004E-3</v>
      </c>
      <c r="FK144">
        <v>0.52082819970037297</v>
      </c>
      <c r="FL144">
        <v>0.40779712704944299</v>
      </c>
      <c r="FM144">
        <v>-0.56262444609802198</v>
      </c>
      <c r="FN144">
        <v>0.54159162028675001</v>
      </c>
      <c r="FO144">
        <v>-0.86561459613493597</v>
      </c>
      <c r="FP144">
        <v>-0.27870041059063699</v>
      </c>
      <c r="FQ144">
        <v>0.17155864717354799</v>
      </c>
      <c r="FR144">
        <v>-4.4007071554678298E-2</v>
      </c>
      <c r="FS144">
        <v>0.279769034984438</v>
      </c>
      <c r="FT144">
        <v>3.3596011187030997E-2</v>
      </c>
      <c r="FU144">
        <v>-0.149695038994139</v>
      </c>
      <c r="FV144">
        <v>0.272389659515751</v>
      </c>
      <c r="FW144">
        <v>-0.953679947678305</v>
      </c>
      <c r="FX144">
        <v>0.61821553847103095</v>
      </c>
      <c r="FY144">
        <v>0.63722147982992094</v>
      </c>
      <c r="FZ144">
        <v>-0.52970120476121096</v>
      </c>
      <c r="GA144">
        <v>7.3228041993838006E-2</v>
      </c>
      <c r="GB144">
        <v>-0.10377595028212699</v>
      </c>
      <c r="GC144">
        <v>-0.129084686691775</v>
      </c>
      <c r="GD144">
        <v>-0.298664889205977</v>
      </c>
      <c r="GE144">
        <v>-9.0242808243934797E-2</v>
      </c>
      <c r="GF144">
        <v>0.34824852197107198</v>
      </c>
      <c r="GG144">
        <v>0.30740692797101699</v>
      </c>
      <c r="GH144">
        <v>0.36598357873038201</v>
      </c>
      <c r="GI144">
        <v>0.32806192193387101</v>
      </c>
      <c r="GJ144">
        <v>5.8659944386508997E-2</v>
      </c>
      <c r="GK144">
        <v>-0.111904388464386</v>
      </c>
      <c r="GL144">
        <v>-0.61011732357354798</v>
      </c>
      <c r="GM144">
        <v>-0.30537137288344401</v>
      </c>
      <c r="GN144">
        <v>-5.4116267182626701E-2</v>
      </c>
      <c r="GO144">
        <v>0.115669201805797</v>
      </c>
      <c r="GP144">
        <v>-0.50449173828739302</v>
      </c>
      <c r="GT144" s="66"/>
      <c r="GV144" s="66"/>
      <c r="HK144" s="1"/>
      <c r="HL144" s="1"/>
      <c r="HM144" s="65"/>
      <c r="HN144" s="1"/>
      <c r="HO144" s="65"/>
      <c r="HP144" s="65"/>
      <c r="HQ144" s="65"/>
      <c r="HS144" s="65"/>
      <c r="HT144" s="65"/>
      <c r="HV144" s="65"/>
      <c r="HW144" s="65"/>
      <c r="HX144" s="65"/>
      <c r="IJ144" s="66"/>
      <c r="IL144" s="66"/>
      <c r="IX144" s="66"/>
      <c r="IZ144" s="66"/>
      <c r="JB144" s="66"/>
      <c r="JD144" s="66"/>
      <c r="JF144" s="66"/>
      <c r="JH144" s="66"/>
      <c r="JJ144" s="66"/>
      <c r="JL144" s="66"/>
      <c r="JN144" s="66"/>
      <c r="JO144" s="66"/>
      <c r="JP144" s="66"/>
      <c r="JQ144" s="66"/>
      <c r="JR144" s="66"/>
    </row>
    <row r="145" spans="1:278" ht="15.75" x14ac:dyDescent="0.25">
      <c r="A145" s="6" t="s">
        <v>198</v>
      </c>
      <c r="B145" s="6" t="s">
        <v>198</v>
      </c>
      <c r="C145" s="2" t="s">
        <v>989</v>
      </c>
      <c r="D145" s="2" t="s">
        <v>587</v>
      </c>
      <c r="E145" s="2" t="s">
        <v>587</v>
      </c>
      <c r="F145" s="2">
        <v>144</v>
      </c>
      <c r="G145" s="2" t="s">
        <v>988</v>
      </c>
      <c r="H145" s="10" t="s">
        <v>656</v>
      </c>
      <c r="I145" s="2">
        <v>150</v>
      </c>
      <c r="J145" s="2">
        <v>65</v>
      </c>
      <c r="K145" s="2">
        <v>7.45</v>
      </c>
      <c r="L145" t="s">
        <v>388</v>
      </c>
      <c r="M145" s="2" t="s">
        <v>1119</v>
      </c>
      <c r="N145" s="2" t="s">
        <v>437</v>
      </c>
      <c r="O145" s="2" t="s">
        <v>694</v>
      </c>
      <c r="P145" s="2" t="s">
        <v>1119</v>
      </c>
      <c r="Q145" s="2" t="s">
        <v>443</v>
      </c>
      <c r="R145" s="2" t="str">
        <f t="shared" si="145"/>
        <v>CW_3_Section_5</v>
      </c>
      <c r="S145" s="2" t="str">
        <f t="shared" si="146"/>
        <v>CW_3_EFF</v>
      </c>
      <c r="T145" s="11" t="s">
        <v>983</v>
      </c>
      <c r="U145" s="1">
        <v>45884</v>
      </c>
      <c r="V145" s="2" t="s">
        <v>692</v>
      </c>
      <c r="W145" s="2" t="s">
        <v>1119</v>
      </c>
      <c r="X145" s="2" t="s">
        <v>982</v>
      </c>
      <c r="Y145" s="2" t="str">
        <f t="shared" si="147"/>
        <v>T6_EFF</v>
      </c>
      <c r="Z145" s="2" t="str">
        <f t="shared" si="148"/>
        <v>T6_CW_3_EFF</v>
      </c>
      <c r="AA145" s="2" t="str">
        <f t="shared" si="149"/>
        <v>T6_EFF</v>
      </c>
      <c r="AB145" s="2">
        <v>365</v>
      </c>
      <c r="AC145" s="2">
        <v>12.007</v>
      </c>
      <c r="AD145" s="2">
        <v>0.74</v>
      </c>
      <c r="AE145" s="2">
        <v>6</v>
      </c>
      <c r="AF145" t="s">
        <v>49</v>
      </c>
      <c r="AG145" t="s">
        <v>1237</v>
      </c>
      <c r="AH145">
        <v>67</v>
      </c>
      <c r="AI145">
        <v>18</v>
      </c>
      <c r="AJ145">
        <v>0.86</v>
      </c>
      <c r="AK145">
        <v>0.59</v>
      </c>
      <c r="AL145">
        <v>22.7</v>
      </c>
      <c r="AM145">
        <v>-190</v>
      </c>
      <c r="AN145">
        <v>7.41</v>
      </c>
      <c r="AO145">
        <v>918</v>
      </c>
      <c r="AP145">
        <v>0.2</v>
      </c>
      <c r="AQ145">
        <v>0.01</v>
      </c>
      <c r="AR145">
        <v>9.4</v>
      </c>
      <c r="AS145">
        <v>10</v>
      </c>
      <c r="AT145">
        <v>75</v>
      </c>
      <c r="AU145" s="32">
        <f t="shared" si="161"/>
        <v>2.8805530661887083E-2</v>
      </c>
      <c r="AV145">
        <v>2.4</v>
      </c>
      <c r="AW145" s="32">
        <f t="shared" si="162"/>
        <v>9.3770349468200566E-4</v>
      </c>
      <c r="AX145">
        <v>120</v>
      </c>
      <c r="AY145" s="32">
        <f t="shared" si="163"/>
        <v>4.7471037016106249E-2</v>
      </c>
      <c r="AZ145">
        <v>13</v>
      </c>
      <c r="BA145" s="32">
        <f t="shared" si="164"/>
        <v>5.1426956767448434E-3</v>
      </c>
      <c r="BB145">
        <v>5</v>
      </c>
      <c r="BC145" s="32">
        <f t="shared" si="165"/>
        <v>1.9779598756710934E-3</v>
      </c>
      <c r="BD145">
        <v>18</v>
      </c>
      <c r="BF145" s="48">
        <v>215.4</v>
      </c>
      <c r="BG145" s="48">
        <f t="shared" si="166"/>
        <v>7.7214271172675333E-2</v>
      </c>
      <c r="BH145">
        <v>160</v>
      </c>
      <c r="BI145" s="32">
        <f t="shared" si="167"/>
        <v>5.9920418194585309E-2</v>
      </c>
      <c r="BJ145" s="47">
        <v>180</v>
      </c>
      <c r="BK145" s="27">
        <f t="shared" si="168"/>
        <v>6.7410470468908482E-2</v>
      </c>
      <c r="BL145" s="47">
        <v>2.2000000000000002</v>
      </c>
      <c r="BM145" s="27">
        <f t="shared" si="169"/>
        <v>8.0951442276102248E-4</v>
      </c>
      <c r="BN145" s="47">
        <v>330</v>
      </c>
      <c r="BO145" s="27">
        <f t="shared" si="170"/>
        <v>0.12411646456131249</v>
      </c>
      <c r="BP145" s="47">
        <v>64</v>
      </c>
      <c r="BQ145" s="27">
        <f t="shared" si="171"/>
        <v>2.3871976898086872E-2</v>
      </c>
      <c r="BR145" s="47">
        <v>33</v>
      </c>
      <c r="BS145" s="27">
        <f t="shared" si="172"/>
        <v>1.2220164955394715E-2</v>
      </c>
      <c r="BT145" s="47">
        <v>2.2999999999999998</v>
      </c>
      <c r="BU145" s="27">
        <f t="shared" si="173"/>
        <v>8.5170846658811641E-4</v>
      </c>
      <c r="BV145" s="47">
        <v>0.31</v>
      </c>
      <c r="BW145" s="27">
        <f t="shared" si="174"/>
        <v>1.1342398022249691E-4</v>
      </c>
      <c r="BX145" s="47">
        <v>0.22</v>
      </c>
      <c r="BY145" s="27">
        <f t="shared" si="175"/>
        <v>8.0494437577255875E-5</v>
      </c>
      <c r="BZ145" s="51">
        <f t="shared" si="176"/>
        <v>612.03</v>
      </c>
      <c r="CA145" s="51">
        <f t="shared" si="177"/>
        <v>432.03000000000003</v>
      </c>
      <c r="CB145" s="27">
        <f t="shared" si="178"/>
        <v>0.22947421819085145</v>
      </c>
      <c r="CC145" s="27">
        <f t="shared" si="179"/>
        <v>0.16206374772194296</v>
      </c>
      <c r="CD145">
        <v>460</v>
      </c>
      <c r="CE145">
        <v>760</v>
      </c>
      <c r="CF145" t="s">
        <v>19</v>
      </c>
      <c r="CG145">
        <v>1200</v>
      </c>
      <c r="CH145" s="32">
        <v>2.7</v>
      </c>
      <c r="CI145" s="32">
        <f t="shared" si="180"/>
        <v>4.8343777976723366E-2</v>
      </c>
      <c r="CJ145" s="32">
        <f t="shared" si="181"/>
        <v>4.8343777976723366E-2</v>
      </c>
      <c r="CK145" s="32">
        <v>1.9</v>
      </c>
      <c r="CL145" s="32">
        <f t="shared" si="182"/>
        <v>3.4589477516839613E-2</v>
      </c>
      <c r="CM145" s="32">
        <f t="shared" si="183"/>
        <v>6.9178955033679226E-2</v>
      </c>
      <c r="CN145" s="27">
        <v>76</v>
      </c>
      <c r="CO145" s="27">
        <f t="shared" si="184"/>
        <v>0.79117218405163436</v>
      </c>
      <c r="CP145" s="27">
        <f t="shared" si="185"/>
        <v>6.3293774724130749</v>
      </c>
      <c r="CQ145" s="57">
        <v>64</v>
      </c>
      <c r="CR145" s="57">
        <v>45.714285714285715</v>
      </c>
      <c r="CS145" s="57">
        <v>5.3300020820320633</v>
      </c>
      <c r="CT145" s="57">
        <f t="shared" si="186"/>
        <v>5.3300020820320633</v>
      </c>
      <c r="CU145" s="28">
        <v>-75.5</v>
      </c>
      <c r="CV145" s="28">
        <v>-15100</v>
      </c>
      <c r="CW145" s="28">
        <v>-6.2877368311471997</v>
      </c>
      <c r="CX145" s="28">
        <f t="shared" si="187"/>
        <v>0</v>
      </c>
      <c r="CY145" s="32">
        <f t="shared" si="188"/>
        <v>37.2034145325838</v>
      </c>
      <c r="CZ145" s="32">
        <f t="shared" si="189"/>
        <v>37.2034145325838</v>
      </c>
      <c r="DA145" s="32">
        <f t="shared" si="190"/>
        <v>39.903414532583803</v>
      </c>
      <c r="DB145" s="32">
        <f t="shared" si="191"/>
        <v>0.71447474543569922</v>
      </c>
      <c r="DC145" s="32">
        <f t="shared" si="192"/>
        <v>0.71447474543569922</v>
      </c>
      <c r="DD145" s="59">
        <f t="shared" si="193"/>
        <v>-43.888403081407453</v>
      </c>
      <c r="DE145" s="59">
        <f t="shared" si="194"/>
        <v>0</v>
      </c>
      <c r="DF145" s="59">
        <f t="shared" si="195"/>
        <v>2.7</v>
      </c>
      <c r="DG145" s="59">
        <f t="shared" si="196"/>
        <v>4.8343777976723366E-2</v>
      </c>
      <c r="DH145" s="59">
        <f t="shared" si="197"/>
        <v>4.8343777976723366E-2</v>
      </c>
      <c r="DI145" s="32">
        <f t="shared" si="198"/>
        <v>6.3293774724130749</v>
      </c>
      <c r="DJ145" s="32">
        <f t="shared" si="199"/>
        <v>4.5999999999999996</v>
      </c>
      <c r="DK145" s="32">
        <f t="shared" si="200"/>
        <v>0.11752273301040259</v>
      </c>
      <c r="DL145">
        <f t="shared" si="201"/>
        <v>6.1136557825014419</v>
      </c>
      <c r="DM145">
        <f t="shared" si="150"/>
        <v>1.1315480866895357E-2</v>
      </c>
      <c r="DN145">
        <f t="shared" si="151"/>
        <v>0.11686538641587819</v>
      </c>
      <c r="DO145">
        <f t="shared" si="152"/>
        <v>0.87181913271722644</v>
      </c>
      <c r="DP145">
        <f t="shared" si="202"/>
        <v>0.11752273301040259</v>
      </c>
      <c r="DQ145">
        <f t="shared" si="153"/>
        <v>0.58864317789100273</v>
      </c>
      <c r="DR145">
        <f t="shared" si="154"/>
        <v>0.41135682210899732</v>
      </c>
      <c r="DS145">
        <f t="shared" si="155"/>
        <v>0</v>
      </c>
      <c r="DT145" s="63">
        <f t="shared" si="156"/>
        <v>-5.9765210931341812</v>
      </c>
      <c r="DU145" s="63">
        <f t="shared" si="157"/>
        <v>1.9611956356858057E-2</v>
      </c>
      <c r="DV145" s="63">
        <f t="shared" si="158"/>
        <v>-5.8144573454122384</v>
      </c>
      <c r="DW145" s="63">
        <f t="shared" si="159"/>
        <v>0.18167570407880099</v>
      </c>
      <c r="DX145" t="str">
        <f t="shared" si="203"/>
        <v>Sufficient Capacity</v>
      </c>
      <c r="DY145" t="str">
        <f t="shared" si="204"/>
        <v>Insufficient Capacity</v>
      </c>
      <c r="DZ145" t="str">
        <f t="shared" si="205"/>
        <v>Sulfate Dominant electron acceptor</v>
      </c>
      <c r="EA145" t="str">
        <f t="shared" si="160"/>
        <v>Iron Dominant electron acceptor</v>
      </c>
      <c r="EB145">
        <v>9.9783600000000004E-3</v>
      </c>
      <c r="EC145">
        <v>1.815512E-3</v>
      </c>
      <c r="ED145">
        <v>0</v>
      </c>
      <c r="EE145">
        <v>6.9812330000000003E-4</v>
      </c>
      <c r="EF145">
        <v>4.8324509999999998E-3</v>
      </c>
      <c r="EG145" s="66">
        <v>7.0703300000000003E-6</v>
      </c>
      <c r="EH145">
        <v>4.4955340000000002E-4</v>
      </c>
      <c r="EI145" s="66">
        <v>7.6275539999999994E-5</v>
      </c>
      <c r="EJ145">
        <v>5.4123979999999995E-4</v>
      </c>
      <c r="EK145">
        <v>8.9516279999999997E-4</v>
      </c>
      <c r="EL145">
        <v>5.4900459999999995E-4</v>
      </c>
      <c r="EM145">
        <v>4.3516030000000002E-4</v>
      </c>
      <c r="EN145">
        <v>1.7914300000000001E-3</v>
      </c>
      <c r="EO145">
        <v>6.7563289999999999E-4</v>
      </c>
      <c r="EP145">
        <v>2.294524E-3</v>
      </c>
      <c r="EQ145">
        <v>1.5474379999999999E-3</v>
      </c>
      <c r="ER145">
        <v>4.8821450000000001E-4</v>
      </c>
      <c r="ES145">
        <v>7.1528780000000005E-4</v>
      </c>
      <c r="ET145">
        <v>6.1392820000000002E-3</v>
      </c>
      <c r="EU145">
        <v>2.6436599999999999E-3</v>
      </c>
      <c r="EV145">
        <v>9.2105309999999992E-3</v>
      </c>
      <c r="EW145">
        <v>8.4663890000000002E-4</v>
      </c>
      <c r="EX145">
        <v>5.7000569999999997E-3</v>
      </c>
      <c r="EY145">
        <v>7.2716100000000004E-3</v>
      </c>
      <c r="EZ145">
        <v>1.1812140000000001E-3</v>
      </c>
      <c r="FA145">
        <v>8.6537949999999995E-4</v>
      </c>
      <c r="FB145">
        <v>9.0874409999999999E-4</v>
      </c>
      <c r="FC145">
        <v>1.7508630000000001E-3</v>
      </c>
      <c r="FD145">
        <v>3.0553690000000001E-4</v>
      </c>
      <c r="FE145">
        <v>2.1263279999999999E-2</v>
      </c>
      <c r="FF145">
        <v>1.9688500000000001E-2</v>
      </c>
      <c r="FG145">
        <v>1.01961E-2</v>
      </c>
      <c r="FH145">
        <v>1.0240819999999999E-3</v>
      </c>
      <c r="FI145">
        <v>1.4398480000000001E-3</v>
      </c>
      <c r="FJ145">
        <v>1.291875E-2</v>
      </c>
      <c r="FK145">
        <v>0.197998416459538</v>
      </c>
      <c r="FL145">
        <v>4.9208672288260799E-2</v>
      </c>
      <c r="FM145">
        <v>-0.53587547778546196</v>
      </c>
      <c r="FN145">
        <v>0.41468249036902899</v>
      </c>
      <c r="FO145">
        <v>-3.98286648809121E-2</v>
      </c>
      <c r="FP145">
        <v>0.20187542956299001</v>
      </c>
      <c r="FQ145">
        <v>0.218713502760218</v>
      </c>
      <c r="FR145">
        <v>0.18643594604076699</v>
      </c>
      <c r="FS145">
        <v>0.52609445524680598</v>
      </c>
      <c r="FT145">
        <v>-0.12675707948926901</v>
      </c>
      <c r="FU145">
        <v>-0.18913401937573501</v>
      </c>
      <c r="FV145">
        <v>7.9863247845432597E-2</v>
      </c>
      <c r="FW145">
        <v>0.24740558288995901</v>
      </c>
      <c r="FX145">
        <v>0.208964668766835</v>
      </c>
      <c r="FY145">
        <v>2.69549827145497E-2</v>
      </c>
      <c r="FZ145">
        <v>-0.34629906835180402</v>
      </c>
      <c r="GA145">
        <v>-4.6588654298854899E-2</v>
      </c>
      <c r="GB145">
        <v>4.1098625909886402E-2</v>
      </c>
      <c r="GC145">
        <v>0.27273739835445499</v>
      </c>
      <c r="GD145">
        <v>0.13609973630150601</v>
      </c>
      <c r="GE145">
        <v>7.1069818111750394E-2</v>
      </c>
      <c r="GF145">
        <v>-7.5618088666534106E-2</v>
      </c>
      <c r="GG145">
        <v>-8.8868459259434707E-2</v>
      </c>
      <c r="GH145">
        <v>-8.4170461701570595E-2</v>
      </c>
      <c r="GI145">
        <v>-6.7711798841580503E-2</v>
      </c>
      <c r="GJ145">
        <v>-0.156109419214673</v>
      </c>
      <c r="GK145">
        <v>-9.25260647412047E-2</v>
      </c>
      <c r="GL145">
        <v>0.27533122948803301</v>
      </c>
      <c r="GM145">
        <v>0.189798373806217</v>
      </c>
      <c r="GN145">
        <v>0.25578019250019002</v>
      </c>
      <c r="GO145">
        <v>2.7236660413070299E-3</v>
      </c>
      <c r="GP145">
        <v>0.19858729008414799</v>
      </c>
      <c r="GV145" s="66"/>
      <c r="HK145" s="1"/>
      <c r="HL145" s="1"/>
      <c r="HM145" s="65"/>
      <c r="HN145" s="1"/>
      <c r="HO145" s="65"/>
      <c r="HP145" s="65"/>
      <c r="HQ145" s="65"/>
      <c r="HT145" s="65"/>
      <c r="HV145" s="65"/>
      <c r="HW145" s="65"/>
      <c r="HX145" s="65"/>
      <c r="IX145" s="66"/>
      <c r="IZ145" s="66"/>
      <c r="JB145" s="66"/>
      <c r="JD145" s="66"/>
      <c r="JF145" s="66"/>
      <c r="JH145" s="66"/>
      <c r="JJ145" s="66"/>
      <c r="JL145" s="66"/>
      <c r="JN145" s="66"/>
    </row>
    <row r="146" spans="1:278" ht="15.75" x14ac:dyDescent="0.25">
      <c r="A146" s="6" t="s">
        <v>199</v>
      </c>
      <c r="B146" s="6" t="s">
        <v>199</v>
      </c>
      <c r="C146" s="2" t="s">
        <v>991</v>
      </c>
      <c r="D146" s="2" t="s">
        <v>588</v>
      </c>
      <c r="E146" s="2" t="s">
        <v>588</v>
      </c>
      <c r="F146" s="2">
        <v>145</v>
      </c>
      <c r="G146" s="2" t="s">
        <v>990</v>
      </c>
      <c r="H146" s="10" t="s">
        <v>656</v>
      </c>
      <c r="I146" s="2">
        <v>150</v>
      </c>
      <c r="J146" s="2">
        <v>65</v>
      </c>
      <c r="K146" s="2">
        <v>6.55</v>
      </c>
      <c r="L146" t="s">
        <v>372</v>
      </c>
      <c r="M146" s="2" t="s">
        <v>1120</v>
      </c>
      <c r="N146" s="2" t="s">
        <v>435</v>
      </c>
      <c r="O146" s="2" t="s">
        <v>653</v>
      </c>
      <c r="P146" s="2" t="s">
        <v>1123</v>
      </c>
      <c r="Q146" s="9" t="s">
        <v>654</v>
      </c>
      <c r="R146" s="2" t="str">
        <f t="shared" si="145"/>
        <v>CW_1_Section_1</v>
      </c>
      <c r="S146" s="2" t="str">
        <f t="shared" si="146"/>
        <v>CW_1_MF01</v>
      </c>
      <c r="T146" s="11" t="s">
        <v>983</v>
      </c>
      <c r="U146" s="1">
        <v>45882</v>
      </c>
      <c r="V146" s="2" t="s">
        <v>692</v>
      </c>
      <c r="W146" s="2" t="s">
        <v>655</v>
      </c>
      <c r="X146" s="2" t="s">
        <v>982</v>
      </c>
      <c r="Y146" s="2" t="str">
        <f t="shared" si="147"/>
        <v>T6_MF01</v>
      </c>
      <c r="Z146" s="2" t="str">
        <f t="shared" si="148"/>
        <v>T6_CW_1_MF01</v>
      </c>
      <c r="AA146" s="2" t="str">
        <f t="shared" si="149"/>
        <v>T6_0.15-0.30</v>
      </c>
      <c r="AB146" s="2">
        <v>365</v>
      </c>
      <c r="AC146" s="2">
        <v>12.007</v>
      </c>
      <c r="AD146" s="2">
        <v>0.74</v>
      </c>
      <c r="AE146" s="2">
        <v>6</v>
      </c>
      <c r="AF146" t="s">
        <v>29</v>
      </c>
      <c r="AG146" t="s">
        <v>1237</v>
      </c>
      <c r="AH146">
        <v>68</v>
      </c>
      <c r="AI146">
        <v>26</v>
      </c>
      <c r="AJ146">
        <v>0.76</v>
      </c>
      <c r="AK146">
        <v>3.6</v>
      </c>
      <c r="AL146">
        <v>20.9</v>
      </c>
      <c r="AM146">
        <v>-69</v>
      </c>
      <c r="AN146">
        <v>7.11</v>
      </c>
      <c r="AO146">
        <v>900</v>
      </c>
      <c r="AP146">
        <v>0.1</v>
      </c>
      <c r="AQ146">
        <v>0.01</v>
      </c>
      <c r="AR146">
        <v>13</v>
      </c>
      <c r="AS146">
        <v>13</v>
      </c>
      <c r="AT146">
        <v>41</v>
      </c>
      <c r="AU146" s="32">
        <f t="shared" si="161"/>
        <v>1.5747023428498274E-2</v>
      </c>
      <c r="AV146">
        <v>0.1</v>
      </c>
      <c r="AW146" s="32">
        <f t="shared" si="162"/>
        <v>3.9070978945083576E-5</v>
      </c>
      <c r="AX146">
        <v>280</v>
      </c>
      <c r="AY146" s="32">
        <f t="shared" si="163"/>
        <v>0.11076575303758124</v>
      </c>
      <c r="AZ146">
        <v>42</v>
      </c>
      <c r="BA146" s="32">
        <f t="shared" si="164"/>
        <v>1.6614862955637185E-2</v>
      </c>
      <c r="BB146">
        <v>15</v>
      </c>
      <c r="BC146" s="32">
        <f t="shared" si="165"/>
        <v>5.9338796270132811E-3</v>
      </c>
      <c r="BD146">
        <v>57</v>
      </c>
      <c r="BF146" s="48">
        <v>378.7</v>
      </c>
      <c r="BG146" s="48">
        <f t="shared" si="166"/>
        <v>0.1265518474450246</v>
      </c>
      <c r="BH146">
        <v>1200</v>
      </c>
      <c r="BI146" s="32">
        <f t="shared" si="167"/>
        <v>0.44940313645938984</v>
      </c>
      <c r="BJ146" s="47">
        <v>0.34</v>
      </c>
      <c r="BK146" s="27">
        <f t="shared" si="168"/>
        <v>1.273308886634938E-4</v>
      </c>
      <c r="BL146" s="47">
        <v>1.9</v>
      </c>
      <c r="BM146" s="27">
        <f t="shared" si="169"/>
        <v>6.9912609238451931E-4</v>
      </c>
      <c r="BN146" s="47">
        <v>57</v>
      </c>
      <c r="BO146" s="27">
        <f t="shared" si="170"/>
        <v>2.1438298424226704E-2</v>
      </c>
      <c r="BP146" s="47">
        <v>0.2</v>
      </c>
      <c r="BQ146" s="27">
        <f t="shared" si="171"/>
        <v>7.459992780652148E-5</v>
      </c>
      <c r="BR146" s="47">
        <v>0.04</v>
      </c>
      <c r="BS146" s="27">
        <f t="shared" si="172"/>
        <v>1.4812321158054199E-5</v>
      </c>
      <c r="BT146" s="47">
        <v>0.02</v>
      </c>
      <c r="BU146" s="27">
        <f t="shared" si="173"/>
        <v>7.4061605790270997E-6</v>
      </c>
      <c r="BV146" s="47">
        <v>0.02</v>
      </c>
      <c r="BW146" s="27">
        <f t="shared" si="174"/>
        <v>7.3176761433868973E-6</v>
      </c>
      <c r="BX146" s="47">
        <v>2E-3</v>
      </c>
      <c r="BY146" s="27">
        <f t="shared" si="175"/>
        <v>7.3176761433868969E-7</v>
      </c>
      <c r="BZ146" s="51">
        <f t="shared" si="176"/>
        <v>59.522000000000013</v>
      </c>
      <c r="CA146" s="51">
        <f t="shared" si="177"/>
        <v>59.182000000000009</v>
      </c>
      <c r="CB146" s="27">
        <f t="shared" si="178"/>
        <v>2.2369623258576044E-2</v>
      </c>
      <c r="CC146" s="27">
        <f t="shared" si="179"/>
        <v>2.2242292369912549E-2</v>
      </c>
      <c r="CD146">
        <v>2900</v>
      </c>
      <c r="CE146">
        <v>400</v>
      </c>
      <c r="CF146" t="s">
        <v>19</v>
      </c>
      <c r="CG146">
        <v>3300</v>
      </c>
      <c r="CH146" s="32">
        <v>2.4</v>
      </c>
      <c r="CI146" s="32">
        <f t="shared" si="180"/>
        <v>4.2972247090420766E-2</v>
      </c>
      <c r="CJ146" s="32">
        <f t="shared" si="181"/>
        <v>4.2972247090420766E-2</v>
      </c>
      <c r="CK146" s="32">
        <v>0.9</v>
      </c>
      <c r="CL146" s="32">
        <f t="shared" si="182"/>
        <v>1.6384489350081924E-2</v>
      </c>
      <c r="CM146" s="32">
        <f t="shared" si="183"/>
        <v>3.2768978700163848E-2</v>
      </c>
      <c r="CN146" s="27">
        <v>37</v>
      </c>
      <c r="CO146" s="27">
        <f t="shared" si="184"/>
        <v>0.38517593170934833</v>
      </c>
      <c r="CP146" s="27">
        <f t="shared" si="185"/>
        <v>3.0814074536747866</v>
      </c>
      <c r="CQ146" s="57">
        <v>103</v>
      </c>
      <c r="CR146" s="57">
        <v>73.571428571428584</v>
      </c>
      <c r="CS146" s="57">
        <v>8.5779721007703511</v>
      </c>
      <c r="CT146" s="57">
        <f t="shared" si="186"/>
        <v>8.5779721007703511</v>
      </c>
      <c r="CU146" s="28">
        <v>103</v>
      </c>
      <c r="CV146" s="28">
        <v>73.571428571428584</v>
      </c>
      <c r="CW146" s="28">
        <v>8.5779721007703511</v>
      </c>
      <c r="CX146" s="28">
        <f t="shared" si="187"/>
        <v>8.5779721007703511</v>
      </c>
      <c r="CY146" s="32">
        <f t="shared" si="188"/>
        <v>59.874245263377055</v>
      </c>
      <c r="CZ146" s="32">
        <f t="shared" si="189"/>
        <v>59.874245263377055</v>
      </c>
      <c r="DA146" s="32">
        <f t="shared" si="190"/>
        <v>62.274245263377054</v>
      </c>
      <c r="DB146" s="32">
        <f t="shared" si="191"/>
        <v>1.1150267728447101</v>
      </c>
      <c r="DC146" s="32">
        <f t="shared" si="192"/>
        <v>1.1150267728447101</v>
      </c>
      <c r="DD146" s="59">
        <f t="shared" si="193"/>
        <v>59.874245263377055</v>
      </c>
      <c r="DE146" s="59">
        <f t="shared" si="194"/>
        <v>59.874245263377055</v>
      </c>
      <c r="DF146" s="59">
        <f t="shared" si="195"/>
        <v>62.274245263377054</v>
      </c>
      <c r="DG146" s="59">
        <f t="shared" si="196"/>
        <v>1.1150267728447101</v>
      </c>
      <c r="DH146" s="59">
        <f t="shared" si="197"/>
        <v>1.1150267728447101</v>
      </c>
      <c r="DI146" s="32">
        <f t="shared" si="198"/>
        <v>3.0814074536747866</v>
      </c>
      <c r="DJ146" s="32">
        <f t="shared" si="199"/>
        <v>63.174245263377053</v>
      </c>
      <c r="DK146" s="32">
        <f t="shared" si="200"/>
        <v>1.147795751544874</v>
      </c>
      <c r="DL146">
        <f t="shared" si="201"/>
        <v>9.7257678523152258</v>
      </c>
      <c r="DM146">
        <f t="shared" si="150"/>
        <v>3.3692947639463932E-3</v>
      </c>
      <c r="DN146">
        <f t="shared" si="151"/>
        <v>0.11464665718699805</v>
      </c>
      <c r="DO146">
        <f t="shared" si="152"/>
        <v>0.8819840480490555</v>
      </c>
      <c r="DP146">
        <f t="shared" si="202"/>
        <v>9.7257678523152258</v>
      </c>
      <c r="DQ146">
        <f t="shared" si="153"/>
        <v>3.3692947639463932E-3</v>
      </c>
      <c r="DR146">
        <f t="shared" si="154"/>
        <v>0.11464665718699805</v>
      </c>
      <c r="DS146">
        <f t="shared" si="155"/>
        <v>0.8819840480490555</v>
      </c>
      <c r="DT146" s="63">
        <f t="shared" si="156"/>
        <v>-9.1498128684108107</v>
      </c>
      <c r="DU146" s="63">
        <f t="shared" si="157"/>
        <v>-9.1498128684108107</v>
      </c>
      <c r="DV146" s="63">
        <f t="shared" si="158"/>
        <v>-9.1275705760408989</v>
      </c>
      <c r="DW146" s="63">
        <f t="shared" si="159"/>
        <v>-9.1275705760408989</v>
      </c>
      <c r="DX146" t="str">
        <f t="shared" si="203"/>
        <v>Sufficient Capacity</v>
      </c>
      <c r="DY146" t="str">
        <f t="shared" si="204"/>
        <v>Sufficient Capacity</v>
      </c>
      <c r="DZ146" t="str">
        <f t="shared" si="205"/>
        <v>Sulfate Dominant electron acceptor</v>
      </c>
      <c r="EA146" t="str">
        <f t="shared" si="160"/>
        <v>Sulfate Dominant electron acceptor</v>
      </c>
      <c r="EB146">
        <v>9.2568000000000008E-3</v>
      </c>
      <c r="EC146">
        <v>1.4350260000000001E-3</v>
      </c>
      <c r="ED146" s="66">
        <v>5.369486E-6</v>
      </c>
      <c r="EE146">
        <v>5.251794E-4</v>
      </c>
      <c r="EF146">
        <v>5.1253119999999999E-3</v>
      </c>
      <c r="EG146" s="66">
        <v>2.3539919999999999E-5</v>
      </c>
      <c r="EH146">
        <v>2.489913E-4</v>
      </c>
      <c r="EI146">
        <v>1.338016E-4</v>
      </c>
      <c r="EJ146">
        <v>4.7609740000000001E-4</v>
      </c>
      <c r="EK146">
        <v>7.9295470000000003E-4</v>
      </c>
      <c r="EL146">
        <v>4.269349E-4</v>
      </c>
      <c r="EM146">
        <v>2.2869129999999999E-4</v>
      </c>
      <c r="EN146">
        <v>2.2986310000000002E-3</v>
      </c>
      <c r="EO146">
        <v>1.0449980000000001E-3</v>
      </c>
      <c r="EP146">
        <v>2.140908E-3</v>
      </c>
      <c r="EQ146">
        <v>1.244298E-3</v>
      </c>
      <c r="ER146">
        <v>4.6855859999999998E-4</v>
      </c>
      <c r="ES146">
        <v>8.1225869999999997E-4</v>
      </c>
      <c r="ET146">
        <v>1.306238E-2</v>
      </c>
      <c r="EU146">
        <v>2.8600639999999998E-3</v>
      </c>
      <c r="EV146">
        <v>9.4339560000000003E-3</v>
      </c>
      <c r="EW146">
        <v>5.8349930000000001E-4</v>
      </c>
      <c r="EX146">
        <v>4.6174839999999998E-3</v>
      </c>
      <c r="EY146">
        <v>6.335696E-3</v>
      </c>
      <c r="EZ146">
        <v>1.54217E-3</v>
      </c>
      <c r="FA146">
        <v>9.6822330000000004E-4</v>
      </c>
      <c r="FB146">
        <v>1.0305010000000001E-3</v>
      </c>
      <c r="FC146">
        <v>1.8256539999999999E-3</v>
      </c>
      <c r="FD146">
        <v>4.4615300000000002E-4</v>
      </c>
      <c r="FE146">
        <v>2.3671709999999999E-2</v>
      </c>
      <c r="FF146">
        <v>1.063825E-2</v>
      </c>
      <c r="FG146">
        <v>6.1291460000000002E-3</v>
      </c>
      <c r="FH146">
        <v>5.7547420000000004E-4</v>
      </c>
      <c r="FI146">
        <v>1.4525989999999999E-3</v>
      </c>
      <c r="FJ146">
        <v>8.9886540000000004E-3</v>
      </c>
      <c r="FK146">
        <v>-8.6657399760651899E-2</v>
      </c>
      <c r="FL146">
        <v>0.10804628113883299</v>
      </c>
      <c r="FM146">
        <v>0.66691507065483802</v>
      </c>
      <c r="FN146">
        <v>-0.17615419905656299</v>
      </c>
      <c r="FO146">
        <v>0.52217713066451499</v>
      </c>
      <c r="FP146">
        <v>7.3635450837417502E-2</v>
      </c>
      <c r="FQ146">
        <v>9.7473996746510097E-2</v>
      </c>
      <c r="FR146">
        <v>-6.50393317151607E-2</v>
      </c>
      <c r="FS146">
        <v>-0.117246954504163</v>
      </c>
      <c r="FT146">
        <v>0.122542465245027</v>
      </c>
      <c r="FU146">
        <v>0.246986349943669</v>
      </c>
      <c r="FV146">
        <v>1.05678713620092E-2</v>
      </c>
      <c r="FW146">
        <v>2.9376438205043001E-2</v>
      </c>
      <c r="FX146">
        <v>0.16787098420611299</v>
      </c>
      <c r="FY146">
        <v>0.154088889006298</v>
      </c>
      <c r="FZ146">
        <v>0.40872947751764999</v>
      </c>
      <c r="GA146">
        <v>3.2091027225109599E-2</v>
      </c>
      <c r="GB146">
        <v>6.5066643451363093E-2</v>
      </c>
      <c r="GC146">
        <v>-9.9493625107999903E-2</v>
      </c>
      <c r="GD146">
        <v>-7.4526470482251E-2</v>
      </c>
      <c r="GE146">
        <v>-6.6708233399154396E-2</v>
      </c>
      <c r="GF146">
        <v>0.19102970366018601</v>
      </c>
      <c r="GG146">
        <v>2.3426144189917501E-2</v>
      </c>
      <c r="GH146">
        <v>4.1566372639198997E-2</v>
      </c>
      <c r="GI146">
        <v>-2.5882329074564201E-2</v>
      </c>
      <c r="GJ146">
        <v>0.22248196638973999</v>
      </c>
      <c r="GK146">
        <v>1.4772958168792099E-2</v>
      </c>
      <c r="GL146">
        <v>-0.34024748275665101</v>
      </c>
      <c r="GM146">
        <v>-0.31915149502942702</v>
      </c>
      <c r="GN146">
        <v>-0.32057729144326702</v>
      </c>
      <c r="GO146">
        <v>1.1540479349263499E-2</v>
      </c>
      <c r="GP146">
        <v>-0.16412933900294599</v>
      </c>
      <c r="GR146" s="66"/>
      <c r="GT146" s="66"/>
      <c r="GV146" s="66"/>
      <c r="GW146" s="65"/>
      <c r="GX146" s="65"/>
      <c r="HK146" s="1"/>
      <c r="HL146" s="1"/>
      <c r="HM146" s="65"/>
      <c r="HN146" s="1"/>
      <c r="HO146" s="65"/>
      <c r="HP146" s="65"/>
      <c r="HQ146" s="65"/>
      <c r="HS146" s="65"/>
      <c r="HT146" s="65"/>
      <c r="HU146" s="65"/>
      <c r="HV146" s="65"/>
      <c r="HW146" s="65"/>
      <c r="HX146" s="65"/>
      <c r="IJ146" s="66"/>
      <c r="IL146" s="66"/>
      <c r="IX146" s="66"/>
      <c r="IZ146" s="66"/>
      <c r="JB146" s="66"/>
      <c r="JD146" s="66"/>
      <c r="JF146" s="66"/>
      <c r="JH146" s="66"/>
      <c r="JJ146" s="66"/>
      <c r="JL146" s="66"/>
      <c r="JN146" s="66"/>
      <c r="JO146" s="66"/>
      <c r="JP146" s="66"/>
      <c r="JQ146" s="66"/>
      <c r="JR146" s="66"/>
    </row>
    <row r="147" spans="1:278" ht="15.75" x14ac:dyDescent="0.25">
      <c r="A147" s="6" t="s">
        <v>200</v>
      </c>
      <c r="B147" s="6" t="s">
        <v>200</v>
      </c>
      <c r="C147" s="2" t="s">
        <v>993</v>
      </c>
      <c r="D147" s="2" t="s">
        <v>589</v>
      </c>
      <c r="E147" s="2" t="s">
        <v>589</v>
      </c>
      <c r="F147" s="2">
        <v>146</v>
      </c>
      <c r="G147" s="2" t="s">
        <v>992</v>
      </c>
      <c r="H147" s="10" t="s">
        <v>656</v>
      </c>
      <c r="I147" s="2">
        <v>150</v>
      </c>
      <c r="J147" s="2">
        <v>65</v>
      </c>
      <c r="K147" s="2">
        <v>8</v>
      </c>
      <c r="L147" t="s">
        <v>373</v>
      </c>
      <c r="M147" s="2" t="s">
        <v>1120</v>
      </c>
      <c r="N147" s="2" t="s">
        <v>435</v>
      </c>
      <c r="O147" s="2" t="s">
        <v>653</v>
      </c>
      <c r="P147" s="2" t="s">
        <v>1124</v>
      </c>
      <c r="Q147" s="9" t="s">
        <v>662</v>
      </c>
      <c r="R147" s="2" t="str">
        <f t="shared" si="145"/>
        <v>CW_1_Section_1</v>
      </c>
      <c r="S147" s="2" t="str">
        <f t="shared" si="146"/>
        <v>CW_1_MF02</v>
      </c>
      <c r="T147" s="11" t="s">
        <v>983</v>
      </c>
      <c r="U147" s="1">
        <v>45882</v>
      </c>
      <c r="V147" s="2" t="s">
        <v>692</v>
      </c>
      <c r="W147" s="2" t="s">
        <v>663</v>
      </c>
      <c r="X147" s="2" t="s">
        <v>982</v>
      </c>
      <c r="Y147" s="2" t="str">
        <f t="shared" si="147"/>
        <v>T6_MF02</v>
      </c>
      <c r="Z147" s="2" t="str">
        <f t="shared" si="148"/>
        <v>T6_CW_1_MF02</v>
      </c>
      <c r="AA147" s="2" t="str">
        <f t="shared" si="149"/>
        <v>T6_0.60-0.80</v>
      </c>
      <c r="AB147" s="2">
        <v>365</v>
      </c>
      <c r="AC147" s="2">
        <v>12.007</v>
      </c>
      <c r="AD147" s="2">
        <v>0.74</v>
      </c>
      <c r="AE147" s="2">
        <v>6</v>
      </c>
      <c r="AF147" t="s">
        <v>31</v>
      </c>
      <c r="AG147" t="s">
        <v>1237</v>
      </c>
      <c r="AH147">
        <v>66</v>
      </c>
      <c r="AI147">
        <v>27</v>
      </c>
      <c r="AJ147">
        <v>0.74</v>
      </c>
      <c r="AK147">
        <v>0.6</v>
      </c>
      <c r="AL147">
        <v>20.2</v>
      </c>
      <c r="AM147">
        <v>-14</v>
      </c>
      <c r="AN147">
        <v>7.09</v>
      </c>
      <c r="AO147">
        <v>1010</v>
      </c>
      <c r="AP147">
        <v>0.2</v>
      </c>
      <c r="AQ147">
        <v>0.01</v>
      </c>
      <c r="AR147">
        <v>9.4</v>
      </c>
      <c r="AS147">
        <v>10</v>
      </c>
      <c r="AT147">
        <v>96</v>
      </c>
      <c r="AU147" s="32">
        <f t="shared" si="161"/>
        <v>3.6871079247215464E-2</v>
      </c>
      <c r="AV147">
        <v>4.4000000000000004</v>
      </c>
      <c r="AW147" s="32">
        <f t="shared" si="162"/>
        <v>1.7191230735836773E-3</v>
      </c>
      <c r="AX147">
        <v>110</v>
      </c>
      <c r="AY147" s="32">
        <f t="shared" si="163"/>
        <v>4.3515117264764057E-2</v>
      </c>
      <c r="AZ147">
        <v>28</v>
      </c>
      <c r="BA147" s="32">
        <f t="shared" si="164"/>
        <v>1.1076575303758125E-2</v>
      </c>
      <c r="BB147">
        <v>15</v>
      </c>
      <c r="BC147" s="32">
        <f t="shared" si="165"/>
        <v>5.9338796270132811E-3</v>
      </c>
      <c r="BD147">
        <v>43</v>
      </c>
      <c r="BF147" s="48">
        <v>253.4</v>
      </c>
      <c r="BG147" s="48">
        <f t="shared" si="166"/>
        <v>8.2105319585563191E-2</v>
      </c>
      <c r="BH147">
        <v>170</v>
      </c>
      <c r="BI147" s="32">
        <f t="shared" si="167"/>
        <v>6.3665444331746895E-2</v>
      </c>
      <c r="BJ147" s="47">
        <v>64</v>
      </c>
      <c r="BK147" s="27">
        <f t="shared" si="168"/>
        <v>2.3968167277834122E-2</v>
      </c>
      <c r="BL147" s="47">
        <v>4.3</v>
      </c>
      <c r="BM147" s="27">
        <f t="shared" si="169"/>
        <v>1.5822327353965436E-3</v>
      </c>
      <c r="BN147" s="47">
        <v>340</v>
      </c>
      <c r="BO147" s="27">
        <f t="shared" si="170"/>
        <v>0.12787756954801893</v>
      </c>
      <c r="BP147" s="47">
        <v>61</v>
      </c>
      <c r="BQ147" s="27">
        <f t="shared" si="171"/>
        <v>2.2752977980989051E-2</v>
      </c>
      <c r="BR147" s="47">
        <v>27</v>
      </c>
      <c r="BS147" s="27">
        <f t="shared" si="172"/>
        <v>9.9983167816865854E-3</v>
      </c>
      <c r="BT147" s="47">
        <v>3.1</v>
      </c>
      <c r="BU147" s="27">
        <f t="shared" si="173"/>
        <v>1.1479548897492004E-3</v>
      </c>
      <c r="BV147" s="47">
        <v>1</v>
      </c>
      <c r="BW147" s="27">
        <f t="shared" si="174"/>
        <v>3.6588380716934482E-4</v>
      </c>
      <c r="BX147" s="47">
        <v>1</v>
      </c>
      <c r="BY147" s="27">
        <f t="shared" si="175"/>
        <v>3.6588380716934482E-4</v>
      </c>
      <c r="BZ147" s="51">
        <f t="shared" si="176"/>
        <v>501.40000000000003</v>
      </c>
      <c r="CA147" s="51">
        <f t="shared" si="177"/>
        <v>437.40000000000003</v>
      </c>
      <c r="CB147" s="27">
        <f t="shared" si="178"/>
        <v>0.18805898682801311</v>
      </c>
      <c r="CC147" s="27">
        <f t="shared" si="179"/>
        <v>0.16409081955017898</v>
      </c>
      <c r="CD147">
        <v>650</v>
      </c>
      <c r="CE147">
        <v>1300</v>
      </c>
      <c r="CF147" t="s">
        <v>19</v>
      </c>
      <c r="CG147">
        <v>2000</v>
      </c>
      <c r="CH147" s="32">
        <v>0.4</v>
      </c>
      <c r="CI147" s="32">
        <f t="shared" si="180"/>
        <v>7.162041181736795E-3</v>
      </c>
      <c r="CJ147" s="32">
        <f t="shared" si="181"/>
        <v>7.162041181736795E-3</v>
      </c>
      <c r="CK147" s="32">
        <v>1.2</v>
      </c>
      <c r="CL147" s="32">
        <f t="shared" si="182"/>
        <v>2.1845985800109231E-2</v>
      </c>
      <c r="CM147" s="32">
        <f t="shared" si="183"/>
        <v>4.3691971600218461E-2</v>
      </c>
      <c r="CN147" s="27">
        <v>130</v>
      </c>
      <c r="CO147" s="27">
        <f t="shared" si="184"/>
        <v>1.3533208411409536</v>
      </c>
      <c r="CP147" s="27">
        <f t="shared" si="185"/>
        <v>10.826566729127629</v>
      </c>
      <c r="CQ147" s="57">
        <v>10</v>
      </c>
      <c r="CR147" s="57">
        <v>7.1428571428571423</v>
      </c>
      <c r="CS147" s="57">
        <v>0.83281282531750989</v>
      </c>
      <c r="CT147" s="57">
        <f t="shared" si="186"/>
        <v>0.83281282531750989</v>
      </c>
      <c r="CU147" s="28">
        <v>10</v>
      </c>
      <c r="CV147" s="28">
        <v>7.1428571428571423</v>
      </c>
      <c r="CW147" s="28">
        <v>0.83281282531750989</v>
      </c>
      <c r="CX147" s="28">
        <f t="shared" si="187"/>
        <v>0.83281282531750989</v>
      </c>
      <c r="CY147" s="32">
        <f t="shared" si="188"/>
        <v>5.8130335207162185</v>
      </c>
      <c r="CZ147" s="32">
        <f t="shared" si="189"/>
        <v>5.8130335207162185</v>
      </c>
      <c r="DA147" s="32">
        <f t="shared" si="190"/>
        <v>6.2130335207162188</v>
      </c>
      <c r="DB147" s="32">
        <f t="shared" si="191"/>
        <v>0.11124500484720176</v>
      </c>
      <c r="DC147" s="32">
        <f t="shared" si="192"/>
        <v>0.11124500484720176</v>
      </c>
      <c r="DD147" s="59">
        <f t="shared" si="193"/>
        <v>5.8130335207162185</v>
      </c>
      <c r="DE147" s="59">
        <f t="shared" si="194"/>
        <v>5.8130335207162185</v>
      </c>
      <c r="DF147" s="59">
        <f t="shared" si="195"/>
        <v>6.2130335207162188</v>
      </c>
      <c r="DG147" s="59">
        <f t="shared" si="196"/>
        <v>0.11124500484720176</v>
      </c>
      <c r="DH147" s="59">
        <f t="shared" si="197"/>
        <v>0.11124500484720176</v>
      </c>
      <c r="DI147" s="32">
        <f t="shared" si="198"/>
        <v>10.826566729127629</v>
      </c>
      <c r="DJ147" s="32">
        <f t="shared" si="199"/>
        <v>7.413033520716219</v>
      </c>
      <c r="DK147" s="32">
        <f t="shared" si="200"/>
        <v>0.15493697644742022</v>
      </c>
      <c r="DL147">
        <f t="shared" si="201"/>
        <v>0.9877498017649301</v>
      </c>
      <c r="DM147">
        <f t="shared" si="150"/>
        <v>4.4233844969797834E-2</v>
      </c>
      <c r="DN147">
        <f t="shared" si="151"/>
        <v>0.11262467949720371</v>
      </c>
      <c r="DO147">
        <f t="shared" si="152"/>
        <v>0.84314147553299845</v>
      </c>
      <c r="DP147">
        <f t="shared" si="202"/>
        <v>0.9877498017649301</v>
      </c>
      <c r="DQ147">
        <f t="shared" si="153"/>
        <v>4.4233844969797834E-2</v>
      </c>
      <c r="DR147">
        <f t="shared" si="154"/>
        <v>0.11262467949720371</v>
      </c>
      <c r="DS147">
        <f t="shared" si="155"/>
        <v>0.84314147553299845</v>
      </c>
      <c r="DT147" s="63">
        <f t="shared" si="156"/>
        <v>-0.84197903784761996</v>
      </c>
      <c r="DU147" s="63">
        <f t="shared" si="157"/>
        <v>-0.84197903784761996</v>
      </c>
      <c r="DV147" s="63">
        <f t="shared" si="158"/>
        <v>-0.67788821829744106</v>
      </c>
      <c r="DW147" s="63">
        <f t="shared" si="159"/>
        <v>-0.67788821829744106</v>
      </c>
      <c r="DX147" t="str">
        <f t="shared" si="203"/>
        <v>Sufficient Capacity</v>
      </c>
      <c r="DY147" t="str">
        <f t="shared" si="204"/>
        <v>Sufficient Capacity</v>
      </c>
      <c r="DZ147" t="str">
        <f t="shared" si="205"/>
        <v>Sulfate Dominant electron acceptor</v>
      </c>
      <c r="EA147" t="str">
        <f t="shared" si="160"/>
        <v>Sulfate Dominant electron acceptor</v>
      </c>
      <c r="EB147">
        <v>8.2681690000000006E-3</v>
      </c>
      <c r="EC147">
        <v>1.4377459999999999E-3</v>
      </c>
      <c r="ED147" s="66">
        <v>5.8547469999999999E-8</v>
      </c>
      <c r="EE147">
        <v>1.2819999999999999E-3</v>
      </c>
      <c r="EF147">
        <v>8.1550159999999993E-3</v>
      </c>
      <c r="EG147" s="66">
        <v>1.051015E-5</v>
      </c>
      <c r="EH147">
        <v>6.1678280000000002E-4</v>
      </c>
      <c r="EI147" s="66">
        <v>9.9218300000000005E-5</v>
      </c>
      <c r="EJ147">
        <v>5.409446E-4</v>
      </c>
      <c r="EK147">
        <v>7.4970609999999997E-4</v>
      </c>
      <c r="EL147">
        <v>7.3196519999999996E-4</v>
      </c>
      <c r="EM147">
        <v>8.5319089999999996E-4</v>
      </c>
      <c r="EN147">
        <v>2.106686E-3</v>
      </c>
      <c r="EO147">
        <v>1.00662E-3</v>
      </c>
      <c r="EP147">
        <v>3.8138249999999999E-3</v>
      </c>
      <c r="EQ147">
        <v>8.1643440000000002E-4</v>
      </c>
      <c r="ER147">
        <v>6.9036979999999998E-4</v>
      </c>
      <c r="ES147">
        <v>1.1207770000000001E-3</v>
      </c>
      <c r="ET147">
        <v>5.7817500000000004E-3</v>
      </c>
      <c r="EU147">
        <v>2.361995E-3</v>
      </c>
      <c r="EV147">
        <v>8.0251630000000001E-3</v>
      </c>
      <c r="EW147">
        <v>1.033321E-3</v>
      </c>
      <c r="EX147">
        <v>4.501054E-3</v>
      </c>
      <c r="EY147">
        <v>6.3196750000000003E-3</v>
      </c>
      <c r="EZ147">
        <v>2.3063329999999998E-3</v>
      </c>
      <c r="FA147">
        <v>1.638397E-3</v>
      </c>
      <c r="FB147">
        <v>1.7317770000000001E-3</v>
      </c>
      <c r="FC147">
        <v>2.2117740000000001E-3</v>
      </c>
      <c r="FD147">
        <v>4.7126330000000003E-4</v>
      </c>
      <c r="FE147">
        <v>2.6914839999999999E-2</v>
      </c>
      <c r="FF147">
        <v>1.257637E-2</v>
      </c>
      <c r="FG147">
        <v>8.0713650000000005E-3</v>
      </c>
      <c r="FH147">
        <v>8.120604E-4</v>
      </c>
      <c r="FI147">
        <v>1.9343800000000001E-3</v>
      </c>
      <c r="FJ147">
        <v>9.8336459999999997E-3</v>
      </c>
      <c r="FK147">
        <v>0.80577931921365498</v>
      </c>
      <c r="FL147">
        <v>0.57248807797613699</v>
      </c>
      <c r="FM147">
        <v>-0.139441175792027</v>
      </c>
      <c r="FN147">
        <v>0.73094478084595904</v>
      </c>
      <c r="FO147">
        <v>0.22314149797910701</v>
      </c>
      <c r="FP147">
        <v>0.20132986633490799</v>
      </c>
      <c r="FQ147">
        <v>4.13891646496021E-2</v>
      </c>
      <c r="FR147">
        <v>0.47406209754326201</v>
      </c>
      <c r="FS147">
        <v>1.1993633071038601</v>
      </c>
      <c r="FT147">
        <v>3.53448335771578E-2</v>
      </c>
      <c r="FU147">
        <v>0.20956956243255101</v>
      </c>
      <c r="FV147">
        <v>0.58797045579097995</v>
      </c>
      <c r="FW147">
        <v>-0.39200378999010299</v>
      </c>
      <c r="FX147">
        <v>0.55543720636145599</v>
      </c>
      <c r="FY147">
        <v>0.47604747728230401</v>
      </c>
      <c r="FZ147">
        <v>-0.406300460536968</v>
      </c>
      <c r="GA147">
        <v>-0.15924637405585099</v>
      </c>
      <c r="GB147">
        <v>-9.6666897082203093E-2</v>
      </c>
      <c r="GC147">
        <v>0.47199628907337798</v>
      </c>
      <c r="GD147">
        <v>-0.100064846916245</v>
      </c>
      <c r="GE147">
        <v>-6.9240124176360496E-2</v>
      </c>
      <c r="GF147">
        <v>0.59349800548153298</v>
      </c>
      <c r="GG147">
        <v>0.54943700548694296</v>
      </c>
      <c r="GH147">
        <v>0.56066932985261997</v>
      </c>
      <c r="GI147">
        <v>0.165974300379295</v>
      </c>
      <c r="GJ147">
        <v>0.27723698504592398</v>
      </c>
      <c r="GK147">
        <v>0.14317010126103299</v>
      </c>
      <c r="GL147">
        <v>-0.17288382308500899</v>
      </c>
      <c r="GM147">
        <v>-4.3884307467437503E-2</v>
      </c>
      <c r="GN147">
        <v>2.3803033613579501E-2</v>
      </c>
      <c r="GO147">
        <v>0.29797297528203298</v>
      </c>
      <c r="GP147">
        <v>-7.4282683581461006E-2</v>
      </c>
      <c r="HK147" s="1"/>
      <c r="HL147" s="65"/>
      <c r="HM147" s="65"/>
      <c r="HN147" s="1"/>
      <c r="HO147" s="65"/>
      <c r="HS147" s="65"/>
      <c r="HV147" s="65"/>
      <c r="HW147" s="65"/>
      <c r="HX147" s="65"/>
      <c r="IX147" s="66"/>
      <c r="IZ147" s="66"/>
      <c r="JJ147" s="66"/>
      <c r="JL147" s="66"/>
      <c r="JN147" s="66"/>
    </row>
    <row r="148" spans="1:278" ht="15.75" x14ac:dyDescent="0.25">
      <c r="A148" s="6" t="s">
        <v>201</v>
      </c>
      <c r="B148" s="6" t="s">
        <v>201</v>
      </c>
      <c r="C148" s="2" t="s">
        <v>995</v>
      </c>
      <c r="D148" s="2" t="s">
        <v>590</v>
      </c>
      <c r="E148" s="2" t="s">
        <v>590</v>
      </c>
      <c r="F148" s="2">
        <v>147</v>
      </c>
      <c r="G148" s="2" t="s">
        <v>994</v>
      </c>
      <c r="H148" s="10" t="s">
        <v>656</v>
      </c>
      <c r="I148" s="2">
        <v>150</v>
      </c>
      <c r="J148" s="2">
        <v>65</v>
      </c>
      <c r="K148" s="2">
        <v>7</v>
      </c>
      <c r="L148" t="s">
        <v>374</v>
      </c>
      <c r="M148" s="2" t="s">
        <v>1120</v>
      </c>
      <c r="N148" s="2" t="s">
        <v>435</v>
      </c>
      <c r="O148" s="2" t="s">
        <v>666</v>
      </c>
      <c r="P148" s="2" t="s">
        <v>1131</v>
      </c>
      <c r="Q148" s="9" t="s">
        <v>667</v>
      </c>
      <c r="R148" s="2" t="str">
        <f t="shared" si="145"/>
        <v>CW_1_Section_2</v>
      </c>
      <c r="S148" s="2" t="str">
        <f t="shared" si="146"/>
        <v>CW_1_MF05</v>
      </c>
      <c r="T148" s="11" t="s">
        <v>983</v>
      </c>
      <c r="U148" s="1">
        <v>45882</v>
      </c>
      <c r="V148" s="2" t="s">
        <v>692</v>
      </c>
      <c r="W148" s="2" t="s">
        <v>655</v>
      </c>
      <c r="X148" s="2" t="s">
        <v>982</v>
      </c>
      <c r="Y148" s="2" t="str">
        <f t="shared" si="147"/>
        <v>T6_MF05</v>
      </c>
      <c r="Z148" s="2" t="str">
        <f t="shared" si="148"/>
        <v>T6_CW_1_MF05</v>
      </c>
      <c r="AA148" s="2" t="str">
        <f t="shared" si="149"/>
        <v>T6_0.15-0.30</v>
      </c>
      <c r="AB148" s="2">
        <v>365</v>
      </c>
      <c r="AC148" s="2">
        <v>12.007</v>
      </c>
      <c r="AD148" s="2">
        <v>0.74</v>
      </c>
      <c r="AE148" s="2">
        <v>6</v>
      </c>
      <c r="AF148" t="s">
        <v>33</v>
      </c>
      <c r="AG148" t="s">
        <v>1237</v>
      </c>
      <c r="AH148">
        <v>69</v>
      </c>
      <c r="AI148">
        <v>27</v>
      </c>
      <c r="AJ148">
        <v>0.96</v>
      </c>
      <c r="AK148">
        <v>5.21</v>
      </c>
      <c r="AL148">
        <v>20.8</v>
      </c>
      <c r="AM148">
        <v>-75</v>
      </c>
      <c r="AN148">
        <v>7.31</v>
      </c>
      <c r="AO148">
        <v>910</v>
      </c>
      <c r="AP148">
        <v>0.2</v>
      </c>
      <c r="AQ148">
        <v>0.01</v>
      </c>
      <c r="AR148">
        <v>13</v>
      </c>
      <c r="AS148">
        <v>14</v>
      </c>
      <c r="AT148">
        <v>310</v>
      </c>
      <c r="AU148" s="32">
        <f t="shared" si="161"/>
        <v>0.11906286006913326</v>
      </c>
      <c r="AV148">
        <v>1</v>
      </c>
      <c r="AW148" s="32">
        <f t="shared" si="162"/>
        <v>3.9070978945083569E-4</v>
      </c>
      <c r="AX148">
        <v>320</v>
      </c>
      <c r="AY148" s="32">
        <f t="shared" si="163"/>
        <v>0.12658943204294998</v>
      </c>
      <c r="AZ148">
        <v>51</v>
      </c>
      <c r="BA148" s="32">
        <f t="shared" si="164"/>
        <v>2.0175190731845153E-2</v>
      </c>
      <c r="BB148">
        <v>26</v>
      </c>
      <c r="BC148" s="32">
        <f t="shared" si="165"/>
        <v>1.0285391353489687E-2</v>
      </c>
      <c r="BD148">
        <v>77</v>
      </c>
      <c r="BF148" s="48">
        <v>714</v>
      </c>
      <c r="BG148" s="48">
        <f t="shared" si="166"/>
        <v>0.24604300190153408</v>
      </c>
      <c r="BH148">
        <v>1600</v>
      </c>
      <c r="BI148" s="32">
        <f t="shared" si="167"/>
        <v>0.59920418194585312</v>
      </c>
      <c r="BJ148" s="47">
        <v>0.17</v>
      </c>
      <c r="BK148" s="27">
        <f t="shared" si="168"/>
        <v>6.36654443317469E-5</v>
      </c>
      <c r="BL148" s="47">
        <v>0.78</v>
      </c>
      <c r="BM148" s="27">
        <f t="shared" si="169"/>
        <v>2.8700965897890797E-4</v>
      </c>
      <c r="BN148" s="47">
        <v>0.67</v>
      </c>
      <c r="BO148" s="27">
        <f t="shared" si="170"/>
        <v>2.5199403410933142E-4</v>
      </c>
      <c r="BP148" s="47">
        <v>7.0000000000000007E-2</v>
      </c>
      <c r="BQ148" s="27">
        <f t="shared" si="171"/>
        <v>2.6109974732282519E-5</v>
      </c>
      <c r="BR148" s="47">
        <v>0.05</v>
      </c>
      <c r="BS148" s="27">
        <f t="shared" si="172"/>
        <v>1.8515401447567749E-5</v>
      </c>
      <c r="BT148" s="47">
        <v>1E-3</v>
      </c>
      <c r="BU148" s="27">
        <f t="shared" si="173"/>
        <v>3.7030802895135499E-7</v>
      </c>
      <c r="BV148" s="47">
        <v>1E-3</v>
      </c>
      <c r="BW148" s="27">
        <f t="shared" si="174"/>
        <v>3.6588380716934485E-7</v>
      </c>
      <c r="BX148" s="47">
        <v>2E-3</v>
      </c>
      <c r="BY148" s="27">
        <f t="shared" si="175"/>
        <v>7.3176761433868969E-7</v>
      </c>
      <c r="BZ148" s="51">
        <f t="shared" si="176"/>
        <v>1.744</v>
      </c>
      <c r="CA148" s="51">
        <f t="shared" si="177"/>
        <v>1.5740000000000001</v>
      </c>
      <c r="CB148" s="27">
        <f t="shared" si="178"/>
        <v>6.4876247305029598E-4</v>
      </c>
      <c r="CC148" s="27">
        <f t="shared" si="179"/>
        <v>5.8509702871854905E-4</v>
      </c>
      <c r="CD148">
        <v>2700</v>
      </c>
      <c r="CE148">
        <v>110</v>
      </c>
      <c r="CF148" t="s">
        <v>19</v>
      </c>
      <c r="CG148">
        <v>2800</v>
      </c>
      <c r="CH148" s="32">
        <v>5.9</v>
      </c>
      <c r="CI148" s="32">
        <f t="shared" si="180"/>
        <v>0.10564010743061773</v>
      </c>
      <c r="CJ148" s="32">
        <f t="shared" si="181"/>
        <v>0.10564010743061773</v>
      </c>
      <c r="CK148" s="32">
        <v>1.8</v>
      </c>
      <c r="CL148" s="32">
        <f t="shared" si="182"/>
        <v>3.2768978700163848E-2</v>
      </c>
      <c r="CM148" s="32">
        <f t="shared" si="183"/>
        <v>6.5537957400327695E-2</v>
      </c>
      <c r="CN148" s="27">
        <v>8.6</v>
      </c>
      <c r="CO148" s="27">
        <f t="shared" si="184"/>
        <v>8.9527378721632314E-2</v>
      </c>
      <c r="CP148" s="27">
        <f t="shared" si="185"/>
        <v>0.71621902977305851</v>
      </c>
      <c r="CQ148" s="57">
        <v>131.4</v>
      </c>
      <c r="CR148" s="57">
        <v>93.857142857142861</v>
      </c>
      <c r="CS148" s="57">
        <v>10.943160524672081</v>
      </c>
      <c r="CT148" s="57">
        <f t="shared" si="186"/>
        <v>10.943160524672081</v>
      </c>
      <c r="CU148" s="28">
        <v>28.4</v>
      </c>
      <c r="CV148" s="28">
        <v>76.756756756756744</v>
      </c>
      <c r="CW148" s="28">
        <v>2.3651884239017278</v>
      </c>
      <c r="CX148" s="28">
        <f t="shared" si="187"/>
        <v>2.3651884239017278</v>
      </c>
      <c r="CY148" s="32">
        <f t="shared" si="188"/>
        <v>76.383260462211112</v>
      </c>
      <c r="CZ148" s="32">
        <f t="shared" si="189"/>
        <v>76.383260462211112</v>
      </c>
      <c r="DA148" s="32">
        <f t="shared" si="190"/>
        <v>82.283260462211118</v>
      </c>
      <c r="DB148" s="32">
        <f t="shared" si="191"/>
        <v>1.4732902499948275</v>
      </c>
      <c r="DC148" s="32">
        <f t="shared" si="192"/>
        <v>1.4732902499948275</v>
      </c>
      <c r="DD148" s="59">
        <f t="shared" si="193"/>
        <v>16.50901519883406</v>
      </c>
      <c r="DE148" s="59">
        <f t="shared" si="194"/>
        <v>16.50901519883406</v>
      </c>
      <c r="DF148" s="59">
        <f t="shared" si="195"/>
        <v>22.409015198834062</v>
      </c>
      <c r="DG148" s="59">
        <f t="shared" si="196"/>
        <v>0.40123572424053827</v>
      </c>
      <c r="DH148" s="59">
        <f t="shared" si="197"/>
        <v>0.40123572424053827</v>
      </c>
      <c r="DI148" s="32">
        <f t="shared" si="198"/>
        <v>0.71621902977305851</v>
      </c>
      <c r="DJ148" s="32">
        <f t="shared" si="199"/>
        <v>24.209015198834063</v>
      </c>
      <c r="DK148" s="32">
        <f t="shared" si="200"/>
        <v>0.46677368164086597</v>
      </c>
      <c r="DL148">
        <f t="shared" si="201"/>
        <v>12.481988732067236</v>
      </c>
      <c r="DM148">
        <f t="shared" si="150"/>
        <v>5.2506021922576647E-3</v>
      </c>
      <c r="DN148">
        <f t="shared" si="151"/>
        <v>0.1180332943427377</v>
      </c>
      <c r="DO148">
        <f t="shared" si="152"/>
        <v>0.87671610346500461</v>
      </c>
      <c r="DP148">
        <f t="shared" si="202"/>
        <v>2.8319621055425936</v>
      </c>
      <c r="DQ148">
        <f t="shared" si="153"/>
        <v>2.3142243772280583E-2</v>
      </c>
      <c r="DR148">
        <f t="shared" si="154"/>
        <v>0.14168117696746615</v>
      </c>
      <c r="DS148">
        <f t="shared" si="155"/>
        <v>0.83517657926025335</v>
      </c>
      <c r="DT148" s="63">
        <f t="shared" si="156"/>
        <v>-11.636741548219849</v>
      </c>
      <c r="DU148" s="63">
        <f t="shared" si="157"/>
        <v>-1.9867149216952065</v>
      </c>
      <c r="DV148" s="63">
        <f t="shared" si="158"/>
        <v>-11.63615645119113</v>
      </c>
      <c r="DW148" s="63">
        <f t="shared" si="159"/>
        <v>-1.986129824666488</v>
      </c>
      <c r="DX148" t="str">
        <f t="shared" si="203"/>
        <v>Sufficient Capacity</v>
      </c>
      <c r="DY148" t="str">
        <f t="shared" si="204"/>
        <v>Sufficient Capacity</v>
      </c>
      <c r="DZ148" t="str">
        <f t="shared" si="205"/>
        <v>Sulfate Dominant electron acceptor</v>
      </c>
      <c r="EA148" t="str">
        <f t="shared" si="160"/>
        <v>Sulfate Dominant electron acceptor</v>
      </c>
      <c r="EB148">
        <v>9.9489390000000004E-3</v>
      </c>
      <c r="EC148">
        <v>1.549768E-3</v>
      </c>
      <c r="ED148" s="66">
        <v>2.6157509999999999E-5</v>
      </c>
      <c r="EE148">
        <v>6.7840770000000003E-4</v>
      </c>
      <c r="EF148">
        <v>4.5766940000000001E-3</v>
      </c>
      <c r="EG148" s="66">
        <v>1.0515660000000001E-5</v>
      </c>
      <c r="EH148">
        <v>3.2323349999999998E-4</v>
      </c>
      <c r="EI148">
        <v>1.175287E-4</v>
      </c>
      <c r="EJ148">
        <v>4.2418529999999999E-4</v>
      </c>
      <c r="EK148">
        <v>7.2415079999999996E-4</v>
      </c>
      <c r="EL148">
        <v>3.564873E-4</v>
      </c>
      <c r="EM148">
        <v>1.975941E-4</v>
      </c>
      <c r="EN148">
        <v>2.1642480000000001E-3</v>
      </c>
      <c r="EO148">
        <v>8.8893119999999999E-4</v>
      </c>
      <c r="EP148">
        <v>2.2729170000000002E-3</v>
      </c>
      <c r="EQ148">
        <v>1.298783E-3</v>
      </c>
      <c r="ER148">
        <v>4.1566740000000002E-4</v>
      </c>
      <c r="ES148">
        <v>8.2904650000000001E-4</v>
      </c>
      <c r="ET148">
        <v>1.328962E-2</v>
      </c>
      <c r="EU148">
        <v>3.0927620000000002E-3</v>
      </c>
      <c r="EV148">
        <v>9.2062329999999994E-3</v>
      </c>
      <c r="EW148">
        <v>6.1199680000000002E-4</v>
      </c>
      <c r="EX148">
        <v>4.9217660000000002E-3</v>
      </c>
      <c r="EY148">
        <v>6.6574759999999998E-3</v>
      </c>
      <c r="EZ148">
        <v>1.3791039999999999E-3</v>
      </c>
      <c r="FA148">
        <v>1.1481219999999999E-3</v>
      </c>
      <c r="FB148">
        <v>1.2252140000000001E-3</v>
      </c>
      <c r="FC148">
        <v>1.946955E-3</v>
      </c>
      <c r="FD148">
        <v>3.7561080000000002E-4</v>
      </c>
      <c r="FE148">
        <v>2.2285619999999999E-2</v>
      </c>
      <c r="FF148">
        <v>1.271301E-2</v>
      </c>
      <c r="FG148">
        <v>7.0554190000000003E-3</v>
      </c>
      <c r="FH148">
        <v>7.0200250000000003E-4</v>
      </c>
      <c r="FI148">
        <v>1.4193420000000001E-3</v>
      </c>
      <c r="FJ148">
        <v>9.3543900000000006E-3</v>
      </c>
      <c r="FK148">
        <v>0.16935111638216899</v>
      </c>
      <c r="FL148">
        <v>-5.1682166641109396E-3</v>
      </c>
      <c r="FM148">
        <v>-0.13891705804092599</v>
      </c>
      <c r="FN148">
        <v>8.4802817113819998E-2</v>
      </c>
      <c r="FO148">
        <v>0.39250158397328599</v>
      </c>
      <c r="FP148">
        <v>-4.1816616245756499E-2</v>
      </c>
      <c r="FQ148">
        <v>6.7075595754664298E-3</v>
      </c>
      <c r="FR148">
        <v>-0.24537225920796099</v>
      </c>
      <c r="FS148">
        <v>-0.26340508713903299</v>
      </c>
      <c r="FT148">
        <v>6.2301693919082801E-2</v>
      </c>
      <c r="FU148">
        <v>8.5235941615096997E-2</v>
      </c>
      <c r="FV148">
        <v>7.0401861837791693E-2</v>
      </c>
      <c r="FW148">
        <v>7.2232594891964694E-2</v>
      </c>
      <c r="FX148">
        <v>4.8095231551335403E-2</v>
      </c>
      <c r="FY148">
        <v>0.17454624876538899</v>
      </c>
      <c r="FZ148">
        <v>0.42597641382704299</v>
      </c>
      <c r="GA148">
        <v>0.11031156781665601</v>
      </c>
      <c r="GB148">
        <v>4.0631877236989099E-2</v>
      </c>
      <c r="GC148">
        <v>-5.1809823436163201E-2</v>
      </c>
      <c r="GD148">
        <v>-1.0709029300011601E-2</v>
      </c>
      <c r="GE148">
        <v>-1.71674732195948E-2</v>
      </c>
      <c r="GF148">
        <v>7.9273201098801302E-2</v>
      </c>
      <c r="GG148">
        <v>0.19384624470818801</v>
      </c>
      <c r="GH148">
        <v>0.21463680350561901</v>
      </c>
      <c r="GI148">
        <v>3.8446005563057099E-2</v>
      </c>
      <c r="GJ148">
        <v>5.03735247846189E-2</v>
      </c>
      <c r="GK148">
        <v>-4.5566078677640398E-2</v>
      </c>
      <c r="GL148">
        <v>-0.162077600894586</v>
      </c>
      <c r="GM148">
        <v>-0.17841094638288801</v>
      </c>
      <c r="GN148">
        <v>-0.12183472274515</v>
      </c>
      <c r="GO148">
        <v>-1.1620502482007701E-2</v>
      </c>
      <c r="GP148">
        <v>-0.124246702536043</v>
      </c>
      <c r="GR148" s="66"/>
      <c r="GT148" s="66"/>
      <c r="GV148" s="66"/>
      <c r="GW148" s="65"/>
      <c r="GX148" s="65"/>
      <c r="HK148" s="1"/>
      <c r="HL148" s="1"/>
      <c r="HM148" s="1"/>
      <c r="HN148" s="1"/>
      <c r="HO148" s="65"/>
      <c r="HP148" s="65"/>
      <c r="HQ148" s="65"/>
      <c r="HS148" s="65"/>
      <c r="HT148" s="65"/>
      <c r="HU148" s="65"/>
      <c r="HV148" s="65"/>
      <c r="HW148" s="65"/>
      <c r="HX148" s="65"/>
      <c r="IJ148" s="66"/>
      <c r="IL148" s="66"/>
      <c r="IZ148" s="66"/>
      <c r="JB148" s="66"/>
      <c r="JD148" s="66"/>
      <c r="JF148" s="66"/>
      <c r="JH148" s="66"/>
      <c r="JJ148" s="66"/>
      <c r="JL148" s="66"/>
      <c r="JN148" s="66"/>
      <c r="JP148" s="66"/>
      <c r="JR148" s="66"/>
    </row>
    <row r="149" spans="1:278" ht="15.75" x14ac:dyDescent="0.25">
      <c r="A149" s="6" t="s">
        <v>202</v>
      </c>
      <c r="B149" s="6" t="s">
        <v>202</v>
      </c>
      <c r="C149" s="2" t="s">
        <v>997</v>
      </c>
      <c r="D149" s="2" t="s">
        <v>591</v>
      </c>
      <c r="E149" s="2" t="s">
        <v>591</v>
      </c>
      <c r="F149" s="2">
        <v>148</v>
      </c>
      <c r="G149" s="2" t="s">
        <v>996</v>
      </c>
      <c r="H149" s="10" t="s">
        <v>656</v>
      </c>
      <c r="I149" s="2">
        <v>150</v>
      </c>
      <c r="J149" s="2">
        <v>65</v>
      </c>
      <c r="K149" s="2">
        <v>3.9</v>
      </c>
      <c r="L149" t="s">
        <v>375</v>
      </c>
      <c r="M149" s="2" t="s">
        <v>1120</v>
      </c>
      <c r="N149" s="2" t="s">
        <v>435</v>
      </c>
      <c r="O149" s="2" t="s">
        <v>666</v>
      </c>
      <c r="P149" s="2" t="s">
        <v>1132</v>
      </c>
      <c r="Q149" s="9" t="s">
        <v>670</v>
      </c>
      <c r="R149" s="2" t="str">
        <f t="shared" si="145"/>
        <v>CW_1_Section_2</v>
      </c>
      <c r="S149" s="2" t="str">
        <f t="shared" si="146"/>
        <v>CW_1_MF06</v>
      </c>
      <c r="T149" s="11" t="s">
        <v>983</v>
      </c>
      <c r="U149" s="1">
        <v>45882</v>
      </c>
      <c r="V149" s="2" t="s">
        <v>692</v>
      </c>
      <c r="W149" s="2" t="s">
        <v>663</v>
      </c>
      <c r="X149" s="2" t="s">
        <v>982</v>
      </c>
      <c r="Y149" s="2" t="str">
        <f t="shared" si="147"/>
        <v>T6_MF06</v>
      </c>
      <c r="Z149" s="2" t="str">
        <f t="shared" si="148"/>
        <v>T6_CW_1_MF06</v>
      </c>
      <c r="AA149" s="2" t="str">
        <f t="shared" si="149"/>
        <v>T6_0.60-0.80</v>
      </c>
      <c r="AB149" s="2">
        <v>365</v>
      </c>
      <c r="AC149" s="2">
        <v>12.007</v>
      </c>
      <c r="AD149" s="2">
        <v>0.74</v>
      </c>
      <c r="AE149" s="2">
        <v>6</v>
      </c>
      <c r="AF149" t="s">
        <v>25</v>
      </c>
      <c r="AG149" t="s">
        <v>1237</v>
      </c>
      <c r="AH149">
        <v>66</v>
      </c>
      <c r="AI149">
        <v>24</v>
      </c>
      <c r="AJ149">
        <v>0.82</v>
      </c>
      <c r="AK149">
        <v>0.55000000000000004</v>
      </c>
      <c r="AL149">
        <v>21.5</v>
      </c>
      <c r="AM149">
        <v>-306</v>
      </c>
      <c r="AN149">
        <v>7.31</v>
      </c>
      <c r="AO149">
        <v>944</v>
      </c>
      <c r="AP149">
        <v>0.2</v>
      </c>
      <c r="AQ149">
        <v>0.01</v>
      </c>
      <c r="AR149">
        <v>10</v>
      </c>
      <c r="AS149">
        <v>11</v>
      </c>
      <c r="AT149">
        <v>180</v>
      </c>
      <c r="AU149" s="32">
        <f t="shared" si="161"/>
        <v>6.9133273588528998E-2</v>
      </c>
      <c r="AV149">
        <v>3</v>
      </c>
      <c r="AW149" s="32">
        <f t="shared" si="162"/>
        <v>1.172129368352507E-3</v>
      </c>
      <c r="AX149">
        <v>290</v>
      </c>
      <c r="AY149" s="32">
        <f t="shared" si="163"/>
        <v>0.11472167278892344</v>
      </c>
      <c r="AZ149">
        <v>31</v>
      </c>
      <c r="BA149" s="32">
        <f t="shared" si="164"/>
        <v>1.2263351229160779E-2</v>
      </c>
      <c r="BB149">
        <v>7.7</v>
      </c>
      <c r="BC149" s="32">
        <f t="shared" si="165"/>
        <v>3.0460582085334842E-3</v>
      </c>
      <c r="BD149">
        <v>38.700000000000003</v>
      </c>
      <c r="BF149" s="48">
        <v>511.7</v>
      </c>
      <c r="BG149" s="48">
        <f t="shared" si="166"/>
        <v>0.18502707574580496</v>
      </c>
      <c r="BH149">
        <v>220</v>
      </c>
      <c r="BI149" s="32">
        <f t="shared" si="167"/>
        <v>8.2390575017554812E-2</v>
      </c>
      <c r="BJ149" s="47">
        <v>400</v>
      </c>
      <c r="BK149" s="27">
        <f t="shared" si="168"/>
        <v>0.14980104548646328</v>
      </c>
      <c r="BL149" s="47">
        <v>3.7</v>
      </c>
      <c r="BM149" s="27">
        <f t="shared" si="169"/>
        <v>1.3614560746435377E-3</v>
      </c>
      <c r="BN149" s="47">
        <v>470</v>
      </c>
      <c r="BO149" s="27">
        <f t="shared" si="170"/>
        <v>0.17677193437520264</v>
      </c>
      <c r="BP149" s="47">
        <v>88</v>
      </c>
      <c r="BQ149" s="27">
        <f t="shared" si="171"/>
        <v>3.2823968234869452E-2</v>
      </c>
      <c r="BR149" s="47">
        <v>38</v>
      </c>
      <c r="BS149" s="27">
        <f t="shared" si="172"/>
        <v>1.407170510015149E-2</v>
      </c>
      <c r="BT149" s="47">
        <v>1.9</v>
      </c>
      <c r="BU149" s="27">
        <f t="shared" si="173"/>
        <v>7.0358525500757447E-4</v>
      </c>
      <c r="BV149" s="47">
        <v>0.08</v>
      </c>
      <c r="BW149" s="27">
        <f t="shared" si="174"/>
        <v>2.9270704573547589E-5</v>
      </c>
      <c r="BX149" s="47">
        <v>0.05</v>
      </c>
      <c r="BY149" s="27">
        <f t="shared" si="175"/>
        <v>1.8294190358467248E-5</v>
      </c>
      <c r="BZ149" s="51">
        <f t="shared" si="176"/>
        <v>1001.73</v>
      </c>
      <c r="CA149" s="51">
        <f t="shared" si="177"/>
        <v>601.73</v>
      </c>
      <c r="CB149" s="27">
        <f t="shared" si="178"/>
        <v>0.37558125942126996</v>
      </c>
      <c r="CC149" s="27">
        <f t="shared" si="179"/>
        <v>0.22578021393480668</v>
      </c>
      <c r="CD149">
        <v>800</v>
      </c>
      <c r="CE149">
        <v>1000</v>
      </c>
      <c r="CF149">
        <v>30</v>
      </c>
      <c r="CG149">
        <v>1900</v>
      </c>
      <c r="CH149" s="32">
        <v>0.4</v>
      </c>
      <c r="CI149" s="32">
        <f t="shared" si="180"/>
        <v>7.162041181736795E-3</v>
      </c>
      <c r="CJ149" s="32">
        <f t="shared" si="181"/>
        <v>7.162041181736795E-3</v>
      </c>
      <c r="CK149" s="32">
        <v>1</v>
      </c>
      <c r="CL149" s="32">
        <f t="shared" si="182"/>
        <v>1.8204988166757693E-2</v>
      </c>
      <c r="CM149" s="32">
        <f t="shared" si="183"/>
        <v>3.6409976333515386E-2</v>
      </c>
      <c r="CN149" s="27">
        <v>78</v>
      </c>
      <c r="CO149" s="27">
        <f t="shared" si="184"/>
        <v>0.81199250468457207</v>
      </c>
      <c r="CP149" s="27">
        <f t="shared" si="185"/>
        <v>6.4959400374765766</v>
      </c>
      <c r="CQ149" s="57">
        <v>62</v>
      </c>
      <c r="CR149" s="57">
        <v>44.285714285714285</v>
      </c>
      <c r="CS149" s="57">
        <v>5.1634395169685616</v>
      </c>
      <c r="CT149" s="57">
        <f t="shared" si="186"/>
        <v>5.1634395169685616</v>
      </c>
      <c r="CU149" s="28">
        <v>52</v>
      </c>
      <c r="CV149" s="28">
        <v>40</v>
      </c>
      <c r="CW149" s="28">
        <v>4.3306266916510516</v>
      </c>
      <c r="CX149" s="28">
        <f t="shared" si="187"/>
        <v>4.3306266916510516</v>
      </c>
      <c r="CY149" s="32">
        <f t="shared" si="188"/>
        <v>36.040807828440556</v>
      </c>
      <c r="CZ149" s="32">
        <f t="shared" si="189"/>
        <v>36.040807828440556</v>
      </c>
      <c r="DA149" s="32">
        <f t="shared" si="190"/>
        <v>36.440807828440555</v>
      </c>
      <c r="DB149" s="32">
        <f t="shared" si="191"/>
        <v>0.65247641590761962</v>
      </c>
      <c r="DC149" s="32">
        <f t="shared" si="192"/>
        <v>0.65247641590761962</v>
      </c>
      <c r="DD149" s="59">
        <f t="shared" si="193"/>
        <v>30.227774307724339</v>
      </c>
      <c r="DE149" s="59">
        <f t="shared" si="194"/>
        <v>30.227774307724339</v>
      </c>
      <c r="DF149" s="59">
        <f t="shared" si="195"/>
        <v>30.627774307724337</v>
      </c>
      <c r="DG149" s="59">
        <f t="shared" si="196"/>
        <v>0.54839345224215463</v>
      </c>
      <c r="DH149" s="59">
        <f t="shared" si="197"/>
        <v>0.54839345224215463</v>
      </c>
      <c r="DI149" s="32">
        <f t="shared" si="198"/>
        <v>6.4959400374765766</v>
      </c>
      <c r="DJ149" s="32">
        <f t="shared" si="199"/>
        <v>31.627774307724337</v>
      </c>
      <c r="DK149" s="32">
        <f t="shared" si="200"/>
        <v>0.58480342857567003</v>
      </c>
      <c r="DL149">
        <f t="shared" si="201"/>
        <v>5.8523259092096964</v>
      </c>
      <c r="DM149">
        <f t="shared" si="150"/>
        <v>6.2214539822906447E-3</v>
      </c>
      <c r="DN149">
        <f t="shared" si="151"/>
        <v>0.11149010257286417</v>
      </c>
      <c r="DO149">
        <f t="shared" si="152"/>
        <v>0.88228844344484525</v>
      </c>
      <c r="DP149">
        <f t="shared" si="202"/>
        <v>4.9154301202267217</v>
      </c>
      <c r="DQ149">
        <f t="shared" si="153"/>
        <v>7.4072818538687708E-3</v>
      </c>
      <c r="DR149">
        <f t="shared" si="154"/>
        <v>0.11156571018791338</v>
      </c>
      <c r="DS149">
        <f t="shared" si="155"/>
        <v>0.88102700795821787</v>
      </c>
      <c r="DT149" s="63">
        <f t="shared" si="156"/>
        <v>-5.5849082584463368</v>
      </c>
      <c r="DU149" s="63">
        <f t="shared" si="157"/>
        <v>-4.648012469463362</v>
      </c>
      <c r="DV149" s="63">
        <f t="shared" si="158"/>
        <v>-5.3591280445115297</v>
      </c>
      <c r="DW149" s="63">
        <f t="shared" si="159"/>
        <v>-4.4222322555285549</v>
      </c>
      <c r="DX149" t="str">
        <f t="shared" si="203"/>
        <v>Sufficient Capacity</v>
      </c>
      <c r="DY149" t="str">
        <f t="shared" si="204"/>
        <v>Sufficient Capacity</v>
      </c>
      <c r="DZ149" t="str">
        <f t="shared" si="205"/>
        <v>Sulfate Dominant electron acceptor</v>
      </c>
      <c r="EA149" t="str">
        <f t="shared" si="160"/>
        <v>Sulfate Dominant electron acceptor</v>
      </c>
      <c r="EB149">
        <v>8.5893840000000003E-3</v>
      </c>
      <c r="EC149">
        <v>1.51088E-3</v>
      </c>
      <c r="ED149" s="66">
        <v>3.5847120000000002E-7</v>
      </c>
      <c r="EE149">
        <v>9.5358140000000003E-4</v>
      </c>
      <c r="EF149">
        <v>6.6655910000000002E-3</v>
      </c>
      <c r="EG149" s="66">
        <v>1.276467E-5</v>
      </c>
      <c r="EH149">
        <v>4.8530369999999999E-4</v>
      </c>
      <c r="EI149">
        <v>1.4228550000000001E-4</v>
      </c>
      <c r="EJ149">
        <v>5.9906900000000003E-4</v>
      </c>
      <c r="EK149">
        <v>9.7263999999999998E-4</v>
      </c>
      <c r="EL149">
        <v>5.6438409999999995E-4</v>
      </c>
      <c r="EM149">
        <v>4.8273169999999999E-4</v>
      </c>
      <c r="EN149">
        <v>2.326949E-3</v>
      </c>
      <c r="EO149">
        <v>1.082356E-3</v>
      </c>
      <c r="EP149">
        <v>2.9496180000000002E-3</v>
      </c>
      <c r="EQ149">
        <v>9.3602189999999997E-4</v>
      </c>
      <c r="ER149">
        <v>6.0821580000000001E-4</v>
      </c>
      <c r="ES149">
        <v>1.0294659999999999E-3</v>
      </c>
      <c r="ET149">
        <v>7.6106669999999998E-3</v>
      </c>
      <c r="EU149">
        <v>2.3825040000000001E-3</v>
      </c>
      <c r="EV149">
        <v>8.3951319999999996E-3</v>
      </c>
      <c r="EW149">
        <v>7.2245890000000002E-4</v>
      </c>
      <c r="EX149">
        <v>4.4700979999999996E-3</v>
      </c>
      <c r="EY149">
        <v>6.6557980000000001E-3</v>
      </c>
      <c r="EZ149">
        <v>1.839034E-3</v>
      </c>
      <c r="FA149">
        <v>1.395323E-3</v>
      </c>
      <c r="FB149">
        <v>1.459431E-3</v>
      </c>
      <c r="FC149">
        <v>2.0834849999999999E-3</v>
      </c>
      <c r="FD149">
        <v>4.5262779999999999E-4</v>
      </c>
      <c r="FE149">
        <v>2.6565419999999999E-2</v>
      </c>
      <c r="FF149">
        <v>1.383012E-2</v>
      </c>
      <c r="FG149">
        <v>8.3772740000000005E-3</v>
      </c>
      <c r="FH149">
        <v>6.7213430000000001E-4</v>
      </c>
      <c r="FI149">
        <v>1.6502559999999999E-3</v>
      </c>
      <c r="FJ149">
        <v>1.037276E-2</v>
      </c>
      <c r="FK149">
        <v>0.50982747282034202</v>
      </c>
      <c r="FL149">
        <v>0.37081350178614297</v>
      </c>
      <c r="FM149">
        <v>5.4898565719555301E-2</v>
      </c>
      <c r="FN149">
        <v>0.49120272538028997</v>
      </c>
      <c r="FO149">
        <v>0.58365462739945295</v>
      </c>
      <c r="FP149">
        <v>0.30338977915746002</v>
      </c>
      <c r="FQ149">
        <v>0.30172192558613098</v>
      </c>
      <c r="FR149">
        <v>0.21406417376793199</v>
      </c>
      <c r="FS149">
        <v>0.62984099906288404</v>
      </c>
      <c r="FT149">
        <v>0.134786704362549</v>
      </c>
      <c r="FU149">
        <v>0.282111525046012</v>
      </c>
      <c r="FV149">
        <v>0.33101350369377602</v>
      </c>
      <c r="FW149">
        <v>-0.25531148260605502</v>
      </c>
      <c r="FX149">
        <v>0.42873956350924902</v>
      </c>
      <c r="FY149">
        <v>0.39106550370828602</v>
      </c>
      <c r="FZ149">
        <v>-0.131456049697764</v>
      </c>
      <c r="GA149">
        <v>-0.15060093952513401</v>
      </c>
      <c r="GB149">
        <v>-5.1596863367571202E-2</v>
      </c>
      <c r="GC149">
        <v>0.114123655378729</v>
      </c>
      <c r="GD149">
        <v>-0.106966106166488</v>
      </c>
      <c r="GE149">
        <v>-1.7419552461543499E-2</v>
      </c>
      <c r="GF149">
        <v>0.36707962192267601</v>
      </c>
      <c r="GG149">
        <v>0.38884461037069101</v>
      </c>
      <c r="GH149">
        <v>0.38956791461849899</v>
      </c>
      <c r="GI149">
        <v>0.10622136435123999</v>
      </c>
      <c r="GJ149">
        <v>0.236890178073386</v>
      </c>
      <c r="GK149">
        <v>0.13010266396092199</v>
      </c>
      <c r="GL149">
        <v>-7.7854657030047597E-2</v>
      </c>
      <c r="GM149">
        <v>-6.6843571836505697E-3</v>
      </c>
      <c r="GN149">
        <v>-0.165313516272144</v>
      </c>
      <c r="GO149">
        <v>0.13911654097322201</v>
      </c>
      <c r="GP149">
        <v>-2.0909315172029399E-2</v>
      </c>
      <c r="GT149" s="66"/>
      <c r="GV149" s="66"/>
      <c r="HK149" s="1"/>
      <c r="HL149" s="1"/>
      <c r="HM149" s="65"/>
      <c r="HN149" s="1"/>
      <c r="HO149" s="65"/>
      <c r="HP149" s="65"/>
      <c r="HQ149" s="65"/>
      <c r="HT149" s="65"/>
      <c r="HU149" s="65"/>
      <c r="HV149" s="65"/>
      <c r="HW149" s="65"/>
      <c r="HX149" s="65"/>
      <c r="JF149" s="66"/>
      <c r="JH149" s="66"/>
      <c r="JJ149" s="66"/>
      <c r="JL149" s="66"/>
      <c r="JN149" s="66"/>
    </row>
    <row r="150" spans="1:278" ht="15.75" x14ac:dyDescent="0.25">
      <c r="A150" s="6" t="s">
        <v>203</v>
      </c>
      <c r="B150" s="6" t="s">
        <v>203</v>
      </c>
      <c r="C150" s="2" t="s">
        <v>999</v>
      </c>
      <c r="D150" s="2" t="s">
        <v>592</v>
      </c>
      <c r="E150" s="2" t="s">
        <v>592</v>
      </c>
      <c r="F150" s="2">
        <v>149</v>
      </c>
      <c r="G150" s="2" t="s">
        <v>998</v>
      </c>
      <c r="H150" s="10" t="s">
        <v>656</v>
      </c>
      <c r="I150" s="2">
        <v>150</v>
      </c>
      <c r="J150" s="2">
        <v>65</v>
      </c>
      <c r="K150" s="2">
        <v>19.25</v>
      </c>
      <c r="L150" t="s">
        <v>376</v>
      </c>
      <c r="M150" s="2" t="s">
        <v>1120</v>
      </c>
      <c r="N150" s="2" t="s">
        <v>435</v>
      </c>
      <c r="O150" s="2" t="s">
        <v>673</v>
      </c>
      <c r="P150" s="2" t="s">
        <v>1127</v>
      </c>
      <c r="Q150" s="9" t="s">
        <v>674</v>
      </c>
      <c r="R150" s="2" t="str">
        <f t="shared" si="145"/>
        <v>CW_1_Section_3</v>
      </c>
      <c r="S150" s="2" t="str">
        <f t="shared" si="146"/>
        <v>CW_1_MF09</v>
      </c>
      <c r="T150" s="11" t="s">
        <v>983</v>
      </c>
      <c r="U150" s="1">
        <v>45882</v>
      </c>
      <c r="V150" s="2" t="s">
        <v>692</v>
      </c>
      <c r="W150" s="2" t="s">
        <v>655</v>
      </c>
      <c r="X150" s="2" t="s">
        <v>982</v>
      </c>
      <c r="Y150" s="2" t="str">
        <f t="shared" si="147"/>
        <v>T6_MF09</v>
      </c>
      <c r="Z150" s="2" t="str">
        <f t="shared" si="148"/>
        <v>T6_CW_1_MF09</v>
      </c>
      <c r="AA150" s="2" t="str">
        <f t="shared" si="149"/>
        <v>T6_0.15-0.30</v>
      </c>
      <c r="AB150" s="2">
        <v>365</v>
      </c>
      <c r="AC150" s="2">
        <v>12.007</v>
      </c>
      <c r="AD150" s="2">
        <v>0.74</v>
      </c>
      <c r="AE150" s="2">
        <v>6</v>
      </c>
      <c r="AF150" t="s">
        <v>21</v>
      </c>
      <c r="AG150" t="s">
        <v>1237</v>
      </c>
      <c r="AH150">
        <v>87</v>
      </c>
      <c r="AI150">
        <v>45</v>
      </c>
      <c r="AJ150">
        <v>0.51</v>
      </c>
      <c r="AK150">
        <v>1.6</v>
      </c>
      <c r="AL150">
        <v>22.8</v>
      </c>
      <c r="AM150">
        <v>-155</v>
      </c>
      <c r="AN150">
        <v>7.11</v>
      </c>
      <c r="AO150">
        <v>1314</v>
      </c>
      <c r="AP150">
        <v>0.2</v>
      </c>
      <c r="AQ150">
        <v>0.01</v>
      </c>
      <c r="AR150">
        <v>21</v>
      </c>
      <c r="AS150">
        <v>21</v>
      </c>
      <c r="AT150">
        <v>300</v>
      </c>
      <c r="AU150" s="32">
        <f t="shared" si="161"/>
        <v>0.11522212264754833</v>
      </c>
      <c r="AV150">
        <v>1.1000000000000001</v>
      </c>
      <c r="AW150" s="32">
        <f t="shared" si="162"/>
        <v>4.2978076839591932E-4</v>
      </c>
      <c r="AX150">
        <v>140</v>
      </c>
      <c r="AY150" s="32">
        <f t="shared" si="163"/>
        <v>5.5382876518790619E-2</v>
      </c>
      <c r="AZ150">
        <v>50</v>
      </c>
      <c r="BA150" s="32">
        <f t="shared" si="164"/>
        <v>1.9779598756710936E-2</v>
      </c>
      <c r="BB150">
        <v>30</v>
      </c>
      <c r="BC150" s="32">
        <f t="shared" si="165"/>
        <v>1.1867759254026562E-2</v>
      </c>
      <c r="BD150">
        <v>80</v>
      </c>
      <c r="BF150" s="48">
        <v>521.1</v>
      </c>
      <c r="BG150" s="48">
        <f t="shared" si="166"/>
        <v>0.17103477993473487</v>
      </c>
      <c r="BH150">
        <v>1100</v>
      </c>
      <c r="BI150" s="32">
        <f t="shared" si="167"/>
        <v>0.41195287508777401</v>
      </c>
      <c r="BJ150" s="47">
        <v>540</v>
      </c>
      <c r="BK150" s="27">
        <f t="shared" si="168"/>
        <v>0.20223141140672546</v>
      </c>
      <c r="BL150" s="47">
        <v>1.3</v>
      </c>
      <c r="BM150" s="27">
        <f t="shared" si="169"/>
        <v>4.7834943163151328E-4</v>
      </c>
      <c r="BN150" s="47">
        <v>0.44</v>
      </c>
      <c r="BO150" s="27">
        <f t="shared" si="170"/>
        <v>1.6548861941508334E-4</v>
      </c>
      <c r="BP150" s="47">
        <v>7.0000000000000007E-2</v>
      </c>
      <c r="BQ150" s="27">
        <f t="shared" si="171"/>
        <v>2.6109974732282519E-5</v>
      </c>
      <c r="BR150" s="47">
        <v>0.06</v>
      </c>
      <c r="BS150" s="27">
        <f t="shared" si="172"/>
        <v>2.22184817370813E-5</v>
      </c>
      <c r="BT150" s="47">
        <v>0.01</v>
      </c>
      <c r="BU150" s="27">
        <f t="shared" si="173"/>
        <v>3.7030802895135499E-6</v>
      </c>
      <c r="BV150" s="47">
        <v>0.01</v>
      </c>
      <c r="BW150" s="27">
        <f t="shared" si="174"/>
        <v>3.6588380716934487E-6</v>
      </c>
      <c r="BX150" s="47">
        <v>2E-3</v>
      </c>
      <c r="BY150" s="27">
        <f t="shared" si="175"/>
        <v>7.3176761433868969E-7</v>
      </c>
      <c r="BZ150" s="51">
        <f t="shared" si="176"/>
        <v>541.89199999999994</v>
      </c>
      <c r="CA150" s="51">
        <f t="shared" si="177"/>
        <v>1.8920000000000001</v>
      </c>
      <c r="CB150" s="27">
        <f t="shared" si="178"/>
        <v>0.202931671600217</v>
      </c>
      <c r="CC150" s="27">
        <f t="shared" si="179"/>
        <v>7.0026019349150599E-4</v>
      </c>
      <c r="CD150">
        <v>1800</v>
      </c>
      <c r="CE150">
        <v>90</v>
      </c>
      <c r="CF150" t="s">
        <v>19</v>
      </c>
      <c r="CG150">
        <v>1800</v>
      </c>
      <c r="CH150" s="32">
        <v>23</v>
      </c>
      <c r="CI150" s="32">
        <f t="shared" si="180"/>
        <v>0.41181736794986568</v>
      </c>
      <c r="CJ150" s="32">
        <f t="shared" si="181"/>
        <v>0.41181736794986568</v>
      </c>
      <c r="CK150" s="32">
        <v>3.1</v>
      </c>
      <c r="CL150" s="32">
        <f t="shared" si="182"/>
        <v>5.6435463316948847E-2</v>
      </c>
      <c r="CM150" s="32">
        <f t="shared" si="183"/>
        <v>0.11287092663389769</v>
      </c>
      <c r="CN150" s="27">
        <v>0.5</v>
      </c>
      <c r="CO150" s="27">
        <f t="shared" si="184"/>
        <v>5.2050801582344368E-3</v>
      </c>
      <c r="CP150" s="27">
        <f t="shared" si="185"/>
        <v>4.1640641265875494E-2</v>
      </c>
      <c r="CQ150" s="57">
        <v>139.5</v>
      </c>
      <c r="CR150" s="57">
        <v>99.642857142857139</v>
      </c>
      <c r="CS150" s="57">
        <v>11.617738913179263</v>
      </c>
      <c r="CT150" s="57">
        <f t="shared" si="186"/>
        <v>11.617738913179263</v>
      </c>
      <c r="CU150" s="28">
        <v>8.1</v>
      </c>
      <c r="CV150" s="28">
        <v>94.186046511627907</v>
      </c>
      <c r="CW150" s="28">
        <v>0.67457838850718299</v>
      </c>
      <c r="CX150" s="28">
        <f t="shared" si="187"/>
        <v>0.67457838850718299</v>
      </c>
      <c r="CY150" s="32">
        <f t="shared" si="188"/>
        <v>81.091817613991253</v>
      </c>
      <c r="CZ150" s="32">
        <f t="shared" si="189"/>
        <v>81.091817613991253</v>
      </c>
      <c r="DA150" s="32">
        <f t="shared" si="190"/>
        <v>104.09181761399125</v>
      </c>
      <c r="DB150" s="32">
        <f t="shared" si="191"/>
        <v>1.863774711083102</v>
      </c>
      <c r="DC150" s="32">
        <f t="shared" si="192"/>
        <v>1.863774711083102</v>
      </c>
      <c r="DD150" s="59">
        <f t="shared" si="193"/>
        <v>4.7085571517801368</v>
      </c>
      <c r="DE150" s="59">
        <f t="shared" si="194"/>
        <v>4.7085571517801368</v>
      </c>
      <c r="DF150" s="59">
        <f t="shared" si="195"/>
        <v>27.708557151780138</v>
      </c>
      <c r="DG150" s="59">
        <f t="shared" si="196"/>
        <v>0.49612456851889236</v>
      </c>
      <c r="DH150" s="59">
        <f t="shared" si="197"/>
        <v>0.49612456851889236</v>
      </c>
      <c r="DI150" s="32">
        <f t="shared" si="198"/>
        <v>4.1640641265875494E-2</v>
      </c>
      <c r="DJ150" s="32">
        <f t="shared" si="199"/>
        <v>30.808557151780139</v>
      </c>
      <c r="DK150" s="32">
        <f t="shared" si="200"/>
        <v>0.60899549515279006</v>
      </c>
      <c r="DL150">
        <f t="shared" si="201"/>
        <v>13.594384550896262</v>
      </c>
      <c r="DM150">
        <f t="shared" si="150"/>
        <v>8.3027610563257345E-3</v>
      </c>
      <c r="DN150">
        <f t="shared" si="151"/>
        <v>0.13709886638157706</v>
      </c>
      <c r="DO150">
        <f t="shared" si="152"/>
        <v>0.85459837256209725</v>
      </c>
      <c r="DP150">
        <f t="shared" si="202"/>
        <v>1.283573883659973</v>
      </c>
      <c r="DQ150">
        <f t="shared" si="153"/>
        <v>8.7934888728071009E-2</v>
      </c>
      <c r="DR150">
        <f t="shared" si="154"/>
        <v>0.38651812321410473</v>
      </c>
      <c r="DS150">
        <f t="shared" si="155"/>
        <v>0.52554698805782429</v>
      </c>
      <c r="DT150" s="63">
        <f t="shared" si="156"/>
        <v>-13.011396895873753</v>
      </c>
      <c r="DU150" s="63">
        <f t="shared" si="157"/>
        <v>-0.70058622863746423</v>
      </c>
      <c r="DV150" s="63">
        <f t="shared" si="158"/>
        <v>-13.010696635680262</v>
      </c>
      <c r="DW150" s="63">
        <f t="shared" si="159"/>
        <v>-0.69988596844397277</v>
      </c>
      <c r="DX150" t="str">
        <f t="shared" si="203"/>
        <v>Sufficient Capacity</v>
      </c>
      <c r="DY150" t="str">
        <f t="shared" si="204"/>
        <v>Sufficient Capacity</v>
      </c>
      <c r="DZ150" t="str">
        <f t="shared" si="205"/>
        <v>Sulfate Dominant electron acceptor</v>
      </c>
      <c r="EA150" t="str">
        <f t="shared" si="160"/>
        <v>Sulfate Dominant electron acceptor</v>
      </c>
      <c r="EB150">
        <v>1.0353330000000001E-2</v>
      </c>
      <c r="EC150">
        <v>1.7305529999999999E-3</v>
      </c>
      <c r="ED150" s="66">
        <v>1.0781760000000001E-6</v>
      </c>
      <c r="EE150">
        <v>7.1623369999999995E-4</v>
      </c>
      <c r="EF150">
        <v>4.5802380000000004E-3</v>
      </c>
      <c r="EG150" s="66">
        <v>1.557365E-5</v>
      </c>
      <c r="EH150">
        <v>3.477075E-4</v>
      </c>
      <c r="EI150">
        <v>1.007139E-4</v>
      </c>
      <c r="EJ150">
        <v>4.3646679999999999E-4</v>
      </c>
      <c r="EK150">
        <v>7.3416219999999997E-4</v>
      </c>
      <c r="EL150">
        <v>3.8521239999999998E-4</v>
      </c>
      <c r="EM150">
        <v>2.4696530000000003E-4</v>
      </c>
      <c r="EN150">
        <v>2.250578E-3</v>
      </c>
      <c r="EO150">
        <v>9.5169429999999999E-4</v>
      </c>
      <c r="EP150">
        <v>2.2752549999999999E-3</v>
      </c>
      <c r="EQ150">
        <v>1.1503119999999999E-3</v>
      </c>
      <c r="ER150">
        <v>3.9824180000000003E-4</v>
      </c>
      <c r="ES150">
        <v>8.5032759999999999E-4</v>
      </c>
      <c r="ET150">
        <v>1.1174669999999999E-2</v>
      </c>
      <c r="EU150">
        <v>2.9389080000000001E-3</v>
      </c>
      <c r="EV150">
        <v>8.8675500000000001E-3</v>
      </c>
      <c r="EW150">
        <v>6.5242230000000004E-4</v>
      </c>
      <c r="EX150">
        <v>4.5691330000000004E-3</v>
      </c>
      <c r="EY150">
        <v>6.4026220000000002E-3</v>
      </c>
      <c r="EZ150">
        <v>1.332717E-3</v>
      </c>
      <c r="FA150">
        <v>1.1941149999999999E-3</v>
      </c>
      <c r="FB150">
        <v>1.2885869999999999E-3</v>
      </c>
      <c r="FC150">
        <v>1.987169E-3</v>
      </c>
      <c r="FD150">
        <v>3.5557049999999999E-4</v>
      </c>
      <c r="FE150">
        <v>2.2865219999999999E-2</v>
      </c>
      <c r="FF150">
        <v>1.2162559999999999E-2</v>
      </c>
      <c r="FG150">
        <v>7.1665899999999996E-3</v>
      </c>
      <c r="FH150">
        <v>6.4384920000000001E-4</v>
      </c>
      <c r="FI150">
        <v>1.4347139999999999E-3</v>
      </c>
      <c r="FJ150">
        <v>9.1849170000000008E-3</v>
      </c>
      <c r="FK150">
        <v>0.223609192085932</v>
      </c>
      <c r="FL150">
        <v>-4.3941582399673598E-3</v>
      </c>
      <c r="FM150">
        <v>0.253797750848411</v>
      </c>
      <c r="FN150">
        <v>0.15778945394859401</v>
      </c>
      <c r="FO150">
        <v>0.23810284885778499</v>
      </c>
      <c r="FP150">
        <v>-1.3274691488284401E-2</v>
      </c>
      <c r="FQ150">
        <v>2.0437886713976301E-2</v>
      </c>
      <c r="FR150">
        <v>-0.16787600382891099</v>
      </c>
      <c r="FS150">
        <v>-4.0372172778479203E-2</v>
      </c>
      <c r="FT150">
        <v>0.10141580902833899</v>
      </c>
      <c r="FU150">
        <v>0.15345996920021199</v>
      </c>
      <c r="FV150">
        <v>7.1429967285843596E-2</v>
      </c>
      <c r="FW150">
        <v>-4.9161867337076601E-2</v>
      </c>
      <c r="FX150">
        <v>5.2691688033750196E-3</v>
      </c>
      <c r="FY150">
        <v>0.19989169052348599</v>
      </c>
      <c r="FZ150">
        <v>0.25264274429995298</v>
      </c>
      <c r="GA150">
        <v>5.9285108803829999E-2</v>
      </c>
      <c r="GB150">
        <v>3.1496687990602E-3</v>
      </c>
      <c r="GC150">
        <v>1.2155174469787901E-2</v>
      </c>
      <c r="GD150">
        <v>-8.5052967117259307E-2</v>
      </c>
      <c r="GE150">
        <v>-5.6200312995614801E-2</v>
      </c>
      <c r="GF150">
        <v>4.5058903743849597E-2</v>
      </c>
      <c r="GG150">
        <v>0.23312400592055499</v>
      </c>
      <c r="GH150">
        <v>0.26506755009198701</v>
      </c>
      <c r="GI150">
        <v>5.8890404717206302E-2</v>
      </c>
      <c r="GJ150">
        <v>-4.4564343114013001E-3</v>
      </c>
      <c r="GK150">
        <v>-1.989072733741E-2</v>
      </c>
      <c r="GL150">
        <v>-0.206341098762404</v>
      </c>
      <c r="GM150">
        <v>-0.16277697169343999</v>
      </c>
      <c r="GN150">
        <v>-0.208307150824593</v>
      </c>
      <c r="GO150">
        <v>-8.4836020748024798E-4</v>
      </c>
      <c r="GP150">
        <v>-0.14252977221004301</v>
      </c>
      <c r="GR150" s="66"/>
      <c r="GT150" s="66"/>
      <c r="GV150" s="66"/>
      <c r="GW150" s="65"/>
      <c r="GX150" s="65"/>
      <c r="HK150" s="1"/>
      <c r="HL150" s="1"/>
      <c r="HM150" s="1"/>
      <c r="HN150" s="1"/>
      <c r="HO150" s="65"/>
      <c r="HP150" s="65"/>
      <c r="HQ150" s="65"/>
      <c r="HS150" s="65"/>
      <c r="HV150" s="65"/>
      <c r="HW150" s="65"/>
      <c r="HX150" s="65"/>
      <c r="IZ150" s="66"/>
      <c r="JB150" s="66"/>
      <c r="JD150" s="66"/>
      <c r="JF150" s="66"/>
      <c r="JH150" s="66"/>
      <c r="JJ150" s="66"/>
      <c r="JL150" s="66"/>
      <c r="JN150" s="66"/>
    </row>
    <row r="151" spans="1:278" ht="15.75" x14ac:dyDescent="0.25">
      <c r="A151" s="6" t="s">
        <v>204</v>
      </c>
      <c r="B151" s="6" t="s">
        <v>204</v>
      </c>
      <c r="C151" s="2" t="s">
        <v>1001</v>
      </c>
      <c r="D151" s="2" t="s">
        <v>593</v>
      </c>
      <c r="E151" s="2" t="s">
        <v>593</v>
      </c>
      <c r="F151" s="2">
        <v>150</v>
      </c>
      <c r="G151" s="2" t="s">
        <v>1000</v>
      </c>
      <c r="H151" s="10" t="s">
        <v>656</v>
      </c>
      <c r="I151" s="2">
        <v>150</v>
      </c>
      <c r="J151" s="2">
        <v>65</v>
      </c>
      <c r="K151" s="2">
        <v>8.8000000000000007</v>
      </c>
      <c r="L151" t="s">
        <v>377</v>
      </c>
      <c r="M151" s="2" t="s">
        <v>1120</v>
      </c>
      <c r="N151" s="2" t="s">
        <v>435</v>
      </c>
      <c r="O151" s="2" t="s">
        <v>673</v>
      </c>
      <c r="P151" s="2" t="s">
        <v>1128</v>
      </c>
      <c r="Q151" s="9" t="s">
        <v>677</v>
      </c>
      <c r="R151" s="2" t="str">
        <f t="shared" si="145"/>
        <v>CW_1_Section_3</v>
      </c>
      <c r="S151" s="2" t="str">
        <f t="shared" si="146"/>
        <v>CW_1_MF10</v>
      </c>
      <c r="T151" s="11" t="s">
        <v>983</v>
      </c>
      <c r="U151" s="1">
        <v>45882</v>
      </c>
      <c r="V151" s="2" t="s">
        <v>692</v>
      </c>
      <c r="W151" s="2" t="s">
        <v>663</v>
      </c>
      <c r="X151" s="2" t="s">
        <v>982</v>
      </c>
      <c r="Y151" s="2" t="str">
        <f t="shared" si="147"/>
        <v>T6_MF10</v>
      </c>
      <c r="Z151" s="2" t="str">
        <f t="shared" si="148"/>
        <v>T6_CW_1_MF10</v>
      </c>
      <c r="AA151" s="2" t="str">
        <f t="shared" si="149"/>
        <v>T6_0.60-0.80</v>
      </c>
      <c r="AB151" s="2">
        <v>365</v>
      </c>
      <c r="AC151" s="2">
        <v>12.007</v>
      </c>
      <c r="AD151" s="2">
        <v>0.74</v>
      </c>
      <c r="AE151" s="2">
        <v>6</v>
      </c>
      <c r="AF151" t="s">
        <v>23</v>
      </c>
      <c r="AG151" t="s">
        <v>1237</v>
      </c>
      <c r="AH151">
        <v>66</v>
      </c>
      <c r="AI151">
        <v>25</v>
      </c>
      <c r="AJ151">
        <v>0.61</v>
      </c>
      <c r="AK151">
        <v>0.42</v>
      </c>
      <c r="AL151">
        <v>22.5</v>
      </c>
      <c r="AM151">
        <v>-289</v>
      </c>
      <c r="AN151">
        <v>7.28</v>
      </c>
      <c r="AO151">
        <v>960</v>
      </c>
      <c r="AP151">
        <v>0.2</v>
      </c>
      <c r="AQ151">
        <v>0.01</v>
      </c>
      <c r="AR151">
        <v>10</v>
      </c>
      <c r="AS151">
        <v>11</v>
      </c>
      <c r="AT151">
        <v>160</v>
      </c>
      <c r="AU151" s="32">
        <f t="shared" si="161"/>
        <v>6.145179874535911E-2</v>
      </c>
      <c r="AV151">
        <v>1.7</v>
      </c>
      <c r="AW151" s="32">
        <f t="shared" si="162"/>
        <v>6.6420664206642062E-4</v>
      </c>
      <c r="AX151">
        <v>220</v>
      </c>
      <c r="AY151" s="32">
        <f t="shared" si="163"/>
        <v>8.7030234529528114E-2</v>
      </c>
      <c r="AZ151">
        <v>25</v>
      </c>
      <c r="BA151" s="32">
        <f t="shared" si="164"/>
        <v>9.8897993783554679E-3</v>
      </c>
      <c r="BB151">
        <v>8.6</v>
      </c>
      <c r="BC151" s="32">
        <f t="shared" si="165"/>
        <v>3.402090986154281E-3</v>
      </c>
      <c r="BD151">
        <v>33.6</v>
      </c>
      <c r="BF151" s="48">
        <v>415.3</v>
      </c>
      <c r="BG151" s="48">
        <f t="shared" si="166"/>
        <v>0.14914623991695364</v>
      </c>
      <c r="BH151">
        <v>420</v>
      </c>
      <c r="BI151" s="32">
        <f t="shared" si="167"/>
        <v>0.15729109776078645</v>
      </c>
      <c r="BJ151" s="47">
        <v>73</v>
      </c>
      <c r="BK151" s="27">
        <f t="shared" si="168"/>
        <v>2.7338690801279548E-2</v>
      </c>
      <c r="BL151" s="47">
        <v>1</v>
      </c>
      <c r="BM151" s="27">
        <f t="shared" si="169"/>
        <v>3.6796110125501016E-4</v>
      </c>
      <c r="BN151" s="47">
        <v>82</v>
      </c>
      <c r="BO151" s="27">
        <f t="shared" si="170"/>
        <v>3.08410608909928E-2</v>
      </c>
      <c r="BP151" s="47">
        <v>12</v>
      </c>
      <c r="BQ151" s="27">
        <f t="shared" si="171"/>
        <v>4.4759956683912885E-3</v>
      </c>
      <c r="BR151" s="47">
        <v>3.1</v>
      </c>
      <c r="BS151" s="27">
        <f t="shared" si="172"/>
        <v>1.1479548897492004E-3</v>
      </c>
      <c r="BT151" s="47">
        <v>0.1</v>
      </c>
      <c r="BU151" s="27">
        <f t="shared" si="173"/>
        <v>3.7030802895135498E-5</v>
      </c>
      <c r="BV151" s="47">
        <v>0.1</v>
      </c>
      <c r="BW151" s="27">
        <f t="shared" si="174"/>
        <v>3.6588380716934496E-5</v>
      </c>
      <c r="BX151" s="47">
        <v>0.2</v>
      </c>
      <c r="BY151" s="27">
        <f t="shared" si="175"/>
        <v>7.3176761433868992E-5</v>
      </c>
      <c r="BZ151" s="51">
        <f t="shared" si="176"/>
        <v>171.49999999999997</v>
      </c>
      <c r="CA151" s="51">
        <f t="shared" si="177"/>
        <v>98.499999999999986</v>
      </c>
      <c r="CB151" s="27">
        <f t="shared" si="178"/>
        <v>6.4318459296713773E-2</v>
      </c>
      <c r="CC151" s="27">
        <f t="shared" si="179"/>
        <v>3.6979768495434232E-2</v>
      </c>
      <c r="CD151">
        <v>1000</v>
      </c>
      <c r="CE151">
        <v>1200</v>
      </c>
      <c r="CF151" t="s">
        <v>19</v>
      </c>
      <c r="CG151">
        <v>2300</v>
      </c>
      <c r="CH151" s="32">
        <v>0.4</v>
      </c>
      <c r="CI151" s="32">
        <f t="shared" si="180"/>
        <v>7.162041181736795E-3</v>
      </c>
      <c r="CJ151" s="32">
        <f t="shared" si="181"/>
        <v>7.162041181736795E-3</v>
      </c>
      <c r="CK151" s="32">
        <v>0.9</v>
      </c>
      <c r="CL151" s="32">
        <f t="shared" si="182"/>
        <v>1.6384489350081924E-2</v>
      </c>
      <c r="CM151" s="32">
        <f t="shared" si="183"/>
        <v>3.2768978700163848E-2</v>
      </c>
      <c r="CN151" s="27">
        <v>84</v>
      </c>
      <c r="CO151" s="27">
        <f t="shared" si="184"/>
        <v>0.87445346658338541</v>
      </c>
      <c r="CP151" s="27">
        <f t="shared" si="185"/>
        <v>6.9956277326670833</v>
      </c>
      <c r="CQ151" s="57">
        <v>56</v>
      </c>
      <c r="CR151" s="57">
        <v>40</v>
      </c>
      <c r="CS151" s="57">
        <v>4.6637518217780549</v>
      </c>
      <c r="CT151" s="57">
        <f t="shared" si="186"/>
        <v>4.6637518217780549</v>
      </c>
      <c r="CU151" s="28">
        <v>-6</v>
      </c>
      <c r="CV151" s="28">
        <v>-7.6923076923076925</v>
      </c>
      <c r="CW151" s="28">
        <v>-0.49968769519050593</v>
      </c>
      <c r="CX151" s="28">
        <f t="shared" si="187"/>
        <v>0</v>
      </c>
      <c r="CY151" s="32">
        <f t="shared" si="188"/>
        <v>32.552987716010826</v>
      </c>
      <c r="CZ151" s="32">
        <f t="shared" si="189"/>
        <v>32.552987716010826</v>
      </c>
      <c r="DA151" s="32">
        <f t="shared" si="190"/>
        <v>32.952987716010824</v>
      </c>
      <c r="DB151" s="32">
        <f t="shared" si="191"/>
        <v>0.59002663770834063</v>
      </c>
      <c r="DC151" s="32">
        <f t="shared" si="192"/>
        <v>0.59002663770834063</v>
      </c>
      <c r="DD151" s="59">
        <f t="shared" si="193"/>
        <v>-3.4878201124297314</v>
      </c>
      <c r="DE151" s="59">
        <f t="shared" si="194"/>
        <v>0</v>
      </c>
      <c r="DF151" s="59">
        <f t="shared" si="195"/>
        <v>0.4</v>
      </c>
      <c r="DG151" s="59">
        <f t="shared" si="196"/>
        <v>7.162041181736795E-3</v>
      </c>
      <c r="DH151" s="59">
        <f t="shared" si="197"/>
        <v>7.162041181736795E-3</v>
      </c>
      <c r="DI151" s="32">
        <f t="shared" si="198"/>
        <v>6.9956277326670833</v>
      </c>
      <c r="DJ151" s="32">
        <f t="shared" si="199"/>
        <v>1.3</v>
      </c>
      <c r="DK151" s="32">
        <f t="shared" si="200"/>
        <v>3.9931019881900641E-2</v>
      </c>
      <c r="DL151">
        <f t="shared" si="201"/>
        <v>5.2865474381865596</v>
      </c>
      <c r="DM151">
        <f t="shared" si="150"/>
        <v>6.1985594725703563E-3</v>
      </c>
      <c r="DN151">
        <f t="shared" si="151"/>
        <v>0.11160906898259804</v>
      </c>
      <c r="DO151">
        <f t="shared" si="152"/>
        <v>0.88219237154483154</v>
      </c>
      <c r="DP151">
        <f t="shared" si="202"/>
        <v>3.9931019881900641E-2</v>
      </c>
      <c r="DQ151">
        <f t="shared" si="153"/>
        <v>0.82063966302590985</v>
      </c>
      <c r="DR151">
        <f t="shared" si="154"/>
        <v>0.17936033697409021</v>
      </c>
      <c r="DS151">
        <f t="shared" si="155"/>
        <v>0</v>
      </c>
      <c r="DT151" s="63">
        <f t="shared" si="156"/>
        <v>-4.9801101005088197</v>
      </c>
      <c r="DU151" s="63">
        <f t="shared" si="157"/>
        <v>0.26650631779583944</v>
      </c>
      <c r="DV151" s="63">
        <f t="shared" si="158"/>
        <v>-4.9431303320133857</v>
      </c>
      <c r="DW151" s="63">
        <f t="shared" si="159"/>
        <v>0.30348608629127366</v>
      </c>
      <c r="DX151" t="str">
        <f t="shared" si="203"/>
        <v>Sufficient Capacity</v>
      </c>
      <c r="DY151" t="str">
        <f t="shared" si="204"/>
        <v>Insufficient Capacity</v>
      </c>
      <c r="DZ151" t="str">
        <f t="shared" si="205"/>
        <v>Sulfate Dominant electron acceptor</v>
      </c>
      <c r="EA151" t="str">
        <f t="shared" si="160"/>
        <v>Iron Dominant electron acceptor</v>
      </c>
      <c r="EB151">
        <v>9.1189050000000001E-3</v>
      </c>
      <c r="EC151">
        <v>1.574404E-3</v>
      </c>
      <c r="ED151" s="66">
        <v>1.689104E-6</v>
      </c>
      <c r="EE151">
        <v>1.1032730000000001E-3</v>
      </c>
      <c r="EF151">
        <v>6.9457379999999999E-3</v>
      </c>
      <c r="EG151" s="66">
        <v>1.561981E-5</v>
      </c>
      <c r="EH151">
        <v>5.3464400000000003E-4</v>
      </c>
      <c r="EI151">
        <v>1.445668E-4</v>
      </c>
      <c r="EJ151">
        <v>5.2539830000000005E-4</v>
      </c>
      <c r="EK151">
        <v>1.0011040000000001E-3</v>
      </c>
      <c r="EL151">
        <v>4.9412399999999997E-4</v>
      </c>
      <c r="EM151">
        <v>3.556093E-4</v>
      </c>
      <c r="EN151">
        <v>2.6037780000000002E-3</v>
      </c>
      <c r="EO151">
        <v>1.125872E-3</v>
      </c>
      <c r="EP151">
        <v>3.3226089999999998E-3</v>
      </c>
      <c r="EQ151">
        <v>8.5498639999999999E-4</v>
      </c>
      <c r="ER151">
        <v>6.3721199999999996E-4</v>
      </c>
      <c r="ES151">
        <v>1.3026870000000001E-3</v>
      </c>
      <c r="ET151">
        <v>8.6610249999999993E-3</v>
      </c>
      <c r="EU151">
        <v>2.4210379999999999E-3</v>
      </c>
      <c r="EV151">
        <v>8.6751050000000007E-3</v>
      </c>
      <c r="EW151">
        <v>7.579962E-4</v>
      </c>
      <c r="EX151">
        <v>4.1967560000000003E-3</v>
      </c>
      <c r="EY151">
        <v>6.764562E-3</v>
      </c>
      <c r="EZ151">
        <v>2.0904959999999998E-3</v>
      </c>
      <c r="FA151">
        <v>1.630678E-3</v>
      </c>
      <c r="FB151">
        <v>1.7615109999999999E-3</v>
      </c>
      <c r="FC151">
        <v>2.2569579999999999E-3</v>
      </c>
      <c r="FD151">
        <v>5.4088149999999995E-4</v>
      </c>
      <c r="FE151">
        <v>2.5248929999999999E-2</v>
      </c>
      <c r="FF151">
        <v>1.117892E-2</v>
      </c>
      <c r="FG151">
        <v>7.3786219999999996E-3</v>
      </c>
      <c r="FH151">
        <v>5.4248600000000001E-4</v>
      </c>
      <c r="FI151">
        <v>1.741437E-3</v>
      </c>
      <c r="FJ151">
        <v>8.4663599999999992E-3</v>
      </c>
      <c r="FK151">
        <v>0.65563917716142395</v>
      </c>
      <c r="FL151">
        <v>0.411983113978235</v>
      </c>
      <c r="FM151">
        <v>0.25675734774428399</v>
      </c>
      <c r="FN151">
        <v>0.58802894969290898</v>
      </c>
      <c r="FO151">
        <v>0.59956070936470196</v>
      </c>
      <c r="FP151">
        <v>0.17216963730566201</v>
      </c>
      <c r="FQ151">
        <v>0.33056657160800901</v>
      </c>
      <c r="FR151">
        <v>8.1115623531059305E-2</v>
      </c>
      <c r="FS151">
        <v>0.32421264257120502</v>
      </c>
      <c r="FT151">
        <v>0.24719220416924101</v>
      </c>
      <c r="FU151">
        <v>0.32152922492834002</v>
      </c>
      <c r="FV151">
        <v>0.45008815094088001</v>
      </c>
      <c r="FW151">
        <v>-0.34586479386832503</v>
      </c>
      <c r="FX151">
        <v>0.475312220557083</v>
      </c>
      <c r="FY151">
        <v>0.62645433690636398</v>
      </c>
      <c r="FZ151">
        <v>-2.1737897148570401E-3</v>
      </c>
      <c r="GA151">
        <v>-0.13455660115252199</v>
      </c>
      <c r="GB151">
        <v>-1.8791447912415798E-2</v>
      </c>
      <c r="GC151">
        <v>0.162141495260544</v>
      </c>
      <c r="GD151">
        <v>-0.17006459259190801</v>
      </c>
      <c r="GE151">
        <v>-1.2103924466151401E-3</v>
      </c>
      <c r="GF151">
        <v>0.49524054655734501</v>
      </c>
      <c r="GG151">
        <v>0.54471455993556805</v>
      </c>
      <c r="GH151">
        <v>0.57769324434606495</v>
      </c>
      <c r="GI151">
        <v>0.18619728081037801</v>
      </c>
      <c r="GJ151">
        <v>0.41502023990726</v>
      </c>
      <c r="GK151">
        <v>7.9276072492163493E-2</v>
      </c>
      <c r="GL151">
        <v>-0.29067361747123599</v>
      </c>
      <c r="GM151">
        <v>-0.133620020116648</v>
      </c>
      <c r="GN151">
        <v>-0.379609409388172</v>
      </c>
      <c r="GO151">
        <v>0.19289674803930101</v>
      </c>
      <c r="GP151">
        <v>-0.22399179013583001</v>
      </c>
      <c r="GR151" s="66"/>
      <c r="GT151" s="66"/>
      <c r="GV151" s="66"/>
      <c r="HK151" s="1"/>
      <c r="HL151" s="1"/>
      <c r="HM151" s="65"/>
      <c r="HN151" s="1"/>
      <c r="HP151" s="65"/>
      <c r="HQ151" s="65"/>
      <c r="HS151" s="65"/>
      <c r="HV151" s="65"/>
      <c r="HW151" s="65"/>
      <c r="HX151" s="65"/>
    </row>
    <row r="152" spans="1:278" ht="15.75" x14ac:dyDescent="0.25">
      <c r="A152" s="6" t="s">
        <v>205</v>
      </c>
      <c r="B152" s="6" t="s">
        <v>205</v>
      </c>
      <c r="C152" s="2" t="s">
        <v>1003</v>
      </c>
      <c r="D152" s="2" t="s">
        <v>594</v>
      </c>
      <c r="E152" s="2" t="s">
        <v>594</v>
      </c>
      <c r="F152" s="2">
        <v>151</v>
      </c>
      <c r="G152" s="2" t="s">
        <v>1002</v>
      </c>
      <c r="H152" s="10" t="s">
        <v>656</v>
      </c>
      <c r="I152" s="2">
        <v>150</v>
      </c>
      <c r="J152" s="2">
        <v>65</v>
      </c>
      <c r="K152" s="2">
        <v>6.65</v>
      </c>
      <c r="L152" t="s">
        <v>379</v>
      </c>
      <c r="M152" s="2" t="s">
        <v>1120</v>
      </c>
      <c r="N152" s="2" t="s">
        <v>436</v>
      </c>
      <c r="O152" s="2" t="s">
        <v>653</v>
      </c>
      <c r="P152" s="2" t="s">
        <v>1123</v>
      </c>
      <c r="Q152" s="9" t="s">
        <v>713</v>
      </c>
      <c r="R152" s="2" t="str">
        <f t="shared" si="145"/>
        <v>CW_2_Section_1</v>
      </c>
      <c r="S152" s="2" t="str">
        <f t="shared" si="146"/>
        <v>CW_2_MF01</v>
      </c>
      <c r="T152" s="11" t="s">
        <v>983</v>
      </c>
      <c r="U152" s="1">
        <v>45883</v>
      </c>
      <c r="V152" s="2" t="s">
        <v>692</v>
      </c>
      <c r="W152" s="2" t="s">
        <v>655</v>
      </c>
      <c r="X152" s="2" t="s">
        <v>982</v>
      </c>
      <c r="Y152" s="2" t="str">
        <f t="shared" si="147"/>
        <v>T6_MF01</v>
      </c>
      <c r="Z152" s="2" t="str">
        <f t="shared" si="148"/>
        <v>T6_CW_2_MF01</v>
      </c>
      <c r="AA152" s="2" t="str">
        <f t="shared" si="149"/>
        <v>T6_0.15-0.30</v>
      </c>
      <c r="AB152" s="2">
        <v>365</v>
      </c>
      <c r="AC152" s="2">
        <v>12.007</v>
      </c>
      <c r="AD152" s="2">
        <v>0.74</v>
      </c>
      <c r="AE152" s="2">
        <v>6</v>
      </c>
      <c r="AF152" t="s">
        <v>41</v>
      </c>
      <c r="AG152" s="2" t="s">
        <v>1238</v>
      </c>
      <c r="AH152">
        <v>44</v>
      </c>
      <c r="AI152">
        <v>6.1</v>
      </c>
      <c r="AJ152">
        <v>0.16</v>
      </c>
      <c r="AK152">
        <v>1.66</v>
      </c>
      <c r="AL152">
        <v>22.8</v>
      </c>
      <c r="AM152">
        <v>-185</v>
      </c>
      <c r="AN152">
        <v>7.15</v>
      </c>
      <c r="AO152">
        <v>490</v>
      </c>
      <c r="AP152">
        <v>0.2</v>
      </c>
      <c r="AQ152">
        <v>0.01</v>
      </c>
      <c r="AR152">
        <v>3.1</v>
      </c>
      <c r="AS152">
        <v>3.8</v>
      </c>
      <c r="AT152">
        <v>1.4</v>
      </c>
      <c r="AU152" s="32">
        <f t="shared" si="161"/>
        <v>5.3770323902189218E-4</v>
      </c>
      <c r="AV152">
        <v>0.02</v>
      </c>
      <c r="AW152" s="32">
        <f t="shared" si="162"/>
        <v>7.8141957890167132E-6</v>
      </c>
      <c r="AX152">
        <v>4</v>
      </c>
      <c r="AY152" s="32">
        <f t="shared" si="163"/>
        <v>1.5823679005368748E-3</v>
      </c>
      <c r="AZ152">
        <v>1</v>
      </c>
      <c r="BA152" s="32">
        <f t="shared" si="164"/>
        <v>3.9559197513421869E-4</v>
      </c>
      <c r="BB152">
        <v>1.3</v>
      </c>
      <c r="BC152" s="32">
        <f t="shared" si="165"/>
        <v>5.1426956767448438E-4</v>
      </c>
      <c r="BD152">
        <v>2.2999999999999998</v>
      </c>
      <c r="BF152" s="48">
        <v>7.84</v>
      </c>
      <c r="BG152" s="48">
        <f t="shared" si="166"/>
        <v>2.1278853353477838E-3</v>
      </c>
      <c r="BH152">
        <v>43</v>
      </c>
      <c r="BI152" s="32">
        <f t="shared" si="167"/>
        <v>1.6103612389794804E-2</v>
      </c>
      <c r="BJ152" s="47">
        <v>2E-3</v>
      </c>
      <c r="BK152" s="27">
        <f t="shared" si="168"/>
        <v>7.4900522743231646E-7</v>
      </c>
      <c r="BL152" s="47">
        <v>0.01</v>
      </c>
      <c r="BM152" s="27">
        <f t="shared" si="169"/>
        <v>3.6796110125501018E-6</v>
      </c>
      <c r="BN152" s="47">
        <v>0.01</v>
      </c>
      <c r="BO152" s="27">
        <f t="shared" si="170"/>
        <v>3.7611049867064394E-6</v>
      </c>
      <c r="BP152" s="47">
        <v>5.0000000000000001E-3</v>
      </c>
      <c r="BQ152" s="27">
        <f t="shared" si="171"/>
        <v>1.8649981951630372E-6</v>
      </c>
      <c r="BR152" s="47">
        <v>1E-3</v>
      </c>
      <c r="BS152" s="27">
        <f t="shared" si="172"/>
        <v>3.7030802895135499E-7</v>
      </c>
      <c r="BT152" s="47">
        <v>1E-3</v>
      </c>
      <c r="BU152" s="27">
        <f t="shared" si="173"/>
        <v>3.7030802895135499E-7</v>
      </c>
      <c r="BV152" s="47">
        <v>1E-3</v>
      </c>
      <c r="BW152" s="27">
        <f t="shared" si="174"/>
        <v>3.6588380716934485E-7</v>
      </c>
      <c r="BX152" s="47">
        <v>2E-3</v>
      </c>
      <c r="BY152" s="27">
        <f t="shared" si="175"/>
        <v>7.3176761433868969E-7</v>
      </c>
      <c r="BZ152" s="51">
        <f t="shared" si="176"/>
        <v>3.2000000000000001E-2</v>
      </c>
      <c r="CA152" s="51">
        <f t="shared" si="177"/>
        <v>3.0000000000000006E-2</v>
      </c>
      <c r="CB152" s="27">
        <f t="shared" si="178"/>
        <v>1.1892986901262639E-5</v>
      </c>
      <c r="CC152" s="27">
        <f t="shared" si="179"/>
        <v>1.1143981673830322E-5</v>
      </c>
      <c r="CD152">
        <v>65</v>
      </c>
      <c r="CE152">
        <v>230</v>
      </c>
      <c r="CF152" t="s">
        <v>19</v>
      </c>
      <c r="CG152">
        <v>300</v>
      </c>
      <c r="CH152" s="32">
        <v>0.6</v>
      </c>
      <c r="CI152" s="32">
        <f t="shared" si="180"/>
        <v>1.0743061772605192E-2</v>
      </c>
      <c r="CJ152" s="32">
        <f t="shared" si="181"/>
        <v>1.0743061772605192E-2</v>
      </c>
      <c r="CK152" s="32">
        <v>0.6</v>
      </c>
      <c r="CL152" s="32">
        <f t="shared" si="182"/>
        <v>1.0922992900054615E-2</v>
      </c>
      <c r="CM152" s="32">
        <f t="shared" si="183"/>
        <v>2.1845985800109231E-2</v>
      </c>
      <c r="CN152" s="27">
        <v>61</v>
      </c>
      <c r="CO152" s="27">
        <f t="shared" si="184"/>
        <v>0.6350197793046013</v>
      </c>
      <c r="CP152" s="27">
        <f t="shared" si="185"/>
        <v>5.0801582344368104</v>
      </c>
      <c r="CQ152" s="57">
        <v>79</v>
      </c>
      <c r="CR152" s="57">
        <v>56.428571428571431</v>
      </c>
      <c r="CS152" s="57">
        <v>6.5792213200083278</v>
      </c>
      <c r="CT152" s="57">
        <f t="shared" si="186"/>
        <v>6.5792213200083278</v>
      </c>
      <c r="CU152" s="28">
        <v>79</v>
      </c>
      <c r="CV152" s="28">
        <v>56.428571428571431</v>
      </c>
      <c r="CW152" s="28">
        <v>6.5792213200083278</v>
      </c>
      <c r="CX152" s="28">
        <f t="shared" si="187"/>
        <v>6.5792213200083278</v>
      </c>
      <c r="CY152" s="32">
        <f t="shared" si="188"/>
        <v>45.922964813658126</v>
      </c>
      <c r="CZ152" s="32">
        <f t="shared" si="189"/>
        <v>45.922964813658126</v>
      </c>
      <c r="DA152" s="32">
        <f t="shared" si="190"/>
        <v>46.522964813658128</v>
      </c>
      <c r="DB152" s="32">
        <f t="shared" si="191"/>
        <v>0.83299847472977839</v>
      </c>
      <c r="DC152" s="32">
        <f t="shared" si="192"/>
        <v>0.83299847472977839</v>
      </c>
      <c r="DD152" s="59">
        <f t="shared" si="193"/>
        <v>45.922964813658126</v>
      </c>
      <c r="DE152" s="59">
        <f t="shared" si="194"/>
        <v>45.922964813658126</v>
      </c>
      <c r="DF152" s="59">
        <f t="shared" si="195"/>
        <v>46.522964813658128</v>
      </c>
      <c r="DG152" s="59">
        <f t="shared" si="196"/>
        <v>0.83299847472977839</v>
      </c>
      <c r="DH152" s="59">
        <f t="shared" si="197"/>
        <v>0.83299847472977839</v>
      </c>
      <c r="DI152" s="32">
        <f t="shared" si="198"/>
        <v>5.0801582344368104</v>
      </c>
      <c r="DJ152" s="32">
        <f t="shared" si="199"/>
        <v>47.122964813658129</v>
      </c>
      <c r="DK152" s="32">
        <f t="shared" si="200"/>
        <v>0.85484446052988761</v>
      </c>
      <c r="DL152">
        <f t="shared" si="201"/>
        <v>7.4340657805382158</v>
      </c>
      <c r="DM152">
        <f t="shared" si="150"/>
        <v>2.9386322969189023E-3</v>
      </c>
      <c r="DN152">
        <f t="shared" si="151"/>
        <v>0.11205153402200195</v>
      </c>
      <c r="DO152">
        <f t="shared" si="152"/>
        <v>0.88500983368107911</v>
      </c>
      <c r="DP152">
        <f t="shared" si="202"/>
        <v>7.4340657805382158</v>
      </c>
      <c r="DQ152">
        <f t="shared" si="153"/>
        <v>2.9386322969189023E-3</v>
      </c>
      <c r="DR152">
        <f t="shared" si="154"/>
        <v>0.11205153402200195</v>
      </c>
      <c r="DS152">
        <f t="shared" si="155"/>
        <v>0.88500983368107911</v>
      </c>
      <c r="DT152" s="63">
        <f t="shared" si="156"/>
        <v>-7.4158342828130728</v>
      </c>
      <c r="DU152" s="63">
        <f t="shared" si="157"/>
        <v>-7.4158342828130728</v>
      </c>
      <c r="DV152" s="63">
        <f t="shared" si="158"/>
        <v>-7.4158231388313993</v>
      </c>
      <c r="DW152" s="63">
        <f t="shared" si="159"/>
        <v>-7.4158231388313993</v>
      </c>
      <c r="DX152" t="str">
        <f t="shared" si="203"/>
        <v>Sufficient Capacity</v>
      </c>
      <c r="DY152" t="str">
        <f t="shared" si="204"/>
        <v>Sufficient Capacity</v>
      </c>
      <c r="DZ152" t="str">
        <f t="shared" si="205"/>
        <v>Sulfate Dominant electron acceptor</v>
      </c>
      <c r="EA152" t="str">
        <f t="shared" si="160"/>
        <v>Sulfate Dominant electron acceptor</v>
      </c>
      <c r="EB152">
        <v>9.9848739999999995E-3</v>
      </c>
      <c r="EC152">
        <v>1.76564E-3</v>
      </c>
      <c r="ED152" s="66">
        <v>3.9096050000000002E-6</v>
      </c>
      <c r="EE152">
        <v>8.1179600000000005E-4</v>
      </c>
      <c r="EF152">
        <v>5.2843059999999999E-3</v>
      </c>
      <c r="EG152" s="66">
        <v>1.3377750000000001E-5</v>
      </c>
      <c r="EH152">
        <v>3.9671189999999999E-4</v>
      </c>
      <c r="EI152" s="66">
        <v>9.7616360000000007E-5</v>
      </c>
      <c r="EJ152">
        <v>4.3182840000000001E-4</v>
      </c>
      <c r="EK152">
        <v>6.0659980000000004E-4</v>
      </c>
      <c r="EL152">
        <v>4.4291449999999999E-4</v>
      </c>
      <c r="EM152">
        <v>3.730138E-4</v>
      </c>
      <c r="EN152">
        <v>1.933024E-3</v>
      </c>
      <c r="EO152">
        <v>8.4221359999999996E-4</v>
      </c>
      <c r="EP152">
        <v>2.4669169999999999E-3</v>
      </c>
      <c r="EQ152">
        <v>1.103195E-3</v>
      </c>
      <c r="ER152">
        <v>4.9150240000000003E-4</v>
      </c>
      <c r="ES152">
        <v>8.0833659999999998E-4</v>
      </c>
      <c r="ET152">
        <v>6.991489E-3</v>
      </c>
      <c r="EU152">
        <v>3.0717240000000001E-3</v>
      </c>
      <c r="EV152">
        <v>7.8186790000000003E-3</v>
      </c>
      <c r="EW152">
        <v>7.068698E-4</v>
      </c>
      <c r="EX152">
        <v>5.2491700000000001E-3</v>
      </c>
      <c r="EY152">
        <v>7.2218350000000002E-3</v>
      </c>
      <c r="EZ152">
        <v>1.5778070000000001E-3</v>
      </c>
      <c r="FA152">
        <v>1.2801620000000001E-3</v>
      </c>
      <c r="FB152">
        <v>1.338835E-3</v>
      </c>
      <c r="FC152">
        <v>2.0211309999999998E-3</v>
      </c>
      <c r="FD152">
        <v>5.2221859999999995E-4</v>
      </c>
      <c r="FE152">
        <v>2.5828529999999999E-2</v>
      </c>
      <c r="FF152">
        <v>1.6595019999999999E-2</v>
      </c>
      <c r="FG152">
        <v>8.7759199999999996E-3</v>
      </c>
      <c r="FH152">
        <v>1.1175720000000001E-3</v>
      </c>
      <c r="FI152">
        <v>1.571907E-3</v>
      </c>
      <c r="FJ152">
        <v>1.156446E-2</v>
      </c>
      <c r="FK152">
        <v>0.34885175880369701</v>
      </c>
      <c r="FL152">
        <v>0.13859617557562701</v>
      </c>
      <c r="FM152">
        <v>0.101810246423556</v>
      </c>
      <c r="FN152">
        <v>0.289638169397746</v>
      </c>
      <c r="FO152">
        <v>0.20686412721810801</v>
      </c>
      <c r="FP152">
        <v>-2.3958717202304101E-2</v>
      </c>
      <c r="FQ152">
        <v>-0.17042283286641599</v>
      </c>
      <c r="FR152">
        <v>-2.8294125143867501E-2</v>
      </c>
      <c r="FS152">
        <v>0.37199540257102798</v>
      </c>
      <c r="FT152">
        <v>-5.0685647003679599E-2</v>
      </c>
      <c r="FU152">
        <v>3.1249763202963798E-2</v>
      </c>
      <c r="FV152">
        <v>0.152307026131318</v>
      </c>
      <c r="FW152">
        <v>-9.0984562046767997E-2</v>
      </c>
      <c r="FX152">
        <v>0.215676632893292</v>
      </c>
      <c r="FY152">
        <v>0.149248559458876</v>
      </c>
      <c r="FZ152">
        <v>-0.216313313403837</v>
      </c>
      <c r="GA152">
        <v>0.10348599252057999</v>
      </c>
      <c r="GB152">
        <v>-0.122733262962044</v>
      </c>
      <c r="GC152">
        <v>9.2309613344838198E-2</v>
      </c>
      <c r="GD152">
        <v>5.36935303780686E-2</v>
      </c>
      <c r="GE152">
        <v>6.4201168775214895E-2</v>
      </c>
      <c r="GF152">
        <v>0.213875096388778</v>
      </c>
      <c r="GG152">
        <v>0.30270531310342402</v>
      </c>
      <c r="GH152">
        <v>0.30332111371635401</v>
      </c>
      <c r="GI152">
        <v>7.5836647637967894E-2</v>
      </c>
      <c r="GJ152">
        <v>0.37990629803795101</v>
      </c>
      <c r="GK152">
        <v>0.10197198882549199</v>
      </c>
      <c r="GL152">
        <v>0.104399170894836</v>
      </c>
      <c r="GM152">
        <v>3.9804686733789098E-2</v>
      </c>
      <c r="GN152">
        <v>0.34314206592425101</v>
      </c>
      <c r="GO152">
        <v>9.0475645531964397E-2</v>
      </c>
      <c r="GP152">
        <v>8.7844147622472099E-2</v>
      </c>
      <c r="GR152" s="66"/>
      <c r="GT152" s="66"/>
      <c r="GV152" s="66"/>
      <c r="GY152" s="66"/>
      <c r="GZ152" s="66"/>
      <c r="HK152" s="1"/>
      <c r="HL152" s="1"/>
      <c r="HM152" s="65"/>
      <c r="HN152" s="1"/>
      <c r="HO152" s="65"/>
      <c r="HP152" s="65"/>
      <c r="HQ152" s="65"/>
      <c r="HS152" s="65"/>
      <c r="HT152" s="65"/>
      <c r="HU152" s="65"/>
      <c r="HV152" s="65"/>
      <c r="HW152" s="65"/>
      <c r="HX152" s="65"/>
      <c r="IZ152" s="66"/>
      <c r="JB152" s="66"/>
    </row>
    <row r="153" spans="1:278" ht="15.75" x14ac:dyDescent="0.25">
      <c r="A153" s="6" t="s">
        <v>206</v>
      </c>
      <c r="B153" s="6" t="s">
        <v>206</v>
      </c>
      <c r="C153" s="2" t="s">
        <v>1005</v>
      </c>
      <c r="D153" s="2" t="s">
        <v>595</v>
      </c>
      <c r="E153" s="2" t="s">
        <v>595</v>
      </c>
      <c r="F153" s="2">
        <v>152</v>
      </c>
      <c r="G153" s="2" t="s">
        <v>1004</v>
      </c>
      <c r="H153" s="10" t="s">
        <v>656</v>
      </c>
      <c r="I153" s="2">
        <v>150</v>
      </c>
      <c r="J153" s="2">
        <v>65</v>
      </c>
      <c r="K153" s="2">
        <v>15.45</v>
      </c>
      <c r="L153" t="s">
        <v>380</v>
      </c>
      <c r="M153" s="2" t="s">
        <v>1120</v>
      </c>
      <c r="N153" s="2" t="s">
        <v>436</v>
      </c>
      <c r="O153" s="2" t="s">
        <v>653</v>
      </c>
      <c r="P153" s="2" t="s">
        <v>1124</v>
      </c>
      <c r="Q153" s="9" t="s">
        <v>716</v>
      </c>
      <c r="R153" s="2" t="str">
        <f t="shared" si="145"/>
        <v>CW_2_Section_1</v>
      </c>
      <c r="S153" s="2" t="str">
        <f t="shared" si="146"/>
        <v>CW_2_MF02</v>
      </c>
      <c r="T153" s="11" t="s">
        <v>983</v>
      </c>
      <c r="U153" s="1">
        <v>45883</v>
      </c>
      <c r="V153" s="2" t="s">
        <v>692</v>
      </c>
      <c r="W153" s="2" t="s">
        <v>663</v>
      </c>
      <c r="X153" s="2" t="s">
        <v>982</v>
      </c>
      <c r="Y153" s="2" t="str">
        <f t="shared" si="147"/>
        <v>T6_MF02</v>
      </c>
      <c r="Z153" s="2" t="str">
        <f t="shared" si="148"/>
        <v>T6_CW_2_MF02</v>
      </c>
      <c r="AA153" s="2" t="str">
        <f t="shared" si="149"/>
        <v>T6_0.60-0.80</v>
      </c>
      <c r="AB153" s="2">
        <v>365</v>
      </c>
      <c r="AC153" s="2">
        <v>12.007</v>
      </c>
      <c r="AD153" s="2">
        <v>0.74</v>
      </c>
      <c r="AE153" s="2">
        <v>6</v>
      </c>
      <c r="AF153" t="s">
        <v>43</v>
      </c>
      <c r="AG153" s="2" t="s">
        <v>1238</v>
      </c>
      <c r="AH153">
        <v>53</v>
      </c>
      <c r="AI153">
        <v>12</v>
      </c>
      <c r="AJ153">
        <v>1.4999999999999999E-2</v>
      </c>
      <c r="AK153">
        <v>0.91</v>
      </c>
      <c r="AL153">
        <v>22.7</v>
      </c>
      <c r="AM153">
        <v>-0.82</v>
      </c>
      <c r="AN153">
        <v>7.28</v>
      </c>
      <c r="AO153">
        <v>756</v>
      </c>
      <c r="AP153">
        <v>0.2</v>
      </c>
      <c r="AQ153">
        <v>0.01</v>
      </c>
      <c r="AR153">
        <v>5.3</v>
      </c>
      <c r="AS153">
        <v>6</v>
      </c>
      <c r="AT153">
        <v>46</v>
      </c>
      <c r="AU153" s="32">
        <f t="shared" si="161"/>
        <v>1.7667392139290746E-2</v>
      </c>
      <c r="AV153">
        <v>2.4</v>
      </c>
      <c r="AW153" s="32">
        <f t="shared" si="162"/>
        <v>9.3770349468200566E-4</v>
      </c>
      <c r="AX153">
        <v>28</v>
      </c>
      <c r="AY153" s="32">
        <f t="shared" si="163"/>
        <v>1.1076575303758125E-2</v>
      </c>
      <c r="AZ153">
        <v>11</v>
      </c>
      <c r="BA153" s="32">
        <f t="shared" si="164"/>
        <v>4.3515117264764057E-3</v>
      </c>
      <c r="BB153">
        <v>14</v>
      </c>
      <c r="BC153" s="32">
        <f t="shared" si="165"/>
        <v>5.5382876518790623E-3</v>
      </c>
      <c r="BD153">
        <v>25</v>
      </c>
      <c r="BF153" s="48">
        <v>101.4</v>
      </c>
      <c r="BG153" s="48">
        <f t="shared" si="166"/>
        <v>2.9681670937730876E-2</v>
      </c>
      <c r="BH153">
        <v>81</v>
      </c>
      <c r="BI153" s="32">
        <f t="shared" si="167"/>
        <v>3.0334711711008815E-2</v>
      </c>
      <c r="BJ153" s="47">
        <v>2E-3</v>
      </c>
      <c r="BK153" s="27">
        <f t="shared" si="168"/>
        <v>7.4900522743231646E-7</v>
      </c>
      <c r="BL153" s="47">
        <v>0.2</v>
      </c>
      <c r="BM153" s="27">
        <f t="shared" si="169"/>
        <v>7.3592220251002044E-5</v>
      </c>
      <c r="BN153" s="47">
        <v>1.6</v>
      </c>
      <c r="BO153" s="27">
        <f t="shared" si="170"/>
        <v>6.0177679787303028E-4</v>
      </c>
      <c r="BP153" s="47">
        <v>5.0000000000000001E-3</v>
      </c>
      <c r="BQ153" s="27">
        <f t="shared" si="171"/>
        <v>1.8649981951630372E-6</v>
      </c>
      <c r="BR153" s="47">
        <v>1E-3</v>
      </c>
      <c r="BS153" s="27">
        <f t="shared" si="172"/>
        <v>3.7030802895135499E-7</v>
      </c>
      <c r="BT153" s="47">
        <v>1E-3</v>
      </c>
      <c r="BU153" s="27">
        <f t="shared" si="173"/>
        <v>3.7030802895135499E-7</v>
      </c>
      <c r="BV153" s="47">
        <v>1E-3</v>
      </c>
      <c r="BW153" s="27">
        <f t="shared" si="174"/>
        <v>3.6588380716934485E-7</v>
      </c>
      <c r="BX153" s="47">
        <v>2E-3</v>
      </c>
      <c r="BY153" s="27">
        <f t="shared" si="175"/>
        <v>7.3176761433868969E-7</v>
      </c>
      <c r="BZ153" s="51">
        <f t="shared" si="176"/>
        <v>1.8119999999999996</v>
      </c>
      <c r="CA153" s="51">
        <f t="shared" si="177"/>
        <v>1.8099999999999996</v>
      </c>
      <c r="CB153" s="27">
        <f t="shared" si="178"/>
        <v>6.798212890260384E-4</v>
      </c>
      <c r="CC153" s="27">
        <f t="shared" si="179"/>
        <v>6.7907228379860611E-4</v>
      </c>
      <c r="CD153">
        <v>130</v>
      </c>
      <c r="CE153">
        <v>130</v>
      </c>
      <c r="CF153" t="s">
        <v>19</v>
      </c>
      <c r="CG153">
        <v>260</v>
      </c>
      <c r="CH153" s="32">
        <v>0.6</v>
      </c>
      <c r="CI153" s="32">
        <f t="shared" si="180"/>
        <v>1.0743061772605192E-2</v>
      </c>
      <c r="CJ153" s="32">
        <f t="shared" si="181"/>
        <v>1.0743061772605192E-2</v>
      </c>
      <c r="CK153" s="32">
        <v>0.6</v>
      </c>
      <c r="CL153" s="32">
        <f t="shared" si="182"/>
        <v>1.0922992900054615E-2</v>
      </c>
      <c r="CM153" s="32">
        <f t="shared" si="183"/>
        <v>2.1845985800109231E-2</v>
      </c>
      <c r="CN153" s="27">
        <v>92</v>
      </c>
      <c r="CO153" s="27">
        <f t="shared" si="184"/>
        <v>0.95773474911513634</v>
      </c>
      <c r="CP153" s="27">
        <f t="shared" si="185"/>
        <v>7.6618779929210907</v>
      </c>
      <c r="CQ153" s="57">
        <v>48</v>
      </c>
      <c r="CR153" s="57">
        <v>34.285714285714285</v>
      </c>
      <c r="CS153" s="57">
        <v>3.9975015615240475</v>
      </c>
      <c r="CT153" s="57">
        <f t="shared" si="186"/>
        <v>3.9975015615240475</v>
      </c>
      <c r="CU153" s="28">
        <v>48</v>
      </c>
      <c r="CV153" s="28">
        <v>34.285714285714285</v>
      </c>
      <c r="CW153" s="28">
        <v>3.9975015615240475</v>
      </c>
      <c r="CX153" s="28">
        <f t="shared" si="187"/>
        <v>3.9975015615240475</v>
      </c>
      <c r="CY153" s="32">
        <f t="shared" si="188"/>
        <v>27.902560899437852</v>
      </c>
      <c r="CZ153" s="32">
        <f t="shared" si="189"/>
        <v>27.902560899437852</v>
      </c>
      <c r="DA153" s="32">
        <f t="shared" si="190"/>
        <v>28.502560899437853</v>
      </c>
      <c r="DB153" s="32">
        <f t="shared" si="191"/>
        <v>0.51034128736683715</v>
      </c>
      <c r="DC153" s="32">
        <f t="shared" si="192"/>
        <v>0.51034128736683715</v>
      </c>
      <c r="DD153" s="59">
        <f t="shared" si="193"/>
        <v>27.902560899437852</v>
      </c>
      <c r="DE153" s="59">
        <f t="shared" si="194"/>
        <v>27.902560899437852</v>
      </c>
      <c r="DF153" s="59">
        <f t="shared" si="195"/>
        <v>28.502560899437853</v>
      </c>
      <c r="DG153" s="59">
        <f t="shared" si="196"/>
        <v>0.51034128736683715</v>
      </c>
      <c r="DH153" s="59">
        <f t="shared" si="197"/>
        <v>0.51034128736683715</v>
      </c>
      <c r="DI153" s="32">
        <f t="shared" si="198"/>
        <v>7.6618779929210907</v>
      </c>
      <c r="DJ153" s="32">
        <f t="shared" si="199"/>
        <v>29.102560899437854</v>
      </c>
      <c r="DK153" s="32">
        <f t="shared" si="200"/>
        <v>0.53218727316694636</v>
      </c>
      <c r="DL153">
        <f t="shared" si="201"/>
        <v>4.5296888346909938</v>
      </c>
      <c r="DM153">
        <f t="shared" si="150"/>
        <v>4.8228447024440081E-3</v>
      </c>
      <c r="DN153">
        <f t="shared" si="151"/>
        <v>0.11266585983971934</v>
      </c>
      <c r="DO153">
        <f t="shared" si="152"/>
        <v>0.88251129545783669</v>
      </c>
      <c r="DP153">
        <f t="shared" si="202"/>
        <v>4.5296888346909938</v>
      </c>
      <c r="DQ153">
        <f t="shared" si="153"/>
        <v>4.8228447024440081E-3</v>
      </c>
      <c r="DR153">
        <f t="shared" si="154"/>
        <v>0.11266585983971934</v>
      </c>
      <c r="DS153">
        <f t="shared" si="155"/>
        <v>0.88251129545783669</v>
      </c>
      <c r="DT153" s="63">
        <f t="shared" si="156"/>
        <v>-4.4696724520422544</v>
      </c>
      <c r="DU153" s="63">
        <f t="shared" si="157"/>
        <v>-4.4696724520422544</v>
      </c>
      <c r="DV153" s="63">
        <f t="shared" si="158"/>
        <v>-4.4689933797584551</v>
      </c>
      <c r="DW153" s="63">
        <f t="shared" si="159"/>
        <v>-4.4689933797584551</v>
      </c>
      <c r="DX153" t="str">
        <f t="shared" si="203"/>
        <v>Sufficient Capacity</v>
      </c>
      <c r="DY153" t="str">
        <f t="shared" si="204"/>
        <v>Sufficient Capacity</v>
      </c>
      <c r="DZ153" t="str">
        <f t="shared" si="205"/>
        <v>Sulfate Dominant electron acceptor</v>
      </c>
      <c r="EA153" t="str">
        <f t="shared" si="160"/>
        <v>Sulfate Dominant electron acceptor</v>
      </c>
      <c r="EB153">
        <v>8.2071390000000004E-3</v>
      </c>
      <c r="EC153">
        <v>1.323051E-3</v>
      </c>
      <c r="ED153" s="66">
        <v>6.9698219999999997E-7</v>
      </c>
      <c r="EE153">
        <v>8.815944E-4</v>
      </c>
      <c r="EF153">
        <v>1.1332409999999999E-2</v>
      </c>
      <c r="EG153" s="66">
        <v>1.7260980000000002E-5</v>
      </c>
      <c r="EH153">
        <v>8.7047229999999995E-4</v>
      </c>
      <c r="EI153">
        <v>3.927925E-4</v>
      </c>
      <c r="EJ153">
        <v>1.3517519999999999E-3</v>
      </c>
      <c r="EK153">
        <v>2.1554349999999998E-3</v>
      </c>
      <c r="EL153">
        <v>1.1376159999999999E-3</v>
      </c>
      <c r="EM153">
        <v>6.2398909999999996E-4</v>
      </c>
      <c r="EN153">
        <v>2.2721870000000002E-3</v>
      </c>
      <c r="EO153">
        <v>1.0214379999999999E-3</v>
      </c>
      <c r="EP153">
        <v>4.3446370000000002E-3</v>
      </c>
      <c r="EQ153">
        <v>1.3185569999999999E-3</v>
      </c>
      <c r="ER153">
        <v>1.0300120000000001E-3</v>
      </c>
      <c r="ES153">
        <v>1.2763329999999999E-3</v>
      </c>
      <c r="ET153">
        <v>6.7412569999999996E-3</v>
      </c>
      <c r="EU153">
        <v>2.151123E-3</v>
      </c>
      <c r="EV153">
        <v>8.5870510000000001E-3</v>
      </c>
      <c r="EW153">
        <v>5.198345E-4</v>
      </c>
      <c r="EX153">
        <v>4.8256269999999999E-3</v>
      </c>
      <c r="EY153">
        <v>6.9081849999999998E-3</v>
      </c>
      <c r="EZ153">
        <v>2.7836570000000001E-3</v>
      </c>
      <c r="FA153">
        <v>1.3814089999999999E-3</v>
      </c>
      <c r="FB153">
        <v>1.4178890000000001E-3</v>
      </c>
      <c r="FC153">
        <v>1.8022680000000001E-3</v>
      </c>
      <c r="FD153">
        <v>7.9063509999999996E-4</v>
      </c>
      <c r="FE153">
        <v>2.337065E-2</v>
      </c>
      <c r="FF153">
        <v>1.427704E-2</v>
      </c>
      <c r="FG153">
        <v>8.0869270000000007E-3</v>
      </c>
      <c r="FH153">
        <v>6.989241E-4</v>
      </c>
      <c r="FI153">
        <v>2.0086689999999998E-3</v>
      </c>
      <c r="FJ153">
        <v>1.0080489999999999E-2</v>
      </c>
      <c r="FK153">
        <v>0.43133476802440002</v>
      </c>
      <c r="FL153">
        <v>0.90152164195948203</v>
      </c>
      <c r="FM153">
        <v>0.35666583002163099</v>
      </c>
      <c r="FN153">
        <v>1.07546378275748</v>
      </c>
      <c r="FO153">
        <v>1.5991005075070699</v>
      </c>
      <c r="FP153">
        <v>1.1171698035140001</v>
      </c>
      <c r="FQ153">
        <v>1.0974557399018501</v>
      </c>
      <c r="FR153">
        <v>0.915019249343344</v>
      </c>
      <c r="FS153">
        <v>0.88651288656070504</v>
      </c>
      <c r="FT153">
        <v>0.11097154072337501</v>
      </c>
      <c r="FU153">
        <v>0.22418281678155499</v>
      </c>
      <c r="FV153">
        <v>0.71828004417576097</v>
      </c>
      <c r="FW153">
        <v>8.73428795573368E-2</v>
      </c>
      <c r="FX153">
        <v>0.95553554194805501</v>
      </c>
      <c r="FY153">
        <v>0.60601640517081001</v>
      </c>
      <c r="FZ153">
        <v>-0.252760459510463</v>
      </c>
      <c r="GA153">
        <v>-0.25276294362221102</v>
      </c>
      <c r="GB153">
        <v>-2.8993506535341499E-2</v>
      </c>
      <c r="GC153">
        <v>-0.215026385490347</v>
      </c>
      <c r="GD153">
        <v>-3.04357639540562E-2</v>
      </c>
      <c r="GE153">
        <v>1.9799033507904799E-2</v>
      </c>
      <c r="GF153">
        <v>0.78160471902148099</v>
      </c>
      <c r="GG153">
        <v>0.37882267346134602</v>
      </c>
      <c r="GH153">
        <v>0.36069042666795798</v>
      </c>
      <c r="GI153">
        <v>-3.8774736310887001E-2</v>
      </c>
      <c r="GJ153">
        <v>0.79465657040813598</v>
      </c>
      <c r="GK153">
        <v>1.9732555063258798E-3</v>
      </c>
      <c r="GL153">
        <v>-4.6050826946458102E-2</v>
      </c>
      <c r="GM153">
        <v>-4.19581131875537E-2</v>
      </c>
      <c r="GN153">
        <v>-0.12622953537099399</v>
      </c>
      <c r="GO153">
        <v>0.33565842725258199</v>
      </c>
      <c r="GP153">
        <v>-4.94905817909412E-2</v>
      </c>
      <c r="GR153" s="66"/>
      <c r="GT153" s="66"/>
      <c r="GV153" s="66"/>
      <c r="GW153" s="65"/>
      <c r="HK153" s="1"/>
      <c r="HL153" s="1"/>
      <c r="HM153" s="65"/>
      <c r="HN153" s="1"/>
      <c r="HO153" s="65"/>
      <c r="HP153" s="65"/>
      <c r="HQ153" s="65"/>
      <c r="HS153" s="65"/>
      <c r="HT153" s="65"/>
      <c r="HU153" s="65"/>
      <c r="HV153" s="65"/>
      <c r="HW153" s="65"/>
      <c r="HX153" s="65"/>
      <c r="IJ153" s="66"/>
      <c r="IL153" s="66"/>
      <c r="IZ153" s="66"/>
      <c r="JB153" s="66"/>
      <c r="JD153" s="66"/>
      <c r="JF153" s="66"/>
      <c r="JH153" s="66"/>
      <c r="JJ153" s="66"/>
      <c r="JL153" s="66"/>
      <c r="JN153" s="66"/>
      <c r="JP153" s="66"/>
      <c r="JR153" s="66"/>
    </row>
    <row r="154" spans="1:278" ht="15.75" x14ac:dyDescent="0.25">
      <c r="A154" s="6" t="s">
        <v>207</v>
      </c>
      <c r="B154" s="6" t="s">
        <v>207</v>
      </c>
      <c r="C154" s="2" t="s">
        <v>1007</v>
      </c>
      <c r="D154" s="2" t="s">
        <v>596</v>
      </c>
      <c r="E154" s="2" t="s">
        <v>596</v>
      </c>
      <c r="F154" s="2">
        <v>153</v>
      </c>
      <c r="G154" s="2" t="s">
        <v>1006</v>
      </c>
      <c r="H154" s="10" t="s">
        <v>656</v>
      </c>
      <c r="I154" s="2">
        <v>150</v>
      </c>
      <c r="J154" s="2">
        <v>65</v>
      </c>
      <c r="K154" s="2">
        <v>47.85</v>
      </c>
      <c r="L154" t="s">
        <v>381</v>
      </c>
      <c r="M154" s="2" t="s">
        <v>1120</v>
      </c>
      <c r="N154" s="2" t="s">
        <v>436</v>
      </c>
      <c r="O154" s="2" t="s">
        <v>666</v>
      </c>
      <c r="P154" s="2" t="s">
        <v>1131</v>
      </c>
      <c r="Q154" s="9" t="s">
        <v>719</v>
      </c>
      <c r="R154" s="2" t="str">
        <f t="shared" si="145"/>
        <v>CW_2_Section_2</v>
      </c>
      <c r="S154" s="2" t="str">
        <f t="shared" si="146"/>
        <v>CW_2_MF05</v>
      </c>
      <c r="T154" s="11" t="s">
        <v>983</v>
      </c>
      <c r="U154" s="1">
        <v>45883</v>
      </c>
      <c r="V154" s="2" t="s">
        <v>692</v>
      </c>
      <c r="W154" s="2" t="s">
        <v>655</v>
      </c>
      <c r="X154" s="2" t="s">
        <v>982</v>
      </c>
      <c r="Y154" s="2" t="str">
        <f t="shared" si="147"/>
        <v>T6_MF05</v>
      </c>
      <c r="Z154" s="2" t="str">
        <f t="shared" si="148"/>
        <v>T6_CW_2_MF05</v>
      </c>
      <c r="AA154" s="2" t="str">
        <f t="shared" si="149"/>
        <v>T6_0.15-0.30</v>
      </c>
      <c r="AB154" s="2">
        <v>365</v>
      </c>
      <c r="AC154" s="2">
        <v>12.007</v>
      </c>
      <c r="AD154" s="2">
        <v>0.74</v>
      </c>
      <c r="AE154" s="2">
        <v>6</v>
      </c>
      <c r="AF154" t="s">
        <v>35</v>
      </c>
      <c r="AG154" s="2" t="s">
        <v>1238</v>
      </c>
      <c r="AH154">
        <v>47</v>
      </c>
      <c r="AI154">
        <v>6.5</v>
      </c>
      <c r="AJ154">
        <v>1.1000000000000001</v>
      </c>
      <c r="AK154">
        <v>1.33</v>
      </c>
      <c r="AL154">
        <v>22.7</v>
      </c>
      <c r="AM154">
        <v>-166</v>
      </c>
      <c r="AN154">
        <v>7.48</v>
      </c>
      <c r="AO154">
        <v>527</v>
      </c>
      <c r="AP154">
        <v>0.1</v>
      </c>
      <c r="AQ154">
        <v>0.01</v>
      </c>
      <c r="AR154">
        <v>7.1</v>
      </c>
      <c r="AS154">
        <v>8.5</v>
      </c>
      <c r="AT154">
        <v>1.1000000000000001</v>
      </c>
      <c r="AU154" s="32">
        <f t="shared" si="161"/>
        <v>4.2248111637434386E-4</v>
      </c>
      <c r="AV154">
        <v>0.02</v>
      </c>
      <c r="AW154" s="32">
        <f t="shared" si="162"/>
        <v>7.8141957890167132E-6</v>
      </c>
      <c r="AX154">
        <v>1.3</v>
      </c>
      <c r="AY154" s="32">
        <f t="shared" si="163"/>
        <v>5.1426956767448438E-4</v>
      </c>
      <c r="AZ154">
        <v>0.65</v>
      </c>
      <c r="BA154" s="32">
        <f t="shared" si="164"/>
        <v>2.5713478383724219E-4</v>
      </c>
      <c r="BB154">
        <v>0.33</v>
      </c>
      <c r="BC154" s="32">
        <f t="shared" si="165"/>
        <v>1.3054535179429216E-4</v>
      </c>
      <c r="BD154">
        <v>0.98</v>
      </c>
      <c r="BF154" s="48">
        <v>3.52</v>
      </c>
      <c r="BG154" s="48">
        <f t="shared" si="166"/>
        <v>9.4456487983784489E-4</v>
      </c>
      <c r="BH154">
        <v>1.1000000000000001</v>
      </c>
      <c r="BI154" s="32">
        <f t="shared" si="167"/>
        <v>4.119528750877741E-4</v>
      </c>
      <c r="BJ154" s="47">
        <v>2E-3</v>
      </c>
      <c r="BK154" s="27">
        <f t="shared" si="168"/>
        <v>7.4900522743231646E-7</v>
      </c>
      <c r="BL154" s="47">
        <v>0.01</v>
      </c>
      <c r="BM154" s="27">
        <f t="shared" si="169"/>
        <v>3.6796110125501018E-6</v>
      </c>
      <c r="BN154" s="47">
        <v>0.01</v>
      </c>
      <c r="BO154" s="27">
        <f t="shared" si="170"/>
        <v>3.7611049867064394E-6</v>
      </c>
      <c r="BP154" s="47">
        <v>5.0000000000000001E-3</v>
      </c>
      <c r="BQ154" s="27">
        <f t="shared" si="171"/>
        <v>1.8649981951630372E-6</v>
      </c>
      <c r="BR154" s="47">
        <v>1E-3</v>
      </c>
      <c r="BS154" s="27">
        <f t="shared" si="172"/>
        <v>3.7030802895135499E-7</v>
      </c>
      <c r="BT154" s="47">
        <v>1E-3</v>
      </c>
      <c r="BU154" s="27">
        <f t="shared" si="173"/>
        <v>3.7030802895135499E-7</v>
      </c>
      <c r="BV154" s="47">
        <v>1E-3</v>
      </c>
      <c r="BW154" s="27">
        <f t="shared" si="174"/>
        <v>3.6588380716934485E-7</v>
      </c>
      <c r="BX154" s="47">
        <v>2E-3</v>
      </c>
      <c r="BY154" s="27">
        <f t="shared" si="175"/>
        <v>7.3176761433868969E-7</v>
      </c>
      <c r="BZ154" s="51">
        <f t="shared" si="176"/>
        <v>3.2000000000000001E-2</v>
      </c>
      <c r="CA154" s="51">
        <f t="shared" si="177"/>
        <v>3.0000000000000006E-2</v>
      </c>
      <c r="CB154" s="27">
        <f t="shared" si="178"/>
        <v>1.1892986901262639E-5</v>
      </c>
      <c r="CC154" s="27">
        <f t="shared" si="179"/>
        <v>1.1143981673830322E-5</v>
      </c>
      <c r="CD154">
        <v>2.5</v>
      </c>
      <c r="CE154">
        <v>2.5</v>
      </c>
      <c r="CF154" t="s">
        <v>19</v>
      </c>
      <c r="CG154">
        <v>5</v>
      </c>
      <c r="CH154" s="32">
        <v>3.5</v>
      </c>
      <c r="CI154" s="32">
        <f t="shared" si="180"/>
        <v>6.266786034019696E-2</v>
      </c>
      <c r="CJ154" s="32">
        <f t="shared" si="181"/>
        <v>6.266786034019696E-2</v>
      </c>
      <c r="CK154" s="32">
        <v>0.9</v>
      </c>
      <c r="CL154" s="32">
        <f t="shared" si="182"/>
        <v>1.6384489350081924E-2</v>
      </c>
      <c r="CM154" s="32">
        <f t="shared" si="183"/>
        <v>3.2768978700163848E-2</v>
      </c>
      <c r="CN154" s="27">
        <v>39</v>
      </c>
      <c r="CO154" s="27">
        <f t="shared" si="184"/>
        <v>0.40599625234228603</v>
      </c>
      <c r="CP154" s="27">
        <f t="shared" si="185"/>
        <v>3.2479700187382883</v>
      </c>
      <c r="CQ154" s="57">
        <v>101</v>
      </c>
      <c r="CR154" s="57">
        <v>72.142857142857139</v>
      </c>
      <c r="CS154" s="57">
        <v>8.4114095357068503</v>
      </c>
      <c r="CT154" s="57">
        <f t="shared" si="186"/>
        <v>8.4114095357068503</v>
      </c>
      <c r="CU154" s="28">
        <v>22</v>
      </c>
      <c r="CV154" s="28">
        <v>36.065573770491802</v>
      </c>
      <c r="CW154" s="28">
        <v>1.8321882156985216</v>
      </c>
      <c r="CX154" s="28">
        <f t="shared" si="187"/>
        <v>1.8321882156985216</v>
      </c>
      <c r="CY154" s="32">
        <f t="shared" si="188"/>
        <v>58.711638559233812</v>
      </c>
      <c r="CZ154" s="32">
        <f t="shared" si="189"/>
        <v>58.711638559233812</v>
      </c>
      <c r="DA154" s="32">
        <f t="shared" si="190"/>
        <v>62.211638559233812</v>
      </c>
      <c r="DB154" s="32">
        <f t="shared" si="191"/>
        <v>1.1139057933613932</v>
      </c>
      <c r="DC154" s="32">
        <f t="shared" si="192"/>
        <v>1.1139057933613932</v>
      </c>
      <c r="DD154" s="59">
        <f t="shared" si="193"/>
        <v>12.78867374557568</v>
      </c>
      <c r="DE154" s="59">
        <f t="shared" si="194"/>
        <v>12.78867374557568</v>
      </c>
      <c r="DF154" s="59">
        <f t="shared" si="195"/>
        <v>16.288673745575679</v>
      </c>
      <c r="DG154" s="59">
        <f t="shared" si="196"/>
        <v>0.29165038040421987</v>
      </c>
      <c r="DH154" s="59">
        <f t="shared" si="197"/>
        <v>0.29165038040421987</v>
      </c>
      <c r="DI154" s="32">
        <f t="shared" si="198"/>
        <v>3.2479700187382883</v>
      </c>
      <c r="DJ154" s="32">
        <f t="shared" si="199"/>
        <v>17.188673745575677</v>
      </c>
      <c r="DK154" s="32">
        <f t="shared" si="200"/>
        <v>0.32441935910438369</v>
      </c>
      <c r="DL154">
        <f t="shared" si="201"/>
        <v>9.5580843077684072</v>
      </c>
      <c r="DM154">
        <f t="shared" si="150"/>
        <v>3.4284044422511115E-3</v>
      </c>
      <c r="DN154">
        <f t="shared" si="151"/>
        <v>0.11654069555089168</v>
      </c>
      <c r="DO154">
        <f t="shared" si="152"/>
        <v>0.88003090000685724</v>
      </c>
      <c r="DP154">
        <f t="shared" si="202"/>
        <v>2.1566075748029054</v>
      </c>
      <c r="DQ154">
        <f t="shared" si="153"/>
        <v>1.5194687750810964E-2</v>
      </c>
      <c r="DR154">
        <f t="shared" si="154"/>
        <v>0.13523572105178852</v>
      </c>
      <c r="DS154">
        <f t="shared" si="155"/>
        <v>0.8495695911974005</v>
      </c>
      <c r="DT154" s="63">
        <f t="shared" si="156"/>
        <v>-9.5567277900134808</v>
      </c>
      <c r="DU154" s="63">
        <f t="shared" si="157"/>
        <v>-2.1552510570479799</v>
      </c>
      <c r="DV154" s="63">
        <f t="shared" si="158"/>
        <v>-9.5567166460318074</v>
      </c>
      <c r="DW154" s="63">
        <f t="shared" si="159"/>
        <v>-2.155239913066306</v>
      </c>
      <c r="DX154" t="str">
        <f t="shared" si="203"/>
        <v>Sufficient Capacity</v>
      </c>
      <c r="DY154" t="str">
        <f t="shared" si="204"/>
        <v>Sufficient Capacity</v>
      </c>
      <c r="DZ154" t="str">
        <f t="shared" si="205"/>
        <v>Sulfate Dominant electron acceptor</v>
      </c>
      <c r="EA154" t="str">
        <f t="shared" si="160"/>
        <v>Sulfate Dominant electron acceptor</v>
      </c>
      <c r="EB154">
        <v>9.5335019999999993E-3</v>
      </c>
      <c r="EC154">
        <v>1.919252E-3</v>
      </c>
      <c r="ED154" s="66">
        <v>1.2423219999999999E-6</v>
      </c>
      <c r="EE154">
        <v>1.1016419999999999E-3</v>
      </c>
      <c r="EF154">
        <v>7.3071259999999997E-3</v>
      </c>
      <c r="EG154" s="66">
        <v>1.2510369999999999E-5</v>
      </c>
      <c r="EH154">
        <v>5.3894469999999999E-4</v>
      </c>
      <c r="EI154" s="66">
        <v>5.7146560000000003E-5</v>
      </c>
      <c r="EJ154">
        <v>4.4369830000000001E-4</v>
      </c>
      <c r="EK154">
        <v>9.020333E-4</v>
      </c>
      <c r="EL154">
        <v>4.602357E-4</v>
      </c>
      <c r="EM154">
        <v>3.3751730000000001E-4</v>
      </c>
      <c r="EN154">
        <v>2.2949020000000001E-3</v>
      </c>
      <c r="EO154">
        <v>8.1465430000000004E-4</v>
      </c>
      <c r="EP154">
        <v>3.237607E-3</v>
      </c>
      <c r="EQ154">
        <v>6.9546620000000001E-4</v>
      </c>
      <c r="ER154">
        <v>7.4350709999999995E-4</v>
      </c>
      <c r="ES154">
        <v>1.3395480000000001E-3</v>
      </c>
      <c r="ET154">
        <v>5.5105730000000004E-3</v>
      </c>
      <c r="EU154">
        <v>2.7725549999999999E-3</v>
      </c>
      <c r="EV154">
        <v>7.8314950000000008E-3</v>
      </c>
      <c r="EW154">
        <v>7.4988500000000005E-4</v>
      </c>
      <c r="EX154">
        <v>4.206469E-3</v>
      </c>
      <c r="EY154">
        <v>6.9254160000000002E-3</v>
      </c>
      <c r="EZ154">
        <v>2.0545670000000002E-3</v>
      </c>
      <c r="FA154">
        <v>1.584434E-3</v>
      </c>
      <c r="FB154">
        <v>1.7502069999999999E-3</v>
      </c>
      <c r="FC154">
        <v>2.4321780000000001E-3</v>
      </c>
      <c r="FD154">
        <v>5.0347100000000002E-4</v>
      </c>
      <c r="FE154">
        <v>2.4274170000000001E-2</v>
      </c>
      <c r="FF154">
        <v>1.137432E-2</v>
      </c>
      <c r="FG154">
        <v>7.640839E-3</v>
      </c>
      <c r="FH154">
        <v>7.5758830000000001E-4</v>
      </c>
      <c r="FI154">
        <v>1.797664E-3</v>
      </c>
      <c r="FJ154">
        <v>7.8061179999999999E-3</v>
      </c>
      <c r="FK154">
        <v>0.654159754782349</v>
      </c>
      <c r="FL154">
        <v>0.46270491631786398</v>
      </c>
      <c r="FM154">
        <v>3.4775267679547597E-2</v>
      </c>
      <c r="FN154">
        <v>0.59604081309110002</v>
      </c>
      <c r="FO154">
        <v>-0.32856177915136298</v>
      </c>
      <c r="FP154">
        <v>3.1578226493529401E-3</v>
      </c>
      <c r="FQ154">
        <v>0.22635933892698001</v>
      </c>
      <c r="FR154">
        <v>1.00678752555545E-2</v>
      </c>
      <c r="FS154">
        <v>0.271996754550694</v>
      </c>
      <c r="FT154">
        <v>0.12091887798914</v>
      </c>
      <c r="FU154">
        <v>-2.0200491023869599E-3</v>
      </c>
      <c r="FV154">
        <v>0.424172309924783</v>
      </c>
      <c r="FW154">
        <v>-0.55236794419409896</v>
      </c>
      <c r="FX154">
        <v>0.62958812558979504</v>
      </c>
      <c r="FY154">
        <v>0.65435752613560405</v>
      </c>
      <c r="FZ154">
        <v>-0.45433825506388698</v>
      </c>
      <c r="GA154">
        <v>1.01630275858078E-3</v>
      </c>
      <c r="GB154">
        <v>-0.12109545332940599</v>
      </c>
      <c r="GC154">
        <v>0.15138298426361499</v>
      </c>
      <c r="GD154">
        <v>-0.167752860054553</v>
      </c>
      <c r="GE154">
        <v>2.22902155090745E-2</v>
      </c>
      <c r="GF154">
        <v>0.477904308313083</v>
      </c>
      <c r="GG154">
        <v>0.515945926443101</v>
      </c>
      <c r="GH154">
        <v>0.57125534754308105</v>
      </c>
      <c r="GI154">
        <v>0.26096654413591103</v>
      </c>
      <c r="GJ154">
        <v>0.343346137547901</v>
      </c>
      <c r="GK154">
        <v>3.9905115944063298E-2</v>
      </c>
      <c r="GL154">
        <v>-0.27334529662833401</v>
      </c>
      <c r="GM154">
        <v>-9.8699506524370803E-2</v>
      </c>
      <c r="GN154">
        <v>-4.5631589771372397E-2</v>
      </c>
      <c r="GO154">
        <v>0.22467415786179901</v>
      </c>
      <c r="GP154">
        <v>-0.30518466914263298</v>
      </c>
      <c r="GR154" s="66"/>
      <c r="GT154" s="66"/>
      <c r="GV154" s="66"/>
      <c r="GY154" s="66"/>
      <c r="GZ154" s="66"/>
      <c r="HK154" s="1"/>
      <c r="HL154" s="1"/>
      <c r="HM154" s="65"/>
      <c r="HN154" s="1"/>
      <c r="HO154" s="65"/>
      <c r="HP154" s="65"/>
      <c r="HQ154" s="65"/>
      <c r="HS154" s="65"/>
      <c r="HT154" s="65"/>
      <c r="HU154" s="65"/>
      <c r="HV154" s="65"/>
      <c r="HW154" s="65"/>
      <c r="HX154" s="65"/>
    </row>
    <row r="155" spans="1:278" ht="15.75" x14ac:dyDescent="0.25">
      <c r="A155" s="6" t="s">
        <v>208</v>
      </c>
      <c r="B155" s="6" t="s">
        <v>208</v>
      </c>
      <c r="C155" s="2" t="s">
        <v>1009</v>
      </c>
      <c r="D155" s="2" t="s">
        <v>597</v>
      </c>
      <c r="E155" s="2" t="s">
        <v>597</v>
      </c>
      <c r="F155" s="2">
        <v>154</v>
      </c>
      <c r="G155" s="2" t="s">
        <v>1008</v>
      </c>
      <c r="H155" s="10" t="s">
        <v>656</v>
      </c>
      <c r="I155" s="2">
        <v>150</v>
      </c>
      <c r="J155" s="2">
        <v>65</v>
      </c>
      <c r="K155" s="2">
        <v>3.5</v>
      </c>
      <c r="L155" t="s">
        <v>382</v>
      </c>
      <c r="M155" s="2" t="s">
        <v>1120</v>
      </c>
      <c r="N155" s="2" t="s">
        <v>436</v>
      </c>
      <c r="O155" s="2" t="s">
        <v>666</v>
      </c>
      <c r="P155" s="2" t="s">
        <v>1132</v>
      </c>
      <c r="Q155" s="9" t="s">
        <v>722</v>
      </c>
      <c r="R155" s="2" t="str">
        <f t="shared" si="145"/>
        <v>CW_2_Section_2</v>
      </c>
      <c r="S155" s="2" t="str">
        <f t="shared" si="146"/>
        <v>CW_2_MF06</v>
      </c>
      <c r="T155" s="11" t="s">
        <v>983</v>
      </c>
      <c r="U155" s="1">
        <v>45883</v>
      </c>
      <c r="V155" s="2" t="s">
        <v>692</v>
      </c>
      <c r="W155" s="2" t="s">
        <v>663</v>
      </c>
      <c r="X155" s="2" t="s">
        <v>982</v>
      </c>
      <c r="Y155" s="2" t="str">
        <f t="shared" si="147"/>
        <v>T6_MF06</v>
      </c>
      <c r="Z155" s="2" t="str">
        <f t="shared" si="148"/>
        <v>T6_CW_2_MF06</v>
      </c>
      <c r="AA155" s="2" t="str">
        <f t="shared" si="149"/>
        <v>T6_0.60-0.80</v>
      </c>
      <c r="AB155" s="2">
        <v>365</v>
      </c>
      <c r="AC155" s="2">
        <v>12.007</v>
      </c>
      <c r="AD155" s="2">
        <v>0.74</v>
      </c>
      <c r="AE155" s="2">
        <v>6</v>
      </c>
      <c r="AF155" t="s">
        <v>37</v>
      </c>
      <c r="AG155" s="2" t="s">
        <v>1238</v>
      </c>
      <c r="AH155">
        <v>43</v>
      </c>
      <c r="AI155">
        <v>6</v>
      </c>
      <c r="AJ155">
        <v>0.51</v>
      </c>
      <c r="AK155">
        <v>0.52</v>
      </c>
      <c r="AL155">
        <v>22.8</v>
      </c>
      <c r="AM155">
        <v>-178</v>
      </c>
      <c r="AN155">
        <v>7.31</v>
      </c>
      <c r="AO155">
        <v>508</v>
      </c>
      <c r="AP155">
        <v>0.2</v>
      </c>
      <c r="AQ155">
        <v>0.01</v>
      </c>
      <c r="AR155">
        <v>5</v>
      </c>
      <c r="AS155">
        <v>5.9</v>
      </c>
      <c r="AT155">
        <v>21</v>
      </c>
      <c r="AU155" s="32">
        <f t="shared" si="161"/>
        <v>8.0655485853283818E-3</v>
      </c>
      <c r="AV155">
        <v>1.2</v>
      </c>
      <c r="AW155" s="32">
        <f t="shared" si="162"/>
        <v>4.6885174734100283E-4</v>
      </c>
      <c r="AX155">
        <v>63</v>
      </c>
      <c r="AY155" s="32">
        <f t="shared" si="163"/>
        <v>2.4922294433455779E-2</v>
      </c>
      <c r="AZ155">
        <v>13</v>
      </c>
      <c r="BA155" s="32">
        <f t="shared" si="164"/>
        <v>5.1426956767448434E-3</v>
      </c>
      <c r="BB155">
        <v>7.1</v>
      </c>
      <c r="BC155" s="32">
        <f t="shared" si="165"/>
        <v>2.8087030234529523E-3</v>
      </c>
      <c r="BD155">
        <v>20.100000000000001</v>
      </c>
      <c r="BF155" s="48">
        <v>105.3</v>
      </c>
      <c r="BG155" s="48">
        <f t="shared" si="166"/>
        <v>3.3456694766125165E-2</v>
      </c>
      <c r="BH155">
        <v>400</v>
      </c>
      <c r="BI155" s="32">
        <f t="shared" si="167"/>
        <v>0.14980104548646328</v>
      </c>
      <c r="BJ155" s="47">
        <v>0.17</v>
      </c>
      <c r="BK155" s="27">
        <f t="shared" si="168"/>
        <v>6.36654443317469E-5</v>
      </c>
      <c r="BL155" s="47">
        <v>19</v>
      </c>
      <c r="BM155" s="27">
        <f t="shared" si="169"/>
        <v>6.9912609238451931E-3</v>
      </c>
      <c r="BN155" s="47">
        <v>60</v>
      </c>
      <c r="BO155" s="27">
        <f t="shared" si="170"/>
        <v>2.2566629920238637E-2</v>
      </c>
      <c r="BP155" s="47">
        <v>27</v>
      </c>
      <c r="BQ155" s="27">
        <f t="shared" si="171"/>
        <v>1.0070990253880399E-2</v>
      </c>
      <c r="BR155" s="47">
        <v>2.5</v>
      </c>
      <c r="BS155" s="27">
        <f t="shared" si="172"/>
        <v>9.2577007237838748E-4</v>
      </c>
      <c r="BT155" s="47">
        <v>0.51</v>
      </c>
      <c r="BU155" s="27">
        <f t="shared" si="173"/>
        <v>1.8885709476519107E-4</v>
      </c>
      <c r="BV155" s="47">
        <v>0.06</v>
      </c>
      <c r="BW155" s="27">
        <f t="shared" si="174"/>
        <v>2.1953028430160689E-5</v>
      </c>
      <c r="BX155" s="47">
        <v>0.04</v>
      </c>
      <c r="BY155" s="27">
        <f t="shared" si="175"/>
        <v>1.4635352286773795E-5</v>
      </c>
      <c r="BZ155" s="51">
        <f t="shared" si="176"/>
        <v>109.28000000000002</v>
      </c>
      <c r="CA155" s="51">
        <f t="shared" si="177"/>
        <v>109.11000000000001</v>
      </c>
      <c r="CB155" s="27">
        <f t="shared" si="178"/>
        <v>4.0843762090156485E-2</v>
      </c>
      <c r="CC155" s="27">
        <f t="shared" si="179"/>
        <v>4.0780096645824743E-2</v>
      </c>
      <c r="CD155">
        <v>500</v>
      </c>
      <c r="CE155">
        <v>220</v>
      </c>
      <c r="CF155" t="s">
        <v>19</v>
      </c>
      <c r="CG155">
        <v>710</v>
      </c>
      <c r="CH155" s="32">
        <v>0.8</v>
      </c>
      <c r="CI155" s="32">
        <f t="shared" si="180"/>
        <v>1.432408236347359E-2</v>
      </c>
      <c r="CJ155" s="32">
        <f t="shared" si="181"/>
        <v>1.432408236347359E-2</v>
      </c>
      <c r="CK155" s="32">
        <v>0.9</v>
      </c>
      <c r="CL155" s="32">
        <f t="shared" si="182"/>
        <v>1.6384489350081924E-2</v>
      </c>
      <c r="CM155" s="32">
        <f t="shared" si="183"/>
        <v>3.2768978700163848E-2</v>
      </c>
      <c r="CN155" s="27">
        <v>34</v>
      </c>
      <c r="CO155" s="27">
        <f t="shared" si="184"/>
        <v>0.35394545075994172</v>
      </c>
      <c r="CP155" s="27">
        <f t="shared" si="185"/>
        <v>2.8315636060795337</v>
      </c>
      <c r="CQ155" s="57">
        <v>106</v>
      </c>
      <c r="CR155" s="57">
        <v>75.714285714285708</v>
      </c>
      <c r="CS155" s="57">
        <v>8.827815948365604</v>
      </c>
      <c r="CT155" s="57">
        <f t="shared" si="186"/>
        <v>8.827815948365604</v>
      </c>
      <c r="CU155" s="28">
        <v>58</v>
      </c>
      <c r="CV155" s="28">
        <v>63.04347826086957</v>
      </c>
      <c r="CW155" s="28">
        <v>4.8303143868415575</v>
      </c>
      <c r="CX155" s="28">
        <f t="shared" si="187"/>
        <v>4.8303143868415575</v>
      </c>
      <c r="CY155" s="32">
        <f t="shared" si="188"/>
        <v>61.618155319591921</v>
      </c>
      <c r="CZ155" s="32">
        <f t="shared" si="189"/>
        <v>61.618155319591921</v>
      </c>
      <c r="DA155" s="32">
        <f t="shared" si="190"/>
        <v>62.418155319591918</v>
      </c>
      <c r="DB155" s="32">
        <f t="shared" si="191"/>
        <v>1.1176034972174023</v>
      </c>
      <c r="DC155" s="32">
        <f t="shared" si="192"/>
        <v>1.1176034972174023</v>
      </c>
      <c r="DD155" s="59">
        <f t="shared" si="193"/>
        <v>33.715594420154069</v>
      </c>
      <c r="DE155" s="59">
        <f t="shared" si="194"/>
        <v>33.715594420154069</v>
      </c>
      <c r="DF155" s="59">
        <f t="shared" si="195"/>
        <v>34.515594420154066</v>
      </c>
      <c r="DG155" s="59">
        <f t="shared" si="196"/>
        <v>0.61800527162317043</v>
      </c>
      <c r="DH155" s="59">
        <f t="shared" si="197"/>
        <v>0.61800527162317043</v>
      </c>
      <c r="DI155" s="32">
        <f t="shared" si="198"/>
        <v>2.8315636060795337</v>
      </c>
      <c r="DJ155" s="32">
        <f t="shared" si="199"/>
        <v>35.415594420154065</v>
      </c>
      <c r="DK155" s="32">
        <f t="shared" si="200"/>
        <v>0.65077425032333425</v>
      </c>
      <c r="DL155">
        <f t="shared" si="201"/>
        <v>9.9781884242831698</v>
      </c>
      <c r="DM155">
        <f t="shared" si="150"/>
        <v>3.2840609243674373E-3</v>
      </c>
      <c r="DN155">
        <f t="shared" si="151"/>
        <v>0.11200464951108503</v>
      </c>
      <c r="DO155">
        <f t="shared" si="152"/>
        <v>0.88471128956454759</v>
      </c>
      <c r="DP155">
        <f t="shared" si="202"/>
        <v>5.4810886371648913</v>
      </c>
      <c r="DQ155">
        <f t="shared" si="153"/>
        <v>5.9785529608062851E-3</v>
      </c>
      <c r="DR155">
        <f t="shared" si="154"/>
        <v>0.11275228563770051</v>
      </c>
      <c r="DS155">
        <f t="shared" si="155"/>
        <v>0.88126916140149325</v>
      </c>
      <c r="DT155" s="63">
        <f t="shared" si="156"/>
        <v>-9.7949306840305805</v>
      </c>
      <c r="DU155" s="63">
        <f t="shared" si="157"/>
        <v>-5.2978308969123029</v>
      </c>
      <c r="DV155" s="63">
        <f t="shared" si="158"/>
        <v>-9.7541505873847569</v>
      </c>
      <c r="DW155" s="63">
        <f t="shared" si="159"/>
        <v>-5.2570508002664784</v>
      </c>
      <c r="DX155" t="str">
        <f t="shared" si="203"/>
        <v>Sufficient Capacity</v>
      </c>
      <c r="DY155" t="str">
        <f t="shared" si="204"/>
        <v>Sufficient Capacity</v>
      </c>
      <c r="DZ155" t="str">
        <f t="shared" si="205"/>
        <v>Sulfate Dominant electron acceptor</v>
      </c>
      <c r="EA155" t="str">
        <f t="shared" si="160"/>
        <v>Sulfate Dominant electron acceptor</v>
      </c>
      <c r="EB155">
        <v>9.9780230000000008E-3</v>
      </c>
      <c r="EC155">
        <v>1.8701639999999999E-3</v>
      </c>
      <c r="ED155" s="66">
        <v>6.2201389999999996E-7</v>
      </c>
      <c r="EE155">
        <v>6.2357850000000002E-4</v>
      </c>
      <c r="EF155">
        <v>4.7640139999999996E-3</v>
      </c>
      <c r="EG155" s="66">
        <v>1.5085970000000001E-5</v>
      </c>
      <c r="EH155">
        <v>3.6063589999999997E-4</v>
      </c>
      <c r="EI155" s="66">
        <v>8.069927E-5</v>
      </c>
      <c r="EJ155">
        <v>5.613266E-4</v>
      </c>
      <c r="EK155">
        <v>8.4528369999999997E-4</v>
      </c>
      <c r="EL155">
        <v>4.9864180000000003E-4</v>
      </c>
      <c r="EM155">
        <v>2.8597969999999998E-4</v>
      </c>
      <c r="EN155">
        <v>2.2561719999999999E-3</v>
      </c>
      <c r="EO155">
        <v>9.3485029999999998E-4</v>
      </c>
      <c r="EP155">
        <v>2.2076700000000001E-3</v>
      </c>
      <c r="EQ155">
        <v>1.301509E-3</v>
      </c>
      <c r="ER155">
        <v>5.0601529999999995E-4</v>
      </c>
      <c r="ES155">
        <v>7.4931819999999997E-4</v>
      </c>
      <c r="ET155">
        <v>8.4128780000000004E-3</v>
      </c>
      <c r="EU155">
        <v>3.0426070000000001E-3</v>
      </c>
      <c r="EV155">
        <v>8.464994E-3</v>
      </c>
      <c r="EW155">
        <v>6.8784870000000004E-4</v>
      </c>
      <c r="EX155">
        <v>5.3425479999999999E-3</v>
      </c>
      <c r="EY155">
        <v>7.3510750000000003E-3</v>
      </c>
      <c r="EZ155">
        <v>1.2609030000000001E-3</v>
      </c>
      <c r="FA155">
        <v>1.0559219999999999E-3</v>
      </c>
      <c r="FB155">
        <v>1.111571E-3</v>
      </c>
      <c r="FC155">
        <v>1.680787E-3</v>
      </c>
      <c r="FD155">
        <v>3.9655110000000001E-4</v>
      </c>
      <c r="FE155">
        <v>2.5339440000000001E-2</v>
      </c>
      <c r="FF155">
        <v>1.9071149999999999E-2</v>
      </c>
      <c r="FG155">
        <v>9.9991079999999996E-3</v>
      </c>
      <c r="FH155">
        <v>9.0211809999999996E-4</v>
      </c>
      <c r="FI155">
        <v>1.519755E-3</v>
      </c>
      <c r="FJ155">
        <v>1.257078E-2</v>
      </c>
      <c r="FK155">
        <v>8.5077341093314607E-2</v>
      </c>
      <c r="FL155">
        <v>3.49454701142786E-2</v>
      </c>
      <c r="FM155">
        <v>0.22198254012993199</v>
      </c>
      <c r="FN155">
        <v>0.194296706957055</v>
      </c>
      <c r="FO155">
        <v>1.6548554281564001E-2</v>
      </c>
      <c r="FP155">
        <v>0.238315906502266</v>
      </c>
      <c r="FQ155">
        <v>0.16138021223992</v>
      </c>
      <c r="FR155">
        <v>9.0217128008451802E-2</v>
      </c>
      <c r="FS155">
        <v>0.106300815572306</v>
      </c>
      <c r="FT155">
        <v>0.103898308777779</v>
      </c>
      <c r="FU155">
        <v>0.13560250894051701</v>
      </c>
      <c r="FV155">
        <v>4.1275493975593498E-2</v>
      </c>
      <c r="FW155">
        <v>7.43292832628457E-2</v>
      </c>
      <c r="FX155">
        <v>0.244776716291285</v>
      </c>
      <c r="FY155">
        <v>7.3433729938452402E-2</v>
      </c>
      <c r="FZ155">
        <v>-3.12432384657138E-2</v>
      </c>
      <c r="GA155">
        <v>9.3961738729496397E-2</v>
      </c>
      <c r="GB155">
        <v>-4.3309570634583801E-2</v>
      </c>
      <c r="GC155">
        <v>6.5032023781632198E-2</v>
      </c>
      <c r="GD155">
        <v>7.1326254239596501E-2</v>
      </c>
      <c r="GE155">
        <v>8.1938654071183101E-2</v>
      </c>
      <c r="GF155">
        <v>-1.0332680890337001E-2</v>
      </c>
      <c r="GG155">
        <v>0.11013299959990799</v>
      </c>
      <c r="GH155">
        <v>0.117295610913426</v>
      </c>
      <c r="GI155">
        <v>-0.108558471972611</v>
      </c>
      <c r="GJ155">
        <v>0.104624934320874</v>
      </c>
      <c r="GK155">
        <v>8.2854369107599801E-2</v>
      </c>
      <c r="GL155">
        <v>0.243473242478079</v>
      </c>
      <c r="GM155">
        <v>0.17028896858818099</v>
      </c>
      <c r="GN155">
        <v>0.12897375473755099</v>
      </c>
      <c r="GO155">
        <v>5.67352512364208E-2</v>
      </c>
      <c r="GP155">
        <v>0.17128261881915199</v>
      </c>
      <c r="GT155" s="66"/>
      <c r="GV155" s="66"/>
      <c r="HK155" s="1"/>
      <c r="HL155" s="1"/>
      <c r="HM155" s="65"/>
      <c r="HN155" s="1"/>
      <c r="HO155" s="65"/>
      <c r="HP155" s="65"/>
      <c r="HQ155" s="65"/>
      <c r="HS155" s="65"/>
      <c r="HT155" s="65"/>
      <c r="HU155" s="65"/>
      <c r="HV155" s="65"/>
      <c r="HW155" s="65"/>
      <c r="HX155" s="65"/>
      <c r="IZ155" s="66"/>
      <c r="JB155" s="66"/>
      <c r="JD155" s="66"/>
      <c r="JF155" s="66"/>
      <c r="JH155" s="66"/>
      <c r="JJ155" s="66"/>
      <c r="JL155" s="66"/>
      <c r="JN155" s="66"/>
      <c r="JP155" s="66"/>
      <c r="JR155" s="66"/>
    </row>
    <row r="156" spans="1:278" ht="15.75" x14ac:dyDescent="0.25">
      <c r="A156" s="6" t="s">
        <v>209</v>
      </c>
      <c r="B156" s="6" t="s">
        <v>209</v>
      </c>
      <c r="C156" s="2" t="s">
        <v>1011</v>
      </c>
      <c r="D156" s="2" t="s">
        <v>598</v>
      </c>
      <c r="E156" s="2" t="s">
        <v>598</v>
      </c>
      <c r="F156" s="2">
        <v>155</v>
      </c>
      <c r="G156" s="2" t="s">
        <v>1010</v>
      </c>
      <c r="H156" s="10" t="s">
        <v>656</v>
      </c>
      <c r="I156" s="2">
        <v>150</v>
      </c>
      <c r="J156" s="2">
        <v>65</v>
      </c>
      <c r="K156" s="2">
        <v>5.75</v>
      </c>
      <c r="L156" t="s">
        <v>386</v>
      </c>
      <c r="M156" s="2" t="s">
        <v>1120</v>
      </c>
      <c r="N156" s="2" t="s">
        <v>436</v>
      </c>
      <c r="O156" s="2" t="s">
        <v>673</v>
      </c>
      <c r="P156" s="2" t="s">
        <v>1127</v>
      </c>
      <c r="Q156" s="9" t="s">
        <v>725</v>
      </c>
      <c r="R156" s="2" t="str">
        <f t="shared" si="145"/>
        <v>CW_2_Section_3</v>
      </c>
      <c r="S156" s="2" t="str">
        <f t="shared" si="146"/>
        <v>CW_2_MF09</v>
      </c>
      <c r="T156" s="11" t="s">
        <v>983</v>
      </c>
      <c r="U156" s="1">
        <v>45884</v>
      </c>
      <c r="V156" s="2" t="s">
        <v>692</v>
      </c>
      <c r="W156" s="2" t="s">
        <v>655</v>
      </c>
      <c r="X156" s="2" t="s">
        <v>982</v>
      </c>
      <c r="Y156" s="2" t="str">
        <f t="shared" si="147"/>
        <v>T6_MF09</v>
      </c>
      <c r="Z156" s="2" t="str">
        <f t="shared" si="148"/>
        <v>T6_CW_2_MF09</v>
      </c>
      <c r="AA156" s="2" t="str">
        <f t="shared" si="149"/>
        <v>T6_0.15-0.30</v>
      </c>
      <c r="AB156" s="2">
        <v>365</v>
      </c>
      <c r="AC156" s="2">
        <v>12.007</v>
      </c>
      <c r="AD156" s="2">
        <v>0.74</v>
      </c>
      <c r="AE156" s="2">
        <v>6</v>
      </c>
      <c r="AF156" t="s">
        <v>45</v>
      </c>
      <c r="AG156" s="2" t="s">
        <v>1238</v>
      </c>
      <c r="AH156">
        <v>72</v>
      </c>
      <c r="AI156">
        <v>14</v>
      </c>
      <c r="AJ156">
        <v>1</v>
      </c>
      <c r="AK156">
        <v>1.27</v>
      </c>
      <c r="AL156">
        <v>21.8</v>
      </c>
      <c r="AM156">
        <v>-177</v>
      </c>
      <c r="AN156">
        <v>7.22</v>
      </c>
      <c r="AO156">
        <v>1170</v>
      </c>
      <c r="AP156">
        <v>0.2</v>
      </c>
      <c r="AQ156">
        <v>0.01</v>
      </c>
      <c r="AR156">
        <v>21</v>
      </c>
      <c r="AS156">
        <v>19</v>
      </c>
      <c r="AT156">
        <v>24</v>
      </c>
      <c r="AU156" s="32">
        <f t="shared" si="161"/>
        <v>9.2177698118038661E-3</v>
      </c>
      <c r="AV156">
        <v>0.1</v>
      </c>
      <c r="AW156" s="32">
        <f t="shared" si="162"/>
        <v>3.9070978945083576E-5</v>
      </c>
      <c r="AX156">
        <v>32</v>
      </c>
      <c r="AY156" s="32">
        <f t="shared" si="163"/>
        <v>1.2658943204294998E-2</v>
      </c>
      <c r="AZ156">
        <v>21</v>
      </c>
      <c r="BA156" s="32">
        <f t="shared" si="164"/>
        <v>8.3074314778185925E-3</v>
      </c>
      <c r="BB156">
        <v>19</v>
      </c>
      <c r="BC156" s="32">
        <f t="shared" si="165"/>
        <v>7.5162475275501557E-3</v>
      </c>
      <c r="BD156">
        <v>40</v>
      </c>
      <c r="BF156" s="48">
        <v>96.7</v>
      </c>
      <c r="BG156" s="48">
        <f t="shared" si="166"/>
        <v>2.1915783995043948E-2</v>
      </c>
      <c r="BH156">
        <v>230</v>
      </c>
      <c r="BI156" s="32">
        <f t="shared" si="167"/>
        <v>8.6135601154716385E-2</v>
      </c>
      <c r="BJ156" s="47">
        <v>210</v>
      </c>
      <c r="BK156" s="27">
        <f t="shared" si="168"/>
        <v>7.8645548880393226E-2</v>
      </c>
      <c r="BL156" s="47">
        <v>0.01</v>
      </c>
      <c r="BM156" s="27">
        <f t="shared" si="169"/>
        <v>3.6796110125501018E-6</v>
      </c>
      <c r="BN156" s="47">
        <v>0.01</v>
      </c>
      <c r="BO156" s="27">
        <f t="shared" si="170"/>
        <v>3.7611049867064394E-6</v>
      </c>
      <c r="BP156" s="47">
        <v>5.0000000000000001E-3</v>
      </c>
      <c r="BQ156" s="27">
        <f t="shared" si="171"/>
        <v>1.8649981951630372E-6</v>
      </c>
      <c r="BR156" s="47">
        <v>1E-3</v>
      </c>
      <c r="BS156" s="27">
        <f t="shared" si="172"/>
        <v>3.7030802895135499E-7</v>
      </c>
      <c r="BT156" s="47">
        <v>1E-3</v>
      </c>
      <c r="BU156" s="27">
        <f t="shared" si="173"/>
        <v>3.7030802895135499E-7</v>
      </c>
      <c r="BV156" s="47">
        <v>1E-3</v>
      </c>
      <c r="BW156" s="27">
        <f t="shared" si="174"/>
        <v>3.6588380716934485E-7</v>
      </c>
      <c r="BX156" s="47">
        <v>2E-3</v>
      </c>
      <c r="BY156" s="27">
        <f t="shared" si="175"/>
        <v>7.3176761433868969E-7</v>
      </c>
      <c r="BZ156" s="51">
        <f t="shared" si="176"/>
        <v>210.03</v>
      </c>
      <c r="CA156" s="51">
        <f t="shared" si="177"/>
        <v>3.0000000000000006E-2</v>
      </c>
      <c r="CB156" s="27">
        <f t="shared" si="178"/>
        <v>7.8656692862067057E-2</v>
      </c>
      <c r="CC156" s="27">
        <f t="shared" si="179"/>
        <v>1.1143981673830322E-5</v>
      </c>
      <c r="CD156">
        <v>310</v>
      </c>
      <c r="CE156">
        <v>2.5</v>
      </c>
      <c r="CF156" t="s">
        <v>19</v>
      </c>
      <c r="CG156">
        <v>320</v>
      </c>
      <c r="CH156" s="32">
        <v>16</v>
      </c>
      <c r="CI156" s="32">
        <f t="shared" si="180"/>
        <v>0.28648164726947178</v>
      </c>
      <c r="CJ156" s="32">
        <f t="shared" si="181"/>
        <v>0.28648164726947178</v>
      </c>
      <c r="CK156" s="32">
        <v>3.9</v>
      </c>
      <c r="CL156" s="32">
        <f t="shared" si="182"/>
        <v>7.0999453850354999E-2</v>
      </c>
      <c r="CM156" s="32">
        <f t="shared" si="183"/>
        <v>0.14199890770071</v>
      </c>
      <c r="CN156" s="27">
        <v>0.5</v>
      </c>
      <c r="CO156" s="27">
        <f t="shared" si="184"/>
        <v>5.2050801582344368E-3</v>
      </c>
      <c r="CP156" s="27">
        <f t="shared" si="185"/>
        <v>4.1640641265875494E-2</v>
      </c>
      <c r="CQ156" s="57">
        <v>139.5</v>
      </c>
      <c r="CR156" s="57">
        <v>99.642857142857139</v>
      </c>
      <c r="CS156" s="57">
        <v>11.617738913179263</v>
      </c>
      <c r="CT156" s="57">
        <f t="shared" si="186"/>
        <v>11.617738913179263</v>
      </c>
      <c r="CU156" s="28">
        <v>38.5</v>
      </c>
      <c r="CV156" s="28">
        <v>98.71794871794873</v>
      </c>
      <c r="CW156" s="28">
        <v>3.2063293774724131</v>
      </c>
      <c r="CX156" s="28">
        <f t="shared" si="187"/>
        <v>3.2063293774724131</v>
      </c>
      <c r="CY156" s="32">
        <f t="shared" si="188"/>
        <v>81.091817613991253</v>
      </c>
      <c r="CZ156" s="32">
        <f t="shared" si="189"/>
        <v>81.091817613991253</v>
      </c>
      <c r="DA156" s="32">
        <f t="shared" si="190"/>
        <v>97.091817613991253</v>
      </c>
      <c r="DB156" s="32">
        <f t="shared" si="191"/>
        <v>1.7384389904027082</v>
      </c>
      <c r="DC156" s="32">
        <f t="shared" si="192"/>
        <v>1.7384389904027082</v>
      </c>
      <c r="DD156" s="59">
        <f t="shared" si="193"/>
        <v>22.380179054757441</v>
      </c>
      <c r="DE156" s="59">
        <f t="shared" si="194"/>
        <v>22.380179054757441</v>
      </c>
      <c r="DF156" s="59">
        <f t="shared" si="195"/>
        <v>38.380179054757441</v>
      </c>
      <c r="DG156" s="59">
        <f t="shared" si="196"/>
        <v>0.68720105738151194</v>
      </c>
      <c r="DH156" s="59">
        <f t="shared" si="197"/>
        <v>0.68720105738151194</v>
      </c>
      <c r="DI156" s="32">
        <f t="shared" si="198"/>
        <v>4.1640641265875494E-2</v>
      </c>
      <c r="DJ156" s="32">
        <f t="shared" si="199"/>
        <v>42.28017905475744</v>
      </c>
      <c r="DK156" s="32">
        <f t="shared" si="200"/>
        <v>0.82919996508222193</v>
      </c>
      <c r="DL156">
        <f t="shared" si="201"/>
        <v>13.498176811282681</v>
      </c>
      <c r="DM156">
        <f t="shared" si="150"/>
        <v>1.0519858325015997E-2</v>
      </c>
      <c r="DN156">
        <f t="shared" si="151"/>
        <v>0.1287906518567459</v>
      </c>
      <c r="DO156">
        <f t="shared" si="152"/>
        <v>0.86068948981823812</v>
      </c>
      <c r="DP156">
        <f t="shared" si="202"/>
        <v>4.0355293425546348</v>
      </c>
      <c r="DQ156">
        <f t="shared" si="153"/>
        <v>3.5187182559505217E-2</v>
      </c>
      <c r="DR156">
        <f t="shared" si="154"/>
        <v>0.17028771173461199</v>
      </c>
      <c r="DS156">
        <f t="shared" si="155"/>
        <v>0.79452510570588286</v>
      </c>
      <c r="DT156" s="63">
        <f t="shared" si="156"/>
        <v>-13.39012542613292</v>
      </c>
      <c r="DU156" s="63">
        <f t="shared" si="157"/>
        <v>-3.9274779574048746</v>
      </c>
      <c r="DV156" s="63">
        <f t="shared" si="158"/>
        <v>-13.390114282151247</v>
      </c>
      <c r="DW156" s="63">
        <f t="shared" si="159"/>
        <v>-3.9274668134232007</v>
      </c>
      <c r="DX156" t="str">
        <f t="shared" si="203"/>
        <v>Sufficient Capacity</v>
      </c>
      <c r="DY156" t="str">
        <f t="shared" si="204"/>
        <v>Sufficient Capacity</v>
      </c>
      <c r="DZ156" t="str">
        <f t="shared" si="205"/>
        <v>Sulfate Dominant electron acceptor</v>
      </c>
      <c r="EA156" t="str">
        <f t="shared" si="160"/>
        <v>Sulfate Dominant electron acceptor</v>
      </c>
      <c r="EB156">
        <v>9.7088810000000008E-3</v>
      </c>
      <c r="EC156">
        <v>1.578142E-3</v>
      </c>
      <c r="ED156" s="66">
        <v>8.2562900000000002E-6</v>
      </c>
      <c r="EE156">
        <v>4.419108E-4</v>
      </c>
      <c r="EF156">
        <v>4.0050909999999997E-3</v>
      </c>
      <c r="EG156" s="66">
        <v>7.7159839999999999E-6</v>
      </c>
      <c r="EH156">
        <v>2.1837000000000001E-4</v>
      </c>
      <c r="EI156">
        <v>1.2200189999999999E-4</v>
      </c>
      <c r="EJ156">
        <v>4.7430630000000002E-4</v>
      </c>
      <c r="EK156">
        <v>7.262506E-4</v>
      </c>
      <c r="EL156">
        <v>3.4734499999999999E-4</v>
      </c>
      <c r="EM156">
        <v>1.8619519999999999E-4</v>
      </c>
      <c r="EN156">
        <v>1.9436099999999999E-3</v>
      </c>
      <c r="EO156">
        <v>8.4302539999999999E-4</v>
      </c>
      <c r="EP156">
        <v>1.6678979999999999E-3</v>
      </c>
      <c r="EQ156">
        <v>1.450713E-3</v>
      </c>
      <c r="ER156">
        <v>3.8247949999999998E-4</v>
      </c>
      <c r="ES156">
        <v>5.6742209999999997E-4</v>
      </c>
      <c r="ET156">
        <v>1.239468E-2</v>
      </c>
      <c r="EU156">
        <v>3.0019809999999999E-3</v>
      </c>
      <c r="EV156">
        <v>9.6002989999999996E-3</v>
      </c>
      <c r="EW156">
        <v>5.9494929999999999E-4</v>
      </c>
      <c r="EX156">
        <v>5.0077289999999998E-3</v>
      </c>
      <c r="EY156">
        <v>6.620407E-3</v>
      </c>
      <c r="EZ156">
        <v>1.091575E-3</v>
      </c>
      <c r="FA156">
        <v>8.5968570000000003E-4</v>
      </c>
      <c r="FB156">
        <v>8.9588790000000003E-4</v>
      </c>
      <c r="FC156">
        <v>1.7016209999999999E-3</v>
      </c>
      <c r="FD156">
        <v>2.849606E-4</v>
      </c>
      <c r="FE156">
        <v>2.268338E-2</v>
      </c>
      <c r="FF156">
        <v>1.559811E-2</v>
      </c>
      <c r="FG156">
        <v>8.3974240000000006E-3</v>
      </c>
      <c r="FH156">
        <v>7.2951829999999996E-4</v>
      </c>
      <c r="FI156">
        <v>1.4410530000000001E-3</v>
      </c>
      <c r="FJ156">
        <v>1.1189549999999999E-2</v>
      </c>
      <c r="FK156">
        <v>-0.25928926651038298</v>
      </c>
      <c r="FL156">
        <v>-0.138578818221233</v>
      </c>
      <c r="FM156">
        <v>-0.44848861127276801</v>
      </c>
      <c r="FN156">
        <v>-0.30738128335355103</v>
      </c>
      <c r="FO156">
        <v>0.42985564327787601</v>
      </c>
      <c r="FP156">
        <v>6.9866311217222005E-2</v>
      </c>
      <c r="FQ156">
        <v>9.6030359132885899E-3</v>
      </c>
      <c r="FR156">
        <v>-0.27135235197179902</v>
      </c>
      <c r="FS156">
        <v>-0.322824427929294</v>
      </c>
      <c r="FT156">
        <v>-4.52241944586209E-2</v>
      </c>
      <c r="FU156">
        <v>3.2213187456487297E-2</v>
      </c>
      <c r="FV156">
        <v>-0.23909801576016201</v>
      </c>
      <c r="FW156">
        <v>0.182860082450025</v>
      </c>
      <c r="FX156">
        <v>-3.5115132634100397E-2</v>
      </c>
      <c r="FY156">
        <v>-0.204626525262668</v>
      </c>
      <c r="FZ156">
        <v>0.35626048272994298</v>
      </c>
      <c r="GA156">
        <v>8.0519429098663095E-2</v>
      </c>
      <c r="GB156">
        <v>8.2545366403615497E-2</v>
      </c>
      <c r="GC156">
        <v>-8.0060685345639399E-2</v>
      </c>
      <c r="GD156">
        <v>6.6060804260841301E-3</v>
      </c>
      <c r="GE156">
        <v>-2.2751058540617201E-2</v>
      </c>
      <c r="GF156">
        <v>-0.154539204409641</v>
      </c>
      <c r="GG156">
        <v>-9.5469740969258907E-2</v>
      </c>
      <c r="GH156">
        <v>-9.8418704552883304E-2</v>
      </c>
      <c r="GI156">
        <v>-9.6239281925620396E-2</v>
      </c>
      <c r="GJ156">
        <v>-0.22582905103190101</v>
      </c>
      <c r="GK156">
        <v>-2.7875208355633101E-2</v>
      </c>
      <c r="GL156">
        <v>4.2446273610957902E-2</v>
      </c>
      <c r="GM156">
        <v>-4.2819282765442796E-3</v>
      </c>
      <c r="GN156">
        <v>-8.3387234694861007E-2</v>
      </c>
      <c r="GO156">
        <v>3.5602099352294299E-3</v>
      </c>
      <c r="GP156">
        <v>5.4887852674204901E-2</v>
      </c>
      <c r="GR156" s="66"/>
      <c r="GT156" s="66"/>
      <c r="GV156" s="66"/>
      <c r="GZ156" s="66"/>
      <c r="HK156" s="1"/>
      <c r="HL156" s="1"/>
      <c r="HM156" s="1"/>
      <c r="HN156" s="1"/>
      <c r="HO156" s="65"/>
      <c r="HP156" s="65"/>
      <c r="HQ156" s="65"/>
      <c r="HS156" s="65"/>
      <c r="HT156" s="65"/>
      <c r="HU156" s="65"/>
      <c r="HV156" s="65"/>
      <c r="HW156" s="65"/>
      <c r="HX156" s="65"/>
    </row>
    <row r="157" spans="1:278" ht="15.75" x14ac:dyDescent="0.25">
      <c r="A157" s="6" t="s">
        <v>210</v>
      </c>
      <c r="B157" s="6" t="s">
        <v>210</v>
      </c>
      <c r="C157" s="2" t="s">
        <v>1013</v>
      </c>
      <c r="D157" s="2" t="s">
        <v>599</v>
      </c>
      <c r="E157" s="2" t="s">
        <v>599</v>
      </c>
      <c r="F157" s="2">
        <v>156</v>
      </c>
      <c r="G157" s="2" t="s">
        <v>1012</v>
      </c>
      <c r="H157" s="10" t="s">
        <v>656</v>
      </c>
      <c r="I157" s="2">
        <v>150</v>
      </c>
      <c r="J157" s="2">
        <v>65</v>
      </c>
      <c r="K157" s="2">
        <v>4.55</v>
      </c>
      <c r="L157" t="s">
        <v>387</v>
      </c>
      <c r="M157" s="2" t="s">
        <v>1120</v>
      </c>
      <c r="N157" s="2" t="s">
        <v>436</v>
      </c>
      <c r="O157" s="2" t="s">
        <v>673</v>
      </c>
      <c r="P157" s="2" t="s">
        <v>1128</v>
      </c>
      <c r="Q157" s="9" t="s">
        <v>728</v>
      </c>
      <c r="R157" s="2" t="str">
        <f t="shared" si="145"/>
        <v>CW_2_Section_3</v>
      </c>
      <c r="S157" s="2" t="str">
        <f t="shared" si="146"/>
        <v>CW_2_MF10</v>
      </c>
      <c r="T157" s="11" t="s">
        <v>983</v>
      </c>
      <c r="U157" s="1">
        <v>45884</v>
      </c>
      <c r="V157" s="2" t="s">
        <v>692</v>
      </c>
      <c r="W157" s="2" t="s">
        <v>663</v>
      </c>
      <c r="X157" s="2" t="s">
        <v>982</v>
      </c>
      <c r="Y157" s="2" t="str">
        <f t="shared" si="147"/>
        <v>T6_MF10</v>
      </c>
      <c r="Z157" s="2" t="str">
        <f t="shared" si="148"/>
        <v>T6_CW_2_MF10</v>
      </c>
      <c r="AA157" s="2" t="str">
        <f t="shared" si="149"/>
        <v>T6_0.60-0.80</v>
      </c>
      <c r="AB157" s="2">
        <v>365</v>
      </c>
      <c r="AC157" s="2">
        <v>12.007</v>
      </c>
      <c r="AD157" s="2">
        <v>0.74</v>
      </c>
      <c r="AE157" s="2">
        <v>6</v>
      </c>
      <c r="AF157" t="s">
        <v>47</v>
      </c>
      <c r="AG157" s="2" t="s">
        <v>1238</v>
      </c>
      <c r="AH157">
        <v>50</v>
      </c>
      <c r="AI157">
        <v>13</v>
      </c>
      <c r="AJ157">
        <v>0.41</v>
      </c>
      <c r="AK157">
        <v>0.23</v>
      </c>
      <c r="AL157">
        <v>22.4</v>
      </c>
      <c r="AM157">
        <v>-283</v>
      </c>
      <c r="AN157">
        <v>7.18</v>
      </c>
      <c r="AO157">
        <v>840</v>
      </c>
      <c r="AP157">
        <v>0.2</v>
      </c>
      <c r="AQ157">
        <v>0.01</v>
      </c>
      <c r="AR157">
        <v>9.5</v>
      </c>
      <c r="AS157">
        <v>10</v>
      </c>
      <c r="AT157">
        <v>180</v>
      </c>
      <c r="AU157" s="32">
        <f t="shared" si="161"/>
        <v>6.9133273588528998E-2</v>
      </c>
      <c r="AV157">
        <v>1.9</v>
      </c>
      <c r="AW157" s="32">
        <f t="shared" si="162"/>
        <v>7.4234859995658776E-4</v>
      </c>
      <c r="AX157">
        <v>210</v>
      </c>
      <c r="AY157" s="32">
        <f t="shared" si="163"/>
        <v>8.3074314778185929E-2</v>
      </c>
      <c r="AZ157">
        <v>37</v>
      </c>
      <c r="BA157" s="32">
        <f t="shared" si="164"/>
        <v>1.4636903079966092E-2</v>
      </c>
      <c r="BB157">
        <v>39</v>
      </c>
      <c r="BC157" s="32">
        <f t="shared" si="165"/>
        <v>1.5428087030234528E-2</v>
      </c>
      <c r="BD157">
        <v>76</v>
      </c>
      <c r="BF157" s="48">
        <v>467.9</v>
      </c>
      <c r="BG157" s="48">
        <f t="shared" si="166"/>
        <v>0.15294993696667153</v>
      </c>
      <c r="BH157">
        <v>900</v>
      </c>
      <c r="BI157" s="32">
        <f t="shared" si="167"/>
        <v>0.33705235234454245</v>
      </c>
      <c r="BJ157" s="47">
        <v>1400</v>
      </c>
      <c r="BK157" s="27">
        <f t="shared" si="168"/>
        <v>0.52430365920262156</v>
      </c>
      <c r="BL157" s="47">
        <v>4</v>
      </c>
      <c r="BM157" s="27">
        <f t="shared" si="169"/>
        <v>1.4718444050200407E-3</v>
      </c>
      <c r="BN157" s="47">
        <v>82</v>
      </c>
      <c r="BO157" s="27">
        <f t="shared" si="170"/>
        <v>3.08410608909928E-2</v>
      </c>
      <c r="BP157" s="47">
        <v>4.0999999999999996</v>
      </c>
      <c r="BQ157" s="27">
        <f t="shared" si="171"/>
        <v>1.5292985200336903E-3</v>
      </c>
      <c r="BR157" s="47">
        <v>0.26</v>
      </c>
      <c r="BS157" s="27">
        <f t="shared" si="172"/>
        <v>9.6280087527352302E-5</v>
      </c>
      <c r="BT157" s="47">
        <v>0.03</v>
      </c>
      <c r="BU157" s="27">
        <f t="shared" si="173"/>
        <v>1.110924086854065E-5</v>
      </c>
      <c r="BV157" s="47">
        <v>0.01</v>
      </c>
      <c r="BW157" s="27">
        <f t="shared" si="174"/>
        <v>3.6588380716934487E-6</v>
      </c>
      <c r="BX157" s="47">
        <v>2E-3</v>
      </c>
      <c r="BY157" s="27">
        <f t="shared" si="175"/>
        <v>7.3176761433868969E-7</v>
      </c>
      <c r="BZ157" s="51">
        <f t="shared" si="176"/>
        <v>1490.4019999999998</v>
      </c>
      <c r="CA157" s="51">
        <f t="shared" si="177"/>
        <v>90.402000000000001</v>
      </c>
      <c r="CB157" s="27">
        <f t="shared" si="178"/>
        <v>0.55825764295275015</v>
      </c>
      <c r="CC157" s="27">
        <f t="shared" si="179"/>
        <v>3.3953983750128452E-2</v>
      </c>
      <c r="CD157">
        <v>1300</v>
      </c>
      <c r="CE157">
        <v>360</v>
      </c>
      <c r="CF157" t="s">
        <v>19</v>
      </c>
      <c r="CG157">
        <v>1700</v>
      </c>
      <c r="CH157" s="32">
        <v>8.9</v>
      </c>
      <c r="CI157" s="32">
        <f t="shared" si="180"/>
        <v>0.15935541629364369</v>
      </c>
      <c r="CJ157" s="32">
        <f t="shared" si="181"/>
        <v>0.15935541629364369</v>
      </c>
      <c r="CK157" s="32">
        <v>3.1</v>
      </c>
      <c r="CL157" s="32">
        <f t="shared" si="182"/>
        <v>5.6435463316948847E-2</v>
      </c>
      <c r="CM157" s="32">
        <f t="shared" si="183"/>
        <v>0.11287092663389769</v>
      </c>
      <c r="CN157" s="27">
        <v>9.9</v>
      </c>
      <c r="CO157" s="27">
        <f t="shared" si="184"/>
        <v>0.10306058713304185</v>
      </c>
      <c r="CP157" s="27">
        <f t="shared" si="185"/>
        <v>0.8244846970643348</v>
      </c>
      <c r="CQ157" s="57">
        <v>130.1</v>
      </c>
      <c r="CR157" s="57">
        <v>92.928571428571431</v>
      </c>
      <c r="CS157" s="57">
        <v>10.834894857380803</v>
      </c>
      <c r="CT157" s="57">
        <f t="shared" si="186"/>
        <v>10.834894857380803</v>
      </c>
      <c r="CU157" s="28">
        <v>24.1</v>
      </c>
      <c r="CV157" s="28">
        <v>70.882352941176478</v>
      </c>
      <c r="CW157" s="28">
        <v>2.007078909015199</v>
      </c>
      <c r="CX157" s="28">
        <f t="shared" si="187"/>
        <v>2.007078909015199</v>
      </c>
      <c r="CY157" s="32">
        <f t="shared" si="188"/>
        <v>75.627566104517996</v>
      </c>
      <c r="CZ157" s="32">
        <f t="shared" si="189"/>
        <v>75.627566104517996</v>
      </c>
      <c r="DA157" s="32">
        <f t="shared" si="190"/>
        <v>84.527566104518002</v>
      </c>
      <c r="DB157" s="32">
        <f t="shared" si="191"/>
        <v>1.513474773581343</v>
      </c>
      <c r="DC157" s="32">
        <f t="shared" si="192"/>
        <v>1.513474773581343</v>
      </c>
      <c r="DD157" s="59">
        <f t="shared" si="193"/>
        <v>14.009410784926088</v>
      </c>
      <c r="DE157" s="59">
        <f t="shared" si="194"/>
        <v>14.009410784926088</v>
      </c>
      <c r="DF157" s="59">
        <f t="shared" si="195"/>
        <v>22.909410784926088</v>
      </c>
      <c r="DG157" s="59">
        <f t="shared" si="196"/>
        <v>0.41019535872741425</v>
      </c>
      <c r="DH157" s="59">
        <f t="shared" si="197"/>
        <v>0.41019535872741425</v>
      </c>
      <c r="DI157" s="32">
        <f t="shared" si="198"/>
        <v>0.8244846970643348</v>
      </c>
      <c r="DJ157" s="32">
        <f t="shared" si="199"/>
        <v>26.009410784926089</v>
      </c>
      <c r="DK157" s="32">
        <f t="shared" si="200"/>
        <v>0.52306628536131194</v>
      </c>
      <c r="DL157">
        <f t="shared" si="201"/>
        <v>12.461240557596044</v>
      </c>
      <c r="DM157">
        <f t="shared" si="150"/>
        <v>9.0577600289639335E-3</v>
      </c>
      <c r="DN157">
        <f t="shared" si="151"/>
        <v>0.12145458283916753</v>
      </c>
      <c r="DO157">
        <f t="shared" si="152"/>
        <v>0.86948765713186849</v>
      </c>
      <c r="DP157">
        <f t="shared" si="202"/>
        <v>2.530145194376511</v>
      </c>
      <c r="DQ157">
        <f t="shared" si="153"/>
        <v>4.4610454326796778E-2</v>
      </c>
      <c r="DR157">
        <f t="shared" si="154"/>
        <v>0.16212324875232953</v>
      </c>
      <c r="DS157">
        <f t="shared" si="155"/>
        <v>0.79326629692087369</v>
      </c>
      <c r="DT157" s="63">
        <f t="shared" si="156"/>
        <v>-11.97123826828483</v>
      </c>
      <c r="DU157" s="63">
        <f t="shared" si="157"/>
        <v>-2.0401429050652968</v>
      </c>
      <c r="DV157" s="63">
        <f t="shared" si="158"/>
        <v>-11.937284284534702</v>
      </c>
      <c r="DW157" s="63">
        <f t="shared" si="159"/>
        <v>-2.0061889213151685</v>
      </c>
      <c r="DX157" t="str">
        <f t="shared" si="203"/>
        <v>Sufficient Capacity</v>
      </c>
      <c r="DY157" t="str">
        <f t="shared" si="204"/>
        <v>Sufficient Capacity</v>
      </c>
      <c r="DZ157" t="str">
        <f t="shared" si="205"/>
        <v>Sulfate Dominant electron acceptor</v>
      </c>
      <c r="EA157" t="str">
        <f t="shared" si="160"/>
        <v>Sulfate Dominant electron acceptor</v>
      </c>
      <c r="EB157">
        <v>9.5882929999999995E-3</v>
      </c>
      <c r="EC157">
        <v>1.4934530000000001E-3</v>
      </c>
      <c r="ED157" s="66">
        <v>3.4433889999999998E-6</v>
      </c>
      <c r="EE157">
        <v>4.076501E-4</v>
      </c>
      <c r="EF157">
        <v>3.9768039999999996E-3</v>
      </c>
      <c r="EG157" s="66">
        <v>8.8586920000000002E-6</v>
      </c>
      <c r="EH157">
        <v>1.9900049999999999E-4</v>
      </c>
      <c r="EI157">
        <v>1.3115889999999999E-4</v>
      </c>
      <c r="EJ157">
        <v>4.6896120000000001E-4</v>
      </c>
      <c r="EK157">
        <v>7.2305410000000003E-4</v>
      </c>
      <c r="EL157">
        <v>3.3363350000000002E-4</v>
      </c>
      <c r="EM157">
        <v>1.7490999999999999E-4</v>
      </c>
      <c r="EN157">
        <v>1.945242E-3</v>
      </c>
      <c r="EO157">
        <v>8.2808030000000002E-4</v>
      </c>
      <c r="EP157">
        <v>1.6548649999999999E-3</v>
      </c>
      <c r="EQ157">
        <v>1.499984E-3</v>
      </c>
      <c r="ER157">
        <v>3.7428519999999999E-4</v>
      </c>
      <c r="ES157">
        <v>5.3292740000000002E-4</v>
      </c>
      <c r="ET157">
        <v>1.338146E-2</v>
      </c>
      <c r="EU157">
        <v>3.0314230000000001E-3</v>
      </c>
      <c r="EV157">
        <v>9.8101360000000006E-3</v>
      </c>
      <c r="EW157">
        <v>5.8437349999999996E-4</v>
      </c>
      <c r="EX157">
        <v>5.0012570000000003E-3</v>
      </c>
      <c r="EY157">
        <v>6.5073010000000001E-3</v>
      </c>
      <c r="EZ157">
        <v>1.0901940000000001E-3</v>
      </c>
      <c r="FA157">
        <v>8.1061459999999996E-4</v>
      </c>
      <c r="FB157">
        <v>8.4734160000000003E-4</v>
      </c>
      <c r="FC157">
        <v>1.679718E-3</v>
      </c>
      <c r="FD157">
        <v>2.7983160000000001E-4</v>
      </c>
      <c r="FE157">
        <v>2.220521E-2</v>
      </c>
      <c r="FF157">
        <v>1.5107570000000001E-2</v>
      </c>
      <c r="FG157">
        <v>8.0717410000000003E-3</v>
      </c>
      <c r="FH157">
        <v>6.8253620000000004E-4</v>
      </c>
      <c r="FI157">
        <v>1.4391720000000001E-3</v>
      </c>
      <c r="FJ157">
        <v>1.097043E-2</v>
      </c>
      <c r="FK157">
        <v>-0.33998810984959599</v>
      </c>
      <c r="FL157">
        <v>-0.14566663844976999</v>
      </c>
      <c r="FM157">
        <v>-0.31038350877903098</v>
      </c>
      <c r="FN157">
        <v>-0.40026481786767698</v>
      </c>
      <c r="FO157">
        <v>0.50222859013341303</v>
      </c>
      <c r="FP157">
        <v>5.8533031502395097E-2</v>
      </c>
      <c r="FQ157">
        <v>5.1919480543416397E-3</v>
      </c>
      <c r="FR157">
        <v>-0.31162778919719097</v>
      </c>
      <c r="FS157">
        <v>-0.38534845778846599</v>
      </c>
      <c r="FT157">
        <v>-4.4384872162062501E-2</v>
      </c>
      <c r="FU157">
        <v>1.4326229781453899E-2</v>
      </c>
      <c r="FV157">
        <v>-0.24694273224282501</v>
      </c>
      <c r="FW157">
        <v>0.21625936412091701</v>
      </c>
      <c r="FX157">
        <v>-5.6772116040114E-2</v>
      </c>
      <c r="FY157">
        <v>-0.26734479171647602</v>
      </c>
      <c r="FZ157">
        <v>0.43286330127152101</v>
      </c>
      <c r="GA157">
        <v>9.0279171261396798E-2</v>
      </c>
      <c r="GB157">
        <v>0.10416725946737899</v>
      </c>
      <c r="GC157">
        <v>-9.7996543981913001E-2</v>
      </c>
      <c r="GD157">
        <v>5.3128423494159796E-3</v>
      </c>
      <c r="GE157">
        <v>-3.9983129643113499E-2</v>
      </c>
      <c r="GF157">
        <v>-0.155805149781891</v>
      </c>
      <c r="GG157">
        <v>-0.15424387292025901</v>
      </c>
      <c r="GH157">
        <v>-0.15413007896229999</v>
      </c>
      <c r="GI157">
        <v>-0.109194685896445</v>
      </c>
      <c r="GJ157">
        <v>-0.24399198246260101</v>
      </c>
      <c r="GK157">
        <v>-4.9180760064907701E-2</v>
      </c>
      <c r="GL157">
        <v>1.04924632443844E-2</v>
      </c>
      <c r="GM157">
        <v>-4.3837724114758302E-2</v>
      </c>
      <c r="GN157">
        <v>-0.149956122072613</v>
      </c>
      <c r="GO157">
        <v>2.2540617923452202E-3</v>
      </c>
      <c r="GP157">
        <v>3.5111016967346302E-2</v>
      </c>
      <c r="GR157" s="66"/>
      <c r="GT157" s="66"/>
      <c r="GV157" s="66"/>
      <c r="GW157" s="65"/>
      <c r="GX157" s="65"/>
      <c r="HK157" s="1"/>
      <c r="HL157" s="1"/>
      <c r="HM157" s="1"/>
      <c r="HN157" s="1"/>
      <c r="HO157" s="65"/>
      <c r="HP157" s="65"/>
      <c r="HQ157" s="65"/>
      <c r="HS157" s="65"/>
      <c r="HT157" s="65"/>
      <c r="HU157" s="65"/>
      <c r="HV157" s="65"/>
      <c r="HW157" s="65"/>
      <c r="HX157" s="65"/>
      <c r="IX157" s="66"/>
      <c r="IZ157" s="66"/>
      <c r="JB157" s="66"/>
      <c r="JH157" s="66"/>
      <c r="JJ157" s="66"/>
      <c r="JL157" s="66"/>
      <c r="JN157" s="66"/>
    </row>
    <row r="158" spans="1:278" ht="15.75" x14ac:dyDescent="0.25">
      <c r="A158" s="6" t="s">
        <v>211</v>
      </c>
      <c r="B158" s="6" t="s">
        <v>211</v>
      </c>
      <c r="C158" s="2" t="s">
        <v>1015</v>
      </c>
      <c r="D158" s="2" t="s">
        <v>600</v>
      </c>
      <c r="E158" s="2" t="s">
        <v>600</v>
      </c>
      <c r="F158" s="2">
        <v>157</v>
      </c>
      <c r="G158" s="2" t="s">
        <v>1014</v>
      </c>
      <c r="H158" s="10" t="s">
        <v>656</v>
      </c>
      <c r="I158" s="2">
        <v>150</v>
      </c>
      <c r="J158" s="2">
        <v>65</v>
      </c>
      <c r="K158" s="2">
        <v>12.75</v>
      </c>
      <c r="L158" t="s">
        <v>383</v>
      </c>
      <c r="M158" s="2" t="s">
        <v>1120</v>
      </c>
      <c r="N158" s="2" t="s">
        <v>437</v>
      </c>
      <c r="O158" s="2" t="s">
        <v>653</v>
      </c>
      <c r="P158" s="2" t="s">
        <v>1123</v>
      </c>
      <c r="Q158" s="9" t="s">
        <v>731</v>
      </c>
      <c r="R158" s="2" t="str">
        <f t="shared" si="145"/>
        <v>CW_3_Section_1</v>
      </c>
      <c r="S158" s="2" t="str">
        <f t="shared" si="146"/>
        <v>CW_3_MF01</v>
      </c>
      <c r="T158" s="11" t="s">
        <v>983</v>
      </c>
      <c r="U158" s="1">
        <v>45883</v>
      </c>
      <c r="V158" s="2" t="s">
        <v>692</v>
      </c>
      <c r="W158" s="2" t="s">
        <v>655</v>
      </c>
      <c r="X158" s="2" t="s">
        <v>982</v>
      </c>
      <c r="Y158" s="2" t="str">
        <f t="shared" si="147"/>
        <v>T6_MF01</v>
      </c>
      <c r="Z158" s="2" t="str">
        <f t="shared" si="148"/>
        <v>T6_CW_3_MF01</v>
      </c>
      <c r="AA158" s="2" t="str">
        <f t="shared" si="149"/>
        <v>T6_0.15-0.30</v>
      </c>
      <c r="AB158" s="2">
        <v>365</v>
      </c>
      <c r="AC158" s="2">
        <v>12.007</v>
      </c>
      <c r="AD158" s="2">
        <v>0.74</v>
      </c>
      <c r="AE158" s="2">
        <v>6</v>
      </c>
      <c r="AF158" t="s">
        <v>51</v>
      </c>
      <c r="AG158" t="s">
        <v>1237</v>
      </c>
      <c r="AH158">
        <v>77</v>
      </c>
      <c r="AI158">
        <v>28</v>
      </c>
      <c r="AJ158">
        <v>1.7</v>
      </c>
      <c r="AK158">
        <v>2.33</v>
      </c>
      <c r="AL158">
        <v>22.7</v>
      </c>
      <c r="AM158">
        <v>-122</v>
      </c>
      <c r="AN158">
        <v>7.11</v>
      </c>
      <c r="AO158">
        <v>1026</v>
      </c>
      <c r="AP158">
        <v>0.1</v>
      </c>
      <c r="AQ158">
        <v>0.01</v>
      </c>
      <c r="AR158">
        <v>17</v>
      </c>
      <c r="AS158">
        <v>17</v>
      </c>
      <c r="AT158">
        <v>400</v>
      </c>
      <c r="AU158" s="32">
        <f t="shared" si="161"/>
        <v>0.15362949686339777</v>
      </c>
      <c r="AV158">
        <v>4.7</v>
      </c>
      <c r="AW158" s="32">
        <f t="shared" si="162"/>
        <v>1.8363360104189277E-3</v>
      </c>
      <c r="AX158">
        <v>260</v>
      </c>
      <c r="AY158" s="32">
        <f t="shared" si="163"/>
        <v>0.10285391353489687</v>
      </c>
      <c r="AZ158">
        <v>130</v>
      </c>
      <c r="BA158" s="32">
        <f t="shared" si="164"/>
        <v>5.1426956767448434E-2</v>
      </c>
      <c r="BB158">
        <v>71</v>
      </c>
      <c r="BC158" s="32">
        <f t="shared" si="165"/>
        <v>2.8087030234529527E-2</v>
      </c>
      <c r="BD158">
        <v>201</v>
      </c>
      <c r="BF158" s="48">
        <v>865.7</v>
      </c>
      <c r="BG158" s="48">
        <f t="shared" si="166"/>
        <v>0.25831974640871358</v>
      </c>
      <c r="BH158">
        <v>1100</v>
      </c>
      <c r="BI158" s="32">
        <f t="shared" si="167"/>
        <v>0.41195287508777401</v>
      </c>
      <c r="BJ158" s="47">
        <v>1600</v>
      </c>
      <c r="BK158" s="27">
        <f t="shared" si="168"/>
        <v>0.59920418194585312</v>
      </c>
      <c r="BL158" s="47">
        <v>0.01</v>
      </c>
      <c r="BM158" s="27">
        <f t="shared" si="169"/>
        <v>3.6796110125501018E-6</v>
      </c>
      <c r="BN158" s="47">
        <v>0.23</v>
      </c>
      <c r="BO158" s="27">
        <f t="shared" si="170"/>
        <v>8.6505414694248097E-5</v>
      </c>
      <c r="BP158" s="47">
        <v>0.06</v>
      </c>
      <c r="BQ158" s="27">
        <f t="shared" si="171"/>
        <v>2.2379978341956443E-5</v>
      </c>
      <c r="BR158" s="47">
        <v>0.02</v>
      </c>
      <c r="BS158" s="27">
        <f t="shared" si="172"/>
        <v>7.4061605790270997E-6</v>
      </c>
      <c r="BT158" s="47">
        <v>1E-3</v>
      </c>
      <c r="BU158" s="27">
        <f t="shared" si="173"/>
        <v>3.7030802895135499E-7</v>
      </c>
      <c r="BV158" s="47">
        <v>1E-3</v>
      </c>
      <c r="BW158" s="27">
        <f t="shared" si="174"/>
        <v>3.6588380716934485E-7</v>
      </c>
      <c r="BX158" s="47">
        <v>2E-3</v>
      </c>
      <c r="BY158" s="27">
        <f t="shared" si="175"/>
        <v>7.3176761433868969E-7</v>
      </c>
      <c r="BZ158" s="51">
        <f t="shared" si="176"/>
        <v>1600.3239999999998</v>
      </c>
      <c r="CA158" s="51">
        <f t="shared" si="177"/>
        <v>0.32400000000000007</v>
      </c>
      <c r="CB158" s="27">
        <f t="shared" si="178"/>
        <v>0.59932562106993137</v>
      </c>
      <c r="CC158" s="27">
        <f t="shared" si="179"/>
        <v>1.2143912407824114E-4</v>
      </c>
      <c r="CD158">
        <v>1600</v>
      </c>
      <c r="CE158">
        <v>35</v>
      </c>
      <c r="CF158" t="s">
        <v>19</v>
      </c>
      <c r="CG158">
        <v>1600</v>
      </c>
      <c r="CH158" s="32">
        <v>24</v>
      </c>
      <c r="CI158" s="32">
        <f t="shared" si="180"/>
        <v>0.42972247090420768</v>
      </c>
      <c r="CJ158" s="32">
        <f t="shared" si="181"/>
        <v>0.42972247090420768</v>
      </c>
      <c r="CK158" s="32">
        <v>4.2</v>
      </c>
      <c r="CL158" s="32">
        <f t="shared" si="182"/>
        <v>7.6460950300382302E-2</v>
      </c>
      <c r="CM158" s="32">
        <f t="shared" si="183"/>
        <v>0.1529219006007646</v>
      </c>
      <c r="CN158" s="27">
        <v>0.5</v>
      </c>
      <c r="CO158" s="27">
        <f t="shared" si="184"/>
        <v>5.2050801582344368E-3</v>
      </c>
      <c r="CP158" s="27">
        <f t="shared" si="185"/>
        <v>4.1640641265875494E-2</v>
      </c>
      <c r="CQ158" s="57">
        <v>139.5</v>
      </c>
      <c r="CR158" s="57">
        <v>99.642857142857139</v>
      </c>
      <c r="CS158" s="57">
        <v>11.617738913179263</v>
      </c>
      <c r="CT158" s="57">
        <f t="shared" si="186"/>
        <v>11.617738913179263</v>
      </c>
      <c r="CU158" s="28">
        <v>139.5</v>
      </c>
      <c r="CV158" s="28">
        <v>99.642857142857139</v>
      </c>
      <c r="CW158" s="28">
        <v>11.617738913179263</v>
      </c>
      <c r="CX158" s="28">
        <f t="shared" si="187"/>
        <v>11.617738913179263</v>
      </c>
      <c r="CY158" s="32">
        <f t="shared" si="188"/>
        <v>81.091817613991253</v>
      </c>
      <c r="CZ158" s="32">
        <f t="shared" si="189"/>
        <v>81.091817613991253</v>
      </c>
      <c r="DA158" s="32">
        <f t="shared" si="190"/>
        <v>105.09181761399125</v>
      </c>
      <c r="DB158" s="32">
        <f t="shared" si="191"/>
        <v>1.881679814037444</v>
      </c>
      <c r="DC158" s="32">
        <f t="shared" si="192"/>
        <v>1.881679814037444</v>
      </c>
      <c r="DD158" s="59">
        <f t="shared" si="193"/>
        <v>81.091817613991253</v>
      </c>
      <c r="DE158" s="59">
        <f t="shared" si="194"/>
        <v>81.091817613991253</v>
      </c>
      <c r="DF158" s="59">
        <f t="shared" si="195"/>
        <v>105.09181761399125</v>
      </c>
      <c r="DG158" s="59">
        <f t="shared" si="196"/>
        <v>1.881679814037444</v>
      </c>
      <c r="DH158" s="59">
        <f t="shared" si="197"/>
        <v>1.881679814037444</v>
      </c>
      <c r="DI158" s="32">
        <f t="shared" si="198"/>
        <v>4.1640641265875494E-2</v>
      </c>
      <c r="DJ158" s="32">
        <f t="shared" si="199"/>
        <v>109.29181761399126</v>
      </c>
      <c r="DK158" s="32">
        <f t="shared" si="200"/>
        <v>2.0346017146382085</v>
      </c>
      <c r="DL158">
        <f t="shared" si="201"/>
        <v>13.652340627817471</v>
      </c>
      <c r="DM158">
        <f t="shared" si="150"/>
        <v>1.1201148928937282E-2</v>
      </c>
      <c r="DN158">
        <f t="shared" si="151"/>
        <v>0.13782836696906078</v>
      </c>
      <c r="DO158">
        <f t="shared" si="152"/>
        <v>0.85097048410200193</v>
      </c>
      <c r="DP158">
        <f t="shared" si="202"/>
        <v>13.652340627817471</v>
      </c>
      <c r="DQ158">
        <f t="shared" si="153"/>
        <v>1.1201148928937282E-2</v>
      </c>
      <c r="DR158">
        <f t="shared" si="154"/>
        <v>0.13782836696906078</v>
      </c>
      <c r="DS158">
        <f t="shared" si="155"/>
        <v>0.85097048410200193</v>
      </c>
      <c r="DT158" s="63">
        <f t="shared" si="156"/>
        <v>-12.982068006320985</v>
      </c>
      <c r="DU158" s="63">
        <f t="shared" si="157"/>
        <v>-12.982068006320985</v>
      </c>
      <c r="DV158" s="63">
        <f t="shared" si="158"/>
        <v>-12.981946567196905</v>
      </c>
      <c r="DW158" s="63">
        <f t="shared" si="159"/>
        <v>-12.981946567196905</v>
      </c>
      <c r="DX158" t="str">
        <f t="shared" si="203"/>
        <v>Sufficient Capacity</v>
      </c>
      <c r="DY158" t="str">
        <f t="shared" si="204"/>
        <v>Sufficient Capacity</v>
      </c>
      <c r="DZ158" t="str">
        <f t="shared" si="205"/>
        <v>Sulfate Dominant electron acceptor</v>
      </c>
      <c r="EA158" t="str">
        <f t="shared" si="160"/>
        <v>Sulfate Dominant electron acceptor</v>
      </c>
      <c r="EB158">
        <v>9.8478200000000002E-3</v>
      </c>
      <c r="EC158">
        <v>1.8104950000000001E-3</v>
      </c>
      <c r="ED158" s="66">
        <v>2.657769E-6</v>
      </c>
      <c r="EE158">
        <v>5.413792E-4</v>
      </c>
      <c r="EF158">
        <v>5.4632980000000001E-3</v>
      </c>
      <c r="EG158" s="66">
        <v>6.838253E-6</v>
      </c>
      <c r="EH158">
        <v>3.1403429999999998E-4</v>
      </c>
      <c r="EI158" s="66">
        <v>6.5339000000000006E-5</v>
      </c>
      <c r="EJ158">
        <v>3.0383709999999998E-4</v>
      </c>
      <c r="EK158">
        <v>6.6664480000000004E-4</v>
      </c>
      <c r="EL158">
        <v>3.2327160000000002E-4</v>
      </c>
      <c r="EM158">
        <v>2.654097E-4</v>
      </c>
      <c r="EN158">
        <v>1.752834E-3</v>
      </c>
      <c r="EO158">
        <v>5.7651220000000001E-4</v>
      </c>
      <c r="EP158">
        <v>1.9786650000000001E-3</v>
      </c>
      <c r="EQ158">
        <v>8.474461E-4</v>
      </c>
      <c r="ER158">
        <v>6.1022509999999997E-4</v>
      </c>
      <c r="ES158">
        <v>9.2074750000000003E-4</v>
      </c>
      <c r="ET158">
        <v>7.4888469999999999E-3</v>
      </c>
      <c r="EU158">
        <v>3.255899E-3</v>
      </c>
      <c r="EV158">
        <v>8.3723990000000009E-3</v>
      </c>
      <c r="EW158">
        <v>4.6647099999999999E-4</v>
      </c>
      <c r="EX158">
        <v>4.1631760000000002E-3</v>
      </c>
      <c r="EY158">
        <v>6.3342870000000001E-3</v>
      </c>
      <c r="EZ158">
        <v>1.3193300000000001E-3</v>
      </c>
      <c r="FA158">
        <v>8.4960959999999996E-4</v>
      </c>
      <c r="FB158">
        <v>9.1313790000000004E-4</v>
      </c>
      <c r="FC158">
        <v>2.1775459999999998E-3</v>
      </c>
      <c r="FD158">
        <v>3.0520150000000002E-4</v>
      </c>
      <c r="FE158">
        <v>2.06783E-2</v>
      </c>
      <c r="FF158">
        <v>1.079043E-2</v>
      </c>
      <c r="FG158">
        <v>6.9773539999999998E-3</v>
      </c>
      <c r="FH158">
        <v>8.4053269999999998E-4</v>
      </c>
      <c r="FI158">
        <v>1.4139059999999999E-3</v>
      </c>
      <c r="FJ158">
        <v>7.9529170000000003E-3</v>
      </c>
      <c r="FK158">
        <v>-5.6277360738712402E-2</v>
      </c>
      <c r="FL158">
        <v>0.17190751662714401</v>
      </c>
      <c r="FM158">
        <v>-0.56925034304562105</v>
      </c>
      <c r="FN158">
        <v>5.5930060459434799E-2</v>
      </c>
      <c r="FO158">
        <v>-0.19459187360955399</v>
      </c>
      <c r="FP158">
        <v>-0.37549530178922402</v>
      </c>
      <c r="FQ158">
        <v>-7.6034728078240299E-2</v>
      </c>
      <c r="FR158">
        <v>-0.34317803753910697</v>
      </c>
      <c r="FS158">
        <v>3.1654656128663E-2</v>
      </c>
      <c r="FT158">
        <v>-0.14853735644021601</v>
      </c>
      <c r="FU158">
        <v>-0.34778739890701199</v>
      </c>
      <c r="FV158">
        <v>-6.8239791869221897E-2</v>
      </c>
      <c r="FW158">
        <v>-0.35472311783377303</v>
      </c>
      <c r="FX158">
        <v>0.43203771579779798</v>
      </c>
      <c r="FY158">
        <v>0.27945584367009901</v>
      </c>
      <c r="FZ158">
        <v>-0.14759201846772399</v>
      </c>
      <c r="GA158">
        <v>0.16171545302450099</v>
      </c>
      <c r="GB158">
        <v>-5.4308415107504601E-2</v>
      </c>
      <c r="GC158">
        <v>-0.32334102388052899</v>
      </c>
      <c r="GD158">
        <v>-0.17809819396587701</v>
      </c>
      <c r="GE158">
        <v>-6.6930648852404004E-2</v>
      </c>
      <c r="GF158">
        <v>3.4963220143057902E-2</v>
      </c>
      <c r="GG158">
        <v>-0.107259648443017</v>
      </c>
      <c r="GH158">
        <v>-7.9347088378324507E-2</v>
      </c>
      <c r="GI158">
        <v>0.150377946585733</v>
      </c>
      <c r="GJ158">
        <v>-0.157207761921526</v>
      </c>
      <c r="GK158">
        <v>-0.120422864861487</v>
      </c>
      <c r="GL158">
        <v>-0.32604384926812402</v>
      </c>
      <c r="GM158">
        <v>-0.18953715861774301</v>
      </c>
      <c r="GN158">
        <v>5.8264169487137502E-2</v>
      </c>
      <c r="GO158">
        <v>-1.545779923143E-2</v>
      </c>
      <c r="GP158">
        <v>-0.28655367475659499</v>
      </c>
      <c r="GR158" s="66"/>
      <c r="GT158" s="66"/>
      <c r="GV158" s="66"/>
      <c r="GW158" s="65"/>
      <c r="HK158" s="1"/>
      <c r="HL158" s="1"/>
      <c r="HM158" s="1"/>
      <c r="HN158" s="1"/>
      <c r="HO158" s="65"/>
      <c r="HP158" s="65"/>
      <c r="HQ158" s="65"/>
      <c r="HS158" s="65"/>
      <c r="HT158" s="65"/>
      <c r="HU158" s="65"/>
      <c r="HV158" s="65"/>
      <c r="HW158" s="65"/>
      <c r="HX158" s="65"/>
      <c r="JJ158" s="66"/>
      <c r="JL158" s="66"/>
      <c r="JN158" s="66"/>
    </row>
    <row r="159" spans="1:278" ht="15.75" x14ac:dyDescent="0.25">
      <c r="A159" s="6" t="s">
        <v>212</v>
      </c>
      <c r="B159" s="6" t="s">
        <v>212</v>
      </c>
      <c r="C159" s="2" t="s">
        <v>1017</v>
      </c>
      <c r="D159" s="2" t="s">
        <v>601</v>
      </c>
      <c r="E159" s="2" t="s">
        <v>601</v>
      </c>
      <c r="F159" s="2">
        <v>158</v>
      </c>
      <c r="G159" s="2" t="s">
        <v>1016</v>
      </c>
      <c r="H159" s="10" t="s">
        <v>656</v>
      </c>
      <c r="I159" s="2">
        <v>150</v>
      </c>
      <c r="J159" s="2">
        <v>65</v>
      </c>
      <c r="K159" s="2">
        <v>6.1</v>
      </c>
      <c r="L159" t="s">
        <v>384</v>
      </c>
      <c r="M159" s="2" t="s">
        <v>1120</v>
      </c>
      <c r="N159" s="2" t="s">
        <v>437</v>
      </c>
      <c r="O159" s="2" t="s">
        <v>653</v>
      </c>
      <c r="P159" s="2" t="s">
        <v>1124</v>
      </c>
      <c r="Q159" s="9" t="s">
        <v>734</v>
      </c>
      <c r="R159" s="2" t="str">
        <f t="shared" si="145"/>
        <v>CW_3_Section_1</v>
      </c>
      <c r="S159" s="2" t="str">
        <f t="shared" si="146"/>
        <v>CW_3_MF02</v>
      </c>
      <c r="T159" s="11" t="s">
        <v>983</v>
      </c>
      <c r="U159" s="1">
        <v>45883</v>
      </c>
      <c r="V159" s="2" t="s">
        <v>692</v>
      </c>
      <c r="W159" s="2" t="s">
        <v>663</v>
      </c>
      <c r="X159" s="2" t="s">
        <v>982</v>
      </c>
      <c r="Y159" s="2" t="str">
        <f t="shared" si="147"/>
        <v>T6_MF02</v>
      </c>
      <c r="Z159" s="2" t="str">
        <f t="shared" si="148"/>
        <v>T6_CW_3_MF02</v>
      </c>
      <c r="AA159" s="2" t="str">
        <f t="shared" si="149"/>
        <v>T6_0.60-0.80</v>
      </c>
      <c r="AB159" s="2">
        <v>365</v>
      </c>
      <c r="AC159" s="2">
        <v>12.007</v>
      </c>
      <c r="AD159" s="2">
        <v>0.74</v>
      </c>
      <c r="AE159" s="2">
        <v>6</v>
      </c>
      <c r="AF159" t="s">
        <v>53</v>
      </c>
      <c r="AG159" t="s">
        <v>1237</v>
      </c>
      <c r="AH159">
        <v>66</v>
      </c>
      <c r="AI159">
        <v>26</v>
      </c>
      <c r="AJ159">
        <v>0.8</v>
      </c>
      <c r="AK159">
        <v>0.77</v>
      </c>
      <c r="AL159">
        <v>22.4</v>
      </c>
      <c r="AM159">
        <v>-245</v>
      </c>
      <c r="AN159">
        <v>7.44</v>
      </c>
      <c r="AO159">
        <v>988</v>
      </c>
      <c r="AP159">
        <v>0.2</v>
      </c>
      <c r="AQ159">
        <v>0.01</v>
      </c>
      <c r="AR159">
        <v>9.6</v>
      </c>
      <c r="AS159">
        <v>10</v>
      </c>
      <c r="AT159">
        <v>130</v>
      </c>
      <c r="AU159" s="32">
        <f t="shared" si="161"/>
        <v>4.9929586480604277E-2</v>
      </c>
      <c r="AV159">
        <v>4.9000000000000004</v>
      </c>
      <c r="AW159" s="32">
        <f t="shared" si="162"/>
        <v>1.9144779683090949E-3</v>
      </c>
      <c r="AX159">
        <v>170</v>
      </c>
      <c r="AY159" s="32">
        <f t="shared" si="163"/>
        <v>6.7250635772817174E-2</v>
      </c>
      <c r="AZ159">
        <v>36</v>
      </c>
      <c r="BA159" s="32">
        <f t="shared" si="164"/>
        <v>1.4241311104831874E-2</v>
      </c>
      <c r="BB159">
        <v>16</v>
      </c>
      <c r="BC159" s="32">
        <f t="shared" si="165"/>
        <v>6.3294716021474991E-3</v>
      </c>
      <c r="BD159">
        <v>52</v>
      </c>
      <c r="BF159" s="48">
        <v>356.9</v>
      </c>
      <c r="BG159" s="48">
        <f t="shared" si="166"/>
        <v>0.11909470022173055</v>
      </c>
      <c r="BH159">
        <v>340</v>
      </c>
      <c r="BI159" s="32">
        <f t="shared" si="167"/>
        <v>0.12733088866349379</v>
      </c>
      <c r="BJ159" s="47">
        <v>120</v>
      </c>
      <c r="BK159" s="27">
        <f t="shared" si="168"/>
        <v>4.4940313645938985E-2</v>
      </c>
      <c r="BL159" s="47">
        <v>5.5</v>
      </c>
      <c r="BM159" s="27">
        <f t="shared" si="169"/>
        <v>2.0237860569025561E-3</v>
      </c>
      <c r="BN159" s="47">
        <v>160</v>
      </c>
      <c r="BO159" s="27">
        <f t="shared" si="170"/>
        <v>6.0177679787303026E-2</v>
      </c>
      <c r="BP159" s="47">
        <v>30</v>
      </c>
      <c r="BQ159" s="27">
        <f t="shared" si="171"/>
        <v>1.1189989170978222E-2</v>
      </c>
      <c r="BR159" s="47">
        <v>18</v>
      </c>
      <c r="BS159" s="27">
        <f t="shared" si="172"/>
        <v>6.66554452112439E-3</v>
      </c>
      <c r="BT159" s="47">
        <v>4</v>
      </c>
      <c r="BU159" s="27">
        <f t="shared" si="173"/>
        <v>1.48123211580542E-3</v>
      </c>
      <c r="BV159" s="47">
        <v>1.4</v>
      </c>
      <c r="BW159" s="27">
        <f t="shared" si="174"/>
        <v>5.1223733003708275E-4</v>
      </c>
      <c r="BX159" s="47">
        <v>1.4</v>
      </c>
      <c r="BY159" s="27">
        <f t="shared" si="175"/>
        <v>5.1223733003708275E-4</v>
      </c>
      <c r="BZ159" s="51">
        <f t="shared" si="176"/>
        <v>340.29999999999995</v>
      </c>
      <c r="CA159" s="51">
        <f t="shared" si="177"/>
        <v>220.3</v>
      </c>
      <c r="CB159" s="27">
        <f t="shared" si="178"/>
        <v>0.12750301995812677</v>
      </c>
      <c r="CC159" s="27">
        <f t="shared" si="179"/>
        <v>8.2562706312187775E-2</v>
      </c>
      <c r="CD159">
        <v>850</v>
      </c>
      <c r="CE159">
        <v>1200</v>
      </c>
      <c r="CF159" t="s">
        <v>19</v>
      </c>
      <c r="CG159">
        <v>2100</v>
      </c>
      <c r="CH159" s="32">
        <v>0.4</v>
      </c>
      <c r="CI159" s="32">
        <f t="shared" si="180"/>
        <v>7.162041181736795E-3</v>
      </c>
      <c r="CJ159" s="32">
        <f t="shared" si="181"/>
        <v>7.162041181736795E-3</v>
      </c>
      <c r="CK159" s="32">
        <v>1.1000000000000001</v>
      </c>
      <c r="CL159" s="32">
        <f t="shared" si="182"/>
        <v>2.0025486983433462E-2</v>
      </c>
      <c r="CM159" s="32">
        <f t="shared" si="183"/>
        <v>4.0050973966866923E-2</v>
      </c>
      <c r="CN159" s="27">
        <v>110</v>
      </c>
      <c r="CO159" s="27">
        <f t="shared" si="184"/>
        <v>1.1451176348115761</v>
      </c>
      <c r="CP159" s="27">
        <f t="shared" si="185"/>
        <v>9.1609410784926091</v>
      </c>
      <c r="CQ159" s="57">
        <v>30</v>
      </c>
      <c r="CR159" s="57">
        <v>21.428571428571427</v>
      </c>
      <c r="CS159" s="57">
        <v>2.4984384759525295</v>
      </c>
      <c r="CT159" s="57">
        <f t="shared" si="186"/>
        <v>2.4984384759525295</v>
      </c>
      <c r="CU159" s="28">
        <v>30</v>
      </c>
      <c r="CV159" s="28">
        <v>21.428571428571427</v>
      </c>
      <c r="CW159" s="28">
        <v>2.4984384759525295</v>
      </c>
      <c r="CX159" s="28">
        <f t="shared" si="187"/>
        <v>2.4984384759525295</v>
      </c>
      <c r="CY159" s="32">
        <f t="shared" si="188"/>
        <v>17.439100562148656</v>
      </c>
      <c r="CZ159" s="32">
        <f t="shared" si="189"/>
        <v>17.439100562148656</v>
      </c>
      <c r="DA159" s="32">
        <f t="shared" si="190"/>
        <v>17.839100562148655</v>
      </c>
      <c r="DB159" s="32">
        <f t="shared" si="191"/>
        <v>0.31941093217813166</v>
      </c>
      <c r="DC159" s="32">
        <f t="shared" si="192"/>
        <v>0.31941093217813166</v>
      </c>
      <c r="DD159" s="59">
        <f t="shared" si="193"/>
        <v>17.439100562148656</v>
      </c>
      <c r="DE159" s="59">
        <f t="shared" si="194"/>
        <v>17.439100562148656</v>
      </c>
      <c r="DF159" s="59">
        <f t="shared" si="195"/>
        <v>17.839100562148655</v>
      </c>
      <c r="DG159" s="59">
        <f t="shared" si="196"/>
        <v>0.31941093217813166</v>
      </c>
      <c r="DH159" s="59">
        <f t="shared" si="197"/>
        <v>0.31941093217813166</v>
      </c>
      <c r="DI159" s="32">
        <f t="shared" si="198"/>
        <v>9.1609410784926091</v>
      </c>
      <c r="DJ159" s="32">
        <f t="shared" si="199"/>
        <v>18.939100562148656</v>
      </c>
      <c r="DK159" s="32">
        <f t="shared" si="200"/>
        <v>0.35946190614499857</v>
      </c>
      <c r="DL159">
        <f t="shared" si="201"/>
        <v>2.8579003820975282</v>
      </c>
      <c r="DM159">
        <f t="shared" si="150"/>
        <v>1.4014125271039679E-2</v>
      </c>
      <c r="DN159">
        <f t="shared" si="151"/>
        <v>0.11176419380430018</v>
      </c>
      <c r="DO159">
        <f t="shared" si="152"/>
        <v>0.87422168092466013</v>
      </c>
      <c r="DP159">
        <f t="shared" si="202"/>
        <v>2.8579003820975282</v>
      </c>
      <c r="DQ159">
        <f t="shared" si="153"/>
        <v>1.4014125271039679E-2</v>
      </c>
      <c r="DR159">
        <f t="shared" si="154"/>
        <v>0.11176419380430018</v>
      </c>
      <c r="DS159">
        <f t="shared" si="155"/>
        <v>0.87422168092466013</v>
      </c>
      <c r="DT159" s="63">
        <f t="shared" si="156"/>
        <v>-2.6114747932123037</v>
      </c>
      <c r="DU159" s="63">
        <f t="shared" si="157"/>
        <v>-2.6114747932123037</v>
      </c>
      <c r="DV159" s="63">
        <f t="shared" si="158"/>
        <v>-2.528912086900116</v>
      </c>
      <c r="DW159" s="63">
        <f t="shared" si="159"/>
        <v>-2.528912086900116</v>
      </c>
      <c r="DX159" t="str">
        <f t="shared" si="203"/>
        <v>Sufficient Capacity</v>
      </c>
      <c r="DY159" t="str">
        <f t="shared" si="204"/>
        <v>Sufficient Capacity</v>
      </c>
      <c r="DZ159" t="str">
        <f t="shared" si="205"/>
        <v>Sulfate Dominant electron acceptor</v>
      </c>
      <c r="EA159" t="str">
        <f t="shared" si="160"/>
        <v>Sulfate Dominant electron acceptor</v>
      </c>
      <c r="EB159">
        <v>8.6615189999999995E-3</v>
      </c>
      <c r="EC159">
        <v>1.4999150000000001E-3</v>
      </c>
      <c r="ED159" s="66">
        <v>1.5507209999999999E-7</v>
      </c>
      <c r="EE159">
        <v>9.3953340000000002E-4</v>
      </c>
      <c r="EF159">
        <v>6.3764920000000001E-3</v>
      </c>
      <c r="EG159" s="66">
        <v>1.4377139999999999E-5</v>
      </c>
      <c r="EH159">
        <v>4.7113569999999999E-4</v>
      </c>
      <c r="EI159" s="66">
        <v>9.9215089999999997E-5</v>
      </c>
      <c r="EJ159">
        <v>5.9120250000000004E-4</v>
      </c>
      <c r="EK159">
        <v>9.3513660000000003E-4</v>
      </c>
      <c r="EL159">
        <v>6.2045769999999995E-4</v>
      </c>
      <c r="EM159">
        <v>5.3371980000000005E-4</v>
      </c>
      <c r="EN159">
        <v>2.2225750000000001E-3</v>
      </c>
      <c r="EO159">
        <v>1.012923E-3</v>
      </c>
      <c r="EP159">
        <v>2.7794550000000001E-3</v>
      </c>
      <c r="EQ159">
        <v>9.5091990000000003E-4</v>
      </c>
      <c r="ER159">
        <v>5.5772959999999996E-4</v>
      </c>
      <c r="ES159">
        <v>9.2617839999999997E-4</v>
      </c>
      <c r="ET159">
        <v>6.6701579999999998E-3</v>
      </c>
      <c r="EU159">
        <v>2.4595110000000002E-3</v>
      </c>
      <c r="EV159">
        <v>8.2433079999999995E-3</v>
      </c>
      <c r="EW159">
        <v>7.6010420000000001E-4</v>
      </c>
      <c r="EX159">
        <v>4.7046809999999996E-3</v>
      </c>
      <c r="EY159">
        <v>6.6905030000000004E-3</v>
      </c>
      <c r="EZ159">
        <v>1.7380309999999999E-3</v>
      </c>
      <c r="FA159">
        <v>1.3543069999999999E-3</v>
      </c>
      <c r="FB159">
        <v>1.4013599999999999E-3</v>
      </c>
      <c r="FC159">
        <v>2.0581639999999999E-3</v>
      </c>
      <c r="FD159">
        <v>4.0626550000000001E-4</v>
      </c>
      <c r="FE159">
        <v>2.5068110000000001E-2</v>
      </c>
      <c r="FF159">
        <v>1.508108E-2</v>
      </c>
      <c r="FG159">
        <v>8.8770280000000003E-3</v>
      </c>
      <c r="FH159">
        <v>7.9662479999999996E-4</v>
      </c>
      <c r="FI159">
        <v>1.667034E-3</v>
      </c>
      <c r="FJ159">
        <v>1.08288E-2</v>
      </c>
      <c r="FK159">
        <v>0.49498605077954999</v>
      </c>
      <c r="FL159">
        <v>0.32647298279584502</v>
      </c>
      <c r="FM159">
        <v>0.173856812467828</v>
      </c>
      <c r="FN159">
        <v>0.46157400777215601</v>
      </c>
      <c r="FO159">
        <v>0.22310914455310099</v>
      </c>
      <c r="FP159">
        <v>0.29017159400192</v>
      </c>
      <c r="FQ159">
        <v>0.26240051646007201</v>
      </c>
      <c r="FR159">
        <v>0.30878655718661502</v>
      </c>
      <c r="FS159">
        <v>0.73025096843838999</v>
      </c>
      <c r="FT159">
        <v>8.8895170531746004E-2</v>
      </c>
      <c r="FU159">
        <v>0.215811588935822</v>
      </c>
      <c r="FV159">
        <v>0.27159269857032797</v>
      </c>
      <c r="FW159">
        <v>-0.23952052437707999</v>
      </c>
      <c r="FX159">
        <v>0.34208406742387298</v>
      </c>
      <c r="FY159">
        <v>0.28533687620421</v>
      </c>
      <c r="FZ159">
        <v>-0.26336331775941801</v>
      </c>
      <c r="GA159">
        <v>-0.118790425281647</v>
      </c>
      <c r="GB159">
        <v>-6.9847157748451003E-2</v>
      </c>
      <c r="GC159">
        <v>0.164918651968817</v>
      </c>
      <c r="GD159">
        <v>-5.5818467962734701E-2</v>
      </c>
      <c r="GE159">
        <v>-1.2218848802445101E-2</v>
      </c>
      <c r="GF159">
        <v>0.31059205144045199</v>
      </c>
      <c r="GG159">
        <v>0.35900856506793499</v>
      </c>
      <c r="GH159">
        <v>0.34896447454983098</v>
      </c>
      <c r="GI159">
        <v>9.3993715176153195E-2</v>
      </c>
      <c r="GJ159">
        <v>0.128826910632551</v>
      </c>
      <c r="GK159">
        <v>7.2088814323582703E-2</v>
      </c>
      <c r="GL159">
        <v>8.7374985938364295E-3</v>
      </c>
      <c r="GM159">
        <v>5.1259895872667501E-2</v>
      </c>
      <c r="GN159">
        <v>4.6121145570898704E-3</v>
      </c>
      <c r="GO159">
        <v>0.149232113061812</v>
      </c>
      <c r="GP159">
        <v>2.2116797185864501E-2</v>
      </c>
      <c r="HK159" s="1"/>
      <c r="HL159" s="65"/>
      <c r="HM159" s="65"/>
      <c r="HN159" s="1"/>
      <c r="HO159" s="65"/>
      <c r="HP159" s="65"/>
      <c r="HQ159" s="65"/>
      <c r="HS159" s="65"/>
      <c r="HT159" s="65"/>
      <c r="HU159" s="65"/>
      <c r="HV159" s="65"/>
      <c r="HW159" s="65"/>
      <c r="HX159" s="65"/>
      <c r="JJ159" s="66"/>
      <c r="JL159" s="66"/>
      <c r="JN159" s="66"/>
    </row>
    <row r="160" spans="1:278" ht="15.75" x14ac:dyDescent="0.25">
      <c r="A160" s="8" t="s">
        <v>650</v>
      </c>
      <c r="B160" s="8" t="s">
        <v>650</v>
      </c>
      <c r="C160" s="8" t="s">
        <v>1019</v>
      </c>
      <c r="D160" s="8" t="s">
        <v>602</v>
      </c>
      <c r="E160" s="8" t="s">
        <v>602</v>
      </c>
      <c r="F160" s="8">
        <v>159</v>
      </c>
      <c r="G160" s="8" t="s">
        <v>1018</v>
      </c>
      <c r="H160" s="17" t="s">
        <v>656</v>
      </c>
      <c r="I160" s="8">
        <v>150</v>
      </c>
      <c r="J160" s="8">
        <v>65</v>
      </c>
      <c r="K160" s="8">
        <v>21.8</v>
      </c>
      <c r="L160" s="21" t="s">
        <v>1137</v>
      </c>
      <c r="M160" s="8" t="s">
        <v>1120</v>
      </c>
      <c r="N160" s="8" t="s">
        <v>437</v>
      </c>
      <c r="O160" s="8" t="s">
        <v>666</v>
      </c>
      <c r="P160" s="8" t="s">
        <v>1131</v>
      </c>
      <c r="Q160" s="16" t="s">
        <v>737</v>
      </c>
      <c r="R160" s="2" t="str">
        <f t="shared" si="145"/>
        <v>CW_3_Section_2</v>
      </c>
      <c r="S160" s="2" t="str">
        <f t="shared" si="146"/>
        <v>CW_3_MF05</v>
      </c>
      <c r="T160" s="18" t="s">
        <v>983</v>
      </c>
      <c r="U160" s="22">
        <v>45883</v>
      </c>
      <c r="V160" s="8" t="s">
        <v>692</v>
      </c>
      <c r="W160" s="8" t="s">
        <v>655</v>
      </c>
      <c r="X160" s="8" t="s">
        <v>982</v>
      </c>
      <c r="Y160" s="2" t="str">
        <f t="shared" si="147"/>
        <v>T6_MF05</v>
      </c>
      <c r="Z160" s="2" t="str">
        <f t="shared" si="148"/>
        <v>T6_CW_3_MF05</v>
      </c>
      <c r="AA160" s="2" t="str">
        <f t="shared" si="149"/>
        <v>T6_0.15-0.30</v>
      </c>
      <c r="AB160" s="2">
        <v>365</v>
      </c>
      <c r="AC160" s="2">
        <v>12.007</v>
      </c>
      <c r="AD160" s="2">
        <v>0.74</v>
      </c>
      <c r="AE160" s="2">
        <v>6</v>
      </c>
      <c r="AF160" s="21" t="s">
        <v>1138</v>
      </c>
      <c r="AG160" t="s">
        <v>1237</v>
      </c>
      <c r="AH160" s="21">
        <v>79</v>
      </c>
      <c r="AI160" s="21">
        <v>34</v>
      </c>
      <c r="AJ160" s="21">
        <v>0.41</v>
      </c>
      <c r="AK160" s="23">
        <v>4.6100000000000003</v>
      </c>
      <c r="AL160" s="23">
        <v>12.2</v>
      </c>
      <c r="AM160" s="21">
        <v>-4.9000000000000004</v>
      </c>
      <c r="AN160" s="21">
        <v>6.91</v>
      </c>
      <c r="AO160" s="21">
        <v>688</v>
      </c>
      <c r="AP160" s="21">
        <v>0.1</v>
      </c>
      <c r="AQ160" s="21">
        <v>0.01</v>
      </c>
      <c r="AR160" s="21">
        <v>6.3</v>
      </c>
      <c r="AS160" s="21">
        <v>7.1</v>
      </c>
      <c r="AT160" s="21">
        <v>300</v>
      </c>
      <c r="AU160" s="32">
        <f t="shared" si="161"/>
        <v>0.11522212264754833</v>
      </c>
      <c r="AV160" s="21">
        <v>2.9</v>
      </c>
      <c r="AW160" s="32">
        <f t="shared" si="162"/>
        <v>1.1330583894074233E-3</v>
      </c>
      <c r="AX160" s="21">
        <v>57</v>
      </c>
      <c r="AY160" s="32">
        <f t="shared" si="163"/>
        <v>2.2548742582650466E-2</v>
      </c>
      <c r="AZ160" s="21">
        <v>17</v>
      </c>
      <c r="BA160" s="32">
        <f t="shared" si="164"/>
        <v>6.725063577281718E-3</v>
      </c>
      <c r="BB160" s="21">
        <v>5.6</v>
      </c>
      <c r="BC160" s="32">
        <f t="shared" si="165"/>
        <v>2.2153150607516245E-3</v>
      </c>
      <c r="BD160" s="21">
        <v>22.6</v>
      </c>
      <c r="BE160" s="21"/>
      <c r="BF160" s="48">
        <v>382.5</v>
      </c>
      <c r="BG160" s="48">
        <f t="shared" si="166"/>
        <v>0.13890392361960624</v>
      </c>
      <c r="BH160" s="21">
        <v>57</v>
      </c>
      <c r="BI160" s="32">
        <f t="shared" si="167"/>
        <v>2.134664898182102E-2</v>
      </c>
      <c r="BJ160" s="47">
        <v>7.6</v>
      </c>
      <c r="BK160" s="27">
        <f t="shared" si="168"/>
        <v>2.8462198642428024E-3</v>
      </c>
      <c r="BL160" s="47">
        <v>0.01</v>
      </c>
      <c r="BM160" s="27">
        <f t="shared" si="169"/>
        <v>3.6796110125501018E-6</v>
      </c>
      <c r="BN160" s="47">
        <v>19</v>
      </c>
      <c r="BO160" s="27">
        <f t="shared" si="170"/>
        <v>7.1460994747422346E-3</v>
      </c>
      <c r="BP160" s="47">
        <v>4.9000000000000004</v>
      </c>
      <c r="BQ160" s="27">
        <f t="shared" si="171"/>
        <v>1.8276982312597765E-3</v>
      </c>
      <c r="BR160" s="47">
        <v>2.6</v>
      </c>
      <c r="BS160" s="27">
        <f t="shared" si="172"/>
        <v>9.6280087527352302E-4</v>
      </c>
      <c r="BT160" s="47">
        <v>2.2000000000000002</v>
      </c>
      <c r="BU160" s="27">
        <f t="shared" si="173"/>
        <v>8.1467766369298098E-4</v>
      </c>
      <c r="BV160" s="47">
        <v>1.1000000000000001</v>
      </c>
      <c r="BW160" s="27">
        <f t="shared" si="174"/>
        <v>4.0247218788627936E-4</v>
      </c>
      <c r="BX160" s="47">
        <v>0.97</v>
      </c>
      <c r="BY160" s="27">
        <f t="shared" si="175"/>
        <v>3.5490729295426448E-4</v>
      </c>
      <c r="BZ160" s="51">
        <f t="shared" si="176"/>
        <v>38.380000000000003</v>
      </c>
      <c r="CA160" s="51">
        <f t="shared" si="177"/>
        <v>30.780000000000005</v>
      </c>
      <c r="CB160" s="27">
        <f t="shared" si="178"/>
        <v>1.435855520106441E-2</v>
      </c>
      <c r="CC160" s="27">
        <f t="shared" si="179"/>
        <v>1.1512335336821609E-2</v>
      </c>
      <c r="CD160" s="21">
        <v>180</v>
      </c>
      <c r="CE160" s="21">
        <v>340</v>
      </c>
      <c r="CF160" s="21" t="s">
        <v>19</v>
      </c>
      <c r="CG160" s="21">
        <v>520</v>
      </c>
      <c r="CH160" s="32">
        <v>1.6</v>
      </c>
      <c r="CI160" s="32">
        <f t="shared" si="180"/>
        <v>2.864816472694718E-2</v>
      </c>
      <c r="CJ160" s="32">
        <f t="shared" si="181"/>
        <v>2.864816472694718E-2</v>
      </c>
      <c r="CK160" s="32">
        <v>1.5</v>
      </c>
      <c r="CL160" s="32">
        <f t="shared" si="182"/>
        <v>2.7307482250136537E-2</v>
      </c>
      <c r="CM160" s="32">
        <f t="shared" si="183"/>
        <v>5.4614964500273075E-2</v>
      </c>
      <c r="CN160" s="27">
        <v>66</v>
      </c>
      <c r="CO160" s="27">
        <f t="shared" si="184"/>
        <v>0.68707058088694561</v>
      </c>
      <c r="CP160" s="27">
        <f t="shared" si="185"/>
        <v>5.4965646470955649</v>
      </c>
      <c r="CQ160" s="57">
        <v>74</v>
      </c>
      <c r="CR160" s="57">
        <v>52.857142857142861</v>
      </c>
      <c r="CS160" s="57">
        <v>6.1628149073495733</v>
      </c>
      <c r="CT160" s="57">
        <f t="shared" si="186"/>
        <v>6.1628149073495733</v>
      </c>
      <c r="CU160" s="28">
        <v>-65.5</v>
      </c>
      <c r="CV160" s="28">
        <v>-13100</v>
      </c>
      <c r="CW160" s="28">
        <v>-5.4549240058296897</v>
      </c>
      <c r="CX160" s="28">
        <f t="shared" si="187"/>
        <v>0</v>
      </c>
      <c r="CY160" s="32">
        <f t="shared" si="188"/>
        <v>43.016448053300017</v>
      </c>
      <c r="CZ160" s="32">
        <f t="shared" si="189"/>
        <v>43.016448053300017</v>
      </c>
      <c r="DA160" s="32">
        <f t="shared" si="190"/>
        <v>44.616448053300019</v>
      </c>
      <c r="DB160" s="32">
        <f t="shared" si="191"/>
        <v>0.79886209585138801</v>
      </c>
      <c r="DC160" s="32">
        <f t="shared" si="192"/>
        <v>0.79886209585138801</v>
      </c>
      <c r="DD160" s="59">
        <f t="shared" si="193"/>
        <v>-38.075369560691236</v>
      </c>
      <c r="DE160" s="59">
        <f t="shared" si="194"/>
        <v>0</v>
      </c>
      <c r="DF160" s="59">
        <f t="shared" si="195"/>
        <v>1.6</v>
      </c>
      <c r="DG160" s="59">
        <f t="shared" si="196"/>
        <v>2.864816472694718E-2</v>
      </c>
      <c r="DH160" s="59">
        <f t="shared" si="197"/>
        <v>2.864816472694718E-2</v>
      </c>
      <c r="DI160" s="32">
        <f t="shared" si="198"/>
        <v>5.4965646470955649</v>
      </c>
      <c r="DJ160" s="32">
        <f t="shared" si="199"/>
        <v>3.1</v>
      </c>
      <c r="DK160" s="32">
        <f t="shared" si="200"/>
        <v>8.3263129227220262E-2</v>
      </c>
      <c r="DL160">
        <f t="shared" si="201"/>
        <v>7.0162919677012345</v>
      </c>
      <c r="DM160">
        <f t="shared" si="150"/>
        <v>7.7840210686338802E-3</v>
      </c>
      <c r="DN160">
        <f t="shared" si="151"/>
        <v>0.11385816034008647</v>
      </c>
      <c r="DO160">
        <f t="shared" si="152"/>
        <v>0.87835781859127959</v>
      </c>
      <c r="DP160">
        <f t="shared" si="202"/>
        <v>8.3263129227220262E-2</v>
      </c>
      <c r="DQ160">
        <f t="shared" si="153"/>
        <v>0.65593216357785444</v>
      </c>
      <c r="DR160">
        <f t="shared" si="154"/>
        <v>0.34406783642214545</v>
      </c>
      <c r="DS160">
        <f t="shared" si="155"/>
        <v>0</v>
      </c>
      <c r="DT160" s="63">
        <f t="shared" si="156"/>
        <v>-6.8560413950998074</v>
      </c>
      <c r="DU160" s="63">
        <f t="shared" si="157"/>
        <v>7.6987443374206987E-2</v>
      </c>
      <c r="DV160" s="63">
        <f t="shared" si="158"/>
        <v>-6.8445290597629853</v>
      </c>
      <c r="DW160" s="63">
        <f t="shared" si="159"/>
        <v>8.8499778711028598E-2</v>
      </c>
      <c r="DX160" t="str">
        <f t="shared" si="203"/>
        <v>Sufficient Capacity</v>
      </c>
      <c r="DY160" t="str">
        <f t="shared" si="204"/>
        <v>Insufficient Capacity</v>
      </c>
      <c r="DZ160" t="str">
        <f t="shared" si="205"/>
        <v>Sulfate Dominant electron acceptor</v>
      </c>
      <c r="EA160" t="str">
        <f t="shared" si="160"/>
        <v>Iron Dominant electron acceptor</v>
      </c>
      <c r="EB160">
        <v>9.0113320000000004E-3</v>
      </c>
      <c r="EC160">
        <v>1.6045810000000001E-3</v>
      </c>
      <c r="ED160" s="66">
        <v>6.753002E-7</v>
      </c>
      <c r="EE160">
        <v>5.3439510000000004E-4</v>
      </c>
      <c r="EF160">
        <v>4.0795060000000001E-3</v>
      </c>
      <c r="EG160" s="66">
        <v>2.3605829999999999E-5</v>
      </c>
      <c r="EH160">
        <v>2.6217260000000001E-4</v>
      </c>
      <c r="EI160" s="66">
        <v>7.7023130000000007E-5</v>
      </c>
      <c r="EJ160">
        <v>3.453803E-4</v>
      </c>
      <c r="EK160">
        <v>6.2786109999999999E-4</v>
      </c>
      <c r="EL160">
        <v>3.607258E-4</v>
      </c>
      <c r="EM160">
        <v>2.204807E-4</v>
      </c>
      <c r="EN160">
        <v>2.417261E-3</v>
      </c>
      <c r="EO160">
        <v>1.170209E-3</v>
      </c>
      <c r="EP160">
        <v>1.9759000000000001E-3</v>
      </c>
      <c r="EQ160">
        <v>1.081324E-3</v>
      </c>
      <c r="ER160">
        <v>3.5381200000000001E-4</v>
      </c>
      <c r="ES160">
        <v>7.6854859999999996E-4</v>
      </c>
      <c r="ET160">
        <v>7.8125090000000005E-3</v>
      </c>
      <c r="EU160">
        <v>2.8746739999999998E-3</v>
      </c>
      <c r="EV160">
        <v>7.9298040000000004E-3</v>
      </c>
      <c r="EW160">
        <v>5.2318320000000005E-4</v>
      </c>
      <c r="EX160">
        <v>4.4656230000000002E-3</v>
      </c>
      <c r="EY160">
        <v>6.3471220000000002E-3</v>
      </c>
      <c r="EZ160">
        <v>1.2998269999999999E-3</v>
      </c>
      <c r="FA160">
        <v>1.0149930000000001E-3</v>
      </c>
      <c r="FB160">
        <v>1.0725890000000001E-3</v>
      </c>
      <c r="FC160">
        <v>1.9171660000000001E-3</v>
      </c>
      <c r="FD160">
        <v>3.4081749999999999E-4</v>
      </c>
      <c r="FE160">
        <v>2.562002E-2</v>
      </c>
      <c r="FF160">
        <v>1.323451E-2</v>
      </c>
      <c r="FG160">
        <v>8.1880000000000008E-3</v>
      </c>
      <c r="FH160">
        <v>8.218686E-4</v>
      </c>
      <c r="FI160">
        <v>1.1691830000000001E-3</v>
      </c>
      <c r="FJ160">
        <v>1.005808E-2</v>
      </c>
      <c r="FK160">
        <v>-6.9261865248238394E-2</v>
      </c>
      <c r="FL160">
        <v>-0.120169217427313</v>
      </c>
      <c r="FM160">
        <v>0.66971108272118995</v>
      </c>
      <c r="FN160">
        <v>-0.124569089664161</v>
      </c>
      <c r="FO160">
        <v>-3.0075208748454998E-2</v>
      </c>
      <c r="FP160">
        <v>-0.247340875545911</v>
      </c>
      <c r="FQ160">
        <v>-0.13597313475356901</v>
      </c>
      <c r="FR160">
        <v>-0.233552761367566</v>
      </c>
      <c r="FS160">
        <v>-0.153809850996038</v>
      </c>
      <c r="FT160">
        <v>0.17286381791029801</v>
      </c>
      <c r="FU160">
        <v>0.36015374373974002</v>
      </c>
      <c r="FV160">
        <v>-6.9638175990142798E-2</v>
      </c>
      <c r="FW160">
        <v>-0.111008861035244</v>
      </c>
      <c r="FX160">
        <v>-0.113024491075201</v>
      </c>
      <c r="FY160">
        <v>9.877380458361E-2</v>
      </c>
      <c r="FZ160">
        <v>-0.105280698500456</v>
      </c>
      <c r="GA160">
        <v>3.7186301537032E-2</v>
      </c>
      <c r="GB160">
        <v>-0.108620558344521</v>
      </c>
      <c r="GC160">
        <v>-0.20860518764094399</v>
      </c>
      <c r="GD160">
        <v>-0.107967704218645</v>
      </c>
      <c r="GE160">
        <v>-6.4906425143099106E-2</v>
      </c>
      <c r="GF160">
        <v>2.00703668514297E-2</v>
      </c>
      <c r="GG160">
        <v>7.0600396598500495E-2</v>
      </c>
      <c r="GH160">
        <v>8.1596632948639503E-2</v>
      </c>
      <c r="GI160">
        <v>2.3027445871216301E-2</v>
      </c>
      <c r="GJ160">
        <v>-4.6832832727646198E-2</v>
      </c>
      <c r="GK160">
        <v>9.3866371014724906E-2</v>
      </c>
      <c r="GL160">
        <v>-0.121875667509921</v>
      </c>
      <c r="GM160">
        <v>-2.9537252628265301E-2</v>
      </c>
      <c r="GN160">
        <v>3.5808840245385602E-2</v>
      </c>
      <c r="GO160">
        <v>-0.20550867212672999</v>
      </c>
      <c r="GP160">
        <v>-5.1716162778084197E-2</v>
      </c>
      <c r="HK160" s="1"/>
      <c r="HL160" s="1"/>
      <c r="HM160" s="65"/>
      <c r="HN160" s="1"/>
      <c r="HO160" s="65"/>
      <c r="HP160" s="65"/>
      <c r="HQ160" s="65"/>
      <c r="HT160" s="65"/>
      <c r="HV160" s="65"/>
      <c r="HW160" s="65"/>
      <c r="HX160" s="65"/>
      <c r="IJ160" s="66"/>
      <c r="IL160" s="66"/>
      <c r="IP160" s="66"/>
      <c r="IR160" s="66"/>
      <c r="JF160" s="66"/>
      <c r="JH160" s="66"/>
      <c r="JJ160" s="66"/>
      <c r="JL160" s="66"/>
      <c r="JN160" s="66"/>
    </row>
    <row r="161" spans="1:278" ht="15.75" x14ac:dyDescent="0.25">
      <c r="A161" s="6" t="s">
        <v>213</v>
      </c>
      <c r="B161" s="6" t="s">
        <v>213</v>
      </c>
      <c r="C161" s="2" t="s">
        <v>1021</v>
      </c>
      <c r="D161" s="2" t="s">
        <v>603</v>
      </c>
      <c r="E161" s="2" t="s">
        <v>603</v>
      </c>
      <c r="F161" s="2">
        <v>160</v>
      </c>
      <c r="G161" s="2" t="s">
        <v>1020</v>
      </c>
      <c r="H161" s="10" t="s">
        <v>656</v>
      </c>
      <c r="I161" s="2">
        <v>150</v>
      </c>
      <c r="J161" s="2">
        <v>65</v>
      </c>
      <c r="K161" s="2">
        <v>6.7</v>
      </c>
      <c r="L161" t="s">
        <v>385</v>
      </c>
      <c r="M161" s="2" t="s">
        <v>1120</v>
      </c>
      <c r="N161" s="2" t="s">
        <v>437</v>
      </c>
      <c r="O161" s="2" t="s">
        <v>666</v>
      </c>
      <c r="P161" s="2" t="s">
        <v>1132</v>
      </c>
      <c r="Q161" s="9" t="s">
        <v>740</v>
      </c>
      <c r="R161" s="2" t="str">
        <f t="shared" si="145"/>
        <v>CW_3_Section_2</v>
      </c>
      <c r="S161" s="2" t="str">
        <f t="shared" si="146"/>
        <v>CW_3_MF06</v>
      </c>
      <c r="T161" s="11" t="s">
        <v>983</v>
      </c>
      <c r="U161" s="1">
        <v>45883</v>
      </c>
      <c r="V161" s="2" t="s">
        <v>692</v>
      </c>
      <c r="W161" s="2" t="s">
        <v>663</v>
      </c>
      <c r="X161" s="2" t="s">
        <v>982</v>
      </c>
      <c r="Y161" s="2" t="str">
        <f t="shared" si="147"/>
        <v>T6_MF06</v>
      </c>
      <c r="Z161" s="2" t="str">
        <f t="shared" si="148"/>
        <v>T6_CW_3_MF06</v>
      </c>
      <c r="AA161" s="2" t="str">
        <f t="shared" si="149"/>
        <v>T6_0.60-0.80</v>
      </c>
      <c r="AB161" s="2">
        <v>365</v>
      </c>
      <c r="AC161" s="2">
        <v>12.007</v>
      </c>
      <c r="AD161" s="2">
        <v>0.74</v>
      </c>
      <c r="AE161" s="2">
        <v>6</v>
      </c>
      <c r="AF161" t="s">
        <v>57</v>
      </c>
      <c r="AG161" t="s">
        <v>1237</v>
      </c>
      <c r="AH161">
        <v>76</v>
      </c>
      <c r="AI161">
        <v>0.2</v>
      </c>
      <c r="AJ161">
        <v>1.4999999999999999E-2</v>
      </c>
      <c r="AK161">
        <v>3.89</v>
      </c>
      <c r="AL161">
        <v>22.8</v>
      </c>
      <c r="AM161">
        <v>-144</v>
      </c>
      <c r="AN161">
        <v>7.08</v>
      </c>
      <c r="AO161">
        <v>1088</v>
      </c>
      <c r="AP161">
        <v>0.2</v>
      </c>
      <c r="AQ161">
        <v>0.01</v>
      </c>
      <c r="AR161">
        <v>0.8</v>
      </c>
      <c r="AS161">
        <v>1.1000000000000001</v>
      </c>
      <c r="AT161">
        <v>4.5999999999999996</v>
      </c>
      <c r="AU161" s="32">
        <f t="shared" si="161"/>
        <v>1.7667392139290744E-3</v>
      </c>
      <c r="AV161">
        <v>0.02</v>
      </c>
      <c r="AW161" s="32">
        <f t="shared" si="162"/>
        <v>7.8141957890167132E-6</v>
      </c>
      <c r="AX161">
        <v>3.8</v>
      </c>
      <c r="AY161" s="32">
        <f t="shared" si="163"/>
        <v>1.5032495055100309E-3</v>
      </c>
      <c r="AZ161">
        <v>1.5</v>
      </c>
      <c r="BA161" s="32">
        <f t="shared" si="164"/>
        <v>5.9338796270132807E-4</v>
      </c>
      <c r="BB161">
        <v>0.8</v>
      </c>
      <c r="BC161" s="32">
        <f t="shared" si="165"/>
        <v>3.1647358010737496E-4</v>
      </c>
      <c r="BD161">
        <v>2.2999999999999998</v>
      </c>
      <c r="BF161" s="48">
        <v>10.84</v>
      </c>
      <c r="BG161" s="48">
        <f t="shared" si="166"/>
        <v>3.2778029152281223E-3</v>
      </c>
      <c r="BH161">
        <v>11</v>
      </c>
      <c r="BI161" s="32">
        <f t="shared" si="167"/>
        <v>4.1195287508777401E-3</v>
      </c>
      <c r="BJ161" s="47">
        <v>2.9</v>
      </c>
      <c r="BK161" s="27">
        <f t="shared" si="168"/>
        <v>1.0860575797768588E-3</v>
      </c>
      <c r="BL161" s="47">
        <v>0.01</v>
      </c>
      <c r="BM161" s="27">
        <f t="shared" si="169"/>
        <v>3.6796110125501018E-6</v>
      </c>
      <c r="BN161" s="47">
        <v>0.11</v>
      </c>
      <c r="BO161" s="27">
        <f t="shared" si="170"/>
        <v>4.1372154853770834E-5</v>
      </c>
      <c r="BP161" s="47">
        <v>5.0000000000000001E-3</v>
      </c>
      <c r="BQ161" s="27">
        <f t="shared" si="171"/>
        <v>1.8649981951630372E-6</v>
      </c>
      <c r="BR161" s="47">
        <v>1E-3</v>
      </c>
      <c r="BS161" s="27">
        <f t="shared" si="172"/>
        <v>3.7030802895135499E-7</v>
      </c>
      <c r="BT161" s="47">
        <v>1E-3</v>
      </c>
      <c r="BU161" s="27">
        <f t="shared" si="173"/>
        <v>3.7030802895135499E-7</v>
      </c>
      <c r="BV161" s="47">
        <v>1E-3</v>
      </c>
      <c r="BW161" s="27">
        <f t="shared" si="174"/>
        <v>3.6588380716934485E-7</v>
      </c>
      <c r="BX161" s="47">
        <v>2E-3</v>
      </c>
      <c r="BY161" s="27">
        <f t="shared" si="175"/>
        <v>7.3176761433868969E-7</v>
      </c>
      <c r="BZ161" s="51">
        <f t="shared" si="176"/>
        <v>3.0299999999999989</v>
      </c>
      <c r="CA161" s="51">
        <f t="shared" si="177"/>
        <v>0.13</v>
      </c>
      <c r="CB161" s="27">
        <f t="shared" si="178"/>
        <v>1.1348126113177536E-3</v>
      </c>
      <c r="CC161" s="27">
        <f t="shared" si="179"/>
        <v>4.8755031540894716E-5</v>
      </c>
      <c r="CD161">
        <v>2.5</v>
      </c>
      <c r="CE161">
        <v>2.5</v>
      </c>
      <c r="CF161" t="s">
        <v>19</v>
      </c>
      <c r="CG161">
        <v>5</v>
      </c>
      <c r="CH161" s="32">
        <v>3.8</v>
      </c>
      <c r="CI161" s="32">
        <f t="shared" si="180"/>
        <v>6.8039391226499546E-2</v>
      </c>
      <c r="CJ161" s="32">
        <f t="shared" si="181"/>
        <v>6.8039391226499546E-2</v>
      </c>
      <c r="CK161" s="32">
        <v>5.9</v>
      </c>
      <c r="CL161" s="32">
        <f t="shared" si="182"/>
        <v>0.10740943018387039</v>
      </c>
      <c r="CM161" s="32">
        <f t="shared" si="183"/>
        <v>0.21481886036774078</v>
      </c>
      <c r="CN161" s="27">
        <v>46</v>
      </c>
      <c r="CO161" s="27">
        <f t="shared" si="184"/>
        <v>0.47886737455756817</v>
      </c>
      <c r="CP161" s="27">
        <f t="shared" si="185"/>
        <v>3.8309389964605454</v>
      </c>
      <c r="CQ161" s="57">
        <v>94</v>
      </c>
      <c r="CR161" s="57">
        <v>67.142857142857139</v>
      </c>
      <c r="CS161" s="57">
        <v>7.8284405579845924</v>
      </c>
      <c r="CT161" s="57">
        <f t="shared" si="186"/>
        <v>7.8284405579845924</v>
      </c>
      <c r="CU161" s="28">
        <v>64</v>
      </c>
      <c r="CV161" s="28">
        <v>58.18181818181818</v>
      </c>
      <c r="CW161" s="28">
        <v>5.3300020820320633</v>
      </c>
      <c r="CX161" s="28">
        <f t="shared" si="187"/>
        <v>5.3300020820320633</v>
      </c>
      <c r="CY161" s="32">
        <f t="shared" si="188"/>
        <v>54.642515094732452</v>
      </c>
      <c r="CZ161" s="32">
        <f t="shared" si="189"/>
        <v>54.642515094732452</v>
      </c>
      <c r="DA161" s="32">
        <f t="shared" si="190"/>
        <v>58.44251509473245</v>
      </c>
      <c r="DB161" s="32">
        <f t="shared" si="191"/>
        <v>1.0464192496818701</v>
      </c>
      <c r="DC161" s="32">
        <f t="shared" si="192"/>
        <v>1.0464192496818701</v>
      </c>
      <c r="DD161" s="59">
        <f t="shared" si="193"/>
        <v>37.2034145325838</v>
      </c>
      <c r="DE161" s="59">
        <f t="shared" si="194"/>
        <v>37.2034145325838</v>
      </c>
      <c r="DF161" s="59">
        <f t="shared" si="195"/>
        <v>41.003414532583797</v>
      </c>
      <c r="DG161" s="59">
        <f t="shared" si="196"/>
        <v>0.73417035868547531</v>
      </c>
      <c r="DH161" s="59">
        <f t="shared" si="197"/>
        <v>0.73417035868547531</v>
      </c>
      <c r="DI161" s="32">
        <f t="shared" si="198"/>
        <v>3.8309389964605454</v>
      </c>
      <c r="DJ161" s="32">
        <f t="shared" si="199"/>
        <v>46.903414532583795</v>
      </c>
      <c r="DK161" s="32">
        <f t="shared" si="200"/>
        <v>0.94898921905321609</v>
      </c>
      <c r="DL161">
        <f t="shared" si="201"/>
        <v>9.0896786680342032</v>
      </c>
      <c r="DM161">
        <f t="shared" si="150"/>
        <v>2.3633273321662866E-2</v>
      </c>
      <c r="DN161">
        <f t="shared" si="151"/>
        <v>0.11512169878587973</v>
      </c>
      <c r="DO161">
        <f t="shared" si="152"/>
        <v>0.86124502789245738</v>
      </c>
      <c r="DP161">
        <f t="shared" si="202"/>
        <v>6.2789913010852789</v>
      </c>
      <c r="DQ161">
        <f t="shared" si="153"/>
        <v>3.4212320111131685E-2</v>
      </c>
      <c r="DR161">
        <f t="shared" si="154"/>
        <v>0.11692488864550253</v>
      </c>
      <c r="DS161">
        <f t="shared" si="155"/>
        <v>0.84886279124336583</v>
      </c>
      <c r="DT161" s="63">
        <f t="shared" si="156"/>
        <v>-9.0822813363680979</v>
      </c>
      <c r="DU161" s="63">
        <f t="shared" si="157"/>
        <v>-6.2715939694191727</v>
      </c>
      <c r="DV161" s="63">
        <f t="shared" si="158"/>
        <v>-9.082232581336557</v>
      </c>
      <c r="DW161" s="63">
        <f t="shared" si="159"/>
        <v>-6.2715452143876318</v>
      </c>
      <c r="DX161" t="str">
        <f t="shared" si="203"/>
        <v>Sufficient Capacity</v>
      </c>
      <c r="DY161" t="str">
        <f t="shared" si="204"/>
        <v>Sufficient Capacity</v>
      </c>
      <c r="DZ161" t="str">
        <f t="shared" si="205"/>
        <v>Sulfate Dominant electron acceptor</v>
      </c>
      <c r="EA161" t="str">
        <f t="shared" si="160"/>
        <v>Sulfate Dominant electron acceptor</v>
      </c>
      <c r="EB161">
        <v>8.8524090000000003E-3</v>
      </c>
      <c r="EC161">
        <v>1.5672030000000001E-3</v>
      </c>
      <c r="ED161">
        <v>0</v>
      </c>
      <c r="EE161">
        <v>8.4171609999999998E-4</v>
      </c>
      <c r="EF161">
        <v>5.9275889999999996E-3</v>
      </c>
      <c r="EG161" s="66">
        <v>1.2667629999999999E-5</v>
      </c>
      <c r="EH161">
        <v>4.384929E-4</v>
      </c>
      <c r="EI161" s="66">
        <v>8.9002050000000003E-5</v>
      </c>
      <c r="EJ161">
        <v>6.1596730000000003E-4</v>
      </c>
      <c r="EK161">
        <v>9.5956760000000002E-4</v>
      </c>
      <c r="EL161">
        <v>5.9828330000000001E-4</v>
      </c>
      <c r="EM161">
        <v>4.7960510000000001E-4</v>
      </c>
      <c r="EN161">
        <v>2.1541500000000001E-3</v>
      </c>
      <c r="EO161">
        <v>1.0038130000000001E-3</v>
      </c>
      <c r="EP161">
        <v>2.5280020000000001E-3</v>
      </c>
      <c r="EQ161">
        <v>1.018576E-3</v>
      </c>
      <c r="ER161">
        <v>5.2834859999999998E-4</v>
      </c>
      <c r="ES161">
        <v>8.5282309999999998E-4</v>
      </c>
      <c r="ET161">
        <v>6.355879E-3</v>
      </c>
      <c r="EU161">
        <v>2.426423E-3</v>
      </c>
      <c r="EV161">
        <v>8.1736970000000006E-3</v>
      </c>
      <c r="EW161">
        <v>6.9787050000000002E-4</v>
      </c>
      <c r="EX161">
        <v>4.8089450000000002E-3</v>
      </c>
      <c r="EY161">
        <v>6.9035449999999996E-3</v>
      </c>
      <c r="EZ161">
        <v>1.5630679999999999E-3</v>
      </c>
      <c r="FA161">
        <v>1.267509E-3</v>
      </c>
      <c r="FB161">
        <v>1.294138E-3</v>
      </c>
      <c r="FC161">
        <v>1.9635070000000002E-3</v>
      </c>
      <c r="FD161">
        <v>3.4416820000000002E-4</v>
      </c>
      <c r="FE161">
        <v>2.5052359999999999E-2</v>
      </c>
      <c r="FF161">
        <v>1.67717E-2</v>
      </c>
      <c r="FG161">
        <v>9.5535069999999993E-3</v>
      </c>
      <c r="FH161">
        <v>8.1177289999999997E-4</v>
      </c>
      <c r="FI161">
        <v>1.5838989999999999E-3</v>
      </c>
      <c r="FJ161">
        <v>1.170042E-2</v>
      </c>
      <c r="FK161">
        <v>0.385045465722961</v>
      </c>
      <c r="FL161">
        <v>0.253472433524981</v>
      </c>
      <c r="FM161">
        <v>4.72672880971707E-2</v>
      </c>
      <c r="FN161">
        <v>0.38977146496718301</v>
      </c>
      <c r="FO161">
        <v>0.11447842807013101</v>
      </c>
      <c r="FP161">
        <v>0.33120687339836202</v>
      </c>
      <c r="FQ161">
        <v>0.28819066791287701</v>
      </c>
      <c r="FR161">
        <v>0.27239351328357397</v>
      </c>
      <c r="FS161">
        <v>0.62334304325093404</v>
      </c>
      <c r="FT161">
        <v>5.7624951106022101E-2</v>
      </c>
      <c r="FU161">
        <v>0.20677712734616999</v>
      </c>
      <c r="FV161">
        <v>0.17676710067576101</v>
      </c>
      <c r="FW161">
        <v>-0.170789503824331</v>
      </c>
      <c r="FX161">
        <v>0.28796610343164902</v>
      </c>
      <c r="FY161">
        <v>0.20282214381320801</v>
      </c>
      <c r="FZ161">
        <v>-0.31162665419932201</v>
      </c>
      <c r="GA161">
        <v>-0.13233481856771201</v>
      </c>
      <c r="GB161">
        <v>-7.83275617180514E-2</v>
      </c>
      <c r="GC161">
        <v>7.94966782869269E-2</v>
      </c>
      <c r="GD161">
        <v>-3.3898713148041701E-2</v>
      </c>
      <c r="GE161">
        <v>1.9127140823272298E-2</v>
      </c>
      <c r="GF161">
        <v>0.20448974473356801</v>
      </c>
      <c r="GG161">
        <v>0.29277223772996303</v>
      </c>
      <c r="GH161">
        <v>0.26936611733973098</v>
      </c>
      <c r="GI161">
        <v>4.6911552012792498E-2</v>
      </c>
      <c r="GJ161">
        <v>-3.7049484766746403E-2</v>
      </c>
      <c r="GK161">
        <v>7.1460328576405302E-2</v>
      </c>
      <c r="GL161">
        <v>0.11498946273543501</v>
      </c>
      <c r="GM161">
        <v>0.124701391785575</v>
      </c>
      <c r="GN161">
        <v>2.34489332228511E-2</v>
      </c>
      <c r="GO161">
        <v>9.80756423133817E-2</v>
      </c>
      <c r="GP161">
        <v>9.9532284231517401E-2</v>
      </c>
      <c r="GR161" s="66"/>
      <c r="GT161" s="66"/>
      <c r="GV161" s="66"/>
      <c r="GZ161" s="66"/>
      <c r="HK161" s="1"/>
      <c r="HL161" s="1"/>
      <c r="HM161" s="65"/>
      <c r="HN161" s="1"/>
      <c r="HO161" s="65"/>
      <c r="HP161" s="65"/>
      <c r="HQ161" s="65"/>
      <c r="HS161" s="65"/>
      <c r="HT161" s="65"/>
      <c r="HU161" s="65"/>
      <c r="HV161" s="65"/>
      <c r="HW161" s="65"/>
      <c r="HX161" s="65"/>
    </row>
    <row r="162" spans="1:278" ht="15.75" x14ac:dyDescent="0.25">
      <c r="A162" s="6" t="s">
        <v>214</v>
      </c>
      <c r="B162" s="6" t="s">
        <v>214</v>
      </c>
      <c r="C162" s="2" t="s">
        <v>1023</v>
      </c>
      <c r="D162" s="2" t="s">
        <v>604</v>
      </c>
      <c r="E162" s="2" t="s">
        <v>604</v>
      </c>
      <c r="F162" s="2">
        <v>161</v>
      </c>
      <c r="G162" s="2" t="s">
        <v>1022</v>
      </c>
      <c r="H162" s="10" t="s">
        <v>656</v>
      </c>
      <c r="I162" s="2">
        <v>150</v>
      </c>
      <c r="J162" s="2">
        <v>65</v>
      </c>
      <c r="K162" s="2">
        <v>5.5</v>
      </c>
      <c r="L162" t="s">
        <v>389</v>
      </c>
      <c r="M162" s="2" t="s">
        <v>1120</v>
      </c>
      <c r="N162" s="2" t="s">
        <v>437</v>
      </c>
      <c r="O162" s="2" t="s">
        <v>673</v>
      </c>
      <c r="P162" s="2" t="s">
        <v>1127</v>
      </c>
      <c r="Q162" s="9" t="s">
        <v>743</v>
      </c>
      <c r="R162" s="2" t="str">
        <f t="shared" si="145"/>
        <v>CW_3_Section_3</v>
      </c>
      <c r="S162" s="2" t="str">
        <f t="shared" si="146"/>
        <v>CW_3_MF09</v>
      </c>
      <c r="T162" s="11" t="s">
        <v>983</v>
      </c>
      <c r="U162" s="1">
        <v>45884</v>
      </c>
      <c r="V162" s="2" t="s">
        <v>692</v>
      </c>
      <c r="W162" s="2" t="s">
        <v>655</v>
      </c>
      <c r="X162" s="2" t="s">
        <v>982</v>
      </c>
      <c r="Y162" s="2" t="str">
        <f t="shared" si="147"/>
        <v>T6_MF09</v>
      </c>
      <c r="Z162" s="2" t="str">
        <f t="shared" si="148"/>
        <v>T6_CW_3_MF09</v>
      </c>
      <c r="AA162" s="2" t="str">
        <f t="shared" si="149"/>
        <v>T6_0.15-0.30</v>
      </c>
      <c r="AB162" s="2">
        <v>365</v>
      </c>
      <c r="AC162" s="2">
        <v>12.007</v>
      </c>
      <c r="AD162" s="2">
        <v>0.74</v>
      </c>
      <c r="AE162" s="2">
        <v>6</v>
      </c>
      <c r="AF162" t="s">
        <v>59</v>
      </c>
      <c r="AG162" t="s">
        <v>1237</v>
      </c>
      <c r="AH162">
        <v>68</v>
      </c>
      <c r="AI162">
        <v>24</v>
      </c>
      <c r="AJ162">
        <v>0.81</v>
      </c>
      <c r="AK162">
        <v>1.89</v>
      </c>
      <c r="AL162">
        <v>22.7</v>
      </c>
      <c r="AM162">
        <v>-114</v>
      </c>
      <c r="AN162">
        <v>7.22</v>
      </c>
      <c r="AO162">
        <v>1614</v>
      </c>
      <c r="AP162">
        <v>0.2</v>
      </c>
      <c r="AQ162">
        <v>0.01</v>
      </c>
      <c r="AR162">
        <v>9.1999999999999993</v>
      </c>
      <c r="AS162">
        <v>9.6999999999999993</v>
      </c>
      <c r="AT162">
        <v>130</v>
      </c>
      <c r="AU162" s="32">
        <f t="shared" si="161"/>
        <v>4.9929586480604277E-2</v>
      </c>
      <c r="AV162">
        <v>3.7</v>
      </c>
      <c r="AW162" s="32">
        <f t="shared" si="162"/>
        <v>1.4456262209680921E-3</v>
      </c>
      <c r="AX162">
        <v>180</v>
      </c>
      <c r="AY162" s="32">
        <f t="shared" si="163"/>
        <v>7.120655552415936E-2</v>
      </c>
      <c r="AZ162">
        <v>22</v>
      </c>
      <c r="BA162" s="32">
        <f t="shared" si="164"/>
        <v>8.7030234529528114E-3</v>
      </c>
      <c r="BB162">
        <v>2.5</v>
      </c>
      <c r="BC162" s="32">
        <f t="shared" si="165"/>
        <v>9.8897993783554671E-4</v>
      </c>
      <c r="BD162">
        <v>24.5</v>
      </c>
      <c r="BF162" s="48">
        <v>338.2</v>
      </c>
      <c r="BG162" s="48">
        <f t="shared" si="166"/>
        <v>0.12258176822573172</v>
      </c>
      <c r="BH162">
        <v>170</v>
      </c>
      <c r="BI162" s="32">
        <f t="shared" si="167"/>
        <v>6.3665444331746895E-2</v>
      </c>
      <c r="BJ162" s="47">
        <v>210</v>
      </c>
      <c r="BK162" s="27">
        <f t="shared" si="168"/>
        <v>7.8645548880393226E-2</v>
      </c>
      <c r="BL162" s="47">
        <v>1.9</v>
      </c>
      <c r="BM162" s="27">
        <f t="shared" si="169"/>
        <v>6.9912609238451931E-4</v>
      </c>
      <c r="BN162" s="47">
        <v>360</v>
      </c>
      <c r="BO162" s="27">
        <f t="shared" si="170"/>
        <v>0.13539977952143184</v>
      </c>
      <c r="BP162" s="47">
        <v>74</v>
      </c>
      <c r="BQ162" s="27">
        <f t="shared" si="171"/>
        <v>2.7601973288412948E-2</v>
      </c>
      <c r="BR162" s="47">
        <v>52</v>
      </c>
      <c r="BS162" s="27">
        <f t="shared" si="172"/>
        <v>1.9256017505470457E-2</v>
      </c>
      <c r="BT162" s="47">
        <v>3.4</v>
      </c>
      <c r="BU162" s="27">
        <f t="shared" si="173"/>
        <v>1.259047298434607E-3</v>
      </c>
      <c r="BV162" s="47">
        <v>0.56000000000000005</v>
      </c>
      <c r="BW162" s="27">
        <f t="shared" si="174"/>
        <v>2.0489493201483313E-4</v>
      </c>
      <c r="BX162" s="47">
        <v>0.41</v>
      </c>
      <c r="BY162" s="27">
        <f t="shared" si="175"/>
        <v>1.5001236093943138E-4</v>
      </c>
      <c r="BZ162" s="51">
        <f t="shared" si="176"/>
        <v>702.26999999999987</v>
      </c>
      <c r="CA162" s="51">
        <f t="shared" si="177"/>
        <v>492.27</v>
      </c>
      <c r="CB162" s="27">
        <f t="shared" si="178"/>
        <v>0.26321639987948187</v>
      </c>
      <c r="CC162" s="27">
        <f t="shared" si="179"/>
        <v>0.1845708509990886</v>
      </c>
      <c r="CD162">
        <v>500</v>
      </c>
      <c r="CE162">
        <v>960</v>
      </c>
      <c r="CF162" t="s">
        <v>19</v>
      </c>
      <c r="CG162">
        <v>1500</v>
      </c>
      <c r="CH162" s="32">
        <v>0.3</v>
      </c>
      <c r="CI162" s="32">
        <f t="shared" si="180"/>
        <v>5.3715308863025958E-3</v>
      </c>
      <c r="CJ162" s="32">
        <f t="shared" si="181"/>
        <v>5.3715308863025958E-3</v>
      </c>
      <c r="CK162" s="32">
        <v>1.1000000000000001</v>
      </c>
      <c r="CL162" s="32">
        <f t="shared" si="182"/>
        <v>2.0025486983433462E-2</v>
      </c>
      <c r="CM162" s="32">
        <f t="shared" si="183"/>
        <v>4.0050973966866923E-2</v>
      </c>
      <c r="CN162" s="27">
        <v>110</v>
      </c>
      <c r="CO162" s="27">
        <f t="shared" si="184"/>
        <v>1.1451176348115761</v>
      </c>
      <c r="CP162" s="27">
        <f t="shared" si="185"/>
        <v>9.1609410784926091</v>
      </c>
      <c r="CQ162" s="57">
        <v>30</v>
      </c>
      <c r="CR162" s="57">
        <v>21.428571428571427</v>
      </c>
      <c r="CS162" s="57">
        <v>2.4984384759525295</v>
      </c>
      <c r="CT162" s="57">
        <f t="shared" si="186"/>
        <v>2.4984384759525295</v>
      </c>
      <c r="CU162" s="28">
        <v>-44</v>
      </c>
      <c r="CV162" s="28">
        <v>-66.666666666666657</v>
      </c>
      <c r="CW162" s="28">
        <v>-3.6643764313970433</v>
      </c>
      <c r="CX162" s="28">
        <f t="shared" si="187"/>
        <v>0</v>
      </c>
      <c r="CY162" s="32">
        <f t="shared" si="188"/>
        <v>17.439100562148656</v>
      </c>
      <c r="CZ162" s="32">
        <f t="shared" si="189"/>
        <v>17.439100562148656</v>
      </c>
      <c r="DA162" s="32">
        <f t="shared" si="190"/>
        <v>17.739100562148657</v>
      </c>
      <c r="DB162" s="32">
        <f t="shared" si="191"/>
        <v>0.31762042188269751</v>
      </c>
      <c r="DC162" s="32">
        <f t="shared" si="192"/>
        <v>0.31762042188269751</v>
      </c>
      <c r="DD162" s="59">
        <f t="shared" si="193"/>
        <v>-25.577347491151361</v>
      </c>
      <c r="DE162" s="59">
        <f t="shared" si="194"/>
        <v>0</v>
      </c>
      <c r="DF162" s="59">
        <f t="shared" si="195"/>
        <v>0.3</v>
      </c>
      <c r="DG162" s="59">
        <f t="shared" si="196"/>
        <v>5.3715308863025958E-3</v>
      </c>
      <c r="DH162" s="59">
        <f t="shared" si="197"/>
        <v>5.3715308863025958E-3</v>
      </c>
      <c r="DI162" s="32">
        <f t="shared" si="198"/>
        <v>9.1609410784926091</v>
      </c>
      <c r="DJ162" s="32">
        <f t="shared" si="199"/>
        <v>1.4000000000000001</v>
      </c>
      <c r="DK162" s="32">
        <f t="shared" si="200"/>
        <v>4.5422504853169517E-2</v>
      </c>
      <c r="DL162">
        <f t="shared" si="201"/>
        <v>2.8561098718020941</v>
      </c>
      <c r="DM162">
        <f t="shared" si="150"/>
        <v>1.4022910799855301E-2</v>
      </c>
      <c r="DN162">
        <f t="shared" si="151"/>
        <v>0.11120735410724637</v>
      </c>
      <c r="DO162">
        <f t="shared" si="152"/>
        <v>0.87476973509289835</v>
      </c>
      <c r="DP162">
        <f t="shared" si="202"/>
        <v>4.5422504853169517E-2</v>
      </c>
      <c r="DQ162">
        <f t="shared" si="153"/>
        <v>0.88174296191576551</v>
      </c>
      <c r="DR162">
        <f t="shared" si="154"/>
        <v>0.11825703808423454</v>
      </c>
      <c r="DS162">
        <f t="shared" si="155"/>
        <v>0</v>
      </c>
      <c r="DT162" s="63">
        <f t="shared" si="156"/>
        <v>-2.6698626592446155</v>
      </c>
      <c r="DU162" s="63">
        <f t="shared" si="157"/>
        <v>0.1408247077043091</v>
      </c>
      <c r="DV162" s="63">
        <f t="shared" si="158"/>
        <v>-2.4852918082455266</v>
      </c>
      <c r="DW162" s="63">
        <f t="shared" si="159"/>
        <v>0.3253955587033977</v>
      </c>
      <c r="DX162" t="str">
        <f t="shared" si="203"/>
        <v>Sufficient Capacity</v>
      </c>
      <c r="DY162" t="str">
        <f t="shared" si="204"/>
        <v>Insufficient Capacity</v>
      </c>
      <c r="DZ162" t="str">
        <f t="shared" si="205"/>
        <v>Sulfate Dominant electron acceptor</v>
      </c>
      <c r="EA162" t="str">
        <f t="shared" si="160"/>
        <v>Iron Dominant electron acceptor</v>
      </c>
      <c r="EB162">
        <v>9.1284729999999998E-3</v>
      </c>
      <c r="EC162">
        <v>1.6554110000000001E-3</v>
      </c>
      <c r="ED162" s="66">
        <v>1.301512E-7</v>
      </c>
      <c r="EE162">
        <v>8.4580240000000002E-4</v>
      </c>
      <c r="EF162">
        <v>5.683685E-3</v>
      </c>
      <c r="EG162" s="66">
        <v>1.721999E-5</v>
      </c>
      <c r="EH162">
        <v>4.2830709999999998E-4</v>
      </c>
      <c r="EI162">
        <v>1.2030519999999999E-4</v>
      </c>
      <c r="EJ162">
        <v>6.029335E-4</v>
      </c>
      <c r="EK162">
        <v>1.002055E-3</v>
      </c>
      <c r="EL162">
        <v>5.5771819999999998E-4</v>
      </c>
      <c r="EM162">
        <v>3.4646159999999999E-4</v>
      </c>
      <c r="EN162">
        <v>2.2719010000000002E-3</v>
      </c>
      <c r="EO162">
        <v>9.4230870000000001E-4</v>
      </c>
      <c r="EP162">
        <v>2.5481789999999998E-3</v>
      </c>
      <c r="EQ162">
        <v>1.0719200000000001E-3</v>
      </c>
      <c r="ER162">
        <v>5.2984039999999998E-4</v>
      </c>
      <c r="ES162">
        <v>9.3143760000000001E-4</v>
      </c>
      <c r="ET162">
        <v>6.6692469999999997E-3</v>
      </c>
      <c r="EU162">
        <v>2.492626E-3</v>
      </c>
      <c r="EV162">
        <v>8.4814509999999992E-3</v>
      </c>
      <c r="EW162">
        <v>6.6668269999999995E-4</v>
      </c>
      <c r="EX162">
        <v>4.8560670000000004E-3</v>
      </c>
      <c r="EY162">
        <v>6.9507270000000003E-3</v>
      </c>
      <c r="EZ162">
        <v>1.609646E-3</v>
      </c>
      <c r="FA162">
        <v>1.2379890000000001E-3</v>
      </c>
      <c r="FB162">
        <v>1.294856E-3</v>
      </c>
      <c r="FC162">
        <v>2.048064E-3</v>
      </c>
      <c r="FD162">
        <v>3.8842880000000002E-4</v>
      </c>
      <c r="FE162">
        <v>2.443772E-2</v>
      </c>
      <c r="FF162">
        <v>1.6044889999999999E-2</v>
      </c>
      <c r="FG162">
        <v>9.2547389999999997E-3</v>
      </c>
      <c r="FH162">
        <v>8.0756990000000004E-4</v>
      </c>
      <c r="FI162">
        <v>1.6158380000000001E-3</v>
      </c>
      <c r="FJ162">
        <v>1.0999210000000001E-2</v>
      </c>
      <c r="FK162">
        <v>0.38988844431765002</v>
      </c>
      <c r="FL162">
        <v>0.211454669898543</v>
      </c>
      <c r="FM162">
        <v>0.35428828557849401</v>
      </c>
      <c r="FN162">
        <v>0.36626830649763698</v>
      </c>
      <c r="FO162">
        <v>0.41585087221200401</v>
      </c>
      <c r="FP162">
        <v>0.30981990441142598</v>
      </c>
      <c r="FQ162">
        <v>0.33151607194367599</v>
      </c>
      <c r="FR162">
        <v>0.20218294259132899</v>
      </c>
      <c r="FS162">
        <v>0.298151976270429</v>
      </c>
      <c r="FT162">
        <v>0.110845662879293</v>
      </c>
      <c r="FU162">
        <v>0.14354902732070801</v>
      </c>
      <c r="FV162">
        <v>0.18471681967203499</v>
      </c>
      <c r="FW162">
        <v>-0.119743644265476</v>
      </c>
      <c r="FX162">
        <v>0.29078563942813102</v>
      </c>
      <c r="FY162">
        <v>0.290999202596394</v>
      </c>
      <c r="FZ162">
        <v>-0.26349990556096098</v>
      </c>
      <c r="GA162">
        <v>-0.105416201747524</v>
      </c>
      <c r="GB162">
        <v>-4.1367333761496802E-2</v>
      </c>
      <c r="GC162">
        <v>3.3777343408126499E-2</v>
      </c>
      <c r="GD162">
        <v>-2.4147587462898901E-2</v>
      </c>
      <c r="GE162">
        <v>2.5938351460365699E-2</v>
      </c>
      <c r="GF162">
        <v>0.233853467206287</v>
      </c>
      <c r="GG162">
        <v>0.269206969604316</v>
      </c>
      <c r="GH162">
        <v>0.26992077294604599</v>
      </c>
      <c r="GI162">
        <v>8.9074348609821996E-2</v>
      </c>
      <c r="GJ162">
        <v>8.3929907898909306E-2</v>
      </c>
      <c r="GK162">
        <v>4.6620134168923001E-2</v>
      </c>
      <c r="GL162">
        <v>7.0686939361367607E-2</v>
      </c>
      <c r="GM162">
        <v>9.2928824228050794E-2</v>
      </c>
      <c r="GN162">
        <v>1.8257926799721599E-2</v>
      </c>
      <c r="GO162">
        <v>0.11803982112936499</v>
      </c>
      <c r="GP162">
        <v>3.7730997673709701E-2</v>
      </c>
      <c r="HK162" s="1"/>
      <c r="HL162" s="65"/>
      <c r="HM162" s="65"/>
      <c r="HN162" s="1"/>
      <c r="HO162" s="65"/>
      <c r="HP162" s="65"/>
      <c r="HQ162" s="65"/>
      <c r="HS162" s="65"/>
      <c r="HT162" s="65"/>
      <c r="HV162" s="65"/>
      <c r="HW162" s="65"/>
      <c r="HX162" s="65"/>
      <c r="JD162" s="66"/>
      <c r="JF162" s="66"/>
      <c r="JH162" s="66"/>
      <c r="JJ162" s="66"/>
      <c r="JL162" s="66"/>
      <c r="JN162" s="66"/>
    </row>
    <row r="163" spans="1:278" ht="15.75" x14ac:dyDescent="0.25">
      <c r="A163" s="6" t="s">
        <v>215</v>
      </c>
      <c r="B163" s="6" t="s">
        <v>215</v>
      </c>
      <c r="C163" s="2" t="s">
        <v>1025</v>
      </c>
      <c r="D163" s="2" t="s">
        <v>605</v>
      </c>
      <c r="E163" s="2" t="s">
        <v>605</v>
      </c>
      <c r="F163" s="2">
        <v>162</v>
      </c>
      <c r="G163" s="2" t="s">
        <v>1024</v>
      </c>
      <c r="H163" s="10" t="s">
        <v>656</v>
      </c>
      <c r="I163" s="2">
        <v>150</v>
      </c>
      <c r="J163" s="2">
        <v>65</v>
      </c>
      <c r="K163" s="2">
        <v>20.5</v>
      </c>
      <c r="L163" t="s">
        <v>390</v>
      </c>
      <c r="M163" s="2" t="s">
        <v>1120</v>
      </c>
      <c r="N163" s="2" t="s">
        <v>437</v>
      </c>
      <c r="O163" s="2" t="s">
        <v>673</v>
      </c>
      <c r="P163" s="2" t="s">
        <v>1128</v>
      </c>
      <c r="Q163" s="9" t="s">
        <v>746</v>
      </c>
      <c r="R163" s="2" t="str">
        <f t="shared" si="145"/>
        <v>CW_3_Section_3</v>
      </c>
      <c r="S163" s="2" t="str">
        <f t="shared" si="146"/>
        <v>CW_3_MF10</v>
      </c>
      <c r="T163" s="11" t="s">
        <v>983</v>
      </c>
      <c r="U163" s="1">
        <v>45884</v>
      </c>
      <c r="V163" s="2" t="s">
        <v>692</v>
      </c>
      <c r="W163" s="2" t="s">
        <v>663</v>
      </c>
      <c r="X163" s="2" t="s">
        <v>982</v>
      </c>
      <c r="Y163" s="2" t="str">
        <f t="shared" si="147"/>
        <v>T6_MF10</v>
      </c>
      <c r="Z163" s="2" t="str">
        <f t="shared" si="148"/>
        <v>T6_CW_3_MF10</v>
      </c>
      <c r="AA163" s="2" t="str">
        <f t="shared" si="149"/>
        <v>T6_0.60-0.80</v>
      </c>
      <c r="AB163" s="2">
        <v>365</v>
      </c>
      <c r="AC163" s="2">
        <v>12.007</v>
      </c>
      <c r="AD163" s="2">
        <v>0.74</v>
      </c>
      <c r="AE163" s="2">
        <v>6</v>
      </c>
      <c r="AF163" t="s">
        <v>61</v>
      </c>
      <c r="AG163" t="s">
        <v>1237</v>
      </c>
      <c r="AH163">
        <v>81</v>
      </c>
      <c r="AI163">
        <v>46</v>
      </c>
      <c r="AJ163">
        <v>1.2</v>
      </c>
      <c r="AK163">
        <v>1.89</v>
      </c>
      <c r="AL163">
        <v>22.8</v>
      </c>
      <c r="AM163">
        <v>-189</v>
      </c>
      <c r="AN163">
        <v>7.33</v>
      </c>
      <c r="AO163">
        <v>965</v>
      </c>
      <c r="AP163">
        <v>0.2</v>
      </c>
      <c r="AQ163">
        <v>0.01</v>
      </c>
      <c r="AR163">
        <v>30</v>
      </c>
      <c r="AS163">
        <v>29</v>
      </c>
      <c r="AT163">
        <v>240</v>
      </c>
      <c r="AU163" s="32">
        <f t="shared" si="161"/>
        <v>9.2177698118038665E-2</v>
      </c>
      <c r="AV163">
        <v>3.1</v>
      </c>
      <c r="AW163" s="32">
        <f t="shared" si="162"/>
        <v>1.2112003472975908E-3</v>
      </c>
      <c r="AX163">
        <v>43</v>
      </c>
      <c r="AY163" s="32">
        <f t="shared" si="163"/>
        <v>1.7010454930771402E-2</v>
      </c>
      <c r="AZ163">
        <v>37</v>
      </c>
      <c r="BA163" s="32">
        <f t="shared" si="164"/>
        <v>1.4636903079966092E-2</v>
      </c>
      <c r="BB163">
        <v>17</v>
      </c>
      <c r="BC163" s="32">
        <f t="shared" si="165"/>
        <v>6.725063577281718E-3</v>
      </c>
      <c r="BD163">
        <v>54</v>
      </c>
      <c r="BF163" s="48">
        <v>340.1</v>
      </c>
      <c r="BG163" s="48">
        <f t="shared" si="166"/>
        <v>0.11039935339610765</v>
      </c>
      <c r="BH163">
        <v>47</v>
      </c>
      <c r="BI163" s="32">
        <f t="shared" si="167"/>
        <v>1.7601622844659437E-2</v>
      </c>
      <c r="BJ163" s="47">
        <v>75</v>
      </c>
      <c r="BK163" s="27">
        <f t="shared" si="168"/>
        <v>2.8087696028711865E-2</v>
      </c>
      <c r="BL163" s="47">
        <v>0.01</v>
      </c>
      <c r="BM163" s="27">
        <f t="shared" si="169"/>
        <v>3.6796110125501018E-6</v>
      </c>
      <c r="BN163" s="47">
        <v>0.01</v>
      </c>
      <c r="BO163" s="27">
        <f t="shared" si="170"/>
        <v>3.7611049867064394E-6</v>
      </c>
      <c r="BP163" s="47">
        <v>5.0000000000000001E-3</v>
      </c>
      <c r="BQ163" s="27">
        <f t="shared" si="171"/>
        <v>1.8649981951630372E-6</v>
      </c>
      <c r="BR163" s="47">
        <v>1E-3</v>
      </c>
      <c r="BS163" s="27">
        <f t="shared" si="172"/>
        <v>3.7030802895135499E-7</v>
      </c>
      <c r="BT163" s="47">
        <v>1E-3</v>
      </c>
      <c r="BU163" s="27">
        <f t="shared" si="173"/>
        <v>3.7030802895135499E-7</v>
      </c>
      <c r="BV163" s="47">
        <v>1E-3</v>
      </c>
      <c r="BW163" s="27">
        <f t="shared" si="174"/>
        <v>3.6588380716934485E-7</v>
      </c>
      <c r="BX163" s="47">
        <v>2E-3</v>
      </c>
      <c r="BY163" s="27">
        <f t="shared" si="175"/>
        <v>7.3176761433868969E-7</v>
      </c>
      <c r="BZ163" s="51">
        <f t="shared" si="176"/>
        <v>75.030000000000015</v>
      </c>
      <c r="CA163" s="51">
        <f t="shared" si="177"/>
        <v>3.0000000000000006E-2</v>
      </c>
      <c r="CB163" s="27">
        <f t="shared" si="178"/>
        <v>2.8098840010385692E-2</v>
      </c>
      <c r="CC163" s="27">
        <f t="shared" si="179"/>
        <v>1.1143981673830322E-5</v>
      </c>
      <c r="CD163">
        <v>65</v>
      </c>
      <c r="CE163">
        <v>2.5</v>
      </c>
      <c r="CF163" t="s">
        <v>19</v>
      </c>
      <c r="CG163">
        <v>75</v>
      </c>
      <c r="CH163" s="32">
        <v>30</v>
      </c>
      <c r="CI163" s="32">
        <f t="shared" si="180"/>
        <v>0.53715308863025957</v>
      </c>
      <c r="CJ163" s="32">
        <f t="shared" si="181"/>
        <v>0.53715308863025957</v>
      </c>
      <c r="CK163" s="32">
        <v>7.9</v>
      </c>
      <c r="CL163" s="32">
        <f t="shared" si="182"/>
        <v>0.14381940651738578</v>
      </c>
      <c r="CM163" s="32">
        <f t="shared" si="183"/>
        <v>0.28763881303477157</v>
      </c>
      <c r="CN163" s="27">
        <v>0.5</v>
      </c>
      <c r="CO163" s="27">
        <f t="shared" si="184"/>
        <v>5.2050801582344368E-3</v>
      </c>
      <c r="CP163" s="27">
        <f t="shared" si="185"/>
        <v>4.1640641265875494E-2</v>
      </c>
      <c r="CQ163" s="57">
        <v>139.5</v>
      </c>
      <c r="CR163" s="57">
        <v>99.642857142857139</v>
      </c>
      <c r="CS163" s="57">
        <v>11.617738913179263</v>
      </c>
      <c r="CT163" s="57">
        <f t="shared" si="186"/>
        <v>11.617738913179263</v>
      </c>
      <c r="CU163" s="28">
        <v>45.5</v>
      </c>
      <c r="CV163" s="28">
        <v>98.91304347826086</v>
      </c>
      <c r="CW163" s="28">
        <v>3.7892983551946697</v>
      </c>
      <c r="CX163" s="28">
        <f t="shared" si="187"/>
        <v>3.7892983551946697</v>
      </c>
      <c r="CY163" s="32">
        <f t="shared" si="188"/>
        <v>81.091817613991253</v>
      </c>
      <c r="CZ163" s="32">
        <f t="shared" si="189"/>
        <v>81.091817613991253</v>
      </c>
      <c r="DA163" s="32">
        <f t="shared" si="190"/>
        <v>111.09181761399125</v>
      </c>
      <c r="DB163" s="32">
        <f t="shared" si="191"/>
        <v>1.989110431763496</v>
      </c>
      <c r="DC163" s="32">
        <f t="shared" si="192"/>
        <v>1.989110431763496</v>
      </c>
      <c r="DD163" s="59">
        <f t="shared" si="193"/>
        <v>26.449302519258794</v>
      </c>
      <c r="DE163" s="59">
        <f t="shared" si="194"/>
        <v>26.449302519258794</v>
      </c>
      <c r="DF163" s="59">
        <f t="shared" si="195"/>
        <v>56.449302519258794</v>
      </c>
      <c r="DG163" s="59">
        <f t="shared" si="196"/>
        <v>1.0107305733081251</v>
      </c>
      <c r="DH163" s="59">
        <f t="shared" si="197"/>
        <v>1.0107305733081251</v>
      </c>
      <c r="DI163" s="32">
        <f t="shared" si="198"/>
        <v>4.1640641265875494E-2</v>
      </c>
      <c r="DJ163" s="32">
        <f t="shared" si="199"/>
        <v>64.349302519258799</v>
      </c>
      <c r="DK163" s="32">
        <f t="shared" si="200"/>
        <v>1.2983693863428967</v>
      </c>
      <c r="DL163">
        <f t="shared" si="201"/>
        <v>13.894488157977531</v>
      </c>
      <c r="DM163">
        <f t="shared" si="150"/>
        <v>2.0701648723175422E-2</v>
      </c>
      <c r="DN163">
        <f t="shared" si="151"/>
        <v>0.14315823721951548</v>
      </c>
      <c r="DO163">
        <f t="shared" si="152"/>
        <v>0.83614011405730915</v>
      </c>
      <c r="DP163">
        <f t="shared" si="202"/>
        <v>5.0876677415375662</v>
      </c>
      <c r="DQ163">
        <f t="shared" si="153"/>
        <v>5.6536477546751708E-2</v>
      </c>
      <c r="DR163">
        <f t="shared" si="154"/>
        <v>0.19866284998451331</v>
      </c>
      <c r="DS163">
        <f t="shared" si="155"/>
        <v>0.74480067246873505</v>
      </c>
      <c r="DT163" s="63">
        <f t="shared" si="156"/>
        <v>-13.766487181736764</v>
      </c>
      <c r="DU163" s="63">
        <f t="shared" si="157"/>
        <v>-4.9596667652967987</v>
      </c>
      <c r="DV163" s="63">
        <f t="shared" si="158"/>
        <v>-13.766476037755091</v>
      </c>
      <c r="DW163" s="63">
        <f t="shared" si="159"/>
        <v>-4.9596556213151253</v>
      </c>
      <c r="DX163" t="str">
        <f t="shared" si="203"/>
        <v>Sufficient Capacity</v>
      </c>
      <c r="DY163" t="str">
        <f t="shared" si="204"/>
        <v>Sufficient Capacity</v>
      </c>
      <c r="DZ163" t="str">
        <f t="shared" si="205"/>
        <v>Sulfate Dominant electron acceptor</v>
      </c>
      <c r="EA163" t="str">
        <f t="shared" si="160"/>
        <v>Sulfate Dominant electron acceptor</v>
      </c>
      <c r="EB163">
        <v>9.4214280000000008E-3</v>
      </c>
      <c r="EC163">
        <v>1.5043700000000001E-3</v>
      </c>
      <c r="ED163" s="66">
        <v>6.0372659999999997E-7</v>
      </c>
      <c r="EE163">
        <v>8.5075280000000003E-4</v>
      </c>
      <c r="EF163">
        <v>5.0909980000000002E-3</v>
      </c>
      <c r="EG163" s="66">
        <v>1.5444039999999999E-5</v>
      </c>
      <c r="EH163">
        <v>5.0192840000000004E-4</v>
      </c>
      <c r="EI163" s="66">
        <v>7.0750830000000002E-5</v>
      </c>
      <c r="EJ163">
        <v>5.6530600000000001E-4</v>
      </c>
      <c r="EK163">
        <v>8.9713040000000003E-4</v>
      </c>
      <c r="EL163">
        <v>5.7459380000000003E-4</v>
      </c>
      <c r="EM163">
        <v>3.8275039999999998E-4</v>
      </c>
      <c r="EN163">
        <v>2.4148310000000001E-3</v>
      </c>
      <c r="EO163">
        <v>9.2388959999999999E-4</v>
      </c>
      <c r="EP163">
        <v>2.6213109999999999E-3</v>
      </c>
      <c r="EQ163">
        <v>1.1228449999999999E-3</v>
      </c>
      <c r="ER163">
        <v>4.2154660000000001E-4</v>
      </c>
      <c r="ES163">
        <v>9.4230729999999997E-4</v>
      </c>
      <c r="ET163">
        <v>1.019577E-2</v>
      </c>
      <c r="EU163">
        <v>2.6494470000000001E-3</v>
      </c>
      <c r="EV163">
        <v>8.096097E-3</v>
      </c>
      <c r="EW163">
        <v>7.0986080000000004E-4</v>
      </c>
      <c r="EX163">
        <v>4.6392719999999998E-3</v>
      </c>
      <c r="EY163">
        <v>6.7220300000000004E-3</v>
      </c>
      <c r="EZ163">
        <v>1.532839E-3</v>
      </c>
      <c r="FA163">
        <v>1.262333E-3</v>
      </c>
      <c r="FB163">
        <v>1.322043E-3</v>
      </c>
      <c r="FC163">
        <v>1.98139E-3</v>
      </c>
      <c r="FD163">
        <v>4.336961E-4</v>
      </c>
      <c r="FE163">
        <v>2.7616269999999998E-2</v>
      </c>
      <c r="FF163">
        <v>1.289334E-2</v>
      </c>
      <c r="FG163">
        <v>7.8437239999999998E-3</v>
      </c>
      <c r="FH163">
        <v>6.9907620000000004E-4</v>
      </c>
      <c r="FI163">
        <v>1.448445E-3</v>
      </c>
      <c r="FJ163">
        <v>9.2883340000000005E-3</v>
      </c>
      <c r="FK163">
        <v>0.39572428632227302</v>
      </c>
      <c r="FL163">
        <v>0.10132876198856799</v>
      </c>
      <c r="FM163">
        <v>0.24544053570039601</v>
      </c>
      <c r="FN163">
        <v>0.52488532488527895</v>
      </c>
      <c r="FO163">
        <v>-0.115016707201305</v>
      </c>
      <c r="FP163">
        <v>0.245380173147735</v>
      </c>
      <c r="FQ163">
        <v>0.22090912654592901</v>
      </c>
      <c r="FR163">
        <v>0.231992482067779</v>
      </c>
      <c r="FS163">
        <v>0.397763065898392</v>
      </c>
      <c r="FT163">
        <v>0.17185804227322601</v>
      </c>
      <c r="FU163">
        <v>0.12380868340602499</v>
      </c>
      <c r="FV163">
        <v>0.213012407555452</v>
      </c>
      <c r="FW163">
        <v>-7.3329434185728501E-2</v>
      </c>
      <c r="FX163">
        <v>6.21401391703005E-2</v>
      </c>
      <c r="FY163">
        <v>0.30260144571117298</v>
      </c>
      <c r="FZ163">
        <v>0.160966062831294</v>
      </c>
      <c r="GA163">
        <v>-4.4402036002349397E-2</v>
      </c>
      <c r="GB163">
        <v>-8.7866783719854305E-2</v>
      </c>
      <c r="GC163">
        <v>9.6532017299127304E-2</v>
      </c>
      <c r="GD163">
        <v>-6.9818981112111295E-2</v>
      </c>
      <c r="GE163">
        <v>-7.5177147118230501E-3</v>
      </c>
      <c r="GF163">
        <v>0.184960759705879</v>
      </c>
      <c r="GG163">
        <v>0.28868027687050601</v>
      </c>
      <c r="GH163">
        <v>0.29069954826413502</v>
      </c>
      <c r="GI163">
        <v>5.5978010528378697E-2</v>
      </c>
      <c r="GJ163">
        <v>0.194164082280124</v>
      </c>
      <c r="GK163">
        <v>0.16889738570044299</v>
      </c>
      <c r="GL163">
        <v>-0.14799258047872799</v>
      </c>
      <c r="GM163">
        <v>-7.2493198841780099E-2</v>
      </c>
      <c r="GN163">
        <v>-0.12601193885030601</v>
      </c>
      <c r="GO163">
        <v>8.6766807725924301E-3</v>
      </c>
      <c r="GP163">
        <v>-0.13133325023577799</v>
      </c>
      <c r="GR163" s="66"/>
      <c r="GT163" s="66"/>
      <c r="GV163" s="66"/>
      <c r="GZ163" s="66"/>
      <c r="HK163" s="1"/>
      <c r="HL163" s="1"/>
      <c r="HM163" s="1"/>
      <c r="HN163" s="1"/>
      <c r="HO163" s="65"/>
      <c r="HP163" s="65"/>
      <c r="HQ163" s="65"/>
      <c r="HS163" s="65"/>
      <c r="HT163" s="65"/>
      <c r="HU163" s="65"/>
      <c r="HV163" s="65"/>
      <c r="HW163" s="65"/>
      <c r="HX163" s="65"/>
      <c r="JJ163" s="66"/>
      <c r="JL163" s="66"/>
      <c r="JN163" s="66"/>
    </row>
    <row r="164" spans="1:278" ht="15.75" x14ac:dyDescent="0.25">
      <c r="A164" s="29" t="s">
        <v>216</v>
      </c>
      <c r="B164" s="29" t="s">
        <v>216</v>
      </c>
      <c r="C164" s="29" t="s">
        <v>1027</v>
      </c>
      <c r="D164" s="29" t="s">
        <v>606</v>
      </c>
      <c r="E164" s="29" t="s">
        <v>606</v>
      </c>
      <c r="F164" s="29">
        <v>163</v>
      </c>
      <c r="G164" s="29" t="s">
        <v>1026</v>
      </c>
      <c r="H164" s="30" t="s">
        <v>656</v>
      </c>
      <c r="I164" s="29">
        <v>150</v>
      </c>
      <c r="J164" s="29">
        <v>65</v>
      </c>
      <c r="K164" s="29">
        <v>9.85</v>
      </c>
      <c r="L164" s="32" t="s">
        <v>391</v>
      </c>
      <c r="M164" s="29" t="s">
        <v>1118</v>
      </c>
      <c r="N164" s="29" t="s">
        <v>688</v>
      </c>
      <c r="O164" s="29" t="s">
        <v>687</v>
      </c>
      <c r="P164" s="29" t="s">
        <v>1118</v>
      </c>
      <c r="Q164" s="29" t="s">
        <v>443</v>
      </c>
      <c r="R164" s="2" t="str">
        <f t="shared" si="145"/>
        <v>CW_0_Section_0</v>
      </c>
      <c r="S164" s="2" t="str">
        <f t="shared" si="146"/>
        <v>CW_0_INF</v>
      </c>
      <c r="T164" s="31" t="s">
        <v>1029</v>
      </c>
      <c r="U164" s="33">
        <v>45957</v>
      </c>
      <c r="V164" s="29" t="s">
        <v>752</v>
      </c>
      <c r="W164" s="29" t="s">
        <v>1118</v>
      </c>
      <c r="X164" s="29" t="s">
        <v>1028</v>
      </c>
      <c r="Y164" s="2" t="str">
        <f t="shared" si="147"/>
        <v>T7_INF</v>
      </c>
      <c r="Z164" s="2" t="str">
        <f t="shared" si="148"/>
        <v>T7_CW_0_INF</v>
      </c>
      <c r="AA164" s="2" t="str">
        <f t="shared" si="149"/>
        <v>T7_INF</v>
      </c>
      <c r="AB164" s="2">
        <v>440</v>
      </c>
      <c r="AC164" s="2">
        <v>14.474</v>
      </c>
      <c r="AD164" s="2">
        <v>1.22</v>
      </c>
      <c r="AE164" s="2">
        <v>7</v>
      </c>
      <c r="AF164" s="32" t="s">
        <v>27</v>
      </c>
      <c r="AG164" t="s">
        <v>1237</v>
      </c>
      <c r="AH164" s="32">
        <v>76</v>
      </c>
      <c r="AI164" s="32" t="s">
        <v>443</v>
      </c>
      <c r="AJ164" s="32">
        <v>0.9</v>
      </c>
      <c r="AK164" s="32" t="s">
        <v>443</v>
      </c>
      <c r="AL164" s="32" t="s">
        <v>443</v>
      </c>
      <c r="AM164" s="32" t="s">
        <v>443</v>
      </c>
      <c r="AN164" s="32" t="s">
        <v>443</v>
      </c>
      <c r="AO164" s="32" t="s">
        <v>443</v>
      </c>
      <c r="AP164" s="32" t="s">
        <v>443</v>
      </c>
      <c r="AQ164" s="32">
        <v>0.1</v>
      </c>
      <c r="AR164" s="32">
        <v>12</v>
      </c>
      <c r="AS164" s="32">
        <v>14</v>
      </c>
      <c r="AT164" s="32">
        <v>520</v>
      </c>
      <c r="AU164" s="32">
        <f t="shared" si="161"/>
        <v>0.19971834592241711</v>
      </c>
      <c r="AV164" s="32">
        <v>81</v>
      </c>
      <c r="AW164" s="32">
        <f t="shared" si="162"/>
        <v>3.1647492945517691E-2</v>
      </c>
      <c r="AX164" s="32">
        <v>660</v>
      </c>
      <c r="AY164" s="32">
        <f t="shared" si="163"/>
        <v>0.26109070358858438</v>
      </c>
      <c r="AZ164" s="32">
        <v>260</v>
      </c>
      <c r="BA164" s="32">
        <f t="shared" si="164"/>
        <v>0.10285391353489687</v>
      </c>
      <c r="BB164" s="32">
        <v>440</v>
      </c>
      <c r="BC164" s="32">
        <f t="shared" si="165"/>
        <v>0.17406046905905623</v>
      </c>
      <c r="BD164" s="32">
        <v>700</v>
      </c>
      <c r="BE164" s="32"/>
      <c r="BF164" s="48">
        <v>1961</v>
      </c>
      <c r="BG164" s="48">
        <f t="shared" si="166"/>
        <v>0.49245654245651915</v>
      </c>
      <c r="BH164" s="32">
        <v>3700</v>
      </c>
      <c r="BI164" s="32">
        <f t="shared" si="167"/>
        <v>1.3856596707497855</v>
      </c>
      <c r="BJ164" s="47">
        <v>8200</v>
      </c>
      <c r="BK164" s="27">
        <f t="shared" si="168"/>
        <v>3.0709214324724976</v>
      </c>
      <c r="BL164" s="47">
        <v>68</v>
      </c>
      <c r="BM164" s="27">
        <f t="shared" si="169"/>
        <v>2.5021354885340692E-2</v>
      </c>
      <c r="BN164" s="47">
        <v>400</v>
      </c>
      <c r="BO164" s="27">
        <f t="shared" si="170"/>
        <v>0.15044419946825757</v>
      </c>
      <c r="BP164" s="47">
        <v>120</v>
      </c>
      <c r="BQ164" s="27">
        <f t="shared" si="171"/>
        <v>4.4759956683912888E-2</v>
      </c>
      <c r="BR164" s="47">
        <v>120</v>
      </c>
      <c r="BS164" s="27">
        <f t="shared" si="172"/>
        <v>4.4436963474162601E-2</v>
      </c>
      <c r="BT164" s="47">
        <v>21</v>
      </c>
      <c r="BU164" s="27">
        <f t="shared" si="173"/>
        <v>7.7764686079784548E-3</v>
      </c>
      <c r="BV164" s="47">
        <v>13</v>
      </c>
      <c r="BW164" s="27">
        <f t="shared" si="174"/>
        <v>4.756489493201484E-3</v>
      </c>
      <c r="BX164" s="47">
        <v>14</v>
      </c>
      <c r="BY164" s="27">
        <f t="shared" si="175"/>
        <v>5.1223733003708284E-3</v>
      </c>
      <c r="BZ164" s="51">
        <f t="shared" si="176"/>
        <v>8956</v>
      </c>
      <c r="CA164" s="51">
        <f t="shared" si="177"/>
        <v>756</v>
      </c>
      <c r="CB164" s="27">
        <f t="shared" si="178"/>
        <v>3.3532392383857226</v>
      </c>
      <c r="CC164" s="27">
        <f t="shared" si="179"/>
        <v>0.28231780591322458</v>
      </c>
      <c r="CD164" s="32">
        <v>8200</v>
      </c>
      <c r="CE164" s="32">
        <v>2500</v>
      </c>
      <c r="CF164" s="32" t="s">
        <v>19</v>
      </c>
      <c r="CG164" s="32">
        <v>11000</v>
      </c>
      <c r="CH164" s="32">
        <v>0.02</v>
      </c>
      <c r="CI164" s="32">
        <f t="shared" si="180"/>
        <v>3.5810205908683976E-4</v>
      </c>
      <c r="CJ164" s="32">
        <f t="shared" si="181"/>
        <v>3.5810205908683976E-4</v>
      </c>
      <c r="CK164" s="32">
        <v>0.05</v>
      </c>
      <c r="CL164" s="32">
        <f t="shared" si="182"/>
        <v>9.1024940833788468E-4</v>
      </c>
      <c r="CM164" s="32">
        <f t="shared" si="183"/>
        <v>1.8204988166757694E-3</v>
      </c>
      <c r="CN164" s="32">
        <v>25</v>
      </c>
      <c r="CO164" s="32">
        <f t="shared" si="184"/>
        <v>0.26025400791172182</v>
      </c>
      <c r="CP164" s="32">
        <f t="shared" si="185"/>
        <v>2.0820320632937745</v>
      </c>
      <c r="CQ164" s="57">
        <v>0</v>
      </c>
      <c r="CR164" s="57">
        <v>0</v>
      </c>
      <c r="CS164" s="57">
        <v>0</v>
      </c>
      <c r="CT164" s="57">
        <f t="shared" si="186"/>
        <v>0</v>
      </c>
      <c r="CU164" s="28">
        <v>0</v>
      </c>
      <c r="CV164" s="28">
        <v>0</v>
      </c>
      <c r="CW164" s="28">
        <v>0</v>
      </c>
      <c r="CX164" s="28">
        <f t="shared" si="187"/>
        <v>0</v>
      </c>
      <c r="CY164" s="32">
        <f t="shared" si="188"/>
        <v>0</v>
      </c>
      <c r="CZ164" s="32">
        <f t="shared" si="189"/>
        <v>0</v>
      </c>
      <c r="DA164" s="32">
        <f t="shared" si="190"/>
        <v>0.02</v>
      </c>
      <c r="DB164" s="32">
        <f t="shared" si="191"/>
        <v>3.5810205908683976E-4</v>
      </c>
      <c r="DC164" s="32">
        <f t="shared" si="192"/>
        <v>3.5810205908683976E-4</v>
      </c>
      <c r="DD164" s="59">
        <f t="shared" si="193"/>
        <v>0</v>
      </c>
      <c r="DE164" s="59">
        <f t="shared" si="194"/>
        <v>0</v>
      </c>
      <c r="DF164" s="59">
        <f t="shared" si="195"/>
        <v>0.02</v>
      </c>
      <c r="DG164" s="59">
        <f t="shared" si="196"/>
        <v>3.5810205908683976E-4</v>
      </c>
      <c r="DH164" s="59">
        <f t="shared" si="197"/>
        <v>3.5810205908683976E-4</v>
      </c>
      <c r="DI164" s="32">
        <f t="shared" si="198"/>
        <v>2.0820320632937745</v>
      </c>
      <c r="DJ164" s="32">
        <f t="shared" si="199"/>
        <v>7.0000000000000007E-2</v>
      </c>
      <c r="DK164" s="32">
        <f t="shared" si="200"/>
        <v>2.1786008757626093E-3</v>
      </c>
      <c r="DL164">
        <f t="shared" si="201"/>
        <v>2.1786008757626093E-3</v>
      </c>
      <c r="DM164">
        <f t="shared" si="150"/>
        <v>0.8356275061344185</v>
      </c>
      <c r="DN164">
        <f t="shared" si="151"/>
        <v>0.16437249386558139</v>
      </c>
      <c r="DO164">
        <f t="shared" si="152"/>
        <v>0</v>
      </c>
      <c r="DP164">
        <f t="shared" si="202"/>
        <v>2.1786008757626093E-3</v>
      </c>
      <c r="DQ164">
        <f t="shared" si="153"/>
        <v>0.8356275061344185</v>
      </c>
      <c r="DR164">
        <f t="shared" si="154"/>
        <v>0.16437249386558139</v>
      </c>
      <c r="DS164">
        <f t="shared" si="155"/>
        <v>0</v>
      </c>
      <c r="DT164" s="63">
        <f t="shared" si="156"/>
        <v>1.8759376123305418</v>
      </c>
      <c r="DU164" s="63">
        <f t="shared" si="157"/>
        <v>1.8759376123305418</v>
      </c>
      <c r="DV164" s="63">
        <f t="shared" si="158"/>
        <v>2.1582554182437663</v>
      </c>
      <c r="DW164" s="63">
        <f t="shared" si="159"/>
        <v>2.1582554182437663</v>
      </c>
      <c r="DX164" t="str">
        <f t="shared" si="203"/>
        <v>Insufficient Capacity</v>
      </c>
      <c r="DY164" t="str">
        <f t="shared" si="204"/>
        <v>Insufficient Capacity</v>
      </c>
      <c r="DZ164" t="str">
        <f t="shared" si="205"/>
        <v>Iron Dominant electron acceptor</v>
      </c>
      <c r="EA164" t="str">
        <f t="shared" si="160"/>
        <v>Iron Dominant electron acceptor</v>
      </c>
      <c r="EB164">
        <v>1.0765759999999999E-2</v>
      </c>
      <c r="EC164">
        <v>1.9059389999999999E-3</v>
      </c>
      <c r="ED164">
        <v>0</v>
      </c>
      <c r="EE164">
        <v>5.0725529999999996E-4</v>
      </c>
      <c r="EF164">
        <v>3.2194659999999998E-3</v>
      </c>
      <c r="EG164" s="66">
        <v>5.9769939999999995E-7</v>
      </c>
      <c r="EH164">
        <v>1.254014E-4</v>
      </c>
      <c r="EI164" s="66">
        <v>3.124234E-5</v>
      </c>
      <c r="EJ164">
        <v>4.3035859999999998E-4</v>
      </c>
      <c r="EK164">
        <v>5.7236709999999998E-4</v>
      </c>
      <c r="EL164">
        <v>4.5078119999999999E-4</v>
      </c>
      <c r="EM164">
        <v>2.0013489999999999E-4</v>
      </c>
      <c r="EN164">
        <v>1.7458910000000001E-3</v>
      </c>
      <c r="EO164">
        <v>6.1510570000000004E-4</v>
      </c>
      <c r="EP164">
        <v>1.4846200000000001E-3</v>
      </c>
      <c r="EQ164">
        <v>1.763323E-3</v>
      </c>
      <c r="ER164">
        <v>1.9619710000000001E-4</v>
      </c>
      <c r="ES164">
        <v>3.9775010000000003E-4</v>
      </c>
      <c r="ET164">
        <v>7.3279570000000004E-3</v>
      </c>
      <c r="EU164">
        <v>2.7330560000000002E-3</v>
      </c>
      <c r="EV164">
        <v>1.0241739999999999E-2</v>
      </c>
      <c r="EW164">
        <v>7.4183799999999998E-4</v>
      </c>
      <c r="EX164">
        <v>6.0023300000000002E-3</v>
      </c>
      <c r="EY164">
        <v>7.3275629999999996E-3</v>
      </c>
      <c r="EZ164">
        <v>6.485067E-4</v>
      </c>
      <c r="FA164">
        <v>5.1942939999999999E-4</v>
      </c>
      <c r="FB164">
        <v>5.4270770000000004E-4</v>
      </c>
      <c r="FC164">
        <v>1.557791E-3</v>
      </c>
      <c r="FD164">
        <v>1.1594990000000001E-4</v>
      </c>
      <c r="FE164">
        <v>2.0058739999999999E-2</v>
      </c>
      <c r="FF164">
        <v>2.2156599999999999E-2</v>
      </c>
      <c r="FG164">
        <v>1.1243609999999999E-2</v>
      </c>
      <c r="FH164">
        <v>9.3366249999999999E-4</v>
      </c>
      <c r="FI164">
        <v>1.016638E-3</v>
      </c>
      <c r="FJ164">
        <v>1.4707639999999999E-2</v>
      </c>
      <c r="FK164">
        <v>-0.121382891118825</v>
      </c>
      <c r="FL164">
        <v>-0.35692961278715202</v>
      </c>
      <c r="FM164">
        <v>-3.0064499597013499</v>
      </c>
      <c r="FN164">
        <v>-0.86205236274100505</v>
      </c>
      <c r="FO164">
        <v>-0.93240674896900899</v>
      </c>
      <c r="FP164">
        <v>-2.7368189680565501E-2</v>
      </c>
      <c r="FQ164">
        <v>-0.22851152967247801</v>
      </c>
      <c r="FR164">
        <v>-1.06887966463116E-2</v>
      </c>
      <c r="FS164">
        <v>-0.25062837453228998</v>
      </c>
      <c r="FT164">
        <v>-0.15250623602569099</v>
      </c>
      <c r="FU164">
        <v>-0.28298977762053701</v>
      </c>
      <c r="FV164">
        <v>-0.35550331949501701</v>
      </c>
      <c r="FW164">
        <v>0.37800501980781498</v>
      </c>
      <c r="FX164">
        <v>-0.702670423507054</v>
      </c>
      <c r="FY164">
        <v>-0.55990607784147595</v>
      </c>
      <c r="FZ164">
        <v>-0.16931010611163</v>
      </c>
      <c r="GA164">
        <v>-1.3332577938951E-2</v>
      </c>
      <c r="GB164">
        <v>0.147222649632789</v>
      </c>
      <c r="GC164">
        <v>0.140594013312549</v>
      </c>
      <c r="GD164">
        <v>0.18777128869051499</v>
      </c>
      <c r="GE164">
        <v>7.8735084351927206E-2</v>
      </c>
      <c r="GF164">
        <v>-0.67524375558216299</v>
      </c>
      <c r="GG164">
        <v>-0.59930569690158197</v>
      </c>
      <c r="GH164">
        <v>-0.59966312880718398</v>
      </c>
      <c r="GI164">
        <v>-0.18455181597050099</v>
      </c>
      <c r="GJ164">
        <v>-1.1250217748692499</v>
      </c>
      <c r="GK164">
        <v>-0.150842737097927</v>
      </c>
      <c r="GL164">
        <v>0.39343194104600998</v>
      </c>
      <c r="GM164">
        <v>0.28759304685001102</v>
      </c>
      <c r="GN164">
        <v>0.16334333587196401</v>
      </c>
      <c r="GO164">
        <v>-0.345312781587303</v>
      </c>
      <c r="GP164">
        <v>0.32827463230029102</v>
      </c>
      <c r="GY164" s="65"/>
      <c r="HK164" s="1"/>
      <c r="HL164" s="1"/>
      <c r="HM164" s="65"/>
      <c r="HN164" s="1"/>
      <c r="JD164" s="66"/>
      <c r="JF164" s="66"/>
      <c r="JH164" s="66"/>
      <c r="JJ164" s="66"/>
      <c r="JL164" s="66"/>
      <c r="JN164" s="66"/>
    </row>
    <row r="165" spans="1:278" ht="15.75" x14ac:dyDescent="0.25">
      <c r="A165" s="5" t="s">
        <v>217</v>
      </c>
      <c r="B165" s="5" t="s">
        <v>217</v>
      </c>
      <c r="C165" s="2" t="s">
        <v>1031</v>
      </c>
      <c r="D165" s="2" t="s">
        <v>607</v>
      </c>
      <c r="E165" s="2" t="s">
        <v>607</v>
      </c>
      <c r="F165" s="2">
        <v>164</v>
      </c>
      <c r="G165" s="2" t="s">
        <v>1030</v>
      </c>
      <c r="H165" s="10" t="s">
        <v>656</v>
      </c>
      <c r="I165" s="2">
        <v>150</v>
      </c>
      <c r="J165" s="2">
        <v>65</v>
      </c>
      <c r="K165" s="2">
        <v>12.25</v>
      </c>
      <c r="L165" t="s">
        <v>406</v>
      </c>
      <c r="M165" s="2" t="s">
        <v>1119</v>
      </c>
      <c r="N165" s="2" t="s">
        <v>435</v>
      </c>
      <c r="O165" s="2" t="s">
        <v>694</v>
      </c>
      <c r="P165" s="2" t="s">
        <v>1119</v>
      </c>
      <c r="Q165" s="2" t="s">
        <v>443</v>
      </c>
      <c r="R165" s="2" t="str">
        <f t="shared" si="145"/>
        <v>CW_1_Section_5</v>
      </c>
      <c r="S165" s="2" t="str">
        <f t="shared" si="146"/>
        <v>CW_1_EFF</v>
      </c>
      <c r="T165" s="11" t="s">
        <v>1029</v>
      </c>
      <c r="U165" s="1">
        <v>45959</v>
      </c>
      <c r="V165" s="2" t="s">
        <v>752</v>
      </c>
      <c r="W165" s="2" t="s">
        <v>1119</v>
      </c>
      <c r="X165" s="2" t="s">
        <v>1028</v>
      </c>
      <c r="Y165" s="2" t="str">
        <f t="shared" si="147"/>
        <v>T7_EFF</v>
      </c>
      <c r="Z165" s="2" t="str">
        <f t="shared" si="148"/>
        <v>T7_CW_1_EFF</v>
      </c>
      <c r="AA165" s="2" t="str">
        <f t="shared" si="149"/>
        <v>T7_EFF</v>
      </c>
      <c r="AB165" s="2">
        <v>440</v>
      </c>
      <c r="AC165" s="2">
        <v>14.474</v>
      </c>
      <c r="AD165" s="2">
        <v>1.22</v>
      </c>
      <c r="AE165" s="2">
        <v>7</v>
      </c>
      <c r="AF165" t="s">
        <v>18</v>
      </c>
      <c r="AG165" t="s">
        <v>1237</v>
      </c>
      <c r="AH165">
        <v>58</v>
      </c>
      <c r="AI165" t="s">
        <v>443</v>
      </c>
      <c r="AJ165">
        <v>0.23</v>
      </c>
      <c r="AK165">
        <v>4.28</v>
      </c>
      <c r="AL165">
        <v>11</v>
      </c>
      <c r="AM165">
        <v>-123</v>
      </c>
      <c r="AN165">
        <v>7.3</v>
      </c>
      <c r="AO165">
        <v>487</v>
      </c>
      <c r="AP165">
        <v>0.2</v>
      </c>
      <c r="AQ165">
        <v>0.01</v>
      </c>
      <c r="AR165">
        <v>9.1</v>
      </c>
      <c r="AS165">
        <v>9.4</v>
      </c>
      <c r="AT165">
        <v>26</v>
      </c>
      <c r="AU165" s="32">
        <f t="shared" si="161"/>
        <v>9.9859172961208557E-3</v>
      </c>
      <c r="AV165">
        <v>0.4</v>
      </c>
      <c r="AW165" s="32">
        <f t="shared" si="162"/>
        <v>1.562839157803343E-4</v>
      </c>
      <c r="AX165">
        <v>6.3</v>
      </c>
      <c r="AY165" s="32">
        <f t="shared" si="163"/>
        <v>2.4922294433455776E-3</v>
      </c>
      <c r="AZ165">
        <v>1.6</v>
      </c>
      <c r="BA165" s="32">
        <f t="shared" si="164"/>
        <v>6.3294716021474991E-4</v>
      </c>
      <c r="BB165">
        <v>0.31</v>
      </c>
      <c r="BC165" s="32">
        <f t="shared" si="165"/>
        <v>1.2263351229160779E-4</v>
      </c>
      <c r="BD165">
        <v>1.91</v>
      </c>
      <c r="BF165" s="48">
        <v>34.61</v>
      </c>
      <c r="BG165" s="48">
        <f t="shared" si="166"/>
        <v>1.2634430655246767E-2</v>
      </c>
      <c r="BH165">
        <v>6.5</v>
      </c>
      <c r="BI165" s="32">
        <f t="shared" si="167"/>
        <v>2.4342669891550283E-3</v>
      </c>
      <c r="BJ165" s="47">
        <v>0.02</v>
      </c>
      <c r="BK165" s="27">
        <f t="shared" si="168"/>
        <v>7.4900522743231651E-6</v>
      </c>
      <c r="BL165" s="47">
        <v>0.17</v>
      </c>
      <c r="BM165" s="27">
        <f t="shared" si="169"/>
        <v>6.2553387213351737E-5</v>
      </c>
      <c r="BN165" s="47">
        <v>6.5</v>
      </c>
      <c r="BO165" s="27">
        <f t="shared" si="170"/>
        <v>2.4447182413591855E-3</v>
      </c>
      <c r="BP165" s="47">
        <v>1.4</v>
      </c>
      <c r="BQ165" s="27">
        <f t="shared" si="171"/>
        <v>5.2219949464565028E-4</v>
      </c>
      <c r="BR165" s="47">
        <v>0.42</v>
      </c>
      <c r="BS165" s="27">
        <f t="shared" si="172"/>
        <v>1.5552937215956909E-4</v>
      </c>
      <c r="BT165" s="47">
        <v>0.06</v>
      </c>
      <c r="BU165" s="27">
        <f t="shared" si="173"/>
        <v>2.22184817370813E-5</v>
      </c>
      <c r="BV165" s="47">
        <v>1E-3</v>
      </c>
      <c r="BW165" s="27">
        <f t="shared" si="174"/>
        <v>3.6588380716934485E-7</v>
      </c>
      <c r="BX165" s="47">
        <v>2E-3</v>
      </c>
      <c r="BY165" s="27">
        <f t="shared" si="175"/>
        <v>7.3176761433868969E-7</v>
      </c>
      <c r="BZ165" s="51">
        <f t="shared" si="176"/>
        <v>8.5730000000000004</v>
      </c>
      <c r="CA165" s="51">
        <f t="shared" si="177"/>
        <v>8.5530000000000008</v>
      </c>
      <c r="CB165" s="27">
        <f t="shared" si="178"/>
        <v>3.215806680810669E-3</v>
      </c>
      <c r="CC165" s="27">
        <f t="shared" si="179"/>
        <v>3.2083166285363455E-3</v>
      </c>
      <c r="CD165">
        <v>2.5</v>
      </c>
      <c r="CE165">
        <v>2.5</v>
      </c>
      <c r="CF165" t="s">
        <v>19</v>
      </c>
      <c r="CG165">
        <v>5</v>
      </c>
      <c r="CH165" s="32">
        <v>4.8</v>
      </c>
      <c r="CI165" s="32">
        <f t="shared" si="180"/>
        <v>8.5944494180841532E-2</v>
      </c>
      <c r="CJ165" s="32">
        <f t="shared" si="181"/>
        <v>8.5944494180841532E-2</v>
      </c>
      <c r="CK165" s="32">
        <v>1.5</v>
      </c>
      <c r="CL165" s="32">
        <f t="shared" si="182"/>
        <v>2.7307482250136537E-2</v>
      </c>
      <c r="CM165" s="32">
        <f t="shared" si="183"/>
        <v>5.4614964500273075E-2</v>
      </c>
      <c r="CN165" s="27">
        <v>0.5</v>
      </c>
      <c r="CO165" s="27">
        <f t="shared" si="184"/>
        <v>5.2050801582344368E-3</v>
      </c>
      <c r="CP165" s="27">
        <f t="shared" si="185"/>
        <v>4.1640641265875494E-2</v>
      </c>
      <c r="CQ165" s="57">
        <v>24.5</v>
      </c>
      <c r="CR165" s="57">
        <v>98</v>
      </c>
      <c r="CS165" s="57">
        <v>2.0403914220278994</v>
      </c>
      <c r="CT165" s="57">
        <f t="shared" si="186"/>
        <v>2.0403914220278994</v>
      </c>
      <c r="CU165" s="28">
        <v>57.5</v>
      </c>
      <c r="CV165" s="28">
        <v>99.137931034482762</v>
      </c>
      <c r="CW165" s="28">
        <v>4.7886737455756814</v>
      </c>
      <c r="CX165" s="28">
        <f t="shared" si="187"/>
        <v>4.7886737455756814</v>
      </c>
      <c r="CY165" s="32">
        <f t="shared" si="188"/>
        <v>14.241932125754737</v>
      </c>
      <c r="CZ165" s="32">
        <f t="shared" si="189"/>
        <v>14.241932125754737</v>
      </c>
      <c r="DA165" s="32">
        <f t="shared" si="190"/>
        <v>19.041932125754737</v>
      </c>
      <c r="DB165" s="32">
        <f t="shared" si="191"/>
        <v>0.34094775516123071</v>
      </c>
      <c r="DC165" s="32">
        <f t="shared" si="192"/>
        <v>0.34094775516123071</v>
      </c>
      <c r="DD165" s="59">
        <f t="shared" si="193"/>
        <v>33.424942744118255</v>
      </c>
      <c r="DE165" s="59">
        <f t="shared" si="194"/>
        <v>33.424942744118255</v>
      </c>
      <c r="DF165" s="59">
        <f t="shared" si="195"/>
        <v>38.224942744118252</v>
      </c>
      <c r="DG165" s="59">
        <f t="shared" si="196"/>
        <v>0.68442153525726501</v>
      </c>
      <c r="DH165" s="59">
        <f t="shared" si="197"/>
        <v>0.68442153525726501</v>
      </c>
      <c r="DI165" s="32">
        <f t="shared" si="198"/>
        <v>4.1640641265875494E-2</v>
      </c>
      <c r="DJ165" s="32">
        <f t="shared" si="199"/>
        <v>39.724942744118252</v>
      </c>
      <c r="DK165" s="32">
        <f t="shared" si="200"/>
        <v>0.73903649975753805</v>
      </c>
      <c r="DL165">
        <f t="shared" si="201"/>
        <v>2.4359541416894031</v>
      </c>
      <c r="DM165">
        <f t="shared" si="150"/>
        <v>2.2420358234821306E-2</v>
      </c>
      <c r="DN165">
        <f t="shared" si="151"/>
        <v>0.13996476753243547</v>
      </c>
      <c r="DO165">
        <f t="shared" si="152"/>
        <v>0.83761487423274328</v>
      </c>
      <c r="DP165">
        <f t="shared" si="202"/>
        <v>5.5277102453332194</v>
      </c>
      <c r="DQ165">
        <f t="shared" si="153"/>
        <v>9.8802147862909178E-3</v>
      </c>
      <c r="DR165">
        <f t="shared" si="154"/>
        <v>0.12381646375822418</v>
      </c>
      <c r="DS165">
        <f t="shared" si="155"/>
        <v>0.86630332145548494</v>
      </c>
      <c r="DT165" s="63">
        <f t="shared" si="156"/>
        <v>-2.4208854440450014</v>
      </c>
      <c r="DU165" s="63">
        <f t="shared" si="157"/>
        <v>-5.5126415476888173</v>
      </c>
      <c r="DV165" s="63">
        <f t="shared" si="158"/>
        <v>-2.4176771274164648</v>
      </c>
      <c r="DW165" s="63">
        <f t="shared" si="159"/>
        <v>-5.5094332310602816</v>
      </c>
      <c r="DX165" t="str">
        <f t="shared" si="203"/>
        <v>Sufficient Capacity</v>
      </c>
      <c r="DY165" t="str">
        <f t="shared" si="204"/>
        <v>Sufficient Capacity</v>
      </c>
      <c r="DZ165" t="str">
        <f t="shared" si="205"/>
        <v>Sulfate Dominant electron acceptor</v>
      </c>
      <c r="EA165" t="str">
        <f t="shared" si="160"/>
        <v>Sulfate Dominant electron acceptor</v>
      </c>
      <c r="EB165">
        <v>8.9366110000000006E-3</v>
      </c>
      <c r="EC165">
        <v>1.7356279999999999E-3</v>
      </c>
      <c r="ED165">
        <v>0</v>
      </c>
      <c r="EE165">
        <v>1.0911409999999999E-3</v>
      </c>
      <c r="EF165">
        <v>6.8801009999999996E-3</v>
      </c>
      <c r="EG165" s="66">
        <v>2.1901619999999999E-5</v>
      </c>
      <c r="EH165">
        <v>7.062638E-4</v>
      </c>
      <c r="EI165" s="66">
        <v>6.3192909999999997E-5</v>
      </c>
      <c r="EJ165">
        <v>4.6680259999999998E-4</v>
      </c>
      <c r="EK165">
        <v>9.6086550000000005E-4</v>
      </c>
      <c r="EL165">
        <v>6.6555430000000005E-4</v>
      </c>
      <c r="EM165">
        <v>4.7950519999999998E-4</v>
      </c>
      <c r="EN165">
        <v>2.004128E-3</v>
      </c>
      <c r="EO165">
        <v>7.9838930000000004E-4</v>
      </c>
      <c r="EP165">
        <v>2.8604559999999999E-3</v>
      </c>
      <c r="EQ165">
        <v>5.2834560000000004E-4</v>
      </c>
      <c r="ER165">
        <v>6.2463519999999997E-4</v>
      </c>
      <c r="ES165">
        <v>1.0983E-3</v>
      </c>
      <c r="ET165">
        <v>5.4662139999999996E-3</v>
      </c>
      <c r="EU165">
        <v>2.7672320000000001E-3</v>
      </c>
      <c r="EV165">
        <v>7.5229040000000004E-3</v>
      </c>
      <c r="EW165">
        <v>6.875443E-4</v>
      </c>
      <c r="EX165">
        <v>3.7259469999999999E-3</v>
      </c>
      <c r="EY165">
        <v>6.1597539999999999E-3</v>
      </c>
      <c r="EZ165">
        <v>1.9866329999999998E-3</v>
      </c>
      <c r="FA165">
        <v>1.3746629999999999E-3</v>
      </c>
      <c r="FB165">
        <v>1.4815150000000001E-3</v>
      </c>
      <c r="FC165">
        <v>2.5062180000000002E-3</v>
      </c>
      <c r="FD165">
        <v>4.9527410000000001E-4</v>
      </c>
      <c r="FE165">
        <v>2.4121050000000002E-2</v>
      </c>
      <c r="FF165">
        <v>1.0097439999999999E-2</v>
      </c>
      <c r="FG165">
        <v>6.2088940000000004E-3</v>
      </c>
      <c r="FH165">
        <v>7.4729099999999997E-4</v>
      </c>
      <c r="FI165">
        <v>1.6808120000000001E-3</v>
      </c>
      <c r="FJ165">
        <v>6.6058560000000002E-3</v>
      </c>
      <c r="FK165">
        <v>0.64458189844550395</v>
      </c>
      <c r="FL165">
        <v>0.40248821198863</v>
      </c>
      <c r="FM165">
        <v>0.59477797398852705</v>
      </c>
      <c r="FN165">
        <v>0.866416666940933</v>
      </c>
      <c r="FO165">
        <v>-0.22798886378913899</v>
      </c>
      <c r="FP165">
        <v>5.3919465923532299E-2</v>
      </c>
      <c r="FQ165">
        <v>0.28954234238423299</v>
      </c>
      <c r="FR165">
        <v>0.37894935298969901</v>
      </c>
      <c r="FS165">
        <v>0.62313472518707502</v>
      </c>
      <c r="FT165">
        <v>-1.4562209648216799E-2</v>
      </c>
      <c r="FU165">
        <v>-2.2187577473970599E-2</v>
      </c>
      <c r="FV165">
        <v>0.30031888593412898</v>
      </c>
      <c r="FW165">
        <v>-0.827199741206468</v>
      </c>
      <c r="FX165">
        <v>0.45537760963571999</v>
      </c>
      <c r="FY165">
        <v>0.45578881232075502</v>
      </c>
      <c r="FZ165">
        <v>-0.46242062770683101</v>
      </c>
      <c r="GA165">
        <v>-9.0543236884688095E-4</v>
      </c>
      <c r="GB165">
        <v>-0.16129664378849801</v>
      </c>
      <c r="GC165">
        <v>6.4589386651779698E-2</v>
      </c>
      <c r="GD165">
        <v>-0.28905539078006598</v>
      </c>
      <c r="GE165">
        <v>-9.4871065279164696E-2</v>
      </c>
      <c r="GF165">
        <v>0.44428043411936902</v>
      </c>
      <c r="GG165">
        <v>0.37392729085001403</v>
      </c>
      <c r="GH165">
        <v>0.40458649374224198</v>
      </c>
      <c r="GI165">
        <v>0.29095423583226099</v>
      </c>
      <c r="GJ165">
        <v>0.32693137055674998</v>
      </c>
      <c r="GK165">
        <v>3.3577197156105E-2</v>
      </c>
      <c r="GL165">
        <v>-0.39242155308575</v>
      </c>
      <c r="GM165">
        <v>-0.30622414018254901</v>
      </c>
      <c r="GN165">
        <v>-5.9317020510540899E-2</v>
      </c>
      <c r="GO165">
        <v>0.157463123560902</v>
      </c>
      <c r="GP165">
        <v>-0.47213592599790599</v>
      </c>
      <c r="GR165" s="66"/>
      <c r="GT165" s="66"/>
      <c r="GV165" s="66"/>
      <c r="GW165" s="65"/>
      <c r="GX165" s="65"/>
      <c r="HK165" s="1"/>
      <c r="HL165" s="1"/>
      <c r="HM165" s="1"/>
      <c r="HN165" s="1"/>
      <c r="HP165" s="65"/>
      <c r="HQ165" s="65"/>
      <c r="HS165" s="65"/>
      <c r="HT165" s="65"/>
      <c r="HU165" s="65"/>
      <c r="HV165" s="65"/>
      <c r="HW165" s="65"/>
      <c r="HX165" s="65"/>
      <c r="JJ165" s="66"/>
      <c r="JL165" s="66"/>
      <c r="JN165" s="66"/>
    </row>
    <row r="166" spans="1:278" ht="15.75" x14ac:dyDescent="0.25">
      <c r="A166" s="5" t="s">
        <v>218</v>
      </c>
      <c r="B166" s="5" t="s">
        <v>218</v>
      </c>
      <c r="C166" s="2" t="s">
        <v>1033</v>
      </c>
      <c r="D166" s="2" t="s">
        <v>608</v>
      </c>
      <c r="E166" s="2" t="s">
        <v>608</v>
      </c>
      <c r="F166" s="2">
        <v>165</v>
      </c>
      <c r="G166" s="2" t="s">
        <v>1032</v>
      </c>
      <c r="H166" s="10" t="s">
        <v>656</v>
      </c>
      <c r="I166" s="2">
        <v>150</v>
      </c>
      <c r="J166" s="2">
        <v>65</v>
      </c>
      <c r="K166" s="2">
        <v>16.399999999999999</v>
      </c>
      <c r="L166" t="s">
        <v>407</v>
      </c>
      <c r="M166" s="2" t="s">
        <v>1119</v>
      </c>
      <c r="N166" s="2" t="s">
        <v>436</v>
      </c>
      <c r="O166" s="2" t="s">
        <v>694</v>
      </c>
      <c r="P166" s="2" t="s">
        <v>1119</v>
      </c>
      <c r="Q166" s="2" t="s">
        <v>443</v>
      </c>
      <c r="R166" s="2" t="str">
        <f t="shared" si="145"/>
        <v>CW_2_Section_5</v>
      </c>
      <c r="S166" s="2" t="str">
        <f t="shared" si="146"/>
        <v>CW_2_EFF</v>
      </c>
      <c r="T166" s="11" t="s">
        <v>1029</v>
      </c>
      <c r="U166" s="1">
        <v>45959</v>
      </c>
      <c r="V166" s="2" t="s">
        <v>752</v>
      </c>
      <c r="W166" s="2" t="s">
        <v>1119</v>
      </c>
      <c r="X166" s="2" t="s">
        <v>1028</v>
      </c>
      <c r="Y166" s="2" t="str">
        <f t="shared" si="147"/>
        <v>T7_EFF</v>
      </c>
      <c r="Z166" s="2" t="str">
        <f t="shared" si="148"/>
        <v>T7_CW_2_EFF</v>
      </c>
      <c r="AA166" s="2" t="str">
        <f t="shared" si="149"/>
        <v>T7_EFF</v>
      </c>
      <c r="AB166" s="2">
        <v>440</v>
      </c>
      <c r="AC166" s="2">
        <v>14.474</v>
      </c>
      <c r="AD166" s="2">
        <v>1.22</v>
      </c>
      <c r="AE166" s="2">
        <v>7</v>
      </c>
      <c r="AF166" t="s">
        <v>39</v>
      </c>
      <c r="AG166" s="2" t="s">
        <v>1238</v>
      </c>
      <c r="AH166">
        <v>59</v>
      </c>
      <c r="AI166" t="s">
        <v>443</v>
      </c>
      <c r="AJ166">
        <v>0.54</v>
      </c>
      <c r="AK166">
        <v>6.22</v>
      </c>
      <c r="AL166">
        <v>12</v>
      </c>
      <c r="AM166">
        <v>-85</v>
      </c>
      <c r="AN166">
        <v>7</v>
      </c>
      <c r="AO166">
        <v>832</v>
      </c>
      <c r="AP166">
        <v>0.2</v>
      </c>
      <c r="AQ166">
        <v>0.01</v>
      </c>
      <c r="AR166">
        <v>9.6999999999999993</v>
      </c>
      <c r="AS166">
        <v>10</v>
      </c>
      <c r="AT166">
        <v>36</v>
      </c>
      <c r="AU166" s="32">
        <f t="shared" si="161"/>
        <v>1.38266547177058E-2</v>
      </c>
      <c r="AV166">
        <v>7.2</v>
      </c>
      <c r="AW166" s="32">
        <f t="shared" si="162"/>
        <v>2.813110484046017E-3</v>
      </c>
      <c r="AX166">
        <v>43</v>
      </c>
      <c r="AY166" s="32">
        <f t="shared" si="163"/>
        <v>1.7010454930771402E-2</v>
      </c>
      <c r="AZ166">
        <v>12</v>
      </c>
      <c r="BA166" s="32">
        <f t="shared" si="164"/>
        <v>4.7471037016106245E-3</v>
      </c>
      <c r="BB166">
        <v>6.9</v>
      </c>
      <c r="BC166" s="32">
        <f t="shared" si="165"/>
        <v>2.7295846284261091E-3</v>
      </c>
      <c r="BD166">
        <v>18.899999999999999</v>
      </c>
      <c r="BF166" s="48">
        <v>105.1</v>
      </c>
      <c r="BG166" s="48">
        <f t="shared" si="166"/>
        <v>3.3650220132523223E-2</v>
      </c>
      <c r="BH166">
        <v>370</v>
      </c>
      <c r="BI166" s="32">
        <f t="shared" si="167"/>
        <v>0.13856596707497854</v>
      </c>
      <c r="BJ166" s="47">
        <v>460</v>
      </c>
      <c r="BK166" s="27">
        <f t="shared" si="168"/>
        <v>0.17227120230943277</v>
      </c>
      <c r="BL166" s="47">
        <v>2.7</v>
      </c>
      <c r="BM166" s="27">
        <f t="shared" si="169"/>
        <v>9.9349497338852748E-4</v>
      </c>
      <c r="BN166" s="47">
        <v>65</v>
      </c>
      <c r="BO166" s="27">
        <f t="shared" si="170"/>
        <v>2.4447182413591857E-2</v>
      </c>
      <c r="BP166" s="47">
        <v>14</v>
      </c>
      <c r="BQ166" s="27">
        <f t="shared" si="171"/>
        <v>5.2219949464565032E-3</v>
      </c>
      <c r="BR166" s="47">
        <v>7.4</v>
      </c>
      <c r="BS166" s="27">
        <f t="shared" si="172"/>
        <v>2.7402794142400272E-3</v>
      </c>
      <c r="BT166" s="47">
        <v>1.2</v>
      </c>
      <c r="BU166" s="27">
        <f t="shared" si="173"/>
        <v>4.4436963474162597E-4</v>
      </c>
      <c r="BV166" s="47">
        <v>0.12</v>
      </c>
      <c r="BW166" s="27">
        <f t="shared" si="174"/>
        <v>4.3906056860321379E-5</v>
      </c>
      <c r="BX166" s="47">
        <v>0.08</v>
      </c>
      <c r="BY166" s="27">
        <f t="shared" si="175"/>
        <v>2.9270704573547589E-5</v>
      </c>
      <c r="BZ166" s="51">
        <f t="shared" si="176"/>
        <v>550.50000000000011</v>
      </c>
      <c r="CA166" s="51">
        <f t="shared" si="177"/>
        <v>90.500000000000014</v>
      </c>
      <c r="CB166" s="27">
        <f t="shared" si="178"/>
        <v>0.20619170045328516</v>
      </c>
      <c r="CC166" s="27">
        <f t="shared" si="179"/>
        <v>3.3920498143852409E-2</v>
      </c>
      <c r="CD166">
        <v>2.5</v>
      </c>
      <c r="CE166">
        <v>2.5</v>
      </c>
      <c r="CF166" t="s">
        <v>19</v>
      </c>
      <c r="CG166">
        <v>5</v>
      </c>
      <c r="CH166" s="32">
        <v>6.5</v>
      </c>
      <c r="CI166" s="32">
        <f t="shared" si="180"/>
        <v>0.11638316920322292</v>
      </c>
      <c r="CJ166" s="32">
        <f t="shared" si="181"/>
        <v>0.11638316920322292</v>
      </c>
      <c r="CK166" s="32">
        <v>2.9</v>
      </c>
      <c r="CL166" s="32">
        <f t="shared" si="182"/>
        <v>5.2794465683597303E-2</v>
      </c>
      <c r="CM166" s="32">
        <f t="shared" si="183"/>
        <v>0.10558893136719461</v>
      </c>
      <c r="CN166" s="27">
        <v>0.5</v>
      </c>
      <c r="CO166" s="27">
        <f t="shared" si="184"/>
        <v>5.2050801582344368E-3</v>
      </c>
      <c r="CP166" s="27">
        <f t="shared" si="185"/>
        <v>4.1640641265875494E-2</v>
      </c>
      <c r="CQ166" s="57">
        <v>24.5</v>
      </c>
      <c r="CR166" s="57">
        <v>98</v>
      </c>
      <c r="CS166" s="57">
        <v>2.0403914220278994</v>
      </c>
      <c r="CT166" s="57">
        <f t="shared" si="186"/>
        <v>2.0403914220278994</v>
      </c>
      <c r="CU166" s="28">
        <v>5.9</v>
      </c>
      <c r="CV166" s="28">
        <v>92.1875</v>
      </c>
      <c r="CW166" s="28">
        <v>0.49135956693733085</v>
      </c>
      <c r="CX166" s="28">
        <f t="shared" si="187"/>
        <v>0.49135956693733085</v>
      </c>
      <c r="CY166" s="32">
        <f t="shared" si="188"/>
        <v>14.241932125754737</v>
      </c>
      <c r="CZ166" s="32">
        <f t="shared" si="189"/>
        <v>14.241932125754737</v>
      </c>
      <c r="DA166" s="32">
        <f t="shared" si="190"/>
        <v>20.741932125754737</v>
      </c>
      <c r="DB166" s="32">
        <f t="shared" si="191"/>
        <v>0.37138643018361212</v>
      </c>
      <c r="DC166" s="32">
        <f t="shared" si="192"/>
        <v>0.37138643018361212</v>
      </c>
      <c r="DD166" s="59">
        <f t="shared" si="193"/>
        <v>3.4296897772225692</v>
      </c>
      <c r="DE166" s="59">
        <f t="shared" si="194"/>
        <v>3.4296897772225692</v>
      </c>
      <c r="DF166" s="59">
        <f t="shared" si="195"/>
        <v>9.9296897772225687</v>
      </c>
      <c r="DG166" s="59">
        <f t="shared" si="196"/>
        <v>0.17779211776584725</v>
      </c>
      <c r="DH166" s="59">
        <f t="shared" si="197"/>
        <v>0.17779211776584725</v>
      </c>
      <c r="DI166" s="32">
        <f t="shared" si="198"/>
        <v>4.1640641265875494E-2</v>
      </c>
      <c r="DJ166" s="32">
        <f t="shared" si="199"/>
        <v>12.829689777222569</v>
      </c>
      <c r="DK166" s="32">
        <f t="shared" si="200"/>
        <v>0.28338104913304185</v>
      </c>
      <c r="DL166">
        <f t="shared" si="201"/>
        <v>2.5173667835787059</v>
      </c>
      <c r="DM166">
        <f t="shared" si="150"/>
        <v>4.1944198221718271E-2</v>
      </c>
      <c r="DN166">
        <f t="shared" si="151"/>
        <v>0.14752972534882128</v>
      </c>
      <c r="DO166">
        <f t="shared" si="152"/>
        <v>0.81052607642946051</v>
      </c>
      <c r="DP166">
        <f t="shared" si="202"/>
        <v>0.7747406160703727</v>
      </c>
      <c r="DQ166">
        <f t="shared" si="153"/>
        <v>0.13628939696328449</v>
      </c>
      <c r="DR166">
        <f t="shared" si="154"/>
        <v>0.22948599063728151</v>
      </c>
      <c r="DS166">
        <f t="shared" si="155"/>
        <v>0.63422461239943406</v>
      </c>
      <c r="DT166" s="63">
        <f t="shared" si="156"/>
        <v>-2.3451505963712043</v>
      </c>
      <c r="DU166" s="63">
        <f t="shared" si="157"/>
        <v>-0.60252442886287094</v>
      </c>
      <c r="DV166" s="63">
        <f t="shared" si="158"/>
        <v>-2.3112300982273517</v>
      </c>
      <c r="DW166" s="63">
        <f t="shared" si="159"/>
        <v>-0.56860393071901849</v>
      </c>
      <c r="DX166" t="str">
        <f t="shared" si="203"/>
        <v>Sufficient Capacity</v>
      </c>
      <c r="DY166" t="str">
        <f t="shared" si="204"/>
        <v>Sufficient Capacity</v>
      </c>
      <c r="DZ166" t="str">
        <f t="shared" si="205"/>
        <v>Sulfate Dominant electron acceptor</v>
      </c>
      <c r="EA166" t="str">
        <f t="shared" si="160"/>
        <v>Sulfate Dominant electron acceptor</v>
      </c>
      <c r="EB166">
        <v>8.487428E-3</v>
      </c>
      <c r="EC166">
        <v>1.2343149999999999E-3</v>
      </c>
      <c r="ED166" s="66">
        <v>2.4217500000000001E-6</v>
      </c>
      <c r="EE166">
        <v>1.1058699999999999E-3</v>
      </c>
      <c r="EF166">
        <v>6.6381620000000004E-3</v>
      </c>
      <c r="EG166" s="66">
        <v>1.106798E-5</v>
      </c>
      <c r="EH166">
        <v>5.2675360000000002E-4</v>
      </c>
      <c r="EI166">
        <v>1.3552280000000001E-4</v>
      </c>
      <c r="EJ166">
        <v>4.0992369999999999E-4</v>
      </c>
      <c r="EK166">
        <v>6.7424270000000005E-4</v>
      </c>
      <c r="EL166">
        <v>6.2467619999999997E-4</v>
      </c>
      <c r="EM166">
        <v>6.3549509999999995E-4</v>
      </c>
      <c r="EN166">
        <v>2.0286710000000001E-3</v>
      </c>
      <c r="EO166">
        <v>7.9662709999999998E-4</v>
      </c>
      <c r="EP166">
        <v>3.2762569999999999E-3</v>
      </c>
      <c r="EQ166">
        <v>9.8038349999999999E-4</v>
      </c>
      <c r="ER166">
        <v>5.2953959999999997E-4</v>
      </c>
      <c r="ES166">
        <v>9.574497E-4</v>
      </c>
      <c r="ET166">
        <v>1.236135E-2</v>
      </c>
      <c r="EU166">
        <v>2.9988670000000001E-3</v>
      </c>
      <c r="EV166">
        <v>8.9721120000000008E-3</v>
      </c>
      <c r="EW166">
        <v>8.9018129999999997E-4</v>
      </c>
      <c r="EX166">
        <v>4.345916E-3</v>
      </c>
      <c r="EY166">
        <v>5.581712E-3</v>
      </c>
      <c r="EZ166">
        <v>1.9415459999999999E-3</v>
      </c>
      <c r="FA166">
        <v>1.2856899999999999E-3</v>
      </c>
      <c r="FB166">
        <v>1.402482E-3</v>
      </c>
      <c r="FC166">
        <v>2.3268500000000001E-3</v>
      </c>
      <c r="FD166">
        <v>3.9300439999999999E-4</v>
      </c>
      <c r="FE166">
        <v>2.3297209999999999E-2</v>
      </c>
      <c r="FF166">
        <v>8.2626910000000008E-3</v>
      </c>
      <c r="FG166">
        <v>5.6313140000000001E-3</v>
      </c>
      <c r="FH166">
        <v>6.1386700000000004E-4</v>
      </c>
      <c r="FI166">
        <v>1.722861E-3</v>
      </c>
      <c r="FJ166">
        <v>6.7397170000000001E-3</v>
      </c>
      <c r="FK166">
        <v>0.65799031621971105</v>
      </c>
      <c r="FL166">
        <v>0.36668999785980799</v>
      </c>
      <c r="FM166">
        <v>-8.7726377788985802E-2</v>
      </c>
      <c r="FN166">
        <v>0.57316073187076899</v>
      </c>
      <c r="FO166">
        <v>0.534958916742728</v>
      </c>
      <c r="FP166">
        <v>-7.6015959491468402E-2</v>
      </c>
      <c r="FQ166">
        <v>-6.4701963297694398E-2</v>
      </c>
      <c r="FR166">
        <v>0.31556256118225301</v>
      </c>
      <c r="FS166">
        <v>0.90478436642814297</v>
      </c>
      <c r="FT166">
        <v>-2.3903642322391501E-3</v>
      </c>
      <c r="FU166">
        <v>-2.43972108256925E-2</v>
      </c>
      <c r="FV166">
        <v>0.43603944549450702</v>
      </c>
      <c r="FW166">
        <v>-0.20900653459885599</v>
      </c>
      <c r="FX166">
        <v>0.290217760087226</v>
      </c>
      <c r="FY166">
        <v>0.31854319056429198</v>
      </c>
      <c r="FZ166">
        <v>0.35356780380377301</v>
      </c>
      <c r="GA166">
        <v>7.9481575688772593E-2</v>
      </c>
      <c r="GB166">
        <v>1.4872222442879701E-2</v>
      </c>
      <c r="GC166">
        <v>0.32288827266907399</v>
      </c>
      <c r="GD166">
        <v>-0.135139884959361</v>
      </c>
      <c r="GE166">
        <v>-0.19341236758974401</v>
      </c>
      <c r="GF166">
        <v>0.42132375109230502</v>
      </c>
      <c r="GG166">
        <v>0.30701421989387401</v>
      </c>
      <c r="GH166">
        <v>0.349764804996332</v>
      </c>
      <c r="GI166">
        <v>0.21669481348432201</v>
      </c>
      <c r="GJ166">
        <v>9.5640831605629195E-2</v>
      </c>
      <c r="GK166">
        <v>-1.17409518100331E-3</v>
      </c>
      <c r="GL166">
        <v>-0.59295315805786997</v>
      </c>
      <c r="GM166">
        <v>-0.40386411296754599</v>
      </c>
      <c r="GN166">
        <v>-0.25599339571273799</v>
      </c>
      <c r="GO166">
        <v>0.18217239462752299</v>
      </c>
      <c r="GP166">
        <v>-0.45207451845166802</v>
      </c>
      <c r="GT166" s="66"/>
      <c r="GV166" s="66"/>
      <c r="HK166" s="1"/>
      <c r="HL166" s="1"/>
      <c r="HM166" s="1"/>
      <c r="HN166" s="1"/>
      <c r="HP166" s="65"/>
      <c r="HQ166" s="65"/>
      <c r="HS166" s="65"/>
      <c r="HV166" s="65"/>
      <c r="HW166" s="65"/>
      <c r="HX166" s="65"/>
      <c r="JH166" s="66"/>
      <c r="JJ166" s="66"/>
      <c r="JL166" s="66"/>
      <c r="JN166" s="66"/>
    </row>
    <row r="167" spans="1:278" ht="15.75" x14ac:dyDescent="0.25">
      <c r="A167" s="5" t="s">
        <v>219</v>
      </c>
      <c r="B167" s="5" t="s">
        <v>219</v>
      </c>
      <c r="C167" s="2" t="s">
        <v>1035</v>
      </c>
      <c r="D167" s="2" t="s">
        <v>609</v>
      </c>
      <c r="E167" s="2" t="s">
        <v>609</v>
      </c>
      <c r="F167" s="2">
        <v>166</v>
      </c>
      <c r="G167" s="2" t="s">
        <v>1034</v>
      </c>
      <c r="H167" s="10" t="s">
        <v>656</v>
      </c>
      <c r="I167" s="2">
        <v>150</v>
      </c>
      <c r="J167" s="2">
        <v>65</v>
      </c>
      <c r="K167" s="2">
        <v>11.9</v>
      </c>
      <c r="L167" t="s">
        <v>410</v>
      </c>
      <c r="M167" s="2" t="s">
        <v>1119</v>
      </c>
      <c r="N167" s="2" t="s">
        <v>437</v>
      </c>
      <c r="O167" s="2" t="s">
        <v>694</v>
      </c>
      <c r="P167" s="2" t="s">
        <v>1119</v>
      </c>
      <c r="Q167" s="2" t="s">
        <v>443</v>
      </c>
      <c r="R167" s="2" t="str">
        <f t="shared" si="145"/>
        <v>CW_3_Section_5</v>
      </c>
      <c r="S167" s="2" t="str">
        <f t="shared" si="146"/>
        <v>CW_3_EFF</v>
      </c>
      <c r="T167" s="11" t="s">
        <v>1029</v>
      </c>
      <c r="U167" s="1">
        <v>45959</v>
      </c>
      <c r="V167" s="2" t="s">
        <v>752</v>
      </c>
      <c r="W167" s="2" t="s">
        <v>1119</v>
      </c>
      <c r="X167" s="2" t="s">
        <v>1028</v>
      </c>
      <c r="Y167" s="2" t="str">
        <f t="shared" si="147"/>
        <v>T7_EFF</v>
      </c>
      <c r="Z167" s="2" t="str">
        <f t="shared" si="148"/>
        <v>T7_CW_3_EFF</v>
      </c>
      <c r="AA167" s="2" t="str">
        <f t="shared" si="149"/>
        <v>T7_EFF</v>
      </c>
      <c r="AB167" s="2">
        <v>440</v>
      </c>
      <c r="AC167" s="2">
        <v>14.474</v>
      </c>
      <c r="AD167" s="2">
        <v>1.22</v>
      </c>
      <c r="AE167" s="2">
        <v>7</v>
      </c>
      <c r="AF167" t="s">
        <v>49</v>
      </c>
      <c r="AG167" t="s">
        <v>1237</v>
      </c>
      <c r="AH167">
        <v>49</v>
      </c>
      <c r="AI167" t="s">
        <v>443</v>
      </c>
      <c r="AJ167">
        <v>0.26</v>
      </c>
      <c r="AK167">
        <v>0.48</v>
      </c>
      <c r="AL167">
        <v>11</v>
      </c>
      <c r="AM167">
        <v>-121</v>
      </c>
      <c r="AN167">
        <v>7.2</v>
      </c>
      <c r="AO167">
        <v>472</v>
      </c>
      <c r="AP167">
        <v>0.2</v>
      </c>
      <c r="AQ167">
        <v>0.01</v>
      </c>
      <c r="AR167">
        <v>7.2</v>
      </c>
      <c r="AS167">
        <v>8.1999999999999993</v>
      </c>
      <c r="AT167">
        <v>54</v>
      </c>
      <c r="AU167" s="32">
        <f t="shared" si="161"/>
        <v>2.0739982076558701E-2</v>
      </c>
      <c r="AV167">
        <v>5.8</v>
      </c>
      <c r="AW167" s="32">
        <f t="shared" si="162"/>
        <v>2.2661167788148467E-3</v>
      </c>
      <c r="AX167">
        <v>36</v>
      </c>
      <c r="AY167" s="32">
        <f t="shared" si="163"/>
        <v>1.4241311104831874E-2</v>
      </c>
      <c r="AZ167">
        <v>14</v>
      </c>
      <c r="BA167" s="32">
        <f t="shared" si="164"/>
        <v>5.5382876518790623E-3</v>
      </c>
      <c r="BB167">
        <v>17</v>
      </c>
      <c r="BC167" s="32">
        <f t="shared" si="165"/>
        <v>6.725063577281718E-3</v>
      </c>
      <c r="BD167">
        <v>31</v>
      </c>
      <c r="BF167" s="48">
        <v>126.8</v>
      </c>
      <c r="BG167" s="48">
        <f t="shared" si="166"/>
        <v>3.7247409960205424E-2</v>
      </c>
      <c r="BH167">
        <v>52</v>
      </c>
      <c r="BI167" s="32">
        <f t="shared" si="167"/>
        <v>1.9474135913240227E-2</v>
      </c>
      <c r="BJ167" s="47">
        <v>33</v>
      </c>
      <c r="BK167" s="27">
        <f t="shared" si="168"/>
        <v>1.2358586252633221E-2</v>
      </c>
      <c r="BL167" s="47">
        <v>0.35</v>
      </c>
      <c r="BM167" s="27">
        <f t="shared" si="169"/>
        <v>1.2878638543925355E-4</v>
      </c>
      <c r="BN167" s="47">
        <v>14</v>
      </c>
      <c r="BO167" s="27">
        <f t="shared" si="170"/>
        <v>5.2655469813890146E-3</v>
      </c>
      <c r="BP167" s="47">
        <v>3.5</v>
      </c>
      <c r="BQ167" s="27">
        <f t="shared" si="171"/>
        <v>1.3054987366141258E-3</v>
      </c>
      <c r="BR167" s="47">
        <v>2.7</v>
      </c>
      <c r="BS167" s="27">
        <f t="shared" si="172"/>
        <v>9.9983167816865845E-4</v>
      </c>
      <c r="BT167" s="47">
        <v>0.5</v>
      </c>
      <c r="BU167" s="27">
        <f t="shared" si="173"/>
        <v>1.851540144756775E-4</v>
      </c>
      <c r="BV167" s="47">
        <v>0.06</v>
      </c>
      <c r="BW167" s="27">
        <f t="shared" si="174"/>
        <v>2.1953028430160689E-5</v>
      </c>
      <c r="BX167" s="47">
        <v>0.04</v>
      </c>
      <c r="BY167" s="27">
        <f t="shared" si="175"/>
        <v>1.4635352286773795E-5</v>
      </c>
      <c r="BZ167" s="51">
        <f t="shared" si="176"/>
        <v>54.150000000000006</v>
      </c>
      <c r="CA167" s="51">
        <f t="shared" si="177"/>
        <v>21.15</v>
      </c>
      <c r="CB167" s="27">
        <f t="shared" si="178"/>
        <v>2.0279992429436886E-2</v>
      </c>
      <c r="CC167" s="27">
        <f t="shared" si="179"/>
        <v>7.9214061768036644E-3</v>
      </c>
      <c r="CD167">
        <v>95</v>
      </c>
      <c r="CE167">
        <v>75</v>
      </c>
      <c r="CF167" t="s">
        <v>19</v>
      </c>
      <c r="CG167">
        <v>170</v>
      </c>
      <c r="CH167" s="32">
        <v>1</v>
      </c>
      <c r="CI167" s="32">
        <f t="shared" si="180"/>
        <v>1.7905102954341987E-2</v>
      </c>
      <c r="CJ167" s="32">
        <f t="shared" si="181"/>
        <v>1.7905102954341987E-2</v>
      </c>
      <c r="CK167" s="32">
        <v>1.1000000000000001</v>
      </c>
      <c r="CL167" s="32">
        <f t="shared" si="182"/>
        <v>2.0025486983433462E-2</v>
      </c>
      <c r="CM167" s="32">
        <f t="shared" si="183"/>
        <v>4.0050973966866923E-2</v>
      </c>
      <c r="CN167" s="27">
        <v>12</v>
      </c>
      <c r="CO167" s="27">
        <f t="shared" si="184"/>
        <v>0.12492192379762648</v>
      </c>
      <c r="CP167" s="27">
        <f t="shared" si="185"/>
        <v>0.99937539038101186</v>
      </c>
      <c r="CQ167" s="57">
        <v>13</v>
      </c>
      <c r="CR167" s="57">
        <v>52</v>
      </c>
      <c r="CS167" s="57">
        <v>1.0826566729127629</v>
      </c>
      <c r="CT167" s="57">
        <f t="shared" si="186"/>
        <v>1.0826566729127629</v>
      </c>
      <c r="CU167" s="28">
        <v>44</v>
      </c>
      <c r="CV167" s="28">
        <v>78.571428571428569</v>
      </c>
      <c r="CW167" s="28">
        <v>3.6643764313970433</v>
      </c>
      <c r="CX167" s="28">
        <f t="shared" si="187"/>
        <v>3.6643764313970433</v>
      </c>
      <c r="CY167" s="32">
        <f t="shared" si="188"/>
        <v>7.5569435769310846</v>
      </c>
      <c r="CZ167" s="32">
        <f t="shared" si="189"/>
        <v>7.5569435769310846</v>
      </c>
      <c r="DA167" s="32">
        <f t="shared" si="190"/>
        <v>8.5569435769310846</v>
      </c>
      <c r="DB167" s="32">
        <f t="shared" si="191"/>
        <v>0.15321295571944646</v>
      </c>
      <c r="DC167" s="32">
        <f t="shared" si="192"/>
        <v>0.15321295571944646</v>
      </c>
      <c r="DD167" s="59">
        <f t="shared" si="193"/>
        <v>25.577347491151361</v>
      </c>
      <c r="DE167" s="59">
        <f t="shared" si="194"/>
        <v>25.577347491151361</v>
      </c>
      <c r="DF167" s="59">
        <f t="shared" si="195"/>
        <v>26.577347491151361</v>
      </c>
      <c r="DG167" s="59">
        <f t="shared" si="196"/>
        <v>0.47587014308238784</v>
      </c>
      <c r="DH167" s="59">
        <f t="shared" si="197"/>
        <v>0.47587014308238784</v>
      </c>
      <c r="DI167" s="32">
        <f t="shared" si="198"/>
        <v>0.99937539038101186</v>
      </c>
      <c r="DJ167" s="32">
        <f t="shared" si="199"/>
        <v>27.677347491151362</v>
      </c>
      <c r="DK167" s="32">
        <f t="shared" si="200"/>
        <v>0.51592111704925481</v>
      </c>
      <c r="DL167">
        <f t="shared" si="201"/>
        <v>1.2759206025990764</v>
      </c>
      <c r="DM167">
        <f t="shared" si="150"/>
        <v>3.1389863824819716E-2</v>
      </c>
      <c r="DN167">
        <f t="shared" si="151"/>
        <v>0.12008032114799976</v>
      </c>
      <c r="DO167">
        <f t="shared" si="152"/>
        <v>0.8485298150271805</v>
      </c>
      <c r="DP167">
        <f t="shared" si="202"/>
        <v>4.1802975484462976</v>
      </c>
      <c r="DQ167">
        <f t="shared" si="153"/>
        <v>9.5808907147656927E-3</v>
      </c>
      <c r="DR167">
        <f t="shared" si="154"/>
        <v>0.11383642852391113</v>
      </c>
      <c r="DS167">
        <f t="shared" si="155"/>
        <v>0.87658268076132329</v>
      </c>
      <c r="DT167" s="63">
        <f t="shared" si="156"/>
        <v>-1.2191990567256308</v>
      </c>
      <c r="DU167" s="63">
        <f t="shared" si="157"/>
        <v>-4.1235760025728521</v>
      </c>
      <c r="DV167" s="63">
        <f t="shared" si="158"/>
        <v>-1.211277650548827</v>
      </c>
      <c r="DW167" s="63">
        <f t="shared" si="159"/>
        <v>-4.1156545963960482</v>
      </c>
      <c r="DX167" t="str">
        <f t="shared" si="203"/>
        <v>Sufficient Capacity</v>
      </c>
      <c r="DY167" t="str">
        <f t="shared" si="204"/>
        <v>Sufficient Capacity</v>
      </c>
      <c r="DZ167" t="str">
        <f t="shared" si="205"/>
        <v>Sulfate Dominant electron acceptor</v>
      </c>
      <c r="EA167" t="str">
        <f t="shared" si="160"/>
        <v>Sulfate Dominant electron acceptor</v>
      </c>
      <c r="EB167">
        <v>7.9730449999999998E-3</v>
      </c>
      <c r="EC167">
        <v>1.4003419999999999E-3</v>
      </c>
      <c r="ED167" s="66">
        <v>2.2289360000000001E-8</v>
      </c>
      <c r="EE167">
        <v>1.7613189999999999E-3</v>
      </c>
      <c r="EF167">
        <v>9.7995949999999995E-3</v>
      </c>
      <c r="EG167" s="66">
        <v>3.068309E-6</v>
      </c>
      <c r="EH167">
        <v>7.8379039999999995E-4</v>
      </c>
      <c r="EI167" s="66">
        <v>9.7041340000000005E-5</v>
      </c>
      <c r="EJ167">
        <v>3.5828169999999998E-4</v>
      </c>
      <c r="EK167">
        <v>3.9556489999999998E-4</v>
      </c>
      <c r="EL167">
        <v>8.73429E-4</v>
      </c>
      <c r="EM167">
        <v>1.204545E-3</v>
      </c>
      <c r="EN167">
        <v>1.858462E-3</v>
      </c>
      <c r="EO167">
        <v>8.153244E-4</v>
      </c>
      <c r="EP167">
        <v>4.9206889999999998E-3</v>
      </c>
      <c r="EQ167">
        <v>5.0269110000000002E-4</v>
      </c>
      <c r="ER167">
        <v>7.8857850000000002E-4</v>
      </c>
      <c r="ES167">
        <v>1.2150959999999999E-3</v>
      </c>
      <c r="ET167">
        <v>4.4926039999999999E-3</v>
      </c>
      <c r="EU167">
        <v>2.6555799999999998E-3</v>
      </c>
      <c r="EV167">
        <v>7.8638619999999992E-3</v>
      </c>
      <c r="EW167">
        <v>1.352479E-3</v>
      </c>
      <c r="EX167">
        <v>4.3837040000000004E-3</v>
      </c>
      <c r="EY167">
        <v>5.3664660000000003E-3</v>
      </c>
      <c r="EZ167">
        <v>2.879492E-3</v>
      </c>
      <c r="FA167">
        <v>1.7973329999999999E-3</v>
      </c>
      <c r="FB167">
        <v>1.9831010000000001E-3</v>
      </c>
      <c r="FC167">
        <v>2.6749289999999999E-3</v>
      </c>
      <c r="FD167">
        <v>5.8915230000000001E-4</v>
      </c>
      <c r="FE167">
        <v>2.7051450000000001E-2</v>
      </c>
      <c r="FF167">
        <v>8.4774550000000001E-3</v>
      </c>
      <c r="FG167">
        <v>6.5775729999999998E-3</v>
      </c>
      <c r="FH167">
        <v>8.8237389999999997E-4</v>
      </c>
      <c r="FI167">
        <v>2.1629840000000002E-3</v>
      </c>
      <c r="FJ167">
        <v>7.6255239999999998E-3</v>
      </c>
      <c r="FK167">
        <v>1.12342092089962</v>
      </c>
      <c r="FL167">
        <v>0.756195938210523</v>
      </c>
      <c r="FM167">
        <v>-1.37065603718791</v>
      </c>
      <c r="FN167">
        <v>0.97056948251624198</v>
      </c>
      <c r="FO167">
        <v>0.20095609817451701</v>
      </c>
      <c r="FP167">
        <v>-0.21066745582254601</v>
      </c>
      <c r="FQ167">
        <v>-0.59797722858795099</v>
      </c>
      <c r="FR167">
        <v>0.65075596976814598</v>
      </c>
      <c r="FS167">
        <v>1.54423716755</v>
      </c>
      <c r="FT167">
        <v>-9.0021999137160705E-2</v>
      </c>
      <c r="FU167">
        <v>-1.1978297227699399E-3</v>
      </c>
      <c r="FV167">
        <v>0.84278639460206894</v>
      </c>
      <c r="FW167">
        <v>-0.87697449010028405</v>
      </c>
      <c r="FX167">
        <v>0.68844176787372702</v>
      </c>
      <c r="FY167">
        <v>0.55684836852547104</v>
      </c>
      <c r="FZ167">
        <v>-0.65857437646075101</v>
      </c>
      <c r="GA167">
        <v>-4.20898883988539E-2</v>
      </c>
      <c r="GB167">
        <v>-0.11697104304906</v>
      </c>
      <c r="GC167">
        <v>0.74115760662122598</v>
      </c>
      <c r="GD167">
        <v>-0.12648240937092001</v>
      </c>
      <c r="GE167">
        <v>-0.23273831564334399</v>
      </c>
      <c r="GF167">
        <v>0.81545307786315102</v>
      </c>
      <c r="GG167">
        <v>0.64202258016219405</v>
      </c>
      <c r="GH167">
        <v>0.69618306205910196</v>
      </c>
      <c r="GI167">
        <v>0.35610222986048001</v>
      </c>
      <c r="GJ167">
        <v>0.50050474795140798</v>
      </c>
      <c r="GK167">
        <v>0.14823290219836999</v>
      </c>
      <c r="GL167">
        <v>-0.56729319262377298</v>
      </c>
      <c r="GM167">
        <v>-0.24854108811492701</v>
      </c>
      <c r="GN167">
        <v>0.10684420106117699</v>
      </c>
      <c r="GO167">
        <v>0.40967486339028503</v>
      </c>
      <c r="GP167">
        <v>-0.32859141292004301</v>
      </c>
      <c r="GT167" s="66"/>
      <c r="GV167" s="66"/>
      <c r="HK167" s="1"/>
      <c r="HL167" s="1"/>
      <c r="HM167" s="1"/>
      <c r="HN167" s="1"/>
      <c r="HP167" s="65"/>
      <c r="HQ167" s="65"/>
      <c r="HS167" s="65"/>
      <c r="HT167" s="65"/>
      <c r="HU167" s="65"/>
      <c r="HV167" s="65"/>
      <c r="HW167" s="65"/>
      <c r="HX167" s="65"/>
      <c r="JH167" s="66"/>
      <c r="JJ167" s="66"/>
      <c r="JL167" s="66"/>
      <c r="JN167" s="66"/>
    </row>
    <row r="168" spans="1:278" ht="15.75" x14ac:dyDescent="0.25">
      <c r="A168" s="5" t="s">
        <v>220</v>
      </c>
      <c r="B168" s="5" t="s">
        <v>220</v>
      </c>
      <c r="C168" s="2" t="s">
        <v>1037</v>
      </c>
      <c r="D168" s="2" t="s">
        <v>610</v>
      </c>
      <c r="E168" s="2" t="s">
        <v>610</v>
      </c>
      <c r="F168" s="2">
        <v>167</v>
      </c>
      <c r="G168" s="2" t="s">
        <v>1036</v>
      </c>
      <c r="H168" s="10" t="s">
        <v>656</v>
      </c>
      <c r="I168" s="2">
        <v>150</v>
      </c>
      <c r="J168" s="2">
        <v>65</v>
      </c>
      <c r="K168" s="2">
        <v>8.75</v>
      </c>
      <c r="L168" t="s">
        <v>392</v>
      </c>
      <c r="M168" s="2" t="s">
        <v>1120</v>
      </c>
      <c r="N168" s="2" t="s">
        <v>435</v>
      </c>
      <c r="O168" s="2" t="s">
        <v>653</v>
      </c>
      <c r="P168" s="2" t="s">
        <v>1123</v>
      </c>
      <c r="Q168" s="9" t="s">
        <v>654</v>
      </c>
      <c r="R168" s="2" t="str">
        <f t="shared" si="145"/>
        <v>CW_1_Section_1</v>
      </c>
      <c r="S168" s="2" t="str">
        <f t="shared" si="146"/>
        <v>CW_1_MF01</v>
      </c>
      <c r="T168" s="11" t="s">
        <v>1029</v>
      </c>
      <c r="U168" s="1">
        <v>45957</v>
      </c>
      <c r="V168" s="2" t="s">
        <v>752</v>
      </c>
      <c r="W168" s="2" t="s">
        <v>655</v>
      </c>
      <c r="X168" s="2" t="s">
        <v>1028</v>
      </c>
      <c r="Y168" s="2" t="str">
        <f t="shared" si="147"/>
        <v>T7_MF01</v>
      </c>
      <c r="Z168" s="2" t="str">
        <f t="shared" si="148"/>
        <v>T7_CW_1_MF01</v>
      </c>
      <c r="AA168" s="2" t="str">
        <f t="shared" si="149"/>
        <v>T7_0.15-0.30</v>
      </c>
      <c r="AB168" s="2">
        <v>440</v>
      </c>
      <c r="AC168" s="2">
        <v>14.474</v>
      </c>
      <c r="AD168" s="2">
        <v>1.22</v>
      </c>
      <c r="AE168" s="2">
        <v>7</v>
      </c>
      <c r="AF168" t="s">
        <v>29</v>
      </c>
      <c r="AG168" t="s">
        <v>1237</v>
      </c>
      <c r="AH168">
        <v>69</v>
      </c>
      <c r="AI168" t="s">
        <v>443</v>
      </c>
      <c r="AJ168">
        <v>0.56999999999999995</v>
      </c>
      <c r="AK168">
        <v>3.17</v>
      </c>
      <c r="AL168">
        <v>10</v>
      </c>
      <c r="AM168">
        <v>-192</v>
      </c>
      <c r="AN168">
        <v>7.4</v>
      </c>
      <c r="AO168">
        <v>796</v>
      </c>
      <c r="AP168">
        <v>0.1</v>
      </c>
      <c r="AQ168">
        <v>0.01</v>
      </c>
      <c r="AR168">
        <v>10</v>
      </c>
      <c r="AS168">
        <v>11</v>
      </c>
      <c r="AT168">
        <v>480</v>
      </c>
      <c r="AU168" s="32">
        <f t="shared" si="161"/>
        <v>0.18435539623607733</v>
      </c>
      <c r="AV168">
        <v>0.1</v>
      </c>
      <c r="AW168" s="32">
        <f t="shared" si="162"/>
        <v>3.9070978945083576E-5</v>
      </c>
      <c r="AX168">
        <v>27</v>
      </c>
      <c r="AY168" s="32">
        <f t="shared" si="163"/>
        <v>1.0680983328623906E-2</v>
      </c>
      <c r="AZ168">
        <v>5.0999999999999996</v>
      </c>
      <c r="BA168" s="32">
        <f t="shared" si="164"/>
        <v>2.017519073184515E-3</v>
      </c>
      <c r="BB168">
        <v>0.2</v>
      </c>
      <c r="BC168" s="32">
        <f t="shared" si="165"/>
        <v>7.9118395026843739E-5</v>
      </c>
      <c r="BD168">
        <v>6.5</v>
      </c>
      <c r="BF168" s="48">
        <v>514.20000000000005</v>
      </c>
      <c r="BG168" s="48">
        <f t="shared" si="166"/>
        <v>0.19507545054364633</v>
      </c>
      <c r="BH168">
        <v>280</v>
      </c>
      <c r="BI168" s="32">
        <f t="shared" si="167"/>
        <v>0.1048607318405243</v>
      </c>
      <c r="BJ168" s="47">
        <v>4</v>
      </c>
      <c r="BK168" s="27">
        <f t="shared" si="168"/>
        <v>1.4980104548646326E-3</v>
      </c>
      <c r="BL168" s="47">
        <v>2</v>
      </c>
      <c r="BM168" s="27">
        <f t="shared" si="169"/>
        <v>7.3592220251002033E-4</v>
      </c>
      <c r="BN168" s="47">
        <v>44</v>
      </c>
      <c r="BO168" s="27">
        <f t="shared" si="170"/>
        <v>1.6548861941508335E-2</v>
      </c>
      <c r="BP168" s="47">
        <v>0.43</v>
      </c>
      <c r="BQ168" s="27">
        <f t="shared" si="171"/>
        <v>1.6038984478402118E-4</v>
      </c>
      <c r="BR168" s="47">
        <v>0.11</v>
      </c>
      <c r="BS168" s="27">
        <f t="shared" si="172"/>
        <v>4.0733883184649049E-5</v>
      </c>
      <c r="BT168" s="47">
        <v>0.02</v>
      </c>
      <c r="BU168" s="27">
        <f t="shared" si="173"/>
        <v>7.4061605790270997E-6</v>
      </c>
      <c r="BV168" s="47">
        <v>0.01</v>
      </c>
      <c r="BW168" s="27">
        <f t="shared" si="174"/>
        <v>3.6588380716934487E-6</v>
      </c>
      <c r="BX168" s="47">
        <v>2E-3</v>
      </c>
      <c r="BY168" s="27">
        <f t="shared" si="175"/>
        <v>7.3176761433868969E-7</v>
      </c>
      <c r="BZ168" s="51">
        <f t="shared" si="176"/>
        <v>50.572000000000003</v>
      </c>
      <c r="CA168" s="51">
        <f t="shared" si="177"/>
        <v>46.572000000000003</v>
      </c>
      <c r="CB168" s="27">
        <f t="shared" si="178"/>
        <v>1.8995715093116712E-2</v>
      </c>
      <c r="CC168" s="27">
        <f t="shared" si="179"/>
        <v>1.7497704638252079E-2</v>
      </c>
      <c r="CD168">
        <v>730</v>
      </c>
      <c r="CE168">
        <v>310</v>
      </c>
      <c r="CF168" t="s">
        <v>19</v>
      </c>
      <c r="CG168">
        <v>1000</v>
      </c>
      <c r="CH168" s="32">
        <v>0.8</v>
      </c>
      <c r="CI168" s="32">
        <f t="shared" si="180"/>
        <v>1.432408236347359E-2</v>
      </c>
      <c r="CJ168" s="32">
        <f t="shared" si="181"/>
        <v>1.432408236347359E-2</v>
      </c>
      <c r="CK168" s="32">
        <v>0.7</v>
      </c>
      <c r="CL168" s="32">
        <f t="shared" si="182"/>
        <v>1.2743491716730383E-2</v>
      </c>
      <c r="CM168" s="32">
        <f t="shared" si="183"/>
        <v>2.5486983433460765E-2</v>
      </c>
      <c r="CN168" s="27">
        <v>36</v>
      </c>
      <c r="CO168" s="27">
        <f t="shared" si="184"/>
        <v>0.37476577139287942</v>
      </c>
      <c r="CP168" s="27">
        <f t="shared" si="185"/>
        <v>2.9981261711430354</v>
      </c>
      <c r="CQ168" s="57">
        <v>-11</v>
      </c>
      <c r="CR168" s="57">
        <v>-44</v>
      </c>
      <c r="CS168" s="57">
        <v>-0.91609410784926082</v>
      </c>
      <c r="CT168" s="57">
        <f t="shared" si="186"/>
        <v>0</v>
      </c>
      <c r="CU168" s="28">
        <v>-11</v>
      </c>
      <c r="CV168" s="28">
        <v>-44</v>
      </c>
      <c r="CW168" s="28">
        <v>-0.91609410784926082</v>
      </c>
      <c r="CX168" s="28">
        <f t="shared" si="187"/>
        <v>0</v>
      </c>
      <c r="CY168" s="32">
        <f t="shared" si="188"/>
        <v>-6.3943368727878402</v>
      </c>
      <c r="CZ168" s="32">
        <f t="shared" si="189"/>
        <v>0</v>
      </c>
      <c r="DA168" s="32">
        <f t="shared" si="190"/>
        <v>0.8</v>
      </c>
      <c r="DB168" s="32">
        <f t="shared" si="191"/>
        <v>1.432408236347359E-2</v>
      </c>
      <c r="DC168" s="32">
        <f t="shared" si="192"/>
        <v>1.432408236347359E-2</v>
      </c>
      <c r="DD168" s="59">
        <f t="shared" si="193"/>
        <v>-6.3943368727878402</v>
      </c>
      <c r="DE168" s="59">
        <f t="shared" si="194"/>
        <v>0</v>
      </c>
      <c r="DF168" s="59">
        <f t="shared" si="195"/>
        <v>0.8</v>
      </c>
      <c r="DG168" s="59">
        <f t="shared" si="196"/>
        <v>1.432408236347359E-2</v>
      </c>
      <c r="DH168" s="59">
        <f t="shared" si="197"/>
        <v>1.432408236347359E-2</v>
      </c>
      <c r="DI168" s="32">
        <f t="shared" si="198"/>
        <v>2.9981261711430354</v>
      </c>
      <c r="DJ168" s="32">
        <f t="shared" si="199"/>
        <v>1.5</v>
      </c>
      <c r="DK168" s="32">
        <f t="shared" si="200"/>
        <v>3.9811065796934358E-2</v>
      </c>
      <c r="DL168">
        <f t="shared" si="201"/>
        <v>3.9811065796934358E-2</v>
      </c>
      <c r="DM168">
        <f t="shared" si="150"/>
        <v>0.640198470532366</v>
      </c>
      <c r="DN168">
        <f t="shared" si="151"/>
        <v>0.35980152946763388</v>
      </c>
      <c r="DO168">
        <f t="shared" si="152"/>
        <v>0</v>
      </c>
      <c r="DP168">
        <f t="shared" si="202"/>
        <v>3.9811065796934358E-2</v>
      </c>
      <c r="DQ168">
        <f t="shared" si="153"/>
        <v>0.640198470532366</v>
      </c>
      <c r="DR168">
        <f t="shared" si="154"/>
        <v>0.35980152946763388</v>
      </c>
      <c r="DS168">
        <f t="shared" si="155"/>
        <v>0</v>
      </c>
      <c r="DT168" s="63">
        <f t="shared" si="156"/>
        <v>0.26012511658723625</v>
      </c>
      <c r="DU168" s="63">
        <f t="shared" si="157"/>
        <v>0.26012511658723625</v>
      </c>
      <c r="DV168" s="63">
        <f t="shared" si="158"/>
        <v>0.27762282122548831</v>
      </c>
      <c r="DW168" s="63">
        <f t="shared" si="159"/>
        <v>0.27762282122548831</v>
      </c>
      <c r="DX168" t="str">
        <f t="shared" si="203"/>
        <v>Insufficient Capacity</v>
      </c>
      <c r="DY168" t="str">
        <f t="shared" si="204"/>
        <v>Insufficient Capacity</v>
      </c>
      <c r="DZ168" t="str">
        <f t="shared" si="205"/>
        <v>Iron Dominant electron acceptor</v>
      </c>
      <c r="EA168" t="str">
        <f t="shared" si="160"/>
        <v>Iron Dominant electron acceptor</v>
      </c>
      <c r="EB168">
        <v>9.265367E-3</v>
      </c>
      <c r="EC168">
        <v>1.6667959999999999E-3</v>
      </c>
      <c r="ED168" s="66">
        <v>8.1250099999999998E-7</v>
      </c>
      <c r="EE168">
        <v>8.5946350000000004E-4</v>
      </c>
      <c r="EF168">
        <v>6.2446000000000003E-3</v>
      </c>
      <c r="EG168" s="66">
        <v>5.7984330000000002E-5</v>
      </c>
      <c r="EH168">
        <v>5.577577E-4</v>
      </c>
      <c r="EI168">
        <v>1.0214289999999999E-4</v>
      </c>
      <c r="EJ168">
        <v>5.98681E-4</v>
      </c>
      <c r="EK168">
        <v>1.104776E-3</v>
      </c>
      <c r="EL168">
        <v>6.5416849999999996E-4</v>
      </c>
      <c r="EM168">
        <v>4.0373189999999998E-4</v>
      </c>
      <c r="EN168">
        <v>2.2420370000000001E-3</v>
      </c>
      <c r="EO168">
        <v>9.5755079999999999E-4</v>
      </c>
      <c r="EP168">
        <v>2.7324469999999998E-3</v>
      </c>
      <c r="EQ168">
        <v>1.0968390000000001E-3</v>
      </c>
      <c r="ER168">
        <v>5.849831E-4</v>
      </c>
      <c r="ES168">
        <v>1.0159100000000001E-3</v>
      </c>
      <c r="ET168">
        <v>7.1784860000000004E-3</v>
      </c>
      <c r="EU168">
        <v>2.6659219999999998E-3</v>
      </c>
      <c r="EV168">
        <v>8.2385359999999994E-3</v>
      </c>
      <c r="EW168">
        <v>7.3092890000000003E-4</v>
      </c>
      <c r="EX168">
        <v>4.648648E-3</v>
      </c>
      <c r="EY168">
        <v>6.9984899999999996E-3</v>
      </c>
      <c r="EZ168">
        <v>1.894331E-3</v>
      </c>
      <c r="FA168">
        <v>1.216588E-3</v>
      </c>
      <c r="FB168">
        <v>1.288523E-3</v>
      </c>
      <c r="FC168">
        <v>1.9195729999999999E-3</v>
      </c>
      <c r="FD168">
        <v>7.3279390000000001E-4</v>
      </c>
      <c r="FE168">
        <v>2.4305920000000002E-2</v>
      </c>
      <c r="FF168">
        <v>1.39206E-2</v>
      </c>
      <c r="FG168">
        <v>7.7857239999999999E-3</v>
      </c>
      <c r="FH168">
        <v>8.1226439999999996E-4</v>
      </c>
      <c r="FI168">
        <v>1.6448669999999999E-3</v>
      </c>
      <c r="FJ168">
        <v>9.3524899999999998E-3</v>
      </c>
      <c r="FK168">
        <v>0.40591103910389398</v>
      </c>
      <c r="FL168">
        <v>0.30557197020375299</v>
      </c>
      <c r="FM168">
        <v>1.5683901689286599</v>
      </c>
      <c r="FN168">
        <v>0.63035248353392104</v>
      </c>
      <c r="FO168">
        <v>0.25219183811442297</v>
      </c>
      <c r="FP168">
        <v>0.30274189769042298</v>
      </c>
      <c r="FQ168">
        <v>0.42910578005599698</v>
      </c>
      <c r="FR168">
        <v>0.36169408922796298</v>
      </c>
      <c r="FS168">
        <v>0.45113103010318401</v>
      </c>
      <c r="FT168">
        <v>9.7613564549427601E-2</v>
      </c>
      <c r="FU168">
        <v>0.159594873899918</v>
      </c>
      <c r="FV168">
        <v>0.25453537797530601</v>
      </c>
      <c r="FW168">
        <v>-9.6762670643023796E-2</v>
      </c>
      <c r="FX168">
        <v>0.38979276823247799</v>
      </c>
      <c r="FY168">
        <v>0.37781004506403898</v>
      </c>
      <c r="FZ168">
        <v>-0.189918368246764</v>
      </c>
      <c r="GA168">
        <v>-3.82030109644695E-2</v>
      </c>
      <c r="GB168">
        <v>-7.0426219185185907E-2</v>
      </c>
      <c r="GC168">
        <v>0.125779313820789</v>
      </c>
      <c r="GD168">
        <v>-6.7800013854664207E-2</v>
      </c>
      <c r="GE168">
        <v>3.2786504537694099E-2</v>
      </c>
      <c r="GF168">
        <v>0.39670493006485402</v>
      </c>
      <c r="GG168">
        <v>0.25176889998191099</v>
      </c>
      <c r="GH168">
        <v>0.265017882052972</v>
      </c>
      <c r="GI168">
        <v>2.4282157393567899E-2</v>
      </c>
      <c r="GJ168">
        <v>0.718684512959754</v>
      </c>
      <c r="GK168">
        <v>4.1212235981122398E-2</v>
      </c>
      <c r="GL168">
        <v>-7.1333722033037006E-2</v>
      </c>
      <c r="GM168">
        <v>-7.99151201077795E-2</v>
      </c>
      <c r="GN168">
        <v>2.4054214905735401E-2</v>
      </c>
      <c r="GO168">
        <v>0.13584564346521499</v>
      </c>
      <c r="GP168">
        <v>-0.124449836357027</v>
      </c>
      <c r="GR168" s="66"/>
      <c r="GT168" s="66"/>
      <c r="GV168" s="66"/>
      <c r="GW168" s="65"/>
      <c r="GX168" s="65"/>
      <c r="HK168" s="1"/>
      <c r="HL168" s="1"/>
      <c r="HM168" s="65"/>
      <c r="HN168" s="1"/>
      <c r="HV168" s="65"/>
      <c r="IZ168" s="66"/>
      <c r="JB168" s="66"/>
      <c r="JD168" s="66"/>
      <c r="JF168" s="66"/>
      <c r="JH168" s="66"/>
      <c r="JJ168" s="66"/>
      <c r="JL168" s="66"/>
      <c r="JN168" s="66"/>
      <c r="JP168" s="66"/>
      <c r="JR168" s="66"/>
    </row>
    <row r="169" spans="1:278" ht="15.75" x14ac:dyDescent="0.25">
      <c r="A169" s="5" t="s">
        <v>221</v>
      </c>
      <c r="B169" s="5" t="s">
        <v>221</v>
      </c>
      <c r="C169" s="2" t="s">
        <v>1039</v>
      </c>
      <c r="D169" s="2" t="s">
        <v>611</v>
      </c>
      <c r="E169" s="2" t="s">
        <v>611</v>
      </c>
      <c r="F169" s="2">
        <v>168</v>
      </c>
      <c r="G169" s="2" t="s">
        <v>1038</v>
      </c>
      <c r="H169" s="10" t="s">
        <v>656</v>
      </c>
      <c r="I169" s="2">
        <v>150</v>
      </c>
      <c r="J169" s="2">
        <v>65</v>
      </c>
      <c r="K169" s="2">
        <v>4.1500000000000004</v>
      </c>
      <c r="L169" t="s">
        <v>393</v>
      </c>
      <c r="M169" s="2" t="s">
        <v>1120</v>
      </c>
      <c r="N169" s="2" t="s">
        <v>435</v>
      </c>
      <c r="O169" s="2" t="s">
        <v>653</v>
      </c>
      <c r="P169" s="2" t="s">
        <v>1124</v>
      </c>
      <c r="Q169" s="9" t="s">
        <v>662</v>
      </c>
      <c r="R169" s="2" t="str">
        <f t="shared" si="145"/>
        <v>CW_1_Section_1</v>
      </c>
      <c r="S169" s="2" t="str">
        <f t="shared" si="146"/>
        <v>CW_1_MF02</v>
      </c>
      <c r="T169" s="11" t="s">
        <v>1029</v>
      </c>
      <c r="U169" s="1">
        <v>45957</v>
      </c>
      <c r="V169" s="2" t="s">
        <v>752</v>
      </c>
      <c r="W169" s="2" t="s">
        <v>663</v>
      </c>
      <c r="X169" s="2" t="s">
        <v>1028</v>
      </c>
      <c r="Y169" s="2" t="str">
        <f t="shared" si="147"/>
        <v>T7_MF02</v>
      </c>
      <c r="Z169" s="2" t="str">
        <f t="shared" si="148"/>
        <v>T7_CW_1_MF02</v>
      </c>
      <c r="AA169" s="2" t="str">
        <f t="shared" si="149"/>
        <v>T7_0.60-0.80</v>
      </c>
      <c r="AB169" s="2">
        <v>440</v>
      </c>
      <c r="AC169" s="2">
        <v>14.474</v>
      </c>
      <c r="AD169" s="2">
        <v>1.22</v>
      </c>
      <c r="AE169" s="2">
        <v>7</v>
      </c>
      <c r="AF169" t="s">
        <v>31</v>
      </c>
      <c r="AG169" t="s">
        <v>1237</v>
      </c>
      <c r="AH169">
        <v>74</v>
      </c>
      <c r="AI169" t="s">
        <v>443</v>
      </c>
      <c r="AJ169">
        <v>0.72</v>
      </c>
      <c r="AK169">
        <v>0.72</v>
      </c>
      <c r="AL169">
        <v>11</v>
      </c>
      <c r="AM169">
        <v>-244</v>
      </c>
      <c r="AN169">
        <v>7.6</v>
      </c>
      <c r="AO169">
        <v>812</v>
      </c>
      <c r="AP169">
        <v>0.2</v>
      </c>
      <c r="AQ169">
        <v>0.3</v>
      </c>
      <c r="AR169">
        <v>10</v>
      </c>
      <c r="AS169">
        <v>11</v>
      </c>
      <c r="AT169">
        <v>750</v>
      </c>
      <c r="AU169" s="32">
        <f t="shared" si="161"/>
        <v>0.2880553066188708</v>
      </c>
      <c r="AV169">
        <v>95</v>
      </c>
      <c r="AW169" s="32">
        <f t="shared" si="162"/>
        <v>3.7117429997829396E-2</v>
      </c>
      <c r="AX169">
        <v>590</v>
      </c>
      <c r="AY169" s="32">
        <f t="shared" si="163"/>
        <v>0.23339926532918903</v>
      </c>
      <c r="AZ169">
        <v>240</v>
      </c>
      <c r="BA169" s="32">
        <f t="shared" si="164"/>
        <v>9.4942074032212498E-2</v>
      </c>
      <c r="BB169">
        <v>320</v>
      </c>
      <c r="BC169" s="32">
        <f t="shared" si="165"/>
        <v>0.12658943204294998</v>
      </c>
      <c r="BD169">
        <v>560</v>
      </c>
      <c r="BF169" s="48">
        <v>1995</v>
      </c>
      <c r="BG169" s="48">
        <f t="shared" si="166"/>
        <v>0.5585720019458893</v>
      </c>
      <c r="BH169">
        <v>1500</v>
      </c>
      <c r="BI169" s="32">
        <f t="shared" si="167"/>
        <v>0.56175392057423734</v>
      </c>
      <c r="BJ169" s="47">
        <v>1700</v>
      </c>
      <c r="BK169" s="27">
        <f t="shared" si="168"/>
        <v>0.63665444331746901</v>
      </c>
      <c r="BL169" s="47">
        <v>3.9</v>
      </c>
      <c r="BM169" s="27">
        <f t="shared" si="169"/>
        <v>1.4350482948945395E-3</v>
      </c>
      <c r="BN169" s="47">
        <v>140</v>
      </c>
      <c r="BO169" s="27">
        <f t="shared" si="170"/>
        <v>5.2655469813890153E-2</v>
      </c>
      <c r="BP169" s="47">
        <v>35</v>
      </c>
      <c r="BQ169" s="27">
        <f t="shared" si="171"/>
        <v>1.3054987366141258E-2</v>
      </c>
      <c r="BR169" s="47">
        <v>31</v>
      </c>
      <c r="BS169" s="27">
        <f t="shared" si="172"/>
        <v>1.1479548897492003E-2</v>
      </c>
      <c r="BT169" s="47">
        <v>5.4</v>
      </c>
      <c r="BU169" s="27">
        <f t="shared" si="173"/>
        <v>1.9996633563373169E-3</v>
      </c>
      <c r="BV169" s="47">
        <v>1.1000000000000001</v>
      </c>
      <c r="BW169" s="27">
        <f t="shared" si="174"/>
        <v>4.0247218788627936E-4</v>
      </c>
      <c r="BX169" s="47">
        <v>1</v>
      </c>
      <c r="BY169" s="27">
        <f t="shared" si="175"/>
        <v>3.6588380716934482E-4</v>
      </c>
      <c r="BZ169" s="51">
        <f t="shared" si="176"/>
        <v>1917.4</v>
      </c>
      <c r="CA169" s="51">
        <f t="shared" si="177"/>
        <v>217.4</v>
      </c>
      <c r="CB169" s="27">
        <f t="shared" si="178"/>
        <v>0.71804751704127989</v>
      </c>
      <c r="CC169" s="27">
        <f t="shared" si="179"/>
        <v>8.1393073723810896E-2</v>
      </c>
      <c r="CD169">
        <v>2100</v>
      </c>
      <c r="CE169">
        <v>780</v>
      </c>
      <c r="CF169" t="s">
        <v>19</v>
      </c>
      <c r="CG169">
        <v>2900</v>
      </c>
      <c r="CH169" s="32">
        <v>0.5</v>
      </c>
      <c r="CI169" s="32">
        <f t="shared" si="180"/>
        <v>8.9525514771709933E-3</v>
      </c>
      <c r="CJ169" s="32">
        <f t="shared" si="181"/>
        <v>8.9525514771709933E-3</v>
      </c>
      <c r="CK169" s="32">
        <v>1</v>
      </c>
      <c r="CL169" s="32">
        <f t="shared" si="182"/>
        <v>1.8204988166757693E-2</v>
      </c>
      <c r="CM169" s="32">
        <f t="shared" si="183"/>
        <v>3.6409976333515386E-2</v>
      </c>
      <c r="CN169" s="27">
        <v>24</v>
      </c>
      <c r="CO169" s="27">
        <f t="shared" si="184"/>
        <v>0.24984384759525297</v>
      </c>
      <c r="CP169" s="27">
        <f t="shared" si="185"/>
        <v>1.9987507807620237</v>
      </c>
      <c r="CQ169" s="57">
        <v>1</v>
      </c>
      <c r="CR169" s="57">
        <v>4</v>
      </c>
      <c r="CS169" s="57">
        <v>8.3281282531750989E-2</v>
      </c>
      <c r="CT169" s="57">
        <f t="shared" si="186"/>
        <v>8.3281282531750989E-2</v>
      </c>
      <c r="CU169" s="28">
        <v>1</v>
      </c>
      <c r="CV169" s="28">
        <v>4</v>
      </c>
      <c r="CW169" s="28">
        <v>8.3281282531750989E-2</v>
      </c>
      <c r="CX169" s="28">
        <f t="shared" si="187"/>
        <v>8.3281282531750989E-2</v>
      </c>
      <c r="CY169" s="32">
        <f t="shared" si="188"/>
        <v>0.58130335207162187</v>
      </c>
      <c r="CZ169" s="32">
        <f t="shared" si="189"/>
        <v>0.58130335207162187</v>
      </c>
      <c r="DA169" s="32">
        <f t="shared" si="190"/>
        <v>1.0813033520716218</v>
      </c>
      <c r="DB169" s="32">
        <f t="shared" si="191"/>
        <v>1.9360847843717489E-2</v>
      </c>
      <c r="DC169" s="32">
        <f t="shared" si="192"/>
        <v>1.9360847843717489E-2</v>
      </c>
      <c r="DD169" s="59">
        <f t="shared" si="193"/>
        <v>0.58130335207162187</v>
      </c>
      <c r="DE169" s="59">
        <f t="shared" si="194"/>
        <v>0.58130335207162187</v>
      </c>
      <c r="DF169" s="59">
        <f t="shared" si="195"/>
        <v>1.0813033520716218</v>
      </c>
      <c r="DG169" s="59">
        <f t="shared" si="196"/>
        <v>1.9360847843717489E-2</v>
      </c>
      <c r="DH169" s="59">
        <f t="shared" si="197"/>
        <v>1.9360847843717489E-2</v>
      </c>
      <c r="DI169" s="32">
        <f t="shared" si="198"/>
        <v>1.9987507807620237</v>
      </c>
      <c r="DJ169" s="32">
        <f t="shared" si="199"/>
        <v>2.0813033520716218</v>
      </c>
      <c r="DK169" s="32">
        <f t="shared" si="200"/>
        <v>5.5770824177232878E-2</v>
      </c>
      <c r="DL169">
        <f t="shared" si="201"/>
        <v>0.13905210670898388</v>
      </c>
      <c r="DM169">
        <f t="shared" si="150"/>
        <v>0.26184411869225571</v>
      </c>
      <c r="DN169">
        <f t="shared" si="151"/>
        <v>0.13923448052633225</v>
      </c>
      <c r="DO169">
        <f t="shared" si="152"/>
        <v>0.59892140078141187</v>
      </c>
      <c r="DP169">
        <f t="shared" si="202"/>
        <v>0.13905210670898388</v>
      </c>
      <c r="DQ169">
        <f t="shared" si="153"/>
        <v>0.26184411869225571</v>
      </c>
      <c r="DR169">
        <f t="shared" si="154"/>
        <v>0.13923448052633225</v>
      </c>
      <c r="DS169">
        <f t="shared" si="155"/>
        <v>0.59892140078141187</v>
      </c>
      <c r="DT169" s="63">
        <f t="shared" si="156"/>
        <v>0.98127381581114292</v>
      </c>
      <c r="DU169" s="63">
        <f t="shared" si="157"/>
        <v>0.98127381581114292</v>
      </c>
      <c r="DV169" s="63">
        <f t="shared" si="158"/>
        <v>1.0626668895349538</v>
      </c>
      <c r="DW169" s="63">
        <f t="shared" si="159"/>
        <v>1.0626668895349538</v>
      </c>
      <c r="DX169" t="str">
        <f t="shared" si="203"/>
        <v>Insufficient Capacity</v>
      </c>
      <c r="DY169" t="str">
        <f t="shared" si="204"/>
        <v>Insufficient Capacity</v>
      </c>
      <c r="DZ169" t="str">
        <f t="shared" si="205"/>
        <v>Sulfate Dominant electron acceptor</v>
      </c>
      <c r="EA169" t="str">
        <f t="shared" si="160"/>
        <v>Sulfate Dominant electron acceptor</v>
      </c>
      <c r="EB169">
        <v>1.0070849999999999E-2</v>
      </c>
      <c r="EC169">
        <v>1.7209160000000001E-3</v>
      </c>
      <c r="ED169">
        <v>0</v>
      </c>
      <c r="EE169">
        <v>7.0240359999999998E-4</v>
      </c>
      <c r="EF169">
        <v>5.3410410000000004E-3</v>
      </c>
      <c r="EG169" s="66">
        <v>1.3470280000000001E-5</v>
      </c>
      <c r="EH169">
        <v>3.5364579999999998E-4</v>
      </c>
      <c r="EI169">
        <v>1.062045E-4</v>
      </c>
      <c r="EJ169">
        <v>4.4850759999999999E-4</v>
      </c>
      <c r="EK169">
        <v>7.1107329999999999E-4</v>
      </c>
      <c r="EL169">
        <v>5.2618239999999996E-4</v>
      </c>
      <c r="EM169">
        <v>3.6643739999999998E-4</v>
      </c>
      <c r="EN169">
        <v>1.9563929999999998E-3</v>
      </c>
      <c r="EO169">
        <v>8.7768229999999996E-4</v>
      </c>
      <c r="EP169">
        <v>2.3182839999999999E-3</v>
      </c>
      <c r="EQ169">
        <v>1.31679E-3</v>
      </c>
      <c r="ER169">
        <v>4.4406300000000002E-4</v>
      </c>
      <c r="ES169">
        <v>6.6132430000000002E-4</v>
      </c>
      <c r="ET169">
        <v>8.2376740000000004E-3</v>
      </c>
      <c r="EU169">
        <v>2.6379239999999998E-3</v>
      </c>
      <c r="EV169">
        <v>9.6343020000000008E-3</v>
      </c>
      <c r="EW169">
        <v>7.501335E-4</v>
      </c>
      <c r="EX169">
        <v>5.1581229999999997E-3</v>
      </c>
      <c r="EY169">
        <v>6.5668560000000003E-3</v>
      </c>
      <c r="EZ169">
        <v>1.419694E-3</v>
      </c>
      <c r="FA169">
        <v>9.8215249999999998E-4</v>
      </c>
      <c r="FB169">
        <v>1.0234739999999999E-3</v>
      </c>
      <c r="FC169">
        <v>1.817518E-3</v>
      </c>
      <c r="FD169">
        <v>2.7841120000000002E-4</v>
      </c>
      <c r="FE169">
        <v>2.3104260000000001E-2</v>
      </c>
      <c r="FF169">
        <v>1.6373990000000001E-2</v>
      </c>
      <c r="FG169">
        <v>8.9399990000000006E-3</v>
      </c>
      <c r="FH169">
        <v>7.8129499999999999E-4</v>
      </c>
      <c r="FI169">
        <v>1.5723989999999999E-3</v>
      </c>
      <c r="FJ169">
        <v>1.209036E-2</v>
      </c>
      <c r="FK169">
        <v>0.20411084932554899</v>
      </c>
      <c r="FL169">
        <v>0.14927545771182399</v>
      </c>
      <c r="FM169">
        <v>0.10870314443932499</v>
      </c>
      <c r="FN169">
        <v>0.17472369211091501</v>
      </c>
      <c r="FO169">
        <v>0.291185505686887</v>
      </c>
      <c r="FP169">
        <v>1.3938622418200101E-2</v>
      </c>
      <c r="FQ169">
        <v>-1.1516579691411601E-2</v>
      </c>
      <c r="FR169">
        <v>0.143977046384063</v>
      </c>
      <c r="FS169">
        <v>0.35420768811912501</v>
      </c>
      <c r="FT169">
        <v>-3.8668791410323401E-2</v>
      </c>
      <c r="FU169">
        <v>7.2500782473063005E-2</v>
      </c>
      <c r="FV169">
        <v>9.0165090078179397E-2</v>
      </c>
      <c r="FW169">
        <v>8.6001879480461299E-2</v>
      </c>
      <c r="FX169">
        <v>0.114176254565217</v>
      </c>
      <c r="FY169">
        <v>-5.1485656664319798E-2</v>
      </c>
      <c r="FZ169">
        <v>-5.22888430432671E-2</v>
      </c>
      <c r="GA169">
        <v>-4.87607308028606E-2</v>
      </c>
      <c r="GB169">
        <v>8.6080977609830397E-2</v>
      </c>
      <c r="GC169">
        <v>0.151714313513586</v>
      </c>
      <c r="GD169">
        <v>3.6196315137944503E-2</v>
      </c>
      <c r="GE169">
        <v>-3.0872727814736899E-2</v>
      </c>
      <c r="GF169">
        <v>0.108280543596014</v>
      </c>
      <c r="GG169">
        <v>3.7709993311196399E-2</v>
      </c>
      <c r="GH169">
        <v>3.4724003656298102E-2</v>
      </c>
      <c r="GI169">
        <v>-3.03487739887798E-2</v>
      </c>
      <c r="GJ169">
        <v>-0.24908081859358999</v>
      </c>
      <c r="GK169">
        <v>-9.4906899839832803E-3</v>
      </c>
      <c r="GL169">
        <v>9.0990620771092004E-2</v>
      </c>
      <c r="GM169">
        <v>5.8328556901285501E-2</v>
      </c>
      <c r="GN169">
        <v>-1.48188886263858E-2</v>
      </c>
      <c r="GO169">
        <v>9.0788592175208294E-2</v>
      </c>
      <c r="GP169">
        <v>0.13231598649453</v>
      </c>
      <c r="HK169" s="1"/>
      <c r="HL169" s="1"/>
      <c r="HM169" s="65"/>
      <c r="HN169" s="1"/>
      <c r="HX169" s="65"/>
      <c r="JD169" s="66"/>
      <c r="JF169" s="66"/>
      <c r="JJ169" s="66"/>
      <c r="JL169" s="66"/>
      <c r="JN169" s="66"/>
    </row>
    <row r="170" spans="1:278" ht="15.75" x14ac:dyDescent="0.25">
      <c r="A170" s="5" t="s">
        <v>222</v>
      </c>
      <c r="B170" s="5" t="s">
        <v>222</v>
      </c>
      <c r="C170" s="2" t="s">
        <v>1041</v>
      </c>
      <c r="D170" s="2" t="s">
        <v>612</v>
      </c>
      <c r="E170" s="2" t="s">
        <v>612</v>
      </c>
      <c r="F170" s="2">
        <v>169</v>
      </c>
      <c r="G170" s="2" t="s">
        <v>1040</v>
      </c>
      <c r="H170" s="10" t="s">
        <v>656</v>
      </c>
      <c r="I170" s="2">
        <v>150</v>
      </c>
      <c r="J170" s="2">
        <v>65</v>
      </c>
      <c r="K170" s="2">
        <v>4.45</v>
      </c>
      <c r="L170" t="s">
        <v>394</v>
      </c>
      <c r="M170" s="2" t="s">
        <v>1120</v>
      </c>
      <c r="N170" s="2" t="s">
        <v>435</v>
      </c>
      <c r="O170" s="2" t="s">
        <v>666</v>
      </c>
      <c r="P170" s="2" t="s">
        <v>1131</v>
      </c>
      <c r="Q170" s="9" t="s">
        <v>667</v>
      </c>
      <c r="R170" s="2" t="str">
        <f t="shared" si="145"/>
        <v>CW_1_Section_2</v>
      </c>
      <c r="S170" s="2" t="str">
        <f t="shared" si="146"/>
        <v>CW_1_MF05</v>
      </c>
      <c r="T170" s="11" t="s">
        <v>1029</v>
      </c>
      <c r="U170" s="1">
        <v>45957</v>
      </c>
      <c r="V170" s="2" t="s">
        <v>752</v>
      </c>
      <c r="W170" s="2" t="s">
        <v>655</v>
      </c>
      <c r="X170" s="2" t="s">
        <v>1028</v>
      </c>
      <c r="Y170" s="2" t="str">
        <f t="shared" si="147"/>
        <v>T7_MF05</v>
      </c>
      <c r="Z170" s="2" t="str">
        <f t="shared" si="148"/>
        <v>T7_CW_1_MF05</v>
      </c>
      <c r="AA170" s="2" t="str">
        <f t="shared" si="149"/>
        <v>T7_0.15-0.30</v>
      </c>
      <c r="AB170" s="2">
        <v>440</v>
      </c>
      <c r="AC170" s="2">
        <v>14.474</v>
      </c>
      <c r="AD170" s="2">
        <v>1.22</v>
      </c>
      <c r="AE170" s="2">
        <v>7</v>
      </c>
      <c r="AF170" t="s">
        <v>33</v>
      </c>
      <c r="AG170" t="s">
        <v>1237</v>
      </c>
      <c r="AH170">
        <v>74</v>
      </c>
      <c r="AI170" t="s">
        <v>443</v>
      </c>
      <c r="AJ170">
        <v>1.1000000000000001</v>
      </c>
      <c r="AK170">
        <v>4.4000000000000004</v>
      </c>
      <c r="AL170">
        <v>10</v>
      </c>
      <c r="AM170">
        <v>-178</v>
      </c>
      <c r="AN170">
        <v>7.4</v>
      </c>
      <c r="AO170">
        <v>718</v>
      </c>
      <c r="AP170">
        <v>0.1</v>
      </c>
      <c r="AQ170">
        <v>0.01</v>
      </c>
      <c r="AR170">
        <v>10</v>
      </c>
      <c r="AS170">
        <v>11</v>
      </c>
      <c r="AT170">
        <v>260</v>
      </c>
      <c r="AU170" s="32">
        <f t="shared" si="161"/>
        <v>9.9859172961208553E-2</v>
      </c>
      <c r="AV170">
        <v>0.5</v>
      </c>
      <c r="AW170" s="32">
        <f t="shared" si="162"/>
        <v>1.9535489472541785E-4</v>
      </c>
      <c r="AX170">
        <v>220</v>
      </c>
      <c r="AY170" s="32">
        <f t="shared" si="163"/>
        <v>8.7030234529528114E-2</v>
      </c>
      <c r="AZ170">
        <v>19</v>
      </c>
      <c r="BA170" s="32">
        <f t="shared" si="164"/>
        <v>7.5162475275501557E-3</v>
      </c>
      <c r="BB170">
        <v>1</v>
      </c>
      <c r="BC170" s="32">
        <f t="shared" si="165"/>
        <v>3.9559197513421869E-4</v>
      </c>
      <c r="BD170">
        <v>26</v>
      </c>
      <c r="BF170" s="48">
        <v>509.5</v>
      </c>
      <c r="BG170" s="48">
        <f t="shared" si="166"/>
        <v>0.18708476238546207</v>
      </c>
      <c r="BH170">
        <v>1700</v>
      </c>
      <c r="BI170" s="32">
        <f t="shared" si="167"/>
        <v>0.63665444331746901</v>
      </c>
      <c r="BJ170" s="47">
        <v>11</v>
      </c>
      <c r="BK170" s="27">
        <f t="shared" si="168"/>
        <v>4.1195287508777401E-3</v>
      </c>
      <c r="BL170" s="47">
        <v>3</v>
      </c>
      <c r="BM170" s="27">
        <f t="shared" si="169"/>
        <v>1.1038833037650307E-3</v>
      </c>
      <c r="BN170" s="47">
        <v>2.2000000000000002</v>
      </c>
      <c r="BO170" s="27">
        <f t="shared" si="170"/>
        <v>8.2744309707541669E-4</v>
      </c>
      <c r="BP170" s="47">
        <v>0.1</v>
      </c>
      <c r="BQ170" s="27">
        <f t="shared" si="171"/>
        <v>3.729996390326074E-5</v>
      </c>
      <c r="BR170" s="47">
        <v>0.09</v>
      </c>
      <c r="BS170" s="27">
        <f t="shared" si="172"/>
        <v>3.3327722605621947E-5</v>
      </c>
      <c r="BT170" s="47">
        <v>0.01</v>
      </c>
      <c r="BU170" s="27">
        <f t="shared" si="173"/>
        <v>3.7030802895135499E-6</v>
      </c>
      <c r="BV170" s="47">
        <v>0.01</v>
      </c>
      <c r="BW170" s="27">
        <f t="shared" si="174"/>
        <v>3.6588380716934487E-6</v>
      </c>
      <c r="BX170" s="47">
        <v>2E-3</v>
      </c>
      <c r="BY170" s="27">
        <f t="shared" si="175"/>
        <v>7.3176761433868969E-7</v>
      </c>
      <c r="BZ170" s="51">
        <f t="shared" si="176"/>
        <v>16.412000000000003</v>
      </c>
      <c r="CA170" s="51">
        <f t="shared" si="177"/>
        <v>5.411999999999999</v>
      </c>
      <c r="CB170" s="27">
        <f t="shared" si="178"/>
        <v>6.1295765242026156E-3</v>
      </c>
      <c r="CC170" s="27">
        <f t="shared" si="179"/>
        <v>2.010047773324876E-3</v>
      </c>
      <c r="CD170">
        <v>2300</v>
      </c>
      <c r="CE170">
        <v>130</v>
      </c>
      <c r="CF170" t="s">
        <v>19</v>
      </c>
      <c r="CG170">
        <v>2500</v>
      </c>
      <c r="CH170" s="32">
        <v>4.5</v>
      </c>
      <c r="CI170" s="32">
        <f t="shared" si="180"/>
        <v>8.0572963294538946E-2</v>
      </c>
      <c r="CJ170" s="32">
        <f t="shared" si="181"/>
        <v>8.0572963294538946E-2</v>
      </c>
      <c r="CK170" s="32">
        <v>1.6</v>
      </c>
      <c r="CL170" s="32">
        <f t="shared" si="182"/>
        <v>2.912798106681231E-2</v>
      </c>
      <c r="CM170" s="32">
        <f t="shared" si="183"/>
        <v>5.825596213362462E-2</v>
      </c>
      <c r="CN170" s="27">
        <v>20</v>
      </c>
      <c r="CO170" s="27">
        <f t="shared" si="184"/>
        <v>0.20820320632937747</v>
      </c>
      <c r="CP170" s="27">
        <f t="shared" si="185"/>
        <v>1.6656256506350198</v>
      </c>
      <c r="CQ170" s="57">
        <v>5</v>
      </c>
      <c r="CR170" s="57">
        <v>20</v>
      </c>
      <c r="CS170" s="57">
        <v>0.41640641265875494</v>
      </c>
      <c r="CT170" s="57">
        <f t="shared" si="186"/>
        <v>0.41640641265875494</v>
      </c>
      <c r="CU170" s="28">
        <v>16</v>
      </c>
      <c r="CV170" s="28">
        <v>44.444444444444443</v>
      </c>
      <c r="CW170" s="28">
        <v>1.3325005205080158</v>
      </c>
      <c r="CX170" s="28">
        <f t="shared" si="187"/>
        <v>1.3325005205080158</v>
      </c>
      <c r="CY170" s="32">
        <f t="shared" si="188"/>
        <v>2.9065167603581092</v>
      </c>
      <c r="CZ170" s="32">
        <f t="shared" si="189"/>
        <v>2.9065167603581092</v>
      </c>
      <c r="DA170" s="32">
        <f t="shared" si="190"/>
        <v>7.4065167603581088</v>
      </c>
      <c r="DB170" s="32">
        <f t="shared" si="191"/>
        <v>0.13261444512727141</v>
      </c>
      <c r="DC170" s="32">
        <f t="shared" si="192"/>
        <v>0.13261444512727141</v>
      </c>
      <c r="DD170" s="59">
        <f t="shared" si="193"/>
        <v>9.3008536331459499</v>
      </c>
      <c r="DE170" s="59">
        <f t="shared" si="194"/>
        <v>9.3008536331459499</v>
      </c>
      <c r="DF170" s="59">
        <f t="shared" si="195"/>
        <v>13.80085363314595</v>
      </c>
      <c r="DG170" s="59">
        <f t="shared" si="196"/>
        <v>0.2471057051592829</v>
      </c>
      <c r="DH170" s="59">
        <f t="shared" si="197"/>
        <v>0.2471057051592829</v>
      </c>
      <c r="DI170" s="32">
        <f t="shared" si="198"/>
        <v>1.6656256506350198</v>
      </c>
      <c r="DJ170" s="32">
        <f t="shared" si="199"/>
        <v>15.40085363314595</v>
      </c>
      <c r="DK170" s="32">
        <f t="shared" si="200"/>
        <v>0.30536166729290753</v>
      </c>
      <c r="DL170">
        <f t="shared" si="201"/>
        <v>0.60727681991965099</v>
      </c>
      <c r="DM170">
        <f t="shared" ref="DM170:DM201" si="206">$CM170/$DL170</f>
        <v>9.5929830058938334E-2</v>
      </c>
      <c r="DN170">
        <f t="shared" ref="DN170:DN201" si="207">$DC170/$DL170</f>
        <v>0.21837560858130181</v>
      </c>
      <c r="DO170">
        <f t="shared" ref="DO170:DO201" si="208">$CT170/$DL170</f>
        <v>0.68569456135975981</v>
      </c>
      <c r="DP170">
        <f t="shared" si="202"/>
        <v>1.6378621878009234</v>
      </c>
      <c r="DQ170">
        <f t="shared" ref="DQ170:DQ201" si="209">$CM170/$DP170</f>
        <v>3.5568292965992468E-2</v>
      </c>
      <c r="DR170">
        <f t="shared" ref="DR170:DR201" si="210">$DH170/$DP170</f>
        <v>0.15087087729344281</v>
      </c>
      <c r="DS170">
        <f t="shared" ref="DS170:DS201" si="211">$CX170/$DP170</f>
        <v>0.81356082974056465</v>
      </c>
      <c r="DT170" s="63">
        <f t="shared" ref="DT170:DT201" si="212">($BG170+$BI170)-$DL170</f>
        <v>0.21646238578328014</v>
      </c>
      <c r="DU170" s="63">
        <f t="shared" ref="DU170:DU201" si="213">($BG170+$BI170)-$DP170</f>
        <v>-0.81412298209799228</v>
      </c>
      <c r="DV170" s="63">
        <f t="shared" ref="DV170:DV201" si="214">($BG170+$BI170+$CC170)-$DL170</f>
        <v>0.21847243355660506</v>
      </c>
      <c r="DW170" s="63">
        <f t="shared" ref="DW170:DW201" si="215">($BG170+$BI170+$CC170)-$DP170</f>
        <v>-0.81211293432466736</v>
      </c>
      <c r="DX170" t="str">
        <f t="shared" si="203"/>
        <v>Insufficient Capacity</v>
      </c>
      <c r="DY170" t="str">
        <f t="shared" si="204"/>
        <v>Sufficient Capacity</v>
      </c>
      <c r="DZ170" t="str">
        <f t="shared" si="205"/>
        <v>Sulfate Dominant electron acceptor</v>
      </c>
      <c r="EA170" t="str">
        <f t="shared" ref="EA170:EA201" si="216">IF(COUNT($DQ170:$DS170)=0, "No Data", IF(MAX($DQ170:$DS170)=$DS170, "Sulfate Dominant electron acceptor", IF(MAX($DQ170:$DS170)=$DQ170, "Iron Dominant electron acceptor", "Manganese Dominant electron acceptor")))</f>
        <v>Sulfate Dominant electron acceptor</v>
      </c>
      <c r="EB170">
        <v>9.8332490000000005E-3</v>
      </c>
      <c r="EC170">
        <v>1.318147E-3</v>
      </c>
      <c r="ED170" s="66">
        <v>5.2469159999999995E-7</v>
      </c>
      <c r="EE170">
        <v>3.4098119999999998E-4</v>
      </c>
      <c r="EF170">
        <v>3.4226669999999999E-3</v>
      </c>
      <c r="EG170" s="66">
        <v>6.9291600000000002E-6</v>
      </c>
      <c r="EH170">
        <v>1.7205040000000001E-4</v>
      </c>
      <c r="EI170">
        <v>1.4641599999999999E-4</v>
      </c>
      <c r="EJ170">
        <v>3.4489470000000002E-4</v>
      </c>
      <c r="EK170">
        <v>5.8202160000000005E-4</v>
      </c>
      <c r="EL170">
        <v>3.685618E-4</v>
      </c>
      <c r="EM170">
        <v>1.2443870000000001E-4</v>
      </c>
      <c r="EN170">
        <v>1.9385699999999999E-3</v>
      </c>
      <c r="EO170">
        <v>7.8894329999999995E-4</v>
      </c>
      <c r="EP170">
        <v>1.6041600000000001E-3</v>
      </c>
      <c r="EQ170">
        <v>1.6692499999999999E-3</v>
      </c>
      <c r="ER170">
        <v>2.6985449999999999E-4</v>
      </c>
      <c r="ES170">
        <v>4.8901290000000002E-4</v>
      </c>
      <c r="ET170">
        <v>1.648436E-2</v>
      </c>
      <c r="EU170">
        <v>3.1634689999999999E-3</v>
      </c>
      <c r="EV170">
        <v>1.0612730000000001E-2</v>
      </c>
      <c r="EW170">
        <v>4.6809020000000001E-4</v>
      </c>
      <c r="EX170">
        <v>5.207677E-3</v>
      </c>
      <c r="EY170">
        <v>6.3365979999999997E-3</v>
      </c>
      <c r="EZ170">
        <v>1.009919E-3</v>
      </c>
      <c r="FA170">
        <v>6.622714E-4</v>
      </c>
      <c r="FB170">
        <v>6.7693250000000005E-4</v>
      </c>
      <c r="FC170">
        <v>1.5986049999999999E-3</v>
      </c>
      <c r="FD170">
        <v>2.3467219999999999E-4</v>
      </c>
      <c r="FE170">
        <v>2.0084129999999999E-2</v>
      </c>
      <c r="FF170">
        <v>1.3650549999999999E-2</v>
      </c>
      <c r="FG170">
        <v>6.8954120000000001E-3</v>
      </c>
      <c r="FH170">
        <v>6.1881760000000001E-4</v>
      </c>
      <c r="FI170">
        <v>1.2586349999999999E-3</v>
      </c>
      <c r="FJ170">
        <v>1.047054E-2</v>
      </c>
      <c r="FK170">
        <v>-0.51856997446807596</v>
      </c>
      <c r="FL170">
        <v>-0.29572504835069802</v>
      </c>
      <c r="FM170">
        <v>-0.55604403896701304</v>
      </c>
      <c r="FN170">
        <v>-0.54578469800548901</v>
      </c>
      <c r="FO170">
        <v>0.61227091006842005</v>
      </c>
      <c r="FP170">
        <v>-0.248747851258799</v>
      </c>
      <c r="FQ170">
        <v>-0.211784537969467</v>
      </c>
      <c r="FR170">
        <v>-0.212062469816231</v>
      </c>
      <c r="FS170">
        <v>-0.72580678853424097</v>
      </c>
      <c r="FT170">
        <v>-4.7820675215061399E-2</v>
      </c>
      <c r="FU170">
        <v>-3.4089445432086599E-2</v>
      </c>
      <c r="FV170">
        <v>-0.27806191165477601</v>
      </c>
      <c r="FW170">
        <v>0.32317934649214902</v>
      </c>
      <c r="FX170">
        <v>-0.38390726483651499</v>
      </c>
      <c r="FY170">
        <v>-0.35334112697853098</v>
      </c>
      <c r="FZ170">
        <v>0.64140518703516203</v>
      </c>
      <c r="GA170">
        <v>0.13291623530517799</v>
      </c>
      <c r="GB170">
        <v>0.18280534654008099</v>
      </c>
      <c r="GC170">
        <v>-0.31987586478728097</v>
      </c>
      <c r="GD170">
        <v>4.5757444524673098E-2</v>
      </c>
      <c r="GE170">
        <v>-6.6565875590611306E-2</v>
      </c>
      <c r="GF170">
        <v>-0.23229068222013199</v>
      </c>
      <c r="GG170">
        <v>-0.35636115659100698</v>
      </c>
      <c r="GH170">
        <v>-0.37866243473114303</v>
      </c>
      <c r="GI170">
        <v>-0.15868923413750799</v>
      </c>
      <c r="GJ170">
        <v>-0.41999032937231701</v>
      </c>
      <c r="GK170">
        <v>-0.14957775512799301</v>
      </c>
      <c r="GL170">
        <v>-9.0923665599140294E-2</v>
      </c>
      <c r="GM170">
        <v>-0.201350657522684</v>
      </c>
      <c r="GN170">
        <v>-0.24796112757765101</v>
      </c>
      <c r="GO170">
        <v>-0.13178608601931799</v>
      </c>
      <c r="GP170">
        <v>-1.1526854880108E-2</v>
      </c>
      <c r="GR170" s="66"/>
      <c r="GT170" s="66"/>
      <c r="GV170" s="66"/>
      <c r="GW170" s="65"/>
      <c r="GX170" s="65"/>
      <c r="HK170" s="1"/>
      <c r="HL170" s="1"/>
      <c r="HM170" s="65"/>
      <c r="HN170" s="1"/>
      <c r="HS170" s="65"/>
      <c r="HT170" s="65"/>
      <c r="HU170" s="65"/>
      <c r="HV170" s="65"/>
      <c r="HW170" s="65"/>
      <c r="HX170" s="65"/>
      <c r="JH170" s="66"/>
      <c r="JJ170" s="66"/>
      <c r="JL170" s="66"/>
      <c r="JN170" s="66"/>
    </row>
    <row r="171" spans="1:278" ht="15.75" x14ac:dyDescent="0.25">
      <c r="A171" s="5" t="s">
        <v>223</v>
      </c>
      <c r="B171" s="5" t="s">
        <v>223</v>
      </c>
      <c r="C171" s="2" t="s">
        <v>1043</v>
      </c>
      <c r="D171" s="2" t="s">
        <v>613</v>
      </c>
      <c r="E171" s="2" t="s">
        <v>613</v>
      </c>
      <c r="F171" s="2">
        <v>170</v>
      </c>
      <c r="G171" s="2" t="s">
        <v>1042</v>
      </c>
      <c r="H171" s="10" t="s">
        <v>656</v>
      </c>
      <c r="I171" s="2">
        <v>150</v>
      </c>
      <c r="J171" s="2">
        <v>65</v>
      </c>
      <c r="K171" s="2">
        <v>4.45</v>
      </c>
      <c r="L171" t="s">
        <v>395</v>
      </c>
      <c r="M171" s="2" t="s">
        <v>1120</v>
      </c>
      <c r="N171" s="2" t="s">
        <v>435</v>
      </c>
      <c r="O171" s="2" t="s">
        <v>666</v>
      </c>
      <c r="P171" s="2" t="s">
        <v>1132</v>
      </c>
      <c r="Q171" s="9" t="s">
        <v>670</v>
      </c>
      <c r="R171" s="2" t="str">
        <f t="shared" si="145"/>
        <v>CW_1_Section_2</v>
      </c>
      <c r="S171" s="2" t="str">
        <f t="shared" si="146"/>
        <v>CW_1_MF06</v>
      </c>
      <c r="T171" s="11" t="s">
        <v>1029</v>
      </c>
      <c r="U171" s="1">
        <v>45957</v>
      </c>
      <c r="V171" s="2" t="s">
        <v>752</v>
      </c>
      <c r="W171" s="2" t="s">
        <v>663</v>
      </c>
      <c r="X171" s="2" t="s">
        <v>1028</v>
      </c>
      <c r="Y171" s="2" t="str">
        <f t="shared" si="147"/>
        <v>T7_MF06</v>
      </c>
      <c r="Z171" s="2" t="str">
        <f t="shared" si="148"/>
        <v>T7_CW_1_MF06</v>
      </c>
      <c r="AA171" s="2" t="str">
        <f t="shared" si="149"/>
        <v>T7_0.60-0.80</v>
      </c>
      <c r="AB171" s="2">
        <v>440</v>
      </c>
      <c r="AC171" s="2">
        <v>14.474</v>
      </c>
      <c r="AD171" s="2">
        <v>1.22</v>
      </c>
      <c r="AE171" s="2">
        <v>7</v>
      </c>
      <c r="AF171" t="s">
        <v>25</v>
      </c>
      <c r="AG171" t="s">
        <v>1237</v>
      </c>
      <c r="AH171">
        <v>72</v>
      </c>
      <c r="AI171" t="s">
        <v>443</v>
      </c>
      <c r="AJ171">
        <v>0.74</v>
      </c>
      <c r="AK171">
        <v>0.87</v>
      </c>
      <c r="AL171">
        <v>11</v>
      </c>
      <c r="AM171">
        <v>-220</v>
      </c>
      <c r="AN171">
        <v>7.5</v>
      </c>
      <c r="AO171">
        <v>761</v>
      </c>
      <c r="AP171">
        <v>0.2</v>
      </c>
      <c r="AQ171">
        <v>0.01</v>
      </c>
      <c r="AR171">
        <v>11</v>
      </c>
      <c r="AS171">
        <v>11</v>
      </c>
      <c r="AT171">
        <v>610</v>
      </c>
      <c r="AU171" s="32">
        <f t="shared" si="161"/>
        <v>0.23428498271668158</v>
      </c>
      <c r="AV171">
        <v>41</v>
      </c>
      <c r="AW171" s="32">
        <f t="shared" si="162"/>
        <v>1.6019101367484263E-2</v>
      </c>
      <c r="AX171">
        <v>230</v>
      </c>
      <c r="AY171" s="32">
        <f t="shared" si="163"/>
        <v>9.0986154280870299E-2</v>
      </c>
      <c r="AZ171">
        <v>82</v>
      </c>
      <c r="BA171" s="32">
        <f t="shared" si="164"/>
        <v>3.2438541961005936E-2</v>
      </c>
      <c r="BB171">
        <v>94</v>
      </c>
      <c r="BC171" s="32">
        <f t="shared" si="165"/>
        <v>3.7185645662616555E-2</v>
      </c>
      <c r="BD171">
        <v>176</v>
      </c>
      <c r="BF171" s="48">
        <v>1057</v>
      </c>
      <c r="BG171" s="48">
        <f t="shared" si="166"/>
        <v>0.34129023836503614</v>
      </c>
      <c r="BH171">
        <v>200</v>
      </c>
      <c r="BI171" s="32">
        <f t="shared" si="167"/>
        <v>7.490052274323164E-2</v>
      </c>
      <c r="BJ171" s="47">
        <v>56</v>
      </c>
      <c r="BK171" s="27">
        <f t="shared" si="168"/>
        <v>2.097214636810486E-2</v>
      </c>
      <c r="BL171" s="47">
        <v>3.2</v>
      </c>
      <c r="BM171" s="27">
        <f t="shared" si="169"/>
        <v>1.1774755240160327E-3</v>
      </c>
      <c r="BN171" s="47">
        <v>52</v>
      </c>
      <c r="BO171" s="27">
        <f t="shared" si="170"/>
        <v>1.9557745930873484E-2</v>
      </c>
      <c r="BP171" s="47">
        <v>11</v>
      </c>
      <c r="BQ171" s="27">
        <f t="shared" si="171"/>
        <v>4.1029960293586815E-3</v>
      </c>
      <c r="BR171" s="47">
        <v>6.5</v>
      </c>
      <c r="BS171" s="27">
        <f t="shared" si="172"/>
        <v>2.4070021881838072E-3</v>
      </c>
      <c r="BT171" s="47">
        <v>2.6</v>
      </c>
      <c r="BU171" s="27">
        <f t="shared" si="173"/>
        <v>9.6280087527352302E-4</v>
      </c>
      <c r="BV171" s="47">
        <v>0.08</v>
      </c>
      <c r="BW171" s="27">
        <f t="shared" si="174"/>
        <v>2.9270704573547589E-5</v>
      </c>
      <c r="BX171" s="47">
        <v>0.04</v>
      </c>
      <c r="BY171" s="27">
        <f t="shared" si="175"/>
        <v>1.4635352286773795E-5</v>
      </c>
      <c r="BZ171" s="51">
        <f t="shared" si="176"/>
        <v>131.41999999999999</v>
      </c>
      <c r="CA171" s="51">
        <f t="shared" si="177"/>
        <v>75.42</v>
      </c>
      <c r="CB171" s="27">
        <f t="shared" si="178"/>
        <v>4.9224072972670709E-2</v>
      </c>
      <c r="CC171" s="27">
        <f t="shared" si="179"/>
        <v>2.8251926604565852E-2</v>
      </c>
      <c r="CD171">
        <v>600</v>
      </c>
      <c r="CE171">
        <v>690</v>
      </c>
      <c r="CF171" t="s">
        <v>19</v>
      </c>
      <c r="CG171">
        <v>1300</v>
      </c>
      <c r="CH171" s="32">
        <v>0.8</v>
      </c>
      <c r="CI171" s="32">
        <f t="shared" si="180"/>
        <v>1.432408236347359E-2</v>
      </c>
      <c r="CJ171" s="32">
        <f t="shared" si="181"/>
        <v>1.432408236347359E-2</v>
      </c>
      <c r="CK171" s="32">
        <v>1.5</v>
      </c>
      <c r="CL171" s="32">
        <f t="shared" si="182"/>
        <v>2.7307482250136537E-2</v>
      </c>
      <c r="CM171" s="32">
        <f t="shared" si="183"/>
        <v>5.4614964500273075E-2</v>
      </c>
      <c r="CN171" s="27">
        <v>32</v>
      </c>
      <c r="CO171" s="27">
        <f t="shared" si="184"/>
        <v>0.33312513012700395</v>
      </c>
      <c r="CP171" s="27">
        <f t="shared" si="185"/>
        <v>2.6650010410160316</v>
      </c>
      <c r="CQ171" s="57">
        <v>-7</v>
      </c>
      <c r="CR171" s="57">
        <v>-28.000000000000004</v>
      </c>
      <c r="CS171" s="57">
        <v>-0.58296897772225686</v>
      </c>
      <c r="CT171" s="57">
        <f t="shared" si="186"/>
        <v>0</v>
      </c>
      <c r="CU171" s="28">
        <v>-8</v>
      </c>
      <c r="CV171" s="28">
        <v>-33.333333333333329</v>
      </c>
      <c r="CW171" s="28">
        <v>-0.66625026025400791</v>
      </c>
      <c r="CX171" s="28">
        <f t="shared" si="187"/>
        <v>0</v>
      </c>
      <c r="CY171" s="32">
        <f t="shared" si="188"/>
        <v>-4.0691234645013532</v>
      </c>
      <c r="CZ171" s="32">
        <f t="shared" si="189"/>
        <v>0</v>
      </c>
      <c r="DA171" s="32">
        <f t="shared" si="190"/>
        <v>0.8</v>
      </c>
      <c r="DB171" s="32">
        <f t="shared" si="191"/>
        <v>1.432408236347359E-2</v>
      </c>
      <c r="DC171" s="32">
        <f t="shared" si="192"/>
        <v>1.432408236347359E-2</v>
      </c>
      <c r="DD171" s="59">
        <f t="shared" si="193"/>
        <v>-4.650426816572975</v>
      </c>
      <c r="DE171" s="59">
        <f t="shared" si="194"/>
        <v>0</v>
      </c>
      <c r="DF171" s="59">
        <f t="shared" si="195"/>
        <v>0.8</v>
      </c>
      <c r="DG171" s="59">
        <f t="shared" si="196"/>
        <v>1.432408236347359E-2</v>
      </c>
      <c r="DH171" s="59">
        <f t="shared" si="197"/>
        <v>1.432408236347359E-2</v>
      </c>
      <c r="DI171" s="32">
        <f t="shared" si="198"/>
        <v>2.6650010410160316</v>
      </c>
      <c r="DJ171" s="32">
        <f t="shared" si="199"/>
        <v>2.2999999999999998</v>
      </c>
      <c r="DK171" s="32">
        <f t="shared" si="200"/>
        <v>6.8939046863746661E-2</v>
      </c>
      <c r="DL171">
        <f t="shared" si="201"/>
        <v>6.8939046863746661E-2</v>
      </c>
      <c r="DM171">
        <f t="shared" si="206"/>
        <v>0.79222105591647995</v>
      </c>
      <c r="DN171">
        <f t="shared" si="207"/>
        <v>0.2077789440835201</v>
      </c>
      <c r="DO171">
        <f t="shared" si="208"/>
        <v>0</v>
      </c>
      <c r="DP171">
        <f t="shared" si="202"/>
        <v>6.8939046863746661E-2</v>
      </c>
      <c r="DQ171">
        <f t="shared" si="209"/>
        <v>0.79222105591647995</v>
      </c>
      <c r="DR171">
        <f t="shared" si="210"/>
        <v>0.2077789440835201</v>
      </c>
      <c r="DS171">
        <f t="shared" si="211"/>
        <v>0</v>
      </c>
      <c r="DT171" s="63">
        <f t="shared" si="212"/>
        <v>0.34725171424452117</v>
      </c>
      <c r="DU171" s="63">
        <f t="shared" si="213"/>
        <v>0.34725171424452117</v>
      </c>
      <c r="DV171" s="63">
        <f t="shared" si="214"/>
        <v>0.37550364084908705</v>
      </c>
      <c r="DW171" s="63">
        <f t="shared" si="215"/>
        <v>0.37550364084908705</v>
      </c>
      <c r="DX171" t="str">
        <f t="shared" si="203"/>
        <v>Insufficient Capacity</v>
      </c>
      <c r="DY171" t="str">
        <f t="shared" si="204"/>
        <v>Insufficient Capacity</v>
      </c>
      <c r="DZ171" t="str">
        <f t="shared" si="205"/>
        <v>Iron Dominant electron acceptor</v>
      </c>
      <c r="EA171" t="str">
        <f t="shared" si="216"/>
        <v>Iron Dominant electron acceptor</v>
      </c>
      <c r="EB171">
        <v>1.0091960000000001E-2</v>
      </c>
      <c r="EC171">
        <v>1.928031E-3</v>
      </c>
      <c r="ED171">
        <v>0</v>
      </c>
      <c r="EE171">
        <v>5.3307569999999996E-4</v>
      </c>
      <c r="EF171">
        <v>5.5438960000000004E-3</v>
      </c>
      <c r="EG171" s="66">
        <v>1.3642940000000001E-5</v>
      </c>
      <c r="EH171">
        <v>2.8533010000000001E-4</v>
      </c>
      <c r="EI171">
        <v>1.7107550000000001E-4</v>
      </c>
      <c r="EJ171">
        <v>4.1721139999999999E-4</v>
      </c>
      <c r="EK171">
        <v>6.5701569999999996E-4</v>
      </c>
      <c r="EL171">
        <v>4.789118E-4</v>
      </c>
      <c r="EM171">
        <v>2.5630549999999997E-4</v>
      </c>
      <c r="EN171">
        <v>2.0864690000000001E-3</v>
      </c>
      <c r="EO171">
        <v>9.921381999999999E-4</v>
      </c>
      <c r="EP171">
        <v>2.068524E-3</v>
      </c>
      <c r="EQ171">
        <v>1.272116E-3</v>
      </c>
      <c r="ER171">
        <v>5.1811420000000003E-4</v>
      </c>
      <c r="ES171">
        <v>7.0090310000000004E-4</v>
      </c>
      <c r="ET171">
        <v>9.0989339999999995E-3</v>
      </c>
      <c r="EU171">
        <v>2.723863E-3</v>
      </c>
      <c r="EV171">
        <v>9.6573130000000007E-3</v>
      </c>
      <c r="EW171">
        <v>5.7464210000000003E-4</v>
      </c>
      <c r="EX171">
        <v>4.8209380000000003E-3</v>
      </c>
      <c r="EY171">
        <v>6.6198999999999997E-3</v>
      </c>
      <c r="EZ171">
        <v>1.53966E-3</v>
      </c>
      <c r="FA171">
        <v>1.0166909999999999E-3</v>
      </c>
      <c r="FB171">
        <v>1.08277E-3</v>
      </c>
      <c r="FC171">
        <v>1.8883070000000001E-3</v>
      </c>
      <c r="FD171">
        <v>3.598866E-4</v>
      </c>
      <c r="FE171">
        <v>2.427518E-2</v>
      </c>
      <c r="FF171">
        <v>1.41423E-2</v>
      </c>
      <c r="FG171">
        <v>7.6679820000000003E-3</v>
      </c>
      <c r="FH171">
        <v>7.8420200000000001E-4</v>
      </c>
      <c r="FI171">
        <v>1.8084080000000001E-3</v>
      </c>
      <c r="FJ171">
        <v>1.139686E-2</v>
      </c>
      <c r="FK171">
        <v>-7.17338779194749E-2</v>
      </c>
      <c r="FL171">
        <v>0.18655238261146401</v>
      </c>
      <c r="FM171">
        <v>0.12143953901052799</v>
      </c>
      <c r="FN171">
        <v>-3.9925399518100597E-2</v>
      </c>
      <c r="FO171">
        <v>0.767924004424413</v>
      </c>
      <c r="FP171">
        <v>-5.8393956533281603E-2</v>
      </c>
      <c r="FQ171">
        <v>-9.0584183715948896E-2</v>
      </c>
      <c r="FR171">
        <v>4.9845572540214697E-2</v>
      </c>
      <c r="FS171">
        <v>-3.2499213401910899E-3</v>
      </c>
      <c r="FT171">
        <v>2.57019004357932E-2</v>
      </c>
      <c r="FU171">
        <v>0.195078511519823</v>
      </c>
      <c r="FV171">
        <v>-2.3826857285170502E-2</v>
      </c>
      <c r="FW171">
        <v>5.1486578464784202E-2</v>
      </c>
      <c r="FX171">
        <v>0.26840549158828297</v>
      </c>
      <c r="FY171">
        <v>6.6396499078145198E-3</v>
      </c>
      <c r="FZ171">
        <v>4.7150398241588398E-2</v>
      </c>
      <c r="GA171">
        <v>-1.6701881641914398E-2</v>
      </c>
      <c r="GB171">
        <v>8.8466574763112996E-2</v>
      </c>
      <c r="GC171">
        <v>-0.11478946495485701</v>
      </c>
      <c r="GD171">
        <v>-3.1407923550616203E-2</v>
      </c>
      <c r="GE171">
        <v>-2.2827642867588899E-2</v>
      </c>
      <c r="GF171">
        <v>0.18940080099197401</v>
      </c>
      <c r="GG171">
        <v>7.2271916771271094E-2</v>
      </c>
      <c r="GH171">
        <v>9.1043853315225604E-2</v>
      </c>
      <c r="GI171">
        <v>7.8600523574321492E-3</v>
      </c>
      <c r="GJ171">
        <v>7.6090056975237604E-3</v>
      </c>
      <c r="GK171">
        <v>3.9946723092259398E-2</v>
      </c>
      <c r="GL171">
        <v>-5.5533173094738202E-2</v>
      </c>
      <c r="GM171">
        <v>-9.5153442664505802E-2</v>
      </c>
      <c r="GN171">
        <v>-1.11050477933983E-2</v>
      </c>
      <c r="GO171">
        <v>0.230633013808905</v>
      </c>
      <c r="GP171">
        <v>7.3245424499988096E-2</v>
      </c>
      <c r="GT171" s="66"/>
      <c r="GV171" s="66"/>
      <c r="HK171" s="1"/>
      <c r="HL171" s="1"/>
      <c r="HM171" s="65"/>
      <c r="HN171" s="1"/>
      <c r="HS171" s="65"/>
      <c r="HV171" s="65"/>
      <c r="IX171" s="66"/>
      <c r="IZ171" s="66"/>
      <c r="JB171" s="66"/>
      <c r="JD171" s="66"/>
      <c r="JF171" s="66"/>
      <c r="JH171" s="66"/>
      <c r="JJ171" s="66"/>
      <c r="JL171" s="66"/>
      <c r="JN171" s="66"/>
      <c r="JO171" s="66"/>
      <c r="JP171" s="66"/>
      <c r="JQ171" s="66"/>
      <c r="JR171" s="66"/>
    </row>
    <row r="172" spans="1:278" ht="15.75" x14ac:dyDescent="0.25">
      <c r="A172" s="5" t="s">
        <v>224</v>
      </c>
      <c r="B172" s="5" t="s">
        <v>224</v>
      </c>
      <c r="C172" s="2" t="s">
        <v>1045</v>
      </c>
      <c r="D172" s="2" t="s">
        <v>614</v>
      </c>
      <c r="E172" s="2" t="s">
        <v>614</v>
      </c>
      <c r="F172" s="2">
        <v>171</v>
      </c>
      <c r="G172" s="2" t="s">
        <v>1044</v>
      </c>
      <c r="H172" s="10" t="s">
        <v>656</v>
      </c>
      <c r="I172" s="2">
        <v>150</v>
      </c>
      <c r="J172" s="2">
        <v>65</v>
      </c>
      <c r="K172" s="2">
        <v>5.75</v>
      </c>
      <c r="L172" t="s">
        <v>396</v>
      </c>
      <c r="M172" s="2" t="s">
        <v>1120</v>
      </c>
      <c r="N172" s="2" t="s">
        <v>435</v>
      </c>
      <c r="O172" s="2" t="s">
        <v>673</v>
      </c>
      <c r="P172" s="2" t="s">
        <v>1127</v>
      </c>
      <c r="Q172" s="9" t="s">
        <v>674</v>
      </c>
      <c r="R172" s="2" t="str">
        <f t="shared" si="145"/>
        <v>CW_1_Section_3</v>
      </c>
      <c r="S172" s="2" t="str">
        <f t="shared" si="146"/>
        <v>CW_1_MF09</v>
      </c>
      <c r="T172" s="11" t="s">
        <v>1029</v>
      </c>
      <c r="U172" s="1">
        <v>45957</v>
      </c>
      <c r="V172" s="2" t="s">
        <v>752</v>
      </c>
      <c r="W172" s="2" t="s">
        <v>655</v>
      </c>
      <c r="X172" s="2" t="s">
        <v>1028</v>
      </c>
      <c r="Y172" s="2" t="str">
        <f t="shared" si="147"/>
        <v>T7_MF09</v>
      </c>
      <c r="Z172" s="2" t="str">
        <f t="shared" si="148"/>
        <v>T7_CW_1_MF09</v>
      </c>
      <c r="AA172" s="2" t="str">
        <f t="shared" si="149"/>
        <v>T7_0.15-0.30</v>
      </c>
      <c r="AB172" s="2">
        <v>440</v>
      </c>
      <c r="AC172" s="2">
        <v>14.474</v>
      </c>
      <c r="AD172" s="2">
        <v>1.22</v>
      </c>
      <c r="AE172" s="2">
        <v>7</v>
      </c>
      <c r="AF172" t="s">
        <v>21</v>
      </c>
      <c r="AG172" t="s">
        <v>1237</v>
      </c>
      <c r="AH172">
        <v>66</v>
      </c>
      <c r="AI172" t="s">
        <v>443</v>
      </c>
      <c r="AJ172">
        <v>0.66</v>
      </c>
      <c r="AK172">
        <v>5.35</v>
      </c>
      <c r="AL172">
        <v>12</v>
      </c>
      <c r="AM172">
        <v>-116</v>
      </c>
      <c r="AN172">
        <v>7.3</v>
      </c>
      <c r="AO172" s="21">
        <v>66</v>
      </c>
      <c r="AP172">
        <v>0.1</v>
      </c>
      <c r="AQ172">
        <v>0.01</v>
      </c>
      <c r="AR172">
        <v>11</v>
      </c>
      <c r="AS172">
        <v>12</v>
      </c>
      <c r="AT172">
        <v>74</v>
      </c>
      <c r="AU172" s="32">
        <f t="shared" si="161"/>
        <v>2.8421456919728586E-2</v>
      </c>
      <c r="AV172">
        <v>0.5</v>
      </c>
      <c r="AW172" s="32">
        <f t="shared" si="162"/>
        <v>1.9535489472541785E-4</v>
      </c>
      <c r="AX172">
        <v>240</v>
      </c>
      <c r="AY172" s="32">
        <f t="shared" si="163"/>
        <v>9.4942074032212498E-2</v>
      </c>
      <c r="AZ172">
        <v>37</v>
      </c>
      <c r="BA172" s="32">
        <f t="shared" si="164"/>
        <v>1.4636903079966092E-2</v>
      </c>
      <c r="BB172">
        <v>13</v>
      </c>
      <c r="BC172" s="32">
        <f t="shared" si="165"/>
        <v>5.1426956767448434E-3</v>
      </c>
      <c r="BD172">
        <v>50</v>
      </c>
      <c r="BF172" s="48">
        <v>367.5</v>
      </c>
      <c r="BG172" s="48">
        <f t="shared" si="166"/>
        <v>0.12355888584666649</v>
      </c>
      <c r="BH172">
        <v>1800</v>
      </c>
      <c r="BI172" s="32">
        <f t="shared" si="167"/>
        <v>0.6741047046890849</v>
      </c>
      <c r="BJ172" s="47">
        <v>1700</v>
      </c>
      <c r="BK172" s="27">
        <f t="shared" si="168"/>
        <v>0.63665444331746901</v>
      </c>
      <c r="BL172" s="47">
        <v>2.4</v>
      </c>
      <c r="BM172" s="27">
        <f t="shared" si="169"/>
        <v>8.8310664301202442E-4</v>
      </c>
      <c r="BN172" s="47">
        <v>3.4</v>
      </c>
      <c r="BO172" s="27">
        <f t="shared" si="170"/>
        <v>1.2787756954801893E-3</v>
      </c>
      <c r="BP172" s="47">
        <v>0.2</v>
      </c>
      <c r="BQ172" s="27">
        <f t="shared" si="171"/>
        <v>7.459992780652148E-5</v>
      </c>
      <c r="BR172" s="47">
        <v>0.12</v>
      </c>
      <c r="BS172" s="27">
        <f t="shared" si="172"/>
        <v>4.44369634741626E-5</v>
      </c>
      <c r="BT172" s="47">
        <v>0.02</v>
      </c>
      <c r="BU172" s="27">
        <f t="shared" si="173"/>
        <v>7.4061605790270997E-6</v>
      </c>
      <c r="BV172" s="47">
        <v>0.01</v>
      </c>
      <c r="BW172" s="27">
        <f t="shared" si="174"/>
        <v>3.6588380716934487E-6</v>
      </c>
      <c r="BX172" s="47">
        <v>2E-3</v>
      </c>
      <c r="BY172" s="27">
        <f t="shared" si="175"/>
        <v>7.3176761433868969E-7</v>
      </c>
      <c r="BZ172" s="51">
        <f t="shared" si="176"/>
        <v>1706.152</v>
      </c>
      <c r="CA172" s="51">
        <f t="shared" si="177"/>
        <v>6.1519999999999992</v>
      </c>
      <c r="CB172" s="27">
        <f t="shared" si="178"/>
        <v>0.6389471593135071</v>
      </c>
      <c r="CC172" s="27">
        <f t="shared" si="179"/>
        <v>2.2927159960379573E-3</v>
      </c>
      <c r="CD172">
        <v>2500</v>
      </c>
      <c r="CE172">
        <v>100</v>
      </c>
      <c r="CF172" t="s">
        <v>19</v>
      </c>
      <c r="CG172">
        <v>2600</v>
      </c>
      <c r="CH172" s="32">
        <v>9.6999999999999993</v>
      </c>
      <c r="CI172" s="32">
        <f t="shared" si="180"/>
        <v>0.17367949865711726</v>
      </c>
      <c r="CJ172" s="32">
        <f t="shared" si="181"/>
        <v>0.17367949865711726</v>
      </c>
      <c r="CK172" s="32">
        <v>2.2000000000000002</v>
      </c>
      <c r="CL172" s="32">
        <f t="shared" si="182"/>
        <v>4.0050973966866923E-2</v>
      </c>
      <c r="CM172" s="32">
        <f t="shared" si="183"/>
        <v>8.0101947933733847E-2</v>
      </c>
      <c r="CN172" s="27">
        <v>5</v>
      </c>
      <c r="CO172" s="27">
        <f t="shared" si="184"/>
        <v>5.2050801582344368E-2</v>
      </c>
      <c r="CP172" s="27">
        <f t="shared" si="185"/>
        <v>0.41640641265875494</v>
      </c>
      <c r="CQ172" s="57">
        <v>20</v>
      </c>
      <c r="CR172" s="57">
        <v>80</v>
      </c>
      <c r="CS172" s="57">
        <v>1.6656256506350198</v>
      </c>
      <c r="CT172" s="57">
        <f t="shared" si="186"/>
        <v>1.6656256506350198</v>
      </c>
      <c r="CU172" s="28">
        <v>15</v>
      </c>
      <c r="CV172" s="28">
        <v>75</v>
      </c>
      <c r="CW172" s="28">
        <v>1.2492192379762648</v>
      </c>
      <c r="CX172" s="28">
        <f t="shared" si="187"/>
        <v>1.2492192379762648</v>
      </c>
      <c r="CY172" s="32">
        <f t="shared" si="188"/>
        <v>11.626067041432437</v>
      </c>
      <c r="CZ172" s="32">
        <f t="shared" si="189"/>
        <v>11.626067041432437</v>
      </c>
      <c r="DA172" s="32">
        <f t="shared" si="190"/>
        <v>21.326067041432438</v>
      </c>
      <c r="DB172" s="32">
        <f t="shared" si="191"/>
        <v>0.38184542598804722</v>
      </c>
      <c r="DC172" s="32">
        <f t="shared" si="192"/>
        <v>0.38184542598804722</v>
      </c>
      <c r="DD172" s="59">
        <f t="shared" si="193"/>
        <v>8.7195502810743282</v>
      </c>
      <c r="DE172" s="59">
        <f t="shared" si="194"/>
        <v>8.7195502810743282</v>
      </c>
      <c r="DF172" s="59">
        <f t="shared" si="195"/>
        <v>18.419550281074329</v>
      </c>
      <c r="DG172" s="59">
        <f t="shared" si="196"/>
        <v>0.32980394415531478</v>
      </c>
      <c r="DH172" s="59">
        <f t="shared" si="197"/>
        <v>0.32980394415531478</v>
      </c>
      <c r="DI172" s="32">
        <f t="shared" si="198"/>
        <v>0.41640641265875494</v>
      </c>
      <c r="DJ172" s="32">
        <f t="shared" si="199"/>
        <v>20.619550281074329</v>
      </c>
      <c r="DK172" s="32">
        <f t="shared" si="200"/>
        <v>0.4099058920890486</v>
      </c>
      <c r="DL172">
        <f t="shared" si="201"/>
        <v>2.127573024556801</v>
      </c>
      <c r="DM172">
        <f t="shared" si="206"/>
        <v>3.7649447050316899E-2</v>
      </c>
      <c r="DN172">
        <f t="shared" si="207"/>
        <v>0.17947465096648807</v>
      </c>
      <c r="DO172">
        <f t="shared" si="208"/>
        <v>0.78287590198319501</v>
      </c>
      <c r="DP172">
        <f t="shared" si="202"/>
        <v>1.6591251300653134</v>
      </c>
      <c r="DQ172">
        <f t="shared" si="209"/>
        <v>4.8279630319733959E-2</v>
      </c>
      <c r="DR172">
        <f t="shared" si="210"/>
        <v>0.19878183880099004</v>
      </c>
      <c r="DS172">
        <f t="shared" si="211"/>
        <v>0.75293853087927598</v>
      </c>
      <c r="DT172" s="63">
        <f t="shared" si="212"/>
        <v>-1.3299094340210496</v>
      </c>
      <c r="DU172" s="63">
        <f t="shared" si="213"/>
        <v>-0.86146153952956195</v>
      </c>
      <c r="DV172" s="63">
        <f t="shared" si="214"/>
        <v>-1.3276167180250116</v>
      </c>
      <c r="DW172" s="63">
        <f t="shared" si="215"/>
        <v>-0.85916882353352397</v>
      </c>
      <c r="DX172" t="str">
        <f t="shared" si="203"/>
        <v>Sufficient Capacity</v>
      </c>
      <c r="DY172" t="str">
        <f t="shared" si="204"/>
        <v>Sufficient Capacity</v>
      </c>
      <c r="DZ172" t="str">
        <f t="shared" si="205"/>
        <v>Sulfate Dominant electron acceptor</v>
      </c>
      <c r="EA172" t="str">
        <f t="shared" si="216"/>
        <v>Sulfate Dominant electron acceptor</v>
      </c>
      <c r="EB172">
        <v>9.6460999999999995E-3</v>
      </c>
      <c r="EC172">
        <v>1.5817800000000001E-3</v>
      </c>
      <c r="ED172" s="66">
        <v>4.3319239999999998E-6</v>
      </c>
      <c r="EE172">
        <v>5.6181880000000001E-4</v>
      </c>
      <c r="EF172">
        <v>4.4094119999999997E-3</v>
      </c>
      <c r="EG172" s="66">
        <v>1.5389939999999999E-5</v>
      </c>
      <c r="EH172">
        <v>3.4064529999999998E-4</v>
      </c>
      <c r="EI172">
        <v>1.2198599999999999E-4</v>
      </c>
      <c r="EJ172">
        <v>4.471152E-4</v>
      </c>
      <c r="EK172">
        <v>7.6056629999999995E-4</v>
      </c>
      <c r="EL172">
        <v>4.804349E-4</v>
      </c>
      <c r="EM172">
        <v>2.6111409999999999E-4</v>
      </c>
      <c r="EN172">
        <v>2.2688610000000001E-3</v>
      </c>
      <c r="EO172">
        <v>1.006266E-3</v>
      </c>
      <c r="EP172">
        <v>2.0594049999999998E-3</v>
      </c>
      <c r="EQ172">
        <v>1.2066819999999999E-3</v>
      </c>
      <c r="ER172">
        <v>3.974181E-4</v>
      </c>
      <c r="ES172">
        <v>6.6343559999999997E-4</v>
      </c>
      <c r="ET172">
        <v>1.06313E-2</v>
      </c>
      <c r="EU172">
        <v>2.919091E-3</v>
      </c>
      <c r="EV172">
        <v>8.7653609999999993E-3</v>
      </c>
      <c r="EW172">
        <v>5.9456479999999996E-4</v>
      </c>
      <c r="EX172">
        <v>5.0165540000000003E-3</v>
      </c>
      <c r="EY172">
        <v>6.8871779999999999E-3</v>
      </c>
      <c r="EZ172">
        <v>1.2192259999999999E-3</v>
      </c>
      <c r="FA172">
        <v>1.0534310000000001E-3</v>
      </c>
      <c r="FB172">
        <v>1.1028450000000001E-3</v>
      </c>
      <c r="FC172">
        <v>1.9123499999999999E-3</v>
      </c>
      <c r="FD172">
        <v>3.4122500000000001E-4</v>
      </c>
      <c r="FE172">
        <v>2.3419260000000001E-2</v>
      </c>
      <c r="FF172">
        <v>1.4431279999999999E-2</v>
      </c>
      <c r="FG172">
        <v>8.0832760000000003E-3</v>
      </c>
      <c r="FH172">
        <v>7.2185800000000003E-4</v>
      </c>
      <c r="FI172">
        <v>1.329319E-3</v>
      </c>
      <c r="FJ172">
        <v>1.057022E-2</v>
      </c>
      <c r="FK172">
        <v>-1.92179402905754E-2</v>
      </c>
      <c r="FL172">
        <v>-4.2403772845683599E-2</v>
      </c>
      <c r="FM172">
        <v>0.24193141650688099</v>
      </c>
      <c r="FN172">
        <v>0.13726960482016601</v>
      </c>
      <c r="FO172">
        <v>0.42972530894553801</v>
      </c>
      <c r="FP172">
        <v>1.08292752202175E-2</v>
      </c>
      <c r="FQ172">
        <v>5.5771188972334698E-2</v>
      </c>
      <c r="FR172">
        <v>5.3020861056276097E-2</v>
      </c>
      <c r="FS172">
        <v>1.5337462837544001E-2</v>
      </c>
      <c r="FT172">
        <v>0.109506680367462</v>
      </c>
      <c r="FU172">
        <v>0.20921782864966501</v>
      </c>
      <c r="FV172">
        <v>-2.8245060618592902E-2</v>
      </c>
      <c r="FW172">
        <v>-1.32063299253726E-3</v>
      </c>
      <c r="FX172">
        <v>3.1986854366499199E-3</v>
      </c>
      <c r="FY172">
        <v>-4.8298208451950798E-2</v>
      </c>
      <c r="FZ172">
        <v>0.20279561470447699</v>
      </c>
      <c r="GA172">
        <v>5.2519291467343798E-2</v>
      </c>
      <c r="GB172">
        <v>-8.4411733560667591E-3</v>
      </c>
      <c r="GC172">
        <v>-8.0707167826832696E-2</v>
      </c>
      <c r="GD172">
        <v>8.3668053138197303E-3</v>
      </c>
      <c r="GE172">
        <v>1.6753515062760901E-2</v>
      </c>
      <c r="GF172">
        <v>-4.3944580655286301E-2</v>
      </c>
      <c r="GG172">
        <v>0.107771136831579</v>
      </c>
      <c r="GH172">
        <v>0.109414485446639</v>
      </c>
      <c r="GI172">
        <v>2.05122441909351E-2</v>
      </c>
      <c r="GJ172">
        <v>-4.5637892387452098E-2</v>
      </c>
      <c r="GK172">
        <v>4.0510546509899799E-3</v>
      </c>
      <c r="GL172">
        <v>-3.5305406518150798E-2</v>
      </c>
      <c r="GM172">
        <v>-4.2409684520584398E-2</v>
      </c>
      <c r="GN172">
        <v>-9.3943244368872997E-2</v>
      </c>
      <c r="GO172">
        <v>-7.7147105393355495E-2</v>
      </c>
      <c r="GP172">
        <v>-2.0518410747847301E-3</v>
      </c>
      <c r="GR172" s="66"/>
      <c r="GT172" s="66"/>
      <c r="GV172" s="66"/>
      <c r="GW172" s="65"/>
      <c r="GX172" s="65"/>
      <c r="HK172" s="1"/>
      <c r="HL172" s="1"/>
      <c r="HM172" s="1"/>
      <c r="HN172" s="1"/>
      <c r="HP172" s="65"/>
      <c r="HQ172" s="65"/>
      <c r="HT172" s="65"/>
      <c r="HU172" s="65"/>
      <c r="HV172" s="65"/>
      <c r="HW172" s="65"/>
      <c r="HX172" s="65"/>
      <c r="IZ172" s="66"/>
      <c r="JB172" s="66"/>
      <c r="JD172" s="66"/>
      <c r="JF172" s="66"/>
      <c r="JH172" s="66"/>
      <c r="JJ172" s="66"/>
      <c r="JL172" s="66"/>
      <c r="JN172" s="66"/>
    </row>
    <row r="173" spans="1:278" ht="15.75" x14ac:dyDescent="0.25">
      <c r="A173" s="5" t="s">
        <v>225</v>
      </c>
      <c r="B173" s="5" t="s">
        <v>225</v>
      </c>
      <c r="C173" s="2" t="s">
        <v>1047</v>
      </c>
      <c r="D173" s="2" t="s">
        <v>615</v>
      </c>
      <c r="E173" s="2" t="s">
        <v>615</v>
      </c>
      <c r="F173" s="2">
        <v>172</v>
      </c>
      <c r="G173" s="2" t="s">
        <v>1046</v>
      </c>
      <c r="H173" s="10" t="s">
        <v>656</v>
      </c>
      <c r="I173" s="2">
        <v>150</v>
      </c>
      <c r="J173" s="2">
        <v>65</v>
      </c>
      <c r="K173" s="2">
        <v>5.7</v>
      </c>
      <c r="L173" t="s">
        <v>397</v>
      </c>
      <c r="M173" s="2" t="s">
        <v>1120</v>
      </c>
      <c r="N173" s="2" t="s">
        <v>435</v>
      </c>
      <c r="O173" s="2" t="s">
        <v>673</v>
      </c>
      <c r="P173" s="2" t="s">
        <v>1128</v>
      </c>
      <c r="Q173" s="9" t="s">
        <v>677</v>
      </c>
      <c r="R173" s="2" t="str">
        <f t="shared" si="145"/>
        <v>CW_1_Section_3</v>
      </c>
      <c r="S173" s="2" t="str">
        <f t="shared" si="146"/>
        <v>CW_1_MF10</v>
      </c>
      <c r="T173" s="11" t="s">
        <v>1029</v>
      </c>
      <c r="U173" s="1">
        <v>45957</v>
      </c>
      <c r="V173" s="2" t="s">
        <v>752</v>
      </c>
      <c r="W173" s="2" t="s">
        <v>663</v>
      </c>
      <c r="X173" s="2" t="s">
        <v>1028</v>
      </c>
      <c r="Y173" s="2" t="str">
        <f t="shared" si="147"/>
        <v>T7_MF10</v>
      </c>
      <c r="Z173" s="2" t="str">
        <f t="shared" si="148"/>
        <v>T7_CW_1_MF10</v>
      </c>
      <c r="AA173" s="2" t="str">
        <f t="shared" si="149"/>
        <v>T7_0.60-0.80</v>
      </c>
      <c r="AB173" s="2">
        <v>440</v>
      </c>
      <c r="AC173" s="2">
        <v>14.474</v>
      </c>
      <c r="AD173" s="2">
        <v>1.22</v>
      </c>
      <c r="AE173" s="2">
        <v>7</v>
      </c>
      <c r="AF173" t="s">
        <v>23</v>
      </c>
      <c r="AG173" t="s">
        <v>1237</v>
      </c>
      <c r="AH173">
        <v>70</v>
      </c>
      <c r="AI173" t="s">
        <v>443</v>
      </c>
      <c r="AJ173">
        <v>0.41</v>
      </c>
      <c r="AK173">
        <v>1.1299999999999999</v>
      </c>
      <c r="AL173">
        <v>12</v>
      </c>
      <c r="AM173">
        <v>-224</v>
      </c>
      <c r="AN173">
        <v>7.7</v>
      </c>
      <c r="AO173">
        <v>703</v>
      </c>
      <c r="AP173">
        <v>0.2</v>
      </c>
      <c r="AQ173">
        <v>0.01</v>
      </c>
      <c r="AR173">
        <v>9.9</v>
      </c>
      <c r="AS173">
        <v>11</v>
      </c>
      <c r="AT173">
        <v>600</v>
      </c>
      <c r="AU173" s="32">
        <f t="shared" si="161"/>
        <v>0.23044424529509666</v>
      </c>
      <c r="AV173">
        <v>1.9</v>
      </c>
      <c r="AW173" s="32">
        <f t="shared" si="162"/>
        <v>7.4234859995658776E-4</v>
      </c>
      <c r="AX173">
        <v>59</v>
      </c>
      <c r="AY173" s="32">
        <f t="shared" si="163"/>
        <v>2.3339926532918904E-2</v>
      </c>
      <c r="AZ173">
        <v>9.6</v>
      </c>
      <c r="BA173" s="32">
        <f t="shared" si="164"/>
        <v>3.7976829612884995E-3</v>
      </c>
      <c r="BB173">
        <v>2.7</v>
      </c>
      <c r="BC173" s="32">
        <f t="shared" si="165"/>
        <v>1.0680983328623906E-3</v>
      </c>
      <c r="BD173">
        <v>12.3</v>
      </c>
      <c r="BF173" s="48">
        <v>673.2</v>
      </c>
      <c r="BG173" s="48">
        <f t="shared" si="166"/>
        <v>0.25452652042797214</v>
      </c>
      <c r="BH173">
        <v>48</v>
      </c>
      <c r="BI173" s="32">
        <f t="shared" si="167"/>
        <v>1.7976125458375593E-2</v>
      </c>
      <c r="BJ173" s="47">
        <v>17</v>
      </c>
      <c r="BK173" s="27">
        <f t="shared" si="168"/>
        <v>6.3665444331746888E-3</v>
      </c>
      <c r="BL173" s="47">
        <v>2.1</v>
      </c>
      <c r="BM173" s="27">
        <f t="shared" si="169"/>
        <v>7.7271831263552146E-4</v>
      </c>
      <c r="BN173" s="47">
        <v>57</v>
      </c>
      <c r="BO173" s="27">
        <f t="shared" si="170"/>
        <v>2.1438298424226704E-2</v>
      </c>
      <c r="BP173" s="47">
        <v>13</v>
      </c>
      <c r="BQ173" s="27">
        <f t="shared" si="171"/>
        <v>4.8489953074238963E-3</v>
      </c>
      <c r="BR173" s="47">
        <v>4.3</v>
      </c>
      <c r="BS173" s="27">
        <f t="shared" si="172"/>
        <v>1.5923245244908264E-3</v>
      </c>
      <c r="BT173" s="47">
        <v>1.8</v>
      </c>
      <c r="BU173" s="27">
        <f t="shared" si="173"/>
        <v>6.6655445211243904E-4</v>
      </c>
      <c r="BV173" s="47">
        <v>0.06</v>
      </c>
      <c r="BW173" s="27">
        <f t="shared" si="174"/>
        <v>2.1953028430160689E-5</v>
      </c>
      <c r="BX173" s="47">
        <v>0.03</v>
      </c>
      <c r="BY173" s="27">
        <f t="shared" si="175"/>
        <v>1.0976514215080345E-5</v>
      </c>
      <c r="BZ173" s="51">
        <f t="shared" si="176"/>
        <v>95.289999999999992</v>
      </c>
      <c r="CA173" s="51">
        <f t="shared" si="177"/>
        <v>78.289999999999992</v>
      </c>
      <c r="CB173" s="27">
        <f t="shared" si="178"/>
        <v>3.5718364996709315E-2</v>
      </c>
      <c r="CC173" s="27">
        <f t="shared" si="179"/>
        <v>2.9351820563534622E-2</v>
      </c>
      <c r="CD173">
        <v>380</v>
      </c>
      <c r="CE173">
        <v>790</v>
      </c>
      <c r="CF173" t="s">
        <v>19</v>
      </c>
      <c r="CG173">
        <v>1200</v>
      </c>
      <c r="CH173" s="32">
        <v>0.7</v>
      </c>
      <c r="CI173" s="32">
        <f t="shared" si="180"/>
        <v>1.253357206803939E-2</v>
      </c>
      <c r="CJ173" s="32">
        <f t="shared" si="181"/>
        <v>1.253357206803939E-2</v>
      </c>
      <c r="CK173" s="32">
        <v>1.6</v>
      </c>
      <c r="CL173" s="32">
        <f t="shared" si="182"/>
        <v>2.912798106681231E-2</v>
      </c>
      <c r="CM173" s="32">
        <f t="shared" si="183"/>
        <v>5.825596213362462E-2</v>
      </c>
      <c r="CN173" s="27">
        <v>58</v>
      </c>
      <c r="CO173" s="27">
        <f t="shared" si="184"/>
        <v>0.60378929835519468</v>
      </c>
      <c r="CP173" s="27">
        <f t="shared" si="185"/>
        <v>4.8303143868415575</v>
      </c>
      <c r="CQ173" s="57">
        <v>-33</v>
      </c>
      <c r="CR173" s="57">
        <v>-132</v>
      </c>
      <c r="CS173" s="57">
        <v>-2.7482823235477825</v>
      </c>
      <c r="CT173" s="57">
        <f t="shared" si="186"/>
        <v>0</v>
      </c>
      <c r="CU173" s="28">
        <v>-26</v>
      </c>
      <c r="CV173" s="28">
        <v>-81.25</v>
      </c>
      <c r="CW173" s="28">
        <v>-2.1653133458255258</v>
      </c>
      <c r="CX173" s="28">
        <f t="shared" si="187"/>
        <v>0</v>
      </c>
      <c r="CY173" s="32">
        <f t="shared" si="188"/>
        <v>-19.183010618363522</v>
      </c>
      <c r="CZ173" s="32">
        <f t="shared" si="189"/>
        <v>0</v>
      </c>
      <c r="DA173" s="32">
        <f t="shared" si="190"/>
        <v>0.7</v>
      </c>
      <c r="DB173" s="32">
        <f t="shared" si="191"/>
        <v>1.253357206803939E-2</v>
      </c>
      <c r="DC173" s="32">
        <f t="shared" si="192"/>
        <v>1.253357206803939E-2</v>
      </c>
      <c r="DD173" s="59">
        <f t="shared" si="193"/>
        <v>-15.113887153862169</v>
      </c>
      <c r="DE173" s="59">
        <f t="shared" si="194"/>
        <v>0</v>
      </c>
      <c r="DF173" s="59">
        <f t="shared" si="195"/>
        <v>0.7</v>
      </c>
      <c r="DG173" s="59">
        <f t="shared" si="196"/>
        <v>1.253357206803939E-2</v>
      </c>
      <c r="DH173" s="59">
        <f t="shared" si="197"/>
        <v>1.253357206803939E-2</v>
      </c>
      <c r="DI173" s="32">
        <f t="shared" si="198"/>
        <v>4.8303143868415575</v>
      </c>
      <c r="DJ173" s="32">
        <f t="shared" si="199"/>
        <v>2.2999999999999998</v>
      </c>
      <c r="DK173" s="32">
        <f t="shared" si="200"/>
        <v>7.0789534201664006E-2</v>
      </c>
      <c r="DL173">
        <f t="shared" si="201"/>
        <v>7.0789534201664006E-2</v>
      </c>
      <c r="DM173">
        <f t="shared" si="206"/>
        <v>0.82294597344949383</v>
      </c>
      <c r="DN173">
        <f t="shared" si="207"/>
        <v>0.17705402655050625</v>
      </c>
      <c r="DO173">
        <f t="shared" si="208"/>
        <v>0</v>
      </c>
      <c r="DP173">
        <f t="shared" si="202"/>
        <v>7.0789534201664006E-2</v>
      </c>
      <c r="DQ173">
        <f t="shared" si="209"/>
        <v>0.82294597344949383</v>
      </c>
      <c r="DR173">
        <f t="shared" si="210"/>
        <v>0.17705402655050625</v>
      </c>
      <c r="DS173">
        <f t="shared" si="211"/>
        <v>0</v>
      </c>
      <c r="DT173" s="63">
        <f t="shared" si="212"/>
        <v>0.2017131116846837</v>
      </c>
      <c r="DU173" s="63">
        <f t="shared" si="213"/>
        <v>0.2017131116846837</v>
      </c>
      <c r="DV173" s="63">
        <f t="shared" si="214"/>
        <v>0.23106493224821834</v>
      </c>
      <c r="DW173" s="63">
        <f t="shared" si="215"/>
        <v>0.23106493224821834</v>
      </c>
      <c r="DX173" t="str">
        <f t="shared" si="203"/>
        <v>Insufficient Capacity</v>
      </c>
      <c r="DY173" t="str">
        <f t="shared" si="204"/>
        <v>Insufficient Capacity</v>
      </c>
      <c r="DZ173" t="str">
        <f t="shared" si="205"/>
        <v>Iron Dominant electron acceptor</v>
      </c>
      <c r="EA173" t="str">
        <f t="shared" si="216"/>
        <v>Iron Dominant electron acceptor</v>
      </c>
      <c r="EB173">
        <v>1.003368E-2</v>
      </c>
      <c r="EC173">
        <v>1.934769E-3</v>
      </c>
      <c r="ED173">
        <v>1.5434849999999999E-4</v>
      </c>
      <c r="EE173">
        <v>5.8612020000000005E-4</v>
      </c>
      <c r="EF173">
        <v>4.5399689999999996E-3</v>
      </c>
      <c r="EG173" s="66">
        <v>1.373985E-5</v>
      </c>
      <c r="EH173">
        <v>3.1973169999999999E-4</v>
      </c>
      <c r="EI173">
        <v>1.01444E-4</v>
      </c>
      <c r="EJ173">
        <v>7.2890970000000005E-4</v>
      </c>
      <c r="EK173">
        <v>1.106746E-3</v>
      </c>
      <c r="EL173">
        <v>5.6105219999999999E-4</v>
      </c>
      <c r="EM173">
        <v>1.9045640000000001E-4</v>
      </c>
      <c r="EN173">
        <v>1.935584E-3</v>
      </c>
      <c r="EO173">
        <v>7.7254579999999997E-4</v>
      </c>
      <c r="EP173">
        <v>1.7939130000000001E-3</v>
      </c>
      <c r="EQ173">
        <v>1.4101140000000001E-3</v>
      </c>
      <c r="ER173">
        <v>4.4752730000000002E-4</v>
      </c>
      <c r="ES173">
        <v>6.9141880000000001E-4</v>
      </c>
      <c r="ET173">
        <v>8.2722539999999997E-3</v>
      </c>
      <c r="EU173">
        <v>2.8051320000000001E-3</v>
      </c>
      <c r="EV173">
        <v>9.1366969999999992E-3</v>
      </c>
      <c r="EW173">
        <v>6.3584259999999995E-4</v>
      </c>
      <c r="EX173">
        <v>5.3228049999999999E-3</v>
      </c>
      <c r="EY173">
        <v>6.9766009999999998E-3</v>
      </c>
      <c r="EZ173">
        <v>1.137678E-3</v>
      </c>
      <c r="FA173">
        <v>7.8882029999999997E-4</v>
      </c>
      <c r="FB173">
        <v>8.3742189999999996E-4</v>
      </c>
      <c r="FC173">
        <v>1.718968E-3</v>
      </c>
      <c r="FD173">
        <v>3.016669E-4</v>
      </c>
      <c r="FE173">
        <v>2.3061330000000001E-2</v>
      </c>
      <c r="FF173">
        <v>1.8729369999999999E-2</v>
      </c>
      <c r="FG173">
        <v>9.8649519999999997E-3</v>
      </c>
      <c r="FH173">
        <v>8.495652E-4</v>
      </c>
      <c r="FI173">
        <v>1.434917E-3</v>
      </c>
      <c r="FJ173">
        <v>1.272332E-2</v>
      </c>
      <c r="FK173">
        <v>2.3127569729857599E-2</v>
      </c>
      <c r="FL173">
        <v>-1.32249362453143E-2</v>
      </c>
      <c r="FM173">
        <v>0.12851773700321401</v>
      </c>
      <c r="FN173">
        <v>7.3910051456633305E-2</v>
      </c>
      <c r="FO173">
        <v>0.24532594698354199</v>
      </c>
      <c r="FP173">
        <v>0.49956285171304099</v>
      </c>
      <c r="FQ173">
        <v>0.43088735900575997</v>
      </c>
      <c r="FR173">
        <v>0.20814307501799501</v>
      </c>
      <c r="FS173">
        <v>-0.30019671672681197</v>
      </c>
      <c r="FT173">
        <v>-4.9362173354413001E-2</v>
      </c>
      <c r="FU173">
        <v>-5.50926055374878E-2</v>
      </c>
      <c r="FV173">
        <v>-0.166262899270371</v>
      </c>
      <c r="FW173">
        <v>0.15447547492194399</v>
      </c>
      <c r="FX173">
        <v>0.12194735174754</v>
      </c>
      <c r="FY173">
        <v>-6.9842781494475802E-3</v>
      </c>
      <c r="FZ173">
        <v>-4.8099842271526902E-2</v>
      </c>
      <c r="GA173">
        <v>1.26976217123032E-2</v>
      </c>
      <c r="GB173">
        <v>3.3050064178807403E-2</v>
      </c>
      <c r="GC173">
        <v>-1.3585828742544799E-2</v>
      </c>
      <c r="GD173">
        <v>6.7623981553236207E-2</v>
      </c>
      <c r="GE173">
        <v>2.9653928456466999E-2</v>
      </c>
      <c r="GF173">
        <v>-0.113171468720281</v>
      </c>
      <c r="GG173">
        <v>-0.18149806005048599</v>
      </c>
      <c r="GH173">
        <v>-0.165905992474082</v>
      </c>
      <c r="GI173">
        <v>-8.6096497325838697E-2</v>
      </c>
      <c r="GJ173">
        <v>-0.16885654761753099</v>
      </c>
      <c r="GK173">
        <v>-1.1350517287151101E-2</v>
      </c>
      <c r="GL173">
        <v>0.22538940055336901</v>
      </c>
      <c r="GM173">
        <v>0.156781353348662</v>
      </c>
      <c r="GN173">
        <v>6.8953001178613194E-2</v>
      </c>
      <c r="GO173">
        <v>-7.0687860211826603E-4</v>
      </c>
      <c r="GP173">
        <v>0.18334407578127501</v>
      </c>
      <c r="GT173" s="66"/>
      <c r="GV173" s="66"/>
      <c r="HK173" s="1"/>
      <c r="HL173" s="1"/>
      <c r="HM173" s="65"/>
      <c r="HN173" s="1"/>
      <c r="HP173" s="65"/>
      <c r="HT173" s="65"/>
      <c r="HV173" s="65"/>
    </row>
    <row r="174" spans="1:278" ht="15.75" x14ac:dyDescent="0.25">
      <c r="A174" s="5" t="s">
        <v>226</v>
      </c>
      <c r="B174" s="5" t="s">
        <v>226</v>
      </c>
      <c r="C174" s="2" t="s">
        <v>1049</v>
      </c>
      <c r="D174" s="2" t="s">
        <v>616</v>
      </c>
      <c r="E174" s="2" t="s">
        <v>616</v>
      </c>
      <c r="F174" s="2">
        <v>173</v>
      </c>
      <c r="G174" s="2" t="s">
        <v>1048</v>
      </c>
      <c r="H174" s="10" t="s">
        <v>656</v>
      </c>
      <c r="I174" s="2">
        <v>150</v>
      </c>
      <c r="J174" s="2">
        <v>65</v>
      </c>
      <c r="K174" s="2">
        <v>6.7</v>
      </c>
      <c r="L174" t="s">
        <v>398</v>
      </c>
      <c r="M174" s="2" t="s">
        <v>1120</v>
      </c>
      <c r="N174" s="2" t="s">
        <v>436</v>
      </c>
      <c r="O174" s="2" t="s">
        <v>653</v>
      </c>
      <c r="P174" s="2" t="s">
        <v>1123</v>
      </c>
      <c r="Q174" s="9" t="s">
        <v>713</v>
      </c>
      <c r="R174" s="2" t="str">
        <f t="shared" si="145"/>
        <v>CW_2_Section_1</v>
      </c>
      <c r="S174" s="2" t="str">
        <f t="shared" si="146"/>
        <v>CW_2_MF01</v>
      </c>
      <c r="T174" s="11" t="s">
        <v>1029</v>
      </c>
      <c r="U174" s="1">
        <v>45958</v>
      </c>
      <c r="V174" s="2" t="s">
        <v>752</v>
      </c>
      <c r="W174" s="2" t="s">
        <v>655</v>
      </c>
      <c r="X174" s="2" t="s">
        <v>1028</v>
      </c>
      <c r="Y174" s="2" t="str">
        <f t="shared" si="147"/>
        <v>T7_MF01</v>
      </c>
      <c r="Z174" s="2" t="str">
        <f t="shared" si="148"/>
        <v>T7_CW_2_MF01</v>
      </c>
      <c r="AA174" s="2" t="str">
        <f t="shared" si="149"/>
        <v>T7_0.15-0.30</v>
      </c>
      <c r="AB174" s="2">
        <v>440</v>
      </c>
      <c r="AC174" s="2">
        <v>14.474</v>
      </c>
      <c r="AD174" s="2">
        <v>1.22</v>
      </c>
      <c r="AE174" s="2">
        <v>7</v>
      </c>
      <c r="AF174" t="s">
        <v>41</v>
      </c>
      <c r="AG174" s="2" t="s">
        <v>1238</v>
      </c>
      <c r="AH174">
        <v>55</v>
      </c>
      <c r="AI174" t="s">
        <v>443</v>
      </c>
      <c r="AJ174">
        <v>1.4999999999999999E-2</v>
      </c>
      <c r="AK174">
        <v>2.56</v>
      </c>
      <c r="AL174">
        <v>12</v>
      </c>
      <c r="AM174">
        <v>-218</v>
      </c>
      <c r="AN174">
        <v>7.7</v>
      </c>
      <c r="AO174">
        <v>468</v>
      </c>
      <c r="AP174">
        <v>0.1</v>
      </c>
      <c r="AQ174">
        <v>0.01</v>
      </c>
      <c r="AR174">
        <v>5.4</v>
      </c>
      <c r="AS174">
        <v>5.7</v>
      </c>
      <c r="AT174">
        <v>110</v>
      </c>
      <c r="AU174" s="32">
        <f t="shared" si="161"/>
        <v>4.2248111637434388E-2</v>
      </c>
      <c r="AV174">
        <v>3</v>
      </c>
      <c r="AW174" s="32">
        <f t="shared" si="162"/>
        <v>1.172129368352507E-3</v>
      </c>
      <c r="AX174">
        <v>3.3</v>
      </c>
      <c r="AY174" s="32">
        <f t="shared" si="163"/>
        <v>1.3054535179429217E-3</v>
      </c>
      <c r="AZ174">
        <v>16</v>
      </c>
      <c r="BA174" s="32">
        <f t="shared" si="164"/>
        <v>6.3294716021474991E-3</v>
      </c>
      <c r="BB174">
        <v>5.5</v>
      </c>
      <c r="BC174" s="32">
        <f t="shared" si="165"/>
        <v>2.1757558632382028E-3</v>
      </c>
      <c r="BD174">
        <v>21.5</v>
      </c>
      <c r="BF174" s="48">
        <v>137.80000000000001</v>
      </c>
      <c r="BG174" s="48">
        <f t="shared" si="166"/>
        <v>4.472569452372982E-2</v>
      </c>
      <c r="BH174">
        <v>8.3000000000000007</v>
      </c>
      <c r="BI174" s="32">
        <f t="shared" si="167"/>
        <v>3.1083716938441136E-3</v>
      </c>
      <c r="BJ174" s="47">
        <v>7.4</v>
      </c>
      <c r="BK174" s="27">
        <f t="shared" si="168"/>
        <v>2.7713193414995708E-3</v>
      </c>
      <c r="BL174" s="47">
        <v>2.2999999999999998</v>
      </c>
      <c r="BM174" s="27">
        <f t="shared" si="169"/>
        <v>8.4631053288652339E-4</v>
      </c>
      <c r="BN174" s="47">
        <v>6.1</v>
      </c>
      <c r="BO174" s="27">
        <f t="shared" si="170"/>
        <v>2.294274041890928E-3</v>
      </c>
      <c r="BP174" s="47">
        <v>6.2</v>
      </c>
      <c r="BQ174" s="27">
        <f t="shared" si="171"/>
        <v>2.3125977620021658E-3</v>
      </c>
      <c r="BR174" s="47">
        <v>0.67</v>
      </c>
      <c r="BS174" s="27">
        <f t="shared" si="172"/>
        <v>2.4810637939740786E-4</v>
      </c>
      <c r="BT174" s="47">
        <v>0.04</v>
      </c>
      <c r="BU174" s="27">
        <f t="shared" si="173"/>
        <v>1.4812321158054199E-5</v>
      </c>
      <c r="BV174" s="47">
        <v>1E-3</v>
      </c>
      <c r="BW174" s="27">
        <f t="shared" si="174"/>
        <v>3.6588380716934485E-7</v>
      </c>
      <c r="BX174" s="47">
        <v>2E-3</v>
      </c>
      <c r="BY174" s="27">
        <f t="shared" si="175"/>
        <v>7.3176761433868969E-7</v>
      </c>
      <c r="BZ174" s="51">
        <f t="shared" si="176"/>
        <v>22.713000000000001</v>
      </c>
      <c r="CA174" s="51">
        <f t="shared" si="177"/>
        <v>15.312999999999997</v>
      </c>
      <c r="CB174" s="27">
        <f t="shared" si="178"/>
        <v>8.4885180302561574E-3</v>
      </c>
      <c r="CC174" s="27">
        <f t="shared" si="179"/>
        <v>5.7171986887565879E-3</v>
      </c>
      <c r="CD174">
        <v>25</v>
      </c>
      <c r="CE174">
        <v>85</v>
      </c>
      <c r="CF174" t="s">
        <v>19</v>
      </c>
      <c r="CG174">
        <v>110</v>
      </c>
      <c r="CH174" s="32">
        <v>0.7</v>
      </c>
      <c r="CI174" s="32">
        <f t="shared" si="180"/>
        <v>1.253357206803939E-2</v>
      </c>
      <c r="CJ174" s="32">
        <f t="shared" si="181"/>
        <v>1.253357206803939E-2</v>
      </c>
      <c r="CK174" s="32">
        <v>0.05</v>
      </c>
      <c r="CL174" s="32">
        <f t="shared" si="182"/>
        <v>9.1024940833788468E-4</v>
      </c>
      <c r="CM174" s="32">
        <f t="shared" si="183"/>
        <v>1.8204988166757694E-3</v>
      </c>
      <c r="CN174" s="27">
        <v>30</v>
      </c>
      <c r="CO174" s="27">
        <f t="shared" si="184"/>
        <v>0.31230480949406619</v>
      </c>
      <c r="CP174" s="27">
        <f t="shared" si="185"/>
        <v>2.4984384759525295</v>
      </c>
      <c r="CQ174" s="57">
        <v>-5</v>
      </c>
      <c r="CR174" s="57">
        <v>-20</v>
      </c>
      <c r="CS174" s="57">
        <v>-0.41640641265875494</v>
      </c>
      <c r="CT174" s="57">
        <f t="shared" si="186"/>
        <v>0</v>
      </c>
      <c r="CU174" s="28">
        <v>-5</v>
      </c>
      <c r="CV174" s="28">
        <v>-20</v>
      </c>
      <c r="CW174" s="28">
        <v>-0.41640641265875494</v>
      </c>
      <c r="CX174" s="28">
        <f t="shared" si="187"/>
        <v>0</v>
      </c>
      <c r="CY174" s="32">
        <f t="shared" si="188"/>
        <v>-2.9065167603581092</v>
      </c>
      <c r="CZ174" s="32">
        <f t="shared" si="189"/>
        <v>0</v>
      </c>
      <c r="DA174" s="32">
        <f t="shared" si="190"/>
        <v>0.7</v>
      </c>
      <c r="DB174" s="32">
        <f t="shared" si="191"/>
        <v>1.253357206803939E-2</v>
      </c>
      <c r="DC174" s="32">
        <f t="shared" si="192"/>
        <v>1.253357206803939E-2</v>
      </c>
      <c r="DD174" s="59">
        <f t="shared" si="193"/>
        <v>-2.9065167603581092</v>
      </c>
      <c r="DE174" s="59">
        <f t="shared" si="194"/>
        <v>0</v>
      </c>
      <c r="DF174" s="59">
        <f t="shared" si="195"/>
        <v>0.7</v>
      </c>
      <c r="DG174" s="59">
        <f t="shared" si="196"/>
        <v>1.253357206803939E-2</v>
      </c>
      <c r="DH174" s="59">
        <f t="shared" si="197"/>
        <v>1.253357206803939E-2</v>
      </c>
      <c r="DI174" s="32">
        <f t="shared" si="198"/>
        <v>2.4984384759525295</v>
      </c>
      <c r="DJ174" s="32">
        <f t="shared" si="199"/>
        <v>0.75</v>
      </c>
      <c r="DK174" s="32">
        <f t="shared" si="200"/>
        <v>1.4354070884715159E-2</v>
      </c>
      <c r="DL174">
        <f t="shared" si="201"/>
        <v>1.4354070884715159E-2</v>
      </c>
      <c r="DM174">
        <f t="shared" si="206"/>
        <v>0.12682804977745485</v>
      </c>
      <c r="DN174">
        <f t="shared" si="207"/>
        <v>0.87317195022254523</v>
      </c>
      <c r="DO174">
        <f t="shared" si="208"/>
        <v>0</v>
      </c>
      <c r="DP174">
        <f t="shared" si="202"/>
        <v>1.4354070884715159E-2</v>
      </c>
      <c r="DQ174">
        <f t="shared" si="209"/>
        <v>0.12682804977745485</v>
      </c>
      <c r="DR174">
        <f t="shared" si="210"/>
        <v>0.87317195022254523</v>
      </c>
      <c r="DS174">
        <f t="shared" si="211"/>
        <v>0</v>
      </c>
      <c r="DT174" s="63">
        <f t="shared" si="212"/>
        <v>3.3479995332858774E-2</v>
      </c>
      <c r="DU174" s="63">
        <f t="shared" si="213"/>
        <v>3.3479995332858774E-2</v>
      </c>
      <c r="DV174" s="63">
        <f t="shared" si="214"/>
        <v>3.919719402161536E-2</v>
      </c>
      <c r="DW174" s="63">
        <f t="shared" si="215"/>
        <v>3.919719402161536E-2</v>
      </c>
      <c r="DX174" t="str">
        <f t="shared" si="203"/>
        <v>Insufficient Capacity</v>
      </c>
      <c r="DY174" t="str">
        <f t="shared" si="204"/>
        <v>Insufficient Capacity</v>
      </c>
      <c r="DZ174" t="str">
        <f t="shared" si="205"/>
        <v>Manganese Dominant electron acceptor</v>
      </c>
      <c r="EA174" t="str">
        <f t="shared" si="216"/>
        <v>Manganese Dominant electron acceptor</v>
      </c>
      <c r="EB174">
        <v>1.016074E-2</v>
      </c>
      <c r="EC174">
        <v>1.5649380000000001E-3</v>
      </c>
      <c r="ED174" s="66">
        <v>3.6016700000000002E-6</v>
      </c>
      <c r="EE174">
        <v>6.8810129999999998E-4</v>
      </c>
      <c r="EF174">
        <v>4.6580550000000004E-3</v>
      </c>
      <c r="EG174" s="66">
        <v>2.153234E-5</v>
      </c>
      <c r="EH174">
        <v>3.7880340000000001E-4</v>
      </c>
      <c r="EI174">
        <v>2.3326480000000001E-4</v>
      </c>
      <c r="EJ174">
        <v>4.7005700000000002E-4</v>
      </c>
      <c r="EK174">
        <v>7.6856519999999998E-4</v>
      </c>
      <c r="EL174">
        <v>5.2864760000000002E-4</v>
      </c>
      <c r="EM174">
        <v>4.7047659999999999E-4</v>
      </c>
      <c r="EN174">
        <v>2.0195640000000002E-3</v>
      </c>
      <c r="EO174">
        <v>1.016142E-3</v>
      </c>
      <c r="EP174">
        <v>2.3498759999999999E-3</v>
      </c>
      <c r="EQ174">
        <v>1.140444E-3</v>
      </c>
      <c r="ER174">
        <v>3.583576E-4</v>
      </c>
      <c r="ES174">
        <v>8.5600080000000005E-4</v>
      </c>
      <c r="ET174">
        <v>8.804625E-3</v>
      </c>
      <c r="EU174">
        <v>3.0014149999999999E-3</v>
      </c>
      <c r="EV174">
        <v>8.481634E-3</v>
      </c>
      <c r="EW174">
        <v>6.8636629999999999E-4</v>
      </c>
      <c r="EX174">
        <v>4.9488020000000004E-3</v>
      </c>
      <c r="EY174">
        <v>7.4734520000000002E-3</v>
      </c>
      <c r="EZ174">
        <v>1.293177E-3</v>
      </c>
      <c r="FA174">
        <v>1.1856939999999999E-3</v>
      </c>
      <c r="FB174">
        <v>1.243744E-3</v>
      </c>
      <c r="FC174">
        <v>1.9786959999999998E-3</v>
      </c>
      <c r="FD174">
        <v>4.4423169999999998E-4</v>
      </c>
      <c r="FE174">
        <v>2.470928E-2</v>
      </c>
      <c r="FF174">
        <v>1.4893379999999999E-2</v>
      </c>
      <c r="FG174">
        <v>8.0757309999999992E-3</v>
      </c>
      <c r="FH174">
        <v>8.4908499999999997E-4</v>
      </c>
      <c r="FI174">
        <v>1.5171449999999999E-3</v>
      </c>
      <c r="FJ174">
        <v>1.0430119999999999E-2</v>
      </c>
      <c r="FK174">
        <v>0.18353874719997099</v>
      </c>
      <c r="FL174">
        <v>1.24528589537789E-2</v>
      </c>
      <c r="FM174">
        <v>0.57777335832463494</v>
      </c>
      <c r="FN174">
        <v>0.24344518183259201</v>
      </c>
      <c r="FO174">
        <v>1.07799331384249</v>
      </c>
      <c r="FP174">
        <v>6.0866959635890602E-2</v>
      </c>
      <c r="FQ174">
        <v>6.6233301564177602E-2</v>
      </c>
      <c r="FR174">
        <v>0.14865117299819999</v>
      </c>
      <c r="FS174">
        <v>0.60412620975601805</v>
      </c>
      <c r="FT174">
        <v>-6.8896165547700497E-3</v>
      </c>
      <c r="FU174">
        <v>0.218984481574095</v>
      </c>
      <c r="FV174">
        <v>0.103700394058671</v>
      </c>
      <c r="FW174">
        <v>-5.7777416998264997E-2</v>
      </c>
      <c r="FX174">
        <v>-0.100258819162271</v>
      </c>
      <c r="FY174">
        <v>0.20654131424719899</v>
      </c>
      <c r="FZ174">
        <v>1.42702860410813E-2</v>
      </c>
      <c r="GA174">
        <v>8.0330869156364698E-2</v>
      </c>
      <c r="GB174">
        <v>-4.1345757497508899E-2</v>
      </c>
      <c r="GC174">
        <v>6.2874573055221802E-2</v>
      </c>
      <c r="GD174">
        <v>-5.2309114020356899E-3</v>
      </c>
      <c r="GE174">
        <v>9.8449100567357603E-2</v>
      </c>
      <c r="GF174">
        <v>1.49411695348203E-2</v>
      </c>
      <c r="GG174">
        <v>0.22604693784740801</v>
      </c>
      <c r="GH174">
        <v>0.229647466247003</v>
      </c>
      <c r="GI174">
        <v>5.46174338057588E-2</v>
      </c>
      <c r="GJ174">
        <v>0.21816629703464699</v>
      </c>
      <c r="GK174">
        <v>5.7671175481505799E-2</v>
      </c>
      <c r="GL174">
        <v>-3.7866605376608601E-3</v>
      </c>
      <c r="GM174">
        <v>-4.3343529100058099E-2</v>
      </c>
      <c r="GN174">
        <v>6.8387611067345602E-2</v>
      </c>
      <c r="GO174">
        <v>5.5016392767193202E-2</v>
      </c>
      <c r="GP174">
        <v>-1.53946801440474E-2</v>
      </c>
      <c r="GR174" s="66"/>
      <c r="GT174" s="66"/>
      <c r="GV174" s="66"/>
      <c r="GW174" s="65"/>
      <c r="GX174" s="65"/>
      <c r="HK174" s="1"/>
      <c r="HL174" s="1"/>
      <c r="HM174" s="65"/>
      <c r="HN174" s="1"/>
      <c r="HV174" s="65"/>
      <c r="IJ174" s="66"/>
      <c r="IL174" s="66"/>
      <c r="IZ174" s="66"/>
      <c r="JB174" s="66"/>
      <c r="JD174" s="66"/>
      <c r="JF174" s="66"/>
      <c r="JH174" s="66"/>
      <c r="JJ174" s="66"/>
      <c r="JL174" s="66"/>
      <c r="JN174" s="66"/>
      <c r="JP174" s="66"/>
      <c r="JR174" s="66"/>
    </row>
    <row r="175" spans="1:278" ht="15.75" x14ac:dyDescent="0.25">
      <c r="A175" s="5" t="s">
        <v>227</v>
      </c>
      <c r="B175" s="5" t="s">
        <v>227</v>
      </c>
      <c r="C175" s="2" t="s">
        <v>1051</v>
      </c>
      <c r="D175" s="2" t="s">
        <v>617</v>
      </c>
      <c r="E175" s="2" t="s">
        <v>617</v>
      </c>
      <c r="F175" s="2">
        <v>174</v>
      </c>
      <c r="G175" s="2" t="s">
        <v>1050</v>
      </c>
      <c r="H175" s="10" t="s">
        <v>656</v>
      </c>
      <c r="I175" s="2">
        <v>150</v>
      </c>
      <c r="J175" s="2">
        <v>65</v>
      </c>
      <c r="K175" s="2">
        <v>6.75</v>
      </c>
      <c r="L175" t="s">
        <v>399</v>
      </c>
      <c r="M175" s="2" t="s">
        <v>1120</v>
      </c>
      <c r="N175" s="2" t="s">
        <v>436</v>
      </c>
      <c r="O175" s="2" t="s">
        <v>653</v>
      </c>
      <c r="P175" s="2" t="s">
        <v>1124</v>
      </c>
      <c r="Q175" s="9" t="s">
        <v>716</v>
      </c>
      <c r="R175" s="2" t="str">
        <f t="shared" si="145"/>
        <v>CW_2_Section_1</v>
      </c>
      <c r="S175" s="2" t="str">
        <f t="shared" si="146"/>
        <v>CW_2_MF02</v>
      </c>
      <c r="T175" s="11" t="s">
        <v>1029</v>
      </c>
      <c r="U175" s="1">
        <v>45958</v>
      </c>
      <c r="V175" s="2" t="s">
        <v>752</v>
      </c>
      <c r="W175" s="2" t="s">
        <v>663</v>
      </c>
      <c r="X175" s="2" t="s">
        <v>1028</v>
      </c>
      <c r="Y175" s="2" t="str">
        <f t="shared" si="147"/>
        <v>T7_MF02</v>
      </c>
      <c r="Z175" s="2" t="str">
        <f t="shared" si="148"/>
        <v>T7_CW_2_MF02</v>
      </c>
      <c r="AA175" s="2" t="str">
        <f t="shared" si="149"/>
        <v>T7_0.60-0.80</v>
      </c>
      <c r="AB175" s="2">
        <v>440</v>
      </c>
      <c r="AC175" s="2">
        <v>14.474</v>
      </c>
      <c r="AD175" s="2">
        <v>1.22</v>
      </c>
      <c r="AE175" s="2">
        <v>7</v>
      </c>
      <c r="AF175" t="s">
        <v>43</v>
      </c>
      <c r="AG175" s="2" t="s">
        <v>1238</v>
      </c>
      <c r="AH175">
        <v>67</v>
      </c>
      <c r="AI175" t="s">
        <v>443</v>
      </c>
      <c r="AJ175">
        <v>0.49</v>
      </c>
      <c r="AK175">
        <v>1.41</v>
      </c>
      <c r="AL175">
        <v>13</v>
      </c>
      <c r="AM175">
        <v>-129</v>
      </c>
      <c r="AN175">
        <v>7.6</v>
      </c>
      <c r="AO175">
        <v>663</v>
      </c>
      <c r="AP175">
        <v>0.2</v>
      </c>
      <c r="AQ175">
        <v>0.01</v>
      </c>
      <c r="AR175">
        <v>8.1</v>
      </c>
      <c r="AS175">
        <v>7.7</v>
      </c>
      <c r="AT175">
        <v>350</v>
      </c>
      <c r="AU175" s="32">
        <f t="shared" si="161"/>
        <v>0.13442580975547305</v>
      </c>
      <c r="AV175">
        <v>42</v>
      </c>
      <c r="AW175" s="32">
        <f t="shared" si="162"/>
        <v>1.64098111569351E-2</v>
      </c>
      <c r="AX175">
        <v>200</v>
      </c>
      <c r="AY175" s="32">
        <f t="shared" si="163"/>
        <v>7.9118395026843744E-2</v>
      </c>
      <c r="AZ175">
        <v>96</v>
      </c>
      <c r="BA175" s="32">
        <f t="shared" si="164"/>
        <v>3.7976829612884996E-2</v>
      </c>
      <c r="BB175">
        <v>130</v>
      </c>
      <c r="BC175" s="32">
        <f t="shared" si="165"/>
        <v>5.1426956767448434E-2</v>
      </c>
      <c r="BD175">
        <v>226</v>
      </c>
      <c r="BF175" s="48">
        <v>818</v>
      </c>
      <c r="BG175" s="48">
        <f t="shared" si="166"/>
        <v>0.22995401593925191</v>
      </c>
      <c r="BH175">
        <v>800</v>
      </c>
      <c r="BI175" s="32">
        <f t="shared" si="167"/>
        <v>0.29960209097292656</v>
      </c>
      <c r="BJ175" s="47">
        <v>660</v>
      </c>
      <c r="BK175" s="27">
        <f t="shared" si="168"/>
        <v>0.24717172505266444</v>
      </c>
      <c r="BL175" s="47">
        <v>2</v>
      </c>
      <c r="BM175" s="27">
        <f t="shared" si="169"/>
        <v>7.3592220251002033E-4</v>
      </c>
      <c r="BN175" s="47">
        <v>2</v>
      </c>
      <c r="BO175" s="27">
        <f t="shared" si="170"/>
        <v>7.5222099734128785E-4</v>
      </c>
      <c r="BP175" s="47">
        <v>1</v>
      </c>
      <c r="BQ175" s="27">
        <f t="shared" si="171"/>
        <v>3.7299963903260737E-4</v>
      </c>
      <c r="BR175" s="47">
        <v>1.5</v>
      </c>
      <c r="BS175" s="27">
        <f t="shared" si="172"/>
        <v>5.5546204342703253E-4</v>
      </c>
      <c r="BT175" s="47">
        <v>0.26</v>
      </c>
      <c r="BU175" s="27">
        <f t="shared" si="173"/>
        <v>9.6280087527352302E-5</v>
      </c>
      <c r="BV175" s="47">
        <v>0.02</v>
      </c>
      <c r="BW175" s="27">
        <f t="shared" si="174"/>
        <v>7.3176761433868973E-6</v>
      </c>
      <c r="BX175" s="47">
        <v>0.02</v>
      </c>
      <c r="BY175" s="27">
        <f t="shared" si="175"/>
        <v>7.3176761433868973E-6</v>
      </c>
      <c r="BZ175" s="51">
        <f t="shared" si="176"/>
        <v>666.8</v>
      </c>
      <c r="CA175" s="51">
        <f t="shared" si="177"/>
        <v>6.7999999999999989</v>
      </c>
      <c r="CB175" s="27">
        <f t="shared" si="178"/>
        <v>0.24969924537478955</v>
      </c>
      <c r="CC175" s="27">
        <f t="shared" si="179"/>
        <v>2.5275203221250746E-3</v>
      </c>
      <c r="CD175">
        <v>1700</v>
      </c>
      <c r="CE175">
        <v>200</v>
      </c>
      <c r="CF175" t="s">
        <v>19</v>
      </c>
      <c r="CG175">
        <v>1900</v>
      </c>
      <c r="CH175" s="32">
        <v>2</v>
      </c>
      <c r="CI175" s="32">
        <f t="shared" si="180"/>
        <v>3.5810205908683973E-2</v>
      </c>
      <c r="CJ175" s="32">
        <f t="shared" si="181"/>
        <v>3.5810205908683973E-2</v>
      </c>
      <c r="CK175" s="32">
        <v>1.4</v>
      </c>
      <c r="CL175" s="32">
        <f t="shared" si="182"/>
        <v>2.5486983433460765E-2</v>
      </c>
      <c r="CM175" s="32">
        <f t="shared" si="183"/>
        <v>5.097396686692153E-2</v>
      </c>
      <c r="CN175" s="27">
        <v>23</v>
      </c>
      <c r="CO175" s="27">
        <f t="shared" si="184"/>
        <v>0.23943368727878409</v>
      </c>
      <c r="CP175" s="27">
        <f t="shared" si="185"/>
        <v>1.9154694982302727</v>
      </c>
      <c r="CQ175" s="57">
        <v>2</v>
      </c>
      <c r="CR175" s="57">
        <v>8</v>
      </c>
      <c r="CS175" s="57">
        <v>0.16656256506350198</v>
      </c>
      <c r="CT175" s="57">
        <f t="shared" si="186"/>
        <v>0.16656256506350198</v>
      </c>
      <c r="CU175" s="28">
        <v>2</v>
      </c>
      <c r="CV175" s="28">
        <v>8</v>
      </c>
      <c r="CW175" s="28">
        <v>0.16656256506350198</v>
      </c>
      <c r="CX175" s="28">
        <f t="shared" si="187"/>
        <v>0.16656256506350198</v>
      </c>
      <c r="CY175" s="32">
        <f t="shared" si="188"/>
        <v>1.1626067041432437</v>
      </c>
      <c r="CZ175" s="32">
        <f t="shared" si="189"/>
        <v>1.1626067041432437</v>
      </c>
      <c r="DA175" s="32">
        <f t="shared" si="190"/>
        <v>3.1626067041432435</v>
      </c>
      <c r="DB175" s="32">
        <f t="shared" si="191"/>
        <v>5.6626798641776964E-2</v>
      </c>
      <c r="DC175" s="32">
        <f t="shared" si="192"/>
        <v>5.6626798641776964E-2</v>
      </c>
      <c r="DD175" s="59">
        <f t="shared" si="193"/>
        <v>1.1626067041432437</v>
      </c>
      <c r="DE175" s="59">
        <f t="shared" si="194"/>
        <v>1.1626067041432437</v>
      </c>
      <c r="DF175" s="59">
        <f t="shared" si="195"/>
        <v>3.1626067041432435</v>
      </c>
      <c r="DG175" s="59">
        <f t="shared" si="196"/>
        <v>5.6626798641776964E-2</v>
      </c>
      <c r="DH175" s="59">
        <f t="shared" si="197"/>
        <v>5.6626798641776964E-2</v>
      </c>
      <c r="DI175" s="32">
        <f t="shared" si="198"/>
        <v>1.9154694982302727</v>
      </c>
      <c r="DJ175" s="32">
        <f t="shared" si="199"/>
        <v>4.5626067041432439</v>
      </c>
      <c r="DK175" s="32">
        <f t="shared" si="200"/>
        <v>0.10760076550869849</v>
      </c>
      <c r="DL175">
        <f t="shared" si="201"/>
        <v>0.27416333057220044</v>
      </c>
      <c r="DM175">
        <f t="shared" si="206"/>
        <v>0.18592554577059905</v>
      </c>
      <c r="DN175">
        <f t="shared" si="207"/>
        <v>0.20654402805653252</v>
      </c>
      <c r="DO175">
        <f t="shared" si="208"/>
        <v>0.60753042617286857</v>
      </c>
      <c r="DP175">
        <f t="shared" si="202"/>
        <v>0.27416333057220044</v>
      </c>
      <c r="DQ175">
        <f t="shared" si="209"/>
        <v>0.18592554577059905</v>
      </c>
      <c r="DR175">
        <f t="shared" si="210"/>
        <v>0.20654402805653252</v>
      </c>
      <c r="DS175">
        <f t="shared" si="211"/>
        <v>0.60753042617286857</v>
      </c>
      <c r="DT175" s="63">
        <f t="shared" si="212"/>
        <v>0.25539277633997803</v>
      </c>
      <c r="DU175" s="63">
        <f t="shared" si="213"/>
        <v>0.25539277633997803</v>
      </c>
      <c r="DV175" s="63">
        <f t="shared" si="214"/>
        <v>0.25792029666210314</v>
      </c>
      <c r="DW175" s="63">
        <f t="shared" si="215"/>
        <v>0.25792029666210314</v>
      </c>
      <c r="DX175" t="str">
        <f t="shared" si="203"/>
        <v>Insufficient Capacity</v>
      </c>
      <c r="DY175" t="str">
        <f t="shared" si="204"/>
        <v>Insufficient Capacity</v>
      </c>
      <c r="DZ175" t="str">
        <f t="shared" si="205"/>
        <v>Sulfate Dominant electron acceptor</v>
      </c>
      <c r="EA175" t="str">
        <f t="shared" si="216"/>
        <v>Sulfate Dominant electron acceptor</v>
      </c>
      <c r="EB175">
        <v>9.5278010000000007E-3</v>
      </c>
      <c r="EC175">
        <v>1.5879010000000001E-3</v>
      </c>
      <c r="ED175" s="66">
        <v>4.1913970000000004E-6</v>
      </c>
      <c r="EE175">
        <v>8.8535380000000002E-4</v>
      </c>
      <c r="EF175">
        <v>6.8594509999999999E-3</v>
      </c>
      <c r="EG175" s="66">
        <v>5.7786089999999998E-5</v>
      </c>
      <c r="EH175">
        <v>6.4746740000000001E-4</v>
      </c>
      <c r="EI175">
        <v>1.8874660000000001E-4</v>
      </c>
      <c r="EJ175">
        <v>5.9356450000000005E-4</v>
      </c>
      <c r="EK175">
        <v>1.135661E-3</v>
      </c>
      <c r="EL175">
        <v>6.3648299999999997E-4</v>
      </c>
      <c r="EM175">
        <v>6.1292680000000002E-4</v>
      </c>
      <c r="EN175">
        <v>2.056235E-3</v>
      </c>
      <c r="EO175">
        <v>1.0091119999999999E-3</v>
      </c>
      <c r="EP175">
        <v>3.24567E-3</v>
      </c>
      <c r="EQ175">
        <v>1.0746079999999999E-3</v>
      </c>
      <c r="ER175">
        <v>6.7979360000000003E-4</v>
      </c>
      <c r="ES175">
        <v>9.7724079999999994E-4</v>
      </c>
      <c r="ET175">
        <v>7.0050959999999997E-3</v>
      </c>
      <c r="EU175">
        <v>2.626181E-3</v>
      </c>
      <c r="EV175">
        <v>8.1438610000000005E-3</v>
      </c>
      <c r="EW175">
        <v>8.0185460000000005E-4</v>
      </c>
      <c r="EX175">
        <v>4.7702580000000003E-3</v>
      </c>
      <c r="EY175">
        <v>6.8861210000000003E-3</v>
      </c>
      <c r="EZ175">
        <v>2.0050910000000001E-3</v>
      </c>
      <c r="FA175">
        <v>1.3397120000000001E-3</v>
      </c>
      <c r="FB175">
        <v>1.4079120000000001E-3</v>
      </c>
      <c r="FC175">
        <v>2.0168819999999998E-3</v>
      </c>
      <c r="FD175">
        <v>6.296381E-4</v>
      </c>
      <c r="FE175">
        <v>2.4099039999999999E-2</v>
      </c>
      <c r="FF175">
        <v>1.4147119999999999E-2</v>
      </c>
      <c r="FG175">
        <v>8.5380620000000008E-3</v>
      </c>
      <c r="FH175">
        <v>7.1022350000000001E-4</v>
      </c>
      <c r="FI175">
        <v>1.802697E-3</v>
      </c>
      <c r="FJ175">
        <v>1.039232E-2</v>
      </c>
      <c r="FK175">
        <v>0.43559002086392901</v>
      </c>
      <c r="FL175">
        <v>0.39948228929934498</v>
      </c>
      <c r="FM175">
        <v>1.5649654565754101</v>
      </c>
      <c r="FN175">
        <v>0.77949628966404105</v>
      </c>
      <c r="FO175">
        <v>0.86622439961725795</v>
      </c>
      <c r="FP175">
        <v>0.29415888117204902</v>
      </c>
      <c r="FQ175">
        <v>0.45667804083909402</v>
      </c>
      <c r="FR175">
        <v>0.33428683477399501</v>
      </c>
      <c r="FS175">
        <v>0.8686255023742</v>
      </c>
      <c r="FT175">
        <v>1.1105377585532299E-2</v>
      </c>
      <c r="FU175">
        <v>0.21204211460672301</v>
      </c>
      <c r="FV175">
        <v>0.42665963359057701</v>
      </c>
      <c r="FW175">
        <v>-0.117239133348258</v>
      </c>
      <c r="FX175">
        <v>0.53999903299081398</v>
      </c>
      <c r="FY175">
        <v>0.339003093982782</v>
      </c>
      <c r="FZ175">
        <v>-0.21436898137046001</v>
      </c>
      <c r="GA175">
        <v>-5.3222275349964002E-2</v>
      </c>
      <c r="GB175">
        <v>-8.1984485535936194E-2</v>
      </c>
      <c r="GC175">
        <v>0.21839041749551599</v>
      </c>
      <c r="GD175">
        <v>-4.1976047001140798E-2</v>
      </c>
      <c r="GE175">
        <v>1.6600029684700399E-2</v>
      </c>
      <c r="GF175">
        <v>0.45352863442479602</v>
      </c>
      <c r="GG175">
        <v>0.34817334617017298</v>
      </c>
      <c r="GH175">
        <v>0.35362903667121998</v>
      </c>
      <c r="GI175">
        <v>7.37321464547325E-2</v>
      </c>
      <c r="GJ175">
        <v>0.56696523375499897</v>
      </c>
      <c r="GK175">
        <v>3.2664299584634002E-2</v>
      </c>
      <c r="GL175">
        <v>-5.5192409654084798E-2</v>
      </c>
      <c r="GM175">
        <v>1.23271295358798E-2</v>
      </c>
      <c r="GN175">
        <v>-0.11019197878600399</v>
      </c>
      <c r="GO175">
        <v>0.22746999043439201</v>
      </c>
      <c r="GP175">
        <v>-1.9025382551958198E-2</v>
      </c>
      <c r="GR175" s="66"/>
      <c r="GT175" s="66"/>
      <c r="GV175" s="66"/>
      <c r="HK175" s="1"/>
      <c r="HL175" s="1"/>
      <c r="HM175" s="65"/>
      <c r="HN175" s="1"/>
      <c r="HV175" s="65"/>
      <c r="HW175" s="65"/>
      <c r="HX175" s="65"/>
    </row>
    <row r="176" spans="1:278" ht="15.75" x14ac:dyDescent="0.25">
      <c r="A176" s="5" t="s">
        <v>228</v>
      </c>
      <c r="B176" s="5" t="s">
        <v>228</v>
      </c>
      <c r="C176" s="2" t="s">
        <v>1053</v>
      </c>
      <c r="D176" s="2" t="s">
        <v>618</v>
      </c>
      <c r="E176" s="2" t="s">
        <v>618</v>
      </c>
      <c r="F176" s="2">
        <v>175</v>
      </c>
      <c r="G176" s="2" t="s">
        <v>1052</v>
      </c>
      <c r="H176" s="10" t="s">
        <v>656</v>
      </c>
      <c r="I176" s="2">
        <v>150</v>
      </c>
      <c r="J176" s="2">
        <v>65</v>
      </c>
      <c r="K176" s="2">
        <v>42.2</v>
      </c>
      <c r="L176" t="s">
        <v>400</v>
      </c>
      <c r="M176" s="2" t="s">
        <v>1120</v>
      </c>
      <c r="N176" s="2" t="s">
        <v>436</v>
      </c>
      <c r="O176" s="2" t="s">
        <v>666</v>
      </c>
      <c r="P176" s="2" t="s">
        <v>1131</v>
      </c>
      <c r="Q176" s="9" t="s">
        <v>719</v>
      </c>
      <c r="R176" s="2" t="str">
        <f t="shared" si="145"/>
        <v>CW_2_Section_2</v>
      </c>
      <c r="S176" s="2" t="str">
        <f t="shared" si="146"/>
        <v>CW_2_MF05</v>
      </c>
      <c r="T176" s="11" t="s">
        <v>1029</v>
      </c>
      <c r="U176" s="1">
        <v>45958</v>
      </c>
      <c r="V176" s="2" t="s">
        <v>752</v>
      </c>
      <c r="W176" s="2" t="s">
        <v>655</v>
      </c>
      <c r="X176" s="2" t="s">
        <v>1028</v>
      </c>
      <c r="Y176" s="2" t="str">
        <f t="shared" si="147"/>
        <v>T7_MF05</v>
      </c>
      <c r="Z176" s="2" t="str">
        <f t="shared" si="148"/>
        <v>T7_CW_2_MF05</v>
      </c>
      <c r="AA176" s="2" t="str">
        <f t="shared" si="149"/>
        <v>T7_0.15-0.30</v>
      </c>
      <c r="AB176" s="2">
        <v>440</v>
      </c>
      <c r="AC176" s="2">
        <v>14.474</v>
      </c>
      <c r="AD176" s="2">
        <v>1.22</v>
      </c>
      <c r="AE176" s="2">
        <v>7</v>
      </c>
      <c r="AF176" t="s">
        <v>35</v>
      </c>
      <c r="AG176" s="2" t="s">
        <v>1238</v>
      </c>
      <c r="AH176">
        <v>42</v>
      </c>
      <c r="AI176" t="s">
        <v>443</v>
      </c>
      <c r="AJ176">
        <v>1.5</v>
      </c>
      <c r="AK176">
        <v>1.99</v>
      </c>
      <c r="AL176">
        <v>12</v>
      </c>
      <c r="AM176">
        <v>-90</v>
      </c>
      <c r="AN176">
        <v>7.2</v>
      </c>
      <c r="AO176">
        <v>563</v>
      </c>
      <c r="AP176">
        <v>0.1</v>
      </c>
      <c r="AQ176">
        <v>0.01</v>
      </c>
      <c r="AR176">
        <v>10</v>
      </c>
      <c r="AS176">
        <v>11</v>
      </c>
      <c r="AT176">
        <v>2.8</v>
      </c>
      <c r="AU176" s="32">
        <f t="shared" si="161"/>
        <v>1.0754064780437844E-3</v>
      </c>
      <c r="AV176">
        <v>0.59</v>
      </c>
      <c r="AW176" s="32">
        <f t="shared" si="162"/>
        <v>2.3051877577599306E-4</v>
      </c>
      <c r="AX176">
        <v>4.7</v>
      </c>
      <c r="AY176" s="32">
        <f t="shared" si="163"/>
        <v>1.8592822831308281E-3</v>
      </c>
      <c r="AZ176">
        <v>1.2</v>
      </c>
      <c r="BA176" s="32">
        <f t="shared" si="164"/>
        <v>4.7471037016106243E-4</v>
      </c>
      <c r="BB176">
        <v>0.57999999999999996</v>
      </c>
      <c r="BC176" s="32">
        <f t="shared" si="165"/>
        <v>2.2944334557784682E-4</v>
      </c>
      <c r="BD176">
        <v>1.78</v>
      </c>
      <c r="BF176" s="48">
        <v>9.8699999999999992</v>
      </c>
      <c r="BG176" s="48">
        <f t="shared" si="166"/>
        <v>3.1652075369506052E-3</v>
      </c>
      <c r="BH176">
        <v>20</v>
      </c>
      <c r="BI176" s="32">
        <f t="shared" si="167"/>
        <v>7.4900522743231637E-3</v>
      </c>
      <c r="BJ176" s="47">
        <v>19</v>
      </c>
      <c r="BK176" s="27">
        <f t="shared" si="168"/>
        <v>7.1155496606070054E-3</v>
      </c>
      <c r="BL176" s="47">
        <v>0.01</v>
      </c>
      <c r="BM176" s="27">
        <f t="shared" si="169"/>
        <v>3.6796110125501018E-6</v>
      </c>
      <c r="BN176" s="47">
        <v>0.14000000000000001</v>
      </c>
      <c r="BO176" s="27">
        <f t="shared" si="170"/>
        <v>5.2655469813890153E-5</v>
      </c>
      <c r="BP176" s="47">
        <v>5.0000000000000001E-3</v>
      </c>
      <c r="BQ176" s="27">
        <f t="shared" si="171"/>
        <v>1.8649981951630372E-6</v>
      </c>
      <c r="BR176" s="47">
        <v>1E-3</v>
      </c>
      <c r="BS176" s="27">
        <f t="shared" si="172"/>
        <v>3.7030802895135499E-7</v>
      </c>
      <c r="BT176" s="47">
        <v>1E-3</v>
      </c>
      <c r="BU176" s="27">
        <f t="shared" si="173"/>
        <v>3.7030802895135499E-7</v>
      </c>
      <c r="BV176" s="47">
        <v>1E-3</v>
      </c>
      <c r="BW176" s="27">
        <f t="shared" si="174"/>
        <v>3.6588380716934485E-7</v>
      </c>
      <c r="BX176" s="47">
        <v>2E-3</v>
      </c>
      <c r="BY176" s="27">
        <f t="shared" si="175"/>
        <v>7.3176761433868969E-7</v>
      </c>
      <c r="BZ176" s="51">
        <f t="shared" si="176"/>
        <v>19.160000000000004</v>
      </c>
      <c r="CA176" s="51">
        <f t="shared" si="177"/>
        <v>0.16000000000000003</v>
      </c>
      <c r="CB176" s="27">
        <f t="shared" si="178"/>
        <v>7.17558800710802E-3</v>
      </c>
      <c r="CC176" s="27">
        <f t="shared" si="179"/>
        <v>6.0038346501014035E-5</v>
      </c>
      <c r="CD176">
        <v>30</v>
      </c>
      <c r="CE176">
        <v>2.5</v>
      </c>
      <c r="CF176" t="s">
        <v>19</v>
      </c>
      <c r="CG176">
        <v>50</v>
      </c>
      <c r="CH176" s="32">
        <v>8.1999999999999993</v>
      </c>
      <c r="CI176" s="32">
        <f t="shared" si="180"/>
        <v>0.14682184422560429</v>
      </c>
      <c r="CJ176" s="32">
        <f t="shared" si="181"/>
        <v>0.14682184422560429</v>
      </c>
      <c r="CK176" s="32">
        <v>2.2999999999999998</v>
      </c>
      <c r="CL176" s="32">
        <f t="shared" si="182"/>
        <v>4.1871472783542689E-2</v>
      </c>
      <c r="CM176" s="32">
        <f t="shared" si="183"/>
        <v>8.3742945567085378E-2</v>
      </c>
      <c r="CN176" s="27">
        <v>7</v>
      </c>
      <c r="CO176" s="27">
        <f t="shared" si="184"/>
        <v>7.2871122215282108E-2</v>
      </c>
      <c r="CP176" s="27">
        <f t="shared" si="185"/>
        <v>0.58296897772225686</v>
      </c>
      <c r="CQ176" s="57">
        <v>18</v>
      </c>
      <c r="CR176" s="57">
        <v>72</v>
      </c>
      <c r="CS176" s="57">
        <v>1.4990630855715177</v>
      </c>
      <c r="CT176" s="57">
        <f t="shared" si="186"/>
        <v>1.4990630855715177</v>
      </c>
      <c r="CU176" s="28">
        <v>23</v>
      </c>
      <c r="CV176" s="28">
        <v>76.666666666666671</v>
      </c>
      <c r="CW176" s="28">
        <v>1.9154694982302727</v>
      </c>
      <c r="CX176" s="28">
        <f t="shared" si="187"/>
        <v>1.9154694982302727</v>
      </c>
      <c r="CY176" s="32">
        <f t="shared" si="188"/>
        <v>10.463460337289193</v>
      </c>
      <c r="CZ176" s="32">
        <f t="shared" si="189"/>
        <v>10.463460337289193</v>
      </c>
      <c r="DA176" s="32">
        <f t="shared" si="190"/>
        <v>18.663460337289195</v>
      </c>
      <c r="DB176" s="32">
        <f t="shared" si="191"/>
        <v>0.33417117882344127</v>
      </c>
      <c r="DC176" s="32">
        <f t="shared" si="192"/>
        <v>0.33417117882344127</v>
      </c>
      <c r="DD176" s="59">
        <f t="shared" si="193"/>
        <v>13.369977097647302</v>
      </c>
      <c r="DE176" s="59">
        <f t="shared" si="194"/>
        <v>13.369977097647302</v>
      </c>
      <c r="DF176" s="59">
        <f t="shared" si="195"/>
        <v>21.569977097647303</v>
      </c>
      <c r="DG176" s="59">
        <f t="shared" si="196"/>
        <v>0.38621266065617371</v>
      </c>
      <c r="DH176" s="59">
        <f t="shared" si="197"/>
        <v>0.38621266065617371</v>
      </c>
      <c r="DI176" s="32">
        <f t="shared" si="198"/>
        <v>0.58296897772225686</v>
      </c>
      <c r="DJ176" s="32">
        <f t="shared" si="199"/>
        <v>23.869977097647304</v>
      </c>
      <c r="DK176" s="32">
        <f t="shared" si="200"/>
        <v>0.4699556062232591</v>
      </c>
      <c r="DL176">
        <f t="shared" si="201"/>
        <v>1.9169772099620443</v>
      </c>
      <c r="DM176">
        <f t="shared" si="206"/>
        <v>4.3684893660652056E-2</v>
      </c>
      <c r="DN176">
        <f t="shared" si="207"/>
        <v>0.17432193616431035</v>
      </c>
      <c r="DO176">
        <f t="shared" si="208"/>
        <v>0.78199317017503756</v>
      </c>
      <c r="DP176">
        <f t="shared" si="202"/>
        <v>2.3854251044535317</v>
      </c>
      <c r="DQ176">
        <f t="shared" si="209"/>
        <v>3.510608881022477E-2</v>
      </c>
      <c r="DR176">
        <f t="shared" si="210"/>
        <v>0.16190517150805694</v>
      </c>
      <c r="DS176">
        <f t="shared" si="211"/>
        <v>0.80298873968171836</v>
      </c>
      <c r="DT176" s="63">
        <f t="shared" si="212"/>
        <v>-1.9063219501507707</v>
      </c>
      <c r="DU176" s="63">
        <f t="shared" si="213"/>
        <v>-2.374769844642258</v>
      </c>
      <c r="DV176" s="63">
        <f t="shared" si="214"/>
        <v>-1.9062619118042696</v>
      </c>
      <c r="DW176" s="63">
        <f t="shared" si="215"/>
        <v>-2.374709806295757</v>
      </c>
      <c r="DX176" t="str">
        <f t="shared" si="203"/>
        <v>Sufficient Capacity</v>
      </c>
      <c r="DY176" t="str">
        <f t="shared" si="204"/>
        <v>Sufficient Capacity</v>
      </c>
      <c r="DZ176" t="str">
        <f t="shared" si="205"/>
        <v>Sulfate Dominant electron acceptor</v>
      </c>
      <c r="EA176" t="str">
        <f t="shared" si="216"/>
        <v>Sulfate Dominant electron acceptor</v>
      </c>
      <c r="EB176">
        <v>8.9936400000000007E-3</v>
      </c>
      <c r="EC176">
        <v>1.5602330000000001E-3</v>
      </c>
      <c r="ED176" s="66">
        <v>1.146356E-6</v>
      </c>
      <c r="EE176">
        <v>1.5433790000000001E-3</v>
      </c>
      <c r="EF176">
        <v>8.8404199999999999E-3</v>
      </c>
      <c r="EG176" s="66">
        <v>9.7820390000000006E-6</v>
      </c>
      <c r="EH176">
        <v>5.9838570000000002E-4</v>
      </c>
      <c r="EI176" s="66">
        <v>8.7982359999999997E-5</v>
      </c>
      <c r="EJ176">
        <v>6.4373860000000002E-4</v>
      </c>
      <c r="EK176">
        <v>8.1839779999999995E-4</v>
      </c>
      <c r="EL176">
        <v>8.6939570000000004E-4</v>
      </c>
      <c r="EM176">
        <v>8.7914790000000003E-4</v>
      </c>
      <c r="EN176">
        <v>1.955825E-3</v>
      </c>
      <c r="EO176">
        <v>7.8873249999999995E-4</v>
      </c>
      <c r="EP176">
        <v>4.0303429999999996E-3</v>
      </c>
      <c r="EQ176">
        <v>8.1481499999999998E-4</v>
      </c>
      <c r="ER176">
        <v>6.815616E-4</v>
      </c>
      <c r="ES176">
        <v>1.116733E-3</v>
      </c>
      <c r="ET176">
        <v>5.3015700000000002E-3</v>
      </c>
      <c r="EU176">
        <v>2.6893540000000001E-3</v>
      </c>
      <c r="EV176">
        <v>8.4988579999999998E-3</v>
      </c>
      <c r="EW176">
        <v>1.275633E-3</v>
      </c>
      <c r="EX176">
        <v>4.5613720000000002E-3</v>
      </c>
      <c r="EY176">
        <v>6.0301749999999996E-3</v>
      </c>
      <c r="EZ176">
        <v>2.4560580000000001E-3</v>
      </c>
      <c r="FA176">
        <v>1.546513E-3</v>
      </c>
      <c r="FB176">
        <v>1.6866369999999999E-3</v>
      </c>
      <c r="FC176">
        <v>2.3199039999999998E-3</v>
      </c>
      <c r="FD176">
        <v>5.0273159999999996E-4</v>
      </c>
      <c r="FE176">
        <v>2.584235E-2</v>
      </c>
      <c r="FF176">
        <v>1.005613E-2</v>
      </c>
      <c r="FG176">
        <v>7.0097029999999999E-3</v>
      </c>
      <c r="FH176">
        <v>8.8766279999999995E-4</v>
      </c>
      <c r="FI176">
        <v>1.956059E-3</v>
      </c>
      <c r="FJ176">
        <v>7.9770450000000003E-3</v>
      </c>
      <c r="FK176">
        <v>0.99133212934027404</v>
      </c>
      <c r="FL176">
        <v>0.65318926675171596</v>
      </c>
      <c r="FM176">
        <v>-0.21123468367687101</v>
      </c>
      <c r="FN176">
        <v>0.70066337416407798</v>
      </c>
      <c r="FO176">
        <v>0.10295536473445201</v>
      </c>
      <c r="FP176">
        <v>0.37530573877273399</v>
      </c>
      <c r="FQ176">
        <v>0.12905642804747999</v>
      </c>
      <c r="FR176">
        <v>0.646127498298397</v>
      </c>
      <c r="FS176">
        <v>1.2293331292093801</v>
      </c>
      <c r="FT176">
        <v>-3.8959163779138897E-2</v>
      </c>
      <c r="FU176">
        <v>-3.4356673973278802E-2</v>
      </c>
      <c r="FV176">
        <v>0.64318931725155304</v>
      </c>
      <c r="FW176">
        <v>-0.39398926263700301</v>
      </c>
      <c r="FX176">
        <v>0.54259644620669301</v>
      </c>
      <c r="FY176">
        <v>0.472432740898244</v>
      </c>
      <c r="FZ176">
        <v>-0.49300386245552402</v>
      </c>
      <c r="GA176">
        <v>-2.9451958904107099E-2</v>
      </c>
      <c r="GB176">
        <v>-3.93170758895574E-2</v>
      </c>
      <c r="GC176">
        <v>0.68266092780336496</v>
      </c>
      <c r="GD176">
        <v>-8.6752983024188005E-2</v>
      </c>
      <c r="GE176">
        <v>-0.116131875085382</v>
      </c>
      <c r="GF176">
        <v>0.65639681380376602</v>
      </c>
      <c r="GG176">
        <v>0.49172139986615299</v>
      </c>
      <c r="GH176">
        <v>0.53425788643234695</v>
      </c>
      <c r="GI176">
        <v>0.213705197432558</v>
      </c>
      <c r="GJ176">
        <v>0.34187645314618997</v>
      </c>
      <c r="GK176">
        <v>0.102506912957984</v>
      </c>
      <c r="GL176">
        <v>-0.39652108064886399</v>
      </c>
      <c r="GM176">
        <v>-0.18491158832401</v>
      </c>
      <c r="GN176">
        <v>0.112820253128668</v>
      </c>
      <c r="GO176">
        <v>0.309117848337229</v>
      </c>
      <c r="GP176">
        <v>-0.28352441223220898</v>
      </c>
      <c r="GR176" s="66"/>
      <c r="GT176" s="66"/>
      <c r="GV176" s="66"/>
      <c r="GZ176" s="66"/>
      <c r="HK176" s="1"/>
      <c r="HL176" s="1"/>
      <c r="HM176" s="1"/>
      <c r="HN176" s="1"/>
      <c r="HP176" s="65"/>
      <c r="HQ176" s="65"/>
      <c r="HS176" s="65"/>
      <c r="HT176" s="65"/>
      <c r="HU176" s="65"/>
      <c r="HV176" s="65"/>
      <c r="HW176" s="65"/>
      <c r="HX176" s="65"/>
      <c r="IZ176" s="66"/>
      <c r="JB176" s="66"/>
      <c r="JD176" s="66"/>
      <c r="JF176" s="66"/>
      <c r="JH176" s="66"/>
      <c r="JJ176" s="66"/>
      <c r="JL176" s="66"/>
      <c r="JN176" s="66"/>
    </row>
    <row r="177" spans="1:278" ht="15.75" x14ac:dyDescent="0.25">
      <c r="A177" s="5" t="s">
        <v>229</v>
      </c>
      <c r="B177" s="5" t="s">
        <v>229</v>
      </c>
      <c r="C177" s="2" t="s">
        <v>1055</v>
      </c>
      <c r="D177" s="2" t="s">
        <v>619</v>
      </c>
      <c r="E177" s="2" t="s">
        <v>619</v>
      </c>
      <c r="F177" s="2">
        <v>176</v>
      </c>
      <c r="G177" s="2" t="s">
        <v>1054</v>
      </c>
      <c r="H177" s="10" t="s">
        <v>656</v>
      </c>
      <c r="I177" s="2">
        <v>150</v>
      </c>
      <c r="J177" s="2">
        <v>65</v>
      </c>
      <c r="K177" s="2">
        <v>6.05</v>
      </c>
      <c r="L177" t="s">
        <v>401</v>
      </c>
      <c r="M177" s="2" t="s">
        <v>1120</v>
      </c>
      <c r="N177" s="2" t="s">
        <v>436</v>
      </c>
      <c r="O177" s="2" t="s">
        <v>666</v>
      </c>
      <c r="P177" s="2" t="s">
        <v>1132</v>
      </c>
      <c r="Q177" s="9" t="s">
        <v>722</v>
      </c>
      <c r="R177" s="2" t="str">
        <f t="shared" si="145"/>
        <v>CW_2_Section_2</v>
      </c>
      <c r="S177" s="2" t="str">
        <f t="shared" si="146"/>
        <v>CW_2_MF06</v>
      </c>
      <c r="T177" s="11" t="s">
        <v>1029</v>
      </c>
      <c r="U177" s="1">
        <v>45958</v>
      </c>
      <c r="V177" s="2" t="s">
        <v>752</v>
      </c>
      <c r="W177" s="2" t="s">
        <v>663</v>
      </c>
      <c r="X177" s="2" t="s">
        <v>1028</v>
      </c>
      <c r="Y177" s="2" t="str">
        <f t="shared" si="147"/>
        <v>T7_MF06</v>
      </c>
      <c r="Z177" s="2" t="str">
        <f t="shared" si="148"/>
        <v>T7_CW_2_MF06</v>
      </c>
      <c r="AA177" s="2" t="str">
        <f t="shared" si="149"/>
        <v>T7_0.60-0.80</v>
      </c>
      <c r="AB177" s="2">
        <v>440</v>
      </c>
      <c r="AC177" s="2">
        <v>14.474</v>
      </c>
      <c r="AD177" s="2">
        <v>1.22</v>
      </c>
      <c r="AE177" s="2">
        <v>7</v>
      </c>
      <c r="AF177" t="s">
        <v>37</v>
      </c>
      <c r="AG177" s="2" t="s">
        <v>1238</v>
      </c>
      <c r="AH177">
        <v>55</v>
      </c>
      <c r="AI177" t="s">
        <v>443</v>
      </c>
      <c r="AJ177">
        <v>0.27</v>
      </c>
      <c r="AK177">
        <v>0.95</v>
      </c>
      <c r="AL177">
        <v>12</v>
      </c>
      <c r="AM177">
        <v>-230</v>
      </c>
      <c r="AN177">
        <v>7.2</v>
      </c>
      <c r="AO177">
        <v>500</v>
      </c>
      <c r="AP177">
        <v>0.2</v>
      </c>
      <c r="AQ177">
        <v>0.01</v>
      </c>
      <c r="AR177">
        <v>6</v>
      </c>
      <c r="AS177">
        <v>6.2</v>
      </c>
      <c r="AT177">
        <v>140</v>
      </c>
      <c r="AU177" s="32">
        <f t="shared" si="161"/>
        <v>5.3770323902189221E-2</v>
      </c>
      <c r="AV177">
        <v>14</v>
      </c>
      <c r="AW177" s="32">
        <f t="shared" si="162"/>
        <v>5.4699370523116995E-3</v>
      </c>
      <c r="AX177">
        <v>63</v>
      </c>
      <c r="AY177" s="32">
        <f t="shared" si="163"/>
        <v>2.4922294433455779E-2</v>
      </c>
      <c r="AZ177">
        <v>29</v>
      </c>
      <c r="BA177" s="32">
        <f t="shared" si="164"/>
        <v>1.1472167278892343E-2</v>
      </c>
      <c r="BB177">
        <v>22</v>
      </c>
      <c r="BC177" s="32">
        <f t="shared" si="165"/>
        <v>8.7030234529528114E-3</v>
      </c>
      <c r="BD177">
        <v>51</v>
      </c>
      <c r="BF177" s="48">
        <v>268</v>
      </c>
      <c r="BG177" s="48">
        <f t="shared" si="166"/>
        <v>8.4162555387956695E-2</v>
      </c>
      <c r="BH177">
        <v>220</v>
      </c>
      <c r="BI177" s="32">
        <f t="shared" si="167"/>
        <v>8.2390575017554812E-2</v>
      </c>
      <c r="BJ177" s="47">
        <v>59</v>
      </c>
      <c r="BK177" s="27">
        <f t="shared" si="168"/>
        <v>2.2095654209253336E-2</v>
      </c>
      <c r="BL177" s="47">
        <v>7.3</v>
      </c>
      <c r="BM177" s="27">
        <f t="shared" si="169"/>
        <v>2.6861160391615743E-3</v>
      </c>
      <c r="BN177" s="47">
        <v>3.9</v>
      </c>
      <c r="BO177" s="27">
        <f t="shared" si="170"/>
        <v>1.4668309448155113E-3</v>
      </c>
      <c r="BP177" s="47">
        <v>0.13</v>
      </c>
      <c r="BQ177" s="27">
        <f t="shared" si="171"/>
        <v>4.8489953074238965E-5</v>
      </c>
      <c r="BR177" s="47">
        <v>3.8</v>
      </c>
      <c r="BS177" s="27">
        <f t="shared" si="172"/>
        <v>1.4071705100151489E-3</v>
      </c>
      <c r="BT177" s="47">
        <v>0.51</v>
      </c>
      <c r="BU177" s="27">
        <f t="shared" si="173"/>
        <v>1.8885709476519107E-4</v>
      </c>
      <c r="BV177" s="47">
        <v>0.05</v>
      </c>
      <c r="BW177" s="27">
        <f t="shared" si="174"/>
        <v>1.8294190358467248E-5</v>
      </c>
      <c r="BX177" s="47">
        <v>0.03</v>
      </c>
      <c r="BY177" s="27">
        <f t="shared" si="175"/>
        <v>1.0976514215080345E-5</v>
      </c>
      <c r="BZ177" s="51">
        <f t="shared" si="176"/>
        <v>74.72</v>
      </c>
      <c r="CA177" s="51">
        <f t="shared" si="177"/>
        <v>15.719999999999999</v>
      </c>
      <c r="CB177" s="27">
        <f t="shared" si="178"/>
        <v>2.7922389455658548E-2</v>
      </c>
      <c r="CC177" s="27">
        <f t="shared" si="179"/>
        <v>5.8267352464052126E-3</v>
      </c>
      <c r="CD177">
        <v>410</v>
      </c>
      <c r="CE177">
        <v>160</v>
      </c>
      <c r="CF177" t="s">
        <v>19</v>
      </c>
      <c r="CG177">
        <v>570</v>
      </c>
      <c r="CH177" s="32">
        <v>3.4</v>
      </c>
      <c r="CI177" s="32">
        <f t="shared" si="180"/>
        <v>6.0877350044762753E-2</v>
      </c>
      <c r="CJ177" s="32">
        <f t="shared" si="181"/>
        <v>6.0877350044762753E-2</v>
      </c>
      <c r="CK177" s="32">
        <v>1.6</v>
      </c>
      <c r="CL177" s="32">
        <f t="shared" si="182"/>
        <v>2.912798106681231E-2</v>
      </c>
      <c r="CM177" s="32">
        <f t="shared" si="183"/>
        <v>5.825596213362462E-2</v>
      </c>
      <c r="CN177" s="27">
        <v>19</v>
      </c>
      <c r="CO177" s="27">
        <f t="shared" si="184"/>
        <v>0.19779304601290859</v>
      </c>
      <c r="CP177" s="27">
        <f t="shared" si="185"/>
        <v>1.5823443681032687</v>
      </c>
      <c r="CQ177" s="57">
        <v>6</v>
      </c>
      <c r="CR177" s="57">
        <v>24</v>
      </c>
      <c r="CS177" s="57">
        <v>0.49968769519050593</v>
      </c>
      <c r="CT177" s="57">
        <f t="shared" si="186"/>
        <v>0.49968769519050593</v>
      </c>
      <c r="CU177" s="28">
        <v>4</v>
      </c>
      <c r="CV177" s="28">
        <v>17.391304347826086</v>
      </c>
      <c r="CW177" s="28">
        <v>0.33312513012700395</v>
      </c>
      <c r="CX177" s="28">
        <f t="shared" si="187"/>
        <v>0.33312513012700395</v>
      </c>
      <c r="CY177" s="32">
        <f t="shared" si="188"/>
        <v>3.4878201124297314</v>
      </c>
      <c r="CZ177" s="32">
        <f t="shared" si="189"/>
        <v>3.4878201124297314</v>
      </c>
      <c r="DA177" s="32">
        <f t="shared" si="190"/>
        <v>6.8878201124297309</v>
      </c>
      <c r="DB177" s="32">
        <f t="shared" si="191"/>
        <v>0.12332712824404173</v>
      </c>
      <c r="DC177" s="32">
        <f t="shared" si="192"/>
        <v>0.12332712824404173</v>
      </c>
      <c r="DD177" s="59">
        <f t="shared" si="193"/>
        <v>2.3252134082864875</v>
      </c>
      <c r="DE177" s="59">
        <f t="shared" si="194"/>
        <v>2.3252134082864875</v>
      </c>
      <c r="DF177" s="59">
        <f t="shared" si="195"/>
        <v>5.7252134082864874</v>
      </c>
      <c r="DG177" s="59">
        <f t="shared" si="196"/>
        <v>0.10251053551094874</v>
      </c>
      <c r="DH177" s="59">
        <f t="shared" si="197"/>
        <v>0.10251053551094874</v>
      </c>
      <c r="DI177" s="32">
        <f t="shared" si="198"/>
        <v>1.5823443681032687</v>
      </c>
      <c r="DJ177" s="32">
        <f t="shared" si="199"/>
        <v>7.325213408286487</v>
      </c>
      <c r="DK177" s="32">
        <f t="shared" si="200"/>
        <v>0.16076649764457335</v>
      </c>
      <c r="DL177">
        <f t="shared" si="201"/>
        <v>0.68127078556817233</v>
      </c>
      <c r="DM177">
        <f t="shared" si="206"/>
        <v>8.5510729900211108E-2</v>
      </c>
      <c r="DN177">
        <f t="shared" si="207"/>
        <v>0.1810251237196209</v>
      </c>
      <c r="DO177">
        <f t="shared" si="208"/>
        <v>0.73346414638016788</v>
      </c>
      <c r="DP177">
        <f t="shared" si="202"/>
        <v>0.4938916277715773</v>
      </c>
      <c r="DQ177">
        <f t="shared" si="209"/>
        <v>0.11795292501003428</v>
      </c>
      <c r="DR177">
        <f t="shared" si="210"/>
        <v>0.2075567386583832</v>
      </c>
      <c r="DS177">
        <f t="shared" si="211"/>
        <v>0.67449033633158251</v>
      </c>
      <c r="DT177" s="63">
        <f t="shared" si="212"/>
        <v>-0.51471765516266088</v>
      </c>
      <c r="DU177" s="63">
        <f t="shared" si="213"/>
        <v>-0.32733849736606579</v>
      </c>
      <c r="DV177" s="63">
        <f t="shared" si="214"/>
        <v>-0.50889091991625568</v>
      </c>
      <c r="DW177" s="63">
        <f t="shared" si="215"/>
        <v>-0.32151176211966059</v>
      </c>
      <c r="DX177" t="str">
        <f t="shared" si="203"/>
        <v>Sufficient Capacity</v>
      </c>
      <c r="DY177" t="str">
        <f t="shared" si="204"/>
        <v>Sufficient Capacity</v>
      </c>
      <c r="DZ177" t="str">
        <f t="shared" si="205"/>
        <v>Sulfate Dominant electron acceptor</v>
      </c>
      <c r="EA177" t="str">
        <f t="shared" si="216"/>
        <v>Sulfate Dominant electron acceptor</v>
      </c>
      <c r="EB177">
        <v>1.089848E-2</v>
      </c>
      <c r="EC177">
        <v>1.7568099999999999E-3</v>
      </c>
      <c r="ED177" s="66">
        <v>1.6633219999999999E-7</v>
      </c>
      <c r="EE177">
        <v>5.7820419999999998E-4</v>
      </c>
      <c r="EF177">
        <v>4.7814140000000003E-3</v>
      </c>
      <c r="EG177" s="66">
        <v>3.8890439999999999E-5</v>
      </c>
      <c r="EH177">
        <v>3.7116580000000002E-4</v>
      </c>
      <c r="EI177">
        <v>1.072538E-4</v>
      </c>
      <c r="EJ177">
        <v>4.752348E-4</v>
      </c>
      <c r="EK177">
        <v>8.5014019999999995E-4</v>
      </c>
      <c r="EL177">
        <v>7.5574119999999995E-4</v>
      </c>
      <c r="EM177">
        <v>2.7093119999999999E-4</v>
      </c>
      <c r="EN177">
        <v>2.3494229999999998E-3</v>
      </c>
      <c r="EO177">
        <v>1.045299E-3</v>
      </c>
      <c r="EP177">
        <v>2.2237149999999998E-3</v>
      </c>
      <c r="EQ177">
        <v>1.0151330000000001E-3</v>
      </c>
      <c r="ER177">
        <v>4.1440889999999999E-4</v>
      </c>
      <c r="ES177">
        <v>7.1397430000000003E-4</v>
      </c>
      <c r="ET177">
        <v>8.0271809999999996E-3</v>
      </c>
      <c r="EU177">
        <v>2.840558E-3</v>
      </c>
      <c r="EV177">
        <v>8.60439E-3</v>
      </c>
      <c r="EW177">
        <v>5.7963030000000003E-4</v>
      </c>
      <c r="EX177">
        <v>5.032501E-3</v>
      </c>
      <c r="EY177">
        <v>6.6125050000000003E-3</v>
      </c>
      <c r="EZ177">
        <v>1.4151490000000001E-3</v>
      </c>
      <c r="FA177">
        <v>9.6440260000000004E-4</v>
      </c>
      <c r="FB177">
        <v>9.9810299999999997E-4</v>
      </c>
      <c r="FC177">
        <v>1.6944659999999999E-3</v>
      </c>
      <c r="FD177">
        <v>3.630509E-4</v>
      </c>
      <c r="FE177">
        <v>2.3055409999999998E-2</v>
      </c>
      <c r="FF177">
        <v>1.5765149999999999E-2</v>
      </c>
      <c r="FG177">
        <v>8.3683090000000009E-3</v>
      </c>
      <c r="FH177">
        <v>6.5437920000000003E-4</v>
      </c>
      <c r="FI177">
        <v>1.356271E-3</v>
      </c>
      <c r="FJ177">
        <v>1.320349E-2</v>
      </c>
      <c r="FK177">
        <v>9.5297752114209492E-3</v>
      </c>
      <c r="FL177">
        <v>3.8591198576623902E-2</v>
      </c>
      <c r="FM177">
        <v>1.16896582936528</v>
      </c>
      <c r="FN177">
        <v>0.223076707894966</v>
      </c>
      <c r="FO177">
        <v>0.301017013311283</v>
      </c>
      <c r="FP177">
        <v>7.1821993379764998E-2</v>
      </c>
      <c r="FQ177">
        <v>0.16710917864525099</v>
      </c>
      <c r="FR177">
        <v>0.50602811522525004</v>
      </c>
      <c r="FS177">
        <v>5.2244900401921E-2</v>
      </c>
      <c r="FT177">
        <v>0.14439850300670001</v>
      </c>
      <c r="FU177">
        <v>0.24727434729723299</v>
      </c>
      <c r="FV177">
        <v>4.8517053946953902E-2</v>
      </c>
      <c r="FW177">
        <v>-0.17417543887145001</v>
      </c>
      <c r="FX177">
        <v>4.5062977855428302E-2</v>
      </c>
      <c r="FY177">
        <v>2.51169708204655E-2</v>
      </c>
      <c r="FZ177">
        <v>-7.8173457769624505E-2</v>
      </c>
      <c r="GA177">
        <v>2.52475367682541E-2</v>
      </c>
      <c r="GB177">
        <v>-2.6976339285742099E-2</v>
      </c>
      <c r="GC177">
        <v>-0.106146390663827</v>
      </c>
      <c r="GD177">
        <v>1.1540638751185399E-2</v>
      </c>
      <c r="GE177">
        <v>-2.3945353634432301E-2</v>
      </c>
      <c r="GF177">
        <v>0.1050740140674</v>
      </c>
      <c r="GG177">
        <v>1.9472243978272599E-2</v>
      </c>
      <c r="GH177">
        <v>9.6224793053139007E-3</v>
      </c>
      <c r="GI177">
        <v>-0.100452961131407</v>
      </c>
      <c r="GJ177">
        <v>1.6363068690854899E-2</v>
      </c>
      <c r="GK177">
        <v>-1.1607257032090401E-2</v>
      </c>
      <c r="GL177">
        <v>5.3098328240959197E-2</v>
      </c>
      <c r="GM177">
        <v>-7.7550874002696403E-3</v>
      </c>
      <c r="GN177">
        <v>-0.19208468807586901</v>
      </c>
      <c r="GO177">
        <v>-5.70748643619403E-2</v>
      </c>
      <c r="GP177">
        <v>0.220388734222007</v>
      </c>
      <c r="GT177" s="66"/>
      <c r="GV177" s="66"/>
      <c r="HK177" s="1"/>
      <c r="HL177" s="1"/>
      <c r="HM177" s="65"/>
      <c r="HN177" s="1"/>
      <c r="HS177" s="65"/>
      <c r="HV177" s="65"/>
      <c r="HW177" s="65"/>
      <c r="HX177" s="65"/>
      <c r="JL177" s="66"/>
      <c r="JN177" s="66"/>
    </row>
    <row r="178" spans="1:278" ht="15.75" x14ac:dyDescent="0.25">
      <c r="A178" s="5" t="s">
        <v>230</v>
      </c>
      <c r="B178" s="5" t="s">
        <v>230</v>
      </c>
      <c r="C178" s="2" t="s">
        <v>1057</v>
      </c>
      <c r="D178" s="2" t="s">
        <v>620</v>
      </c>
      <c r="E178" s="2" t="s">
        <v>620</v>
      </c>
      <c r="F178" s="2">
        <v>177</v>
      </c>
      <c r="G178" s="2" t="s">
        <v>1056</v>
      </c>
      <c r="H178" s="10" t="s">
        <v>656</v>
      </c>
      <c r="I178" s="2">
        <v>150</v>
      </c>
      <c r="J178" s="2">
        <v>65</v>
      </c>
      <c r="K178" s="2">
        <v>8.6999999999999993</v>
      </c>
      <c r="L178" t="s">
        <v>408</v>
      </c>
      <c r="M178" s="2" t="s">
        <v>1120</v>
      </c>
      <c r="N178" s="2" t="s">
        <v>436</v>
      </c>
      <c r="O178" s="2" t="s">
        <v>673</v>
      </c>
      <c r="P178" s="2" t="s">
        <v>1127</v>
      </c>
      <c r="Q178" s="9" t="s">
        <v>725</v>
      </c>
      <c r="R178" s="2" t="str">
        <f t="shared" si="145"/>
        <v>CW_2_Section_3</v>
      </c>
      <c r="S178" s="2" t="str">
        <f t="shared" si="146"/>
        <v>CW_2_MF09</v>
      </c>
      <c r="T178" s="11" t="s">
        <v>1029</v>
      </c>
      <c r="U178" s="1">
        <v>45959</v>
      </c>
      <c r="V178" s="2" t="s">
        <v>752</v>
      </c>
      <c r="W178" s="2" t="s">
        <v>655</v>
      </c>
      <c r="X178" s="2" t="s">
        <v>1028</v>
      </c>
      <c r="Y178" s="2" t="str">
        <f t="shared" si="147"/>
        <v>T7_MF09</v>
      </c>
      <c r="Z178" s="2" t="str">
        <f t="shared" si="148"/>
        <v>T7_CW_2_MF09</v>
      </c>
      <c r="AA178" s="2" t="str">
        <f t="shared" si="149"/>
        <v>T7_0.15-0.30</v>
      </c>
      <c r="AB178" s="2">
        <v>440</v>
      </c>
      <c r="AC178" s="2">
        <v>14.474</v>
      </c>
      <c r="AD178" s="2">
        <v>1.22</v>
      </c>
      <c r="AE178" s="2">
        <v>7</v>
      </c>
      <c r="AF178" t="s">
        <v>45</v>
      </c>
      <c r="AG178" s="2" t="s">
        <v>1238</v>
      </c>
      <c r="AH178">
        <v>53</v>
      </c>
      <c r="AI178" t="s">
        <v>443</v>
      </c>
      <c r="AJ178">
        <v>0.25</v>
      </c>
      <c r="AK178">
        <v>0.96</v>
      </c>
      <c r="AL178">
        <v>12</v>
      </c>
      <c r="AM178">
        <v>-110</v>
      </c>
      <c r="AN178">
        <v>7.3</v>
      </c>
      <c r="AO178">
        <v>660</v>
      </c>
      <c r="AP178">
        <v>0.1</v>
      </c>
      <c r="AQ178">
        <v>0.01</v>
      </c>
      <c r="AR178">
        <v>8.1999999999999993</v>
      </c>
      <c r="AS178">
        <v>8.3000000000000007</v>
      </c>
      <c r="AT178">
        <v>110</v>
      </c>
      <c r="AU178" s="32">
        <f t="shared" si="161"/>
        <v>4.2248111637434388E-2</v>
      </c>
      <c r="AV178">
        <v>1.4</v>
      </c>
      <c r="AW178" s="32">
        <f t="shared" si="162"/>
        <v>5.4699370523116997E-4</v>
      </c>
      <c r="AX178">
        <v>81</v>
      </c>
      <c r="AY178" s="32">
        <f t="shared" si="163"/>
        <v>3.2042949985871712E-2</v>
      </c>
      <c r="AZ178">
        <v>19</v>
      </c>
      <c r="BA178" s="32">
        <f t="shared" si="164"/>
        <v>7.5162475275501557E-3</v>
      </c>
      <c r="BB178">
        <v>15</v>
      </c>
      <c r="BC178" s="32">
        <f t="shared" si="165"/>
        <v>5.9338796270132811E-3</v>
      </c>
      <c r="BD178">
        <v>34</v>
      </c>
      <c r="BF178" s="48">
        <v>226.4</v>
      </c>
      <c r="BG178" s="48">
        <f t="shared" si="166"/>
        <v>7.4838055328537267E-2</v>
      </c>
      <c r="BH178">
        <v>470</v>
      </c>
      <c r="BI178" s="32">
        <f t="shared" si="167"/>
        <v>0.17601622844659437</v>
      </c>
      <c r="BJ178" s="47">
        <v>55</v>
      </c>
      <c r="BK178" s="27">
        <f t="shared" si="168"/>
        <v>2.0597643754388703E-2</v>
      </c>
      <c r="BL178" s="47">
        <v>1</v>
      </c>
      <c r="BM178" s="27">
        <f t="shared" si="169"/>
        <v>3.6796110125501016E-4</v>
      </c>
      <c r="BN178" s="47">
        <v>44</v>
      </c>
      <c r="BO178" s="27">
        <f t="shared" si="170"/>
        <v>1.6548861941508335E-2</v>
      </c>
      <c r="BP178" s="47">
        <v>9.8000000000000007</v>
      </c>
      <c r="BQ178" s="27">
        <f t="shared" si="171"/>
        <v>3.655396462519553E-3</v>
      </c>
      <c r="BR178" s="47">
        <v>3.1</v>
      </c>
      <c r="BS178" s="27">
        <f t="shared" si="172"/>
        <v>1.1479548897492004E-3</v>
      </c>
      <c r="BT178" s="47">
        <v>0.1</v>
      </c>
      <c r="BU178" s="27">
        <f t="shared" si="173"/>
        <v>3.7030802895135498E-5</v>
      </c>
      <c r="BV178" s="47">
        <v>0.1</v>
      </c>
      <c r="BW178" s="27">
        <f t="shared" si="174"/>
        <v>3.6588380716934496E-5</v>
      </c>
      <c r="BX178" s="47">
        <v>0.2</v>
      </c>
      <c r="BY178" s="27">
        <f t="shared" si="175"/>
        <v>7.3176761433868992E-5</v>
      </c>
      <c r="BZ178" s="51">
        <f t="shared" si="176"/>
        <v>113.29999999999998</v>
      </c>
      <c r="CA178" s="51">
        <f t="shared" si="177"/>
        <v>58.300000000000004</v>
      </c>
      <c r="CB178" s="27">
        <f t="shared" si="178"/>
        <v>4.2464614094466738E-2</v>
      </c>
      <c r="CC178" s="27">
        <f t="shared" si="179"/>
        <v>2.1866970340078038E-2</v>
      </c>
      <c r="CD178">
        <v>870</v>
      </c>
      <c r="CE178">
        <v>370</v>
      </c>
      <c r="CF178" t="s">
        <v>19</v>
      </c>
      <c r="CG178">
        <v>1200</v>
      </c>
      <c r="CH178" s="32">
        <v>11</v>
      </c>
      <c r="CI178" s="32">
        <f t="shared" si="180"/>
        <v>0.19695613249776187</v>
      </c>
      <c r="CJ178" s="32">
        <f t="shared" si="181"/>
        <v>0.19695613249776187</v>
      </c>
      <c r="CK178" s="32">
        <v>3.1</v>
      </c>
      <c r="CL178" s="32">
        <f t="shared" si="182"/>
        <v>5.6435463316948847E-2</v>
      </c>
      <c r="CM178" s="32">
        <f t="shared" si="183"/>
        <v>0.11287092663389769</v>
      </c>
      <c r="CN178" s="27">
        <v>0.5</v>
      </c>
      <c r="CO178" s="27">
        <f t="shared" si="184"/>
        <v>5.2050801582344368E-3</v>
      </c>
      <c r="CP178" s="27">
        <f t="shared" si="185"/>
        <v>4.1640641265875494E-2</v>
      </c>
      <c r="CQ178" s="57">
        <v>24.5</v>
      </c>
      <c r="CR178" s="57">
        <v>98</v>
      </c>
      <c r="CS178" s="57">
        <v>2.0403914220278994</v>
      </c>
      <c r="CT178" s="57">
        <f t="shared" si="186"/>
        <v>2.0403914220278994</v>
      </c>
      <c r="CU178" s="28">
        <v>6.5</v>
      </c>
      <c r="CV178" s="28">
        <v>92.857142857142861</v>
      </c>
      <c r="CW178" s="28">
        <v>0.54132833645638145</v>
      </c>
      <c r="CX178" s="28">
        <f t="shared" si="187"/>
        <v>0.54132833645638145</v>
      </c>
      <c r="CY178" s="32">
        <f t="shared" si="188"/>
        <v>14.241932125754737</v>
      </c>
      <c r="CZ178" s="32">
        <f t="shared" si="189"/>
        <v>14.241932125754737</v>
      </c>
      <c r="DA178" s="32">
        <f t="shared" si="190"/>
        <v>25.241932125754737</v>
      </c>
      <c r="DB178" s="32">
        <f t="shared" si="191"/>
        <v>0.45195939347815106</v>
      </c>
      <c r="DC178" s="32">
        <f t="shared" si="192"/>
        <v>0.45195939347815106</v>
      </c>
      <c r="DD178" s="59">
        <f t="shared" si="193"/>
        <v>3.7784717884655423</v>
      </c>
      <c r="DE178" s="59">
        <f t="shared" si="194"/>
        <v>3.7784717884655423</v>
      </c>
      <c r="DF178" s="59">
        <f t="shared" si="195"/>
        <v>14.778471788465541</v>
      </c>
      <c r="DG178" s="59">
        <f t="shared" si="196"/>
        <v>0.26461005888031408</v>
      </c>
      <c r="DH178" s="59">
        <f t="shared" si="197"/>
        <v>0.26461005888031408</v>
      </c>
      <c r="DI178" s="32">
        <f t="shared" si="198"/>
        <v>4.1640641265875494E-2</v>
      </c>
      <c r="DJ178" s="32">
        <f t="shared" si="199"/>
        <v>17.878471788465543</v>
      </c>
      <c r="DK178" s="32">
        <f t="shared" si="200"/>
        <v>0.37748098551421178</v>
      </c>
      <c r="DL178">
        <f t="shared" si="201"/>
        <v>2.6052217421399479</v>
      </c>
      <c r="DM178">
        <f t="shared" si="206"/>
        <v>4.3324882795268208E-2</v>
      </c>
      <c r="DN178">
        <f t="shared" si="207"/>
        <v>0.17348212099094043</v>
      </c>
      <c r="DO178">
        <f t="shared" si="208"/>
        <v>0.78319299621379146</v>
      </c>
      <c r="DP178">
        <f t="shared" si="202"/>
        <v>0.91880932197059328</v>
      </c>
      <c r="DQ178">
        <f t="shared" si="209"/>
        <v>0.12284477740367349</v>
      </c>
      <c r="DR178">
        <f t="shared" si="210"/>
        <v>0.28799235331308815</v>
      </c>
      <c r="DS178">
        <f t="shared" si="211"/>
        <v>0.58916286928323824</v>
      </c>
      <c r="DT178" s="63">
        <f t="shared" si="212"/>
        <v>-2.3543674583648162</v>
      </c>
      <c r="DU178" s="63">
        <f t="shared" si="213"/>
        <v>-0.66795503819546165</v>
      </c>
      <c r="DV178" s="63">
        <f t="shared" si="214"/>
        <v>-2.3325004880247384</v>
      </c>
      <c r="DW178" s="63">
        <f t="shared" si="215"/>
        <v>-0.64608806785538353</v>
      </c>
      <c r="DX178" t="str">
        <f t="shared" si="203"/>
        <v>Sufficient Capacity</v>
      </c>
      <c r="DY178" t="str">
        <f t="shared" si="204"/>
        <v>Sufficient Capacity</v>
      </c>
      <c r="DZ178" t="str">
        <f t="shared" si="205"/>
        <v>Sulfate Dominant electron acceptor</v>
      </c>
      <c r="EA178" t="str">
        <f t="shared" si="216"/>
        <v>Sulfate Dominant electron acceptor</v>
      </c>
      <c r="EB178">
        <v>9.4601560000000008E-3</v>
      </c>
      <c r="EC178">
        <v>1.4074490000000001E-3</v>
      </c>
      <c r="ED178" s="66">
        <v>1.8055549999999999E-6</v>
      </c>
      <c r="EE178">
        <v>6.2824409999999995E-4</v>
      </c>
      <c r="EF178">
        <v>4.772554E-3</v>
      </c>
      <c r="EG178" s="66">
        <v>1.4671680000000001E-5</v>
      </c>
      <c r="EH178">
        <v>3.203333E-4</v>
      </c>
      <c r="EI178">
        <v>1.064758E-4</v>
      </c>
      <c r="EJ178">
        <v>8.1161549999999997E-4</v>
      </c>
      <c r="EK178">
        <v>1.1796650000000001E-3</v>
      </c>
      <c r="EL178">
        <v>4.9494269999999997E-4</v>
      </c>
      <c r="EM178">
        <v>2.671994E-4</v>
      </c>
      <c r="EN178">
        <v>1.755665E-3</v>
      </c>
      <c r="EO178">
        <v>6.9992019999999999E-4</v>
      </c>
      <c r="EP178">
        <v>1.9254789999999999E-3</v>
      </c>
      <c r="EQ178">
        <v>1.43366E-3</v>
      </c>
      <c r="ER178">
        <v>4.6940689999999999E-4</v>
      </c>
      <c r="ES178">
        <v>6.6303979999999998E-4</v>
      </c>
      <c r="ET178">
        <v>1.1949619999999999E-2</v>
      </c>
      <c r="EU178">
        <v>3.092746E-3</v>
      </c>
      <c r="EV178">
        <v>9.1348269999999999E-3</v>
      </c>
      <c r="EW178">
        <v>6.8998859999999998E-4</v>
      </c>
      <c r="EX178">
        <v>5.1634230000000003E-3</v>
      </c>
      <c r="EY178">
        <v>6.6962829999999999E-3</v>
      </c>
      <c r="EZ178">
        <v>1.251889E-3</v>
      </c>
      <c r="FA178">
        <v>8.5169309999999997E-4</v>
      </c>
      <c r="FB178">
        <v>9.1112769999999999E-4</v>
      </c>
      <c r="FC178">
        <v>1.756241E-3</v>
      </c>
      <c r="FD178">
        <v>3.4422789999999999E-4</v>
      </c>
      <c r="FE178">
        <v>2.223559E-2</v>
      </c>
      <c r="FF178">
        <v>1.689266E-2</v>
      </c>
      <c r="FG178">
        <v>9.2916460000000006E-3</v>
      </c>
      <c r="FH178">
        <v>7.701028E-4</v>
      </c>
      <c r="FI178">
        <v>1.539201E-3</v>
      </c>
      <c r="FJ178">
        <v>1.095836E-2</v>
      </c>
      <c r="FK178">
        <v>9.2531466946706303E-2</v>
      </c>
      <c r="FL178">
        <v>3.67364712968428E-2</v>
      </c>
      <c r="FM178">
        <v>0.19413647232461401</v>
      </c>
      <c r="FN178">
        <v>7.5789861092077998E-2</v>
      </c>
      <c r="FO178">
        <v>0.29373675417727002</v>
      </c>
      <c r="FP178">
        <v>0.60703970153661801</v>
      </c>
      <c r="FQ178">
        <v>0.49469368043359202</v>
      </c>
      <c r="FR178">
        <v>8.2771123988172796E-2</v>
      </c>
      <c r="FS178">
        <v>3.8375182443549399E-2</v>
      </c>
      <c r="FT178">
        <v>-0.14692356056089201</v>
      </c>
      <c r="FU178">
        <v>-0.153817572032901</v>
      </c>
      <c r="FV178">
        <v>-9.5487398792539799E-2</v>
      </c>
      <c r="FW178">
        <v>0.17103553777760999</v>
      </c>
      <c r="FX178">
        <v>0.16967979323221899</v>
      </c>
      <c r="FY178">
        <v>-4.8894977923509102E-2</v>
      </c>
      <c r="FZ178">
        <v>0.319692613146423</v>
      </c>
      <c r="GA178">
        <v>0.110306394433969</v>
      </c>
      <c r="GB178">
        <v>3.2845374082182098E-2</v>
      </c>
      <c r="GC178">
        <v>6.8138198539039699E-2</v>
      </c>
      <c r="GD178">
        <v>3.72232931634882E-2</v>
      </c>
      <c r="GE178">
        <v>-1.13553106299253E-2</v>
      </c>
      <c r="GF178">
        <v>-1.7507201236888599E-2</v>
      </c>
      <c r="GG178">
        <v>-0.104810347631834</v>
      </c>
      <c r="GH178">
        <v>-8.1550935026113394E-2</v>
      </c>
      <c r="GI178">
        <v>-6.4644878547540002E-2</v>
      </c>
      <c r="GJ178">
        <v>-3.68760381125606E-2</v>
      </c>
      <c r="GK178">
        <v>-4.7813547740540599E-2</v>
      </c>
      <c r="GL178">
        <v>0.122175728599697</v>
      </c>
      <c r="GM178">
        <v>9.6908796467144703E-2</v>
      </c>
      <c r="GN178">
        <v>-2.9247675588144301E-2</v>
      </c>
      <c r="GO178">
        <v>6.9449564197576294E-2</v>
      </c>
      <c r="GP178">
        <v>3.4010180923140801E-2</v>
      </c>
      <c r="GR178" s="66"/>
      <c r="GT178" s="66"/>
      <c r="GV178" s="66"/>
      <c r="HK178" s="1"/>
      <c r="HL178" s="1"/>
      <c r="HM178" s="1"/>
      <c r="HN178" s="1"/>
      <c r="HP178" s="65"/>
      <c r="HQ178" s="65"/>
      <c r="HS178" s="65"/>
      <c r="HV178" s="65"/>
      <c r="HW178" s="65"/>
      <c r="HX178" s="65"/>
    </row>
    <row r="179" spans="1:278" ht="15.75" x14ac:dyDescent="0.25">
      <c r="A179" s="5" t="s">
        <v>231</v>
      </c>
      <c r="B179" s="5" t="s">
        <v>231</v>
      </c>
      <c r="C179" s="2" t="s">
        <v>1059</v>
      </c>
      <c r="D179" s="2" t="s">
        <v>621</v>
      </c>
      <c r="E179" s="2" t="s">
        <v>621</v>
      </c>
      <c r="F179" s="2">
        <v>178</v>
      </c>
      <c r="G179" s="2" t="s">
        <v>1058</v>
      </c>
      <c r="H179" s="10" t="s">
        <v>656</v>
      </c>
      <c r="I179" s="2">
        <v>150</v>
      </c>
      <c r="J179" s="2">
        <v>65</v>
      </c>
      <c r="K179" s="2">
        <v>21.55</v>
      </c>
      <c r="L179" t="s">
        <v>409</v>
      </c>
      <c r="M179" s="2" t="s">
        <v>1120</v>
      </c>
      <c r="N179" s="2" t="s">
        <v>436</v>
      </c>
      <c r="O179" s="2" t="s">
        <v>673</v>
      </c>
      <c r="P179" s="2" t="s">
        <v>1128</v>
      </c>
      <c r="Q179" s="9" t="s">
        <v>728</v>
      </c>
      <c r="R179" s="2" t="str">
        <f t="shared" si="145"/>
        <v>CW_2_Section_3</v>
      </c>
      <c r="S179" s="2" t="str">
        <f t="shared" si="146"/>
        <v>CW_2_MF10</v>
      </c>
      <c r="T179" s="11" t="s">
        <v>1029</v>
      </c>
      <c r="U179" s="1">
        <v>45959</v>
      </c>
      <c r="V179" s="2" t="s">
        <v>752</v>
      </c>
      <c r="W179" s="2" t="s">
        <v>663</v>
      </c>
      <c r="X179" s="2" t="s">
        <v>1028</v>
      </c>
      <c r="Y179" s="2" t="str">
        <f t="shared" si="147"/>
        <v>T7_MF10</v>
      </c>
      <c r="Z179" s="2" t="str">
        <f t="shared" si="148"/>
        <v>T7_CW_2_MF10</v>
      </c>
      <c r="AA179" s="2" t="str">
        <f t="shared" si="149"/>
        <v>T7_0.60-0.80</v>
      </c>
      <c r="AB179" s="2">
        <v>440</v>
      </c>
      <c r="AC179" s="2">
        <v>14.474</v>
      </c>
      <c r="AD179" s="2">
        <v>1.22</v>
      </c>
      <c r="AE179" s="2">
        <v>7</v>
      </c>
      <c r="AF179" t="s">
        <v>47</v>
      </c>
      <c r="AG179" s="2" t="s">
        <v>1238</v>
      </c>
      <c r="AH179">
        <v>42</v>
      </c>
      <c r="AI179" t="s">
        <v>443</v>
      </c>
      <c r="AJ179">
        <v>0.25</v>
      </c>
      <c r="AK179">
        <v>2.14</v>
      </c>
      <c r="AL179">
        <v>12</v>
      </c>
      <c r="AM179">
        <v>-80</v>
      </c>
      <c r="AN179">
        <v>7.4</v>
      </c>
      <c r="AO179">
        <v>355</v>
      </c>
      <c r="AP179">
        <v>0.2</v>
      </c>
      <c r="AQ179">
        <v>0.01</v>
      </c>
      <c r="AR179">
        <v>7.5</v>
      </c>
      <c r="AS179">
        <v>9.6999999999999993</v>
      </c>
      <c r="AT179">
        <v>1.1000000000000001</v>
      </c>
      <c r="AU179" s="32">
        <f t="shared" si="161"/>
        <v>4.2248111637434386E-4</v>
      </c>
      <c r="AV179">
        <v>0.32</v>
      </c>
      <c r="AW179" s="32">
        <f t="shared" si="162"/>
        <v>1.2502713262426741E-4</v>
      </c>
      <c r="AX179">
        <v>2.4</v>
      </c>
      <c r="AY179" s="32">
        <f t="shared" si="163"/>
        <v>9.4942074032212487E-4</v>
      </c>
      <c r="AZ179">
        <v>1.3</v>
      </c>
      <c r="BA179" s="32">
        <f t="shared" si="164"/>
        <v>5.1426956767448438E-4</v>
      </c>
      <c r="BB179">
        <v>0.91</v>
      </c>
      <c r="BC179" s="32">
        <f t="shared" si="165"/>
        <v>3.5998869737213898E-4</v>
      </c>
      <c r="BD179">
        <v>2.21</v>
      </c>
      <c r="BF179" s="48">
        <v>6.03</v>
      </c>
      <c r="BG179" s="48">
        <f t="shared" si="166"/>
        <v>1.4969289893207362E-3</v>
      </c>
      <c r="BH179">
        <v>4.2</v>
      </c>
      <c r="BI179" s="32">
        <f t="shared" si="167"/>
        <v>1.5729109776078647E-3</v>
      </c>
      <c r="BJ179" s="47">
        <v>0.1</v>
      </c>
      <c r="BK179" s="27">
        <f t="shared" si="168"/>
        <v>3.7450261371615827E-5</v>
      </c>
      <c r="BL179" s="47">
        <v>0.01</v>
      </c>
      <c r="BM179" s="27">
        <f t="shared" si="169"/>
        <v>3.6796110125501018E-6</v>
      </c>
      <c r="BN179" s="47">
        <v>0.01</v>
      </c>
      <c r="BO179" s="27">
        <f t="shared" si="170"/>
        <v>3.7611049867064394E-6</v>
      </c>
      <c r="BP179" s="47">
        <v>5.0000000000000001E-3</v>
      </c>
      <c r="BQ179" s="27">
        <f t="shared" si="171"/>
        <v>1.8649981951630372E-6</v>
      </c>
      <c r="BR179" s="47">
        <v>1E-3</v>
      </c>
      <c r="BS179" s="27">
        <f t="shared" si="172"/>
        <v>3.7030802895135499E-7</v>
      </c>
      <c r="BT179" s="47">
        <v>1E-3</v>
      </c>
      <c r="BU179" s="27">
        <f t="shared" si="173"/>
        <v>3.7030802895135499E-7</v>
      </c>
      <c r="BV179" s="47">
        <v>1E-3</v>
      </c>
      <c r="BW179" s="27">
        <f t="shared" si="174"/>
        <v>3.6588380716934485E-7</v>
      </c>
      <c r="BX179" s="47">
        <v>2E-3</v>
      </c>
      <c r="BY179" s="27">
        <f t="shared" si="175"/>
        <v>7.3176761433868969E-7</v>
      </c>
      <c r="BZ179" s="51">
        <f t="shared" si="176"/>
        <v>0.13</v>
      </c>
      <c r="CA179" s="51">
        <f t="shared" si="177"/>
        <v>3.0000000000000006E-2</v>
      </c>
      <c r="CB179" s="27">
        <f t="shared" si="178"/>
        <v>4.8594243045446151E-5</v>
      </c>
      <c r="CC179" s="27">
        <f t="shared" si="179"/>
        <v>1.1143981673830322E-5</v>
      </c>
      <c r="CD179">
        <v>2.5</v>
      </c>
      <c r="CE179">
        <v>2.5</v>
      </c>
      <c r="CF179" t="s">
        <v>19</v>
      </c>
      <c r="CG179">
        <v>5</v>
      </c>
      <c r="CH179" s="32">
        <v>2.6</v>
      </c>
      <c r="CI179" s="32">
        <f t="shared" si="180"/>
        <v>4.6553267681289166E-2</v>
      </c>
      <c r="CJ179" s="32">
        <f t="shared" si="181"/>
        <v>4.6553267681289166E-2</v>
      </c>
      <c r="CK179" s="32">
        <v>1.2</v>
      </c>
      <c r="CL179" s="32">
        <f t="shared" si="182"/>
        <v>2.1845985800109231E-2</v>
      </c>
      <c r="CM179" s="32">
        <f t="shared" si="183"/>
        <v>4.3691971600218461E-2</v>
      </c>
      <c r="CN179" s="27">
        <v>6.4</v>
      </c>
      <c r="CO179" s="27">
        <f t="shared" si="184"/>
        <v>6.6625026025400796E-2</v>
      </c>
      <c r="CP179" s="27">
        <f t="shared" si="185"/>
        <v>0.53300020820320637</v>
      </c>
      <c r="CQ179" s="57">
        <v>18.600000000000001</v>
      </c>
      <c r="CR179" s="57">
        <v>74.400000000000006</v>
      </c>
      <c r="CS179" s="57">
        <v>1.5490318550905684</v>
      </c>
      <c r="CT179" s="57">
        <f t="shared" si="186"/>
        <v>1.5490318550905684</v>
      </c>
      <c r="CU179" s="28">
        <v>12.6</v>
      </c>
      <c r="CV179" s="28">
        <v>66.315789473684205</v>
      </c>
      <c r="CW179" s="28">
        <v>1.0493441599000624</v>
      </c>
      <c r="CX179" s="28">
        <f t="shared" si="187"/>
        <v>1.0493441599000624</v>
      </c>
      <c r="CY179" s="32">
        <f t="shared" si="188"/>
        <v>10.812242348532168</v>
      </c>
      <c r="CZ179" s="32">
        <f t="shared" si="189"/>
        <v>10.812242348532168</v>
      </c>
      <c r="DA179" s="32">
        <f t="shared" si="190"/>
        <v>13.412242348532168</v>
      </c>
      <c r="DB179" s="32">
        <f t="shared" si="191"/>
        <v>0.24014758009905401</v>
      </c>
      <c r="DC179" s="32">
        <f t="shared" si="192"/>
        <v>0.24014758009905401</v>
      </c>
      <c r="DD179" s="59">
        <f t="shared" si="193"/>
        <v>7.3244222361024356</v>
      </c>
      <c r="DE179" s="59">
        <f t="shared" si="194"/>
        <v>7.3244222361024356</v>
      </c>
      <c r="DF179" s="59">
        <f t="shared" si="195"/>
        <v>9.9244222361024352</v>
      </c>
      <c r="DG179" s="59">
        <f t="shared" si="196"/>
        <v>0.17769780189977502</v>
      </c>
      <c r="DH179" s="59">
        <f t="shared" si="197"/>
        <v>0.17769780189977502</v>
      </c>
      <c r="DI179" s="32">
        <f t="shared" si="198"/>
        <v>0.53300020820320637</v>
      </c>
      <c r="DJ179" s="32">
        <f t="shared" si="199"/>
        <v>11.124422236102435</v>
      </c>
      <c r="DK179" s="32">
        <f t="shared" si="200"/>
        <v>0.22138977349999348</v>
      </c>
      <c r="DL179">
        <f t="shared" si="201"/>
        <v>1.8328714067898408</v>
      </c>
      <c r="DM179">
        <f t="shared" si="206"/>
        <v>2.3837990727752258E-2</v>
      </c>
      <c r="DN179">
        <f t="shared" si="207"/>
        <v>0.13102260159083251</v>
      </c>
      <c r="DO179">
        <f t="shared" si="208"/>
        <v>0.84513940768141527</v>
      </c>
      <c r="DP179">
        <f t="shared" si="202"/>
        <v>1.2707339334000558</v>
      </c>
      <c r="DQ179">
        <f t="shared" si="209"/>
        <v>3.438325714912914E-2</v>
      </c>
      <c r="DR179">
        <f t="shared" si="210"/>
        <v>0.13983871621678945</v>
      </c>
      <c r="DS179">
        <f t="shared" si="211"/>
        <v>0.8257780266340814</v>
      </c>
      <c r="DT179" s="63">
        <f t="shared" si="212"/>
        <v>-1.8298015668229122</v>
      </c>
      <c r="DU179" s="63">
        <f t="shared" si="213"/>
        <v>-1.2676640934331271</v>
      </c>
      <c r="DV179" s="63">
        <f t="shared" si="214"/>
        <v>-1.8297904228412385</v>
      </c>
      <c r="DW179" s="63">
        <f t="shared" si="215"/>
        <v>-1.2676529494514535</v>
      </c>
      <c r="DX179" t="str">
        <f t="shared" si="203"/>
        <v>Sufficient Capacity</v>
      </c>
      <c r="DY179" t="str">
        <f t="shared" si="204"/>
        <v>Sufficient Capacity</v>
      </c>
      <c r="DZ179" t="str">
        <f t="shared" si="205"/>
        <v>Sulfate Dominant electron acceptor</v>
      </c>
      <c r="EA179" t="str">
        <f t="shared" si="216"/>
        <v>Sulfate Dominant electron acceptor</v>
      </c>
      <c r="EB179">
        <v>9.2344149999999993E-3</v>
      </c>
      <c r="EC179">
        <v>1.77841E-3</v>
      </c>
      <c r="ED179" s="66">
        <v>6.2340779999999998E-8</v>
      </c>
      <c r="EE179">
        <v>1.164371E-3</v>
      </c>
      <c r="EF179">
        <v>7.233354E-3</v>
      </c>
      <c r="EG179" s="66">
        <v>1.5702260000000001E-5</v>
      </c>
      <c r="EH179">
        <v>6.3626299999999998E-4</v>
      </c>
      <c r="EI179" s="66">
        <v>8.453108E-5</v>
      </c>
      <c r="EJ179">
        <v>4.6003480000000001E-4</v>
      </c>
      <c r="EK179">
        <v>7.8680340000000001E-4</v>
      </c>
      <c r="EL179">
        <v>6.8093039999999997E-4</v>
      </c>
      <c r="EM179">
        <v>5.8705379999999998E-4</v>
      </c>
      <c r="EN179">
        <v>1.909907E-3</v>
      </c>
      <c r="EO179">
        <v>7.6879110000000004E-4</v>
      </c>
      <c r="EP179">
        <v>3.0257830000000002E-3</v>
      </c>
      <c r="EQ179">
        <v>5.4650309999999998E-4</v>
      </c>
      <c r="ER179">
        <v>6.6826240000000001E-4</v>
      </c>
      <c r="ES179">
        <v>1.0973809999999999E-3</v>
      </c>
      <c r="ET179">
        <v>5.3021020000000004E-3</v>
      </c>
      <c r="EU179">
        <v>2.9218769999999998E-3</v>
      </c>
      <c r="EV179">
        <v>7.6801919999999997E-3</v>
      </c>
      <c r="EW179">
        <v>7.7436020000000005E-4</v>
      </c>
      <c r="EX179">
        <v>3.842856E-3</v>
      </c>
      <c r="EY179">
        <v>5.897963E-3</v>
      </c>
      <c r="EZ179">
        <v>2.0425450000000002E-3</v>
      </c>
      <c r="FA179">
        <v>1.303266E-3</v>
      </c>
      <c r="FB179">
        <v>1.4193630000000001E-3</v>
      </c>
      <c r="FC179">
        <v>2.5560470000000001E-3</v>
      </c>
      <c r="FD179">
        <v>4.7217329999999999E-4</v>
      </c>
      <c r="FE179">
        <v>2.368193E-2</v>
      </c>
      <c r="FF179">
        <v>8.8546939999999998E-3</v>
      </c>
      <c r="FG179">
        <v>5.790824E-3</v>
      </c>
      <c r="FH179">
        <v>8.0302759999999998E-4</v>
      </c>
      <c r="FI179">
        <v>1.7690200000000001E-3</v>
      </c>
      <c r="FJ179">
        <v>6.893003E-3</v>
      </c>
      <c r="FK179">
        <v>0.70953898776361402</v>
      </c>
      <c r="FL179">
        <v>0.452557708935654</v>
      </c>
      <c r="FM179">
        <v>0.26202201833834898</v>
      </c>
      <c r="FN179">
        <v>0.76203984472421005</v>
      </c>
      <c r="FO179">
        <v>6.2938302283657599E-2</v>
      </c>
      <c r="FP179">
        <v>3.9315134485026E-2</v>
      </c>
      <c r="FQ179">
        <v>8.9686309392760705E-2</v>
      </c>
      <c r="FR179">
        <v>0.40178922397896</v>
      </c>
      <c r="FS179">
        <v>0.82549645439101504</v>
      </c>
      <c r="FT179">
        <v>-6.2716713312965994E-2</v>
      </c>
      <c r="FU179">
        <v>-5.9964619471568198E-2</v>
      </c>
      <c r="FV179">
        <v>0.35650773421617099</v>
      </c>
      <c r="FW179">
        <v>-0.79341037618420795</v>
      </c>
      <c r="FX179">
        <v>0.52289072108333901</v>
      </c>
      <c r="FY179">
        <v>0.45495171435100001</v>
      </c>
      <c r="FZ179">
        <v>-0.49290351985713998</v>
      </c>
      <c r="GA179">
        <v>5.3473243008005197E-2</v>
      </c>
      <c r="GB179">
        <v>-0.14060433057140001</v>
      </c>
      <c r="GC179">
        <v>0.18350026283686899</v>
      </c>
      <c r="GD179">
        <v>-0.25816059833433302</v>
      </c>
      <c r="GE179">
        <v>-0.13830086990181201</v>
      </c>
      <c r="GF179">
        <v>0.472035767495605</v>
      </c>
      <c r="GG179">
        <v>0.32059210227078</v>
      </c>
      <c r="GH179">
        <v>0.36172946030516001</v>
      </c>
      <c r="GI179">
        <v>0.31064131637347703</v>
      </c>
      <c r="GJ179">
        <v>0.27916610308568102</v>
      </c>
      <c r="GK179">
        <v>1.52046039792806E-2</v>
      </c>
      <c r="GL179">
        <v>-0.52375576556856096</v>
      </c>
      <c r="GM179">
        <v>-0.37593232463306803</v>
      </c>
      <c r="GN179">
        <v>1.2617396446251501E-2</v>
      </c>
      <c r="GO179">
        <v>0.20861183451657</v>
      </c>
      <c r="GP179">
        <v>-0.42958561523623301</v>
      </c>
      <c r="GR179" s="66"/>
      <c r="GT179" s="66"/>
      <c r="GV179" s="66"/>
      <c r="GY179" s="66"/>
      <c r="GZ179" s="66"/>
      <c r="HK179" s="1"/>
      <c r="HL179" s="1"/>
      <c r="HM179" s="1"/>
      <c r="HN179" s="1"/>
      <c r="HP179" s="65"/>
      <c r="HQ179" s="65"/>
      <c r="HS179" s="65"/>
      <c r="HT179" s="65"/>
      <c r="HU179" s="65"/>
      <c r="HV179" s="65"/>
      <c r="HW179" s="65"/>
      <c r="HX179" s="65"/>
      <c r="JH179" s="66"/>
      <c r="JJ179" s="66"/>
      <c r="JL179" s="66"/>
      <c r="JN179" s="66"/>
    </row>
    <row r="180" spans="1:278" ht="15.75" x14ac:dyDescent="0.25">
      <c r="A180" s="5" t="s">
        <v>232</v>
      </c>
      <c r="B180" s="5" t="s">
        <v>232</v>
      </c>
      <c r="C180" s="2" t="s">
        <v>1061</v>
      </c>
      <c r="D180" s="2" t="s">
        <v>622</v>
      </c>
      <c r="E180" s="2" t="s">
        <v>622</v>
      </c>
      <c r="F180" s="2">
        <v>179</v>
      </c>
      <c r="G180" s="2" t="s">
        <v>1060</v>
      </c>
      <c r="H180" s="10" t="s">
        <v>656</v>
      </c>
      <c r="I180" s="2">
        <v>150</v>
      </c>
      <c r="J180" s="2">
        <v>65</v>
      </c>
      <c r="K180" s="2">
        <v>12.5</v>
      </c>
      <c r="L180" t="s">
        <v>402</v>
      </c>
      <c r="M180" s="2" t="s">
        <v>1120</v>
      </c>
      <c r="N180" s="2" t="s">
        <v>437</v>
      </c>
      <c r="O180" s="2" t="s">
        <v>653</v>
      </c>
      <c r="P180" s="2" t="s">
        <v>1123</v>
      </c>
      <c r="Q180" s="9" t="s">
        <v>731</v>
      </c>
      <c r="R180" s="2" t="str">
        <f t="shared" si="145"/>
        <v>CW_3_Section_1</v>
      </c>
      <c r="S180" s="2" t="str">
        <f t="shared" si="146"/>
        <v>CW_3_MF01</v>
      </c>
      <c r="T180" s="11" t="s">
        <v>1029</v>
      </c>
      <c r="U180" s="1">
        <v>45958</v>
      </c>
      <c r="V180" s="2" t="s">
        <v>752</v>
      </c>
      <c r="W180" s="2" t="s">
        <v>655</v>
      </c>
      <c r="X180" s="2" t="s">
        <v>1028</v>
      </c>
      <c r="Y180" s="2" t="str">
        <f t="shared" si="147"/>
        <v>T7_MF01</v>
      </c>
      <c r="Z180" s="2" t="str">
        <f t="shared" si="148"/>
        <v>T7_CW_3_MF01</v>
      </c>
      <c r="AA180" s="2" t="str">
        <f t="shared" si="149"/>
        <v>T7_0.15-0.30</v>
      </c>
      <c r="AB180" s="2">
        <v>440</v>
      </c>
      <c r="AC180" s="2">
        <v>14.474</v>
      </c>
      <c r="AD180" s="2">
        <v>1.22</v>
      </c>
      <c r="AE180" s="2">
        <v>7</v>
      </c>
      <c r="AF180" t="s">
        <v>51</v>
      </c>
      <c r="AG180" t="s">
        <v>1237</v>
      </c>
      <c r="AH180">
        <v>64</v>
      </c>
      <c r="AI180" t="s">
        <v>443</v>
      </c>
      <c r="AJ180">
        <v>1.8</v>
      </c>
      <c r="AK180">
        <v>2.4500000000000002</v>
      </c>
      <c r="AL180">
        <v>12</v>
      </c>
      <c r="AM180">
        <v>-135</v>
      </c>
      <c r="AN180">
        <v>7.4</v>
      </c>
      <c r="AO180">
        <v>660</v>
      </c>
      <c r="AP180">
        <v>0.1</v>
      </c>
      <c r="AQ180">
        <v>0.01</v>
      </c>
      <c r="AR180">
        <v>11</v>
      </c>
      <c r="AS180">
        <v>11</v>
      </c>
      <c r="AT180">
        <v>90</v>
      </c>
      <c r="AU180" s="32">
        <f t="shared" si="161"/>
        <v>3.4566636794264499E-2</v>
      </c>
      <c r="AV180">
        <v>0.5</v>
      </c>
      <c r="AW180" s="32">
        <f t="shared" si="162"/>
        <v>1.9535489472541785E-4</v>
      </c>
      <c r="AX180">
        <v>180</v>
      </c>
      <c r="AY180" s="32">
        <f t="shared" si="163"/>
        <v>7.120655552415936E-2</v>
      </c>
      <c r="AZ180">
        <v>51</v>
      </c>
      <c r="BA180" s="32">
        <f t="shared" si="164"/>
        <v>2.0175190731845153E-2</v>
      </c>
      <c r="BB180">
        <v>22</v>
      </c>
      <c r="BC180" s="32">
        <f t="shared" si="165"/>
        <v>8.7030234529528114E-3</v>
      </c>
      <c r="BD180">
        <v>73</v>
      </c>
      <c r="BF180" s="48">
        <v>346.5</v>
      </c>
      <c r="BG180" s="48">
        <f t="shared" si="166"/>
        <v>0.10596854721314927</v>
      </c>
      <c r="BH180">
        <v>1100</v>
      </c>
      <c r="BI180" s="32">
        <f t="shared" si="167"/>
        <v>0.41195287508777401</v>
      </c>
      <c r="BJ180" s="47">
        <v>1600</v>
      </c>
      <c r="BK180" s="27">
        <f t="shared" si="168"/>
        <v>0.59920418194585312</v>
      </c>
      <c r="BL180" s="47">
        <v>0.17</v>
      </c>
      <c r="BM180" s="27">
        <f t="shared" si="169"/>
        <v>6.2553387213351737E-5</v>
      </c>
      <c r="BN180" s="47">
        <v>0.16</v>
      </c>
      <c r="BO180" s="27">
        <f t="shared" si="170"/>
        <v>6.0177679787303031E-5</v>
      </c>
      <c r="BP180" s="47">
        <v>5.0000000000000001E-3</v>
      </c>
      <c r="BQ180" s="27">
        <f t="shared" si="171"/>
        <v>1.8649981951630372E-6</v>
      </c>
      <c r="BR180" s="47">
        <v>0.03</v>
      </c>
      <c r="BS180" s="27">
        <f t="shared" si="172"/>
        <v>1.110924086854065E-5</v>
      </c>
      <c r="BT180" s="47">
        <v>1E-3</v>
      </c>
      <c r="BU180" s="27">
        <f t="shared" si="173"/>
        <v>3.7030802895135499E-7</v>
      </c>
      <c r="BV180" s="47">
        <v>1E-3</v>
      </c>
      <c r="BW180" s="27">
        <f t="shared" si="174"/>
        <v>3.6588380716934485E-7</v>
      </c>
      <c r="BX180" s="47">
        <v>2E-3</v>
      </c>
      <c r="BY180" s="27">
        <f t="shared" si="175"/>
        <v>7.3176761433868969E-7</v>
      </c>
      <c r="BZ180" s="51">
        <f t="shared" si="176"/>
        <v>1600.3690000000001</v>
      </c>
      <c r="CA180" s="51">
        <f t="shared" si="177"/>
        <v>0.36899999999999999</v>
      </c>
      <c r="CB180" s="27">
        <f t="shared" si="178"/>
        <v>0.599341355211368</v>
      </c>
      <c r="CC180" s="27">
        <f t="shared" si="179"/>
        <v>1.3717326551481785E-4</v>
      </c>
      <c r="CD180">
        <v>2200</v>
      </c>
      <c r="CE180">
        <v>2.5</v>
      </c>
      <c r="CF180" t="s">
        <v>19</v>
      </c>
      <c r="CG180">
        <v>2200</v>
      </c>
      <c r="CH180" s="32">
        <v>17</v>
      </c>
      <c r="CI180" s="32">
        <f t="shared" si="180"/>
        <v>0.30438675022381378</v>
      </c>
      <c r="CJ180" s="32">
        <f t="shared" si="181"/>
        <v>0.30438675022381378</v>
      </c>
      <c r="CK180" s="32">
        <v>4.5</v>
      </c>
      <c r="CL180" s="32">
        <f t="shared" si="182"/>
        <v>8.1922446750409619E-2</v>
      </c>
      <c r="CM180" s="32">
        <f t="shared" si="183"/>
        <v>0.16384489350081924</v>
      </c>
      <c r="CN180" s="27">
        <v>0.5</v>
      </c>
      <c r="CO180" s="27">
        <f t="shared" si="184"/>
        <v>5.2050801582344368E-3</v>
      </c>
      <c r="CP180" s="27">
        <f t="shared" si="185"/>
        <v>4.1640641265875494E-2</v>
      </c>
      <c r="CQ180" s="57">
        <v>24.5</v>
      </c>
      <c r="CR180" s="57">
        <v>98</v>
      </c>
      <c r="CS180" s="57">
        <v>2.0403914220278994</v>
      </c>
      <c r="CT180" s="57">
        <f t="shared" si="186"/>
        <v>2.0403914220278994</v>
      </c>
      <c r="CU180" s="28">
        <v>24.5</v>
      </c>
      <c r="CV180" s="28">
        <v>98</v>
      </c>
      <c r="CW180" s="28">
        <v>2.0403914220278994</v>
      </c>
      <c r="CX180" s="28">
        <f t="shared" si="187"/>
        <v>2.0403914220278994</v>
      </c>
      <c r="CY180" s="32">
        <f t="shared" si="188"/>
        <v>14.241932125754737</v>
      </c>
      <c r="CZ180" s="32">
        <f t="shared" si="189"/>
        <v>14.241932125754737</v>
      </c>
      <c r="DA180" s="32">
        <f t="shared" si="190"/>
        <v>31.241932125754737</v>
      </c>
      <c r="DB180" s="32">
        <f t="shared" si="191"/>
        <v>0.55939001120420295</v>
      </c>
      <c r="DC180" s="32">
        <f t="shared" si="192"/>
        <v>0.55939001120420295</v>
      </c>
      <c r="DD180" s="59">
        <f t="shared" si="193"/>
        <v>14.241932125754737</v>
      </c>
      <c r="DE180" s="59">
        <f t="shared" si="194"/>
        <v>14.241932125754737</v>
      </c>
      <c r="DF180" s="59">
        <f t="shared" si="195"/>
        <v>31.241932125754737</v>
      </c>
      <c r="DG180" s="59">
        <f t="shared" si="196"/>
        <v>0.55939001120420295</v>
      </c>
      <c r="DH180" s="59">
        <f t="shared" si="197"/>
        <v>0.55939001120420295</v>
      </c>
      <c r="DI180" s="32">
        <f t="shared" si="198"/>
        <v>4.1640641265875494E-2</v>
      </c>
      <c r="DJ180" s="32">
        <f t="shared" si="199"/>
        <v>35.741932125754737</v>
      </c>
      <c r="DK180" s="32">
        <f t="shared" si="200"/>
        <v>0.72323490470502216</v>
      </c>
      <c r="DL180">
        <f t="shared" si="201"/>
        <v>2.7636263267329215</v>
      </c>
      <c r="DM180">
        <f t="shared" si="206"/>
        <v>5.9286196515037505E-2</v>
      </c>
      <c r="DN180">
        <f t="shared" si="207"/>
        <v>0.20241159443053125</v>
      </c>
      <c r="DO180">
        <f t="shared" si="208"/>
        <v>0.73830220905443122</v>
      </c>
      <c r="DP180">
        <f t="shared" si="202"/>
        <v>2.7636263267329215</v>
      </c>
      <c r="DQ180">
        <f t="shared" si="209"/>
        <v>5.9286196515037505E-2</v>
      </c>
      <c r="DR180">
        <f t="shared" si="210"/>
        <v>0.20241159443053125</v>
      </c>
      <c r="DS180">
        <f t="shared" si="211"/>
        <v>0.73830220905443122</v>
      </c>
      <c r="DT180" s="63">
        <f t="shared" si="212"/>
        <v>-2.2457049044319981</v>
      </c>
      <c r="DU180" s="63">
        <f t="shared" si="213"/>
        <v>-2.2457049044319981</v>
      </c>
      <c r="DV180" s="63">
        <f t="shared" si="214"/>
        <v>-2.2455677311664832</v>
      </c>
      <c r="DW180" s="63">
        <f t="shared" si="215"/>
        <v>-2.2455677311664832</v>
      </c>
      <c r="DX180" t="str">
        <f t="shared" si="203"/>
        <v>Sufficient Capacity</v>
      </c>
      <c r="DY180" t="str">
        <f t="shared" si="204"/>
        <v>Sufficient Capacity</v>
      </c>
      <c r="DZ180" t="str">
        <f t="shared" si="205"/>
        <v>Sulfate Dominant electron acceptor</v>
      </c>
      <c r="EA180" t="str">
        <f t="shared" si="216"/>
        <v>Sulfate Dominant electron acceptor</v>
      </c>
      <c r="EB180">
        <v>1.024799E-2</v>
      </c>
      <c r="EC180">
        <v>1.847567E-3</v>
      </c>
      <c r="ED180" s="66">
        <v>8.146975E-6</v>
      </c>
      <c r="EE180">
        <v>7.1564489999999996E-4</v>
      </c>
      <c r="EF180">
        <v>4.4988939999999998E-3</v>
      </c>
      <c r="EG180" s="66">
        <v>1.3032329999999999E-5</v>
      </c>
      <c r="EH180">
        <v>3.724086E-4</v>
      </c>
      <c r="EI180" s="66">
        <v>7.7690729999999993E-5</v>
      </c>
      <c r="EJ180">
        <v>4.3664669999999997E-4</v>
      </c>
      <c r="EK180">
        <v>6.488609E-4</v>
      </c>
      <c r="EL180">
        <v>4.0616019999999999E-4</v>
      </c>
      <c r="EM180">
        <v>2.6867770000000001E-4</v>
      </c>
      <c r="EN180">
        <v>1.9173899999999999E-3</v>
      </c>
      <c r="EO180">
        <v>7.1964019999999997E-4</v>
      </c>
      <c r="EP180">
        <v>2.1559420000000001E-3</v>
      </c>
      <c r="EQ180">
        <v>1.2942870000000001E-3</v>
      </c>
      <c r="ER180">
        <v>4.703024E-4</v>
      </c>
      <c r="ES180">
        <v>7.3504229999999998E-4</v>
      </c>
      <c r="ET180">
        <v>7.9844740000000001E-3</v>
      </c>
      <c r="EU180">
        <v>3.2457419999999998E-3</v>
      </c>
      <c r="EV180">
        <v>7.8694379999999994E-3</v>
      </c>
      <c r="EW180">
        <v>6.7083829999999998E-4</v>
      </c>
      <c r="EX180">
        <v>5.3781799999999998E-3</v>
      </c>
      <c r="EY180">
        <v>7.5115390000000002E-3</v>
      </c>
      <c r="EZ180">
        <v>1.2501820000000001E-3</v>
      </c>
      <c r="FA180">
        <v>1.0737030000000001E-3</v>
      </c>
      <c r="FB180">
        <v>1.1548890000000001E-3</v>
      </c>
      <c r="FC180">
        <v>1.8334880000000001E-3</v>
      </c>
      <c r="FD180">
        <v>4.8908519999999996E-4</v>
      </c>
      <c r="FE180">
        <v>2.4756899999999998E-2</v>
      </c>
      <c r="FF180">
        <v>1.7419540000000001E-2</v>
      </c>
      <c r="FG180">
        <v>9.0917889999999994E-3</v>
      </c>
      <c r="FH180">
        <v>1.1356980000000001E-3</v>
      </c>
      <c r="FI180">
        <v>1.42975E-3</v>
      </c>
      <c r="FJ180">
        <v>1.1566069999999999E-2</v>
      </c>
      <c r="FK180">
        <v>0.22278677594927401</v>
      </c>
      <c r="FL180">
        <v>-2.2313531291238101E-2</v>
      </c>
      <c r="FM180">
        <v>7.5650560561920002E-2</v>
      </c>
      <c r="FN180">
        <v>0.226419483432341</v>
      </c>
      <c r="FO180">
        <v>-2.14450298677153E-2</v>
      </c>
      <c r="FP180">
        <v>-1.28626030197276E-2</v>
      </c>
      <c r="FQ180">
        <v>-0.103073734420151</v>
      </c>
      <c r="FR180">
        <v>-0.114923211248535</v>
      </c>
      <c r="FS180">
        <v>4.3892506285373202E-2</v>
      </c>
      <c r="FT180">
        <v>-5.8806376835267599E-2</v>
      </c>
      <c r="FU180">
        <v>-0.12603253569269601</v>
      </c>
      <c r="FV180">
        <v>1.7565584267358301E-2</v>
      </c>
      <c r="FW180">
        <v>6.8764887112872805E-2</v>
      </c>
      <c r="FX180">
        <v>0.17158570237044801</v>
      </c>
      <c r="FY180">
        <v>5.4198052103703098E-2</v>
      </c>
      <c r="FZ180">
        <v>-8.3507959577928198E-2</v>
      </c>
      <c r="GA180">
        <v>0.158591008514922</v>
      </c>
      <c r="GB180">
        <v>-0.11626222795833401</v>
      </c>
      <c r="GC180">
        <v>3.9991247147259698E-2</v>
      </c>
      <c r="GD180">
        <v>7.7973588488911005E-2</v>
      </c>
      <c r="GE180">
        <v>0.103532464583505</v>
      </c>
      <c r="GF180">
        <v>-1.8871671121906401E-2</v>
      </c>
      <c r="GG180">
        <v>0.126832102210862</v>
      </c>
      <c r="GH180">
        <v>0.155525516347954</v>
      </c>
      <c r="GI180">
        <v>-2.1600444430900399E-2</v>
      </c>
      <c r="GJ180">
        <v>0.31435673129716601</v>
      </c>
      <c r="GK180">
        <v>5.9596531945684803E-2</v>
      </c>
      <c r="GL180">
        <v>0.15288908518764999</v>
      </c>
      <c r="GM180">
        <v>7.5164778078562505E-2</v>
      </c>
      <c r="GN180">
        <v>0.35923103084942798</v>
      </c>
      <c r="GO180">
        <v>-4.3142826063782298E-3</v>
      </c>
      <c r="GP180">
        <v>8.7983357575948801E-2</v>
      </c>
      <c r="GR180" s="66"/>
      <c r="GT180" s="66"/>
      <c r="GV180" s="66"/>
      <c r="GW180" s="65"/>
      <c r="HK180" s="1"/>
      <c r="HL180" s="1"/>
      <c r="HM180" s="1"/>
      <c r="HN180" s="1"/>
      <c r="HP180" s="65"/>
      <c r="HQ180" s="65"/>
      <c r="HT180" s="65"/>
      <c r="HU180" s="65"/>
      <c r="HV180" s="65"/>
      <c r="HW180" s="65"/>
      <c r="HX180" s="65"/>
      <c r="IJ180" s="66"/>
      <c r="IL180" s="66"/>
      <c r="IX180" s="66"/>
      <c r="IZ180" s="66"/>
      <c r="JB180" s="66"/>
      <c r="JF180" s="66"/>
      <c r="JH180" s="66"/>
      <c r="JJ180" s="66"/>
      <c r="JL180" s="66"/>
      <c r="JN180" s="66"/>
    </row>
    <row r="181" spans="1:278" ht="15.75" x14ac:dyDescent="0.25">
      <c r="A181" s="5" t="s">
        <v>233</v>
      </c>
      <c r="B181" s="5" t="s">
        <v>233</v>
      </c>
      <c r="C181" s="2" t="s">
        <v>1063</v>
      </c>
      <c r="D181" s="2" t="s">
        <v>623</v>
      </c>
      <c r="E181" s="2" t="s">
        <v>623</v>
      </c>
      <c r="F181" s="2">
        <v>180</v>
      </c>
      <c r="G181" s="2" t="s">
        <v>1062</v>
      </c>
      <c r="H181" s="10" t="s">
        <v>656</v>
      </c>
      <c r="I181" s="2">
        <v>150</v>
      </c>
      <c r="J181" s="2">
        <v>65</v>
      </c>
      <c r="K181" s="2">
        <v>6.25</v>
      </c>
      <c r="L181" t="s">
        <v>403</v>
      </c>
      <c r="M181" s="2" t="s">
        <v>1120</v>
      </c>
      <c r="N181" s="2" t="s">
        <v>437</v>
      </c>
      <c r="O181" s="2" t="s">
        <v>653</v>
      </c>
      <c r="P181" s="2" t="s">
        <v>1124</v>
      </c>
      <c r="Q181" s="9" t="s">
        <v>734</v>
      </c>
      <c r="R181" s="2" t="str">
        <f t="shared" si="145"/>
        <v>CW_3_Section_1</v>
      </c>
      <c r="S181" s="2" t="str">
        <f t="shared" si="146"/>
        <v>CW_3_MF02</v>
      </c>
      <c r="T181" s="11" t="s">
        <v>1029</v>
      </c>
      <c r="U181" s="1">
        <v>45958</v>
      </c>
      <c r="V181" s="2" t="s">
        <v>752</v>
      </c>
      <c r="W181" s="2" t="s">
        <v>663</v>
      </c>
      <c r="X181" s="2" t="s">
        <v>1028</v>
      </c>
      <c r="Y181" s="2" t="str">
        <f t="shared" si="147"/>
        <v>T7_MF02</v>
      </c>
      <c r="Z181" s="2" t="str">
        <f t="shared" si="148"/>
        <v>T7_CW_3_MF02</v>
      </c>
      <c r="AA181" s="2" t="str">
        <f t="shared" si="149"/>
        <v>T7_0.60-0.80</v>
      </c>
      <c r="AB181" s="2">
        <v>440</v>
      </c>
      <c r="AC181" s="2">
        <v>14.474</v>
      </c>
      <c r="AD181" s="2">
        <v>1.22</v>
      </c>
      <c r="AE181" s="2">
        <v>7</v>
      </c>
      <c r="AF181" t="s">
        <v>53</v>
      </c>
      <c r="AG181" t="s">
        <v>1237</v>
      </c>
      <c r="AH181">
        <v>73</v>
      </c>
      <c r="AI181" t="s">
        <v>443</v>
      </c>
      <c r="AJ181">
        <v>0.81</v>
      </c>
      <c r="AK181">
        <v>0.82</v>
      </c>
      <c r="AL181">
        <v>13</v>
      </c>
      <c r="AM181">
        <v>-224</v>
      </c>
      <c r="AN181">
        <v>7.6</v>
      </c>
      <c r="AO181">
        <v>700</v>
      </c>
      <c r="AP181">
        <v>0.2</v>
      </c>
      <c r="AQ181">
        <v>0.01</v>
      </c>
      <c r="AR181">
        <v>9.4</v>
      </c>
      <c r="AS181">
        <v>9.8000000000000007</v>
      </c>
      <c r="AT181">
        <v>660</v>
      </c>
      <c r="AU181" s="32">
        <f t="shared" si="161"/>
        <v>0.25348866982460633</v>
      </c>
      <c r="AV181">
        <v>67</v>
      </c>
      <c r="AW181" s="32">
        <f t="shared" si="162"/>
        <v>2.6177555893205993E-2</v>
      </c>
      <c r="AX181">
        <v>410</v>
      </c>
      <c r="AY181" s="32">
        <f t="shared" si="163"/>
        <v>0.16219270980502967</v>
      </c>
      <c r="AZ181">
        <v>150</v>
      </c>
      <c r="BA181" s="32">
        <f t="shared" si="164"/>
        <v>5.9338796270132804E-2</v>
      </c>
      <c r="BB181">
        <v>200</v>
      </c>
      <c r="BC181" s="32">
        <f t="shared" si="165"/>
        <v>7.9118395026843744E-2</v>
      </c>
      <c r="BD181">
        <v>350</v>
      </c>
      <c r="BF181" s="48">
        <v>1487</v>
      </c>
      <c r="BG181" s="48">
        <f t="shared" si="166"/>
        <v>0.44185893552284194</v>
      </c>
      <c r="BH181">
        <v>1300</v>
      </c>
      <c r="BI181" s="32">
        <f t="shared" si="167"/>
        <v>0.48685339783100573</v>
      </c>
      <c r="BJ181" s="47">
        <v>2800</v>
      </c>
      <c r="BK181" s="27">
        <f t="shared" si="168"/>
        <v>1.0486073184052431</v>
      </c>
      <c r="BL181" s="47">
        <v>4</v>
      </c>
      <c r="BM181" s="27">
        <f t="shared" si="169"/>
        <v>1.4718444050200407E-3</v>
      </c>
      <c r="BN181" s="47">
        <v>270</v>
      </c>
      <c r="BO181" s="27">
        <f t="shared" si="170"/>
        <v>0.10154983464107385</v>
      </c>
      <c r="BP181" s="47">
        <v>62</v>
      </c>
      <c r="BQ181" s="27">
        <f t="shared" si="171"/>
        <v>2.3125977620021658E-2</v>
      </c>
      <c r="BR181" s="47">
        <v>50</v>
      </c>
      <c r="BS181" s="27">
        <f t="shared" si="172"/>
        <v>1.8515401447567748E-2</v>
      </c>
      <c r="BT181" s="47">
        <v>8.6</v>
      </c>
      <c r="BU181" s="27">
        <f t="shared" si="173"/>
        <v>3.1846490489816528E-3</v>
      </c>
      <c r="BV181" s="47">
        <v>1.3</v>
      </c>
      <c r="BW181" s="27">
        <f t="shared" si="174"/>
        <v>4.7564894932014833E-4</v>
      </c>
      <c r="BX181" s="47">
        <v>1.2</v>
      </c>
      <c r="BY181" s="27">
        <f t="shared" si="175"/>
        <v>4.3906056860321384E-4</v>
      </c>
      <c r="BZ181" s="51">
        <f t="shared" si="176"/>
        <v>3197.1</v>
      </c>
      <c r="CA181" s="51">
        <f t="shared" si="177"/>
        <v>397.1</v>
      </c>
      <c r="CB181" s="27">
        <f t="shared" si="178"/>
        <v>1.1973697350858317</v>
      </c>
      <c r="CC181" s="27">
        <f t="shared" si="179"/>
        <v>0.14876241668058832</v>
      </c>
      <c r="CD181">
        <v>2300</v>
      </c>
      <c r="CE181">
        <v>920</v>
      </c>
      <c r="CF181" t="s">
        <v>19</v>
      </c>
      <c r="CG181">
        <v>3300</v>
      </c>
      <c r="CH181" s="32">
        <v>0.4</v>
      </c>
      <c r="CI181" s="32">
        <f t="shared" si="180"/>
        <v>7.162041181736795E-3</v>
      </c>
      <c r="CJ181" s="32">
        <f t="shared" si="181"/>
        <v>7.162041181736795E-3</v>
      </c>
      <c r="CK181" s="32">
        <v>1.1000000000000001</v>
      </c>
      <c r="CL181" s="32">
        <f t="shared" si="182"/>
        <v>2.0025486983433462E-2</v>
      </c>
      <c r="CM181" s="32">
        <f t="shared" si="183"/>
        <v>4.0050973966866923E-2</v>
      </c>
      <c r="CN181" s="27">
        <v>22</v>
      </c>
      <c r="CO181" s="27">
        <f t="shared" si="184"/>
        <v>0.2290235269623152</v>
      </c>
      <c r="CP181" s="27">
        <f t="shared" si="185"/>
        <v>1.8321882156985216</v>
      </c>
      <c r="CQ181" s="57">
        <v>3</v>
      </c>
      <c r="CR181" s="57">
        <v>12</v>
      </c>
      <c r="CS181" s="57">
        <v>0.24984384759525297</v>
      </c>
      <c r="CT181" s="57">
        <f t="shared" si="186"/>
        <v>0.24984384759525297</v>
      </c>
      <c r="CU181" s="28">
        <v>3</v>
      </c>
      <c r="CV181" s="28">
        <v>12</v>
      </c>
      <c r="CW181" s="28">
        <v>0.24984384759525297</v>
      </c>
      <c r="CX181" s="28">
        <f t="shared" si="187"/>
        <v>0.24984384759525297</v>
      </c>
      <c r="CY181" s="32">
        <f t="shared" si="188"/>
        <v>1.7439100562148657</v>
      </c>
      <c r="CZ181" s="32">
        <f t="shared" si="189"/>
        <v>1.7439100562148657</v>
      </c>
      <c r="DA181" s="32">
        <f t="shared" si="190"/>
        <v>2.1439100562148656</v>
      </c>
      <c r="DB181" s="32">
        <f t="shared" si="191"/>
        <v>3.8386930281376283E-2</v>
      </c>
      <c r="DC181" s="32">
        <f t="shared" si="192"/>
        <v>3.8386930281376283E-2</v>
      </c>
      <c r="DD181" s="59">
        <f t="shared" si="193"/>
        <v>1.7439100562148657</v>
      </c>
      <c r="DE181" s="59">
        <f t="shared" si="194"/>
        <v>1.7439100562148657</v>
      </c>
      <c r="DF181" s="59">
        <f t="shared" si="195"/>
        <v>2.1439100562148656</v>
      </c>
      <c r="DG181" s="59">
        <f t="shared" si="196"/>
        <v>3.8386930281376283E-2</v>
      </c>
      <c r="DH181" s="59">
        <f t="shared" si="197"/>
        <v>3.8386930281376283E-2</v>
      </c>
      <c r="DI181" s="32">
        <f t="shared" si="198"/>
        <v>1.8321882156985216</v>
      </c>
      <c r="DJ181" s="32">
        <f t="shared" si="199"/>
        <v>3.2439100562148657</v>
      </c>
      <c r="DK181" s="32">
        <f t="shared" si="200"/>
        <v>7.8437904248243207E-2</v>
      </c>
      <c r="DL181">
        <f t="shared" si="201"/>
        <v>0.32828175184349617</v>
      </c>
      <c r="DM181">
        <f t="shared" si="206"/>
        <v>0.12200182843535171</v>
      </c>
      <c r="DN181">
        <f t="shared" si="207"/>
        <v>0.11693287874154128</v>
      </c>
      <c r="DO181">
        <f t="shared" si="208"/>
        <v>0.76106529282310698</v>
      </c>
      <c r="DP181">
        <f t="shared" si="202"/>
        <v>0.32828175184349617</v>
      </c>
      <c r="DQ181">
        <f t="shared" si="209"/>
        <v>0.12200182843535171</v>
      </c>
      <c r="DR181">
        <f t="shared" si="210"/>
        <v>0.11693287874154128</v>
      </c>
      <c r="DS181">
        <f t="shared" si="211"/>
        <v>0.76106529282310698</v>
      </c>
      <c r="DT181" s="63">
        <f t="shared" si="212"/>
        <v>0.60043058151035145</v>
      </c>
      <c r="DU181" s="63">
        <f t="shared" si="213"/>
        <v>0.60043058151035145</v>
      </c>
      <c r="DV181" s="63">
        <f t="shared" si="214"/>
        <v>0.74919299819093976</v>
      </c>
      <c r="DW181" s="63">
        <f t="shared" si="215"/>
        <v>0.74919299819093976</v>
      </c>
      <c r="DX181" t="str">
        <f t="shared" si="203"/>
        <v>Insufficient Capacity</v>
      </c>
      <c r="DY181" t="str">
        <f t="shared" si="204"/>
        <v>Insufficient Capacity</v>
      </c>
      <c r="DZ181" t="str">
        <f t="shared" si="205"/>
        <v>Sulfate Dominant electron acceptor</v>
      </c>
      <c r="EA181" t="str">
        <f t="shared" si="216"/>
        <v>Sulfate Dominant electron acceptor</v>
      </c>
      <c r="EB181">
        <v>1.009326E-2</v>
      </c>
      <c r="EC181">
        <v>1.780362E-3</v>
      </c>
      <c r="ED181" s="66">
        <v>7.0780160000000001E-7</v>
      </c>
      <c r="EE181">
        <v>5.82596E-4</v>
      </c>
      <c r="EF181">
        <v>4.47848E-3</v>
      </c>
      <c r="EG181" s="66">
        <v>6.4220760000000001E-6</v>
      </c>
      <c r="EH181">
        <v>2.8908789999999997E-4</v>
      </c>
      <c r="EI181" s="66">
        <v>8.7326710000000006E-5</v>
      </c>
      <c r="EJ181">
        <v>4.4437259999999999E-4</v>
      </c>
      <c r="EK181">
        <v>6.9402959999999997E-4</v>
      </c>
      <c r="EL181">
        <v>4.5583370000000002E-4</v>
      </c>
      <c r="EM181">
        <v>2.8272699999999998E-4</v>
      </c>
      <c r="EN181">
        <v>1.9963759999999998E-3</v>
      </c>
      <c r="EO181">
        <v>8.6115360000000001E-4</v>
      </c>
      <c r="EP181">
        <v>1.9870339999999999E-3</v>
      </c>
      <c r="EQ181">
        <v>1.363492E-3</v>
      </c>
      <c r="ER181">
        <v>3.7530400000000002E-4</v>
      </c>
      <c r="ES181">
        <v>5.8330950000000002E-4</v>
      </c>
      <c r="ET181">
        <v>7.9951320000000003E-3</v>
      </c>
      <c r="EU181">
        <v>2.7325800000000001E-3</v>
      </c>
      <c r="EV181">
        <v>9.5905420000000005E-3</v>
      </c>
      <c r="EW181">
        <v>6.4487340000000005E-4</v>
      </c>
      <c r="EX181">
        <v>5.2969970000000003E-3</v>
      </c>
      <c r="EY181">
        <v>6.8621130000000004E-3</v>
      </c>
      <c r="EZ181">
        <v>1.1686820000000001E-3</v>
      </c>
      <c r="FA181">
        <v>8.6968500000000003E-4</v>
      </c>
      <c r="FB181">
        <v>9.0403749999999996E-4</v>
      </c>
      <c r="FC181">
        <v>1.802512E-3</v>
      </c>
      <c r="FD181">
        <v>2.320597E-4</v>
      </c>
      <c r="FE181">
        <v>2.234773E-2</v>
      </c>
      <c r="FF181">
        <v>1.7643639999999999E-2</v>
      </c>
      <c r="FG181">
        <v>9.4788649999999995E-3</v>
      </c>
      <c r="FH181">
        <v>8.2379459999999997E-4</v>
      </c>
      <c r="FI181">
        <v>1.460884E-3</v>
      </c>
      <c r="FJ181">
        <v>1.2523370000000001E-2</v>
      </c>
      <c r="FK181">
        <v>1.7096660460687502E-2</v>
      </c>
      <c r="FL181">
        <v>-2.6861416939237999E-2</v>
      </c>
      <c r="FM181">
        <v>-0.632041202784006</v>
      </c>
      <c r="FN181">
        <v>-2.6841361035178798E-2</v>
      </c>
      <c r="FO181">
        <v>9.5475397417753294E-2</v>
      </c>
      <c r="FP181">
        <v>4.6763953884916302E-3</v>
      </c>
      <c r="FQ181">
        <v>-3.57774875201873E-2</v>
      </c>
      <c r="FR181">
        <v>4.5717571093728499E-4</v>
      </c>
      <c r="FS181">
        <v>9.4861754036780405E-2</v>
      </c>
      <c r="FT181">
        <v>-1.8437726184472099E-2</v>
      </c>
      <c r="FU181">
        <v>5.3488985151571598E-2</v>
      </c>
      <c r="FV181">
        <v>-6.4019092101543301E-2</v>
      </c>
      <c r="FW181">
        <v>0.12085397876921</v>
      </c>
      <c r="FX181">
        <v>-5.4053825468865398E-2</v>
      </c>
      <c r="FY181">
        <v>-0.17701207620162901</v>
      </c>
      <c r="FZ181">
        <v>-8.21740090937393E-2</v>
      </c>
      <c r="GA181">
        <v>-1.35067571200027E-2</v>
      </c>
      <c r="GB181">
        <v>8.15285270852453E-2</v>
      </c>
      <c r="GC181">
        <v>5.1714128409763305E-4</v>
      </c>
      <c r="GD181">
        <v>6.2763617714914205E-2</v>
      </c>
      <c r="GE181">
        <v>1.3107504840624199E-2</v>
      </c>
      <c r="GF181">
        <v>-8.62841937275141E-2</v>
      </c>
      <c r="GG181">
        <v>-8.3905521181564205E-2</v>
      </c>
      <c r="GH181">
        <v>-8.9363156260866106E-2</v>
      </c>
      <c r="GI181">
        <v>-3.8639360504111799E-2</v>
      </c>
      <c r="GJ181">
        <v>-0.431185309980259</v>
      </c>
      <c r="GK181">
        <v>-4.2782956187806101E-2</v>
      </c>
      <c r="GL181">
        <v>0.16567189903926599</v>
      </c>
      <c r="GM181">
        <v>0.11685766293352701</v>
      </c>
      <c r="GN181">
        <v>3.8149538973239999E-2</v>
      </c>
      <c r="GO181">
        <v>1.7227845523906101E-2</v>
      </c>
      <c r="GP181">
        <v>0.167504044417668</v>
      </c>
      <c r="GY181" s="65"/>
      <c r="HK181" s="1"/>
      <c r="HL181" s="1"/>
      <c r="HM181" s="65"/>
      <c r="HN181" s="1"/>
      <c r="HV181" s="65"/>
      <c r="HW181" s="65"/>
      <c r="HX181" s="65"/>
      <c r="JJ181" s="66"/>
      <c r="JL181" s="66"/>
    </row>
    <row r="182" spans="1:278" ht="15.75" x14ac:dyDescent="0.25">
      <c r="A182" s="5" t="s">
        <v>234</v>
      </c>
      <c r="B182" s="5" t="s">
        <v>234</v>
      </c>
      <c r="C182" s="2" t="s">
        <v>1065</v>
      </c>
      <c r="D182" s="2" t="s">
        <v>624</v>
      </c>
      <c r="E182" s="2" t="s">
        <v>624</v>
      </c>
      <c r="F182" s="2">
        <v>181</v>
      </c>
      <c r="G182" s="2" t="s">
        <v>1064</v>
      </c>
      <c r="H182" s="10" t="s">
        <v>656</v>
      </c>
      <c r="I182" s="2">
        <v>150</v>
      </c>
      <c r="J182" s="2">
        <v>65</v>
      </c>
      <c r="K182" s="2">
        <v>8.85</v>
      </c>
      <c r="L182" t="s">
        <v>404</v>
      </c>
      <c r="M182" s="2" t="s">
        <v>1120</v>
      </c>
      <c r="N182" s="2" t="s">
        <v>437</v>
      </c>
      <c r="O182" s="2" t="s">
        <v>666</v>
      </c>
      <c r="P182" s="2" t="s">
        <v>1131</v>
      </c>
      <c r="Q182" s="9" t="s">
        <v>737</v>
      </c>
      <c r="R182" s="2" t="str">
        <f t="shared" si="145"/>
        <v>CW_3_Section_2</v>
      </c>
      <c r="S182" s="2" t="str">
        <f t="shared" si="146"/>
        <v>CW_3_MF05</v>
      </c>
      <c r="T182" s="11" t="s">
        <v>1029</v>
      </c>
      <c r="U182" s="1">
        <v>45958</v>
      </c>
      <c r="V182" s="2" t="s">
        <v>752</v>
      </c>
      <c r="W182" s="2" t="s">
        <v>655</v>
      </c>
      <c r="X182" s="2" t="s">
        <v>1028</v>
      </c>
      <c r="Y182" s="2" t="str">
        <f t="shared" si="147"/>
        <v>T7_MF05</v>
      </c>
      <c r="Z182" s="2" t="str">
        <f t="shared" si="148"/>
        <v>T7_CW_3_MF05</v>
      </c>
      <c r="AA182" s="2" t="str">
        <f t="shared" si="149"/>
        <v>T7_0.15-0.30</v>
      </c>
      <c r="AB182" s="2">
        <v>440</v>
      </c>
      <c r="AC182" s="2">
        <v>14.474</v>
      </c>
      <c r="AD182" s="2">
        <v>1.22</v>
      </c>
      <c r="AE182" s="2">
        <v>7</v>
      </c>
      <c r="AF182" t="s">
        <v>55</v>
      </c>
      <c r="AG182" t="s">
        <v>1237</v>
      </c>
      <c r="AH182">
        <v>70</v>
      </c>
      <c r="AI182" t="s">
        <v>443</v>
      </c>
      <c r="AJ182">
        <v>1.4999999999999999E-2</v>
      </c>
      <c r="AK182">
        <v>2.54</v>
      </c>
      <c r="AL182">
        <v>12</v>
      </c>
      <c r="AM182">
        <v>-169</v>
      </c>
      <c r="AN182">
        <v>7.3</v>
      </c>
      <c r="AO182">
        <v>673</v>
      </c>
      <c r="AP182">
        <v>0.1</v>
      </c>
      <c r="AQ182">
        <v>0.01</v>
      </c>
      <c r="AR182">
        <v>0.05</v>
      </c>
      <c r="AS182">
        <v>0.5</v>
      </c>
      <c r="AT182">
        <v>1.1000000000000001</v>
      </c>
      <c r="AU182" s="32">
        <f t="shared" si="161"/>
        <v>4.2248111637434386E-4</v>
      </c>
      <c r="AV182">
        <v>0.02</v>
      </c>
      <c r="AW182" s="32">
        <f t="shared" si="162"/>
        <v>7.8141957890167132E-6</v>
      </c>
      <c r="AX182">
        <v>3.5</v>
      </c>
      <c r="AY182" s="32">
        <f t="shared" si="163"/>
        <v>1.3845719129697656E-3</v>
      </c>
      <c r="AZ182">
        <v>0.65</v>
      </c>
      <c r="BA182" s="32">
        <f t="shared" si="164"/>
        <v>2.5713478383724219E-4</v>
      </c>
      <c r="BB182">
        <v>0.33</v>
      </c>
      <c r="BC182" s="32">
        <f t="shared" si="165"/>
        <v>1.3054535179429216E-4</v>
      </c>
      <c r="BD182">
        <v>0.98</v>
      </c>
      <c r="BF182" s="48">
        <v>5.72</v>
      </c>
      <c r="BG182" s="48">
        <f t="shared" si="166"/>
        <v>1.8148672251331261E-3</v>
      </c>
      <c r="BH182">
        <v>23</v>
      </c>
      <c r="BI182" s="32">
        <f t="shared" si="167"/>
        <v>8.6135601154716385E-3</v>
      </c>
      <c r="BJ182" s="47">
        <v>20</v>
      </c>
      <c r="BK182" s="27">
        <f t="shared" si="168"/>
        <v>7.4900522743231637E-3</v>
      </c>
      <c r="BL182" s="47">
        <v>0.01</v>
      </c>
      <c r="BM182" s="27">
        <f t="shared" si="169"/>
        <v>3.6796110125501018E-6</v>
      </c>
      <c r="BN182" s="47">
        <v>0.01</v>
      </c>
      <c r="BO182" s="27">
        <f t="shared" si="170"/>
        <v>3.7611049867064394E-6</v>
      </c>
      <c r="BP182" s="47">
        <v>5.0000000000000001E-3</v>
      </c>
      <c r="BQ182" s="27">
        <f t="shared" si="171"/>
        <v>1.8649981951630372E-6</v>
      </c>
      <c r="BR182" s="47">
        <v>1E-3</v>
      </c>
      <c r="BS182" s="27">
        <f t="shared" si="172"/>
        <v>3.7030802895135499E-7</v>
      </c>
      <c r="BT182" s="47">
        <v>1E-3</v>
      </c>
      <c r="BU182" s="27">
        <f t="shared" si="173"/>
        <v>3.7030802895135499E-7</v>
      </c>
      <c r="BV182" s="47">
        <v>1E-3</v>
      </c>
      <c r="BW182" s="27">
        <f t="shared" si="174"/>
        <v>3.6588380716934485E-7</v>
      </c>
      <c r="BX182" s="47">
        <v>2E-3</v>
      </c>
      <c r="BY182" s="27">
        <f t="shared" si="175"/>
        <v>7.3176761433868969E-7</v>
      </c>
      <c r="BZ182" s="51">
        <f t="shared" si="176"/>
        <v>20.030000000000005</v>
      </c>
      <c r="CA182" s="51">
        <f t="shared" si="177"/>
        <v>3.0000000000000006E-2</v>
      </c>
      <c r="CB182" s="27">
        <f t="shared" si="178"/>
        <v>7.5011962559969943E-3</v>
      </c>
      <c r="CC182" s="27">
        <f t="shared" si="179"/>
        <v>1.1143981673830322E-5</v>
      </c>
      <c r="CD182">
        <v>2.5</v>
      </c>
      <c r="CE182">
        <v>2.5</v>
      </c>
      <c r="CF182" t="s">
        <v>19</v>
      </c>
      <c r="CG182">
        <v>5</v>
      </c>
      <c r="CH182" s="32">
        <v>3.6</v>
      </c>
      <c r="CI182" s="32">
        <f t="shared" si="180"/>
        <v>6.445837063563116E-2</v>
      </c>
      <c r="CJ182" s="32">
        <f t="shared" si="181"/>
        <v>6.445837063563116E-2</v>
      </c>
      <c r="CK182" s="32">
        <v>8.6999999999999993</v>
      </c>
      <c r="CL182" s="32">
        <f t="shared" si="182"/>
        <v>0.15838339705079191</v>
      </c>
      <c r="CM182" s="32">
        <f t="shared" si="183"/>
        <v>0.31676679410158382</v>
      </c>
      <c r="CN182" s="27">
        <v>70</v>
      </c>
      <c r="CO182" s="27">
        <f t="shared" si="184"/>
        <v>0.72871122215282114</v>
      </c>
      <c r="CP182" s="27">
        <f t="shared" si="185"/>
        <v>5.8296897772225691</v>
      </c>
      <c r="CQ182" s="57">
        <v>-45</v>
      </c>
      <c r="CR182" s="57">
        <v>-180</v>
      </c>
      <c r="CS182" s="57">
        <v>-3.7476577139287945</v>
      </c>
      <c r="CT182" s="57">
        <f t="shared" si="186"/>
        <v>0</v>
      </c>
      <c r="CU182" s="28">
        <v>-69.5</v>
      </c>
      <c r="CV182" s="28">
        <v>-13900</v>
      </c>
      <c r="CW182" s="28">
        <v>-5.7880491359566939</v>
      </c>
      <c r="CX182" s="28">
        <f t="shared" si="187"/>
        <v>0</v>
      </c>
      <c r="CY182" s="32">
        <f t="shared" si="188"/>
        <v>-26.158650843222983</v>
      </c>
      <c r="CZ182" s="32">
        <f t="shared" si="189"/>
        <v>0</v>
      </c>
      <c r="DA182" s="32">
        <f t="shared" si="190"/>
        <v>3.6</v>
      </c>
      <c r="DB182" s="32">
        <f t="shared" si="191"/>
        <v>6.445837063563116E-2</v>
      </c>
      <c r="DC182" s="32">
        <f t="shared" si="192"/>
        <v>6.445837063563116E-2</v>
      </c>
      <c r="DD182" s="59">
        <f t="shared" si="193"/>
        <v>-40.400582968977723</v>
      </c>
      <c r="DE182" s="59">
        <f t="shared" si="194"/>
        <v>0</v>
      </c>
      <c r="DF182" s="59">
        <f t="shared" si="195"/>
        <v>3.6</v>
      </c>
      <c r="DG182" s="59">
        <f t="shared" si="196"/>
        <v>6.445837063563116E-2</v>
      </c>
      <c r="DH182" s="59">
        <f t="shared" si="197"/>
        <v>6.445837063563116E-2</v>
      </c>
      <c r="DI182" s="32">
        <f t="shared" si="198"/>
        <v>5.8296897772225691</v>
      </c>
      <c r="DJ182" s="32">
        <f t="shared" si="199"/>
        <v>12.299999999999999</v>
      </c>
      <c r="DK182" s="32">
        <f t="shared" si="200"/>
        <v>0.38122516473721496</v>
      </c>
      <c r="DL182">
        <f t="shared" si="201"/>
        <v>0.38122516473721496</v>
      </c>
      <c r="DM182">
        <f t="shared" si="206"/>
        <v>0.83091784961241111</v>
      </c>
      <c r="DN182">
        <f t="shared" si="207"/>
        <v>0.16908215038758898</v>
      </c>
      <c r="DO182">
        <f t="shared" si="208"/>
        <v>0</v>
      </c>
      <c r="DP182">
        <f t="shared" si="202"/>
        <v>0.38122516473721496</v>
      </c>
      <c r="DQ182">
        <f t="shared" si="209"/>
        <v>0.83091784961241111</v>
      </c>
      <c r="DR182">
        <f t="shared" si="210"/>
        <v>0.16908215038758898</v>
      </c>
      <c r="DS182">
        <f t="shared" si="211"/>
        <v>0</v>
      </c>
      <c r="DT182" s="63">
        <f t="shared" si="212"/>
        <v>-0.37079673739661018</v>
      </c>
      <c r="DU182" s="63">
        <f t="shared" si="213"/>
        <v>-0.37079673739661018</v>
      </c>
      <c r="DV182" s="63">
        <f t="shared" si="214"/>
        <v>-0.37078559341493639</v>
      </c>
      <c r="DW182" s="63">
        <f t="shared" si="215"/>
        <v>-0.37078559341493639</v>
      </c>
      <c r="DX182" t="str">
        <f t="shared" si="203"/>
        <v>Sufficient Capacity</v>
      </c>
      <c r="DY182" t="str">
        <f t="shared" si="204"/>
        <v>Sufficient Capacity</v>
      </c>
      <c r="DZ182" t="str">
        <f t="shared" si="205"/>
        <v>Iron Dominant electron acceptor</v>
      </c>
      <c r="EA182" t="str">
        <f t="shared" si="216"/>
        <v>Iron Dominant electron acceptor</v>
      </c>
      <c r="EB182">
        <v>9.7927220000000002E-3</v>
      </c>
      <c r="EC182">
        <v>1.678293E-3</v>
      </c>
      <c r="ED182" s="66">
        <v>7.6499000000000002E-8</v>
      </c>
      <c r="EE182">
        <v>7.6481339999999996E-4</v>
      </c>
      <c r="EF182">
        <v>5.2793789999999998E-3</v>
      </c>
      <c r="EG182" s="66">
        <v>2.3393000000000001E-5</v>
      </c>
      <c r="EH182">
        <v>3.9232520000000002E-4</v>
      </c>
      <c r="EI182">
        <v>1.096262E-4</v>
      </c>
      <c r="EJ182">
        <v>3.9385530000000002E-4</v>
      </c>
      <c r="EK182">
        <v>7.4285520000000002E-4</v>
      </c>
      <c r="EL182">
        <v>5.0482659999999998E-4</v>
      </c>
      <c r="EM182">
        <v>3.2952220000000002E-4</v>
      </c>
      <c r="EN182">
        <v>2.1743019999999999E-3</v>
      </c>
      <c r="EO182">
        <v>9.8242730000000001E-4</v>
      </c>
      <c r="EP182">
        <v>2.497427E-3</v>
      </c>
      <c r="EQ182">
        <v>9.876761999999999E-4</v>
      </c>
      <c r="ER182">
        <v>4.4902720000000002E-4</v>
      </c>
      <c r="ES182">
        <v>9.4393009999999998E-4</v>
      </c>
      <c r="ET182">
        <v>7.1632450000000004E-3</v>
      </c>
      <c r="EU182">
        <v>2.762778E-3</v>
      </c>
      <c r="EV182">
        <v>7.833596E-3</v>
      </c>
      <c r="EW182">
        <v>6.8184780000000002E-4</v>
      </c>
      <c r="EX182">
        <v>4.50885E-3</v>
      </c>
      <c r="EY182">
        <v>6.9589750000000001E-3</v>
      </c>
      <c r="EZ182">
        <v>1.6280769999999999E-3</v>
      </c>
      <c r="FA182">
        <v>1.2539490000000001E-3</v>
      </c>
      <c r="FB182">
        <v>1.32917E-3</v>
      </c>
      <c r="FC182">
        <v>2.0170420000000001E-3</v>
      </c>
      <c r="FD182">
        <v>4.5504379999999997E-4</v>
      </c>
      <c r="FE182">
        <v>2.6318769999999998E-2</v>
      </c>
      <c r="FF182">
        <v>1.315852E-2</v>
      </c>
      <c r="FG182">
        <v>7.8173259999999994E-3</v>
      </c>
      <c r="FH182">
        <v>8.7038920000000002E-4</v>
      </c>
      <c r="FI182">
        <v>1.5395490000000001E-3</v>
      </c>
      <c r="FJ182">
        <v>9.5772019999999999E-3</v>
      </c>
      <c r="FK182">
        <v>0.28923456423724297</v>
      </c>
      <c r="FL182">
        <v>0.137663357083354</v>
      </c>
      <c r="FM182">
        <v>0.66065419961080096</v>
      </c>
      <c r="FN182">
        <v>0.27851893255425902</v>
      </c>
      <c r="FO182">
        <v>0.32289542193604298</v>
      </c>
      <c r="FP182">
        <v>-0.116003421351921</v>
      </c>
      <c r="FQ182">
        <v>3.2209041711889E-2</v>
      </c>
      <c r="FR182">
        <v>0.102544129670673</v>
      </c>
      <c r="FS182">
        <v>0.24802371277586199</v>
      </c>
      <c r="FT182">
        <v>6.6936430408143899E-2</v>
      </c>
      <c r="FU182">
        <v>0.185242445516904</v>
      </c>
      <c r="FV182">
        <v>0.16459883513638299</v>
      </c>
      <c r="FW182">
        <v>-0.20159544500761101</v>
      </c>
      <c r="FX182">
        <v>0.12529327527880699</v>
      </c>
      <c r="FY182">
        <v>0.30432212032020001</v>
      </c>
      <c r="FZ182">
        <v>-0.192043774968926</v>
      </c>
      <c r="GA182">
        <v>-2.5162797138289501E-3</v>
      </c>
      <c r="GB182">
        <v>-0.12082721358377101</v>
      </c>
      <c r="GC182">
        <v>5.6269588605892401E-2</v>
      </c>
      <c r="GD182">
        <v>-9.8334306403137894E-2</v>
      </c>
      <c r="GE182">
        <v>2.7124286423846102E-2</v>
      </c>
      <c r="GF182">
        <v>0.2452387519217</v>
      </c>
      <c r="GG182">
        <v>0.282016452207484</v>
      </c>
      <c r="GH182">
        <v>0.29607596816527498</v>
      </c>
      <c r="GI182">
        <v>7.38114736805731E-2</v>
      </c>
      <c r="GJ182">
        <v>0.24221370192444699</v>
      </c>
      <c r="GK182">
        <v>0.120774666748638</v>
      </c>
      <c r="GL182">
        <v>-0.12763402189189299</v>
      </c>
      <c r="GM182">
        <v>-7.5864368080193104E-2</v>
      </c>
      <c r="GN182">
        <v>9.31687799182805E-2</v>
      </c>
      <c r="GO182">
        <v>6.9675629971986702E-2</v>
      </c>
      <c r="GP182">
        <v>-0.10070697184668601</v>
      </c>
      <c r="GR182" s="66"/>
      <c r="GT182" s="66"/>
      <c r="GV182" s="66"/>
      <c r="GZ182" s="66"/>
      <c r="HK182" s="1"/>
      <c r="HL182" s="1"/>
      <c r="HM182" s="65"/>
      <c r="HN182" s="1"/>
      <c r="HP182" s="65"/>
      <c r="HT182" s="65"/>
      <c r="HV182" s="65"/>
      <c r="JF182" s="66"/>
      <c r="JH182" s="66"/>
      <c r="JJ182" s="66"/>
      <c r="JL182" s="66"/>
      <c r="JN182" s="66"/>
    </row>
    <row r="183" spans="1:278" ht="15.75" x14ac:dyDescent="0.25">
      <c r="A183" s="5" t="s">
        <v>235</v>
      </c>
      <c r="B183" s="5" t="s">
        <v>235</v>
      </c>
      <c r="C183" s="2" t="s">
        <v>1067</v>
      </c>
      <c r="D183" s="2" t="s">
        <v>625</v>
      </c>
      <c r="E183" s="2" t="s">
        <v>625</v>
      </c>
      <c r="F183" s="2">
        <v>182</v>
      </c>
      <c r="G183" s="2" t="s">
        <v>1066</v>
      </c>
      <c r="H183" s="10" t="s">
        <v>656</v>
      </c>
      <c r="I183" s="2">
        <v>150</v>
      </c>
      <c r="J183" s="2">
        <v>65</v>
      </c>
      <c r="K183" s="2">
        <v>8</v>
      </c>
      <c r="L183" t="s">
        <v>405</v>
      </c>
      <c r="M183" s="2" t="s">
        <v>1120</v>
      </c>
      <c r="N183" s="2" t="s">
        <v>437</v>
      </c>
      <c r="O183" s="2" t="s">
        <v>666</v>
      </c>
      <c r="P183" s="2" t="s">
        <v>1132</v>
      </c>
      <c r="Q183" s="9" t="s">
        <v>740</v>
      </c>
      <c r="R183" s="2" t="str">
        <f t="shared" si="145"/>
        <v>CW_3_Section_2</v>
      </c>
      <c r="S183" s="2" t="str">
        <f t="shared" si="146"/>
        <v>CW_3_MF06</v>
      </c>
      <c r="T183" s="11" t="s">
        <v>1029</v>
      </c>
      <c r="U183" s="1">
        <v>45958</v>
      </c>
      <c r="V183" s="2" t="s">
        <v>752</v>
      </c>
      <c r="W183" s="2" t="s">
        <v>663</v>
      </c>
      <c r="X183" s="2" t="s">
        <v>1028</v>
      </c>
      <c r="Y183" s="2" t="str">
        <f t="shared" si="147"/>
        <v>T7_MF06</v>
      </c>
      <c r="Z183" s="2" t="str">
        <f t="shared" si="148"/>
        <v>T7_CW_3_MF06</v>
      </c>
      <c r="AA183" s="2" t="str">
        <f t="shared" si="149"/>
        <v>T7_0.60-0.80</v>
      </c>
      <c r="AB183" s="2">
        <v>440</v>
      </c>
      <c r="AC183" s="2">
        <v>14.474</v>
      </c>
      <c r="AD183" s="2">
        <v>1.22</v>
      </c>
      <c r="AE183" s="2">
        <v>7</v>
      </c>
      <c r="AF183" t="s">
        <v>57</v>
      </c>
      <c r="AG183" t="s">
        <v>1237</v>
      </c>
      <c r="AH183">
        <v>73</v>
      </c>
      <c r="AI183" t="s">
        <v>443</v>
      </c>
      <c r="AJ183">
        <v>0.69</v>
      </c>
      <c r="AK183">
        <v>0.55000000000000004</v>
      </c>
      <c r="AL183">
        <v>13</v>
      </c>
      <c r="AM183">
        <v>-250</v>
      </c>
      <c r="AN183">
        <v>7.7</v>
      </c>
      <c r="AO183">
        <v>733</v>
      </c>
      <c r="AP183">
        <v>0.2</v>
      </c>
      <c r="AQ183">
        <v>0.01</v>
      </c>
      <c r="AR183">
        <v>7.9</v>
      </c>
      <c r="AS183">
        <v>8.8000000000000007</v>
      </c>
      <c r="AT183">
        <v>620</v>
      </c>
      <c r="AU183" s="32">
        <f t="shared" si="161"/>
        <v>0.23812572013826652</v>
      </c>
      <c r="AV183">
        <v>82</v>
      </c>
      <c r="AW183" s="32">
        <f t="shared" si="162"/>
        <v>3.2038202734968525E-2</v>
      </c>
      <c r="AX183">
        <v>540</v>
      </c>
      <c r="AY183" s="32">
        <f t="shared" si="163"/>
        <v>0.21361966657247808</v>
      </c>
      <c r="AZ183">
        <v>230</v>
      </c>
      <c r="BA183" s="32">
        <f t="shared" si="164"/>
        <v>9.0986154280870299E-2</v>
      </c>
      <c r="BB183">
        <v>310</v>
      </c>
      <c r="BC183" s="32">
        <f t="shared" si="165"/>
        <v>0.12263351229160781</v>
      </c>
      <c r="BD183">
        <v>540</v>
      </c>
      <c r="BF183" s="48">
        <v>1782</v>
      </c>
      <c r="BG183" s="48">
        <f t="shared" si="166"/>
        <v>0.48378358944571309</v>
      </c>
      <c r="BH183">
        <v>1800</v>
      </c>
      <c r="BI183" s="32">
        <f t="shared" si="167"/>
        <v>0.6741047046890849</v>
      </c>
      <c r="BJ183" s="47">
        <v>2200</v>
      </c>
      <c r="BK183" s="27">
        <f t="shared" si="168"/>
        <v>0.82390575017554801</v>
      </c>
      <c r="BL183" s="47">
        <v>4</v>
      </c>
      <c r="BM183" s="27">
        <f t="shared" si="169"/>
        <v>1.4718444050200407E-3</v>
      </c>
      <c r="BN183" s="47">
        <v>110</v>
      </c>
      <c r="BO183" s="27">
        <f t="shared" si="170"/>
        <v>4.1372154853770833E-2</v>
      </c>
      <c r="BP183" s="47">
        <v>28</v>
      </c>
      <c r="BQ183" s="27">
        <f t="shared" si="171"/>
        <v>1.0443989892913006E-2</v>
      </c>
      <c r="BR183" s="47">
        <v>26</v>
      </c>
      <c r="BS183" s="27">
        <f t="shared" si="172"/>
        <v>9.6280087527352287E-3</v>
      </c>
      <c r="BT183" s="47">
        <v>3.6</v>
      </c>
      <c r="BU183" s="27">
        <f t="shared" si="173"/>
        <v>1.3331089042248781E-3</v>
      </c>
      <c r="BV183" s="47">
        <v>1.3</v>
      </c>
      <c r="BW183" s="27">
        <f t="shared" si="174"/>
        <v>4.7564894932014833E-4</v>
      </c>
      <c r="BX183" s="47">
        <v>1.4</v>
      </c>
      <c r="BY183" s="27">
        <f t="shared" si="175"/>
        <v>5.1223733003708275E-4</v>
      </c>
      <c r="BZ183" s="51">
        <f t="shared" si="176"/>
        <v>2374.3000000000002</v>
      </c>
      <c r="CA183" s="51">
        <f t="shared" si="177"/>
        <v>174.3</v>
      </c>
      <c r="CB183" s="27">
        <f t="shared" si="178"/>
        <v>0.88914274326356935</v>
      </c>
      <c r="CC183" s="27">
        <f t="shared" si="179"/>
        <v>6.5236993088021208E-2</v>
      </c>
      <c r="CD183">
        <v>2100</v>
      </c>
      <c r="CE183">
        <v>540</v>
      </c>
      <c r="CF183" t="s">
        <v>19</v>
      </c>
      <c r="CG183">
        <v>2700</v>
      </c>
      <c r="CH183" s="32">
        <v>0.2</v>
      </c>
      <c r="CI183" s="32">
        <f t="shared" si="180"/>
        <v>3.5810205908683975E-3</v>
      </c>
      <c r="CJ183" s="32">
        <f t="shared" si="181"/>
        <v>3.5810205908683975E-3</v>
      </c>
      <c r="CK183" s="32">
        <v>0.9</v>
      </c>
      <c r="CL183" s="32">
        <f t="shared" si="182"/>
        <v>1.6384489350081924E-2</v>
      </c>
      <c r="CM183" s="32">
        <f t="shared" si="183"/>
        <v>3.2768978700163848E-2</v>
      </c>
      <c r="CN183" s="27">
        <v>21</v>
      </c>
      <c r="CO183" s="27">
        <f t="shared" si="184"/>
        <v>0.21861336664584635</v>
      </c>
      <c r="CP183" s="27">
        <f t="shared" si="185"/>
        <v>1.7489069331667708</v>
      </c>
      <c r="CQ183" s="57">
        <v>4</v>
      </c>
      <c r="CR183" s="57">
        <v>16</v>
      </c>
      <c r="CS183" s="57">
        <v>0.33312513012700395</v>
      </c>
      <c r="CT183" s="57">
        <f t="shared" si="186"/>
        <v>0.33312513012700395</v>
      </c>
      <c r="CU183" s="28">
        <v>1</v>
      </c>
      <c r="CV183" s="28">
        <v>4.5454545454545459</v>
      </c>
      <c r="CW183" s="28">
        <v>8.3281282531750989E-2</v>
      </c>
      <c r="CX183" s="28">
        <f t="shared" si="187"/>
        <v>8.3281282531750989E-2</v>
      </c>
      <c r="CY183" s="32">
        <f t="shared" si="188"/>
        <v>2.3252134082864875</v>
      </c>
      <c r="CZ183" s="32">
        <f t="shared" si="189"/>
        <v>2.3252134082864875</v>
      </c>
      <c r="DA183" s="32">
        <f t="shared" si="190"/>
        <v>2.5252134082864877</v>
      </c>
      <c r="DB183" s="32">
        <f t="shared" si="191"/>
        <v>4.5214206057054389E-2</v>
      </c>
      <c r="DC183" s="32">
        <f t="shared" si="192"/>
        <v>4.5214206057054389E-2</v>
      </c>
      <c r="DD183" s="59">
        <f t="shared" si="193"/>
        <v>0.58130335207162187</v>
      </c>
      <c r="DE183" s="59">
        <f t="shared" si="194"/>
        <v>0.58130335207162187</v>
      </c>
      <c r="DF183" s="59">
        <f t="shared" si="195"/>
        <v>0.78130335207162194</v>
      </c>
      <c r="DG183" s="59">
        <f t="shared" si="196"/>
        <v>1.3989316957414896E-2</v>
      </c>
      <c r="DH183" s="59">
        <f t="shared" si="197"/>
        <v>1.3989316957414896E-2</v>
      </c>
      <c r="DI183" s="32">
        <f t="shared" si="198"/>
        <v>1.7489069331667708</v>
      </c>
      <c r="DJ183" s="32">
        <f t="shared" si="199"/>
        <v>1.6813033520716218</v>
      </c>
      <c r="DK183" s="32">
        <f t="shared" si="200"/>
        <v>4.6758295657578747E-2</v>
      </c>
      <c r="DL183">
        <f t="shared" si="201"/>
        <v>0.41110831488422217</v>
      </c>
      <c r="DM183">
        <f t="shared" si="206"/>
        <v>7.9708868718435841E-2</v>
      </c>
      <c r="DN183">
        <f t="shared" si="207"/>
        <v>0.1099812492719535</v>
      </c>
      <c r="DO183">
        <f t="shared" si="208"/>
        <v>0.81030988200961074</v>
      </c>
      <c r="DP183">
        <f t="shared" si="202"/>
        <v>0.13003957818932974</v>
      </c>
      <c r="DQ183">
        <f t="shared" si="209"/>
        <v>0.25199234845605389</v>
      </c>
      <c r="DR183">
        <f t="shared" si="210"/>
        <v>0.10757737876577313</v>
      </c>
      <c r="DS183">
        <f t="shared" si="211"/>
        <v>0.64043027277817288</v>
      </c>
      <c r="DT183" s="63">
        <f t="shared" si="212"/>
        <v>0.74677997925057593</v>
      </c>
      <c r="DU183" s="63">
        <f t="shared" si="213"/>
        <v>1.0278487159454683</v>
      </c>
      <c r="DV183" s="63">
        <f t="shared" si="214"/>
        <v>0.81201697233859715</v>
      </c>
      <c r="DW183" s="63">
        <f t="shared" si="215"/>
        <v>1.0930857090334896</v>
      </c>
      <c r="DX183" t="str">
        <f t="shared" si="203"/>
        <v>Insufficient Capacity</v>
      </c>
      <c r="DY183" t="str">
        <f t="shared" si="204"/>
        <v>Insufficient Capacity</v>
      </c>
      <c r="DZ183" t="str">
        <f t="shared" si="205"/>
        <v>Sulfate Dominant electron acceptor</v>
      </c>
      <c r="EA183" t="str">
        <f t="shared" si="216"/>
        <v>Sulfate Dominant electron acceptor</v>
      </c>
      <c r="EB183">
        <v>9.8867020000000007E-3</v>
      </c>
      <c r="EC183">
        <v>1.725182E-3</v>
      </c>
      <c r="ED183">
        <v>0</v>
      </c>
      <c r="EE183">
        <v>6.6812070000000004E-4</v>
      </c>
      <c r="EF183">
        <v>4.7767799999999996E-3</v>
      </c>
      <c r="EG183" s="66">
        <v>7.6067280000000003E-6</v>
      </c>
      <c r="EH183">
        <v>3.7028309999999999E-4</v>
      </c>
      <c r="EI183" s="66">
        <v>7.9222959999999994E-5</v>
      </c>
      <c r="EJ183">
        <v>4.8866950000000001E-4</v>
      </c>
      <c r="EK183">
        <v>7.7784169999999995E-4</v>
      </c>
      <c r="EL183">
        <v>5.3250219999999998E-4</v>
      </c>
      <c r="EM183">
        <v>3.3398020000000001E-4</v>
      </c>
      <c r="EN183">
        <v>1.940853E-3</v>
      </c>
      <c r="EO183">
        <v>7.9528960000000001E-4</v>
      </c>
      <c r="EP183">
        <v>2.1454389999999999E-3</v>
      </c>
      <c r="EQ183">
        <v>1.4212680000000001E-3</v>
      </c>
      <c r="ER183">
        <v>4.1275859999999998E-4</v>
      </c>
      <c r="ES183">
        <v>6.8016629999999995E-4</v>
      </c>
      <c r="ET183">
        <v>7.049479E-3</v>
      </c>
      <c r="EU183">
        <v>2.5544420000000001E-3</v>
      </c>
      <c r="EV183">
        <v>9.2756479999999992E-3</v>
      </c>
      <c r="EW183">
        <v>7.2795610000000001E-4</v>
      </c>
      <c r="EX183">
        <v>5.310599E-3</v>
      </c>
      <c r="EY183">
        <v>6.9425349999999997E-3</v>
      </c>
      <c r="EZ183">
        <v>1.2496829999999999E-3</v>
      </c>
      <c r="FA183">
        <v>8.8842800000000003E-4</v>
      </c>
      <c r="FB183">
        <v>9.2114240000000004E-4</v>
      </c>
      <c r="FC183">
        <v>1.714431E-3</v>
      </c>
      <c r="FD183">
        <v>2.616653E-4</v>
      </c>
      <c r="FE183">
        <v>2.3894120000000001E-2</v>
      </c>
      <c r="FF183">
        <v>1.900789E-2</v>
      </c>
      <c r="FG183">
        <v>1.0132510000000001E-2</v>
      </c>
      <c r="FH183">
        <v>8.5514619999999995E-4</v>
      </c>
      <c r="FI183">
        <v>1.432682E-3</v>
      </c>
      <c r="FJ183">
        <v>1.307872E-2</v>
      </c>
      <c r="FK183">
        <v>0.154071527570216</v>
      </c>
      <c r="FL183">
        <v>3.7621559257087399E-2</v>
      </c>
      <c r="FM183">
        <v>-0.46274951386497398</v>
      </c>
      <c r="FN183">
        <v>0.22069569305491701</v>
      </c>
      <c r="FO183">
        <v>-1.9148193069158401E-3</v>
      </c>
      <c r="FP183">
        <v>9.9699387541172704E-2</v>
      </c>
      <c r="FQ183">
        <v>7.8230934624175005E-2</v>
      </c>
      <c r="FR183">
        <v>0.15591615472611101</v>
      </c>
      <c r="FS183">
        <v>0.26146169607492298</v>
      </c>
      <c r="FT183">
        <v>-4.6643695925331997E-2</v>
      </c>
      <c r="FU183">
        <v>-2.6077575526580101E-2</v>
      </c>
      <c r="FV183">
        <v>1.26820266964538E-2</v>
      </c>
      <c r="FW183">
        <v>0.16235435364636999</v>
      </c>
      <c r="FX183">
        <v>4.10727287470323E-2</v>
      </c>
      <c r="FY183">
        <v>-2.33926693794979E-2</v>
      </c>
      <c r="FZ183">
        <v>-0.20805315217814699</v>
      </c>
      <c r="GA183">
        <v>-8.09191704780403E-2</v>
      </c>
      <c r="GB183">
        <v>4.8143593863661002E-2</v>
      </c>
      <c r="GC183">
        <v>0.121703867003983</v>
      </c>
      <c r="GD183">
        <v>6.5328196429091698E-2</v>
      </c>
      <c r="GE183">
        <v>2.4759074635473301E-2</v>
      </c>
      <c r="GF183">
        <v>-1.92708926851726E-2</v>
      </c>
      <c r="GG183">
        <v>-6.2582989443736595E-2</v>
      </c>
      <c r="GH183">
        <v>-7.0619359240448695E-2</v>
      </c>
      <c r="GI183">
        <v>-8.8739360937560199E-2</v>
      </c>
      <c r="GJ183">
        <v>-0.31111376995898798</v>
      </c>
      <c r="GK183">
        <v>2.4124697470038599E-2</v>
      </c>
      <c r="GL183">
        <v>0.24015067666779299</v>
      </c>
      <c r="GM183">
        <v>0.18354214601579799</v>
      </c>
      <c r="GN183">
        <v>7.5500760452792207E-2</v>
      </c>
      <c r="GO183">
        <v>-2.26567427233437E-3</v>
      </c>
      <c r="GP183">
        <v>0.21089402754950501</v>
      </c>
      <c r="HK183" s="1"/>
      <c r="HL183" s="1"/>
      <c r="HM183" s="65"/>
      <c r="HN183" s="1"/>
      <c r="HS183" s="65"/>
      <c r="HV183" s="65"/>
      <c r="HW183" s="65"/>
      <c r="HX183" s="65"/>
    </row>
    <row r="184" spans="1:278" ht="15.75" x14ac:dyDescent="0.25">
      <c r="A184" s="5" t="s">
        <v>236</v>
      </c>
      <c r="B184" s="5" t="s">
        <v>236</v>
      </c>
      <c r="C184" s="2" t="s">
        <v>1069</v>
      </c>
      <c r="D184" s="2" t="s">
        <v>626</v>
      </c>
      <c r="E184" s="2" t="s">
        <v>626</v>
      </c>
      <c r="F184" s="2">
        <v>183</v>
      </c>
      <c r="G184" s="2" t="s">
        <v>1068</v>
      </c>
      <c r="H184" s="10" t="s">
        <v>656</v>
      </c>
      <c r="I184" s="2">
        <v>150</v>
      </c>
      <c r="J184" s="2">
        <v>65</v>
      </c>
      <c r="K184" s="2">
        <v>16</v>
      </c>
      <c r="L184" t="s">
        <v>411</v>
      </c>
      <c r="M184" s="2" t="s">
        <v>1120</v>
      </c>
      <c r="N184" s="2" t="s">
        <v>437</v>
      </c>
      <c r="O184" s="2" t="s">
        <v>673</v>
      </c>
      <c r="P184" s="2" t="s">
        <v>1127</v>
      </c>
      <c r="Q184" s="9" t="s">
        <v>743</v>
      </c>
      <c r="R184" s="2" t="str">
        <f t="shared" si="145"/>
        <v>CW_3_Section_3</v>
      </c>
      <c r="S184" s="2" t="str">
        <f t="shared" si="146"/>
        <v>CW_3_MF09</v>
      </c>
      <c r="T184" s="11" t="s">
        <v>1029</v>
      </c>
      <c r="U184" s="1">
        <v>45959</v>
      </c>
      <c r="V184" s="2" t="s">
        <v>752</v>
      </c>
      <c r="W184" s="2" t="s">
        <v>655</v>
      </c>
      <c r="X184" s="2" t="s">
        <v>1028</v>
      </c>
      <c r="Y184" s="2" t="str">
        <f t="shared" si="147"/>
        <v>T7_MF09</v>
      </c>
      <c r="Z184" s="2" t="str">
        <f t="shared" si="148"/>
        <v>T7_CW_3_MF09</v>
      </c>
      <c r="AA184" s="2" t="str">
        <f t="shared" si="149"/>
        <v>T7_0.15-0.30</v>
      </c>
      <c r="AB184" s="2">
        <v>440</v>
      </c>
      <c r="AC184" s="2">
        <v>14.474</v>
      </c>
      <c r="AD184" s="2">
        <v>1.22</v>
      </c>
      <c r="AE184" s="2">
        <v>7</v>
      </c>
      <c r="AF184" t="s">
        <v>59</v>
      </c>
      <c r="AG184" t="s">
        <v>1237</v>
      </c>
      <c r="AH184">
        <v>71</v>
      </c>
      <c r="AI184" t="s">
        <v>443</v>
      </c>
      <c r="AJ184">
        <v>1.1000000000000001</v>
      </c>
      <c r="AK184">
        <v>6.09</v>
      </c>
      <c r="AL184">
        <v>12</v>
      </c>
      <c r="AM184">
        <v>-113</v>
      </c>
      <c r="AN184">
        <v>7.3</v>
      </c>
      <c r="AO184">
        <v>831</v>
      </c>
      <c r="AP184">
        <v>0.1</v>
      </c>
      <c r="AQ184">
        <v>0.01</v>
      </c>
      <c r="AR184">
        <v>21</v>
      </c>
      <c r="AS184">
        <v>21</v>
      </c>
      <c r="AT184">
        <v>110</v>
      </c>
      <c r="AU184" s="32">
        <f t="shared" si="161"/>
        <v>4.2248111637434388E-2</v>
      </c>
      <c r="AV184">
        <v>1.6</v>
      </c>
      <c r="AW184" s="32">
        <f t="shared" si="162"/>
        <v>6.2513566312133722E-4</v>
      </c>
      <c r="AX184">
        <v>35</v>
      </c>
      <c r="AY184" s="32">
        <f t="shared" si="163"/>
        <v>1.3845719129697655E-2</v>
      </c>
      <c r="AZ184">
        <v>25</v>
      </c>
      <c r="BA184" s="32">
        <f t="shared" si="164"/>
        <v>9.8897993783554679E-3</v>
      </c>
      <c r="BB184">
        <v>9.1</v>
      </c>
      <c r="BC184" s="32">
        <f t="shared" si="165"/>
        <v>3.5998869737213905E-3</v>
      </c>
      <c r="BD184">
        <v>34.1</v>
      </c>
      <c r="BF184" s="48">
        <v>180.7</v>
      </c>
      <c r="BG184" s="48">
        <f t="shared" si="166"/>
        <v>5.6718966430253377E-2</v>
      </c>
      <c r="BH184">
        <v>100</v>
      </c>
      <c r="BI184" s="32">
        <f t="shared" si="167"/>
        <v>3.745026137161582E-2</v>
      </c>
      <c r="BJ184" s="47">
        <v>120</v>
      </c>
      <c r="BK184" s="27">
        <f t="shared" si="168"/>
        <v>4.4940313645938985E-2</v>
      </c>
      <c r="BL184" s="47">
        <v>0.01</v>
      </c>
      <c r="BM184" s="27">
        <f t="shared" si="169"/>
        <v>3.6796110125501018E-6</v>
      </c>
      <c r="BN184" s="47">
        <v>0.48</v>
      </c>
      <c r="BO184" s="27">
        <f t="shared" si="170"/>
        <v>1.8053303936190908E-4</v>
      </c>
      <c r="BP184" s="47">
        <v>0.1</v>
      </c>
      <c r="BQ184" s="27">
        <f t="shared" si="171"/>
        <v>3.729996390326074E-5</v>
      </c>
      <c r="BR184" s="47">
        <v>0.02</v>
      </c>
      <c r="BS184" s="27">
        <f t="shared" si="172"/>
        <v>7.4061605790270997E-6</v>
      </c>
      <c r="BT184" s="47">
        <v>1E-3</v>
      </c>
      <c r="BU184" s="27">
        <f t="shared" si="173"/>
        <v>3.7030802895135499E-7</v>
      </c>
      <c r="BV184" s="47">
        <v>1E-3</v>
      </c>
      <c r="BW184" s="27">
        <f t="shared" si="174"/>
        <v>3.6588380716934485E-7</v>
      </c>
      <c r="BX184" s="47">
        <v>2E-3</v>
      </c>
      <c r="BY184" s="27">
        <f t="shared" si="175"/>
        <v>7.3176761433868969E-7</v>
      </c>
      <c r="BZ184" s="51">
        <f t="shared" si="176"/>
        <v>120.614</v>
      </c>
      <c r="CA184" s="51">
        <f t="shared" si="177"/>
        <v>0.61399999999999999</v>
      </c>
      <c r="CB184" s="27">
        <f t="shared" si="178"/>
        <v>4.5170700380246183E-2</v>
      </c>
      <c r="CC184" s="27">
        <f t="shared" si="179"/>
        <v>2.3038673430720644E-4</v>
      </c>
      <c r="CD184">
        <v>230</v>
      </c>
      <c r="CE184">
        <v>2.5</v>
      </c>
      <c r="CF184" t="s">
        <v>19</v>
      </c>
      <c r="CG184">
        <v>230</v>
      </c>
      <c r="CH184" s="32">
        <v>37</v>
      </c>
      <c r="CI184" s="32">
        <f t="shared" si="180"/>
        <v>0.66248880931065357</v>
      </c>
      <c r="CJ184" s="32">
        <f t="shared" si="181"/>
        <v>0.66248880931065357</v>
      </c>
      <c r="CK184" s="32">
        <v>5.4</v>
      </c>
      <c r="CL184" s="32">
        <f t="shared" si="182"/>
        <v>9.8306936100491543E-2</v>
      </c>
      <c r="CM184" s="32">
        <f t="shared" si="183"/>
        <v>0.19661387220098309</v>
      </c>
      <c r="CN184" s="27">
        <v>0.5</v>
      </c>
      <c r="CO184" s="27">
        <f t="shared" si="184"/>
        <v>5.2050801582344368E-3</v>
      </c>
      <c r="CP184" s="27">
        <f t="shared" si="185"/>
        <v>4.1640641265875494E-2</v>
      </c>
      <c r="CQ184" s="57">
        <v>24.5</v>
      </c>
      <c r="CR184" s="57">
        <v>98</v>
      </c>
      <c r="CS184" s="57">
        <v>2.0403914220278994</v>
      </c>
      <c r="CT184" s="57">
        <f t="shared" si="186"/>
        <v>2.0403914220278994</v>
      </c>
      <c r="CU184" s="28">
        <v>69.5</v>
      </c>
      <c r="CV184" s="28">
        <v>99.285714285714292</v>
      </c>
      <c r="CW184" s="28">
        <v>5.7880491359566939</v>
      </c>
      <c r="CX184" s="28">
        <f t="shared" si="187"/>
        <v>5.7880491359566939</v>
      </c>
      <c r="CY184" s="32">
        <f t="shared" si="188"/>
        <v>14.241932125754737</v>
      </c>
      <c r="CZ184" s="32">
        <f t="shared" si="189"/>
        <v>14.241932125754737</v>
      </c>
      <c r="DA184" s="32">
        <f t="shared" si="190"/>
        <v>51.241932125754737</v>
      </c>
      <c r="DB184" s="32">
        <f t="shared" si="191"/>
        <v>0.91749207029104274</v>
      </c>
      <c r="DC184" s="32">
        <f t="shared" si="192"/>
        <v>0.91749207029104274</v>
      </c>
      <c r="DD184" s="59">
        <f t="shared" si="193"/>
        <v>40.400582968977723</v>
      </c>
      <c r="DE184" s="59">
        <f t="shared" si="194"/>
        <v>40.400582968977723</v>
      </c>
      <c r="DF184" s="59">
        <f t="shared" si="195"/>
        <v>77.400582968977716</v>
      </c>
      <c r="DG184" s="59">
        <f t="shared" si="196"/>
        <v>1.3858654067856351</v>
      </c>
      <c r="DH184" s="59">
        <f t="shared" si="197"/>
        <v>1.3858654067856351</v>
      </c>
      <c r="DI184" s="32">
        <f t="shared" si="198"/>
        <v>4.1640641265875494E-2</v>
      </c>
      <c r="DJ184" s="32">
        <f t="shared" si="199"/>
        <v>82.800582968977722</v>
      </c>
      <c r="DK184" s="32">
        <f t="shared" si="200"/>
        <v>1.5824792789866182</v>
      </c>
      <c r="DL184">
        <f t="shared" si="201"/>
        <v>3.1544973645199255</v>
      </c>
      <c r="DM184">
        <f t="shared" si="206"/>
        <v>6.2328114270244518E-2</v>
      </c>
      <c r="DN184">
        <f t="shared" si="207"/>
        <v>0.29085206429730953</v>
      </c>
      <c r="DO184">
        <f t="shared" si="208"/>
        <v>0.64681982143244587</v>
      </c>
      <c r="DP184">
        <f t="shared" si="202"/>
        <v>7.3705284149433119</v>
      </c>
      <c r="DQ184">
        <f t="shared" si="209"/>
        <v>2.667568200434043E-2</v>
      </c>
      <c r="DR184">
        <f t="shared" si="210"/>
        <v>0.18802795793797833</v>
      </c>
      <c r="DS184">
        <f t="shared" si="211"/>
        <v>0.78529636005768122</v>
      </c>
      <c r="DT184" s="63">
        <f t="shared" si="212"/>
        <v>-3.0603281367180561</v>
      </c>
      <c r="DU184" s="63">
        <f t="shared" si="213"/>
        <v>-7.276359187141443</v>
      </c>
      <c r="DV184" s="63">
        <f t="shared" si="214"/>
        <v>-3.0600977499837492</v>
      </c>
      <c r="DW184" s="63">
        <f t="shared" si="215"/>
        <v>-7.2761288004071352</v>
      </c>
      <c r="DX184" t="str">
        <f t="shared" si="203"/>
        <v>Sufficient Capacity</v>
      </c>
      <c r="DY184" t="str">
        <f t="shared" si="204"/>
        <v>Sufficient Capacity</v>
      </c>
      <c r="DZ184" t="str">
        <f t="shared" si="205"/>
        <v>Sulfate Dominant electron acceptor</v>
      </c>
      <c r="EA184" t="str">
        <f t="shared" si="216"/>
        <v>Sulfate Dominant electron acceptor</v>
      </c>
      <c r="EB184">
        <v>1.000143E-2</v>
      </c>
      <c r="EC184">
        <v>1.558881E-3</v>
      </c>
      <c r="ED184" s="66">
        <v>1.9772819999999999E-7</v>
      </c>
      <c r="EE184">
        <v>6.8255099999999999E-4</v>
      </c>
      <c r="EF184">
        <v>4.9299790000000001E-3</v>
      </c>
      <c r="EG184" s="66">
        <v>2.691909E-5</v>
      </c>
      <c r="EH184">
        <v>3.8485329999999999E-4</v>
      </c>
      <c r="EI184" s="66">
        <v>9.8301069999999998E-5</v>
      </c>
      <c r="EJ184">
        <v>4.411277E-4</v>
      </c>
      <c r="EK184">
        <v>7.5760780000000004E-4</v>
      </c>
      <c r="EL184">
        <v>4.8471510000000002E-4</v>
      </c>
      <c r="EM184">
        <v>3.2732030000000002E-4</v>
      </c>
      <c r="EN184">
        <v>2.2807050000000001E-3</v>
      </c>
      <c r="EO184">
        <v>9.5258080000000002E-4</v>
      </c>
      <c r="EP184">
        <v>2.4245790000000001E-3</v>
      </c>
      <c r="EQ184">
        <v>1.2765319999999999E-3</v>
      </c>
      <c r="ER184">
        <v>4.1169319999999999E-4</v>
      </c>
      <c r="ES184">
        <v>7.9489529999999999E-4</v>
      </c>
      <c r="ET184">
        <v>1.1612580000000001E-2</v>
      </c>
      <c r="EU184">
        <v>2.923433E-3</v>
      </c>
      <c r="EV184">
        <v>8.7899550000000003E-3</v>
      </c>
      <c r="EW184">
        <v>6.1543429999999998E-4</v>
      </c>
      <c r="EX184">
        <v>4.8442809999999998E-3</v>
      </c>
      <c r="EY184">
        <v>6.9319150000000003E-3</v>
      </c>
      <c r="EZ184">
        <v>1.4989720000000001E-3</v>
      </c>
      <c r="FA184">
        <v>1.1955220000000001E-3</v>
      </c>
      <c r="FB184">
        <v>1.2392359999999999E-3</v>
      </c>
      <c r="FC184">
        <v>1.8468790000000001E-3</v>
      </c>
      <c r="FD184">
        <v>5.0044879999999996E-4</v>
      </c>
      <c r="FE184">
        <v>2.4234180000000001E-2</v>
      </c>
      <c r="FF184">
        <v>1.3257359999999999E-2</v>
      </c>
      <c r="FG184">
        <v>7.5443690000000004E-3</v>
      </c>
      <c r="FH184">
        <v>7.0734879999999995E-4</v>
      </c>
      <c r="FI184">
        <v>1.473065E-3</v>
      </c>
      <c r="FJ184">
        <v>9.455036E-3</v>
      </c>
      <c r="FK184">
        <v>0.175439931275085</v>
      </c>
      <c r="FL184">
        <v>6.9189608329211602E-2</v>
      </c>
      <c r="FM184">
        <v>0.80105306764103501</v>
      </c>
      <c r="FN184">
        <v>0.25929006756112699</v>
      </c>
      <c r="FO184">
        <v>0.21385393703505501</v>
      </c>
      <c r="FP184">
        <v>-2.6526016197605498E-3</v>
      </c>
      <c r="FQ184">
        <v>5.1873739075125998E-2</v>
      </c>
      <c r="FR184">
        <v>6.18904213524374E-2</v>
      </c>
      <c r="FS184">
        <v>0.24131918848560099</v>
      </c>
      <c r="FT184">
        <v>0.114713342610365</v>
      </c>
      <c r="FU184">
        <v>0.154391032221559</v>
      </c>
      <c r="FV184">
        <v>0.13499573432258999</v>
      </c>
      <c r="FW184">
        <v>5.4951948668306501E-2</v>
      </c>
      <c r="FX184">
        <v>3.8488222065032197E-2</v>
      </c>
      <c r="FY184">
        <v>0.13248041139462099</v>
      </c>
      <c r="FZ184">
        <v>0.29108212768200897</v>
      </c>
      <c r="GA184">
        <v>5.4005635656728203E-2</v>
      </c>
      <c r="GB184">
        <v>-5.6392851884306001E-3</v>
      </c>
      <c r="GC184">
        <v>-4.6208679735309802E-2</v>
      </c>
      <c r="GD184">
        <v>-2.6577604571497399E-2</v>
      </c>
      <c r="GE184">
        <v>2.32282028424926E-2</v>
      </c>
      <c r="GF184">
        <v>0.16261872798912599</v>
      </c>
      <c r="GG184">
        <v>0.234301590769292</v>
      </c>
      <c r="GH184">
        <v>0.22601634158777201</v>
      </c>
      <c r="GI184">
        <v>-1.4323420648544499E-2</v>
      </c>
      <c r="GJ184">
        <v>0.3373253196905</v>
      </c>
      <c r="GK184">
        <v>3.8256327269147399E-2</v>
      </c>
      <c r="GL184">
        <v>-0.12015060954561201</v>
      </c>
      <c r="GM184">
        <v>-0.111405463248877</v>
      </c>
      <c r="GN184">
        <v>-0.114247791587427</v>
      </c>
      <c r="GO184">
        <v>2.5531377717916501E-2</v>
      </c>
      <c r="GP184">
        <v>-0.11354494475136701</v>
      </c>
      <c r="GR184" s="66"/>
      <c r="GT184" s="66"/>
      <c r="GV184" s="66"/>
      <c r="GW184" s="65"/>
      <c r="HK184" s="1"/>
      <c r="HL184" s="1"/>
      <c r="HM184" s="1"/>
      <c r="HN184" s="1"/>
      <c r="HP184" s="65"/>
      <c r="HQ184" s="65"/>
      <c r="HS184" s="65"/>
      <c r="HT184" s="65"/>
      <c r="HU184" s="65"/>
      <c r="HV184" s="65"/>
      <c r="HW184" s="65"/>
      <c r="HX184" s="65"/>
      <c r="JD184" s="66"/>
      <c r="JF184" s="66"/>
      <c r="JH184" s="66"/>
      <c r="JJ184" s="66"/>
      <c r="JL184" s="66"/>
      <c r="JN184" s="66"/>
    </row>
    <row r="185" spans="1:278" ht="15.75" x14ac:dyDescent="0.25">
      <c r="A185" s="5" t="s">
        <v>237</v>
      </c>
      <c r="B185" s="5" t="s">
        <v>237</v>
      </c>
      <c r="C185" s="2" t="s">
        <v>1071</v>
      </c>
      <c r="D185" s="2" t="s">
        <v>627</v>
      </c>
      <c r="E185" s="2" t="s">
        <v>627</v>
      </c>
      <c r="F185" s="2">
        <v>184</v>
      </c>
      <c r="G185" s="2" t="s">
        <v>1070</v>
      </c>
      <c r="H185" s="10" t="s">
        <v>656</v>
      </c>
      <c r="I185" s="2">
        <v>150</v>
      </c>
      <c r="J185" s="2">
        <v>65</v>
      </c>
      <c r="K185" s="2">
        <v>5.5</v>
      </c>
      <c r="L185" t="s">
        <v>412</v>
      </c>
      <c r="M185" s="2" t="s">
        <v>1120</v>
      </c>
      <c r="N185" s="2" t="s">
        <v>437</v>
      </c>
      <c r="O185" s="2" t="s">
        <v>673</v>
      </c>
      <c r="P185" s="2" t="s">
        <v>1128</v>
      </c>
      <c r="Q185" s="9" t="s">
        <v>746</v>
      </c>
      <c r="R185" s="2" t="str">
        <f t="shared" si="145"/>
        <v>CW_3_Section_3</v>
      </c>
      <c r="S185" s="2" t="str">
        <f t="shared" si="146"/>
        <v>CW_3_MF10</v>
      </c>
      <c r="T185" s="11" t="s">
        <v>1029</v>
      </c>
      <c r="U185" s="1">
        <v>45959</v>
      </c>
      <c r="V185" s="2" t="s">
        <v>752</v>
      </c>
      <c r="W185" s="2" t="s">
        <v>663</v>
      </c>
      <c r="X185" s="2" t="s">
        <v>1028</v>
      </c>
      <c r="Y185" s="2" t="str">
        <f t="shared" si="147"/>
        <v>T7_MF10</v>
      </c>
      <c r="Z185" s="2" t="str">
        <f t="shared" si="148"/>
        <v>T7_CW_3_MF10</v>
      </c>
      <c r="AA185" s="2" t="str">
        <f t="shared" si="149"/>
        <v>T7_0.60-0.80</v>
      </c>
      <c r="AB185" s="2">
        <v>440</v>
      </c>
      <c r="AC185" s="2">
        <v>14.474</v>
      </c>
      <c r="AD185" s="2">
        <v>1.22</v>
      </c>
      <c r="AE185" s="2">
        <v>7</v>
      </c>
      <c r="AF185" t="s">
        <v>61</v>
      </c>
      <c r="AG185" t="s">
        <v>1237</v>
      </c>
      <c r="AH185">
        <v>65</v>
      </c>
      <c r="AI185" t="s">
        <v>443</v>
      </c>
      <c r="AJ185">
        <v>0.36</v>
      </c>
      <c r="AK185">
        <v>0.71</v>
      </c>
      <c r="AL185">
        <v>12</v>
      </c>
      <c r="AM185">
        <v>-188</v>
      </c>
      <c r="AN185">
        <v>7.3</v>
      </c>
      <c r="AO185">
        <v>676</v>
      </c>
      <c r="AP185">
        <v>0.2</v>
      </c>
      <c r="AQ185">
        <v>0.01</v>
      </c>
      <c r="AR185">
        <v>8.6</v>
      </c>
      <c r="AS185">
        <v>8.9</v>
      </c>
      <c r="AT185">
        <v>330</v>
      </c>
      <c r="AU185" s="32">
        <f t="shared" si="161"/>
        <v>0.12674433491230316</v>
      </c>
      <c r="AV185">
        <v>3.1</v>
      </c>
      <c r="AW185" s="32">
        <f t="shared" si="162"/>
        <v>1.2112003472975908E-3</v>
      </c>
      <c r="AX185">
        <v>36</v>
      </c>
      <c r="AY185" s="32">
        <f t="shared" si="163"/>
        <v>1.4241311104831874E-2</v>
      </c>
      <c r="AZ185">
        <v>10</v>
      </c>
      <c r="BA185" s="32">
        <f t="shared" si="164"/>
        <v>3.9559197513421868E-3</v>
      </c>
      <c r="BB185">
        <v>2.6</v>
      </c>
      <c r="BC185" s="32">
        <f t="shared" si="165"/>
        <v>1.0285391353489688E-3</v>
      </c>
      <c r="BD185">
        <v>12.6</v>
      </c>
      <c r="BF185" s="48">
        <v>381.7</v>
      </c>
      <c r="BG185" s="48">
        <f t="shared" si="166"/>
        <v>0.14219684636443264</v>
      </c>
      <c r="BH185">
        <v>52</v>
      </c>
      <c r="BI185" s="32">
        <f t="shared" si="167"/>
        <v>1.9474135913240227E-2</v>
      </c>
      <c r="BJ185" s="47">
        <v>70</v>
      </c>
      <c r="BK185" s="27">
        <f t="shared" si="168"/>
        <v>2.6215182960131075E-2</v>
      </c>
      <c r="BL185" s="47">
        <v>1.6</v>
      </c>
      <c r="BM185" s="27">
        <f t="shared" si="169"/>
        <v>5.8873776200801635E-4</v>
      </c>
      <c r="BN185" s="47">
        <v>110</v>
      </c>
      <c r="BO185" s="27">
        <f t="shared" si="170"/>
        <v>4.1372154853770833E-2</v>
      </c>
      <c r="BP185" s="47">
        <v>25</v>
      </c>
      <c r="BQ185" s="27">
        <f t="shared" si="171"/>
        <v>9.3249909758151856E-3</v>
      </c>
      <c r="BR185" s="47">
        <v>19</v>
      </c>
      <c r="BS185" s="27">
        <f t="shared" si="172"/>
        <v>7.0358525500757449E-3</v>
      </c>
      <c r="BT185" s="47">
        <v>3.3</v>
      </c>
      <c r="BU185" s="27">
        <f t="shared" si="173"/>
        <v>1.2220164955394715E-3</v>
      </c>
      <c r="BV185" s="47">
        <v>0.41</v>
      </c>
      <c r="BW185" s="27">
        <f t="shared" si="174"/>
        <v>1.5001236093943138E-4</v>
      </c>
      <c r="BX185" s="47">
        <v>0.27</v>
      </c>
      <c r="BY185" s="27">
        <f t="shared" si="175"/>
        <v>9.8788627935723116E-5</v>
      </c>
      <c r="BZ185" s="51">
        <f t="shared" si="176"/>
        <v>229.58</v>
      </c>
      <c r="CA185" s="51">
        <f t="shared" si="177"/>
        <v>159.58000000000001</v>
      </c>
      <c r="CB185" s="27">
        <f t="shared" si="178"/>
        <v>8.6007736586215494E-2</v>
      </c>
      <c r="CC185" s="27">
        <f t="shared" si="179"/>
        <v>5.9792553626084398E-2</v>
      </c>
      <c r="CD185">
        <v>320</v>
      </c>
      <c r="CE185">
        <v>560</v>
      </c>
      <c r="CF185" t="s">
        <v>19</v>
      </c>
      <c r="CG185">
        <v>880</v>
      </c>
      <c r="CH185" s="32">
        <v>1.4</v>
      </c>
      <c r="CI185" s="32">
        <f t="shared" si="180"/>
        <v>2.506714413607878E-2</v>
      </c>
      <c r="CJ185" s="32">
        <f t="shared" si="181"/>
        <v>2.506714413607878E-2</v>
      </c>
      <c r="CK185" s="32">
        <v>2</v>
      </c>
      <c r="CL185" s="32">
        <f t="shared" si="182"/>
        <v>3.6409976333515386E-2</v>
      </c>
      <c r="CM185" s="32">
        <f t="shared" si="183"/>
        <v>7.2819952667030771E-2</v>
      </c>
      <c r="CN185" s="27">
        <v>56</v>
      </c>
      <c r="CO185" s="27">
        <f t="shared" si="184"/>
        <v>0.58296897772225686</v>
      </c>
      <c r="CP185" s="27">
        <f t="shared" si="185"/>
        <v>4.6637518217780549</v>
      </c>
      <c r="CQ185" s="57">
        <v>-31</v>
      </c>
      <c r="CR185" s="57">
        <v>-124</v>
      </c>
      <c r="CS185" s="57">
        <v>-2.5817197584842808</v>
      </c>
      <c r="CT185" s="57">
        <f t="shared" si="186"/>
        <v>0</v>
      </c>
      <c r="CU185" s="28">
        <v>-35</v>
      </c>
      <c r="CV185" s="28">
        <v>-166.66666666666669</v>
      </c>
      <c r="CW185" s="28">
        <v>-2.9148448886112845</v>
      </c>
      <c r="CX185" s="28">
        <f t="shared" si="187"/>
        <v>0</v>
      </c>
      <c r="CY185" s="32">
        <f t="shared" si="188"/>
        <v>-18.020403914220278</v>
      </c>
      <c r="CZ185" s="32">
        <f t="shared" si="189"/>
        <v>0</v>
      </c>
      <c r="DA185" s="32">
        <f t="shared" si="190"/>
        <v>1.4</v>
      </c>
      <c r="DB185" s="32">
        <f t="shared" si="191"/>
        <v>2.506714413607878E-2</v>
      </c>
      <c r="DC185" s="32">
        <f t="shared" si="192"/>
        <v>2.506714413607878E-2</v>
      </c>
      <c r="DD185" s="59">
        <f t="shared" si="193"/>
        <v>-20.345617322506765</v>
      </c>
      <c r="DE185" s="59">
        <f t="shared" si="194"/>
        <v>0</v>
      </c>
      <c r="DF185" s="59">
        <f t="shared" si="195"/>
        <v>1.4</v>
      </c>
      <c r="DG185" s="59">
        <f t="shared" si="196"/>
        <v>2.506714413607878E-2</v>
      </c>
      <c r="DH185" s="59">
        <f t="shared" si="197"/>
        <v>2.506714413607878E-2</v>
      </c>
      <c r="DI185" s="32">
        <f t="shared" si="198"/>
        <v>4.6637518217780549</v>
      </c>
      <c r="DJ185" s="32">
        <f t="shared" si="199"/>
        <v>3.4</v>
      </c>
      <c r="DK185" s="32">
        <f t="shared" si="200"/>
        <v>9.7887096803109558E-2</v>
      </c>
      <c r="DL185">
        <f t="shared" si="201"/>
        <v>9.7887096803109558E-2</v>
      </c>
      <c r="DM185">
        <f t="shared" si="206"/>
        <v>0.74391778942531184</v>
      </c>
      <c r="DN185">
        <f t="shared" si="207"/>
        <v>0.25608221057468811</v>
      </c>
      <c r="DO185">
        <f t="shared" si="208"/>
        <v>0</v>
      </c>
      <c r="DP185">
        <f t="shared" si="202"/>
        <v>9.7887096803109558E-2</v>
      </c>
      <c r="DQ185">
        <f t="shared" si="209"/>
        <v>0.74391778942531184</v>
      </c>
      <c r="DR185">
        <f t="shared" si="210"/>
        <v>0.25608221057468811</v>
      </c>
      <c r="DS185">
        <f t="shared" si="211"/>
        <v>0</v>
      </c>
      <c r="DT185" s="63">
        <f t="shared" si="212"/>
        <v>6.3783885474563318E-2</v>
      </c>
      <c r="DU185" s="63">
        <f t="shared" si="213"/>
        <v>6.3783885474563318E-2</v>
      </c>
      <c r="DV185" s="63">
        <f t="shared" si="214"/>
        <v>0.12357643910064772</v>
      </c>
      <c r="DW185" s="63">
        <f t="shared" si="215"/>
        <v>0.12357643910064772</v>
      </c>
      <c r="DX185" t="str">
        <f t="shared" si="203"/>
        <v>Insufficient Capacity</v>
      </c>
      <c r="DY185" t="str">
        <f t="shared" si="204"/>
        <v>Insufficient Capacity</v>
      </c>
      <c r="DZ185" t="str">
        <f t="shared" si="205"/>
        <v>Iron Dominant electron acceptor</v>
      </c>
      <c r="EA185" t="str">
        <f t="shared" si="216"/>
        <v>Iron Dominant electron acceptor</v>
      </c>
      <c r="EB185">
        <v>1.066518E-2</v>
      </c>
      <c r="EC185">
        <v>1.929252E-3</v>
      </c>
      <c r="ED185">
        <v>0</v>
      </c>
      <c r="EE185">
        <v>5.4789840000000003E-4</v>
      </c>
      <c r="EF185">
        <v>4.2068080000000002E-3</v>
      </c>
      <c r="EG185" s="66">
        <v>1.178082E-5</v>
      </c>
      <c r="EH185">
        <v>2.8184999999999999E-4</v>
      </c>
      <c r="EI185" s="66">
        <v>5.330754E-5</v>
      </c>
      <c r="EJ185">
        <v>6.834896E-4</v>
      </c>
      <c r="EK185">
        <v>9.830450000000001E-4</v>
      </c>
      <c r="EL185">
        <v>5.1270999999999999E-4</v>
      </c>
      <c r="EM185">
        <v>2.0672139999999999E-4</v>
      </c>
      <c r="EN185">
        <v>1.73675E-3</v>
      </c>
      <c r="EO185">
        <v>5.5433939999999997E-4</v>
      </c>
      <c r="EP185">
        <v>1.8113409999999999E-3</v>
      </c>
      <c r="EQ185">
        <v>1.6696980000000001E-3</v>
      </c>
      <c r="ER185">
        <v>4.2362520000000002E-4</v>
      </c>
      <c r="ES185">
        <v>5.9016150000000002E-4</v>
      </c>
      <c r="ET185">
        <v>7.1910940000000003E-3</v>
      </c>
      <c r="EU185">
        <v>3.0342149999999998E-3</v>
      </c>
      <c r="EV185">
        <v>9.0433389999999992E-3</v>
      </c>
      <c r="EW185">
        <v>6.3122639999999995E-4</v>
      </c>
      <c r="EX185">
        <v>5.8109310000000001E-3</v>
      </c>
      <c r="EY185">
        <v>7.714093E-3</v>
      </c>
      <c r="EZ185">
        <v>9.9066090000000007E-4</v>
      </c>
      <c r="FA185">
        <v>7.0134799999999997E-4</v>
      </c>
      <c r="FB185">
        <v>7.456788E-4</v>
      </c>
      <c r="FC185">
        <v>1.5995390000000001E-3</v>
      </c>
      <c r="FD185">
        <v>2.6980469999999998E-4</v>
      </c>
      <c r="FE185">
        <v>2.1549579999999999E-2</v>
      </c>
      <c r="FF185">
        <v>2.159179E-2</v>
      </c>
      <c r="FG185">
        <v>1.099252E-2</v>
      </c>
      <c r="FH185">
        <v>1.095167E-3</v>
      </c>
      <c r="FI185">
        <v>1.5435329999999999E-3</v>
      </c>
      <c r="FJ185">
        <v>1.337736E-2</v>
      </c>
      <c r="FK185">
        <v>-4.4307449967774901E-2</v>
      </c>
      <c r="FL185">
        <v>-8.9440954736508302E-2</v>
      </c>
      <c r="FM185">
        <v>-2.5309847392378501E-2</v>
      </c>
      <c r="FN185">
        <v>-5.2197140624242501E-2</v>
      </c>
      <c r="FO185">
        <v>-0.398103190523175</v>
      </c>
      <c r="FP185">
        <v>0.43522443593667098</v>
      </c>
      <c r="FQ185">
        <v>0.31236279891500301</v>
      </c>
      <c r="FR185">
        <v>0.118039508878685</v>
      </c>
      <c r="FS185">
        <v>-0.21824802069031299</v>
      </c>
      <c r="FT185">
        <v>-0.15775571249572501</v>
      </c>
      <c r="FU185">
        <v>-0.387006766035911</v>
      </c>
      <c r="FV185">
        <v>-0.156594711811193</v>
      </c>
      <c r="FW185">
        <v>0.323447694488398</v>
      </c>
      <c r="FX185">
        <v>6.7058912349574798E-2</v>
      </c>
      <c r="FY185">
        <v>-0.16533376821711801</v>
      </c>
      <c r="FZ185">
        <v>-0.18816354963196699</v>
      </c>
      <c r="GA185">
        <v>9.1199766983457706E-2</v>
      </c>
      <c r="GB185">
        <v>2.2779587196653801E-2</v>
      </c>
      <c r="GC185">
        <v>-2.0872283424573399E-2</v>
      </c>
      <c r="GD185">
        <v>0.15536436050146399</v>
      </c>
      <c r="GE185">
        <v>0.130141008753205</v>
      </c>
      <c r="GF185">
        <v>-0.251543794662966</v>
      </c>
      <c r="GG185">
        <v>-0.299032400783527</v>
      </c>
      <c r="GH185">
        <v>-0.28193905361134602</v>
      </c>
      <c r="GI185">
        <v>-0.158105145349415</v>
      </c>
      <c r="GJ185">
        <v>-0.28048161219644602</v>
      </c>
      <c r="GK185">
        <v>-7.9151379293015203E-2</v>
      </c>
      <c r="GL185">
        <v>0.36760967038536801</v>
      </c>
      <c r="GM185">
        <v>0.26500812106619798</v>
      </c>
      <c r="GN185">
        <v>0.32289045401926098</v>
      </c>
      <c r="GO185">
        <v>7.22600582924251E-2</v>
      </c>
      <c r="GP185">
        <v>0.23347127145118499</v>
      </c>
      <c r="GV185" s="66"/>
      <c r="HK185" s="1"/>
      <c r="HL185" s="1"/>
      <c r="HM185" s="65"/>
      <c r="HN185" s="1"/>
      <c r="HP185" s="65"/>
      <c r="HS185" s="65"/>
      <c r="HT185" s="65"/>
      <c r="HV185" s="65"/>
      <c r="JJ185" s="66"/>
      <c r="JL185" s="66"/>
      <c r="JN185" s="66"/>
    </row>
    <row r="186" spans="1:278" ht="15.75" x14ac:dyDescent="0.25">
      <c r="A186" s="29" t="s">
        <v>238</v>
      </c>
      <c r="B186" s="29" t="s">
        <v>238</v>
      </c>
      <c r="C186" s="29" t="s">
        <v>1073</v>
      </c>
      <c r="D186" s="29" t="s">
        <v>628</v>
      </c>
      <c r="E186" s="29" t="s">
        <v>628</v>
      </c>
      <c r="F186" s="29">
        <v>185</v>
      </c>
      <c r="G186" s="37" t="s">
        <v>1072</v>
      </c>
      <c r="H186" s="30" t="s">
        <v>656</v>
      </c>
      <c r="I186" s="29">
        <v>150</v>
      </c>
      <c r="J186" s="29">
        <v>65</v>
      </c>
      <c r="K186" s="34">
        <v>10.85</v>
      </c>
      <c r="L186" s="32" t="s">
        <v>413</v>
      </c>
      <c r="M186" s="29" t="s">
        <v>1118</v>
      </c>
      <c r="N186" s="29" t="s">
        <v>688</v>
      </c>
      <c r="O186" s="29" t="s">
        <v>687</v>
      </c>
      <c r="P186" s="29" t="s">
        <v>1118</v>
      </c>
      <c r="Q186" s="29" t="s">
        <v>443</v>
      </c>
      <c r="R186" s="2" t="str">
        <f t="shared" si="145"/>
        <v>CW_0_Section_0</v>
      </c>
      <c r="S186" s="2" t="str">
        <f t="shared" si="146"/>
        <v>CW_0_INF</v>
      </c>
      <c r="T186" s="31" t="s">
        <v>1075</v>
      </c>
      <c r="U186" s="33">
        <v>46007</v>
      </c>
      <c r="V186" s="29" t="s">
        <v>799</v>
      </c>
      <c r="W186" s="29" t="s">
        <v>1118</v>
      </c>
      <c r="X186" s="29" t="s">
        <v>1074</v>
      </c>
      <c r="Y186" s="2" t="str">
        <f t="shared" si="147"/>
        <v>T8_INF</v>
      </c>
      <c r="Z186" s="2" t="str">
        <f t="shared" si="148"/>
        <v>T8_CW_0_INF</v>
      </c>
      <c r="AA186" s="2" t="str">
        <f t="shared" si="149"/>
        <v>T8_INF</v>
      </c>
      <c r="AB186" s="2">
        <v>490</v>
      </c>
      <c r="AC186" s="2">
        <v>16.117999999999999</v>
      </c>
      <c r="AD186" s="2">
        <v>1.53</v>
      </c>
      <c r="AE186" s="2">
        <v>8</v>
      </c>
      <c r="AF186" s="32" t="s">
        <v>27</v>
      </c>
      <c r="AG186" t="s">
        <v>1237</v>
      </c>
      <c r="AH186" s="32">
        <v>72</v>
      </c>
      <c r="AI186" s="32" t="s">
        <v>443</v>
      </c>
      <c r="AJ186" s="32">
        <v>0.75</v>
      </c>
      <c r="AK186" s="32" t="s">
        <v>443</v>
      </c>
      <c r="AL186" s="32" t="s">
        <v>443</v>
      </c>
      <c r="AM186" s="32" t="s">
        <v>443</v>
      </c>
      <c r="AN186" s="32" t="s">
        <v>443</v>
      </c>
      <c r="AO186" s="32" t="s">
        <v>443</v>
      </c>
      <c r="AP186" s="32" t="s">
        <v>443</v>
      </c>
      <c r="AQ186" s="32">
        <v>0.01</v>
      </c>
      <c r="AR186" s="32">
        <v>15</v>
      </c>
      <c r="AS186" s="32">
        <v>23</v>
      </c>
      <c r="AT186" s="32">
        <v>500</v>
      </c>
      <c r="AU186" s="32">
        <f t="shared" si="161"/>
        <v>0.19203687107924722</v>
      </c>
      <c r="AV186" s="32">
        <v>210</v>
      </c>
      <c r="AW186" s="32">
        <f t="shared" si="162"/>
        <v>8.2049055784675501E-2</v>
      </c>
      <c r="AX186" s="32">
        <v>490</v>
      </c>
      <c r="AY186" s="32">
        <f t="shared" si="163"/>
        <v>0.19384006781576718</v>
      </c>
      <c r="AZ186" s="32">
        <v>230</v>
      </c>
      <c r="BA186" s="32">
        <f t="shared" si="164"/>
        <v>9.0986154280870299E-2</v>
      </c>
      <c r="BB186" s="32">
        <v>320</v>
      </c>
      <c r="BC186" s="32">
        <f t="shared" si="165"/>
        <v>0.12658943204294998</v>
      </c>
      <c r="BD186" s="32">
        <v>550</v>
      </c>
      <c r="BE186" s="32"/>
      <c r="BF186" s="48">
        <v>1750</v>
      </c>
      <c r="BG186" s="48">
        <f t="shared" si="166"/>
        <v>0.46792599467968993</v>
      </c>
      <c r="BH186" s="32">
        <v>4700</v>
      </c>
      <c r="BI186" s="32">
        <f t="shared" si="167"/>
        <v>1.7601622844659439</v>
      </c>
      <c r="BJ186" s="47">
        <v>4100</v>
      </c>
      <c r="BK186" s="27">
        <f t="shared" si="168"/>
        <v>1.5354607162362488</v>
      </c>
      <c r="BL186" s="47">
        <v>160</v>
      </c>
      <c r="BM186" s="27">
        <f t="shared" si="169"/>
        <v>5.8873776200801628E-2</v>
      </c>
      <c r="BN186" s="47">
        <v>180</v>
      </c>
      <c r="BO186" s="27">
        <f t="shared" si="170"/>
        <v>6.769988976071592E-2</v>
      </c>
      <c r="BP186" s="47">
        <v>100</v>
      </c>
      <c r="BQ186" s="27">
        <f t="shared" si="171"/>
        <v>3.7299963903260742E-2</v>
      </c>
      <c r="BR186" s="47">
        <v>94</v>
      </c>
      <c r="BS186" s="27">
        <f t="shared" si="172"/>
        <v>3.4808954721427372E-2</v>
      </c>
      <c r="BT186" s="47">
        <v>18</v>
      </c>
      <c r="BU186" s="27">
        <f t="shared" si="173"/>
        <v>6.66554452112439E-3</v>
      </c>
      <c r="BV186" s="47">
        <v>7.4</v>
      </c>
      <c r="BW186" s="27">
        <f t="shared" si="174"/>
        <v>2.7075401730531521E-3</v>
      </c>
      <c r="BX186" s="47">
        <v>8.4</v>
      </c>
      <c r="BY186" s="27">
        <f t="shared" si="175"/>
        <v>3.073423980222497E-3</v>
      </c>
      <c r="BZ186" s="51">
        <f t="shared" si="176"/>
        <v>4667.7999999999993</v>
      </c>
      <c r="CA186" s="51">
        <f t="shared" si="177"/>
        <v>567.79999999999995</v>
      </c>
      <c r="CB186" s="27">
        <f t="shared" si="178"/>
        <v>1.7465898094968546</v>
      </c>
      <c r="CC186" s="27">
        <f t="shared" si="179"/>
        <v>0.21112909326060569</v>
      </c>
      <c r="CD186" s="32">
        <v>9300</v>
      </c>
      <c r="CE186" s="32">
        <v>5700</v>
      </c>
      <c r="CF186" s="32">
        <v>95</v>
      </c>
      <c r="CG186" s="32">
        <v>16000</v>
      </c>
      <c r="CH186" s="32">
        <v>1.5</v>
      </c>
      <c r="CI186" s="32">
        <f t="shared" si="180"/>
        <v>2.685765443151298E-2</v>
      </c>
      <c r="CJ186" s="32">
        <f t="shared" si="181"/>
        <v>2.685765443151298E-2</v>
      </c>
      <c r="CK186" s="32">
        <v>0.8</v>
      </c>
      <c r="CL186" s="32">
        <f t="shared" si="182"/>
        <v>1.4563990533406155E-2</v>
      </c>
      <c r="CM186" s="32">
        <f t="shared" si="183"/>
        <v>2.912798106681231E-2</v>
      </c>
      <c r="CN186" s="32">
        <v>72</v>
      </c>
      <c r="CO186" s="32">
        <f t="shared" si="184"/>
        <v>0.74953154278575884</v>
      </c>
      <c r="CP186" s="32">
        <f t="shared" si="185"/>
        <v>5.9962523422860707</v>
      </c>
      <c r="CQ186" s="57">
        <v>0</v>
      </c>
      <c r="CR186" s="57">
        <v>0</v>
      </c>
      <c r="CS186" s="57">
        <v>0</v>
      </c>
      <c r="CT186" s="57">
        <f t="shared" si="186"/>
        <v>0</v>
      </c>
      <c r="CU186" s="28">
        <v>0</v>
      </c>
      <c r="CV186" s="28">
        <v>0</v>
      </c>
      <c r="CW186" s="28">
        <v>0</v>
      </c>
      <c r="CX186" s="28">
        <f t="shared" si="187"/>
        <v>0</v>
      </c>
      <c r="CY186" s="32">
        <f t="shared" si="188"/>
        <v>0</v>
      </c>
      <c r="CZ186" s="32">
        <f t="shared" si="189"/>
        <v>0</v>
      </c>
      <c r="DA186" s="32">
        <f t="shared" si="190"/>
        <v>1.5</v>
      </c>
      <c r="DB186" s="32">
        <f t="shared" si="191"/>
        <v>2.685765443151298E-2</v>
      </c>
      <c r="DC186" s="32">
        <f t="shared" si="192"/>
        <v>2.685765443151298E-2</v>
      </c>
      <c r="DD186" s="59">
        <f t="shared" si="193"/>
        <v>0</v>
      </c>
      <c r="DE186" s="59">
        <f t="shared" si="194"/>
        <v>0</v>
      </c>
      <c r="DF186" s="59">
        <f t="shared" si="195"/>
        <v>1.5</v>
      </c>
      <c r="DG186" s="59">
        <f t="shared" si="196"/>
        <v>2.685765443151298E-2</v>
      </c>
      <c r="DH186" s="59">
        <f t="shared" si="197"/>
        <v>2.685765443151298E-2</v>
      </c>
      <c r="DI186" s="32">
        <f t="shared" si="198"/>
        <v>5.9962523422860707</v>
      </c>
      <c r="DJ186" s="32">
        <f t="shared" si="199"/>
        <v>2.2999999999999998</v>
      </c>
      <c r="DK186" s="32">
        <f t="shared" si="200"/>
        <v>5.598563549832529E-2</v>
      </c>
      <c r="DL186">
        <f t="shared" si="201"/>
        <v>5.598563549832529E-2</v>
      </c>
      <c r="DM186">
        <f t="shared" si="206"/>
        <v>0.520275974498559</v>
      </c>
      <c r="DN186">
        <f t="shared" si="207"/>
        <v>0.47972402550144094</v>
      </c>
      <c r="DO186">
        <f t="shared" si="208"/>
        <v>0</v>
      </c>
      <c r="DP186">
        <f t="shared" si="202"/>
        <v>5.598563549832529E-2</v>
      </c>
      <c r="DQ186">
        <f t="shared" si="209"/>
        <v>0.520275974498559</v>
      </c>
      <c r="DR186">
        <f t="shared" si="210"/>
        <v>0.47972402550144094</v>
      </c>
      <c r="DS186">
        <f t="shared" si="211"/>
        <v>0</v>
      </c>
      <c r="DT186" s="63">
        <f t="shared" si="212"/>
        <v>2.1721026436473085</v>
      </c>
      <c r="DU186" s="63">
        <f t="shared" si="213"/>
        <v>2.1721026436473085</v>
      </c>
      <c r="DV186" s="63">
        <f t="shared" si="214"/>
        <v>2.3832317369079141</v>
      </c>
      <c r="DW186" s="63">
        <f t="shared" si="215"/>
        <v>2.3832317369079141</v>
      </c>
      <c r="DX186" t="str">
        <f t="shared" si="203"/>
        <v>Insufficient Capacity</v>
      </c>
      <c r="DY186" t="str">
        <f t="shared" si="204"/>
        <v>Insufficient Capacity</v>
      </c>
      <c r="DZ186" t="str">
        <f t="shared" si="205"/>
        <v>Iron Dominant electron acceptor</v>
      </c>
      <c r="EA186" t="str">
        <f t="shared" si="216"/>
        <v>Iron Dominant electron acceptor</v>
      </c>
      <c r="EB186">
        <v>1.067211E-2</v>
      </c>
      <c r="EC186">
        <v>1.9826599999999998E-3</v>
      </c>
      <c r="ED186">
        <v>0</v>
      </c>
      <c r="EE186">
        <v>3.2766659999999999E-4</v>
      </c>
      <c r="EF186">
        <v>3.3426889999999998E-3</v>
      </c>
      <c r="EG186" s="66">
        <v>1.324859E-5</v>
      </c>
      <c r="EH186">
        <v>2.072907E-4</v>
      </c>
      <c r="EI186" s="66">
        <v>2.8268760000000002E-6</v>
      </c>
      <c r="EJ186">
        <v>7.4667980000000004E-4</v>
      </c>
      <c r="EK186">
        <v>1.138638E-3</v>
      </c>
      <c r="EL186">
        <v>4.9311649999999999E-4</v>
      </c>
      <c r="EM186">
        <v>1.036269E-4</v>
      </c>
      <c r="EN186">
        <v>1.7844860000000001E-3</v>
      </c>
      <c r="EO186">
        <v>4.0426470000000001E-4</v>
      </c>
      <c r="EP186">
        <v>1.2258569999999999E-3</v>
      </c>
      <c r="EQ186">
        <v>2.0059269999999998E-3</v>
      </c>
      <c r="ER186">
        <v>2.7450290000000002E-4</v>
      </c>
      <c r="ES186">
        <v>6.5870740000000005E-4</v>
      </c>
      <c r="ET186">
        <v>6.0959300000000003E-3</v>
      </c>
      <c r="EU186">
        <v>2.6146950000000002E-3</v>
      </c>
      <c r="EV186">
        <v>9.9528959999999993E-3</v>
      </c>
      <c r="EW186">
        <v>7.4817470000000002E-4</v>
      </c>
      <c r="EX186">
        <v>6.1474930000000004E-3</v>
      </c>
      <c r="EY186">
        <v>7.7548239999999996E-3</v>
      </c>
      <c r="EZ186">
        <v>5.7032220000000002E-4</v>
      </c>
      <c r="FA186">
        <v>2.9217209999999997E-4</v>
      </c>
      <c r="FB186">
        <v>3.1939760000000001E-4</v>
      </c>
      <c r="FC186">
        <v>1.3131460000000001E-3</v>
      </c>
      <c r="FD186">
        <v>5.9291309999999996E-4</v>
      </c>
      <c r="FE186">
        <v>1.7265679999999999E-2</v>
      </c>
      <c r="FF186">
        <v>2.3799799999999999E-2</v>
      </c>
      <c r="FG186">
        <v>1.128585E-2</v>
      </c>
      <c r="FH186">
        <v>1.1528899999999999E-3</v>
      </c>
      <c r="FI186">
        <v>1.0397620000000001E-3</v>
      </c>
      <c r="FJ186">
        <v>1.482661E-2</v>
      </c>
      <c r="FK186">
        <v>-0.55840069024672401</v>
      </c>
      <c r="FL186">
        <v>-0.31936954718342703</v>
      </c>
      <c r="FM186">
        <v>9.2108498974574196E-2</v>
      </c>
      <c r="FN186">
        <v>-0.35944999923453602</v>
      </c>
      <c r="FO186">
        <v>-3.3350087601071801</v>
      </c>
      <c r="FP186">
        <v>0.52364944100145405</v>
      </c>
      <c r="FQ186">
        <v>0.45929599186512998</v>
      </c>
      <c r="FR186">
        <v>7.9074580138373193E-2</v>
      </c>
      <c r="FS186">
        <v>-0.90882306507628097</v>
      </c>
      <c r="FT186">
        <v>-0.13064084450410299</v>
      </c>
      <c r="FU186">
        <v>-0.702714039145373</v>
      </c>
      <c r="FV186">
        <v>-0.54702197551464804</v>
      </c>
      <c r="FW186">
        <v>0.50691122078637196</v>
      </c>
      <c r="FX186">
        <v>-0.36682836413639403</v>
      </c>
      <c r="FY186">
        <v>-5.5450566640723203E-2</v>
      </c>
      <c r="FZ186">
        <v>-0.35338553018352897</v>
      </c>
      <c r="GA186">
        <v>-5.7605519063369699E-2</v>
      </c>
      <c r="GB186">
        <v>0.118614686680027</v>
      </c>
      <c r="GC186">
        <v>0.14909962967756801</v>
      </c>
      <c r="GD186">
        <v>0.21166791794430501</v>
      </c>
      <c r="GE186">
        <v>0.135407194373273</v>
      </c>
      <c r="GF186">
        <v>-0.80371462653415104</v>
      </c>
      <c r="GG186">
        <v>-1.1746935860902299</v>
      </c>
      <c r="GH186">
        <v>-1.1297972764298001</v>
      </c>
      <c r="GI186">
        <v>-0.355394823205338</v>
      </c>
      <c r="GJ186">
        <v>0.50686786912785298</v>
      </c>
      <c r="GK186">
        <v>-0.300786989986213</v>
      </c>
      <c r="GL186">
        <v>0.464973697822117</v>
      </c>
      <c r="GM186">
        <v>0.29134280822855202</v>
      </c>
      <c r="GN186">
        <v>0.37425542440394399</v>
      </c>
      <c r="GO186">
        <v>-0.322822045609509</v>
      </c>
      <c r="GP186">
        <v>0.33633108496067399</v>
      </c>
      <c r="GY186" s="65"/>
      <c r="HK186" s="1"/>
      <c r="HL186" s="1"/>
      <c r="HM186" s="65"/>
      <c r="HN186" s="1"/>
      <c r="JF186" s="66"/>
      <c r="JH186" s="66"/>
      <c r="JJ186" s="66"/>
      <c r="JL186" s="66"/>
    </row>
    <row r="187" spans="1:278" ht="15.75" x14ac:dyDescent="0.25">
      <c r="A187" s="2" t="s">
        <v>239</v>
      </c>
      <c r="B187" s="2" t="s">
        <v>239</v>
      </c>
      <c r="C187" s="2" t="s">
        <v>1077</v>
      </c>
      <c r="D187" s="2" t="s">
        <v>629</v>
      </c>
      <c r="E187" s="2" t="s">
        <v>629</v>
      </c>
      <c r="F187" s="2">
        <v>186</v>
      </c>
      <c r="G187" s="19" t="s">
        <v>1076</v>
      </c>
      <c r="H187" s="10" t="s">
        <v>656</v>
      </c>
      <c r="I187" s="2">
        <v>150</v>
      </c>
      <c r="J187" s="2">
        <v>65</v>
      </c>
      <c r="K187" s="12">
        <v>4.45</v>
      </c>
      <c r="L187" t="s">
        <v>414</v>
      </c>
      <c r="M187" s="2" t="s">
        <v>1119</v>
      </c>
      <c r="N187" s="2" t="s">
        <v>435</v>
      </c>
      <c r="O187" s="2" t="s">
        <v>694</v>
      </c>
      <c r="P187" s="2" t="s">
        <v>1119</v>
      </c>
      <c r="Q187" s="2" t="s">
        <v>443</v>
      </c>
      <c r="R187" s="2" t="str">
        <f t="shared" si="145"/>
        <v>CW_1_Section_5</v>
      </c>
      <c r="S187" s="2" t="str">
        <f t="shared" si="146"/>
        <v>CW_1_EFF</v>
      </c>
      <c r="T187" s="11" t="s">
        <v>1075</v>
      </c>
      <c r="U187" s="1">
        <v>46007</v>
      </c>
      <c r="V187" s="2" t="s">
        <v>799</v>
      </c>
      <c r="W187" s="2" t="s">
        <v>1119</v>
      </c>
      <c r="X187" s="2" t="s">
        <v>1074</v>
      </c>
      <c r="Y187" s="2" t="str">
        <f t="shared" si="147"/>
        <v>T8_EFF</v>
      </c>
      <c r="Z187" s="2" t="str">
        <f t="shared" si="148"/>
        <v>T8_CW_1_EFF</v>
      </c>
      <c r="AA187" s="2" t="str">
        <f t="shared" si="149"/>
        <v>T8_EFF</v>
      </c>
      <c r="AB187" s="2">
        <v>490</v>
      </c>
      <c r="AC187" s="2">
        <v>16.117999999999999</v>
      </c>
      <c r="AD187" s="2">
        <v>1.53</v>
      </c>
      <c r="AE187" s="2">
        <v>8</v>
      </c>
      <c r="AF187" t="s">
        <v>18</v>
      </c>
      <c r="AG187" t="s">
        <v>1237</v>
      </c>
      <c r="AH187">
        <v>65</v>
      </c>
      <c r="AI187" t="s">
        <v>443</v>
      </c>
      <c r="AJ187">
        <v>0.27</v>
      </c>
      <c r="AK187">
        <v>1.05</v>
      </c>
      <c r="AL187">
        <v>9</v>
      </c>
      <c r="AM187">
        <v>28</v>
      </c>
      <c r="AN187">
        <v>7.6</v>
      </c>
      <c r="AO187">
        <v>965</v>
      </c>
      <c r="AP187">
        <v>0.1</v>
      </c>
      <c r="AQ187">
        <v>0.01</v>
      </c>
      <c r="AR187">
        <v>9.6999999999999993</v>
      </c>
      <c r="AS187">
        <v>10</v>
      </c>
      <c r="AT187">
        <v>76</v>
      </c>
      <c r="AU187" s="32">
        <f t="shared" si="161"/>
        <v>2.9189604404045579E-2</v>
      </c>
      <c r="AV187">
        <v>2.1</v>
      </c>
      <c r="AW187" s="32">
        <f t="shared" si="162"/>
        <v>8.2049055784675501E-4</v>
      </c>
      <c r="AX187">
        <v>42</v>
      </c>
      <c r="AY187" s="32">
        <f t="shared" si="163"/>
        <v>1.6614862955637185E-2</v>
      </c>
      <c r="AZ187">
        <v>13</v>
      </c>
      <c r="BA187" s="32">
        <f t="shared" si="164"/>
        <v>5.1426956767448434E-3</v>
      </c>
      <c r="BB187">
        <v>6.5</v>
      </c>
      <c r="BC187" s="32">
        <f t="shared" si="165"/>
        <v>2.5713478383724217E-3</v>
      </c>
      <c r="BD187">
        <v>19.5</v>
      </c>
      <c r="BF187" s="48">
        <v>139.6</v>
      </c>
      <c r="BG187" s="48">
        <f t="shared" si="166"/>
        <v>4.6624957917529519E-2</v>
      </c>
      <c r="BH187">
        <v>65</v>
      </c>
      <c r="BI187" s="32">
        <f t="shared" si="167"/>
        <v>2.4342669891550282E-2</v>
      </c>
      <c r="BJ187" s="47">
        <v>40</v>
      </c>
      <c r="BK187" s="27">
        <f t="shared" si="168"/>
        <v>1.4980104548646327E-2</v>
      </c>
      <c r="BL187" s="47">
        <v>0.45</v>
      </c>
      <c r="BM187" s="27">
        <f t="shared" si="169"/>
        <v>1.655824955647546E-4</v>
      </c>
      <c r="BN187" s="47">
        <v>11</v>
      </c>
      <c r="BO187" s="27">
        <f t="shared" si="170"/>
        <v>4.1372154853770837E-3</v>
      </c>
      <c r="BP187" s="47">
        <v>2.8</v>
      </c>
      <c r="BQ187" s="27">
        <f t="shared" si="171"/>
        <v>1.0443989892913006E-3</v>
      </c>
      <c r="BR187" s="47">
        <v>0.84</v>
      </c>
      <c r="BS187" s="27">
        <f t="shared" si="172"/>
        <v>3.1105874431913819E-4</v>
      </c>
      <c r="BT187" s="47">
        <v>0.1</v>
      </c>
      <c r="BU187" s="27">
        <f t="shared" si="173"/>
        <v>3.7030802895135498E-5</v>
      </c>
      <c r="BV187" s="47">
        <v>0.02</v>
      </c>
      <c r="BW187" s="27">
        <f t="shared" si="174"/>
        <v>7.3176761433868973E-6</v>
      </c>
      <c r="BX187" s="47">
        <v>2E-3</v>
      </c>
      <c r="BY187" s="27">
        <f t="shared" si="175"/>
        <v>7.3176761433868969E-7</v>
      </c>
      <c r="BZ187" s="51">
        <f t="shared" si="176"/>
        <v>55.21200000000001</v>
      </c>
      <c r="CA187" s="51">
        <f t="shared" si="177"/>
        <v>15.212</v>
      </c>
      <c r="CB187" s="27">
        <f t="shared" si="178"/>
        <v>2.0683440509851464E-2</v>
      </c>
      <c r="CC187" s="27">
        <f t="shared" si="179"/>
        <v>5.7033359612051375E-3</v>
      </c>
      <c r="CD187">
        <v>110</v>
      </c>
      <c r="CE187">
        <v>60</v>
      </c>
      <c r="CF187" t="s">
        <v>19</v>
      </c>
      <c r="CG187">
        <v>170</v>
      </c>
      <c r="CH187" s="32">
        <v>9.6</v>
      </c>
      <c r="CI187" s="32">
        <f t="shared" si="180"/>
        <v>0.17188898836168306</v>
      </c>
      <c r="CJ187" s="32">
        <f t="shared" si="181"/>
        <v>0.17188898836168306</v>
      </c>
      <c r="CK187" s="32">
        <v>2.4</v>
      </c>
      <c r="CL187" s="32">
        <f t="shared" si="182"/>
        <v>4.3691971600218461E-2</v>
      </c>
      <c r="CM187" s="32">
        <f t="shared" si="183"/>
        <v>8.7383943200436923E-2</v>
      </c>
      <c r="CN187" s="27">
        <v>0.5</v>
      </c>
      <c r="CO187" s="27">
        <f t="shared" si="184"/>
        <v>5.2050801582344368E-3</v>
      </c>
      <c r="CP187" s="27">
        <f t="shared" si="185"/>
        <v>4.1640641265875494E-2</v>
      </c>
      <c r="CQ187" s="57">
        <v>71.5</v>
      </c>
      <c r="CR187" s="57">
        <v>99.305555555555557</v>
      </c>
      <c r="CS187" s="57">
        <v>5.9546117010201955</v>
      </c>
      <c r="CT187" s="57">
        <f t="shared" si="186"/>
        <v>5.9546117010201955</v>
      </c>
      <c r="CU187" s="28">
        <v>47.5</v>
      </c>
      <c r="CV187" s="28">
        <v>98.958333333333343</v>
      </c>
      <c r="CW187" s="28">
        <v>3.9558609202581718</v>
      </c>
      <c r="CX187" s="28">
        <f t="shared" si="187"/>
        <v>3.9558609202581718</v>
      </c>
      <c r="CY187" s="32">
        <f t="shared" si="188"/>
        <v>41.563189673120966</v>
      </c>
      <c r="CZ187" s="32">
        <f t="shared" si="189"/>
        <v>41.563189673120966</v>
      </c>
      <c r="DA187" s="32">
        <f t="shared" si="190"/>
        <v>51.163189673120968</v>
      </c>
      <c r="DB187" s="32">
        <f t="shared" si="191"/>
        <v>0.91608217856975771</v>
      </c>
      <c r="DC187" s="32">
        <f t="shared" si="192"/>
        <v>0.91608217856975771</v>
      </c>
      <c r="DD187" s="59">
        <f t="shared" si="193"/>
        <v>27.611909223402037</v>
      </c>
      <c r="DE187" s="59">
        <f t="shared" si="194"/>
        <v>27.611909223402037</v>
      </c>
      <c r="DF187" s="59">
        <f t="shared" si="195"/>
        <v>37.211909223402039</v>
      </c>
      <c r="DG187" s="59">
        <f t="shared" si="196"/>
        <v>0.66628306577264163</v>
      </c>
      <c r="DH187" s="59">
        <f t="shared" si="197"/>
        <v>0.66628306577264163</v>
      </c>
      <c r="DI187" s="32">
        <f t="shared" si="198"/>
        <v>4.1640641265875494E-2</v>
      </c>
      <c r="DJ187" s="32">
        <f t="shared" si="199"/>
        <v>39.611909223402037</v>
      </c>
      <c r="DK187" s="32">
        <f t="shared" si="200"/>
        <v>0.75366700897307859</v>
      </c>
      <c r="DL187">
        <f t="shared" si="201"/>
        <v>6.9580778227903899</v>
      </c>
      <c r="DM187">
        <f t="shared" si="206"/>
        <v>1.2558632631877268E-2</v>
      </c>
      <c r="DN187">
        <f t="shared" si="207"/>
        <v>0.13165736312537854</v>
      </c>
      <c r="DO187">
        <f t="shared" si="208"/>
        <v>0.85578400424274426</v>
      </c>
      <c r="DP187">
        <f t="shared" si="202"/>
        <v>4.7095279292312506</v>
      </c>
      <c r="DQ187">
        <f t="shared" si="209"/>
        <v>1.8554713872288436E-2</v>
      </c>
      <c r="DR187">
        <f t="shared" si="210"/>
        <v>0.14147555249372964</v>
      </c>
      <c r="DS187">
        <f t="shared" si="211"/>
        <v>0.83996973363398186</v>
      </c>
      <c r="DT187" s="63">
        <f t="shared" si="212"/>
        <v>-6.8871101949813101</v>
      </c>
      <c r="DU187" s="63">
        <f t="shared" si="213"/>
        <v>-4.6385603014221708</v>
      </c>
      <c r="DV187" s="63">
        <f t="shared" si="214"/>
        <v>-6.881406859020105</v>
      </c>
      <c r="DW187" s="63">
        <f t="shared" si="215"/>
        <v>-4.6328569654609657</v>
      </c>
      <c r="DX187" t="str">
        <f t="shared" si="203"/>
        <v>Sufficient Capacity</v>
      </c>
      <c r="DY187" t="str">
        <f t="shared" si="204"/>
        <v>Sufficient Capacity</v>
      </c>
      <c r="DZ187" t="str">
        <f t="shared" si="205"/>
        <v>Sulfate Dominant electron acceptor</v>
      </c>
      <c r="EA187" t="str">
        <f t="shared" si="216"/>
        <v>Sulfate Dominant electron acceptor</v>
      </c>
      <c r="EB187">
        <v>9.5416819999999992E-3</v>
      </c>
      <c r="EC187">
        <v>1.6887790000000001E-3</v>
      </c>
      <c r="ED187">
        <v>0</v>
      </c>
      <c r="EE187">
        <v>1.1632420000000001E-3</v>
      </c>
      <c r="EF187">
        <v>6.5837339999999999E-3</v>
      </c>
      <c r="EG187" s="66">
        <v>6.1513050000000002E-6</v>
      </c>
      <c r="EH187">
        <v>5.0415629999999996E-4</v>
      </c>
      <c r="EI187" s="66">
        <v>7.9293850000000007E-5</v>
      </c>
      <c r="EJ187">
        <v>5.6990000000000003E-4</v>
      </c>
      <c r="EK187">
        <v>7.2293110000000004E-4</v>
      </c>
      <c r="EL187">
        <v>6.6512720000000002E-4</v>
      </c>
      <c r="EM187">
        <v>5.8754049999999996E-4</v>
      </c>
      <c r="EN187">
        <v>1.787823E-3</v>
      </c>
      <c r="EO187">
        <v>6.9393250000000003E-4</v>
      </c>
      <c r="EP187">
        <v>3.088843E-3</v>
      </c>
      <c r="EQ187">
        <v>1.0991659999999999E-3</v>
      </c>
      <c r="ER187">
        <v>5.8812939999999998E-4</v>
      </c>
      <c r="ES187">
        <v>9.0027749999999995E-4</v>
      </c>
      <c r="ET187">
        <v>6.3203410000000002E-3</v>
      </c>
      <c r="EU187">
        <v>2.9629299999999999E-3</v>
      </c>
      <c r="EV187">
        <v>8.1556330000000007E-3</v>
      </c>
      <c r="EW187">
        <v>1.0121259999999999E-3</v>
      </c>
      <c r="EX187">
        <v>4.9446020000000002E-3</v>
      </c>
      <c r="EY187">
        <v>6.5917079999999999E-3</v>
      </c>
      <c r="EZ187">
        <v>1.7643509999999999E-3</v>
      </c>
      <c r="FA187">
        <v>1.2897049999999999E-3</v>
      </c>
      <c r="FB187">
        <v>1.3930080000000001E-3</v>
      </c>
      <c r="FC187">
        <v>2.053179E-3</v>
      </c>
      <c r="FD187">
        <v>4.3497080000000002E-4</v>
      </c>
      <c r="FE187">
        <v>2.5274359999999999E-2</v>
      </c>
      <c r="FF187">
        <v>1.5613999999999999E-2</v>
      </c>
      <c r="FG187">
        <v>8.7880890000000007E-3</v>
      </c>
      <c r="FH187">
        <v>1.026531E-3</v>
      </c>
      <c r="FI187">
        <v>1.6816750000000001E-3</v>
      </c>
      <c r="FJ187">
        <v>1.0478970000000001E-2</v>
      </c>
      <c r="FK187">
        <v>0.708568895150676</v>
      </c>
      <c r="FL187">
        <v>0.35845694150514801</v>
      </c>
      <c r="FM187">
        <v>-0.67511837827065202</v>
      </c>
      <c r="FN187">
        <v>0.52931418389018903</v>
      </c>
      <c r="FO187">
        <v>-1.0204030651825801E-3</v>
      </c>
      <c r="FP187">
        <v>0.25347390253040702</v>
      </c>
      <c r="FQ187">
        <v>5.0218218313391504E-3</v>
      </c>
      <c r="FR187">
        <v>0.37830742625566699</v>
      </c>
      <c r="FS187">
        <v>0.82632516610509998</v>
      </c>
      <c r="FT187">
        <v>-0.128772584524005</v>
      </c>
      <c r="FU187">
        <v>-0.16240920704912601</v>
      </c>
      <c r="FV187">
        <v>0.37713442038713402</v>
      </c>
      <c r="FW187">
        <v>-9.4643366842743298E-2</v>
      </c>
      <c r="FX187">
        <v>0.395156802021224</v>
      </c>
      <c r="FY187">
        <v>0.256973052659145</v>
      </c>
      <c r="FZ187">
        <v>-0.3172337031629</v>
      </c>
      <c r="GA187">
        <v>6.7425668629015306E-2</v>
      </c>
      <c r="GB187">
        <v>-8.0540023266515007E-2</v>
      </c>
      <c r="GC187">
        <v>0.45127147084939401</v>
      </c>
      <c r="GD187">
        <v>-6.0799619921683102E-3</v>
      </c>
      <c r="GE187">
        <v>-2.7095411452667601E-2</v>
      </c>
      <c r="GF187">
        <v>0.32562210554515802</v>
      </c>
      <c r="GG187">
        <v>0.31013219073153803</v>
      </c>
      <c r="GH187">
        <v>0.34298671867047198</v>
      </c>
      <c r="GI187">
        <v>9.1568715635657896E-2</v>
      </c>
      <c r="GJ187">
        <v>0.19709892626911199</v>
      </c>
      <c r="GK187">
        <v>8.0282737028360501E-2</v>
      </c>
      <c r="GL187">
        <v>4.34644682394403E-2</v>
      </c>
      <c r="GM187">
        <v>4.1190361490291302E-2</v>
      </c>
      <c r="GN187">
        <v>0.25816874769254999</v>
      </c>
      <c r="GO187">
        <v>0.15797643410690501</v>
      </c>
      <c r="GP187">
        <v>-1.07220627436808E-2</v>
      </c>
      <c r="GR187" s="66"/>
      <c r="GT187" s="66"/>
      <c r="GV187" s="66"/>
      <c r="GW187" s="65"/>
      <c r="GX187" s="65"/>
      <c r="HK187" s="1"/>
      <c r="HL187" s="1"/>
      <c r="HM187" s="1"/>
      <c r="HN187" s="1"/>
      <c r="HO187" s="65"/>
      <c r="HP187" s="65"/>
      <c r="HQ187" s="65"/>
      <c r="HS187" s="65"/>
      <c r="HT187" s="65"/>
      <c r="HU187" s="65"/>
      <c r="HV187" s="65"/>
      <c r="HW187" s="65"/>
      <c r="HX187" s="65"/>
      <c r="JJ187" s="66"/>
      <c r="JL187" s="66"/>
      <c r="JN187" s="66"/>
    </row>
    <row r="188" spans="1:278" ht="15.75" x14ac:dyDescent="0.25">
      <c r="A188" s="2" t="s">
        <v>240</v>
      </c>
      <c r="B188" s="2" t="s">
        <v>240</v>
      </c>
      <c r="C188" s="2" t="s">
        <v>1079</v>
      </c>
      <c r="D188" s="2" t="s">
        <v>630</v>
      </c>
      <c r="E188" s="2" t="s">
        <v>630</v>
      </c>
      <c r="F188" s="2">
        <v>187</v>
      </c>
      <c r="G188" s="19" t="s">
        <v>1078</v>
      </c>
      <c r="H188" s="10" t="s">
        <v>656</v>
      </c>
      <c r="I188" s="2">
        <v>150</v>
      </c>
      <c r="J188" s="2">
        <v>65</v>
      </c>
      <c r="K188" s="12">
        <v>4.3</v>
      </c>
      <c r="L188" t="s">
        <v>421</v>
      </c>
      <c r="M188" s="2" t="s">
        <v>1119</v>
      </c>
      <c r="N188" s="2" t="s">
        <v>436</v>
      </c>
      <c r="O188" s="2" t="s">
        <v>694</v>
      </c>
      <c r="P188" s="2" t="s">
        <v>1119</v>
      </c>
      <c r="Q188" s="2" t="s">
        <v>443</v>
      </c>
      <c r="R188" s="2" t="str">
        <f t="shared" si="145"/>
        <v>CW_2_Section_5</v>
      </c>
      <c r="S188" s="2" t="str">
        <f t="shared" si="146"/>
        <v>CW_2_EFF</v>
      </c>
      <c r="T188" s="11" t="s">
        <v>1075</v>
      </c>
      <c r="U188" s="1">
        <v>46007</v>
      </c>
      <c r="V188" s="2" t="s">
        <v>799</v>
      </c>
      <c r="W188" s="2" t="s">
        <v>1119</v>
      </c>
      <c r="X188" s="2" t="s">
        <v>1074</v>
      </c>
      <c r="Y188" s="2" t="str">
        <f t="shared" si="147"/>
        <v>T8_EFF</v>
      </c>
      <c r="Z188" s="2" t="str">
        <f t="shared" si="148"/>
        <v>T8_CW_2_EFF</v>
      </c>
      <c r="AA188" s="2" t="str">
        <f t="shared" si="149"/>
        <v>T8_EFF</v>
      </c>
      <c r="AB188" s="2">
        <v>490</v>
      </c>
      <c r="AC188" s="2">
        <v>16.117999999999999</v>
      </c>
      <c r="AD188" s="2">
        <v>1.53</v>
      </c>
      <c r="AE188" s="2">
        <v>8</v>
      </c>
      <c r="AF188" t="s">
        <v>39</v>
      </c>
      <c r="AG188" s="2" t="s">
        <v>1238</v>
      </c>
      <c r="AH188">
        <v>49</v>
      </c>
      <c r="AI188" t="s">
        <v>443</v>
      </c>
      <c r="AJ188">
        <v>1.4999999999999999E-2</v>
      </c>
      <c r="AK188">
        <v>3.46</v>
      </c>
      <c r="AL188">
        <v>9</v>
      </c>
      <c r="AM188">
        <v>99</v>
      </c>
      <c r="AN188">
        <v>7.6</v>
      </c>
      <c r="AO188">
        <v>601</v>
      </c>
      <c r="AP188">
        <v>0.1</v>
      </c>
      <c r="AQ188">
        <v>0.01</v>
      </c>
      <c r="AR188">
        <v>5</v>
      </c>
      <c r="AS188">
        <v>5.2</v>
      </c>
      <c r="AT188">
        <v>3.1</v>
      </c>
      <c r="AU188" s="32">
        <f t="shared" si="161"/>
        <v>1.1906286006913326E-3</v>
      </c>
      <c r="AV188">
        <v>0.25</v>
      </c>
      <c r="AW188" s="32">
        <f t="shared" si="162"/>
        <v>9.7677447362708923E-5</v>
      </c>
      <c r="AX188">
        <v>4</v>
      </c>
      <c r="AY188" s="32">
        <f t="shared" si="163"/>
        <v>1.5823679005368748E-3</v>
      </c>
      <c r="AZ188">
        <v>0.93</v>
      </c>
      <c r="BA188" s="32">
        <f t="shared" si="164"/>
        <v>3.679005368748234E-4</v>
      </c>
      <c r="BB188">
        <v>0.68</v>
      </c>
      <c r="BC188" s="32">
        <f t="shared" si="165"/>
        <v>2.6900254309126874E-4</v>
      </c>
      <c r="BD188">
        <v>1.61</v>
      </c>
      <c r="BF188" s="48">
        <v>8.9600000000000009</v>
      </c>
      <c r="BG188" s="48">
        <f t="shared" si="166"/>
        <v>2.8706739485909166E-3</v>
      </c>
      <c r="BH188">
        <v>19</v>
      </c>
      <c r="BI188" s="32">
        <f t="shared" si="167"/>
        <v>7.1155496606070054E-3</v>
      </c>
      <c r="BJ188" s="47">
        <v>0.04</v>
      </c>
      <c r="BK188" s="27">
        <f t="shared" si="168"/>
        <v>1.498010454864633E-5</v>
      </c>
      <c r="BL188" s="47">
        <v>0.1</v>
      </c>
      <c r="BM188" s="27">
        <f t="shared" si="169"/>
        <v>3.6796110125501022E-5</v>
      </c>
      <c r="BN188" s="47">
        <v>1.9</v>
      </c>
      <c r="BO188" s="27">
        <f t="shared" si="170"/>
        <v>7.1460994747422348E-4</v>
      </c>
      <c r="BP188" s="47">
        <v>0.52</v>
      </c>
      <c r="BQ188" s="27">
        <f t="shared" si="171"/>
        <v>1.9395981229695586E-4</v>
      </c>
      <c r="BR188" s="47">
        <v>0.03</v>
      </c>
      <c r="BS188" s="27">
        <f t="shared" si="172"/>
        <v>1.110924086854065E-5</v>
      </c>
      <c r="BT188" s="47">
        <v>0.02</v>
      </c>
      <c r="BU188" s="27">
        <f t="shared" si="173"/>
        <v>7.4061605790270997E-6</v>
      </c>
      <c r="BV188" s="47">
        <v>1E-3</v>
      </c>
      <c r="BW188" s="27">
        <f t="shared" si="174"/>
        <v>3.6588380716934485E-7</v>
      </c>
      <c r="BX188" s="47">
        <v>2E-3</v>
      </c>
      <c r="BY188" s="27">
        <f t="shared" si="175"/>
        <v>7.3176761433868969E-7</v>
      </c>
      <c r="BZ188" s="51">
        <f t="shared" si="176"/>
        <v>2.6129999999999995</v>
      </c>
      <c r="CA188" s="51">
        <f t="shared" si="177"/>
        <v>2.5729999999999995</v>
      </c>
      <c r="CB188" s="27">
        <f t="shared" si="178"/>
        <v>9.7995902731440256E-4</v>
      </c>
      <c r="CC188" s="27">
        <f t="shared" si="179"/>
        <v>9.6497892276575618E-4</v>
      </c>
      <c r="CD188">
        <v>2.5</v>
      </c>
      <c r="CE188">
        <v>2.5</v>
      </c>
      <c r="CF188" t="s">
        <v>19</v>
      </c>
      <c r="CG188">
        <v>5</v>
      </c>
      <c r="CH188" s="32">
        <v>0.6</v>
      </c>
      <c r="CI188" s="32">
        <f t="shared" si="180"/>
        <v>1.0743061772605192E-2</v>
      </c>
      <c r="CJ188" s="32">
        <f t="shared" si="181"/>
        <v>1.0743061772605192E-2</v>
      </c>
      <c r="CK188" s="32">
        <v>0.05</v>
      </c>
      <c r="CL188" s="32">
        <f t="shared" si="182"/>
        <v>9.1024940833788468E-4</v>
      </c>
      <c r="CM188" s="32">
        <f t="shared" si="183"/>
        <v>1.8204988166757694E-3</v>
      </c>
      <c r="CN188" s="27">
        <v>36</v>
      </c>
      <c r="CO188" s="27">
        <f t="shared" si="184"/>
        <v>0.37476577139287942</v>
      </c>
      <c r="CP188" s="27">
        <f t="shared" si="185"/>
        <v>2.9981261711430354</v>
      </c>
      <c r="CQ188" s="57">
        <v>36</v>
      </c>
      <c r="CR188" s="57">
        <v>50</v>
      </c>
      <c r="CS188" s="57">
        <v>2.9981261711430354</v>
      </c>
      <c r="CT188" s="57">
        <f t="shared" si="186"/>
        <v>2.9981261711430354</v>
      </c>
      <c r="CU188" s="28">
        <v>-1</v>
      </c>
      <c r="CV188" s="28">
        <v>-2.8571428571428572</v>
      </c>
      <c r="CW188" s="28">
        <v>-8.3281282531750989E-2</v>
      </c>
      <c r="CX188" s="28">
        <f t="shared" si="187"/>
        <v>0</v>
      </c>
      <c r="CY188" s="32">
        <f t="shared" si="188"/>
        <v>20.926920674578387</v>
      </c>
      <c r="CZ188" s="32">
        <f t="shared" si="189"/>
        <v>20.926920674578387</v>
      </c>
      <c r="DA188" s="32">
        <f t="shared" si="190"/>
        <v>21.526920674578388</v>
      </c>
      <c r="DB188" s="32">
        <f t="shared" si="191"/>
        <v>0.38544173096827911</v>
      </c>
      <c r="DC188" s="32">
        <f t="shared" si="192"/>
        <v>0.38544173096827911</v>
      </c>
      <c r="DD188" s="59">
        <f t="shared" si="193"/>
        <v>-0.58130335207162187</v>
      </c>
      <c r="DE188" s="59">
        <f t="shared" si="194"/>
        <v>0</v>
      </c>
      <c r="DF188" s="59">
        <f t="shared" si="195"/>
        <v>0.6</v>
      </c>
      <c r="DG188" s="59">
        <f t="shared" si="196"/>
        <v>1.0743061772605192E-2</v>
      </c>
      <c r="DH188" s="59">
        <f t="shared" si="197"/>
        <v>1.0743061772605192E-2</v>
      </c>
      <c r="DI188" s="32">
        <f t="shared" si="198"/>
        <v>2.9981261711430354</v>
      </c>
      <c r="DJ188" s="32">
        <f t="shared" si="199"/>
        <v>0.65</v>
      </c>
      <c r="DK188" s="32">
        <f t="shared" si="200"/>
        <v>1.256356058928096E-2</v>
      </c>
      <c r="DL188">
        <f t="shared" si="201"/>
        <v>3.3853884009279902</v>
      </c>
      <c r="DM188">
        <f t="shared" si="206"/>
        <v>5.3775183260412328E-4</v>
      </c>
      <c r="DN188">
        <f t="shared" si="207"/>
        <v>0.11385450805663044</v>
      </c>
      <c r="DO188">
        <f t="shared" si="208"/>
        <v>0.88560774011076548</v>
      </c>
      <c r="DP188">
        <f t="shared" si="202"/>
        <v>1.256356058928096E-2</v>
      </c>
      <c r="DQ188">
        <f t="shared" si="209"/>
        <v>0.14490309524427267</v>
      </c>
      <c r="DR188">
        <f t="shared" si="210"/>
        <v>0.85509690475572742</v>
      </c>
      <c r="DS188">
        <f t="shared" si="211"/>
        <v>0</v>
      </c>
      <c r="DT188" s="63">
        <f t="shared" si="212"/>
        <v>-3.3754021773187923</v>
      </c>
      <c r="DU188" s="63">
        <f t="shared" si="213"/>
        <v>-2.5773369800830385E-3</v>
      </c>
      <c r="DV188" s="63">
        <f t="shared" si="214"/>
        <v>-3.3744371983960266</v>
      </c>
      <c r="DW188" s="63">
        <f t="shared" si="215"/>
        <v>-1.6123580573172824E-3</v>
      </c>
      <c r="DX188" t="str">
        <f t="shared" si="203"/>
        <v>Sufficient Capacity</v>
      </c>
      <c r="DY188" t="str">
        <f t="shared" si="204"/>
        <v>Sufficient Capacity</v>
      </c>
      <c r="DZ188" t="str">
        <f t="shared" si="205"/>
        <v>Sulfate Dominant electron acceptor</v>
      </c>
      <c r="EA188" t="str">
        <f t="shared" si="216"/>
        <v>Manganese Dominant electron acceptor</v>
      </c>
      <c r="EB188">
        <v>8.9990680000000007E-3</v>
      </c>
      <c r="EC188">
        <v>1.6567680000000001E-3</v>
      </c>
      <c r="ED188" s="66">
        <v>7.3729269999999998E-8</v>
      </c>
      <c r="EE188">
        <v>9.9076970000000009E-4</v>
      </c>
      <c r="EF188">
        <v>5.9384249999999998E-3</v>
      </c>
      <c r="EG188" s="66">
        <v>1.6427340000000001E-5</v>
      </c>
      <c r="EH188">
        <v>4.558823E-4</v>
      </c>
      <c r="EI188">
        <v>1.0480339999999999E-4</v>
      </c>
      <c r="EJ188">
        <v>5.6512939999999996E-4</v>
      </c>
      <c r="EK188">
        <v>8.9893470000000002E-4</v>
      </c>
      <c r="EL188">
        <v>6.5665760000000004E-4</v>
      </c>
      <c r="EM188">
        <v>3.5444699999999998E-4</v>
      </c>
      <c r="EN188">
        <v>1.908192E-3</v>
      </c>
      <c r="EO188">
        <v>7.0344679999999999E-4</v>
      </c>
      <c r="EP188">
        <v>2.572296E-3</v>
      </c>
      <c r="EQ188">
        <v>9.9116880000000001E-4</v>
      </c>
      <c r="ER188">
        <v>5.8313470000000004E-4</v>
      </c>
      <c r="ES188">
        <v>1.018145E-3</v>
      </c>
      <c r="ET188">
        <v>5.8415960000000001E-3</v>
      </c>
      <c r="EU188">
        <v>2.6097379999999999E-3</v>
      </c>
      <c r="EV188">
        <v>7.5741289999999998E-3</v>
      </c>
      <c r="EW188">
        <v>8.0018329999999999E-4</v>
      </c>
      <c r="EX188">
        <v>4.6328669999999997E-3</v>
      </c>
      <c r="EY188">
        <v>7.0488019999999998E-3</v>
      </c>
      <c r="EZ188">
        <v>1.738521E-3</v>
      </c>
      <c r="FA188">
        <v>1.3880710000000001E-3</v>
      </c>
      <c r="FB188">
        <v>1.4664210000000001E-3</v>
      </c>
      <c r="FC188">
        <v>2.1404589999999999E-3</v>
      </c>
      <c r="FD188">
        <v>4.1079959999999998E-4</v>
      </c>
      <c r="FE188">
        <v>2.7154540000000001E-2</v>
      </c>
      <c r="FF188">
        <v>1.644781E-2</v>
      </c>
      <c r="FG188">
        <v>9.3496599999999992E-3</v>
      </c>
      <c r="FH188">
        <v>1.1590769999999999E-3</v>
      </c>
      <c r="FI188">
        <v>1.7122190000000001E-3</v>
      </c>
      <c r="FJ188">
        <v>1.076066E-2</v>
      </c>
      <c r="FK188">
        <v>0.54808479753221895</v>
      </c>
      <c r="FL188">
        <v>0.25529882661909697</v>
      </c>
      <c r="FM188">
        <v>0.30716438727598699</v>
      </c>
      <c r="FN188">
        <v>0.428662507010311</v>
      </c>
      <c r="FO188">
        <v>0.27790523900417602</v>
      </c>
      <c r="FP188">
        <v>0.24506772716198999</v>
      </c>
      <c r="FQ188">
        <v>0.22291829715668399</v>
      </c>
      <c r="FR188">
        <v>0.365491851557672</v>
      </c>
      <c r="FS188">
        <v>0.320938814740589</v>
      </c>
      <c r="FT188">
        <v>-6.3615066192417302E-2</v>
      </c>
      <c r="FU188">
        <v>-0.14879164877339501</v>
      </c>
      <c r="FV188">
        <v>0.19413671854230999</v>
      </c>
      <c r="FW188">
        <v>-0.19806550342388601</v>
      </c>
      <c r="FX188">
        <v>0.38662801628238402</v>
      </c>
      <c r="FY188">
        <v>0.38000762664316901</v>
      </c>
      <c r="FZ188">
        <v>-0.39600281838721801</v>
      </c>
      <c r="GA188">
        <v>-5.9503141824539099E-2</v>
      </c>
      <c r="GB188">
        <v>-0.15451051613251299</v>
      </c>
      <c r="GC188">
        <v>0.21630394924615401</v>
      </c>
      <c r="GD188">
        <v>-7.12005395677755E-2</v>
      </c>
      <c r="GE188">
        <v>3.9949766344349803E-2</v>
      </c>
      <c r="GF188">
        <v>0.31087393993413398</v>
      </c>
      <c r="GG188">
        <v>0.383633694194363</v>
      </c>
      <c r="GH188">
        <v>0.39434601911499001</v>
      </c>
      <c r="GI188">
        <v>0.13319968393707099</v>
      </c>
      <c r="GJ188">
        <v>0.139925528214383</v>
      </c>
      <c r="GK188">
        <v>0.152036545459551</v>
      </c>
      <c r="GL188">
        <v>9.5488858190955206E-2</v>
      </c>
      <c r="GM188">
        <v>0.103133058575751</v>
      </c>
      <c r="GN188">
        <v>0.37960758969802</v>
      </c>
      <c r="GO188">
        <v>0.17597630367949299</v>
      </c>
      <c r="GP188">
        <v>1.5804436778691599E-2</v>
      </c>
      <c r="GR188" s="66"/>
      <c r="GT188" s="66"/>
      <c r="GV188" s="66"/>
      <c r="GW188" s="65"/>
      <c r="GX188" s="65"/>
      <c r="HK188" s="1"/>
      <c r="HL188" s="1"/>
      <c r="HM188" s="65"/>
      <c r="HN188" s="1"/>
      <c r="HP188" s="65"/>
      <c r="HQ188" s="65"/>
      <c r="HS188" s="65"/>
      <c r="HV188" s="65"/>
      <c r="HW188" s="65"/>
      <c r="HX188" s="65"/>
      <c r="IX188" s="66"/>
      <c r="IZ188" s="66"/>
      <c r="JB188" s="66"/>
      <c r="JD188" s="66"/>
      <c r="JF188" s="66"/>
      <c r="JH188" s="66"/>
      <c r="JJ188" s="66"/>
      <c r="JL188" s="66"/>
      <c r="JN188" s="66"/>
    </row>
    <row r="189" spans="1:278" ht="15.75" x14ac:dyDescent="0.25">
      <c r="A189" s="2" t="s">
        <v>241</v>
      </c>
      <c r="B189" s="2" t="s">
        <v>241</v>
      </c>
      <c r="C189" s="2" t="s">
        <v>1081</v>
      </c>
      <c r="D189" s="2" t="s">
        <v>631</v>
      </c>
      <c r="E189" s="2" t="s">
        <v>631</v>
      </c>
      <c r="F189" s="2">
        <v>188</v>
      </c>
      <c r="G189" s="19" t="s">
        <v>1080</v>
      </c>
      <c r="H189" s="10" t="s">
        <v>656</v>
      </c>
      <c r="I189" s="2">
        <v>150</v>
      </c>
      <c r="J189" s="2">
        <v>65</v>
      </c>
      <c r="K189" s="12">
        <v>3.65</v>
      </c>
      <c r="L189" t="s">
        <v>432</v>
      </c>
      <c r="M189" s="2" t="s">
        <v>1119</v>
      </c>
      <c r="N189" s="2" t="s">
        <v>437</v>
      </c>
      <c r="O189" s="2" t="s">
        <v>694</v>
      </c>
      <c r="P189" s="2" t="s">
        <v>1119</v>
      </c>
      <c r="Q189" s="2" t="s">
        <v>443</v>
      </c>
      <c r="R189" s="2" t="str">
        <f t="shared" si="145"/>
        <v>CW_3_Section_5</v>
      </c>
      <c r="S189" s="2" t="str">
        <f t="shared" si="146"/>
        <v>CW_3_EFF</v>
      </c>
      <c r="T189" s="11" t="s">
        <v>1075</v>
      </c>
      <c r="U189" s="1">
        <v>46009</v>
      </c>
      <c r="V189" s="2" t="s">
        <v>799</v>
      </c>
      <c r="W189" s="2" t="s">
        <v>1119</v>
      </c>
      <c r="X189" s="2" t="s">
        <v>1074</v>
      </c>
      <c r="Y189" s="2" t="str">
        <f t="shared" si="147"/>
        <v>T8_EFF</v>
      </c>
      <c r="Z189" s="2" t="str">
        <f t="shared" si="148"/>
        <v>T8_CW_3_EFF</v>
      </c>
      <c r="AA189" s="2" t="str">
        <f t="shared" si="149"/>
        <v>T8_EFF</v>
      </c>
      <c r="AB189" s="2">
        <v>490</v>
      </c>
      <c r="AC189" s="2">
        <v>16.117999999999999</v>
      </c>
      <c r="AD189" s="2">
        <v>1.53</v>
      </c>
      <c r="AE189" s="2">
        <v>8</v>
      </c>
      <c r="AF189" t="s">
        <v>49</v>
      </c>
      <c r="AG189" t="s">
        <v>1237</v>
      </c>
      <c r="AH189">
        <v>67</v>
      </c>
      <c r="AI189" t="s">
        <v>443</v>
      </c>
      <c r="AJ189">
        <v>0.42</v>
      </c>
      <c r="AK189">
        <v>3.99</v>
      </c>
      <c r="AL189">
        <v>10</v>
      </c>
      <c r="AM189">
        <v>1120</v>
      </c>
      <c r="AN189">
        <v>7.9</v>
      </c>
      <c r="AO189">
        <v>1120</v>
      </c>
      <c r="AP189">
        <v>0.1</v>
      </c>
      <c r="AQ189">
        <v>0.01</v>
      </c>
      <c r="AR189">
        <v>13</v>
      </c>
      <c r="AS189">
        <v>14</v>
      </c>
      <c r="AT189">
        <v>5.5</v>
      </c>
      <c r="AU189" s="32">
        <f t="shared" si="161"/>
        <v>2.1124055818717196E-3</v>
      </c>
      <c r="AV189">
        <v>0.71</v>
      </c>
      <c r="AW189" s="32">
        <f t="shared" si="162"/>
        <v>2.7740395051009334E-4</v>
      </c>
      <c r="AX189">
        <v>3</v>
      </c>
      <c r="AY189" s="32">
        <f t="shared" si="163"/>
        <v>1.1867759254026561E-3</v>
      </c>
      <c r="AZ189">
        <v>1.3</v>
      </c>
      <c r="BA189" s="32">
        <f t="shared" si="164"/>
        <v>5.1426956767448438E-4</v>
      </c>
      <c r="BB189">
        <v>1.3</v>
      </c>
      <c r="BC189" s="32">
        <f t="shared" si="165"/>
        <v>5.1426956767448438E-4</v>
      </c>
      <c r="BD189">
        <v>2.6</v>
      </c>
      <c r="BF189" s="48">
        <v>11.81</v>
      </c>
      <c r="BG189" s="48">
        <f t="shared" si="166"/>
        <v>3.5765854577844689E-3</v>
      </c>
      <c r="BH189">
        <v>21</v>
      </c>
      <c r="BI189" s="32">
        <f t="shared" si="167"/>
        <v>7.8645548880393219E-3</v>
      </c>
      <c r="BJ189" s="47">
        <v>2400</v>
      </c>
      <c r="BK189" s="27">
        <f t="shared" si="168"/>
        <v>0.89880627291877968</v>
      </c>
      <c r="BL189" s="47">
        <v>2</v>
      </c>
      <c r="BM189" s="27">
        <f t="shared" si="169"/>
        <v>7.3592220251002033E-4</v>
      </c>
      <c r="BN189" s="47">
        <v>94</v>
      </c>
      <c r="BO189" s="27">
        <f t="shared" si="170"/>
        <v>3.5354386875040528E-2</v>
      </c>
      <c r="BP189" s="47">
        <v>22</v>
      </c>
      <c r="BQ189" s="27">
        <f t="shared" si="171"/>
        <v>8.2059920587173631E-3</v>
      </c>
      <c r="BR189" s="47">
        <v>13</v>
      </c>
      <c r="BS189" s="27">
        <f t="shared" si="172"/>
        <v>4.8140043763676144E-3</v>
      </c>
      <c r="BT189" s="47">
        <v>1.9</v>
      </c>
      <c r="BU189" s="27">
        <f t="shared" si="173"/>
        <v>7.0358525500757447E-4</v>
      </c>
      <c r="BV189" s="47">
        <v>0.11</v>
      </c>
      <c r="BW189" s="27">
        <f t="shared" si="174"/>
        <v>4.0247218788627937E-5</v>
      </c>
      <c r="BX189" s="47">
        <v>0.44</v>
      </c>
      <c r="BY189" s="27">
        <f t="shared" si="175"/>
        <v>1.6098887515451175E-4</v>
      </c>
      <c r="BZ189" s="51">
        <f t="shared" si="176"/>
        <v>2533.4500000000003</v>
      </c>
      <c r="CA189" s="51">
        <f t="shared" si="177"/>
        <v>133.45000000000002</v>
      </c>
      <c r="CB189" s="27">
        <f t="shared" si="178"/>
        <v>0.94882139978036595</v>
      </c>
      <c r="CC189" s="27">
        <f t="shared" si="179"/>
        <v>5.001512686158624E-2</v>
      </c>
      <c r="CD189">
        <v>3500</v>
      </c>
      <c r="CE189">
        <v>980</v>
      </c>
      <c r="CF189" t="s">
        <v>19</v>
      </c>
      <c r="CG189">
        <v>4500</v>
      </c>
      <c r="CH189" s="32">
        <v>1</v>
      </c>
      <c r="CI189" s="32">
        <f t="shared" si="180"/>
        <v>1.7905102954341987E-2</v>
      </c>
      <c r="CJ189" s="32">
        <f t="shared" si="181"/>
        <v>1.7905102954341987E-2</v>
      </c>
      <c r="CK189" s="32">
        <v>1.1000000000000001</v>
      </c>
      <c r="CL189" s="32">
        <f t="shared" si="182"/>
        <v>2.0025486983433462E-2</v>
      </c>
      <c r="CM189" s="32">
        <f t="shared" si="183"/>
        <v>4.0050973966866923E-2</v>
      </c>
      <c r="CN189" s="27">
        <v>44</v>
      </c>
      <c r="CO189" s="27">
        <f t="shared" si="184"/>
        <v>0.45804705392463041</v>
      </c>
      <c r="CP189" s="27">
        <f t="shared" si="185"/>
        <v>3.6643764313970433</v>
      </c>
      <c r="CQ189" s="57">
        <v>28</v>
      </c>
      <c r="CR189" s="57">
        <v>38.888888888888893</v>
      </c>
      <c r="CS189" s="57">
        <v>2.3318759108890275</v>
      </c>
      <c r="CT189" s="57">
        <f t="shared" si="186"/>
        <v>2.3318759108890275</v>
      </c>
      <c r="CU189" s="28">
        <v>5</v>
      </c>
      <c r="CV189" s="28">
        <v>10.204081632653061</v>
      </c>
      <c r="CW189" s="28">
        <v>0.41640641265875494</v>
      </c>
      <c r="CX189" s="28">
        <f t="shared" si="187"/>
        <v>0.41640641265875494</v>
      </c>
      <c r="CY189" s="32">
        <f t="shared" si="188"/>
        <v>16.276493858005413</v>
      </c>
      <c r="CZ189" s="32">
        <f t="shared" si="189"/>
        <v>16.276493858005413</v>
      </c>
      <c r="DA189" s="32">
        <f t="shared" si="190"/>
        <v>17.276493858005413</v>
      </c>
      <c r="DB189" s="32">
        <f t="shared" si="191"/>
        <v>0.30933740121764391</v>
      </c>
      <c r="DC189" s="32">
        <f t="shared" si="192"/>
        <v>0.30933740121764391</v>
      </c>
      <c r="DD189" s="59">
        <f t="shared" si="193"/>
        <v>2.9065167603581092</v>
      </c>
      <c r="DE189" s="59">
        <f t="shared" si="194"/>
        <v>2.9065167603581092</v>
      </c>
      <c r="DF189" s="59">
        <f t="shared" si="195"/>
        <v>3.9065167603581092</v>
      </c>
      <c r="DG189" s="59">
        <f t="shared" si="196"/>
        <v>6.9946584787074467E-2</v>
      </c>
      <c r="DH189" s="59">
        <f t="shared" si="197"/>
        <v>6.9946584787074467E-2</v>
      </c>
      <c r="DI189" s="32">
        <f t="shared" si="198"/>
        <v>3.6643764313970433</v>
      </c>
      <c r="DJ189" s="32">
        <f t="shared" si="199"/>
        <v>5.0065167603581093</v>
      </c>
      <c r="DK189" s="32">
        <f t="shared" si="200"/>
        <v>0.10999755875394139</v>
      </c>
      <c r="DL189">
        <f t="shared" si="201"/>
        <v>2.6812642860735383</v>
      </c>
      <c r="DM189">
        <f t="shared" si="206"/>
        <v>1.4937346599845195E-2</v>
      </c>
      <c r="DN189">
        <f t="shared" si="207"/>
        <v>0.11536997782141041</v>
      </c>
      <c r="DO189">
        <f t="shared" si="208"/>
        <v>0.86969267557874441</v>
      </c>
      <c r="DP189">
        <f t="shared" si="202"/>
        <v>0.52640397141269635</v>
      </c>
      <c r="DQ189">
        <f t="shared" si="209"/>
        <v>7.6084102973963494E-2</v>
      </c>
      <c r="DR189">
        <f t="shared" si="210"/>
        <v>0.13287624825352415</v>
      </c>
      <c r="DS189">
        <f t="shared" si="211"/>
        <v>0.79103964877251232</v>
      </c>
      <c r="DT189" s="63">
        <f t="shared" si="212"/>
        <v>-2.6698231457277144</v>
      </c>
      <c r="DU189" s="63">
        <f t="shared" si="213"/>
        <v>-0.51496283106687257</v>
      </c>
      <c r="DV189" s="63">
        <f t="shared" si="214"/>
        <v>-2.6198080188661281</v>
      </c>
      <c r="DW189" s="63">
        <f t="shared" si="215"/>
        <v>-0.46494770420528631</v>
      </c>
      <c r="DX189" t="str">
        <f t="shared" si="203"/>
        <v>Sufficient Capacity</v>
      </c>
      <c r="DY189" t="str">
        <f t="shared" si="204"/>
        <v>Sufficient Capacity</v>
      </c>
      <c r="DZ189" t="str">
        <f t="shared" si="205"/>
        <v>Sulfate Dominant electron acceptor</v>
      </c>
      <c r="EA189" t="str">
        <f t="shared" si="216"/>
        <v>Sulfate Dominant electron acceptor</v>
      </c>
      <c r="EB189">
        <v>8.1592880000000007E-3</v>
      </c>
      <c r="EC189">
        <v>1.3908080000000001E-3</v>
      </c>
      <c r="ED189" s="66">
        <v>9.1325550000000002E-8</v>
      </c>
      <c r="EE189">
        <v>1.6527359999999999E-3</v>
      </c>
      <c r="EF189">
        <v>9.3605579999999997E-3</v>
      </c>
      <c r="EG189" s="66">
        <v>1.522362E-6</v>
      </c>
      <c r="EH189">
        <v>7.0269319999999996E-4</v>
      </c>
      <c r="EI189" s="66">
        <v>9.6756269999999998E-5</v>
      </c>
      <c r="EJ189">
        <v>3.8796229999999999E-4</v>
      </c>
      <c r="EK189">
        <v>3.7712729999999999E-4</v>
      </c>
      <c r="EL189">
        <v>8.3722020000000002E-4</v>
      </c>
      <c r="EM189">
        <v>1.1721819999999999E-3</v>
      </c>
      <c r="EN189">
        <v>1.9141710000000001E-3</v>
      </c>
      <c r="EO189">
        <v>8.9748880000000005E-4</v>
      </c>
      <c r="EP189">
        <v>4.7329520000000003E-3</v>
      </c>
      <c r="EQ189">
        <v>6.9162209999999995E-4</v>
      </c>
      <c r="ER189">
        <v>7.3501260000000004E-4</v>
      </c>
      <c r="ES189">
        <v>1.0978400000000001E-3</v>
      </c>
      <c r="ET189">
        <v>5.1383260000000004E-3</v>
      </c>
      <c r="EU189">
        <v>2.554289E-3</v>
      </c>
      <c r="EV189">
        <v>8.3371890000000001E-3</v>
      </c>
      <c r="EW189">
        <v>1.329167E-3</v>
      </c>
      <c r="EX189">
        <v>4.6741339999999999E-3</v>
      </c>
      <c r="EY189">
        <v>5.4817980000000004E-3</v>
      </c>
      <c r="EZ189">
        <v>2.7298190000000001E-3</v>
      </c>
      <c r="FA189">
        <v>1.7437749999999999E-3</v>
      </c>
      <c r="FB189">
        <v>1.898449E-3</v>
      </c>
      <c r="FC189">
        <v>2.446588E-3</v>
      </c>
      <c r="FD189">
        <v>5.3926729999999995E-4</v>
      </c>
      <c r="FE189">
        <v>2.7234870000000001E-2</v>
      </c>
      <c r="FF189">
        <v>1.0661510000000001E-2</v>
      </c>
      <c r="FG189">
        <v>7.5623579999999999E-3</v>
      </c>
      <c r="FH189">
        <v>8.5860139999999999E-4</v>
      </c>
      <c r="FI189">
        <v>2.0930089999999998E-3</v>
      </c>
      <c r="FJ189">
        <v>9.1586959999999992E-3</v>
      </c>
      <c r="FK189">
        <v>1.0597900571802501</v>
      </c>
      <c r="FL189">
        <v>0.71035978401576305</v>
      </c>
      <c r="FM189">
        <v>-2.07151955660109</v>
      </c>
      <c r="FN189">
        <v>0.86134822603920702</v>
      </c>
      <c r="FO189">
        <v>0.19801416090700799</v>
      </c>
      <c r="FP189">
        <v>-0.13107883435654599</v>
      </c>
      <c r="FQ189">
        <v>-0.64570930218003797</v>
      </c>
      <c r="FR189">
        <v>0.60841624402229999</v>
      </c>
      <c r="FS189">
        <v>1.51700223447565</v>
      </c>
      <c r="FT189">
        <v>-6.0486632353757001E-2</v>
      </c>
      <c r="FU189">
        <v>9.4816740598122201E-2</v>
      </c>
      <c r="FV189">
        <v>0.80388694256564297</v>
      </c>
      <c r="FW189">
        <v>-0.557910648060021</v>
      </c>
      <c r="FX189">
        <v>0.61809745222984502</v>
      </c>
      <c r="FY189">
        <v>0.45536989548783202</v>
      </c>
      <c r="FZ189">
        <v>-0.52427952007464396</v>
      </c>
      <c r="GA189">
        <v>-8.0979067935959201E-2</v>
      </c>
      <c r="GB189">
        <v>-5.85227682217822E-2</v>
      </c>
      <c r="GC189">
        <v>0.72377083203200798</v>
      </c>
      <c r="GD189">
        <v>-6.2332533549226597E-2</v>
      </c>
      <c r="GE189">
        <v>-0.21147475762627899</v>
      </c>
      <c r="GF189">
        <v>0.762074494795137</v>
      </c>
      <c r="GG189">
        <v>0.61177098408258301</v>
      </c>
      <c r="GH189">
        <v>0.65255851790432895</v>
      </c>
      <c r="GI189">
        <v>0.266873792773684</v>
      </c>
      <c r="GJ189">
        <v>0.41203139021975899</v>
      </c>
      <c r="GK189">
        <v>0.15499043146087299</v>
      </c>
      <c r="GL189">
        <v>-0.33806341972062598</v>
      </c>
      <c r="GM189">
        <v>-0.10902387410614001</v>
      </c>
      <c r="GN189">
        <v>7.9533098332328606E-2</v>
      </c>
      <c r="GO189">
        <v>0.37678885708272902</v>
      </c>
      <c r="GP189">
        <v>-0.14538864389023101</v>
      </c>
      <c r="GT189" s="66"/>
      <c r="HK189" s="1"/>
      <c r="HL189" s="1"/>
      <c r="HM189" s="65"/>
      <c r="HN189" s="1"/>
      <c r="HO189" s="65"/>
      <c r="HP189" s="65"/>
      <c r="HQ189" s="65"/>
      <c r="HS189" s="65"/>
      <c r="HV189" s="65"/>
      <c r="HW189" s="65"/>
      <c r="HX189" s="65"/>
      <c r="IX189" s="66"/>
      <c r="IZ189" s="66"/>
      <c r="JB189" s="66"/>
      <c r="JD189" s="66"/>
      <c r="JF189" s="66"/>
      <c r="JH189" s="66"/>
      <c r="JJ189" s="66"/>
      <c r="JL189" s="66"/>
      <c r="JN189" s="66"/>
      <c r="JO189" s="66"/>
      <c r="JP189" s="66"/>
      <c r="JQ189" s="66"/>
      <c r="JR189" s="66"/>
    </row>
    <row r="190" spans="1:278" ht="15.75" x14ac:dyDescent="0.25">
      <c r="A190" s="2" t="s">
        <v>242</v>
      </c>
      <c r="B190" s="2" t="s">
        <v>242</v>
      </c>
      <c r="C190" s="2" t="s">
        <v>1083</v>
      </c>
      <c r="D190" s="2" t="s">
        <v>632</v>
      </c>
      <c r="E190" s="2" t="s">
        <v>632</v>
      </c>
      <c r="F190" s="2">
        <v>189</v>
      </c>
      <c r="G190" s="19" t="s">
        <v>1082</v>
      </c>
      <c r="H190" s="10" t="s">
        <v>656</v>
      </c>
      <c r="I190" s="2">
        <v>150</v>
      </c>
      <c r="J190" s="2">
        <v>65</v>
      </c>
      <c r="K190" s="12">
        <v>3.9</v>
      </c>
      <c r="L190" t="s">
        <v>415</v>
      </c>
      <c r="M190" s="2" t="s">
        <v>1120</v>
      </c>
      <c r="N190" s="2" t="s">
        <v>435</v>
      </c>
      <c r="O190" s="2" t="s">
        <v>653</v>
      </c>
      <c r="P190" s="2" t="s">
        <v>1123</v>
      </c>
      <c r="Q190" s="9" t="s">
        <v>654</v>
      </c>
      <c r="R190" s="2" t="str">
        <f t="shared" si="145"/>
        <v>CW_1_Section_1</v>
      </c>
      <c r="S190" s="2" t="str">
        <f t="shared" si="146"/>
        <v>CW_1_MF01</v>
      </c>
      <c r="T190" s="11" t="s">
        <v>1075</v>
      </c>
      <c r="U190" s="1">
        <v>46007</v>
      </c>
      <c r="V190" s="2" t="s">
        <v>799</v>
      </c>
      <c r="W190" s="2" t="s">
        <v>655</v>
      </c>
      <c r="X190" s="2" t="s">
        <v>1074</v>
      </c>
      <c r="Y190" s="2" t="str">
        <f t="shared" si="147"/>
        <v>T8_MF01</v>
      </c>
      <c r="Z190" s="2" t="str">
        <f t="shared" si="148"/>
        <v>T8_CW_1_MF01</v>
      </c>
      <c r="AA190" s="2" t="str">
        <f t="shared" si="149"/>
        <v>T8_0.15-0.30</v>
      </c>
      <c r="AB190" s="2">
        <v>490</v>
      </c>
      <c r="AC190" s="2">
        <v>16.117999999999999</v>
      </c>
      <c r="AD190" s="2">
        <v>1.53</v>
      </c>
      <c r="AE190" s="2">
        <v>8</v>
      </c>
      <c r="AF190" t="s">
        <v>29</v>
      </c>
      <c r="AG190" t="s">
        <v>1237</v>
      </c>
      <c r="AH190">
        <v>70</v>
      </c>
      <c r="AI190" t="s">
        <v>443</v>
      </c>
      <c r="AJ190">
        <v>0.49</v>
      </c>
      <c r="AK190">
        <v>1.1299999999999999</v>
      </c>
      <c r="AL190">
        <v>9</v>
      </c>
      <c r="AM190">
        <v>-83</v>
      </c>
      <c r="AN190">
        <v>7.6</v>
      </c>
      <c r="AO190">
        <v>1131</v>
      </c>
      <c r="AP190">
        <v>0.1</v>
      </c>
      <c r="AQ190">
        <v>0.01</v>
      </c>
      <c r="AR190">
        <v>9.6999999999999993</v>
      </c>
      <c r="AS190">
        <v>10</v>
      </c>
      <c r="AT190">
        <v>630</v>
      </c>
      <c r="AU190" s="32">
        <f t="shared" si="161"/>
        <v>0.24196645755985149</v>
      </c>
      <c r="AV190">
        <v>47</v>
      </c>
      <c r="AW190" s="32">
        <f t="shared" si="162"/>
        <v>1.8363360104189274E-2</v>
      </c>
      <c r="AX190">
        <v>350</v>
      </c>
      <c r="AY190" s="32">
        <f t="shared" si="163"/>
        <v>0.13845719129697656</v>
      </c>
      <c r="AZ190">
        <v>130</v>
      </c>
      <c r="BA190" s="32">
        <f t="shared" si="164"/>
        <v>5.1426956767448434E-2</v>
      </c>
      <c r="BB190">
        <v>110</v>
      </c>
      <c r="BC190" s="32">
        <f t="shared" si="165"/>
        <v>4.3515117264764057E-2</v>
      </c>
      <c r="BD190">
        <v>240</v>
      </c>
      <c r="BF190" s="48">
        <v>1267</v>
      </c>
      <c r="BG190" s="48">
        <f t="shared" si="166"/>
        <v>0.39878700896101738</v>
      </c>
      <c r="BH190">
        <v>120</v>
      </c>
      <c r="BI190" s="32">
        <f t="shared" si="167"/>
        <v>4.4940313645938985E-2</v>
      </c>
      <c r="BJ190" s="47">
        <v>85</v>
      </c>
      <c r="BK190" s="27">
        <f t="shared" si="168"/>
        <v>3.1832722165873448E-2</v>
      </c>
      <c r="BL190" s="47">
        <v>2.5</v>
      </c>
      <c r="BM190" s="27">
        <f t="shared" si="169"/>
        <v>9.1990275313752544E-4</v>
      </c>
      <c r="BN190" s="47">
        <v>70</v>
      </c>
      <c r="BO190" s="27">
        <f t="shared" si="170"/>
        <v>2.6327734906945077E-2</v>
      </c>
      <c r="BP190" s="47">
        <v>1.5</v>
      </c>
      <c r="BQ190" s="27">
        <f t="shared" si="171"/>
        <v>5.5949945854891106E-4</v>
      </c>
      <c r="BR190" s="47">
        <v>0.17</v>
      </c>
      <c r="BS190" s="27">
        <f t="shared" si="172"/>
        <v>6.2952364921730342E-5</v>
      </c>
      <c r="BT190" s="47">
        <v>0.03</v>
      </c>
      <c r="BU190" s="27">
        <f t="shared" si="173"/>
        <v>1.110924086854065E-5</v>
      </c>
      <c r="BV190" s="47">
        <v>0.03</v>
      </c>
      <c r="BW190" s="27">
        <f t="shared" si="174"/>
        <v>1.0976514215080345E-5</v>
      </c>
      <c r="BX190" s="47">
        <v>2E-3</v>
      </c>
      <c r="BY190" s="27">
        <f t="shared" si="175"/>
        <v>7.3176761433868969E-7</v>
      </c>
      <c r="BZ190" s="51">
        <f t="shared" si="176"/>
        <v>159.232</v>
      </c>
      <c r="CA190" s="51">
        <f t="shared" si="177"/>
        <v>74.231999999999999</v>
      </c>
      <c r="CB190" s="27">
        <f t="shared" si="178"/>
        <v>5.9725629172124657E-2</v>
      </c>
      <c r="CC190" s="27">
        <f t="shared" si="179"/>
        <v>2.7892907006251199E-2</v>
      </c>
      <c r="CD190">
        <v>620</v>
      </c>
      <c r="CE190">
        <v>610</v>
      </c>
      <c r="CF190" t="s">
        <v>19</v>
      </c>
      <c r="CG190">
        <v>1200</v>
      </c>
      <c r="CH190" s="32">
        <v>1</v>
      </c>
      <c r="CI190" s="32">
        <f t="shared" si="180"/>
        <v>1.7905102954341987E-2</v>
      </c>
      <c r="CJ190" s="32">
        <f t="shared" si="181"/>
        <v>1.7905102954341987E-2</v>
      </c>
      <c r="CK190" s="32">
        <v>0.8</v>
      </c>
      <c r="CL190" s="32">
        <f t="shared" si="182"/>
        <v>1.4563990533406155E-2</v>
      </c>
      <c r="CM190" s="32">
        <f t="shared" si="183"/>
        <v>2.912798106681231E-2</v>
      </c>
      <c r="CN190" s="27">
        <v>36</v>
      </c>
      <c r="CO190" s="27">
        <f t="shared" si="184"/>
        <v>0.37476577139287942</v>
      </c>
      <c r="CP190" s="27">
        <f t="shared" si="185"/>
        <v>2.9981261711430354</v>
      </c>
      <c r="CQ190" s="57">
        <v>36</v>
      </c>
      <c r="CR190" s="57">
        <v>50</v>
      </c>
      <c r="CS190" s="57">
        <v>2.9981261711430354</v>
      </c>
      <c r="CT190" s="57">
        <f t="shared" si="186"/>
        <v>2.9981261711430354</v>
      </c>
      <c r="CU190" s="28">
        <v>36</v>
      </c>
      <c r="CV190" s="28">
        <v>50</v>
      </c>
      <c r="CW190" s="28">
        <v>2.9981261711430354</v>
      </c>
      <c r="CX190" s="28">
        <f t="shared" si="187"/>
        <v>2.9981261711430354</v>
      </c>
      <c r="CY190" s="32">
        <f t="shared" si="188"/>
        <v>20.926920674578387</v>
      </c>
      <c r="CZ190" s="32">
        <f t="shared" si="189"/>
        <v>20.926920674578387</v>
      </c>
      <c r="DA190" s="32">
        <f t="shared" si="190"/>
        <v>21.926920674578387</v>
      </c>
      <c r="DB190" s="32">
        <f t="shared" si="191"/>
        <v>0.39260377215001585</v>
      </c>
      <c r="DC190" s="32">
        <f t="shared" si="192"/>
        <v>0.39260377215001585</v>
      </c>
      <c r="DD190" s="59">
        <f t="shared" si="193"/>
        <v>20.926920674578387</v>
      </c>
      <c r="DE190" s="59">
        <f t="shared" si="194"/>
        <v>20.926920674578387</v>
      </c>
      <c r="DF190" s="59">
        <f t="shared" si="195"/>
        <v>21.926920674578387</v>
      </c>
      <c r="DG190" s="59">
        <f t="shared" si="196"/>
        <v>0.39260377215001585</v>
      </c>
      <c r="DH190" s="59">
        <f t="shared" si="197"/>
        <v>0.39260377215001585</v>
      </c>
      <c r="DI190" s="32">
        <f t="shared" si="198"/>
        <v>2.9981261711430354</v>
      </c>
      <c r="DJ190" s="32">
        <f t="shared" si="199"/>
        <v>22.726920674578388</v>
      </c>
      <c r="DK190" s="32">
        <f t="shared" si="200"/>
        <v>0.42173175321682815</v>
      </c>
      <c r="DL190">
        <f t="shared" si="201"/>
        <v>3.4198579243598637</v>
      </c>
      <c r="DM190">
        <f t="shared" si="206"/>
        <v>8.5173073592712326E-3</v>
      </c>
      <c r="DN190">
        <f t="shared" si="207"/>
        <v>0.11480119374359807</v>
      </c>
      <c r="DO190">
        <f t="shared" si="208"/>
        <v>0.87668149889713065</v>
      </c>
      <c r="DP190">
        <f t="shared" si="202"/>
        <v>3.4198579243598637</v>
      </c>
      <c r="DQ190">
        <f t="shared" si="209"/>
        <v>8.5173073592712326E-3</v>
      </c>
      <c r="DR190">
        <f t="shared" si="210"/>
        <v>0.11480119374359807</v>
      </c>
      <c r="DS190">
        <f t="shared" si="211"/>
        <v>0.87668149889713065</v>
      </c>
      <c r="DT190" s="63">
        <f t="shared" si="212"/>
        <v>-2.9761306017529074</v>
      </c>
      <c r="DU190" s="63">
        <f t="shared" si="213"/>
        <v>-2.9761306017529074</v>
      </c>
      <c r="DV190" s="63">
        <f t="shared" si="214"/>
        <v>-2.948237694746656</v>
      </c>
      <c r="DW190" s="63">
        <f t="shared" si="215"/>
        <v>-2.948237694746656</v>
      </c>
      <c r="DX190" t="str">
        <f t="shared" si="203"/>
        <v>Sufficient Capacity</v>
      </c>
      <c r="DY190" t="str">
        <f t="shared" si="204"/>
        <v>Sufficient Capacity</v>
      </c>
      <c r="DZ190" t="str">
        <f t="shared" si="205"/>
        <v>Sulfate Dominant electron acceptor</v>
      </c>
      <c r="EA190" t="str">
        <f t="shared" si="216"/>
        <v>Sulfate Dominant electron acceptor</v>
      </c>
      <c r="EB190">
        <v>8.9827880000000002E-3</v>
      </c>
      <c r="EC190">
        <v>1.504621E-3</v>
      </c>
      <c r="ED190" s="66">
        <v>7.8392700000000003E-7</v>
      </c>
      <c r="EE190">
        <v>9.3663030000000003E-4</v>
      </c>
      <c r="EF190">
        <v>6.59226E-3</v>
      </c>
      <c r="EG190" s="66">
        <v>1.7321289999999999E-5</v>
      </c>
      <c r="EH190">
        <v>4.394499E-4</v>
      </c>
      <c r="EI190">
        <v>1.11734E-4</v>
      </c>
      <c r="EJ190">
        <v>5.5360130000000002E-4</v>
      </c>
      <c r="EK190">
        <v>7.7114019999999998E-4</v>
      </c>
      <c r="EL190">
        <v>7.4442219999999997E-4</v>
      </c>
      <c r="EM190">
        <v>5.0949749999999999E-4</v>
      </c>
      <c r="EN190">
        <v>2.1990320000000001E-3</v>
      </c>
      <c r="EO190">
        <v>9.661273E-4</v>
      </c>
      <c r="EP190">
        <v>2.853857E-3</v>
      </c>
      <c r="EQ190">
        <v>1.070599E-3</v>
      </c>
      <c r="ER190">
        <v>5.3573569999999999E-4</v>
      </c>
      <c r="ES190">
        <v>8.5057769999999995E-4</v>
      </c>
      <c r="ET190">
        <v>8.1591089999999995E-3</v>
      </c>
      <c r="EU190">
        <v>2.6345029999999998E-3</v>
      </c>
      <c r="EV190">
        <v>8.8571750000000001E-3</v>
      </c>
      <c r="EW190">
        <v>7.6677769999999998E-4</v>
      </c>
      <c r="EX190">
        <v>4.9090770000000004E-3</v>
      </c>
      <c r="EY190">
        <v>6.2916489999999999E-3</v>
      </c>
      <c r="EZ190">
        <v>1.885943E-3</v>
      </c>
      <c r="FA190">
        <v>1.1645220000000001E-3</v>
      </c>
      <c r="FB190">
        <v>1.2386700000000001E-3</v>
      </c>
      <c r="FC190">
        <v>1.896397E-3</v>
      </c>
      <c r="FD190">
        <v>4.495004E-4</v>
      </c>
      <c r="FE190">
        <v>2.630826E-2</v>
      </c>
      <c r="FF190">
        <v>1.4471400000000001E-2</v>
      </c>
      <c r="FG190">
        <v>8.2499340000000004E-3</v>
      </c>
      <c r="FH190">
        <v>7.5772929999999995E-4</v>
      </c>
      <c r="FI190">
        <v>1.6462099999999999E-3</v>
      </c>
      <c r="FJ190">
        <v>1.193552E-2</v>
      </c>
      <c r="FK190">
        <v>0.49189132901621102</v>
      </c>
      <c r="FL190">
        <v>0.35975111349551198</v>
      </c>
      <c r="FM190">
        <v>0.36015374802944899</v>
      </c>
      <c r="FN190">
        <v>0.39195156230162798</v>
      </c>
      <c r="FO190">
        <v>0.34194007140452798</v>
      </c>
      <c r="FP190">
        <v>0.224457748256052</v>
      </c>
      <c r="FQ190">
        <v>6.9578100381781902E-2</v>
      </c>
      <c r="FR190">
        <v>0.490937472695054</v>
      </c>
      <c r="FS190">
        <v>0.68380493217195903</v>
      </c>
      <c r="FT190">
        <v>7.8246000449287798E-2</v>
      </c>
      <c r="FU190">
        <v>0.16851170549071501</v>
      </c>
      <c r="FV190">
        <v>0.29800924593593697</v>
      </c>
      <c r="FW190">
        <v>-0.120976772342654</v>
      </c>
      <c r="FX190">
        <v>0.30185075275036699</v>
      </c>
      <c r="FY190">
        <v>0.200185769214172</v>
      </c>
      <c r="FZ190">
        <v>-6.1871893724558397E-2</v>
      </c>
      <c r="GA190">
        <v>-5.0058425576096098E-2</v>
      </c>
      <c r="GB190">
        <v>1.9789875969644698E-3</v>
      </c>
      <c r="GC190">
        <v>0.17366005167315299</v>
      </c>
      <c r="GD190">
        <v>-1.32904980604431E-2</v>
      </c>
      <c r="GE190">
        <v>-7.3684708446214706E-2</v>
      </c>
      <c r="GF190">
        <v>0.39226714922355499</v>
      </c>
      <c r="GG190">
        <v>0.208029383072482</v>
      </c>
      <c r="GH190">
        <v>0.22555950423410001</v>
      </c>
      <c r="GI190">
        <v>1.2135162020669599E-2</v>
      </c>
      <c r="GJ190">
        <v>0.22995676765921</v>
      </c>
      <c r="GK190">
        <v>0.120375252221931</v>
      </c>
      <c r="GL190">
        <v>-3.2529191594946397E-2</v>
      </c>
      <c r="GM190">
        <v>-2.2001720112718299E-2</v>
      </c>
      <c r="GN190">
        <v>-4.54454901703292E-2</v>
      </c>
      <c r="GO190">
        <v>0.13666178971432899</v>
      </c>
      <c r="GP190">
        <v>0.119426373811776</v>
      </c>
      <c r="GR190" s="66"/>
      <c r="GT190" s="66"/>
      <c r="GV190" s="66"/>
      <c r="GW190" s="65"/>
      <c r="GX190" s="65"/>
      <c r="HK190" s="1"/>
      <c r="HL190" s="1"/>
      <c r="HM190" s="65"/>
      <c r="HN190" s="1"/>
      <c r="HP190" s="65"/>
      <c r="HQ190" s="65"/>
      <c r="HT190" s="65"/>
      <c r="HU190" s="65"/>
      <c r="HV190" s="65"/>
      <c r="HW190" s="65"/>
      <c r="HX190" s="65"/>
      <c r="IZ190" s="66"/>
      <c r="JB190" s="66"/>
      <c r="JD190" s="66"/>
      <c r="JF190" s="66"/>
      <c r="JH190" s="66"/>
      <c r="JJ190" s="66"/>
      <c r="JL190" s="66"/>
      <c r="JN190" s="66"/>
    </row>
    <row r="191" spans="1:278" ht="15.75" x14ac:dyDescent="0.25">
      <c r="A191" s="2" t="s">
        <v>243</v>
      </c>
      <c r="B191" s="2" t="s">
        <v>243</v>
      </c>
      <c r="C191" s="2" t="s">
        <v>1085</v>
      </c>
      <c r="D191" s="2" t="s">
        <v>633</v>
      </c>
      <c r="E191" s="2" t="s">
        <v>633</v>
      </c>
      <c r="F191" s="2">
        <v>190</v>
      </c>
      <c r="G191" s="19" t="s">
        <v>1084</v>
      </c>
      <c r="H191" s="10" t="s">
        <v>656</v>
      </c>
      <c r="I191" s="2">
        <v>150</v>
      </c>
      <c r="J191" s="2">
        <v>65</v>
      </c>
      <c r="K191" s="12">
        <v>2.9</v>
      </c>
      <c r="L191" t="s">
        <v>416</v>
      </c>
      <c r="M191" s="2" t="s">
        <v>1120</v>
      </c>
      <c r="N191" s="2" t="s">
        <v>435</v>
      </c>
      <c r="O191" s="2" t="s">
        <v>653</v>
      </c>
      <c r="P191" s="2" t="s">
        <v>1124</v>
      </c>
      <c r="Q191" s="9" t="s">
        <v>662</v>
      </c>
      <c r="R191" s="2" t="str">
        <f t="shared" si="145"/>
        <v>CW_1_Section_1</v>
      </c>
      <c r="S191" s="2" t="str">
        <f t="shared" si="146"/>
        <v>CW_1_MF02</v>
      </c>
      <c r="T191" s="11" t="s">
        <v>1075</v>
      </c>
      <c r="U191" s="1">
        <v>46007</v>
      </c>
      <c r="V191" s="2" t="s">
        <v>799</v>
      </c>
      <c r="W191" s="2" t="s">
        <v>663</v>
      </c>
      <c r="X191" s="2" t="s">
        <v>1074</v>
      </c>
      <c r="Y191" s="2" t="str">
        <f t="shared" si="147"/>
        <v>T8_MF02</v>
      </c>
      <c r="Z191" s="2" t="str">
        <f t="shared" si="148"/>
        <v>T8_CW_1_MF02</v>
      </c>
      <c r="AA191" s="2" t="str">
        <f t="shared" si="149"/>
        <v>T8_0.60-0.80</v>
      </c>
      <c r="AB191" s="2">
        <v>490</v>
      </c>
      <c r="AC191" s="2">
        <v>16.117999999999999</v>
      </c>
      <c r="AD191" s="2">
        <v>1.53</v>
      </c>
      <c r="AE191" s="2">
        <v>8</v>
      </c>
      <c r="AF191" t="s">
        <v>31</v>
      </c>
      <c r="AG191" t="s">
        <v>1237</v>
      </c>
      <c r="AH191">
        <v>72</v>
      </c>
      <c r="AI191" t="s">
        <v>443</v>
      </c>
      <c r="AJ191">
        <v>0.72</v>
      </c>
      <c r="AK191">
        <v>1.19</v>
      </c>
      <c r="AL191">
        <v>9</v>
      </c>
      <c r="AM191">
        <v>-133</v>
      </c>
      <c r="AN191">
        <v>7.7</v>
      </c>
      <c r="AO191">
        <v>1148</v>
      </c>
      <c r="AP191">
        <v>0.1</v>
      </c>
      <c r="AQ191">
        <v>0.6</v>
      </c>
      <c r="AR191">
        <v>10</v>
      </c>
      <c r="AS191">
        <v>11</v>
      </c>
      <c r="AT191">
        <v>690</v>
      </c>
      <c r="AU191" s="32">
        <f t="shared" si="161"/>
        <v>0.26501088208936113</v>
      </c>
      <c r="AV191">
        <v>130</v>
      </c>
      <c r="AW191" s="32">
        <f t="shared" si="162"/>
        <v>5.0792272628608637E-2</v>
      </c>
      <c r="AX191">
        <v>580</v>
      </c>
      <c r="AY191" s="32">
        <f t="shared" si="163"/>
        <v>0.22944334557784687</v>
      </c>
      <c r="AZ191">
        <v>210</v>
      </c>
      <c r="BA191" s="32">
        <f t="shared" si="164"/>
        <v>8.3074314778185929E-2</v>
      </c>
      <c r="BB191">
        <v>290</v>
      </c>
      <c r="BC191" s="32">
        <f t="shared" si="165"/>
        <v>0.11472167278892344</v>
      </c>
      <c r="BD191">
        <v>500</v>
      </c>
      <c r="BF191" s="48">
        <v>1900</v>
      </c>
      <c r="BG191" s="48">
        <f t="shared" si="166"/>
        <v>0.54524650029581667</v>
      </c>
      <c r="BH191">
        <v>3100</v>
      </c>
      <c r="BI191" s="32">
        <f t="shared" si="167"/>
        <v>1.1609581025200906</v>
      </c>
      <c r="BJ191" s="47">
        <v>2900</v>
      </c>
      <c r="BK191" s="27">
        <f t="shared" si="168"/>
        <v>1.0860575797768588</v>
      </c>
      <c r="BL191" s="47">
        <v>4</v>
      </c>
      <c r="BM191" s="27">
        <f t="shared" si="169"/>
        <v>1.4718444050200407E-3</v>
      </c>
      <c r="BN191" s="47">
        <v>140</v>
      </c>
      <c r="BO191" s="27">
        <f t="shared" si="170"/>
        <v>5.2655469813890153E-2</v>
      </c>
      <c r="BP191" s="47">
        <v>38</v>
      </c>
      <c r="BQ191" s="27">
        <f t="shared" si="171"/>
        <v>1.4173986283239081E-2</v>
      </c>
      <c r="BR191" s="47">
        <v>26</v>
      </c>
      <c r="BS191" s="27">
        <f t="shared" si="172"/>
        <v>9.6280087527352287E-3</v>
      </c>
      <c r="BT191" s="47">
        <v>0.4</v>
      </c>
      <c r="BU191" s="27">
        <f t="shared" si="173"/>
        <v>1.4812321158054199E-4</v>
      </c>
      <c r="BV191" s="47">
        <v>1.1000000000000001</v>
      </c>
      <c r="BW191" s="27">
        <f t="shared" si="174"/>
        <v>4.0247218788627936E-4</v>
      </c>
      <c r="BX191" s="47">
        <v>1</v>
      </c>
      <c r="BY191" s="27">
        <f t="shared" si="175"/>
        <v>3.6588380716934482E-4</v>
      </c>
      <c r="BZ191" s="51">
        <f t="shared" si="176"/>
        <v>3110.5</v>
      </c>
      <c r="CA191" s="51">
        <f t="shared" si="177"/>
        <v>210.5</v>
      </c>
      <c r="CB191" s="27">
        <f t="shared" si="178"/>
        <v>1.1649033682383796</v>
      </c>
      <c r="CC191" s="27">
        <f t="shared" si="179"/>
        <v>7.8845788461520669E-2</v>
      </c>
      <c r="CD191">
        <v>6700</v>
      </c>
      <c r="CE191">
        <v>1700</v>
      </c>
      <c r="CF191" t="s">
        <v>19</v>
      </c>
      <c r="CG191">
        <v>8300</v>
      </c>
      <c r="CH191" s="32">
        <v>0.02</v>
      </c>
      <c r="CI191" s="32">
        <f t="shared" si="180"/>
        <v>3.5810205908683976E-4</v>
      </c>
      <c r="CJ191" s="32">
        <f t="shared" si="181"/>
        <v>3.5810205908683976E-4</v>
      </c>
      <c r="CK191" s="32">
        <v>0.7</v>
      </c>
      <c r="CL191" s="32">
        <f t="shared" si="182"/>
        <v>1.2743491716730383E-2</v>
      </c>
      <c r="CM191" s="32">
        <f t="shared" si="183"/>
        <v>2.5486983433460765E-2</v>
      </c>
      <c r="CN191" s="27">
        <v>65</v>
      </c>
      <c r="CO191" s="27">
        <f t="shared" si="184"/>
        <v>0.67666042057047682</v>
      </c>
      <c r="CP191" s="27">
        <f t="shared" si="185"/>
        <v>5.4132833645638145</v>
      </c>
      <c r="CQ191" s="57">
        <v>7</v>
      </c>
      <c r="CR191" s="57">
        <v>9.7222222222222232</v>
      </c>
      <c r="CS191" s="57">
        <v>0.58296897772225686</v>
      </c>
      <c r="CT191" s="57">
        <f t="shared" si="186"/>
        <v>0.58296897772225686</v>
      </c>
      <c r="CU191" s="28">
        <v>7</v>
      </c>
      <c r="CV191" s="28">
        <v>9.7222222222222232</v>
      </c>
      <c r="CW191" s="28">
        <v>0.58296897772225686</v>
      </c>
      <c r="CX191" s="28">
        <f t="shared" si="187"/>
        <v>0.58296897772225686</v>
      </c>
      <c r="CY191" s="32">
        <f t="shared" si="188"/>
        <v>4.0691234645013532</v>
      </c>
      <c r="CZ191" s="32">
        <f t="shared" si="189"/>
        <v>4.0691234645013532</v>
      </c>
      <c r="DA191" s="32">
        <f t="shared" si="190"/>
        <v>4.0891234645013528</v>
      </c>
      <c r="DB191" s="32">
        <f t="shared" si="191"/>
        <v>7.321617662491231E-2</v>
      </c>
      <c r="DC191" s="32">
        <f t="shared" si="192"/>
        <v>7.321617662491231E-2</v>
      </c>
      <c r="DD191" s="59">
        <f t="shared" si="193"/>
        <v>4.0691234645013532</v>
      </c>
      <c r="DE191" s="59">
        <f t="shared" si="194"/>
        <v>4.0691234645013532</v>
      </c>
      <c r="DF191" s="59">
        <f t="shared" si="195"/>
        <v>4.0891234645013528</v>
      </c>
      <c r="DG191" s="59">
        <f t="shared" si="196"/>
        <v>7.321617662491231E-2</v>
      </c>
      <c r="DH191" s="59">
        <f t="shared" si="197"/>
        <v>7.321617662491231E-2</v>
      </c>
      <c r="DI191" s="32">
        <f t="shared" si="198"/>
        <v>5.4132833645638145</v>
      </c>
      <c r="DJ191" s="32">
        <f t="shared" si="199"/>
        <v>4.789123464501353</v>
      </c>
      <c r="DK191" s="32">
        <f t="shared" si="200"/>
        <v>9.8703160058373068E-2</v>
      </c>
      <c r="DL191">
        <f t="shared" si="201"/>
        <v>0.68167213778062996</v>
      </c>
      <c r="DM191">
        <f t="shared" si="206"/>
        <v>3.738891766420234E-2</v>
      </c>
      <c r="DN191">
        <f t="shared" si="207"/>
        <v>0.10740673201531692</v>
      </c>
      <c r="DO191">
        <f t="shared" si="208"/>
        <v>0.8552043503204807</v>
      </c>
      <c r="DP191">
        <f t="shared" si="202"/>
        <v>0.68167213778062996</v>
      </c>
      <c r="DQ191">
        <f t="shared" si="209"/>
        <v>3.738891766420234E-2</v>
      </c>
      <c r="DR191">
        <f t="shared" si="210"/>
        <v>0.10740673201531692</v>
      </c>
      <c r="DS191">
        <f t="shared" si="211"/>
        <v>0.8552043503204807</v>
      </c>
      <c r="DT191" s="63">
        <f t="shared" si="212"/>
        <v>1.0245324650352772</v>
      </c>
      <c r="DU191" s="63">
        <f t="shared" si="213"/>
        <v>1.0245324650352772</v>
      </c>
      <c r="DV191" s="63">
        <f t="shared" si="214"/>
        <v>1.103378253496798</v>
      </c>
      <c r="DW191" s="63">
        <f t="shared" si="215"/>
        <v>1.103378253496798</v>
      </c>
      <c r="DX191" t="str">
        <f t="shared" si="203"/>
        <v>Insufficient Capacity</v>
      </c>
      <c r="DY191" t="str">
        <f t="shared" si="204"/>
        <v>Insufficient Capacity</v>
      </c>
      <c r="DZ191" t="str">
        <f t="shared" si="205"/>
        <v>Sulfate Dominant electron acceptor</v>
      </c>
      <c r="EA191" t="str">
        <f t="shared" si="216"/>
        <v>Sulfate Dominant electron acceptor</v>
      </c>
      <c r="EB191">
        <v>1.031229E-2</v>
      </c>
      <c r="EC191">
        <v>1.902618E-3</v>
      </c>
      <c r="ED191">
        <v>0</v>
      </c>
      <c r="EE191">
        <v>5.7667690000000001E-4</v>
      </c>
      <c r="EF191">
        <v>4.0082879999999996E-3</v>
      </c>
      <c r="EG191" s="66">
        <v>6.1030919999999998E-6</v>
      </c>
      <c r="EH191">
        <v>2.5977159999999999E-4</v>
      </c>
      <c r="EI191" s="66">
        <v>6.6437279999999994E-5</v>
      </c>
      <c r="EJ191">
        <v>1.731724E-4</v>
      </c>
      <c r="EK191">
        <v>2.3049050000000001E-4</v>
      </c>
      <c r="EL191">
        <v>4.4722689999999999E-4</v>
      </c>
      <c r="EM191">
        <v>3.8926709999999998E-4</v>
      </c>
      <c r="EN191">
        <v>1.607867E-3</v>
      </c>
      <c r="EO191">
        <v>5.0144809999999997E-4</v>
      </c>
      <c r="EP191">
        <v>2.1926279999999999E-3</v>
      </c>
      <c r="EQ191">
        <v>1.7714339999999999E-3</v>
      </c>
      <c r="ER191">
        <v>3.2000829999999998E-4</v>
      </c>
      <c r="ES191">
        <v>5.7141739999999998E-4</v>
      </c>
      <c r="ET191">
        <v>6.3181540000000003E-3</v>
      </c>
      <c r="EU191">
        <v>2.668798E-3</v>
      </c>
      <c r="EV191">
        <v>9.9449080000000006E-3</v>
      </c>
      <c r="EW191">
        <v>8.622209E-4</v>
      </c>
      <c r="EX191">
        <v>6.0188500000000001E-3</v>
      </c>
      <c r="EY191">
        <v>7.1849790000000002E-3</v>
      </c>
      <c r="EZ191">
        <v>1.116857E-3</v>
      </c>
      <c r="FA191">
        <v>7.061573E-4</v>
      </c>
      <c r="FB191">
        <v>7.6235029999999996E-4</v>
      </c>
      <c r="FC191">
        <v>1.6699519999999999E-3</v>
      </c>
      <c r="FD191">
        <v>2.180239E-4</v>
      </c>
      <c r="FE191">
        <v>2.1386789999999999E-2</v>
      </c>
      <c r="FF191">
        <v>2.046804E-2</v>
      </c>
      <c r="FG191">
        <v>1.0351900000000001E-2</v>
      </c>
      <c r="FH191">
        <v>1.095213E-3</v>
      </c>
      <c r="FI191">
        <v>1.3950379999999999E-3</v>
      </c>
      <c r="FJ191">
        <v>1.3715949999999999E-2</v>
      </c>
      <c r="FK191">
        <v>6.8848260640414997E-3</v>
      </c>
      <c r="FL191">
        <v>-0.13778090259297701</v>
      </c>
      <c r="FM191">
        <v>-0.68298710469859403</v>
      </c>
      <c r="FN191">
        <v>-0.13376937174821499</v>
      </c>
      <c r="FO191">
        <v>-0.177922630390797</v>
      </c>
      <c r="FP191">
        <v>-0.93769937422903604</v>
      </c>
      <c r="FQ191">
        <v>-1.1380824515774699</v>
      </c>
      <c r="FR191">
        <v>-1.8604802215262901E-2</v>
      </c>
      <c r="FS191">
        <v>0.41464572667758598</v>
      </c>
      <c r="FT191">
        <v>-0.23486280719336999</v>
      </c>
      <c r="FU191">
        <v>-0.487283788062639</v>
      </c>
      <c r="FV191">
        <v>3.4438657656114202E-2</v>
      </c>
      <c r="FW191">
        <v>0.38259431080341999</v>
      </c>
      <c r="FX191">
        <v>-0.213443256735797</v>
      </c>
      <c r="FY191">
        <v>-0.19761005561793499</v>
      </c>
      <c r="FZ191">
        <v>-0.317579788677327</v>
      </c>
      <c r="GA191">
        <v>-3.7124791197124203E-2</v>
      </c>
      <c r="GB191">
        <v>0.11781178396482</v>
      </c>
      <c r="GC191">
        <v>0.29097462515806399</v>
      </c>
      <c r="GD191">
        <v>0.19051977268286299</v>
      </c>
      <c r="GE191">
        <v>5.9084689808744699E-2</v>
      </c>
      <c r="GF191">
        <v>-0.13164232143197499</v>
      </c>
      <c r="GG191">
        <v>-0.29219858109330599</v>
      </c>
      <c r="GH191">
        <v>-0.25982783675568599</v>
      </c>
      <c r="GI191">
        <v>-0.115025724578548</v>
      </c>
      <c r="GJ191">
        <v>-0.49357528632235997</v>
      </c>
      <c r="GK191">
        <v>-8.6734264387244395E-2</v>
      </c>
      <c r="GL191">
        <v>0.31416116575235598</v>
      </c>
      <c r="GM191">
        <v>0.204963157315491</v>
      </c>
      <c r="GN191">
        <v>0.32293245586369701</v>
      </c>
      <c r="GO191">
        <v>-2.8892231373975001E-2</v>
      </c>
      <c r="GP191">
        <v>0.25846693485257499</v>
      </c>
      <c r="GY191" s="65"/>
      <c r="HK191" s="1"/>
      <c r="HL191" s="1"/>
      <c r="HM191" s="65"/>
      <c r="HN191" s="1"/>
      <c r="HO191" s="65"/>
      <c r="HS191" s="65"/>
      <c r="HV191" s="65"/>
      <c r="HW191" s="65"/>
      <c r="HX191" s="65"/>
      <c r="IP191" s="66"/>
      <c r="IR191" s="66"/>
      <c r="JH191" s="66"/>
      <c r="JJ191" s="66"/>
      <c r="JL191" s="66"/>
      <c r="JN191" s="66"/>
    </row>
    <row r="192" spans="1:278" ht="15.75" x14ac:dyDescent="0.25">
      <c r="A192" s="2" t="s">
        <v>244</v>
      </c>
      <c r="B192" s="2" t="s">
        <v>244</v>
      </c>
      <c r="C192" s="2" t="s">
        <v>1087</v>
      </c>
      <c r="D192" s="2" t="s">
        <v>634</v>
      </c>
      <c r="E192" s="2" t="s">
        <v>634</v>
      </c>
      <c r="F192" s="2">
        <v>191</v>
      </c>
      <c r="G192" s="19" t="s">
        <v>1086</v>
      </c>
      <c r="H192" s="10" t="s">
        <v>656</v>
      </c>
      <c r="I192" s="2">
        <v>150</v>
      </c>
      <c r="J192" s="2">
        <v>65</v>
      </c>
      <c r="K192" s="12">
        <v>5.25</v>
      </c>
      <c r="L192" t="s">
        <v>417</v>
      </c>
      <c r="M192" s="2" t="s">
        <v>1120</v>
      </c>
      <c r="N192" s="2" t="s">
        <v>435</v>
      </c>
      <c r="O192" s="2" t="s">
        <v>666</v>
      </c>
      <c r="P192" s="2" t="s">
        <v>1131</v>
      </c>
      <c r="Q192" s="9" t="s">
        <v>667</v>
      </c>
      <c r="R192" s="2" t="str">
        <f t="shared" si="145"/>
        <v>CW_1_Section_2</v>
      </c>
      <c r="S192" s="2" t="str">
        <f t="shared" si="146"/>
        <v>CW_1_MF05</v>
      </c>
      <c r="T192" s="11" t="s">
        <v>1075</v>
      </c>
      <c r="U192" s="1">
        <v>46007</v>
      </c>
      <c r="V192" s="2" t="s">
        <v>799</v>
      </c>
      <c r="W192" s="2" t="s">
        <v>655</v>
      </c>
      <c r="X192" s="2" t="s">
        <v>1074</v>
      </c>
      <c r="Y192" s="2" t="str">
        <f t="shared" si="147"/>
        <v>T8_MF05</v>
      </c>
      <c r="Z192" s="2" t="str">
        <f t="shared" si="148"/>
        <v>T8_CW_1_MF05</v>
      </c>
      <c r="AA192" s="2" t="str">
        <f t="shared" si="149"/>
        <v>T8_0.15-0.30</v>
      </c>
      <c r="AB192" s="2">
        <v>490</v>
      </c>
      <c r="AC192" s="2">
        <v>16.117999999999999</v>
      </c>
      <c r="AD192" s="2">
        <v>1.53</v>
      </c>
      <c r="AE192" s="2">
        <v>8</v>
      </c>
      <c r="AF192" t="s">
        <v>33</v>
      </c>
      <c r="AG192" t="s">
        <v>1237</v>
      </c>
      <c r="AH192">
        <v>70</v>
      </c>
      <c r="AI192" t="s">
        <v>443</v>
      </c>
      <c r="AJ192">
        <v>0.86</v>
      </c>
      <c r="AK192">
        <v>0.92</v>
      </c>
      <c r="AL192">
        <v>8</v>
      </c>
      <c r="AM192">
        <v>6</v>
      </c>
      <c r="AN192">
        <v>7.7</v>
      </c>
      <c r="AO192">
        <v>1100</v>
      </c>
      <c r="AP192">
        <v>0.1</v>
      </c>
      <c r="AQ192">
        <v>0.01</v>
      </c>
      <c r="AR192">
        <v>10</v>
      </c>
      <c r="AS192">
        <v>10</v>
      </c>
      <c r="AT192">
        <v>540</v>
      </c>
      <c r="AU192" s="32">
        <f t="shared" si="161"/>
        <v>0.207399820765587</v>
      </c>
      <c r="AV192">
        <v>23</v>
      </c>
      <c r="AW192" s="32">
        <f t="shared" si="162"/>
        <v>8.98632515736922E-3</v>
      </c>
      <c r="AX192">
        <v>67</v>
      </c>
      <c r="AY192" s="32">
        <f t="shared" si="163"/>
        <v>2.6504662333992655E-2</v>
      </c>
      <c r="AZ192">
        <v>14</v>
      </c>
      <c r="BA192" s="32">
        <f t="shared" si="164"/>
        <v>5.5382876518790623E-3</v>
      </c>
      <c r="BB192">
        <v>1</v>
      </c>
      <c r="BC192" s="32">
        <f t="shared" si="165"/>
        <v>3.9559197513421869E-4</v>
      </c>
      <c r="BD192">
        <v>21</v>
      </c>
      <c r="BF192" s="48">
        <v>651</v>
      </c>
      <c r="BG192" s="48">
        <f t="shared" si="166"/>
        <v>0.24289080825694886</v>
      </c>
      <c r="BH192">
        <v>810</v>
      </c>
      <c r="BI192" s="32">
        <f t="shared" si="167"/>
        <v>0.30334711711008816</v>
      </c>
      <c r="BJ192" s="47">
        <v>1.3</v>
      </c>
      <c r="BK192" s="27">
        <f t="shared" si="168"/>
        <v>4.8685339783100575E-4</v>
      </c>
      <c r="BL192" s="47">
        <v>1.1000000000000001</v>
      </c>
      <c r="BM192" s="27">
        <f t="shared" si="169"/>
        <v>4.0475721138051124E-4</v>
      </c>
      <c r="BN192" s="47">
        <v>2.6</v>
      </c>
      <c r="BO192" s="27">
        <f t="shared" si="170"/>
        <v>9.7788729654367437E-4</v>
      </c>
      <c r="BP192" s="47">
        <v>0.06</v>
      </c>
      <c r="BQ192" s="27">
        <f t="shared" si="171"/>
        <v>2.2379978341956443E-5</v>
      </c>
      <c r="BR192" s="47">
        <v>0.03</v>
      </c>
      <c r="BS192" s="27">
        <f t="shared" si="172"/>
        <v>1.110924086854065E-5</v>
      </c>
      <c r="BT192" s="47">
        <v>1E-3</v>
      </c>
      <c r="BU192" s="27">
        <f t="shared" si="173"/>
        <v>3.7030802895135499E-7</v>
      </c>
      <c r="BV192" s="47">
        <v>1E-3</v>
      </c>
      <c r="BW192" s="27">
        <f t="shared" si="174"/>
        <v>3.6588380716934485E-7</v>
      </c>
      <c r="BX192" s="47">
        <v>2E-3</v>
      </c>
      <c r="BY192" s="27">
        <f t="shared" si="175"/>
        <v>7.3176761433868969E-7</v>
      </c>
      <c r="BZ192" s="51">
        <f t="shared" si="176"/>
        <v>5.0940000000000003</v>
      </c>
      <c r="CA192" s="51">
        <f t="shared" si="177"/>
        <v>3.7939999999999996</v>
      </c>
      <c r="CB192" s="27">
        <f t="shared" si="178"/>
        <v>1.9044550844161477E-3</v>
      </c>
      <c r="CC192" s="27">
        <f t="shared" si="179"/>
        <v>1.4176016865851419E-3</v>
      </c>
      <c r="CD192">
        <v>1500</v>
      </c>
      <c r="CE192">
        <v>150</v>
      </c>
      <c r="CF192" t="s">
        <v>19</v>
      </c>
      <c r="CG192">
        <v>1600</v>
      </c>
      <c r="CH192" s="32">
        <v>3.8</v>
      </c>
      <c r="CI192" s="32">
        <f t="shared" si="180"/>
        <v>6.8039391226499546E-2</v>
      </c>
      <c r="CJ192" s="32">
        <f t="shared" si="181"/>
        <v>6.8039391226499546E-2</v>
      </c>
      <c r="CK192" s="32">
        <v>1.1000000000000001</v>
      </c>
      <c r="CL192" s="32">
        <f t="shared" si="182"/>
        <v>2.0025486983433462E-2</v>
      </c>
      <c r="CM192" s="32">
        <f t="shared" si="183"/>
        <v>4.0050973966866923E-2</v>
      </c>
      <c r="CN192" s="27">
        <v>19</v>
      </c>
      <c r="CO192" s="27">
        <f t="shared" si="184"/>
        <v>0.19779304601290859</v>
      </c>
      <c r="CP192" s="27">
        <f t="shared" si="185"/>
        <v>1.5823443681032687</v>
      </c>
      <c r="CQ192" s="57">
        <v>53</v>
      </c>
      <c r="CR192" s="57">
        <v>73.611111111111114</v>
      </c>
      <c r="CS192" s="57">
        <v>4.413907974182802</v>
      </c>
      <c r="CT192" s="57">
        <f t="shared" si="186"/>
        <v>4.413907974182802</v>
      </c>
      <c r="CU192" s="28">
        <v>17</v>
      </c>
      <c r="CV192" s="28">
        <v>47.222222222222221</v>
      </c>
      <c r="CW192" s="28">
        <v>1.4157818030397669</v>
      </c>
      <c r="CX192" s="28">
        <f t="shared" si="187"/>
        <v>1.4157818030397669</v>
      </c>
      <c r="CY192" s="32">
        <f t="shared" si="188"/>
        <v>30.80907765979596</v>
      </c>
      <c r="CZ192" s="32">
        <f t="shared" si="189"/>
        <v>30.80907765979596</v>
      </c>
      <c r="DA192" s="32">
        <f t="shared" si="190"/>
        <v>34.609077659795958</v>
      </c>
      <c r="DB192" s="32">
        <f t="shared" si="191"/>
        <v>0.61967909865346382</v>
      </c>
      <c r="DC192" s="32">
        <f t="shared" si="192"/>
        <v>0.61967909865346382</v>
      </c>
      <c r="DD192" s="59">
        <f t="shared" si="193"/>
        <v>9.8821569852175717</v>
      </c>
      <c r="DE192" s="59">
        <f t="shared" si="194"/>
        <v>9.8821569852175717</v>
      </c>
      <c r="DF192" s="59">
        <f t="shared" si="195"/>
        <v>13.682156985217571</v>
      </c>
      <c r="DG192" s="59">
        <f t="shared" si="196"/>
        <v>0.24498042945778997</v>
      </c>
      <c r="DH192" s="59">
        <f t="shared" si="197"/>
        <v>0.24498042945778997</v>
      </c>
      <c r="DI192" s="32">
        <f t="shared" si="198"/>
        <v>1.5823443681032687</v>
      </c>
      <c r="DJ192" s="32">
        <f t="shared" si="199"/>
        <v>14.78215698521757</v>
      </c>
      <c r="DK192" s="32">
        <f t="shared" si="200"/>
        <v>0.28503140342465688</v>
      </c>
      <c r="DL192">
        <f t="shared" si="201"/>
        <v>5.0736380468031328</v>
      </c>
      <c r="DM192">
        <f t="shared" si="206"/>
        <v>7.8939359878268788E-3</v>
      </c>
      <c r="DN192">
        <f t="shared" si="207"/>
        <v>0.12213703321700682</v>
      </c>
      <c r="DO192">
        <f t="shared" si="208"/>
        <v>0.8699690307951663</v>
      </c>
      <c r="DP192">
        <f t="shared" si="202"/>
        <v>1.7008132064644237</v>
      </c>
      <c r="DQ192">
        <f t="shared" si="209"/>
        <v>2.3548132043331872E-2</v>
      </c>
      <c r="DR192">
        <f t="shared" si="210"/>
        <v>0.14403723379303046</v>
      </c>
      <c r="DS192">
        <f t="shared" si="211"/>
        <v>0.8324146341636377</v>
      </c>
      <c r="DT192" s="63">
        <f t="shared" si="212"/>
        <v>-4.5274001214360959</v>
      </c>
      <c r="DU192" s="63">
        <f t="shared" si="213"/>
        <v>-1.1545752810973866</v>
      </c>
      <c r="DV192" s="63">
        <f t="shared" si="214"/>
        <v>-4.5259825197495109</v>
      </c>
      <c r="DW192" s="63">
        <f t="shared" si="215"/>
        <v>-1.1531576794108016</v>
      </c>
      <c r="DX192" t="str">
        <f t="shared" si="203"/>
        <v>Sufficient Capacity</v>
      </c>
      <c r="DY192" t="str">
        <f t="shared" si="204"/>
        <v>Sufficient Capacity</v>
      </c>
      <c r="DZ192" t="str">
        <f t="shared" si="205"/>
        <v>Sulfate Dominant electron acceptor</v>
      </c>
      <c r="EA192" t="str">
        <f t="shared" si="216"/>
        <v>Sulfate Dominant electron acceptor</v>
      </c>
      <c r="EB192">
        <v>1.040584E-2</v>
      </c>
      <c r="EC192">
        <v>1.520616E-3</v>
      </c>
      <c r="ED192" s="66">
        <v>4.2616279999999999E-6</v>
      </c>
      <c r="EE192">
        <v>3.7055710000000002E-4</v>
      </c>
      <c r="EF192">
        <v>3.1900050000000001E-3</v>
      </c>
      <c r="EG192" s="66">
        <v>5.4485910000000002E-6</v>
      </c>
      <c r="EH192">
        <v>1.714563E-4</v>
      </c>
      <c r="EI192">
        <v>1.433331E-4</v>
      </c>
      <c r="EJ192">
        <v>3.3318220000000002E-4</v>
      </c>
      <c r="EK192">
        <v>5.1700599999999998E-4</v>
      </c>
      <c r="EL192">
        <v>3.4828110000000002E-4</v>
      </c>
      <c r="EM192">
        <v>1.1883010000000001E-4</v>
      </c>
      <c r="EN192">
        <v>1.9008580000000001E-3</v>
      </c>
      <c r="EO192">
        <v>7.6995570000000003E-4</v>
      </c>
      <c r="EP192">
        <v>1.5676830000000001E-3</v>
      </c>
      <c r="EQ192">
        <v>1.568893E-3</v>
      </c>
      <c r="ER192">
        <v>2.6872780000000002E-4</v>
      </c>
      <c r="ES192">
        <v>4.6655029999999998E-4</v>
      </c>
      <c r="ET192">
        <v>1.458725E-2</v>
      </c>
      <c r="EU192">
        <v>3.2756930000000001E-3</v>
      </c>
      <c r="EV192">
        <v>9.8414959999999999E-3</v>
      </c>
      <c r="EW192">
        <v>4.4321019999999999E-4</v>
      </c>
      <c r="EX192">
        <v>5.4392859999999998E-3</v>
      </c>
      <c r="EY192">
        <v>6.7130929999999998E-3</v>
      </c>
      <c r="EZ192">
        <v>9.0006609999999996E-4</v>
      </c>
      <c r="FA192">
        <v>7.2078289999999998E-4</v>
      </c>
      <c r="FB192">
        <v>7.3291000000000003E-4</v>
      </c>
      <c r="FC192">
        <v>1.6325129999999999E-3</v>
      </c>
      <c r="FD192">
        <v>2.6196740000000002E-4</v>
      </c>
      <c r="FE192">
        <v>2.1021669999999999E-2</v>
      </c>
      <c r="FF192">
        <v>1.5502190000000001E-2</v>
      </c>
      <c r="FG192">
        <v>7.6821739999999999E-3</v>
      </c>
      <c r="FH192">
        <v>7.7191740000000003E-4</v>
      </c>
      <c r="FI192">
        <v>1.2401389999999999E-3</v>
      </c>
      <c r="FJ192">
        <v>1.1656440000000001E-2</v>
      </c>
      <c r="FK192">
        <v>-0.43538976934610002</v>
      </c>
      <c r="FL192">
        <v>-0.36612263588778199</v>
      </c>
      <c r="FM192">
        <v>-0.79642558956095599</v>
      </c>
      <c r="FN192">
        <v>-0.54924373151117001</v>
      </c>
      <c r="FO192">
        <v>0.59099031700659399</v>
      </c>
      <c r="FP192">
        <v>-0.283297516813379</v>
      </c>
      <c r="FQ192">
        <v>-0.33023761855733402</v>
      </c>
      <c r="FR192">
        <v>-0.26866096197059097</v>
      </c>
      <c r="FS192">
        <v>-0.77192527186752502</v>
      </c>
      <c r="FT192">
        <v>-6.7465899897902304E-2</v>
      </c>
      <c r="FU192">
        <v>-5.8450919852671E-2</v>
      </c>
      <c r="FV192">
        <v>-0.30106343362568699</v>
      </c>
      <c r="FW192">
        <v>0.26117519785835303</v>
      </c>
      <c r="FX192">
        <v>-0.38809121831443999</v>
      </c>
      <c r="FY192">
        <v>-0.40036415777582401</v>
      </c>
      <c r="FZ192">
        <v>0.51914099394292301</v>
      </c>
      <c r="GA192">
        <v>0.16777647477722801</v>
      </c>
      <c r="GB192">
        <v>0.107358854610228</v>
      </c>
      <c r="GC192">
        <v>-0.37449272756797097</v>
      </c>
      <c r="GD192">
        <v>8.9271363764816605E-2</v>
      </c>
      <c r="GE192">
        <v>-8.8481083849094606E-3</v>
      </c>
      <c r="GF192">
        <v>-0.34744788574775798</v>
      </c>
      <c r="GG192">
        <v>-0.27169861592956401</v>
      </c>
      <c r="GH192">
        <v>-0.29921108682858799</v>
      </c>
      <c r="GI192">
        <v>-0.13770006269587101</v>
      </c>
      <c r="GJ192">
        <v>-0.30995990759127201</v>
      </c>
      <c r="GK192">
        <v>-0.10395389565609101</v>
      </c>
      <c r="GL192">
        <v>3.6277824808585102E-2</v>
      </c>
      <c r="GM192">
        <v>-9.3304340408639802E-2</v>
      </c>
      <c r="GN192">
        <v>-2.68941385364121E-2</v>
      </c>
      <c r="GO192">
        <v>-0.146590416310902</v>
      </c>
      <c r="GP192">
        <v>9.5766362615544096E-2</v>
      </c>
      <c r="GR192" s="66"/>
      <c r="GT192" s="66"/>
      <c r="GV192" s="66"/>
      <c r="GW192" s="65"/>
      <c r="GX192" s="65"/>
      <c r="HK192" s="1"/>
      <c r="HL192" s="1"/>
      <c r="HM192" s="65"/>
      <c r="HN192" s="1"/>
      <c r="HO192" s="65"/>
      <c r="HP192" s="65"/>
      <c r="HQ192" s="65"/>
      <c r="HS192" s="65"/>
      <c r="HT192" s="65"/>
      <c r="HU192" s="65"/>
      <c r="HV192" s="65"/>
      <c r="HW192" s="65"/>
      <c r="HX192" s="65"/>
      <c r="IZ192" s="66"/>
      <c r="JB192" s="66"/>
      <c r="JD192" s="66"/>
      <c r="JF192" s="66"/>
      <c r="JH192" s="66"/>
      <c r="JJ192" s="66"/>
      <c r="JL192" s="66"/>
      <c r="JN192" s="66"/>
    </row>
    <row r="193" spans="1:278" ht="15.75" x14ac:dyDescent="0.25">
      <c r="A193" s="2" t="s">
        <v>245</v>
      </c>
      <c r="B193" s="2" t="s">
        <v>245</v>
      </c>
      <c r="C193" s="2" t="s">
        <v>1089</v>
      </c>
      <c r="D193" s="2" t="s">
        <v>635</v>
      </c>
      <c r="E193" s="2" t="s">
        <v>635</v>
      </c>
      <c r="F193" s="2">
        <v>192</v>
      </c>
      <c r="G193" s="19" t="s">
        <v>1088</v>
      </c>
      <c r="H193" s="10" t="s">
        <v>656</v>
      </c>
      <c r="I193" s="2">
        <v>150</v>
      </c>
      <c r="J193" s="2">
        <v>65</v>
      </c>
      <c r="K193" s="12">
        <v>3.75</v>
      </c>
      <c r="L193" t="s">
        <v>418</v>
      </c>
      <c r="M193" s="2" t="s">
        <v>1120</v>
      </c>
      <c r="N193" s="2" t="s">
        <v>435</v>
      </c>
      <c r="O193" s="2" t="s">
        <v>666</v>
      </c>
      <c r="P193" s="2" t="s">
        <v>1132</v>
      </c>
      <c r="Q193" s="9" t="s">
        <v>670</v>
      </c>
      <c r="R193" s="2" t="str">
        <f t="shared" si="145"/>
        <v>CW_1_Section_2</v>
      </c>
      <c r="S193" s="2" t="str">
        <f t="shared" si="146"/>
        <v>CW_1_MF06</v>
      </c>
      <c r="T193" s="11" t="s">
        <v>1075</v>
      </c>
      <c r="U193" s="1">
        <v>46007</v>
      </c>
      <c r="V193" s="2" t="s">
        <v>799</v>
      </c>
      <c r="W193" s="2" t="s">
        <v>663</v>
      </c>
      <c r="X193" s="2" t="s">
        <v>1074</v>
      </c>
      <c r="Y193" s="2" t="str">
        <f t="shared" si="147"/>
        <v>T8_MF06</v>
      </c>
      <c r="Z193" s="2" t="str">
        <f t="shared" si="148"/>
        <v>T8_CW_1_MF06</v>
      </c>
      <c r="AA193" s="2" t="str">
        <f t="shared" si="149"/>
        <v>T8_0.60-0.80</v>
      </c>
      <c r="AB193" s="2">
        <v>490</v>
      </c>
      <c r="AC193" s="2">
        <v>16.117999999999999</v>
      </c>
      <c r="AD193" s="2">
        <v>1.53</v>
      </c>
      <c r="AE193" s="2">
        <v>8</v>
      </c>
      <c r="AF193" t="s">
        <v>25</v>
      </c>
      <c r="AG193" t="s">
        <v>1237</v>
      </c>
      <c r="AH193">
        <v>71</v>
      </c>
      <c r="AI193" t="s">
        <v>443</v>
      </c>
      <c r="AJ193">
        <v>0.71</v>
      </c>
      <c r="AK193">
        <v>0.92</v>
      </c>
      <c r="AL193">
        <v>9</v>
      </c>
      <c r="AM193">
        <v>-109</v>
      </c>
      <c r="AN193">
        <v>7.7</v>
      </c>
      <c r="AO193">
        <v>1150</v>
      </c>
      <c r="AP193">
        <v>0.1</v>
      </c>
      <c r="AQ193">
        <v>0.01</v>
      </c>
      <c r="AR193">
        <v>9.6999999999999993</v>
      </c>
      <c r="AS193">
        <v>10</v>
      </c>
      <c r="AT193">
        <v>650</v>
      </c>
      <c r="AU193" s="32">
        <f t="shared" si="161"/>
        <v>0.24964793240302136</v>
      </c>
      <c r="AV193">
        <v>100</v>
      </c>
      <c r="AW193" s="32">
        <f t="shared" si="162"/>
        <v>3.9070978945083573E-2</v>
      </c>
      <c r="AX193">
        <v>410</v>
      </c>
      <c r="AY193" s="32">
        <f t="shared" si="163"/>
        <v>0.16219270980502967</v>
      </c>
      <c r="AZ193">
        <v>150</v>
      </c>
      <c r="BA193" s="32">
        <f t="shared" si="164"/>
        <v>5.9338796270132804E-2</v>
      </c>
      <c r="BB193">
        <v>180</v>
      </c>
      <c r="BC193" s="32">
        <f t="shared" si="165"/>
        <v>7.120655552415936E-2</v>
      </c>
      <c r="BD193">
        <v>330</v>
      </c>
      <c r="BF193" s="48">
        <v>1490</v>
      </c>
      <c r="BG193" s="48">
        <f t="shared" si="166"/>
        <v>0.45091162115313455</v>
      </c>
      <c r="BH193">
        <v>1600</v>
      </c>
      <c r="BI193" s="32">
        <f t="shared" si="167"/>
        <v>0.59920418194585312</v>
      </c>
      <c r="BJ193" s="47">
        <v>1500</v>
      </c>
      <c r="BK193" s="27">
        <f t="shared" si="168"/>
        <v>0.56175392057423734</v>
      </c>
      <c r="BL193" s="47">
        <v>4</v>
      </c>
      <c r="BM193" s="27">
        <f t="shared" si="169"/>
        <v>1.4718444050200407E-3</v>
      </c>
      <c r="BN193" s="47">
        <v>100</v>
      </c>
      <c r="BO193" s="27">
        <f t="shared" si="170"/>
        <v>3.7611049867064393E-2</v>
      </c>
      <c r="BP193" s="47">
        <v>23</v>
      </c>
      <c r="BQ193" s="27">
        <f t="shared" si="171"/>
        <v>8.57899169774997E-3</v>
      </c>
      <c r="BR193" s="47">
        <v>13</v>
      </c>
      <c r="BS193" s="27">
        <f t="shared" si="172"/>
        <v>4.8140043763676144E-3</v>
      </c>
      <c r="BT193" s="47">
        <v>2.2000000000000002</v>
      </c>
      <c r="BU193" s="27">
        <f t="shared" si="173"/>
        <v>8.1467766369298098E-4</v>
      </c>
      <c r="BV193" s="47">
        <v>0.12</v>
      </c>
      <c r="BW193" s="27">
        <f t="shared" si="174"/>
        <v>4.3906056860321379E-5</v>
      </c>
      <c r="BX193" s="47">
        <v>0.06</v>
      </c>
      <c r="BY193" s="27">
        <f t="shared" si="175"/>
        <v>2.1953028430160689E-5</v>
      </c>
      <c r="BZ193" s="51">
        <f t="shared" si="176"/>
        <v>1642.3799999999999</v>
      </c>
      <c r="CA193" s="51">
        <f t="shared" si="177"/>
        <v>142.38</v>
      </c>
      <c r="CB193" s="27">
        <f t="shared" si="178"/>
        <v>0.61511034766942285</v>
      </c>
      <c r="CC193" s="27">
        <f t="shared" si="179"/>
        <v>5.3356427095185475E-2</v>
      </c>
      <c r="CD193">
        <v>3400</v>
      </c>
      <c r="CE193">
        <v>980</v>
      </c>
      <c r="CF193" t="s">
        <v>19</v>
      </c>
      <c r="CG193">
        <v>4400</v>
      </c>
      <c r="CH193" s="32">
        <v>0.8</v>
      </c>
      <c r="CI193" s="32">
        <f t="shared" si="180"/>
        <v>1.432408236347359E-2</v>
      </c>
      <c r="CJ193" s="32">
        <f t="shared" si="181"/>
        <v>1.432408236347359E-2</v>
      </c>
      <c r="CK193" s="32">
        <v>1.1000000000000001</v>
      </c>
      <c r="CL193" s="32">
        <f t="shared" si="182"/>
        <v>2.0025486983433462E-2</v>
      </c>
      <c r="CM193" s="32">
        <f t="shared" si="183"/>
        <v>4.0050973966866923E-2</v>
      </c>
      <c r="CN193" s="27">
        <v>53</v>
      </c>
      <c r="CO193" s="27">
        <f t="shared" si="184"/>
        <v>0.55173849677285025</v>
      </c>
      <c r="CP193" s="27">
        <f t="shared" si="185"/>
        <v>4.413907974182802</v>
      </c>
      <c r="CQ193" s="57">
        <v>19</v>
      </c>
      <c r="CR193" s="57">
        <v>26.388888888888889</v>
      </c>
      <c r="CS193" s="57">
        <v>1.5823443681032687</v>
      </c>
      <c r="CT193" s="57">
        <f t="shared" si="186"/>
        <v>1.5823443681032687</v>
      </c>
      <c r="CU193" s="28">
        <v>12</v>
      </c>
      <c r="CV193" s="28">
        <v>18.461538461538463</v>
      </c>
      <c r="CW193" s="28">
        <v>0.99937539038101186</v>
      </c>
      <c r="CX193" s="28">
        <f t="shared" si="187"/>
        <v>0.99937539038101186</v>
      </c>
      <c r="CY193" s="32">
        <f t="shared" si="188"/>
        <v>11.044763689360815</v>
      </c>
      <c r="CZ193" s="32">
        <f t="shared" si="189"/>
        <v>11.044763689360815</v>
      </c>
      <c r="DA193" s="32">
        <f t="shared" si="190"/>
        <v>11.844763689360816</v>
      </c>
      <c r="DB193" s="32">
        <f t="shared" si="191"/>
        <v>0.21208171332785705</v>
      </c>
      <c r="DC193" s="32">
        <f t="shared" si="192"/>
        <v>0.21208171332785705</v>
      </c>
      <c r="DD193" s="59">
        <f t="shared" si="193"/>
        <v>6.9756402248594629</v>
      </c>
      <c r="DE193" s="59">
        <f t="shared" si="194"/>
        <v>6.9756402248594629</v>
      </c>
      <c r="DF193" s="59">
        <f t="shared" si="195"/>
        <v>7.7756402248594627</v>
      </c>
      <c r="DG193" s="59">
        <f t="shared" si="196"/>
        <v>0.13922363876203156</v>
      </c>
      <c r="DH193" s="59">
        <f t="shared" si="197"/>
        <v>0.13922363876203156</v>
      </c>
      <c r="DI193" s="32">
        <f t="shared" si="198"/>
        <v>4.413907974182802</v>
      </c>
      <c r="DJ193" s="32">
        <f t="shared" si="199"/>
        <v>8.8756402248594632</v>
      </c>
      <c r="DK193" s="32">
        <f t="shared" si="200"/>
        <v>0.1792746127288985</v>
      </c>
      <c r="DL193">
        <f t="shared" si="201"/>
        <v>1.8344770553979928</v>
      </c>
      <c r="DM193">
        <f t="shared" si="206"/>
        <v>2.1832365713714417E-2</v>
      </c>
      <c r="DN193">
        <f t="shared" si="207"/>
        <v>0.11560881217009585</v>
      </c>
      <c r="DO193">
        <f t="shared" si="208"/>
        <v>0.86255882211618973</v>
      </c>
      <c r="DP193">
        <f t="shared" si="202"/>
        <v>1.1786500031099103</v>
      </c>
      <c r="DQ193">
        <f t="shared" si="209"/>
        <v>3.3980379129674623E-2</v>
      </c>
      <c r="DR193">
        <f t="shared" si="210"/>
        <v>0.11812127297729182</v>
      </c>
      <c r="DS193">
        <f t="shared" si="211"/>
        <v>0.84789834789303364</v>
      </c>
      <c r="DT193" s="63">
        <f t="shared" si="212"/>
        <v>-0.78436125229900511</v>
      </c>
      <c r="DU193" s="63">
        <f t="shared" si="213"/>
        <v>-0.12853420001092264</v>
      </c>
      <c r="DV193" s="63">
        <f t="shared" si="214"/>
        <v>-0.73100482520381971</v>
      </c>
      <c r="DW193" s="63">
        <f t="shared" si="215"/>
        <v>-7.517777291573724E-2</v>
      </c>
      <c r="DX193" t="str">
        <f t="shared" si="203"/>
        <v>Sufficient Capacity</v>
      </c>
      <c r="DY193" t="str">
        <f t="shared" si="204"/>
        <v>Sufficient Capacity</v>
      </c>
      <c r="DZ193" t="str">
        <f t="shared" si="205"/>
        <v>Sulfate Dominant electron acceptor</v>
      </c>
      <c r="EA193" t="str">
        <f t="shared" si="216"/>
        <v>Sulfate Dominant electron acceptor</v>
      </c>
      <c r="EB193">
        <v>1.045863E-2</v>
      </c>
      <c r="EC193">
        <v>1.928639E-3</v>
      </c>
      <c r="ED193" s="66">
        <v>2.356828E-7</v>
      </c>
      <c r="EE193">
        <v>3.2187440000000002E-4</v>
      </c>
      <c r="EF193">
        <v>3.4201980000000002E-3</v>
      </c>
      <c r="EG193" s="66">
        <v>1.22022E-5</v>
      </c>
      <c r="EH193">
        <v>1.5843429999999999E-4</v>
      </c>
      <c r="EI193">
        <v>1.024454E-4</v>
      </c>
      <c r="EJ193">
        <v>3.026161E-4</v>
      </c>
      <c r="EK193">
        <v>4.7963939999999999E-4</v>
      </c>
      <c r="EL193">
        <v>3.8082589999999998E-4</v>
      </c>
      <c r="EM193">
        <v>1.4647090000000001E-4</v>
      </c>
      <c r="EN193">
        <v>1.937998E-3</v>
      </c>
      <c r="EO193">
        <v>8.1354620000000002E-4</v>
      </c>
      <c r="EP193">
        <v>1.5243609999999999E-3</v>
      </c>
      <c r="EQ193">
        <v>1.6276039999999999E-3</v>
      </c>
      <c r="ER193">
        <v>2.9336999999999999E-4</v>
      </c>
      <c r="ES193">
        <v>4.7066669999999998E-4</v>
      </c>
      <c r="ET193">
        <v>8.5039109999999994E-3</v>
      </c>
      <c r="EU193">
        <v>2.7691809999999999E-3</v>
      </c>
      <c r="EV193">
        <v>9.9968680000000008E-3</v>
      </c>
      <c r="EW193">
        <v>5.489952E-4</v>
      </c>
      <c r="EX193">
        <v>5.6000349999999997E-3</v>
      </c>
      <c r="EY193">
        <v>7.24173E-3</v>
      </c>
      <c r="EZ193">
        <v>8.9236879999999999E-4</v>
      </c>
      <c r="FA193">
        <v>6.7744690000000004E-4</v>
      </c>
      <c r="FB193">
        <v>7.0586840000000004E-4</v>
      </c>
      <c r="FC193">
        <v>1.6562409999999999E-3</v>
      </c>
      <c r="FD193">
        <v>1.9401210000000001E-4</v>
      </c>
      <c r="FE193">
        <v>2.177463E-2</v>
      </c>
      <c r="FF193">
        <v>1.9790160000000001E-2</v>
      </c>
      <c r="FG193">
        <v>1.004508E-2</v>
      </c>
      <c r="FH193">
        <v>8.6849609999999999E-4</v>
      </c>
      <c r="FI193">
        <v>1.293366E-3</v>
      </c>
      <c r="FJ193">
        <v>1.3916939999999999E-2</v>
      </c>
      <c r="FK193">
        <v>-0.57623591092836801</v>
      </c>
      <c r="FL193">
        <v>-0.29644667594590601</v>
      </c>
      <c r="FM193">
        <v>9.8336306501183302E-3</v>
      </c>
      <c r="FN193">
        <v>-0.628232158808951</v>
      </c>
      <c r="FO193">
        <v>0.25514899862107798</v>
      </c>
      <c r="FP193">
        <v>-0.379521998819773</v>
      </c>
      <c r="FQ193">
        <v>-0.40525752684203498</v>
      </c>
      <c r="FR193">
        <v>-0.17932855899413699</v>
      </c>
      <c r="FS193">
        <v>-0.56279323979311002</v>
      </c>
      <c r="FT193">
        <v>-4.81157816102806E-2</v>
      </c>
      <c r="FU193">
        <v>-3.3811838902471098E-3</v>
      </c>
      <c r="FV193">
        <v>-0.329086860893745</v>
      </c>
      <c r="FW193">
        <v>0.29791391748497797</v>
      </c>
      <c r="FX193">
        <v>-0.30035557870090401</v>
      </c>
      <c r="FY193">
        <v>-0.391579796266941</v>
      </c>
      <c r="FZ193">
        <v>-2.0480690240648702E-2</v>
      </c>
      <c r="GA193">
        <v>-2.0136636780510001E-4</v>
      </c>
      <c r="GB193">
        <v>0.123022966518196</v>
      </c>
      <c r="GC193">
        <v>-0.16044717887474</v>
      </c>
      <c r="GD193">
        <v>0.118396409232573</v>
      </c>
      <c r="GE193">
        <v>6.6952221167565704E-2</v>
      </c>
      <c r="GF193">
        <v>-0.35603659077289901</v>
      </c>
      <c r="GG193">
        <v>-0.33370542500337902</v>
      </c>
      <c r="GH193">
        <v>-0.33680518024167</v>
      </c>
      <c r="GI193">
        <v>-0.123270031303801</v>
      </c>
      <c r="GJ193">
        <v>-0.61025944787736097</v>
      </c>
      <c r="GK193">
        <v>-6.8762175462742506E-2</v>
      </c>
      <c r="GL193">
        <v>0.280481365014492</v>
      </c>
      <c r="GM193">
        <v>0.17487604196914999</v>
      </c>
      <c r="GN193">
        <v>9.0991407152032799E-2</v>
      </c>
      <c r="GO193">
        <v>-0.104565764039607</v>
      </c>
      <c r="GP193">
        <v>0.27301434879064801</v>
      </c>
      <c r="GT193" s="66"/>
      <c r="GV193" s="66"/>
      <c r="HK193" s="1"/>
      <c r="HL193" s="1"/>
      <c r="HM193" s="65"/>
      <c r="HN193" s="1"/>
      <c r="HO193" s="65"/>
      <c r="HP193" s="65"/>
      <c r="HQ193" s="65"/>
      <c r="HS193" s="65"/>
      <c r="HV193" s="65"/>
      <c r="HW193" s="65"/>
      <c r="HX193" s="65"/>
      <c r="JJ193" s="66"/>
      <c r="JL193" s="66"/>
      <c r="JN193" s="66"/>
    </row>
    <row r="194" spans="1:278" ht="15.75" x14ac:dyDescent="0.25">
      <c r="A194" s="2" t="s">
        <v>246</v>
      </c>
      <c r="B194" s="2" t="s">
        <v>246</v>
      </c>
      <c r="C194" s="2" t="s">
        <v>1091</v>
      </c>
      <c r="D194" s="2" t="s">
        <v>636</v>
      </c>
      <c r="E194" s="2" t="s">
        <v>636</v>
      </c>
      <c r="F194" s="2">
        <v>193</v>
      </c>
      <c r="G194" s="19" t="s">
        <v>1090</v>
      </c>
      <c r="H194" s="10" t="s">
        <v>656</v>
      </c>
      <c r="I194" s="2">
        <v>150</v>
      </c>
      <c r="J194" s="2">
        <v>65</v>
      </c>
      <c r="K194" s="12">
        <v>6.15</v>
      </c>
      <c r="L194" t="s">
        <v>419</v>
      </c>
      <c r="M194" s="2" t="s">
        <v>1120</v>
      </c>
      <c r="N194" s="2" t="s">
        <v>435</v>
      </c>
      <c r="O194" s="2" t="s">
        <v>673</v>
      </c>
      <c r="P194" s="2" t="s">
        <v>1127</v>
      </c>
      <c r="Q194" s="9" t="s">
        <v>674</v>
      </c>
      <c r="R194" s="2" t="str">
        <f t="shared" si="145"/>
        <v>CW_1_Section_3</v>
      </c>
      <c r="S194" s="2" t="str">
        <f t="shared" si="146"/>
        <v>CW_1_MF09</v>
      </c>
      <c r="T194" s="11" t="s">
        <v>1075</v>
      </c>
      <c r="U194" s="1">
        <v>46007</v>
      </c>
      <c r="V194" s="2" t="s">
        <v>799</v>
      </c>
      <c r="W194" s="2" t="s">
        <v>655</v>
      </c>
      <c r="X194" s="2" t="s">
        <v>1074</v>
      </c>
      <c r="Y194" s="2" t="str">
        <f t="shared" si="147"/>
        <v>T8_MF09</v>
      </c>
      <c r="Z194" s="2" t="str">
        <f t="shared" si="148"/>
        <v>T8_CW_1_MF09</v>
      </c>
      <c r="AA194" s="2" t="str">
        <f t="shared" si="149"/>
        <v>T8_0.15-0.30</v>
      </c>
      <c r="AB194" s="2">
        <v>490</v>
      </c>
      <c r="AC194" s="2">
        <v>16.117999999999999</v>
      </c>
      <c r="AD194" s="2">
        <v>1.53</v>
      </c>
      <c r="AE194" s="2">
        <v>8</v>
      </c>
      <c r="AF194" t="s">
        <v>21</v>
      </c>
      <c r="AG194" t="s">
        <v>1237</v>
      </c>
      <c r="AH194">
        <v>68</v>
      </c>
      <c r="AI194" t="s">
        <v>443</v>
      </c>
      <c r="AJ194">
        <v>0.69</v>
      </c>
      <c r="AK194">
        <v>5.22</v>
      </c>
      <c r="AL194">
        <v>9</v>
      </c>
      <c r="AM194">
        <v>15.9</v>
      </c>
      <c r="AN194">
        <v>7.1</v>
      </c>
      <c r="AO194">
        <v>1087</v>
      </c>
      <c r="AP194">
        <v>0.1</v>
      </c>
      <c r="AQ194">
        <v>0.01</v>
      </c>
      <c r="AR194">
        <v>9.8000000000000007</v>
      </c>
      <c r="AS194">
        <v>10</v>
      </c>
      <c r="AT194">
        <v>430</v>
      </c>
      <c r="AU194" s="32">
        <f t="shared" si="161"/>
        <v>0.16515170912815261</v>
      </c>
      <c r="AV194">
        <v>10</v>
      </c>
      <c r="AW194" s="32">
        <f t="shared" si="162"/>
        <v>3.9070978945083571E-3</v>
      </c>
      <c r="AX194">
        <v>90</v>
      </c>
      <c r="AY194" s="32">
        <f t="shared" si="163"/>
        <v>3.560327776207968E-2</v>
      </c>
      <c r="AZ194">
        <v>14</v>
      </c>
      <c r="BA194" s="32">
        <f t="shared" si="164"/>
        <v>5.5382876518790623E-3</v>
      </c>
      <c r="BB194">
        <v>1</v>
      </c>
      <c r="BC194" s="32">
        <f t="shared" si="165"/>
        <v>3.9559197513421869E-4</v>
      </c>
      <c r="BD194">
        <v>21</v>
      </c>
      <c r="BF194" s="48">
        <v>551</v>
      </c>
      <c r="BG194" s="48">
        <f t="shared" si="166"/>
        <v>0.20466208478474063</v>
      </c>
      <c r="BH194">
        <v>1300</v>
      </c>
      <c r="BI194" s="32">
        <f t="shared" si="167"/>
        <v>0.48685339783100573</v>
      </c>
      <c r="BJ194" s="47">
        <v>500</v>
      </c>
      <c r="BK194" s="27">
        <f t="shared" si="168"/>
        <v>0.18725130685807911</v>
      </c>
      <c r="BL194" s="47">
        <v>2</v>
      </c>
      <c r="BM194" s="27">
        <f t="shared" si="169"/>
        <v>7.3592220251002033E-4</v>
      </c>
      <c r="BN194" s="47">
        <v>2</v>
      </c>
      <c r="BO194" s="27">
        <f t="shared" si="170"/>
        <v>7.5222099734128785E-4</v>
      </c>
      <c r="BP194" s="47">
        <v>1</v>
      </c>
      <c r="BQ194" s="27">
        <f t="shared" si="171"/>
        <v>3.7299963903260737E-4</v>
      </c>
      <c r="BR194" s="47">
        <v>0.2</v>
      </c>
      <c r="BS194" s="27">
        <f t="shared" si="172"/>
        <v>7.4061605790270996E-5</v>
      </c>
      <c r="BT194" s="47">
        <v>0.2</v>
      </c>
      <c r="BU194" s="27">
        <f t="shared" si="173"/>
        <v>7.4061605790270996E-5</v>
      </c>
      <c r="BV194" s="47">
        <v>0.2</v>
      </c>
      <c r="BW194" s="27">
        <f t="shared" si="174"/>
        <v>7.3176761433868992E-5</v>
      </c>
      <c r="BX194" s="47">
        <v>0.4</v>
      </c>
      <c r="BY194" s="27">
        <f t="shared" si="175"/>
        <v>1.4635352286773798E-4</v>
      </c>
      <c r="BZ194" s="51">
        <f t="shared" si="176"/>
        <v>505.99999999999994</v>
      </c>
      <c r="CA194" s="51">
        <f t="shared" si="177"/>
        <v>6.0000000000000009</v>
      </c>
      <c r="CB194" s="27">
        <f t="shared" si="178"/>
        <v>0.18948010319284517</v>
      </c>
      <c r="CC194" s="27">
        <f t="shared" si="179"/>
        <v>2.2287963347660646E-3</v>
      </c>
      <c r="CD194">
        <v>2200</v>
      </c>
      <c r="CE194">
        <v>170</v>
      </c>
      <c r="CF194" t="s">
        <v>19</v>
      </c>
      <c r="CG194">
        <v>2400</v>
      </c>
      <c r="CH194" s="32">
        <v>7.8</v>
      </c>
      <c r="CI194" s="32">
        <f t="shared" si="180"/>
        <v>0.13965980304386749</v>
      </c>
      <c r="CJ194" s="32">
        <f t="shared" si="181"/>
        <v>0.13965980304386749</v>
      </c>
      <c r="CK194" s="32">
        <v>1.9</v>
      </c>
      <c r="CL194" s="32">
        <f t="shared" si="182"/>
        <v>3.4589477516839613E-2</v>
      </c>
      <c r="CM194" s="32">
        <f t="shared" si="183"/>
        <v>6.9178955033679226E-2</v>
      </c>
      <c r="CN194" s="27">
        <v>0.5</v>
      </c>
      <c r="CO194" s="27">
        <f t="shared" si="184"/>
        <v>5.2050801582344368E-3</v>
      </c>
      <c r="CP194" s="27">
        <f t="shared" si="185"/>
        <v>4.1640641265875494E-2</v>
      </c>
      <c r="CQ194" s="57">
        <v>71.5</v>
      </c>
      <c r="CR194" s="57">
        <v>99.305555555555557</v>
      </c>
      <c r="CS194" s="57">
        <v>5.9546117010201955</v>
      </c>
      <c r="CT194" s="57">
        <f t="shared" si="186"/>
        <v>5.9546117010201955</v>
      </c>
      <c r="CU194" s="28">
        <v>18.5</v>
      </c>
      <c r="CV194" s="28">
        <v>97.368421052631575</v>
      </c>
      <c r="CW194" s="28">
        <v>1.5407037268373933</v>
      </c>
      <c r="CX194" s="28">
        <f t="shared" si="187"/>
        <v>1.5407037268373933</v>
      </c>
      <c r="CY194" s="32">
        <f t="shared" si="188"/>
        <v>41.563189673120966</v>
      </c>
      <c r="CZ194" s="32">
        <f t="shared" si="189"/>
        <v>41.563189673120966</v>
      </c>
      <c r="DA194" s="32">
        <f t="shared" si="190"/>
        <v>49.363189673120964</v>
      </c>
      <c r="DB194" s="32">
        <f t="shared" si="191"/>
        <v>0.883852993251942</v>
      </c>
      <c r="DC194" s="32">
        <f t="shared" si="192"/>
        <v>0.883852993251942</v>
      </c>
      <c r="DD194" s="59">
        <f t="shared" si="193"/>
        <v>10.754112013325004</v>
      </c>
      <c r="DE194" s="59">
        <f t="shared" si="194"/>
        <v>10.754112013325004</v>
      </c>
      <c r="DF194" s="59">
        <f t="shared" si="195"/>
        <v>18.554112013325003</v>
      </c>
      <c r="DG194" s="59">
        <f t="shared" si="196"/>
        <v>0.33221328582497767</v>
      </c>
      <c r="DH194" s="59">
        <f t="shared" si="197"/>
        <v>0.33221328582497767</v>
      </c>
      <c r="DI194" s="32">
        <f t="shared" si="198"/>
        <v>4.1640641265875494E-2</v>
      </c>
      <c r="DJ194" s="32">
        <f t="shared" si="199"/>
        <v>20.454112013325002</v>
      </c>
      <c r="DK194" s="32">
        <f t="shared" si="200"/>
        <v>0.40139224085865688</v>
      </c>
      <c r="DL194">
        <f t="shared" si="201"/>
        <v>6.9076436493058164</v>
      </c>
      <c r="DM194">
        <f t="shared" si="206"/>
        <v>1.0014841318664631E-2</v>
      </c>
      <c r="DN194">
        <f t="shared" si="207"/>
        <v>0.12795289365292675</v>
      </c>
      <c r="DO194">
        <f t="shared" si="208"/>
        <v>0.86203226502840868</v>
      </c>
      <c r="DP194">
        <f t="shared" si="202"/>
        <v>1.9420959676960501</v>
      </c>
      <c r="DQ194">
        <f t="shared" si="209"/>
        <v>3.5620770643866637E-2</v>
      </c>
      <c r="DR194">
        <f t="shared" si="210"/>
        <v>0.1710591501917845</v>
      </c>
      <c r="DS194">
        <f t="shared" si="211"/>
        <v>0.79332007916434899</v>
      </c>
      <c r="DT194" s="63">
        <f t="shared" si="212"/>
        <v>-6.2161281666900701</v>
      </c>
      <c r="DU194" s="63">
        <f t="shared" si="213"/>
        <v>-1.2505804850803037</v>
      </c>
      <c r="DV194" s="63">
        <f t="shared" si="214"/>
        <v>-6.2138993703553043</v>
      </c>
      <c r="DW194" s="63">
        <f t="shared" si="215"/>
        <v>-1.2483516887455377</v>
      </c>
      <c r="DX194" t="str">
        <f t="shared" si="203"/>
        <v>Sufficient Capacity</v>
      </c>
      <c r="DY194" t="str">
        <f t="shared" si="204"/>
        <v>Sufficient Capacity</v>
      </c>
      <c r="DZ194" t="str">
        <f t="shared" si="205"/>
        <v>Sulfate Dominant electron acceptor</v>
      </c>
      <c r="EA194" t="str">
        <f t="shared" si="216"/>
        <v>Sulfate Dominant electron acceptor</v>
      </c>
      <c r="EB194">
        <v>9.7373000000000008E-3</v>
      </c>
      <c r="EC194">
        <v>1.360223E-3</v>
      </c>
      <c r="ED194" s="66">
        <v>3.1476609999999999E-7</v>
      </c>
      <c r="EE194">
        <v>3.6999850000000003E-4</v>
      </c>
      <c r="EF194">
        <v>3.540741E-3</v>
      </c>
      <c r="EG194" s="66">
        <v>5.258271E-6</v>
      </c>
      <c r="EH194">
        <v>1.8222529999999999E-4</v>
      </c>
      <c r="EI194">
        <v>1.5877759999999999E-4</v>
      </c>
      <c r="EJ194">
        <v>3.6050019999999999E-4</v>
      </c>
      <c r="EK194">
        <v>5.4105250000000004E-4</v>
      </c>
      <c r="EL194">
        <v>3.079841E-4</v>
      </c>
      <c r="EM194">
        <v>1.8504559999999999E-4</v>
      </c>
      <c r="EN194">
        <v>1.9668530000000002E-3</v>
      </c>
      <c r="EO194">
        <v>8.3007299999999997E-4</v>
      </c>
      <c r="EP194">
        <v>1.6817799999999999E-3</v>
      </c>
      <c r="EQ194">
        <v>1.561956E-3</v>
      </c>
      <c r="ER194">
        <v>3.257437E-4</v>
      </c>
      <c r="ES194">
        <v>4.434137E-4</v>
      </c>
      <c r="ET194">
        <v>1.5966439999999998E-2</v>
      </c>
      <c r="EU194">
        <v>3.2230900000000001E-3</v>
      </c>
      <c r="EV194">
        <v>9.8563069999999999E-3</v>
      </c>
      <c r="EW194">
        <v>5.2265709999999997E-4</v>
      </c>
      <c r="EX194">
        <v>5.2630209999999997E-3</v>
      </c>
      <c r="EY194">
        <v>6.4836579999999998E-3</v>
      </c>
      <c r="EZ194">
        <v>9.1924330000000003E-4</v>
      </c>
      <c r="FA194">
        <v>8.1083529999999998E-4</v>
      </c>
      <c r="FB194">
        <v>8.4429290000000005E-4</v>
      </c>
      <c r="FC194">
        <v>1.728565E-3</v>
      </c>
      <c r="FD194">
        <v>2.6351E-4</v>
      </c>
      <c r="FE194">
        <v>2.0855769999999999E-2</v>
      </c>
      <c r="FF194">
        <v>1.4516350000000001E-2</v>
      </c>
      <c r="FG194">
        <v>7.5141870000000003E-3</v>
      </c>
      <c r="FH194">
        <v>6.5239810000000003E-4</v>
      </c>
      <c r="FI194">
        <v>1.299775E-3</v>
      </c>
      <c r="FJ194">
        <v>1.0603889999999999E-2</v>
      </c>
      <c r="FK194">
        <v>-0.43689836669096199</v>
      </c>
      <c r="FL194">
        <v>-0.26180909280664499</v>
      </c>
      <c r="FM194">
        <v>-0.83198036721160695</v>
      </c>
      <c r="FN194">
        <v>-0.488328321568538</v>
      </c>
      <c r="FO194">
        <v>0.69332350582431801</v>
      </c>
      <c r="FP194">
        <v>-0.204494492800676</v>
      </c>
      <c r="FQ194">
        <v>-0.28477578176225599</v>
      </c>
      <c r="FR194">
        <v>-0.391622716039916</v>
      </c>
      <c r="FS194">
        <v>-0.32901773251542998</v>
      </c>
      <c r="FT194">
        <v>-3.3336459568398702E-2</v>
      </c>
      <c r="FU194">
        <v>1.67297481525264E-2</v>
      </c>
      <c r="FV194">
        <v>-0.23080941042228201</v>
      </c>
      <c r="FW194">
        <v>0.25674380474296399</v>
      </c>
      <c r="FX194">
        <v>-0.195679313859913</v>
      </c>
      <c r="FY194">
        <v>-0.45122680215927302</v>
      </c>
      <c r="FZ194">
        <v>0.60948215384350801</v>
      </c>
      <c r="GA194">
        <v>0.15158755175890701</v>
      </c>
      <c r="GB194">
        <v>0.10886267742653299</v>
      </c>
      <c r="GC194">
        <v>-0.20961126867334701</v>
      </c>
      <c r="GD194">
        <v>5.6328757994385199E-2</v>
      </c>
      <c r="GE194">
        <v>-4.3623049698880798E-2</v>
      </c>
      <c r="GF194">
        <v>-0.32636525921523102</v>
      </c>
      <c r="GG194">
        <v>-0.15397164742459199</v>
      </c>
      <c r="GH194">
        <v>-0.15773452578663999</v>
      </c>
      <c r="GI194">
        <v>-8.0529023546966394E-2</v>
      </c>
      <c r="GJ194">
        <v>-0.30408865820426501</v>
      </c>
      <c r="GK194">
        <v>-0.111877057524826</v>
      </c>
      <c r="GL194">
        <v>-2.9427879073074901E-2</v>
      </c>
      <c r="GM194">
        <v>-0.115414086707376</v>
      </c>
      <c r="GN194">
        <v>-0.19511672959929099</v>
      </c>
      <c r="GO194">
        <v>-9.9622713854792294E-2</v>
      </c>
      <c r="GP194">
        <v>1.1284605651979999E-3</v>
      </c>
      <c r="GR194" s="66"/>
      <c r="GT194" s="66"/>
      <c r="HK194" s="1"/>
      <c r="HL194" s="1"/>
      <c r="HM194" s="1"/>
      <c r="HN194" s="1"/>
      <c r="HO194" s="65"/>
      <c r="HP194" s="65"/>
      <c r="HQ194" s="65"/>
      <c r="HS194" s="65"/>
      <c r="HT194" s="65"/>
      <c r="HU194" s="65"/>
      <c r="HV194" s="65"/>
      <c r="HW194" s="65"/>
      <c r="HX194" s="65"/>
      <c r="IZ194" s="66"/>
      <c r="JB194" s="66"/>
      <c r="JD194" s="66"/>
      <c r="JF194" s="66"/>
      <c r="JH194" s="66"/>
      <c r="JJ194" s="66"/>
      <c r="JL194" s="66"/>
      <c r="JN194" s="66"/>
    </row>
    <row r="195" spans="1:278" ht="15.75" x14ac:dyDescent="0.25">
      <c r="A195" s="2" t="s">
        <v>247</v>
      </c>
      <c r="B195" s="2" t="s">
        <v>247</v>
      </c>
      <c r="C195" s="2" t="s">
        <v>1093</v>
      </c>
      <c r="D195" s="2" t="s">
        <v>637</v>
      </c>
      <c r="E195" s="2" t="s">
        <v>637</v>
      </c>
      <c r="F195" s="2">
        <v>194</v>
      </c>
      <c r="G195" s="19" t="s">
        <v>1092</v>
      </c>
      <c r="H195" s="10" t="s">
        <v>656</v>
      </c>
      <c r="I195" s="2">
        <v>150</v>
      </c>
      <c r="J195" s="2">
        <v>65</v>
      </c>
      <c r="K195" s="12">
        <v>4.05</v>
      </c>
      <c r="L195" t="s">
        <v>420</v>
      </c>
      <c r="M195" s="2" t="s">
        <v>1120</v>
      </c>
      <c r="N195" s="2" t="s">
        <v>435</v>
      </c>
      <c r="O195" s="2" t="s">
        <v>673</v>
      </c>
      <c r="P195" s="2" t="s">
        <v>1128</v>
      </c>
      <c r="Q195" s="9" t="s">
        <v>677</v>
      </c>
      <c r="R195" s="2" t="str">
        <f t="shared" ref="R195:R207" si="217">$N195&amp;"_"&amp;$O195</f>
        <v>CW_1_Section_3</v>
      </c>
      <c r="S195" s="2" t="str">
        <f t="shared" ref="S195:S207" si="218">$N195&amp;"_"&amp;$P195</f>
        <v>CW_1_MF10</v>
      </c>
      <c r="T195" s="11" t="s">
        <v>1075</v>
      </c>
      <c r="U195" s="1">
        <v>46007</v>
      </c>
      <c r="V195" s="2" t="s">
        <v>799</v>
      </c>
      <c r="W195" s="2" t="s">
        <v>663</v>
      </c>
      <c r="X195" s="2" t="s">
        <v>1074</v>
      </c>
      <c r="Y195" s="2" t="str">
        <f t="shared" ref="Y195:Y207" si="219">$X195&amp;"_"&amp;$P195</f>
        <v>T8_MF10</v>
      </c>
      <c r="Z195" s="2" t="str">
        <f t="shared" ref="Z195:Z207" si="220">$X195&amp;"_"&amp;$N195&amp;"_"&amp;$P195</f>
        <v>T8_CW_1_MF10</v>
      </c>
      <c r="AA195" s="2" t="str">
        <f t="shared" ref="AA195:AA207" si="221">$X195&amp;"_"&amp;$W195</f>
        <v>T8_0.60-0.80</v>
      </c>
      <c r="AB195" s="2">
        <v>490</v>
      </c>
      <c r="AC195" s="2">
        <v>16.117999999999999</v>
      </c>
      <c r="AD195" s="2">
        <v>1.53</v>
      </c>
      <c r="AE195" s="2">
        <v>8</v>
      </c>
      <c r="AF195" t="s">
        <v>23</v>
      </c>
      <c r="AG195" t="s">
        <v>1237</v>
      </c>
      <c r="AH195">
        <v>71</v>
      </c>
      <c r="AI195" t="s">
        <v>443</v>
      </c>
      <c r="AJ195">
        <v>0.47</v>
      </c>
      <c r="AK195">
        <v>0.68</v>
      </c>
      <c r="AL195">
        <v>9</v>
      </c>
      <c r="AM195">
        <v>-104</v>
      </c>
      <c r="AN195">
        <v>7.6</v>
      </c>
      <c r="AO195">
        <v>1114</v>
      </c>
      <c r="AP195">
        <v>0.1</v>
      </c>
      <c r="AQ195">
        <v>0.01</v>
      </c>
      <c r="AR195">
        <v>11</v>
      </c>
      <c r="AS195">
        <v>12</v>
      </c>
      <c r="AT195">
        <v>710</v>
      </c>
      <c r="AU195" s="32">
        <f t="shared" si="161"/>
        <v>0.27269235693253108</v>
      </c>
      <c r="AV195">
        <v>31</v>
      </c>
      <c r="AW195" s="32">
        <f t="shared" si="162"/>
        <v>1.2112003472975906E-2</v>
      </c>
      <c r="AX195">
        <v>410</v>
      </c>
      <c r="AY195" s="32">
        <f t="shared" si="163"/>
        <v>0.16219270980502967</v>
      </c>
      <c r="AZ195">
        <v>140</v>
      </c>
      <c r="BA195" s="32">
        <f t="shared" si="164"/>
        <v>5.5382876518790619E-2</v>
      </c>
      <c r="BB195">
        <v>140</v>
      </c>
      <c r="BC195" s="32">
        <f t="shared" si="165"/>
        <v>5.5382876518790619E-2</v>
      </c>
      <c r="BD195">
        <v>280</v>
      </c>
      <c r="BF195" s="48">
        <v>1431</v>
      </c>
      <c r="BG195" s="48">
        <f t="shared" si="166"/>
        <v>0.4469970702105367</v>
      </c>
      <c r="BH195">
        <v>1600</v>
      </c>
      <c r="BI195" s="32">
        <f t="shared" si="167"/>
        <v>0.59920418194585312</v>
      </c>
      <c r="BJ195" s="47">
        <v>1300</v>
      </c>
      <c r="BK195" s="27">
        <f t="shared" si="168"/>
        <v>0.48685339783100573</v>
      </c>
      <c r="BL195" s="47">
        <v>3.6</v>
      </c>
      <c r="BM195" s="27">
        <f t="shared" si="169"/>
        <v>1.3246599645180368E-3</v>
      </c>
      <c r="BN195" s="47">
        <v>120</v>
      </c>
      <c r="BO195" s="27">
        <f t="shared" si="170"/>
        <v>4.5133259840477273E-2</v>
      </c>
      <c r="BP195" s="47">
        <v>27</v>
      </c>
      <c r="BQ195" s="27">
        <f t="shared" si="171"/>
        <v>1.0070990253880399E-2</v>
      </c>
      <c r="BR195" s="47">
        <v>11</v>
      </c>
      <c r="BS195" s="27">
        <f t="shared" si="172"/>
        <v>4.0733883184649045E-3</v>
      </c>
      <c r="BT195" s="47">
        <v>1.7</v>
      </c>
      <c r="BU195" s="27">
        <f t="shared" si="173"/>
        <v>6.295236492173035E-4</v>
      </c>
      <c r="BV195" s="47">
        <v>7.0000000000000007E-2</v>
      </c>
      <c r="BW195" s="27">
        <f t="shared" si="174"/>
        <v>2.5611866501854141E-5</v>
      </c>
      <c r="BX195" s="47">
        <v>0.03</v>
      </c>
      <c r="BY195" s="27">
        <f t="shared" si="175"/>
        <v>1.0976514215080345E-5</v>
      </c>
      <c r="BZ195" s="51">
        <f t="shared" si="176"/>
        <v>1463.3999999999999</v>
      </c>
      <c r="CA195" s="51">
        <f t="shared" si="177"/>
        <v>163.39999999999998</v>
      </c>
      <c r="CB195" s="27">
        <f t="shared" si="178"/>
        <v>0.54812180823828061</v>
      </c>
      <c r="CC195" s="27">
        <f t="shared" si="179"/>
        <v>6.1268410407274848E-2</v>
      </c>
      <c r="CD195">
        <v>3000</v>
      </c>
      <c r="CE195">
        <v>950</v>
      </c>
      <c r="CF195" t="s">
        <v>19</v>
      </c>
      <c r="CG195">
        <v>4000</v>
      </c>
      <c r="CH195" s="32">
        <v>0.4</v>
      </c>
      <c r="CI195" s="32">
        <f t="shared" si="180"/>
        <v>7.162041181736795E-3</v>
      </c>
      <c r="CJ195" s="32">
        <f t="shared" si="181"/>
        <v>7.162041181736795E-3</v>
      </c>
      <c r="CK195" s="32">
        <v>1.2</v>
      </c>
      <c r="CL195" s="32">
        <f t="shared" si="182"/>
        <v>2.1845985800109231E-2</v>
      </c>
      <c r="CM195" s="32">
        <f t="shared" si="183"/>
        <v>4.3691971600218461E-2</v>
      </c>
      <c r="CN195" s="27">
        <v>48</v>
      </c>
      <c r="CO195" s="27">
        <f t="shared" si="184"/>
        <v>0.49968769519050593</v>
      </c>
      <c r="CP195" s="27">
        <f t="shared" si="185"/>
        <v>3.9975015615240475</v>
      </c>
      <c r="CQ195" s="57">
        <v>24</v>
      </c>
      <c r="CR195" s="57">
        <v>33.333333333333329</v>
      </c>
      <c r="CS195" s="57">
        <v>1.9987507807620237</v>
      </c>
      <c r="CT195" s="57">
        <f t="shared" si="186"/>
        <v>1.9987507807620237</v>
      </c>
      <c r="CU195" s="28">
        <v>5</v>
      </c>
      <c r="CV195" s="28">
        <v>9.433962264150944</v>
      </c>
      <c r="CW195" s="28">
        <v>0.41640641265875494</v>
      </c>
      <c r="CX195" s="28">
        <f t="shared" si="187"/>
        <v>0.41640641265875494</v>
      </c>
      <c r="CY195" s="32">
        <f t="shared" si="188"/>
        <v>13.951280449718926</v>
      </c>
      <c r="CZ195" s="32">
        <f t="shared" si="189"/>
        <v>13.951280449718926</v>
      </c>
      <c r="DA195" s="32">
        <f t="shared" si="190"/>
        <v>14.351280449718926</v>
      </c>
      <c r="DB195" s="32">
        <f t="shared" si="191"/>
        <v>0.25696115397885272</v>
      </c>
      <c r="DC195" s="32">
        <f t="shared" si="192"/>
        <v>0.25696115397885272</v>
      </c>
      <c r="DD195" s="59">
        <f t="shared" si="193"/>
        <v>2.9065167603581092</v>
      </c>
      <c r="DE195" s="59">
        <f t="shared" si="194"/>
        <v>2.9065167603581092</v>
      </c>
      <c r="DF195" s="59">
        <f t="shared" si="195"/>
        <v>3.3065167603581092</v>
      </c>
      <c r="DG195" s="59">
        <f t="shared" si="196"/>
        <v>5.9203523014469274E-2</v>
      </c>
      <c r="DH195" s="59">
        <f t="shared" si="197"/>
        <v>5.9203523014469274E-2</v>
      </c>
      <c r="DI195" s="32">
        <f t="shared" si="198"/>
        <v>3.9975015615240475</v>
      </c>
      <c r="DJ195" s="32">
        <f t="shared" si="199"/>
        <v>4.5065167603581093</v>
      </c>
      <c r="DK195" s="32">
        <f t="shared" si="200"/>
        <v>0.10289549461468774</v>
      </c>
      <c r="DL195">
        <f t="shared" si="201"/>
        <v>2.2994039063410949</v>
      </c>
      <c r="DM195">
        <f t="shared" si="206"/>
        <v>1.9001434015019528E-2</v>
      </c>
      <c r="DN195">
        <f t="shared" si="207"/>
        <v>0.11175120354898403</v>
      </c>
      <c r="DO195">
        <f t="shared" si="208"/>
        <v>0.86924736243599643</v>
      </c>
      <c r="DP195">
        <f t="shared" si="202"/>
        <v>0.51930190727344272</v>
      </c>
      <c r="DQ195">
        <f t="shared" si="209"/>
        <v>8.4135973675929704E-2</v>
      </c>
      <c r="DR195">
        <f t="shared" si="210"/>
        <v>0.11400598030789663</v>
      </c>
      <c r="DS195">
        <f t="shared" si="211"/>
        <v>0.80185804601617361</v>
      </c>
      <c r="DT195" s="63">
        <f t="shared" si="212"/>
        <v>-1.253202654184705</v>
      </c>
      <c r="DU195" s="63">
        <f t="shared" si="213"/>
        <v>0.52689934488294721</v>
      </c>
      <c r="DV195" s="63">
        <f t="shared" si="214"/>
        <v>-1.1919342437774301</v>
      </c>
      <c r="DW195" s="63">
        <f t="shared" si="215"/>
        <v>0.58816775529022214</v>
      </c>
      <c r="DX195" t="str">
        <f t="shared" si="203"/>
        <v>Sufficient Capacity</v>
      </c>
      <c r="DY195" t="str">
        <f t="shared" si="204"/>
        <v>Insufficient Capacity</v>
      </c>
      <c r="DZ195" t="str">
        <f t="shared" si="205"/>
        <v>Sulfate Dominant electron acceptor</v>
      </c>
      <c r="EA195" t="str">
        <f t="shared" si="216"/>
        <v>Sulfate Dominant electron acceptor</v>
      </c>
      <c r="EB195">
        <v>9.5715699999999997E-3</v>
      </c>
      <c r="EC195">
        <v>1.735002E-3</v>
      </c>
      <c r="ED195" s="66">
        <v>6.1555190000000001E-6</v>
      </c>
      <c r="EE195">
        <v>4.3014380000000002E-4</v>
      </c>
      <c r="EF195">
        <v>4.337296E-3</v>
      </c>
      <c r="EG195" s="66">
        <v>1.226769E-5</v>
      </c>
      <c r="EH195">
        <v>2.29645E-4</v>
      </c>
      <c r="EI195">
        <v>1.423695E-4</v>
      </c>
      <c r="EJ195">
        <v>4.9177430000000005E-4</v>
      </c>
      <c r="EK195">
        <v>7.7926109999999999E-4</v>
      </c>
      <c r="EL195">
        <v>3.7951860000000001E-4</v>
      </c>
      <c r="EM195">
        <v>1.492148E-4</v>
      </c>
      <c r="EN195">
        <v>2.0396189999999999E-3</v>
      </c>
      <c r="EO195">
        <v>9.5869650000000005E-4</v>
      </c>
      <c r="EP195">
        <v>1.649169E-3</v>
      </c>
      <c r="EQ195">
        <v>1.1468889999999999E-3</v>
      </c>
      <c r="ER195">
        <v>4.3236050000000002E-4</v>
      </c>
      <c r="ES195">
        <v>5.3522810000000004E-4</v>
      </c>
      <c r="ET195">
        <v>7.7437249999999999E-3</v>
      </c>
      <c r="EU195">
        <v>2.686871E-3</v>
      </c>
      <c r="EV195">
        <v>9.0701489999999996E-3</v>
      </c>
      <c r="EW195">
        <v>4.9791319999999996E-4</v>
      </c>
      <c r="EX195">
        <v>5.1430759999999999E-3</v>
      </c>
      <c r="EY195">
        <v>6.6609540000000002E-3</v>
      </c>
      <c r="EZ195">
        <v>1.1292170000000001E-3</v>
      </c>
      <c r="FA195">
        <v>7.9113790000000001E-4</v>
      </c>
      <c r="FB195">
        <v>8.1487940000000004E-4</v>
      </c>
      <c r="FC195">
        <v>1.9434470000000001E-3</v>
      </c>
      <c r="FD195">
        <v>2.792626E-4</v>
      </c>
      <c r="FE195">
        <v>2.3426160000000001E-2</v>
      </c>
      <c r="FF195">
        <v>1.7718729999999999E-2</v>
      </c>
      <c r="FG195">
        <v>9.6007699999999998E-3</v>
      </c>
      <c r="FH195">
        <v>8.3389789999999998E-4</v>
      </c>
      <c r="FI195">
        <v>1.3221280000000001E-3</v>
      </c>
      <c r="FJ195">
        <v>1.302202E-2</v>
      </c>
      <c r="FK195">
        <v>-0.28627774688013902</v>
      </c>
      <c r="FL195">
        <v>-5.8894007614761698E-2</v>
      </c>
      <c r="FM195">
        <v>1.5186344239408499E-2</v>
      </c>
      <c r="FN195">
        <v>-0.25703751687918203</v>
      </c>
      <c r="FO195">
        <v>0.58424481553904795</v>
      </c>
      <c r="FP195">
        <v>0.106032867091053</v>
      </c>
      <c r="FQ195">
        <v>8.0054064597546506E-2</v>
      </c>
      <c r="FR195">
        <v>-0.18276726681198399</v>
      </c>
      <c r="FS195">
        <v>-0.54423313514689098</v>
      </c>
      <c r="FT195">
        <v>2.99176262096523E-3</v>
      </c>
      <c r="FU195">
        <v>0.16079064872137999</v>
      </c>
      <c r="FV195">
        <v>-0.250390642066316</v>
      </c>
      <c r="FW195">
        <v>-5.2142017992930598E-2</v>
      </c>
      <c r="FX195">
        <v>8.7469541297840805E-2</v>
      </c>
      <c r="FY195">
        <v>-0.26303698530087899</v>
      </c>
      <c r="FZ195">
        <v>-0.114124027582216</v>
      </c>
      <c r="GA195">
        <v>-3.0375655429660101E-2</v>
      </c>
      <c r="GB195">
        <v>2.57398143575269E-2</v>
      </c>
      <c r="GC195">
        <v>-0.25811111253227198</v>
      </c>
      <c r="GD195">
        <v>3.3274905561890798E-2</v>
      </c>
      <c r="GE195">
        <v>-1.66451894250246E-2</v>
      </c>
      <c r="GF195">
        <v>-0.120636339647463</v>
      </c>
      <c r="GG195">
        <v>-0.178564309445846</v>
      </c>
      <c r="GH195">
        <v>-0.193193871262269</v>
      </c>
      <c r="GI195">
        <v>3.6642592470654399E-2</v>
      </c>
      <c r="GJ195">
        <v>-0.24602741833887201</v>
      </c>
      <c r="GK195">
        <v>4.3456405486041998E-3</v>
      </c>
      <c r="GL195">
        <v>0.16991879272093299</v>
      </c>
      <c r="GM195">
        <v>0.12963638316329901</v>
      </c>
      <c r="GN195">
        <v>5.0339284784023199E-2</v>
      </c>
      <c r="GO195">
        <v>-8.2571326681754306E-2</v>
      </c>
      <c r="GP195">
        <v>0.20654931631208401</v>
      </c>
      <c r="GT195" s="66"/>
      <c r="GV195" s="66"/>
      <c r="HK195" s="1"/>
      <c r="HL195" s="1"/>
      <c r="HM195" s="65"/>
      <c r="HN195" s="1"/>
      <c r="HO195" s="65"/>
      <c r="HP195" s="65"/>
      <c r="HQ195" s="65"/>
      <c r="HS195" s="65"/>
      <c r="HV195" s="65"/>
      <c r="HW195" s="65"/>
      <c r="HX195" s="65"/>
    </row>
    <row r="196" spans="1:278" ht="15.75" x14ac:dyDescent="0.25">
      <c r="A196" s="2" t="s">
        <v>248</v>
      </c>
      <c r="B196" s="2" t="s">
        <v>248</v>
      </c>
      <c r="C196" s="2" t="s">
        <v>1095</v>
      </c>
      <c r="D196" s="2" t="s">
        <v>638</v>
      </c>
      <c r="E196" s="2" t="s">
        <v>638</v>
      </c>
      <c r="F196" s="2">
        <v>195</v>
      </c>
      <c r="G196" s="19" t="s">
        <v>1094</v>
      </c>
      <c r="H196" s="10" t="s">
        <v>656</v>
      </c>
      <c r="I196" s="2">
        <v>150</v>
      </c>
      <c r="J196" s="2">
        <v>65</v>
      </c>
      <c r="K196" s="12">
        <v>12.8</v>
      </c>
      <c r="L196" t="s">
        <v>422</v>
      </c>
      <c r="M196" s="2" t="s">
        <v>1120</v>
      </c>
      <c r="N196" s="2" t="s">
        <v>436</v>
      </c>
      <c r="O196" s="2" t="s">
        <v>653</v>
      </c>
      <c r="P196" s="2" t="s">
        <v>1123</v>
      </c>
      <c r="Q196" s="9" t="s">
        <v>713</v>
      </c>
      <c r="R196" s="2" t="str">
        <f t="shared" si="217"/>
        <v>CW_2_Section_1</v>
      </c>
      <c r="S196" s="2" t="str">
        <f t="shared" si="218"/>
        <v>CW_2_MF01</v>
      </c>
      <c r="T196" s="11" t="s">
        <v>1075</v>
      </c>
      <c r="U196" s="1">
        <v>46007</v>
      </c>
      <c r="V196" s="2" t="s">
        <v>799</v>
      </c>
      <c r="W196" s="2" t="s">
        <v>655</v>
      </c>
      <c r="X196" s="2" t="s">
        <v>1074</v>
      </c>
      <c r="Y196" s="2" t="str">
        <f t="shared" si="219"/>
        <v>T8_MF01</v>
      </c>
      <c r="Z196" s="2" t="str">
        <f t="shared" si="220"/>
        <v>T8_CW_2_MF01</v>
      </c>
      <c r="AA196" s="2" t="str">
        <f t="shared" si="221"/>
        <v>T8_0.15-0.30</v>
      </c>
      <c r="AB196" s="2">
        <v>490</v>
      </c>
      <c r="AC196" s="2">
        <v>16.117999999999999</v>
      </c>
      <c r="AD196" s="2">
        <v>1.53</v>
      </c>
      <c r="AE196" s="2">
        <v>8</v>
      </c>
      <c r="AF196" t="s">
        <v>41</v>
      </c>
      <c r="AG196" s="2" t="s">
        <v>1238</v>
      </c>
      <c r="AH196">
        <v>48</v>
      </c>
      <c r="AI196" t="s">
        <v>443</v>
      </c>
      <c r="AJ196">
        <v>0.28999999999999998</v>
      </c>
      <c r="AK196">
        <v>1.19</v>
      </c>
      <c r="AL196">
        <v>12</v>
      </c>
      <c r="AM196">
        <v>1.7</v>
      </c>
      <c r="AN196">
        <v>7.7</v>
      </c>
      <c r="AO196">
        <v>574</v>
      </c>
      <c r="AP196">
        <v>0.1</v>
      </c>
      <c r="AQ196">
        <v>0.01</v>
      </c>
      <c r="AR196">
        <v>4</v>
      </c>
      <c r="AS196">
        <v>4.3</v>
      </c>
      <c r="AT196">
        <v>2</v>
      </c>
      <c r="AU196" s="32">
        <f t="shared" si="161"/>
        <v>7.6814748431698891E-4</v>
      </c>
      <c r="AV196">
        <v>0.3</v>
      </c>
      <c r="AW196" s="32">
        <f t="shared" si="162"/>
        <v>1.1721293683525071E-4</v>
      </c>
      <c r="AX196">
        <v>2.7</v>
      </c>
      <c r="AY196" s="32">
        <f t="shared" si="163"/>
        <v>1.0680983328623906E-3</v>
      </c>
      <c r="AZ196">
        <v>0.97</v>
      </c>
      <c r="BA196" s="32">
        <f t="shared" si="164"/>
        <v>3.8372421588019214E-4</v>
      </c>
      <c r="BB196">
        <v>0.9</v>
      </c>
      <c r="BC196" s="32">
        <f t="shared" si="165"/>
        <v>3.5603277762079685E-4</v>
      </c>
      <c r="BD196">
        <v>1.87</v>
      </c>
      <c r="BF196" s="48">
        <v>6.87</v>
      </c>
      <c r="BG196" s="48">
        <f t="shared" si="166"/>
        <v>1.9534587540146302E-3</v>
      </c>
      <c r="BH196">
        <v>1.4</v>
      </c>
      <c r="BI196" s="32">
        <f t="shared" si="167"/>
        <v>5.2430365920262147E-4</v>
      </c>
      <c r="BJ196" s="47">
        <v>0.02</v>
      </c>
      <c r="BK196" s="27">
        <f t="shared" si="168"/>
        <v>7.4900522743231651E-6</v>
      </c>
      <c r="BL196" s="47">
        <v>0.01</v>
      </c>
      <c r="BM196" s="27">
        <f t="shared" si="169"/>
        <v>3.6796110125501018E-6</v>
      </c>
      <c r="BN196" s="47">
        <v>0.25</v>
      </c>
      <c r="BO196" s="27">
        <f t="shared" si="170"/>
        <v>9.4027624667660981E-5</v>
      </c>
      <c r="BP196" s="47">
        <v>5.0000000000000001E-3</v>
      </c>
      <c r="BQ196" s="27">
        <f t="shared" si="171"/>
        <v>1.8649981951630372E-6</v>
      </c>
      <c r="BR196" s="47">
        <v>1E-3</v>
      </c>
      <c r="BS196" s="27">
        <f t="shared" si="172"/>
        <v>3.7030802895135499E-7</v>
      </c>
      <c r="BT196" s="47">
        <v>1E-3</v>
      </c>
      <c r="BU196" s="27">
        <f t="shared" si="173"/>
        <v>3.7030802895135499E-7</v>
      </c>
      <c r="BV196" s="47">
        <v>1E-3</v>
      </c>
      <c r="BW196" s="27">
        <f t="shared" si="174"/>
        <v>3.6588380716934485E-7</v>
      </c>
      <c r="BX196" s="47">
        <v>2E-3</v>
      </c>
      <c r="BY196" s="27">
        <f t="shared" si="175"/>
        <v>7.3176761433868969E-7</v>
      </c>
      <c r="BZ196" s="51">
        <f t="shared" si="176"/>
        <v>0.29000000000000004</v>
      </c>
      <c r="CA196" s="51">
        <f t="shared" si="177"/>
        <v>0.27</v>
      </c>
      <c r="CB196" s="27">
        <f t="shared" si="178"/>
        <v>1.0890055362910803E-4</v>
      </c>
      <c r="CC196" s="27">
        <f t="shared" si="179"/>
        <v>1.0141050135478487E-4</v>
      </c>
      <c r="CD196">
        <v>2.5</v>
      </c>
      <c r="CE196">
        <v>2.5</v>
      </c>
      <c r="CF196" t="s">
        <v>19</v>
      </c>
      <c r="CG196">
        <v>5</v>
      </c>
      <c r="CH196" s="32">
        <v>0.02</v>
      </c>
      <c r="CI196" s="32">
        <f t="shared" si="180"/>
        <v>3.5810205908683976E-4</v>
      </c>
      <c r="CJ196" s="32">
        <f t="shared" si="181"/>
        <v>3.5810205908683976E-4</v>
      </c>
      <c r="CK196" s="32">
        <v>0.05</v>
      </c>
      <c r="CL196" s="32">
        <f t="shared" si="182"/>
        <v>9.1024940833788468E-4</v>
      </c>
      <c r="CM196" s="32">
        <f t="shared" si="183"/>
        <v>1.8204988166757694E-3</v>
      </c>
      <c r="CN196" s="27">
        <v>42</v>
      </c>
      <c r="CO196" s="27">
        <f t="shared" si="184"/>
        <v>0.4372267332916927</v>
      </c>
      <c r="CP196" s="27">
        <f t="shared" si="185"/>
        <v>3.4978138663335416</v>
      </c>
      <c r="CQ196" s="57">
        <v>30</v>
      </c>
      <c r="CR196" s="57">
        <v>41.666666666666671</v>
      </c>
      <c r="CS196" s="57">
        <v>2.4984384759525295</v>
      </c>
      <c r="CT196" s="57">
        <f t="shared" si="186"/>
        <v>2.4984384759525295</v>
      </c>
      <c r="CU196" s="28">
        <v>30</v>
      </c>
      <c r="CV196" s="28">
        <v>41.666666666666671</v>
      </c>
      <c r="CW196" s="28">
        <v>2.4984384759525295</v>
      </c>
      <c r="CX196" s="28">
        <f t="shared" si="187"/>
        <v>2.4984384759525295</v>
      </c>
      <c r="CY196" s="32">
        <f t="shared" si="188"/>
        <v>17.439100562148656</v>
      </c>
      <c r="CZ196" s="32">
        <f t="shared" si="189"/>
        <v>17.439100562148656</v>
      </c>
      <c r="DA196" s="32">
        <f t="shared" si="190"/>
        <v>17.459100562148656</v>
      </c>
      <c r="DB196" s="32">
        <f t="shared" si="191"/>
        <v>0.31260699305548173</v>
      </c>
      <c r="DC196" s="32">
        <f t="shared" si="192"/>
        <v>0.31260699305548173</v>
      </c>
      <c r="DD196" s="59">
        <f t="shared" si="193"/>
        <v>17.439100562148656</v>
      </c>
      <c r="DE196" s="59">
        <f t="shared" si="194"/>
        <v>17.439100562148656</v>
      </c>
      <c r="DF196" s="59">
        <f t="shared" si="195"/>
        <v>17.459100562148656</v>
      </c>
      <c r="DG196" s="59">
        <f t="shared" si="196"/>
        <v>0.31260699305548173</v>
      </c>
      <c r="DH196" s="59">
        <f t="shared" si="197"/>
        <v>0.31260699305548173</v>
      </c>
      <c r="DI196" s="32">
        <f t="shared" si="198"/>
        <v>3.4978138663335416</v>
      </c>
      <c r="DJ196" s="32">
        <f t="shared" si="199"/>
        <v>17.509100562148657</v>
      </c>
      <c r="DK196" s="32">
        <f t="shared" si="200"/>
        <v>0.31442749187215752</v>
      </c>
      <c r="DL196">
        <f t="shared" si="201"/>
        <v>2.812865967824687</v>
      </c>
      <c r="DM196">
        <f t="shared" si="206"/>
        <v>6.4720425270872088E-4</v>
      </c>
      <c r="DN196">
        <f t="shared" si="207"/>
        <v>0.11113469202986392</v>
      </c>
      <c r="DO196">
        <f t="shared" si="208"/>
        <v>0.88821810371742738</v>
      </c>
      <c r="DP196">
        <f t="shared" si="202"/>
        <v>2.812865967824687</v>
      </c>
      <c r="DQ196">
        <f t="shared" si="209"/>
        <v>6.4720425270872088E-4</v>
      </c>
      <c r="DR196">
        <f t="shared" si="210"/>
        <v>0.11113469202986392</v>
      </c>
      <c r="DS196">
        <f t="shared" si="211"/>
        <v>0.88821810371742738</v>
      </c>
      <c r="DT196" s="63">
        <f t="shared" si="212"/>
        <v>-2.8103882054114697</v>
      </c>
      <c r="DU196" s="63">
        <f t="shared" si="213"/>
        <v>-2.8103882054114697</v>
      </c>
      <c r="DV196" s="63">
        <f t="shared" si="214"/>
        <v>-2.8102867949101151</v>
      </c>
      <c r="DW196" s="63">
        <f t="shared" si="215"/>
        <v>-2.8102867949101151</v>
      </c>
      <c r="DX196" t="str">
        <f t="shared" si="203"/>
        <v>Sufficient Capacity</v>
      </c>
      <c r="DY196" t="str">
        <f t="shared" si="204"/>
        <v>Sufficient Capacity</v>
      </c>
      <c r="DZ196" t="str">
        <f t="shared" si="205"/>
        <v>Sulfate Dominant electron acceptor</v>
      </c>
      <c r="EA196" t="str">
        <f t="shared" si="216"/>
        <v>Sulfate Dominant electron acceptor</v>
      </c>
      <c r="EB196">
        <v>9.8827289999999998E-3</v>
      </c>
      <c r="EC196">
        <v>1.8538440000000001E-3</v>
      </c>
      <c r="ED196" s="66">
        <v>4.4000780000000001E-8</v>
      </c>
      <c r="EE196">
        <v>6.308059E-4</v>
      </c>
      <c r="EF196">
        <v>8.291896E-3</v>
      </c>
      <c r="EG196" s="66">
        <v>9.5455739999999994E-6</v>
      </c>
      <c r="EH196">
        <v>3.2889319999999998E-4</v>
      </c>
      <c r="EI196">
        <v>1.1041770000000001E-4</v>
      </c>
      <c r="EJ196">
        <v>1.6119849999999999E-4</v>
      </c>
      <c r="EK196">
        <v>4.1927229999999999E-4</v>
      </c>
      <c r="EL196">
        <v>4.9800630000000005E-4</v>
      </c>
      <c r="EM196">
        <v>5.2970570000000002E-4</v>
      </c>
      <c r="EN196">
        <v>2.0975569999999999E-3</v>
      </c>
      <c r="EO196">
        <v>1.1498459999999999E-3</v>
      </c>
      <c r="EP196">
        <v>3.4605539999999998E-3</v>
      </c>
      <c r="EQ196">
        <v>1.736348E-3</v>
      </c>
      <c r="ER196">
        <v>7.042665E-4</v>
      </c>
      <c r="ES196">
        <v>7.0923049999999999E-4</v>
      </c>
      <c r="ET196">
        <v>7.7396920000000003E-3</v>
      </c>
      <c r="EU196">
        <v>2.7126279999999999E-3</v>
      </c>
      <c r="EV196">
        <v>8.6052690000000005E-3</v>
      </c>
      <c r="EW196">
        <v>5.3473270000000002E-4</v>
      </c>
      <c r="EX196">
        <v>4.8897419999999999E-3</v>
      </c>
      <c r="EY196">
        <v>8.6271530000000003E-3</v>
      </c>
      <c r="EZ196">
        <v>2.2766940000000001E-3</v>
      </c>
      <c r="FA196">
        <v>1.7774290000000001E-3</v>
      </c>
      <c r="FB196">
        <v>1.8085899999999999E-3</v>
      </c>
      <c r="FC196">
        <v>1.776887E-3</v>
      </c>
      <c r="FD196">
        <v>3.2625839999999998E-4</v>
      </c>
      <c r="FE196">
        <v>2.5389990000000001E-2</v>
      </c>
      <c r="FF196">
        <v>1.7589819999999999E-2</v>
      </c>
      <c r="FG196">
        <v>1.0413499999999999E-2</v>
      </c>
      <c r="FH196">
        <v>8.333266E-4</v>
      </c>
      <c r="FI196">
        <v>2.4461819999999999E-3</v>
      </c>
      <c r="FJ196">
        <v>1.09894E-2</v>
      </c>
      <c r="FK196">
        <v>9.6600889980463997E-2</v>
      </c>
      <c r="FL196">
        <v>0.58913353220409403</v>
      </c>
      <c r="FM196">
        <v>-0.23570504113426499</v>
      </c>
      <c r="FN196">
        <v>0.102160922852257</v>
      </c>
      <c r="FO196">
        <v>0.33008947197449601</v>
      </c>
      <c r="FP196">
        <v>-1.0093504794922299</v>
      </c>
      <c r="FQ196">
        <v>-0.53977150890488101</v>
      </c>
      <c r="FR196">
        <v>8.8941853242709507E-2</v>
      </c>
      <c r="FS196">
        <v>0.72270155559315097</v>
      </c>
      <c r="FT196">
        <v>3.10020711119883E-2</v>
      </c>
      <c r="FU196">
        <v>0.34259939876885298</v>
      </c>
      <c r="FV196">
        <v>0.49076652511165603</v>
      </c>
      <c r="FW196">
        <v>0.36258897971437198</v>
      </c>
      <c r="FX196">
        <v>0.57536664596880405</v>
      </c>
      <c r="FY196">
        <v>1.8450583005940002E-2</v>
      </c>
      <c r="FZ196">
        <v>-0.114644972034104</v>
      </c>
      <c r="GA196">
        <v>-2.0835068285347098E-2</v>
      </c>
      <c r="GB196">
        <v>-2.6874187348766999E-2</v>
      </c>
      <c r="GC196">
        <v>-0.18676988130361</v>
      </c>
      <c r="GD196">
        <v>-1.7236897130311801E-2</v>
      </c>
      <c r="GE196">
        <v>0.24200664799291299</v>
      </c>
      <c r="GF196">
        <v>0.58056357886156995</v>
      </c>
      <c r="GG196">
        <v>0.63088661883653196</v>
      </c>
      <c r="GH196">
        <v>0.60406881705897297</v>
      </c>
      <c r="GI196">
        <v>-5.29576512493692E-2</v>
      </c>
      <c r="GJ196">
        <v>-9.04902706978232E-2</v>
      </c>
      <c r="GK196">
        <v>8.4847295766977901E-2</v>
      </c>
      <c r="GL196">
        <v>0.16261684615146799</v>
      </c>
      <c r="GM196">
        <v>0.210896120869625</v>
      </c>
      <c r="GN196">
        <v>4.9653954137357702E-2</v>
      </c>
      <c r="GO196">
        <v>0.53271455527265699</v>
      </c>
      <c r="GP196">
        <v>3.6838717474928701E-2</v>
      </c>
      <c r="GR196" s="66"/>
      <c r="GT196" s="66"/>
      <c r="GV196" s="66"/>
      <c r="HK196" s="1"/>
      <c r="HL196" s="1"/>
      <c r="HM196" s="65"/>
      <c r="HN196" s="1"/>
      <c r="HO196" s="65"/>
      <c r="HP196" s="65"/>
      <c r="HQ196" s="65"/>
      <c r="HS196" s="65"/>
      <c r="HT196" s="65"/>
      <c r="HU196" s="65"/>
      <c r="HV196" s="65"/>
      <c r="HW196" s="65"/>
      <c r="HX196" s="65"/>
      <c r="IJ196" s="66"/>
      <c r="IL196" s="66"/>
      <c r="IZ196" s="66"/>
      <c r="JB196" s="66"/>
      <c r="JD196" s="66"/>
      <c r="JF196" s="66"/>
      <c r="JH196" s="66"/>
      <c r="JJ196" s="66"/>
      <c r="JL196" s="66"/>
      <c r="JN196" s="66"/>
      <c r="JP196" s="66"/>
      <c r="JR196" s="66"/>
    </row>
    <row r="197" spans="1:278" ht="15.75" x14ac:dyDescent="0.25">
      <c r="A197" s="2" t="s">
        <v>249</v>
      </c>
      <c r="B197" s="2" t="s">
        <v>249</v>
      </c>
      <c r="C197" s="2" t="s">
        <v>1097</v>
      </c>
      <c r="D197" s="2" t="s">
        <v>639</v>
      </c>
      <c r="E197" s="2" t="s">
        <v>639</v>
      </c>
      <c r="F197" s="2">
        <v>196</v>
      </c>
      <c r="G197" s="19" t="s">
        <v>1096</v>
      </c>
      <c r="H197" s="10" t="s">
        <v>656</v>
      </c>
      <c r="I197" s="2">
        <v>150</v>
      </c>
      <c r="J197" s="2">
        <v>65</v>
      </c>
      <c r="K197" s="12">
        <v>7.65</v>
      </c>
      <c r="L197" t="s">
        <v>423</v>
      </c>
      <c r="M197" s="2" t="s">
        <v>1120</v>
      </c>
      <c r="N197" s="2" t="s">
        <v>436</v>
      </c>
      <c r="O197" s="2" t="s">
        <v>653</v>
      </c>
      <c r="P197" s="2" t="s">
        <v>1124</v>
      </c>
      <c r="Q197" s="9" t="s">
        <v>716</v>
      </c>
      <c r="R197" s="2" t="str">
        <f t="shared" si="217"/>
        <v>CW_2_Section_1</v>
      </c>
      <c r="S197" s="2" t="str">
        <f t="shared" si="218"/>
        <v>CW_2_MF02</v>
      </c>
      <c r="T197" s="11" t="s">
        <v>1075</v>
      </c>
      <c r="U197" s="1">
        <v>46007</v>
      </c>
      <c r="V197" s="2" t="s">
        <v>799</v>
      </c>
      <c r="W197" s="2" t="s">
        <v>663</v>
      </c>
      <c r="X197" s="2" t="s">
        <v>1074</v>
      </c>
      <c r="Y197" s="2" t="str">
        <f t="shared" si="219"/>
        <v>T8_MF02</v>
      </c>
      <c r="Z197" s="2" t="str">
        <f t="shared" si="220"/>
        <v>T8_CW_2_MF02</v>
      </c>
      <c r="AA197" s="2" t="str">
        <f t="shared" si="221"/>
        <v>T8_0.60-0.80</v>
      </c>
      <c r="AB197" s="2">
        <v>490</v>
      </c>
      <c r="AC197" s="2">
        <v>16.117999999999999</v>
      </c>
      <c r="AD197" s="2">
        <v>1.53</v>
      </c>
      <c r="AE197" s="2">
        <v>8</v>
      </c>
      <c r="AF197" t="s">
        <v>43</v>
      </c>
      <c r="AG197" s="2" t="s">
        <v>1238</v>
      </c>
      <c r="AH197">
        <v>49</v>
      </c>
      <c r="AI197" t="s">
        <v>443</v>
      </c>
      <c r="AJ197">
        <v>0.39</v>
      </c>
      <c r="AK197">
        <v>8.3000000000000007</v>
      </c>
      <c r="AL197">
        <v>12</v>
      </c>
      <c r="AM197">
        <v>58</v>
      </c>
      <c r="AN197">
        <v>7.7</v>
      </c>
      <c r="AO197">
        <v>547</v>
      </c>
      <c r="AP197">
        <v>0.1</v>
      </c>
      <c r="AQ197">
        <v>0.01</v>
      </c>
      <c r="AR197">
        <v>4.4000000000000004</v>
      </c>
      <c r="AS197">
        <v>4.5</v>
      </c>
      <c r="AT197">
        <v>3</v>
      </c>
      <c r="AU197" s="32">
        <f t="shared" si="161"/>
        <v>1.1522212264754833E-3</v>
      </c>
      <c r="AV197">
        <v>1</v>
      </c>
      <c r="AW197" s="32">
        <f t="shared" si="162"/>
        <v>3.9070978945083569E-4</v>
      </c>
      <c r="AX197">
        <v>4.3</v>
      </c>
      <c r="AY197" s="32">
        <f t="shared" si="163"/>
        <v>1.7010454930771405E-3</v>
      </c>
      <c r="AZ197">
        <v>1.5</v>
      </c>
      <c r="BA197" s="32">
        <f t="shared" si="164"/>
        <v>5.9338796270132807E-4</v>
      </c>
      <c r="BB197">
        <v>2.1</v>
      </c>
      <c r="BC197" s="32">
        <f t="shared" si="165"/>
        <v>8.3074314778185923E-4</v>
      </c>
      <c r="BD197">
        <v>3.6</v>
      </c>
      <c r="BF197" s="48">
        <v>11.9</v>
      </c>
      <c r="BG197" s="48">
        <f t="shared" si="166"/>
        <v>3.2439765090034592E-3</v>
      </c>
      <c r="BH197">
        <v>19</v>
      </c>
      <c r="BI197" s="32">
        <f t="shared" si="167"/>
        <v>7.1155496606070054E-3</v>
      </c>
      <c r="BJ197" s="47">
        <v>2E-3</v>
      </c>
      <c r="BK197" s="27">
        <f t="shared" si="168"/>
        <v>7.4900522743231646E-7</v>
      </c>
      <c r="BL197" s="47">
        <v>0.01</v>
      </c>
      <c r="BM197" s="27">
        <f t="shared" si="169"/>
        <v>3.6796110125501018E-6</v>
      </c>
      <c r="BN197" s="47">
        <v>0.13</v>
      </c>
      <c r="BO197" s="27">
        <f t="shared" si="170"/>
        <v>4.8894364827183712E-5</v>
      </c>
      <c r="BP197" s="47">
        <v>5.0000000000000001E-3</v>
      </c>
      <c r="BQ197" s="27">
        <f t="shared" si="171"/>
        <v>1.8649981951630372E-6</v>
      </c>
      <c r="BR197" s="47">
        <v>1E-3</v>
      </c>
      <c r="BS197" s="27">
        <f t="shared" si="172"/>
        <v>3.7030802895135499E-7</v>
      </c>
      <c r="BT197" s="47">
        <v>1E-3</v>
      </c>
      <c r="BU197" s="27">
        <f t="shared" si="173"/>
        <v>3.7030802895135499E-7</v>
      </c>
      <c r="BV197" s="47">
        <v>1E-3</v>
      </c>
      <c r="BW197" s="27">
        <f t="shared" si="174"/>
        <v>3.6588380716934485E-7</v>
      </c>
      <c r="BX197" s="47">
        <v>2E-3</v>
      </c>
      <c r="BY197" s="27">
        <f t="shared" si="175"/>
        <v>7.3176761433868969E-7</v>
      </c>
      <c r="BZ197" s="51">
        <f t="shared" si="176"/>
        <v>0.15200000000000002</v>
      </c>
      <c r="CA197" s="51">
        <f t="shared" si="177"/>
        <v>0.15000000000000002</v>
      </c>
      <c r="CB197" s="27">
        <f t="shared" si="178"/>
        <v>5.7026246741739907E-5</v>
      </c>
      <c r="CC197" s="27">
        <f t="shared" si="179"/>
        <v>5.6277241514307593E-5</v>
      </c>
      <c r="CD197">
        <v>2.5</v>
      </c>
      <c r="CE197">
        <v>2.5</v>
      </c>
      <c r="CF197" t="s">
        <v>19</v>
      </c>
      <c r="CG197">
        <v>5</v>
      </c>
      <c r="CH197" s="32">
        <v>0.02</v>
      </c>
      <c r="CI197" s="32">
        <f t="shared" si="180"/>
        <v>3.5810205908683976E-4</v>
      </c>
      <c r="CJ197" s="32">
        <f t="shared" si="181"/>
        <v>3.5810205908683976E-4</v>
      </c>
      <c r="CK197" s="32">
        <v>0.05</v>
      </c>
      <c r="CL197" s="32">
        <f t="shared" si="182"/>
        <v>9.1024940833788468E-4</v>
      </c>
      <c r="CM197" s="32">
        <f t="shared" si="183"/>
        <v>1.8204988166757694E-3</v>
      </c>
      <c r="CN197" s="27">
        <v>34</v>
      </c>
      <c r="CO197" s="27">
        <f t="shared" si="184"/>
        <v>0.35394545075994172</v>
      </c>
      <c r="CP197" s="27">
        <f t="shared" si="185"/>
        <v>2.8315636060795337</v>
      </c>
      <c r="CQ197" s="57">
        <v>38</v>
      </c>
      <c r="CR197" s="57">
        <v>52.777777777777779</v>
      </c>
      <c r="CS197" s="57">
        <v>3.1646887362065375</v>
      </c>
      <c r="CT197" s="57">
        <f t="shared" si="186"/>
        <v>3.1646887362065375</v>
      </c>
      <c r="CU197" s="28">
        <v>38</v>
      </c>
      <c r="CV197" s="28">
        <v>52.777777777777779</v>
      </c>
      <c r="CW197" s="28">
        <v>3.1646887362065375</v>
      </c>
      <c r="CX197" s="28">
        <f t="shared" si="187"/>
        <v>3.1646887362065375</v>
      </c>
      <c r="CY197" s="32">
        <f t="shared" si="188"/>
        <v>22.08952737872163</v>
      </c>
      <c r="CZ197" s="32">
        <f t="shared" si="189"/>
        <v>22.08952737872163</v>
      </c>
      <c r="DA197" s="32">
        <f t="shared" si="190"/>
        <v>22.10952737872163</v>
      </c>
      <c r="DB197" s="32">
        <f t="shared" si="191"/>
        <v>0.39587336398785372</v>
      </c>
      <c r="DC197" s="32">
        <f t="shared" si="192"/>
        <v>0.39587336398785372</v>
      </c>
      <c r="DD197" s="59">
        <f t="shared" si="193"/>
        <v>22.08952737872163</v>
      </c>
      <c r="DE197" s="59">
        <f t="shared" si="194"/>
        <v>22.08952737872163</v>
      </c>
      <c r="DF197" s="59">
        <f t="shared" si="195"/>
        <v>22.10952737872163</v>
      </c>
      <c r="DG197" s="59">
        <f t="shared" si="196"/>
        <v>0.39587336398785372</v>
      </c>
      <c r="DH197" s="59">
        <f t="shared" si="197"/>
        <v>0.39587336398785372</v>
      </c>
      <c r="DI197" s="32">
        <f t="shared" si="198"/>
        <v>2.8315636060795337</v>
      </c>
      <c r="DJ197" s="32">
        <f t="shared" si="199"/>
        <v>22.159527378721631</v>
      </c>
      <c r="DK197" s="32">
        <f t="shared" si="200"/>
        <v>0.39769386280452951</v>
      </c>
      <c r="DL197">
        <f t="shared" si="201"/>
        <v>3.5623825990110669</v>
      </c>
      <c r="DM197">
        <f t="shared" si="206"/>
        <v>5.1103405265373462E-4</v>
      </c>
      <c r="DN197">
        <f t="shared" si="207"/>
        <v>0.11112600990633345</v>
      </c>
      <c r="DO197">
        <f t="shared" si="208"/>
        <v>0.88836295604101279</v>
      </c>
      <c r="DP197">
        <f t="shared" si="202"/>
        <v>3.5623825990110669</v>
      </c>
      <c r="DQ197">
        <f t="shared" si="209"/>
        <v>5.1103405265373462E-4</v>
      </c>
      <c r="DR197">
        <f t="shared" si="210"/>
        <v>0.11112600990633345</v>
      </c>
      <c r="DS197">
        <f t="shared" si="211"/>
        <v>0.88836295604101279</v>
      </c>
      <c r="DT197" s="63">
        <f t="shared" si="212"/>
        <v>-3.5520230728414566</v>
      </c>
      <c r="DU197" s="63">
        <f t="shared" si="213"/>
        <v>-3.5520230728414566</v>
      </c>
      <c r="DV197" s="63">
        <f t="shared" si="214"/>
        <v>-3.5519667955999421</v>
      </c>
      <c r="DW197" s="63">
        <f t="shared" si="215"/>
        <v>-3.5519667955999421</v>
      </c>
      <c r="DX197" t="str">
        <f t="shared" si="203"/>
        <v>Sufficient Capacity</v>
      </c>
      <c r="DY197" t="str">
        <f t="shared" si="204"/>
        <v>Sufficient Capacity</v>
      </c>
      <c r="DZ197" t="str">
        <f t="shared" si="205"/>
        <v>Sulfate Dominant electron acceptor</v>
      </c>
      <c r="EA197" t="str">
        <f t="shared" si="216"/>
        <v>Sulfate Dominant electron acceptor</v>
      </c>
      <c r="EB197">
        <v>9.8398970000000002E-3</v>
      </c>
      <c r="EC197">
        <v>1.7482940000000001E-3</v>
      </c>
      <c r="ED197" s="66">
        <v>8.5699840000000003E-7</v>
      </c>
      <c r="EE197">
        <v>6.9817290000000003E-4</v>
      </c>
      <c r="EF197">
        <v>7.7779320000000004E-3</v>
      </c>
      <c r="EG197" s="66">
        <v>1.2218220000000001E-5</v>
      </c>
      <c r="EH197">
        <v>3.7220930000000002E-4</v>
      </c>
      <c r="EI197">
        <v>1.265645E-4</v>
      </c>
      <c r="EJ197">
        <v>2.290402E-4</v>
      </c>
      <c r="EK197">
        <v>5.2132869999999996E-4</v>
      </c>
      <c r="EL197">
        <v>4.9182200000000005E-4</v>
      </c>
      <c r="EM197">
        <v>5.2226949999999996E-4</v>
      </c>
      <c r="EN197">
        <v>2.124005E-3</v>
      </c>
      <c r="EO197">
        <v>1.114507E-3</v>
      </c>
      <c r="EP197">
        <v>3.366965E-3</v>
      </c>
      <c r="EQ197">
        <v>1.570066E-3</v>
      </c>
      <c r="ER197">
        <v>6.8202180000000005E-4</v>
      </c>
      <c r="ES197">
        <v>8.0794639999999995E-4</v>
      </c>
      <c r="ET197">
        <v>7.4292230000000004E-3</v>
      </c>
      <c r="EU197">
        <v>2.7521910000000002E-3</v>
      </c>
      <c r="EV197">
        <v>8.3710309999999993E-3</v>
      </c>
      <c r="EW197">
        <v>5.9503259999999999E-4</v>
      </c>
      <c r="EX197">
        <v>4.935086E-3</v>
      </c>
      <c r="EY197">
        <v>8.3822059999999997E-3</v>
      </c>
      <c r="EZ197">
        <v>2.1470909999999998E-3</v>
      </c>
      <c r="FA197">
        <v>1.721759E-3</v>
      </c>
      <c r="FB197">
        <v>1.7670279999999999E-3</v>
      </c>
      <c r="FC197">
        <v>1.8517539999999999E-3</v>
      </c>
      <c r="FD197">
        <v>3.9024220000000002E-4</v>
      </c>
      <c r="FE197">
        <v>2.5463360000000001E-2</v>
      </c>
      <c r="FF197">
        <v>1.6990580000000002E-2</v>
      </c>
      <c r="FG197">
        <v>9.9044440000000001E-3</v>
      </c>
      <c r="FH197">
        <v>9.2676719999999996E-4</v>
      </c>
      <c r="FI197">
        <v>2.2614829999999999E-3</v>
      </c>
      <c r="FJ197">
        <v>1.072877E-2</v>
      </c>
      <c r="FK197">
        <v>0.19806946155730601</v>
      </c>
      <c r="FL197">
        <v>0.52514537300655795</v>
      </c>
      <c r="FM197">
        <v>1.11456475849661E-2</v>
      </c>
      <c r="FN197">
        <v>0.22588417531052701</v>
      </c>
      <c r="FO197">
        <v>0.46657108454053398</v>
      </c>
      <c r="FP197">
        <v>-0.65808947031114895</v>
      </c>
      <c r="FQ197">
        <v>-0.32191135348465899</v>
      </c>
      <c r="FR197">
        <v>7.6445988108796201E-2</v>
      </c>
      <c r="FS197">
        <v>0.70856372447161897</v>
      </c>
      <c r="FT197">
        <v>4.3532194339308099E-2</v>
      </c>
      <c r="FU197">
        <v>0.31138353307181399</v>
      </c>
      <c r="FV197">
        <v>0.46334957836673701</v>
      </c>
      <c r="FW197">
        <v>0.26192257942950498</v>
      </c>
      <c r="FX197">
        <v>0.54327143244878495</v>
      </c>
      <c r="FY197">
        <v>0.148765723213515</v>
      </c>
      <c r="FZ197">
        <v>-0.155585588344169</v>
      </c>
      <c r="GA197">
        <v>-6.3556532461399601E-3</v>
      </c>
      <c r="GB197">
        <v>-5.4471822486164903E-2</v>
      </c>
      <c r="GC197">
        <v>-7.9920683215966903E-2</v>
      </c>
      <c r="GD197">
        <v>-8.0063392103086901E-3</v>
      </c>
      <c r="GE197">
        <v>0.213203218712047</v>
      </c>
      <c r="GF197">
        <v>0.52195309088384201</v>
      </c>
      <c r="GG197">
        <v>0.59906512334898998</v>
      </c>
      <c r="GH197">
        <v>0.58082032016736795</v>
      </c>
      <c r="GI197">
        <v>-1.16873100514336E-2</v>
      </c>
      <c r="GJ197">
        <v>8.8587595878383496E-2</v>
      </c>
      <c r="GK197">
        <v>8.7732850048421795E-2</v>
      </c>
      <c r="GL197">
        <v>0.12795559337057799</v>
      </c>
      <c r="GM197">
        <v>0.16077662488164801</v>
      </c>
      <c r="GN197">
        <v>0.155930713322497</v>
      </c>
      <c r="GO197">
        <v>0.454206906353194</v>
      </c>
      <c r="GP197">
        <v>1.2836463834825699E-2</v>
      </c>
      <c r="GR197" s="66"/>
      <c r="GT197" s="66"/>
      <c r="GV197" s="66"/>
      <c r="GY197" s="66"/>
      <c r="GZ197" s="66"/>
      <c r="HK197" s="1"/>
      <c r="HL197" s="1"/>
      <c r="HM197" s="65"/>
      <c r="HN197" s="1"/>
      <c r="HO197" s="65"/>
      <c r="HP197" s="65"/>
      <c r="HQ197" s="65"/>
      <c r="HS197" s="65"/>
      <c r="HT197" s="65"/>
      <c r="HU197" s="65"/>
      <c r="HV197" s="65"/>
      <c r="HW197" s="65"/>
      <c r="HX197" s="65"/>
    </row>
    <row r="198" spans="1:278" ht="15.75" x14ac:dyDescent="0.25">
      <c r="A198" s="2" t="s">
        <v>250</v>
      </c>
      <c r="B198" s="2" t="s">
        <v>250</v>
      </c>
      <c r="C198" s="2" t="s">
        <v>1099</v>
      </c>
      <c r="D198" s="2" t="s">
        <v>640</v>
      </c>
      <c r="E198" s="2" t="s">
        <v>640</v>
      </c>
      <c r="F198" s="2">
        <v>197</v>
      </c>
      <c r="G198" s="19" t="s">
        <v>1098</v>
      </c>
      <c r="H198" s="10" t="s">
        <v>656</v>
      </c>
      <c r="I198" s="2">
        <v>150</v>
      </c>
      <c r="J198" s="2">
        <v>65</v>
      </c>
      <c r="K198" s="12">
        <v>6.7</v>
      </c>
      <c r="L198" t="s">
        <v>424</v>
      </c>
      <c r="M198" s="2" t="s">
        <v>1120</v>
      </c>
      <c r="N198" s="2" t="s">
        <v>436</v>
      </c>
      <c r="O198" s="2" t="s">
        <v>666</v>
      </c>
      <c r="P198" s="2" t="s">
        <v>1131</v>
      </c>
      <c r="Q198" s="9" t="s">
        <v>719</v>
      </c>
      <c r="R198" s="2" t="str">
        <f t="shared" si="217"/>
        <v>CW_2_Section_2</v>
      </c>
      <c r="S198" s="2" t="str">
        <f t="shared" si="218"/>
        <v>CW_2_MF05</v>
      </c>
      <c r="T198" s="11" t="s">
        <v>1075</v>
      </c>
      <c r="U198" s="1">
        <v>46008</v>
      </c>
      <c r="V198" s="2" t="s">
        <v>799</v>
      </c>
      <c r="W198" s="2" t="s">
        <v>655</v>
      </c>
      <c r="X198" s="2" t="s">
        <v>1074</v>
      </c>
      <c r="Y198" s="2" t="str">
        <f t="shared" si="219"/>
        <v>T8_MF05</v>
      </c>
      <c r="Z198" s="2" t="str">
        <f t="shared" si="220"/>
        <v>T8_CW_2_MF05</v>
      </c>
      <c r="AA198" s="2" t="str">
        <f t="shared" si="221"/>
        <v>T8_0.15-0.30</v>
      </c>
      <c r="AB198" s="2">
        <v>490</v>
      </c>
      <c r="AC198" s="2">
        <v>16.117999999999999</v>
      </c>
      <c r="AD198" s="2">
        <v>1.53</v>
      </c>
      <c r="AE198" s="2">
        <v>8</v>
      </c>
      <c r="AF198" t="s">
        <v>35</v>
      </c>
      <c r="AG198" s="2" t="s">
        <v>1238</v>
      </c>
      <c r="AH198">
        <v>48</v>
      </c>
      <c r="AI198" t="s">
        <v>443</v>
      </c>
      <c r="AJ198">
        <v>1.2</v>
      </c>
      <c r="AK198">
        <v>7.91</v>
      </c>
      <c r="AL198">
        <v>9</v>
      </c>
      <c r="AM198">
        <v>52</v>
      </c>
      <c r="AN198">
        <v>7.7</v>
      </c>
      <c r="AO198">
        <v>669</v>
      </c>
      <c r="AP198">
        <v>0.1</v>
      </c>
      <c r="AQ198">
        <v>0.01</v>
      </c>
      <c r="AR198">
        <v>7.3</v>
      </c>
      <c r="AS198">
        <v>7.5</v>
      </c>
      <c r="AT198">
        <v>21</v>
      </c>
      <c r="AU198" s="32">
        <f t="shared" si="161"/>
        <v>8.0655485853283818E-3</v>
      </c>
      <c r="AV198">
        <v>2.8</v>
      </c>
      <c r="AW198" s="32">
        <f t="shared" si="162"/>
        <v>1.0939874104623399E-3</v>
      </c>
      <c r="AX198">
        <v>48</v>
      </c>
      <c r="AY198" s="32">
        <f t="shared" si="163"/>
        <v>1.8988414806442498E-2</v>
      </c>
      <c r="AZ198">
        <v>22</v>
      </c>
      <c r="BA198" s="32">
        <f t="shared" si="164"/>
        <v>8.7030234529528114E-3</v>
      </c>
      <c r="BB198">
        <v>9.1999999999999993</v>
      </c>
      <c r="BC198" s="32">
        <f t="shared" si="165"/>
        <v>3.6394461712348117E-3</v>
      </c>
      <c r="BD198">
        <v>31.2</v>
      </c>
      <c r="BF198" s="48">
        <v>103</v>
      </c>
      <c r="BG198" s="48">
        <f t="shared" si="166"/>
        <v>2.8147950802233222E-2</v>
      </c>
      <c r="BH198">
        <v>93</v>
      </c>
      <c r="BI198" s="32">
        <f t="shared" si="167"/>
        <v>3.4828743075602714E-2</v>
      </c>
      <c r="BJ198" s="47">
        <v>92</v>
      </c>
      <c r="BK198" s="27">
        <f t="shared" si="168"/>
        <v>3.4454240461886554E-2</v>
      </c>
      <c r="BL198" s="47">
        <v>0.11</v>
      </c>
      <c r="BM198" s="27">
        <f t="shared" si="169"/>
        <v>4.0475721138051117E-5</v>
      </c>
      <c r="BN198" s="47">
        <v>0.34</v>
      </c>
      <c r="BO198" s="27">
        <f t="shared" si="170"/>
        <v>1.2787756954801895E-4</v>
      </c>
      <c r="BP198" s="47">
        <v>0.08</v>
      </c>
      <c r="BQ198" s="27">
        <f t="shared" si="171"/>
        <v>2.9839971122608595E-5</v>
      </c>
      <c r="BR198" s="47">
        <v>0.04</v>
      </c>
      <c r="BS198" s="27">
        <f t="shared" si="172"/>
        <v>1.4812321158054199E-5</v>
      </c>
      <c r="BT198" s="47">
        <v>1E-3</v>
      </c>
      <c r="BU198" s="27">
        <f t="shared" si="173"/>
        <v>3.7030802895135499E-7</v>
      </c>
      <c r="BV198" s="47">
        <v>1E-3</v>
      </c>
      <c r="BW198" s="27">
        <f t="shared" si="174"/>
        <v>3.6588380716934485E-7</v>
      </c>
      <c r="BX198" s="47">
        <v>2E-3</v>
      </c>
      <c r="BY198" s="27">
        <f t="shared" si="175"/>
        <v>7.3176761433868969E-7</v>
      </c>
      <c r="BZ198" s="51">
        <f t="shared" si="176"/>
        <v>92.574000000000012</v>
      </c>
      <c r="CA198" s="51">
        <f t="shared" si="177"/>
        <v>0.57400000000000007</v>
      </c>
      <c r="CB198" s="27">
        <f t="shared" si="178"/>
        <v>3.4668714004303741E-2</v>
      </c>
      <c r="CC198" s="27">
        <f t="shared" si="179"/>
        <v>2.1447354241719229E-4</v>
      </c>
      <c r="CD198">
        <v>180</v>
      </c>
      <c r="CE198">
        <v>2.5</v>
      </c>
      <c r="CF198" t="s">
        <v>19</v>
      </c>
      <c r="CG198">
        <v>200</v>
      </c>
      <c r="CH198" s="32">
        <v>17</v>
      </c>
      <c r="CI198" s="32">
        <f t="shared" si="180"/>
        <v>0.30438675022381378</v>
      </c>
      <c r="CJ198" s="32">
        <f t="shared" si="181"/>
        <v>0.30438675022381378</v>
      </c>
      <c r="CK198" s="32">
        <v>1.1000000000000001</v>
      </c>
      <c r="CL198" s="32">
        <f t="shared" si="182"/>
        <v>2.0025486983433462E-2</v>
      </c>
      <c r="CM198" s="32">
        <f t="shared" si="183"/>
        <v>4.0050973966866923E-2</v>
      </c>
      <c r="CN198" s="27">
        <v>11</v>
      </c>
      <c r="CO198" s="27">
        <f t="shared" si="184"/>
        <v>0.1145117634811576</v>
      </c>
      <c r="CP198" s="27">
        <f t="shared" si="185"/>
        <v>0.91609410784926082</v>
      </c>
      <c r="CQ198" s="57">
        <v>61</v>
      </c>
      <c r="CR198" s="57">
        <v>84.722222222222214</v>
      </c>
      <c r="CS198" s="57">
        <v>5.0801582344368104</v>
      </c>
      <c r="CT198" s="57">
        <f t="shared" si="186"/>
        <v>5.0801582344368104</v>
      </c>
      <c r="CU198" s="28">
        <v>31</v>
      </c>
      <c r="CV198" s="28">
        <v>73.80952380952381</v>
      </c>
      <c r="CW198" s="28">
        <v>2.5817197584842808</v>
      </c>
      <c r="CX198" s="28">
        <f t="shared" si="187"/>
        <v>2.5817197584842808</v>
      </c>
      <c r="CY198" s="32">
        <f t="shared" si="188"/>
        <v>35.459504476368934</v>
      </c>
      <c r="CZ198" s="32">
        <f t="shared" si="189"/>
        <v>35.459504476368934</v>
      </c>
      <c r="DA198" s="32">
        <f t="shared" si="190"/>
        <v>52.459504476368934</v>
      </c>
      <c r="DB198" s="32">
        <f t="shared" si="191"/>
        <v>0.93929282858315011</v>
      </c>
      <c r="DC198" s="32">
        <f t="shared" si="192"/>
        <v>0.93929282858315011</v>
      </c>
      <c r="DD198" s="59">
        <f t="shared" si="193"/>
        <v>18.020403914220278</v>
      </c>
      <c r="DE198" s="59">
        <f t="shared" si="194"/>
        <v>18.020403914220278</v>
      </c>
      <c r="DF198" s="59">
        <f t="shared" si="195"/>
        <v>35.020403914220282</v>
      </c>
      <c r="DG198" s="59">
        <f t="shared" si="196"/>
        <v>0.62704393758675525</v>
      </c>
      <c r="DH198" s="59">
        <f t="shared" si="197"/>
        <v>0.62704393758675525</v>
      </c>
      <c r="DI198" s="32">
        <f t="shared" si="198"/>
        <v>0.91609410784926082</v>
      </c>
      <c r="DJ198" s="32">
        <f t="shared" si="199"/>
        <v>36.120403914220283</v>
      </c>
      <c r="DK198" s="32">
        <f t="shared" si="200"/>
        <v>0.66709491155362222</v>
      </c>
      <c r="DL198">
        <f t="shared" si="201"/>
        <v>6.0595020369868271</v>
      </c>
      <c r="DM198">
        <f t="shared" si="206"/>
        <v>6.6096147377124794E-3</v>
      </c>
      <c r="DN198">
        <f t="shared" si="207"/>
        <v>0.15501155422504434</v>
      </c>
      <c r="DO198">
        <f t="shared" si="208"/>
        <v>0.8383788310372432</v>
      </c>
      <c r="DP198">
        <f t="shared" si="202"/>
        <v>3.2488146700379028</v>
      </c>
      <c r="DQ198">
        <f t="shared" si="209"/>
        <v>1.2327872788877692E-2</v>
      </c>
      <c r="DR198">
        <f t="shared" si="210"/>
        <v>0.19300698909348366</v>
      </c>
      <c r="DS198">
        <f t="shared" si="211"/>
        <v>0.79466513811763873</v>
      </c>
      <c r="DT198" s="63">
        <f t="shared" si="212"/>
        <v>-5.9965253431089911</v>
      </c>
      <c r="DU198" s="63">
        <f t="shared" si="213"/>
        <v>-3.1858379761600668</v>
      </c>
      <c r="DV198" s="63">
        <f t="shared" si="214"/>
        <v>-5.9963108695665737</v>
      </c>
      <c r="DW198" s="63">
        <f t="shared" si="215"/>
        <v>-3.1856235026176498</v>
      </c>
      <c r="DX198" t="str">
        <f t="shared" si="203"/>
        <v>Sufficient Capacity</v>
      </c>
      <c r="DY198" t="str">
        <f t="shared" si="204"/>
        <v>Sufficient Capacity</v>
      </c>
      <c r="DZ198" t="str">
        <f t="shared" si="205"/>
        <v>Sulfate Dominant electron acceptor</v>
      </c>
      <c r="EA198" t="str">
        <f t="shared" si="216"/>
        <v>Sulfate Dominant electron acceptor</v>
      </c>
      <c r="EB198">
        <v>9.8420250000000008E-3</v>
      </c>
      <c r="EC198">
        <v>1.4508310000000001E-3</v>
      </c>
      <c r="ED198" s="66">
        <v>3.653362E-5</v>
      </c>
      <c r="EE198">
        <v>6.1735309999999999E-4</v>
      </c>
      <c r="EF198">
        <v>4.7691799999999996E-3</v>
      </c>
      <c r="EG198" s="66">
        <v>1.6189450000000001E-5</v>
      </c>
      <c r="EH198">
        <v>3.2975719999999998E-4</v>
      </c>
      <c r="EI198">
        <v>1.140889E-4</v>
      </c>
      <c r="EJ198">
        <v>9.3119839999999997E-4</v>
      </c>
      <c r="EK198">
        <v>1.375633E-3</v>
      </c>
      <c r="EL198">
        <v>5.4659269999999995E-4</v>
      </c>
      <c r="EM198">
        <v>2.322538E-4</v>
      </c>
      <c r="EN198">
        <v>1.8797499999999999E-3</v>
      </c>
      <c r="EO198">
        <v>8.0810949999999995E-4</v>
      </c>
      <c r="EP198">
        <v>1.9546289999999998E-3</v>
      </c>
      <c r="EQ198">
        <v>1.487347E-3</v>
      </c>
      <c r="ER198">
        <v>4.5629900000000002E-4</v>
      </c>
      <c r="ES198">
        <v>6.9088940000000001E-4</v>
      </c>
      <c r="ET198">
        <v>1.412589E-2</v>
      </c>
      <c r="EU198">
        <v>3.1623839999999999E-3</v>
      </c>
      <c r="EV198">
        <v>9.4955089999999992E-3</v>
      </c>
      <c r="EW198">
        <v>5.3883960000000004E-4</v>
      </c>
      <c r="EX198">
        <v>4.9429779999999998E-3</v>
      </c>
      <c r="EY198">
        <v>6.4593020000000001E-3</v>
      </c>
      <c r="EZ198">
        <v>1.199077E-3</v>
      </c>
      <c r="FA198">
        <v>8.2766580000000005E-4</v>
      </c>
      <c r="FB198">
        <v>8.7212399999999995E-4</v>
      </c>
      <c r="FC198">
        <v>1.638137E-3</v>
      </c>
      <c r="FD198">
        <v>3.3663669999999999E-4</v>
      </c>
      <c r="FE198">
        <v>2.167606E-2</v>
      </c>
      <c r="FF198">
        <v>1.613705E-2</v>
      </c>
      <c r="FG198">
        <v>8.6329700000000002E-3</v>
      </c>
      <c r="FH198">
        <v>5.8803410000000001E-4</v>
      </c>
      <c r="FI198">
        <v>1.4332920000000001E-3</v>
      </c>
      <c r="FJ198">
        <v>1.058197E-2</v>
      </c>
      <c r="FK198">
        <v>7.5043827196887805E-2</v>
      </c>
      <c r="FL198">
        <v>3.60292622841785E-2</v>
      </c>
      <c r="FM198">
        <v>0.29257716282426699</v>
      </c>
      <c r="FN198">
        <v>0.104784470930499</v>
      </c>
      <c r="FO198">
        <v>0.36279699394610798</v>
      </c>
      <c r="FP198">
        <v>0.74448535445209196</v>
      </c>
      <c r="FQ198">
        <v>0.648377169387926</v>
      </c>
      <c r="FR198">
        <v>0.18203304381322</v>
      </c>
      <c r="FS198">
        <v>-0.101789274468116</v>
      </c>
      <c r="FT198">
        <v>-7.8632473810579001E-2</v>
      </c>
      <c r="FU198">
        <v>-1.0086331436715701E-2</v>
      </c>
      <c r="FV198">
        <v>-8.0461761139990706E-2</v>
      </c>
      <c r="FW198">
        <v>0.207798918740941</v>
      </c>
      <c r="FX198">
        <v>0.141358106697105</v>
      </c>
      <c r="FY198">
        <v>-7.7502434036267297E-3</v>
      </c>
      <c r="FZ198">
        <v>0.48700241833477498</v>
      </c>
      <c r="GA198">
        <v>0.13257319856036501</v>
      </c>
      <c r="GB198">
        <v>7.1570072570613902E-2</v>
      </c>
      <c r="GC198">
        <v>-0.17911893868194501</v>
      </c>
      <c r="GD198">
        <v>-6.4084549125000799E-3</v>
      </c>
      <c r="GE198">
        <v>-4.7386644541096402E-2</v>
      </c>
      <c r="GF198">
        <v>-6.0608717670628899E-2</v>
      </c>
      <c r="GG198">
        <v>-0.133427148582792</v>
      </c>
      <c r="GH198">
        <v>-0.125302382459441</v>
      </c>
      <c r="GI198">
        <v>-0.13426098756216401</v>
      </c>
      <c r="GJ198">
        <v>-5.91756688251222E-2</v>
      </c>
      <c r="GK198">
        <v>-7.3299280355262994E-2</v>
      </c>
      <c r="GL198">
        <v>7.64143909651116E-2</v>
      </c>
      <c r="GM198">
        <v>2.33816737823931E-2</v>
      </c>
      <c r="GN198">
        <v>-0.29898674860381602</v>
      </c>
      <c r="GO198">
        <v>-1.83999001336232E-3</v>
      </c>
      <c r="GP198">
        <v>-9.4084488870738202E-4</v>
      </c>
      <c r="GR198" s="66"/>
      <c r="GT198" s="66"/>
      <c r="GV198" s="66"/>
      <c r="GW198" s="65"/>
      <c r="HK198" s="1"/>
      <c r="HL198" s="1"/>
      <c r="HM198" s="1"/>
      <c r="HN198" s="1"/>
      <c r="HO198" s="65"/>
      <c r="HP198" s="65"/>
      <c r="HQ198" s="65"/>
      <c r="HS198" s="65"/>
      <c r="HT198" s="65"/>
      <c r="HU198" s="65"/>
      <c r="HV198" s="65"/>
      <c r="HW198" s="65"/>
      <c r="HX198" s="65"/>
      <c r="IZ198" s="66"/>
      <c r="JB198" s="66"/>
      <c r="JD198" s="66"/>
      <c r="JF198" s="66"/>
      <c r="JH198" s="66"/>
      <c r="JJ198" s="66"/>
      <c r="JL198" s="66"/>
      <c r="JN198" s="66"/>
      <c r="JP198" s="66"/>
      <c r="JR198" s="66"/>
    </row>
    <row r="199" spans="1:278" ht="15.75" x14ac:dyDescent="0.25">
      <c r="A199" s="2" t="s">
        <v>251</v>
      </c>
      <c r="B199" s="2" t="s">
        <v>251</v>
      </c>
      <c r="C199" s="2" t="s">
        <v>1101</v>
      </c>
      <c r="D199" s="2" t="s">
        <v>641</v>
      </c>
      <c r="E199" s="2" t="s">
        <v>641</v>
      </c>
      <c r="F199" s="2">
        <v>198</v>
      </c>
      <c r="G199" s="19" t="s">
        <v>1100</v>
      </c>
      <c r="H199" s="10" t="s">
        <v>656</v>
      </c>
      <c r="I199" s="2">
        <v>150</v>
      </c>
      <c r="J199" s="2">
        <v>65</v>
      </c>
      <c r="K199" s="12">
        <v>4</v>
      </c>
      <c r="L199" t="s">
        <v>425</v>
      </c>
      <c r="M199" s="2" t="s">
        <v>1120</v>
      </c>
      <c r="N199" s="2" t="s">
        <v>436</v>
      </c>
      <c r="O199" s="2" t="s">
        <v>666</v>
      </c>
      <c r="P199" s="2" t="s">
        <v>1132</v>
      </c>
      <c r="Q199" s="9" t="s">
        <v>722</v>
      </c>
      <c r="R199" s="2" t="str">
        <f t="shared" si="217"/>
        <v>CW_2_Section_2</v>
      </c>
      <c r="S199" s="2" t="str">
        <f t="shared" si="218"/>
        <v>CW_2_MF06</v>
      </c>
      <c r="T199" s="11" t="s">
        <v>1075</v>
      </c>
      <c r="U199" s="1">
        <v>46008</v>
      </c>
      <c r="V199" s="2" t="s">
        <v>799</v>
      </c>
      <c r="W199" s="2" t="s">
        <v>663</v>
      </c>
      <c r="X199" s="2" t="s">
        <v>1074</v>
      </c>
      <c r="Y199" s="2" t="str">
        <f t="shared" si="219"/>
        <v>T8_MF06</v>
      </c>
      <c r="Z199" s="2" t="str">
        <f t="shared" si="220"/>
        <v>T8_CW_2_MF06</v>
      </c>
      <c r="AA199" s="2" t="str">
        <f t="shared" si="221"/>
        <v>T8_0.60-0.80</v>
      </c>
      <c r="AB199" s="2">
        <v>490</v>
      </c>
      <c r="AC199" s="2">
        <v>16.117999999999999</v>
      </c>
      <c r="AD199" s="2">
        <v>1.53</v>
      </c>
      <c r="AE199" s="2">
        <v>8</v>
      </c>
      <c r="AF199" t="s">
        <v>37</v>
      </c>
      <c r="AG199" s="2" t="s">
        <v>1238</v>
      </c>
      <c r="AH199">
        <v>49</v>
      </c>
      <c r="AI199" t="s">
        <v>443</v>
      </c>
      <c r="AJ199">
        <v>0.21</v>
      </c>
      <c r="AK199">
        <v>2.61</v>
      </c>
      <c r="AL199">
        <v>10</v>
      </c>
      <c r="AM199">
        <v>-20</v>
      </c>
      <c r="AN199">
        <v>7.8</v>
      </c>
      <c r="AO199">
        <v>594</v>
      </c>
      <c r="AP199">
        <v>0.1</v>
      </c>
      <c r="AQ199">
        <v>0.01</v>
      </c>
      <c r="AR199">
        <v>4.7</v>
      </c>
      <c r="AS199">
        <v>4.8</v>
      </c>
      <c r="AT199">
        <v>2.2999999999999998</v>
      </c>
      <c r="AU199" s="32">
        <f t="shared" si="161"/>
        <v>8.8336960696453718E-4</v>
      </c>
      <c r="AV199">
        <v>1.3</v>
      </c>
      <c r="AW199" s="32">
        <f t="shared" si="162"/>
        <v>5.0792272628608645E-4</v>
      </c>
      <c r="AX199">
        <v>5.5</v>
      </c>
      <c r="AY199" s="32">
        <f t="shared" si="163"/>
        <v>2.1757558632382028E-3</v>
      </c>
      <c r="AZ199">
        <v>2.2000000000000002</v>
      </c>
      <c r="BA199" s="32">
        <f t="shared" si="164"/>
        <v>8.7030234529528118E-4</v>
      </c>
      <c r="BB199">
        <v>0.2</v>
      </c>
      <c r="BC199" s="32">
        <f t="shared" si="165"/>
        <v>7.9118395026843739E-5</v>
      </c>
      <c r="BD199">
        <v>3.6</v>
      </c>
      <c r="BF199" s="48">
        <v>12.7</v>
      </c>
      <c r="BG199" s="48">
        <f t="shared" si="166"/>
        <v>3.5670481964888267E-3</v>
      </c>
      <c r="BH199">
        <v>70</v>
      </c>
      <c r="BI199" s="32">
        <f t="shared" si="167"/>
        <v>2.6215182960131075E-2</v>
      </c>
      <c r="BJ199" s="47">
        <v>93</v>
      </c>
      <c r="BK199" s="27">
        <f t="shared" si="168"/>
        <v>3.4828743075602714E-2</v>
      </c>
      <c r="BL199" s="47">
        <v>3.7</v>
      </c>
      <c r="BM199" s="27">
        <f t="shared" si="169"/>
        <v>1.3614560746435377E-3</v>
      </c>
      <c r="BN199" s="47">
        <v>1</v>
      </c>
      <c r="BO199" s="27">
        <f t="shared" si="170"/>
        <v>3.7611049867064392E-4</v>
      </c>
      <c r="BP199" s="47">
        <v>2.5</v>
      </c>
      <c r="BQ199" s="27">
        <f t="shared" si="171"/>
        <v>9.3249909758151843E-4</v>
      </c>
      <c r="BR199" s="47">
        <v>1.7</v>
      </c>
      <c r="BS199" s="27">
        <f t="shared" si="172"/>
        <v>6.295236492173035E-4</v>
      </c>
      <c r="BT199" s="47">
        <v>0.25</v>
      </c>
      <c r="BU199" s="27">
        <f t="shared" si="173"/>
        <v>9.2577007237838751E-5</v>
      </c>
      <c r="BV199" s="47">
        <v>0.03</v>
      </c>
      <c r="BW199" s="27">
        <f t="shared" si="174"/>
        <v>1.0976514215080345E-5</v>
      </c>
      <c r="BX199" s="47">
        <v>0.02</v>
      </c>
      <c r="BY199" s="27">
        <f t="shared" si="175"/>
        <v>7.3176761433868973E-6</v>
      </c>
      <c r="BZ199" s="51">
        <f t="shared" si="176"/>
        <v>102.2</v>
      </c>
      <c r="CA199" s="51">
        <f t="shared" si="177"/>
        <v>9.1999999999999993</v>
      </c>
      <c r="CB199" s="27">
        <f t="shared" si="178"/>
        <v>3.8239203593312024E-2</v>
      </c>
      <c r="CC199" s="27">
        <f t="shared" si="179"/>
        <v>3.41046051770931E-3</v>
      </c>
      <c r="CD199">
        <v>140</v>
      </c>
      <c r="CE199">
        <v>60</v>
      </c>
      <c r="CF199" t="s">
        <v>19</v>
      </c>
      <c r="CG199">
        <v>190</v>
      </c>
      <c r="CH199" s="32">
        <v>1</v>
      </c>
      <c r="CI199" s="32">
        <f t="shared" si="180"/>
        <v>1.7905102954341987E-2</v>
      </c>
      <c r="CJ199" s="32">
        <f t="shared" si="181"/>
        <v>1.7905102954341987E-2</v>
      </c>
      <c r="CK199" s="32">
        <v>0.05</v>
      </c>
      <c r="CL199" s="32">
        <f t="shared" si="182"/>
        <v>9.1024940833788468E-4</v>
      </c>
      <c r="CM199" s="32">
        <f t="shared" si="183"/>
        <v>1.8204988166757694E-3</v>
      </c>
      <c r="CN199" s="27">
        <v>35</v>
      </c>
      <c r="CO199" s="27">
        <f t="shared" si="184"/>
        <v>0.36435561107641057</v>
      </c>
      <c r="CP199" s="27">
        <f t="shared" si="185"/>
        <v>2.9148448886112845</v>
      </c>
      <c r="CQ199" s="57">
        <v>37</v>
      </c>
      <c r="CR199" s="57">
        <v>51.388888888888886</v>
      </c>
      <c r="CS199" s="57">
        <v>3.0814074536747866</v>
      </c>
      <c r="CT199" s="57">
        <f t="shared" si="186"/>
        <v>3.0814074536747866</v>
      </c>
      <c r="CU199" s="28">
        <v>-1</v>
      </c>
      <c r="CV199" s="28">
        <v>-2.9411764705882351</v>
      </c>
      <c r="CW199" s="28">
        <v>-8.3281282531750989E-2</v>
      </c>
      <c r="CX199" s="28">
        <f t="shared" si="187"/>
        <v>0</v>
      </c>
      <c r="CY199" s="32">
        <f t="shared" si="188"/>
        <v>21.508224026650009</v>
      </c>
      <c r="CZ199" s="32">
        <f t="shared" si="189"/>
        <v>21.508224026650009</v>
      </c>
      <c r="DA199" s="32">
        <f t="shared" si="190"/>
        <v>22.508224026650009</v>
      </c>
      <c r="DB199" s="32">
        <f t="shared" si="191"/>
        <v>0.40301206851656235</v>
      </c>
      <c r="DC199" s="32">
        <f t="shared" si="192"/>
        <v>0.40301206851656235</v>
      </c>
      <c r="DD199" s="59">
        <f t="shared" si="193"/>
        <v>-0.58130335207162187</v>
      </c>
      <c r="DE199" s="59">
        <f t="shared" si="194"/>
        <v>0</v>
      </c>
      <c r="DF199" s="59">
        <f t="shared" si="195"/>
        <v>1</v>
      </c>
      <c r="DG199" s="59">
        <f t="shared" si="196"/>
        <v>1.7905102954341987E-2</v>
      </c>
      <c r="DH199" s="59">
        <f t="shared" si="197"/>
        <v>1.7905102954341987E-2</v>
      </c>
      <c r="DI199" s="32">
        <f t="shared" si="198"/>
        <v>2.9148448886112845</v>
      </c>
      <c r="DJ199" s="32">
        <f t="shared" si="199"/>
        <v>1.05</v>
      </c>
      <c r="DK199" s="32">
        <f t="shared" si="200"/>
        <v>1.9725601771017755E-2</v>
      </c>
      <c r="DL199">
        <f t="shared" si="201"/>
        <v>3.4862400210080247</v>
      </c>
      <c r="DM199">
        <f t="shared" si="206"/>
        <v>5.2219549018583738E-4</v>
      </c>
      <c r="DN199">
        <f t="shared" si="207"/>
        <v>0.11560078080912911</v>
      </c>
      <c r="DO199">
        <f t="shared" si="208"/>
        <v>0.8838770237006851</v>
      </c>
      <c r="DP199">
        <f t="shared" si="202"/>
        <v>1.9725601771017755E-2</v>
      </c>
      <c r="DQ199">
        <f t="shared" si="209"/>
        <v>9.2291167479137418E-2</v>
      </c>
      <c r="DR199">
        <f t="shared" si="210"/>
        <v>0.90770883252086265</v>
      </c>
      <c r="DS199">
        <f t="shared" si="211"/>
        <v>0</v>
      </c>
      <c r="DT199" s="63">
        <f t="shared" si="212"/>
        <v>-3.4564577898514046</v>
      </c>
      <c r="DU199" s="63">
        <f t="shared" si="213"/>
        <v>1.0056629385602148E-2</v>
      </c>
      <c r="DV199" s="63">
        <f t="shared" si="214"/>
        <v>-3.4530473293336956</v>
      </c>
      <c r="DW199" s="63">
        <f t="shared" si="215"/>
        <v>1.3467089903311458E-2</v>
      </c>
      <c r="DX199" t="str">
        <f t="shared" si="203"/>
        <v>Sufficient Capacity</v>
      </c>
      <c r="DY199" t="str">
        <f t="shared" si="204"/>
        <v>Insufficient Capacity</v>
      </c>
      <c r="DZ199" t="str">
        <f t="shared" si="205"/>
        <v>Sulfate Dominant electron acceptor</v>
      </c>
      <c r="EA199" t="str">
        <f t="shared" si="216"/>
        <v>Manganese Dominant electron acceptor</v>
      </c>
      <c r="EB199">
        <v>1.0035860000000001E-2</v>
      </c>
      <c r="EC199">
        <v>1.7252739999999999E-3</v>
      </c>
      <c r="ED199" s="66">
        <v>2.083408E-6</v>
      </c>
      <c r="EE199">
        <v>5.6744499999999997E-4</v>
      </c>
      <c r="EF199">
        <v>6.1751610000000002E-3</v>
      </c>
      <c r="EG199" s="66">
        <v>1.4850490000000001E-5</v>
      </c>
      <c r="EH199">
        <v>2.9463619999999999E-4</v>
      </c>
      <c r="EI199">
        <v>1.035319E-4</v>
      </c>
      <c r="EJ199">
        <v>2.903224E-4</v>
      </c>
      <c r="EK199">
        <v>5.4526559999999995E-4</v>
      </c>
      <c r="EL199">
        <v>4.5528920000000001E-4</v>
      </c>
      <c r="EM199">
        <v>3.754529E-4</v>
      </c>
      <c r="EN199">
        <v>1.9852939999999999E-3</v>
      </c>
      <c r="EO199">
        <v>9.4079600000000004E-4</v>
      </c>
      <c r="EP199">
        <v>2.7645679999999998E-3</v>
      </c>
      <c r="EQ199">
        <v>1.53659E-3</v>
      </c>
      <c r="ER199">
        <v>5.5690280000000002E-4</v>
      </c>
      <c r="ES199">
        <v>6.8865959999999998E-4</v>
      </c>
      <c r="ET199">
        <v>8.7555989999999993E-3</v>
      </c>
      <c r="EU199">
        <v>2.8641320000000001E-3</v>
      </c>
      <c r="EV199">
        <v>8.7559879999999993E-3</v>
      </c>
      <c r="EW199">
        <v>6.5714549999999999E-4</v>
      </c>
      <c r="EX199">
        <v>5.1181730000000002E-3</v>
      </c>
      <c r="EY199">
        <v>7.8860639999999999E-3</v>
      </c>
      <c r="EZ199">
        <v>1.7205569999999999E-3</v>
      </c>
      <c r="FA199">
        <v>1.299527E-3</v>
      </c>
      <c r="FB199">
        <v>1.329738E-3</v>
      </c>
      <c r="FC199">
        <v>1.7445189999999999E-3</v>
      </c>
      <c r="FD199">
        <v>3.7545619999999999E-4</v>
      </c>
      <c r="FE199">
        <v>2.4996959999999999E-2</v>
      </c>
      <c r="FF199">
        <v>1.7059359999999999E-2</v>
      </c>
      <c r="FG199">
        <v>9.5917250000000006E-3</v>
      </c>
      <c r="FH199">
        <v>8.5870219999999999E-4</v>
      </c>
      <c r="FI199">
        <v>1.930389E-3</v>
      </c>
      <c r="FJ199">
        <v>1.088659E-2</v>
      </c>
      <c r="FK199">
        <v>-9.2534899076506198E-3</v>
      </c>
      <c r="FL199">
        <v>0.29438983496721699</v>
      </c>
      <c r="FM199">
        <v>0.206250228636499</v>
      </c>
      <c r="FN199">
        <v>-7.8307801929451398E-3</v>
      </c>
      <c r="FO199">
        <v>0.26569880267347401</v>
      </c>
      <c r="FP199">
        <v>-0.420994974699752</v>
      </c>
      <c r="FQ199">
        <v>-0.27701908301279898</v>
      </c>
      <c r="FR199">
        <v>-7.3805286870065601E-4</v>
      </c>
      <c r="FS199">
        <v>0.37851301687308098</v>
      </c>
      <c r="FT199">
        <v>-2.4004249083516199E-2</v>
      </c>
      <c r="FU199">
        <v>0.14194242485683201</v>
      </c>
      <c r="FV199">
        <v>0.26622221732197299</v>
      </c>
      <c r="FW199">
        <v>0.240370598292001</v>
      </c>
      <c r="FX199">
        <v>0.34060052872243102</v>
      </c>
      <c r="FY199">
        <v>-1.0982896889356801E-2</v>
      </c>
      <c r="FZ199">
        <v>8.6865158819247092E-3</v>
      </c>
      <c r="GA199">
        <v>3.3512362443136802E-2</v>
      </c>
      <c r="GB199">
        <v>-9.5110682476171604E-3</v>
      </c>
      <c r="GC199">
        <v>1.9368577976266E-2</v>
      </c>
      <c r="GD199">
        <v>2.84211009438247E-2</v>
      </c>
      <c r="GE199">
        <v>0.15218924410825599</v>
      </c>
      <c r="GF199">
        <v>0.30048726377324803</v>
      </c>
      <c r="GG199">
        <v>0.31771903278582803</v>
      </c>
      <c r="GH199">
        <v>0.29650321123546902</v>
      </c>
      <c r="GI199">
        <v>-7.1341735120901403E-2</v>
      </c>
      <c r="GJ199">
        <v>4.9961843796947597E-2</v>
      </c>
      <c r="GK199">
        <v>6.9246511380638004E-2</v>
      </c>
      <c r="GL199">
        <v>0.13199554724702001</v>
      </c>
      <c r="GM199">
        <v>0.12869382716215</v>
      </c>
      <c r="GN199">
        <v>7.9650491669320395E-2</v>
      </c>
      <c r="GO199">
        <v>0.29590765059191199</v>
      </c>
      <c r="GP199">
        <v>2.7439302232098201E-2</v>
      </c>
      <c r="GR199" s="66"/>
      <c r="GT199" s="66"/>
      <c r="GV199" s="66"/>
      <c r="HK199" s="1"/>
      <c r="HL199" s="1"/>
      <c r="HM199" s="65"/>
      <c r="HN199" s="1"/>
      <c r="HO199" s="65"/>
      <c r="HP199" s="65"/>
      <c r="HQ199" s="65"/>
      <c r="HS199" s="65"/>
      <c r="HV199" s="65"/>
      <c r="HW199" s="65"/>
      <c r="HX199" s="65"/>
    </row>
    <row r="200" spans="1:278" ht="15.75" x14ac:dyDescent="0.25">
      <c r="A200" s="2" t="s">
        <v>252</v>
      </c>
      <c r="B200" s="2" t="s">
        <v>252</v>
      </c>
      <c r="C200" s="2" t="s">
        <v>1103</v>
      </c>
      <c r="D200" s="2" t="s">
        <v>642</v>
      </c>
      <c r="E200" s="2" t="s">
        <v>642</v>
      </c>
      <c r="F200" s="2">
        <v>199</v>
      </c>
      <c r="G200" s="19" t="s">
        <v>1102</v>
      </c>
      <c r="H200" s="10" t="s">
        <v>656</v>
      </c>
      <c r="I200" s="2">
        <v>150</v>
      </c>
      <c r="J200" s="2">
        <v>65</v>
      </c>
      <c r="K200" s="12">
        <v>7.4</v>
      </c>
      <c r="L200" t="s">
        <v>426</v>
      </c>
      <c r="M200" s="2" t="s">
        <v>1120</v>
      </c>
      <c r="N200" s="2" t="s">
        <v>436</v>
      </c>
      <c r="O200" s="2" t="s">
        <v>673</v>
      </c>
      <c r="P200" s="2" t="s">
        <v>1127</v>
      </c>
      <c r="Q200" s="9" t="s">
        <v>725</v>
      </c>
      <c r="R200" s="2" t="str">
        <f t="shared" si="217"/>
        <v>CW_2_Section_3</v>
      </c>
      <c r="S200" s="2" t="str">
        <f t="shared" si="218"/>
        <v>CW_2_MF09</v>
      </c>
      <c r="T200" s="11" t="s">
        <v>1075</v>
      </c>
      <c r="U200" s="1">
        <v>46008</v>
      </c>
      <c r="V200" s="2" t="s">
        <v>799</v>
      </c>
      <c r="W200" s="2" t="s">
        <v>655</v>
      </c>
      <c r="X200" s="2" t="s">
        <v>1074</v>
      </c>
      <c r="Y200" s="2" t="str">
        <f t="shared" si="219"/>
        <v>T8_MF09</v>
      </c>
      <c r="Z200" s="2" t="str">
        <f t="shared" si="220"/>
        <v>T8_CW_2_MF09</v>
      </c>
      <c r="AA200" s="2" t="str">
        <f t="shared" si="221"/>
        <v>T8_0.15-0.30</v>
      </c>
      <c r="AB200" s="2">
        <v>490</v>
      </c>
      <c r="AC200" s="2">
        <v>16.117999999999999</v>
      </c>
      <c r="AD200" s="2">
        <v>1.53</v>
      </c>
      <c r="AE200" s="2">
        <v>8</v>
      </c>
      <c r="AF200" t="s">
        <v>45</v>
      </c>
      <c r="AG200" s="2" t="s">
        <v>1238</v>
      </c>
      <c r="AH200">
        <v>65</v>
      </c>
      <c r="AI200" t="s">
        <v>443</v>
      </c>
      <c r="AJ200">
        <v>1</v>
      </c>
      <c r="AK200">
        <v>7.62</v>
      </c>
      <c r="AL200">
        <v>10</v>
      </c>
      <c r="AM200">
        <v>88</v>
      </c>
      <c r="AN200">
        <v>7.6</v>
      </c>
      <c r="AO200">
        <v>1325</v>
      </c>
      <c r="AP200">
        <v>0.1</v>
      </c>
      <c r="AQ200">
        <v>0.01</v>
      </c>
      <c r="AR200">
        <v>18</v>
      </c>
      <c r="AS200">
        <v>18</v>
      </c>
      <c r="AT200">
        <v>59</v>
      </c>
      <c r="AU200" s="32">
        <f t="shared" si="161"/>
        <v>2.2660350787351173E-2</v>
      </c>
      <c r="AV200">
        <v>5.7</v>
      </c>
      <c r="AW200" s="32">
        <f t="shared" si="162"/>
        <v>2.2270457998697633E-3</v>
      </c>
      <c r="AX200">
        <v>59</v>
      </c>
      <c r="AY200" s="32">
        <f t="shared" si="163"/>
        <v>2.3339926532918904E-2</v>
      </c>
      <c r="AZ200">
        <v>32</v>
      </c>
      <c r="BA200" s="32">
        <f t="shared" si="164"/>
        <v>1.2658943204294998E-2</v>
      </c>
      <c r="BB200">
        <v>24</v>
      </c>
      <c r="BC200" s="32">
        <f t="shared" si="165"/>
        <v>9.4942074032212491E-3</v>
      </c>
      <c r="BD200">
        <v>56</v>
      </c>
      <c r="BF200" s="48">
        <v>179.7</v>
      </c>
      <c r="BG200" s="48">
        <f t="shared" si="166"/>
        <v>4.8227323120139845E-2</v>
      </c>
      <c r="BH200">
        <v>620</v>
      </c>
      <c r="BI200" s="32">
        <f t="shared" si="167"/>
        <v>0.23219162050401809</v>
      </c>
      <c r="BJ200" s="47">
        <v>470</v>
      </c>
      <c r="BK200" s="27">
        <f t="shared" si="168"/>
        <v>0.17601622844659437</v>
      </c>
      <c r="BL200" s="47">
        <v>0.16</v>
      </c>
      <c r="BM200" s="27">
        <f t="shared" si="169"/>
        <v>5.8873776200801628E-5</v>
      </c>
      <c r="BN200" s="47">
        <v>0.39</v>
      </c>
      <c r="BO200" s="27">
        <f t="shared" si="170"/>
        <v>1.4668309448155113E-4</v>
      </c>
      <c r="BP200" s="47">
        <v>7.0000000000000007E-2</v>
      </c>
      <c r="BQ200" s="27">
        <f t="shared" si="171"/>
        <v>2.6109974732282519E-5</v>
      </c>
      <c r="BR200" s="47">
        <v>0.03</v>
      </c>
      <c r="BS200" s="27">
        <f t="shared" si="172"/>
        <v>1.110924086854065E-5</v>
      </c>
      <c r="BT200" s="47">
        <v>1E-3</v>
      </c>
      <c r="BU200" s="27">
        <f t="shared" si="173"/>
        <v>3.7030802895135499E-7</v>
      </c>
      <c r="BV200" s="47">
        <v>1E-3</v>
      </c>
      <c r="BW200" s="27">
        <f t="shared" si="174"/>
        <v>3.6588380716934485E-7</v>
      </c>
      <c r="BX200" s="47">
        <v>2E-3</v>
      </c>
      <c r="BY200" s="27">
        <f t="shared" si="175"/>
        <v>7.3176761433868969E-7</v>
      </c>
      <c r="BZ200" s="51">
        <f t="shared" si="176"/>
        <v>470.65399999999994</v>
      </c>
      <c r="CA200" s="51">
        <f t="shared" si="177"/>
        <v>0.65400000000000014</v>
      </c>
      <c r="CB200" s="27">
        <f t="shared" si="178"/>
        <v>0.17626047249232801</v>
      </c>
      <c r="CC200" s="27">
        <f t="shared" si="179"/>
        <v>2.4424404573363532E-4</v>
      </c>
      <c r="CD200">
        <v>1200</v>
      </c>
      <c r="CE200">
        <v>2.5</v>
      </c>
      <c r="CF200" t="s">
        <v>19</v>
      </c>
      <c r="CG200">
        <v>1200</v>
      </c>
      <c r="CH200" s="32">
        <v>32</v>
      </c>
      <c r="CI200" s="32">
        <f t="shared" si="180"/>
        <v>0.57296329453894357</v>
      </c>
      <c r="CJ200" s="32">
        <f t="shared" si="181"/>
        <v>0.57296329453894357</v>
      </c>
      <c r="CK200" s="32">
        <v>5.8</v>
      </c>
      <c r="CL200" s="32">
        <f t="shared" si="182"/>
        <v>0.10558893136719461</v>
      </c>
      <c r="CM200" s="32">
        <f t="shared" si="183"/>
        <v>0.21117786273438921</v>
      </c>
      <c r="CN200" s="27">
        <v>0.5</v>
      </c>
      <c r="CO200" s="27">
        <f t="shared" si="184"/>
        <v>5.2050801582344368E-3</v>
      </c>
      <c r="CP200" s="27">
        <f t="shared" si="185"/>
        <v>4.1640641265875494E-2</v>
      </c>
      <c r="CQ200" s="57">
        <v>71.5</v>
      </c>
      <c r="CR200" s="57">
        <v>99.305555555555557</v>
      </c>
      <c r="CS200" s="57">
        <v>5.9546117010201955</v>
      </c>
      <c r="CT200" s="57">
        <f t="shared" si="186"/>
        <v>5.9546117010201955</v>
      </c>
      <c r="CU200" s="28">
        <v>10.5</v>
      </c>
      <c r="CV200" s="28">
        <v>95.454545454545453</v>
      </c>
      <c r="CW200" s="28">
        <v>0.87445346658338541</v>
      </c>
      <c r="CX200" s="28">
        <f t="shared" si="187"/>
        <v>0.87445346658338541</v>
      </c>
      <c r="CY200" s="32">
        <f t="shared" si="188"/>
        <v>41.563189673120966</v>
      </c>
      <c r="CZ200" s="32">
        <f t="shared" si="189"/>
        <v>41.563189673120966</v>
      </c>
      <c r="DA200" s="32">
        <f t="shared" si="190"/>
        <v>73.563189673120974</v>
      </c>
      <c r="DB200" s="32">
        <f t="shared" si="191"/>
        <v>1.3171564847470183</v>
      </c>
      <c r="DC200" s="32">
        <f t="shared" si="192"/>
        <v>1.3171564847470183</v>
      </c>
      <c r="DD200" s="59">
        <f t="shared" si="193"/>
        <v>6.1036851967520294</v>
      </c>
      <c r="DE200" s="59">
        <f t="shared" si="194"/>
        <v>6.1036851967520294</v>
      </c>
      <c r="DF200" s="59">
        <f t="shared" si="195"/>
        <v>38.103685196752032</v>
      </c>
      <c r="DG200" s="59">
        <f t="shared" si="196"/>
        <v>0.68225040638768186</v>
      </c>
      <c r="DH200" s="59">
        <f t="shared" si="197"/>
        <v>0.68225040638768186</v>
      </c>
      <c r="DI200" s="32">
        <f t="shared" si="198"/>
        <v>4.1640641265875494E-2</v>
      </c>
      <c r="DJ200" s="32">
        <f t="shared" si="199"/>
        <v>43.903685196752029</v>
      </c>
      <c r="DK200" s="32">
        <f t="shared" si="200"/>
        <v>0.89342826912207107</v>
      </c>
      <c r="DL200">
        <f t="shared" si="201"/>
        <v>7.4829460485016028</v>
      </c>
      <c r="DM200">
        <f t="shared" si="206"/>
        <v>2.82212194723328E-2</v>
      </c>
      <c r="DN200">
        <f t="shared" si="207"/>
        <v>0.1760211120339118</v>
      </c>
      <c r="DO200">
        <f t="shared" si="208"/>
        <v>0.7957576684937554</v>
      </c>
      <c r="DP200">
        <f t="shared" si="202"/>
        <v>1.7678817357054566</v>
      </c>
      <c r="DQ200">
        <f t="shared" si="209"/>
        <v>0.11945248286086324</v>
      </c>
      <c r="DR200">
        <f t="shared" si="210"/>
        <v>0.38591405330370487</v>
      </c>
      <c r="DS200">
        <f t="shared" si="211"/>
        <v>0.49463346383543183</v>
      </c>
      <c r="DT200" s="63">
        <f t="shared" si="212"/>
        <v>-7.2025271048774453</v>
      </c>
      <c r="DU200" s="63">
        <f t="shared" si="213"/>
        <v>-1.4874627920812986</v>
      </c>
      <c r="DV200" s="63">
        <f t="shared" si="214"/>
        <v>-7.2022828608317111</v>
      </c>
      <c r="DW200" s="63">
        <f t="shared" si="215"/>
        <v>-1.4872185480355651</v>
      </c>
      <c r="DX200" t="str">
        <f t="shared" si="203"/>
        <v>Sufficient Capacity</v>
      </c>
      <c r="DY200" t="str">
        <f t="shared" si="204"/>
        <v>Sufficient Capacity</v>
      </c>
      <c r="DZ200" t="str">
        <f t="shared" si="205"/>
        <v>Sulfate Dominant electron acceptor</v>
      </c>
      <c r="EA200" t="str">
        <f t="shared" si="216"/>
        <v>Sulfate Dominant electron acceptor</v>
      </c>
      <c r="EB200">
        <v>9.7491959999999999E-3</v>
      </c>
      <c r="EC200">
        <v>1.182088E-3</v>
      </c>
      <c r="ED200" s="66">
        <v>8.5199990000000003E-6</v>
      </c>
      <c r="EE200">
        <v>3.9337559999999999E-4</v>
      </c>
      <c r="EF200">
        <v>3.5107179999999999E-3</v>
      </c>
      <c r="EG200" s="66">
        <v>1.406832E-5</v>
      </c>
      <c r="EH200">
        <v>2.0182960000000001E-4</v>
      </c>
      <c r="EI200">
        <v>1.6825E-4</v>
      </c>
      <c r="EJ200">
        <v>3.3296859999999999E-4</v>
      </c>
      <c r="EK200">
        <v>5.8075719999999996E-4</v>
      </c>
      <c r="EL200">
        <v>3.0155960000000001E-4</v>
      </c>
      <c r="EM200">
        <v>2.124614E-4</v>
      </c>
      <c r="EN200">
        <v>1.9341269999999999E-3</v>
      </c>
      <c r="EO200">
        <v>7.9116400000000002E-4</v>
      </c>
      <c r="EP200">
        <v>1.8395E-3</v>
      </c>
      <c r="EQ200">
        <v>1.6112240000000001E-3</v>
      </c>
      <c r="ER200">
        <v>2.752249E-4</v>
      </c>
      <c r="ES200">
        <v>5.2694530000000001E-4</v>
      </c>
      <c r="ET200">
        <v>1.8109320000000002E-2</v>
      </c>
      <c r="EU200">
        <v>3.4403509999999999E-3</v>
      </c>
      <c r="EV200">
        <v>1.001427E-2</v>
      </c>
      <c r="EW200">
        <v>4.9221550000000001E-4</v>
      </c>
      <c r="EX200">
        <v>5.0381920000000004E-3</v>
      </c>
      <c r="EY200">
        <v>6.4836759999999998E-3</v>
      </c>
      <c r="EZ200">
        <v>1.054548E-3</v>
      </c>
      <c r="FA200">
        <v>8.3029709999999995E-4</v>
      </c>
      <c r="FB200">
        <v>8.5052879999999997E-4</v>
      </c>
      <c r="FC200">
        <v>1.77407E-3</v>
      </c>
      <c r="FD200">
        <v>3.1863589999999998E-4</v>
      </c>
      <c r="FE200">
        <v>2.0142409999999999E-2</v>
      </c>
      <c r="FF200">
        <v>1.13636E-2</v>
      </c>
      <c r="FG200">
        <v>6.0068159999999999E-3</v>
      </c>
      <c r="FH200">
        <v>6.3201520000000005E-4</v>
      </c>
      <c r="FI200">
        <v>1.346919E-3</v>
      </c>
      <c r="FJ200">
        <v>8.4328779999999996E-3</v>
      </c>
      <c r="FK200">
        <v>-0.37563243762139797</v>
      </c>
      <c r="FL200">
        <v>-0.270324545118311</v>
      </c>
      <c r="FM200">
        <v>0.152142828311289</v>
      </c>
      <c r="FN200">
        <v>-0.38614837810768998</v>
      </c>
      <c r="FO200">
        <v>0.75126999342023504</v>
      </c>
      <c r="FP200">
        <v>-0.28393881307038299</v>
      </c>
      <c r="FQ200">
        <v>-0.21395932907909901</v>
      </c>
      <c r="FR200">
        <v>-0.41270319939757999</v>
      </c>
      <c r="FS200">
        <v>-0.190859688901615</v>
      </c>
      <c r="FT200">
        <v>-5.01152012000841E-2</v>
      </c>
      <c r="FU200">
        <v>-3.1278621810050901E-2</v>
      </c>
      <c r="FV200">
        <v>-0.14116837118508599</v>
      </c>
      <c r="FW200">
        <v>0.287799061337419</v>
      </c>
      <c r="FX200">
        <v>-0.36420160807588298</v>
      </c>
      <c r="FY200">
        <v>-0.27863324838567699</v>
      </c>
      <c r="FZ200">
        <v>0.73541985731220605</v>
      </c>
      <c r="GA200">
        <v>0.216820526085169</v>
      </c>
      <c r="GB200">
        <v>0.124762198378638</v>
      </c>
      <c r="GC200">
        <v>-0.26962024845181998</v>
      </c>
      <c r="GD200">
        <v>1.26708490764926E-2</v>
      </c>
      <c r="GE200">
        <v>-4.3620273492144299E-2</v>
      </c>
      <c r="GF200">
        <v>-0.18904857273332601</v>
      </c>
      <c r="GG200">
        <v>-0.13025300975347401</v>
      </c>
      <c r="GH200">
        <v>-0.15037572439710101</v>
      </c>
      <c r="GI200">
        <v>-5.4544266120204001E-2</v>
      </c>
      <c r="GJ200">
        <v>-0.114130904524644</v>
      </c>
      <c r="GK200">
        <v>-0.146680163598781</v>
      </c>
      <c r="GL200">
        <v>-0.27428821495984801</v>
      </c>
      <c r="GM200">
        <v>-0.33931209595900103</v>
      </c>
      <c r="GN200">
        <v>-0.22685824352762399</v>
      </c>
      <c r="GO200">
        <v>-6.3994124429828297E-2</v>
      </c>
      <c r="GP200">
        <v>-0.22795434085091601</v>
      </c>
      <c r="GR200" s="66"/>
      <c r="GT200" s="66"/>
      <c r="GV200" s="66"/>
      <c r="GW200" s="65"/>
      <c r="HO200" s="65"/>
      <c r="HP200" s="65"/>
      <c r="HQ200" s="65"/>
      <c r="HS200" s="65"/>
      <c r="HV200" s="65"/>
      <c r="HW200" s="65"/>
      <c r="HX200" s="65"/>
    </row>
    <row r="201" spans="1:278" ht="15.75" x14ac:dyDescent="0.25">
      <c r="A201" s="2" t="s">
        <v>253</v>
      </c>
      <c r="B201" s="2" t="s">
        <v>253</v>
      </c>
      <c r="C201" s="2" t="s">
        <v>1105</v>
      </c>
      <c r="D201" s="2" t="s">
        <v>643</v>
      </c>
      <c r="E201" s="2" t="s">
        <v>643</v>
      </c>
      <c r="F201" s="2">
        <v>200</v>
      </c>
      <c r="G201" s="19" t="s">
        <v>1104</v>
      </c>
      <c r="H201" s="10" t="s">
        <v>656</v>
      </c>
      <c r="I201" s="2">
        <v>150</v>
      </c>
      <c r="J201" s="2">
        <v>65</v>
      </c>
      <c r="K201" s="12">
        <v>4.5</v>
      </c>
      <c r="L201" t="s">
        <v>427</v>
      </c>
      <c r="M201" s="2" t="s">
        <v>1120</v>
      </c>
      <c r="N201" s="2" t="s">
        <v>436</v>
      </c>
      <c r="O201" s="2" t="s">
        <v>673</v>
      </c>
      <c r="P201" s="2" t="s">
        <v>1128</v>
      </c>
      <c r="Q201" s="9" t="s">
        <v>728</v>
      </c>
      <c r="R201" s="2" t="str">
        <f t="shared" si="217"/>
        <v>CW_2_Section_3</v>
      </c>
      <c r="S201" s="2" t="str">
        <f t="shared" si="218"/>
        <v>CW_2_MF10</v>
      </c>
      <c r="T201" s="11" t="s">
        <v>1075</v>
      </c>
      <c r="U201" s="1">
        <v>46008</v>
      </c>
      <c r="V201" s="2" t="s">
        <v>799</v>
      </c>
      <c r="W201" s="2" t="s">
        <v>663</v>
      </c>
      <c r="X201" s="2" t="s">
        <v>1074</v>
      </c>
      <c r="Y201" s="2" t="str">
        <f t="shared" si="219"/>
        <v>T8_MF10</v>
      </c>
      <c r="Z201" s="2" t="str">
        <f t="shared" si="220"/>
        <v>T8_CW_2_MF10</v>
      </c>
      <c r="AA201" s="2" t="str">
        <f t="shared" si="221"/>
        <v>T8_0.60-0.80</v>
      </c>
      <c r="AB201" s="2">
        <v>490</v>
      </c>
      <c r="AC201" s="2">
        <v>16.117999999999999</v>
      </c>
      <c r="AD201" s="2">
        <v>1.53</v>
      </c>
      <c r="AE201" s="2">
        <v>8</v>
      </c>
      <c r="AF201" t="s">
        <v>47</v>
      </c>
      <c r="AG201" s="2" t="s">
        <v>1238</v>
      </c>
      <c r="AH201">
        <v>46</v>
      </c>
      <c r="AI201" t="s">
        <v>443</v>
      </c>
      <c r="AJ201">
        <v>0.24</v>
      </c>
      <c r="AK201">
        <v>0.85</v>
      </c>
      <c r="AL201">
        <v>10</v>
      </c>
      <c r="AM201">
        <v>-24</v>
      </c>
      <c r="AN201">
        <v>7.6</v>
      </c>
      <c r="AO201">
        <v>703</v>
      </c>
      <c r="AP201">
        <v>0.1</v>
      </c>
      <c r="AQ201">
        <v>0.01</v>
      </c>
      <c r="AR201">
        <v>5.4</v>
      </c>
      <c r="AS201">
        <v>5.6</v>
      </c>
      <c r="AT201">
        <v>21</v>
      </c>
      <c r="AU201" s="32">
        <f t="shared" si="161"/>
        <v>8.0655485853283818E-3</v>
      </c>
      <c r="AV201">
        <v>3.6</v>
      </c>
      <c r="AW201" s="32">
        <f t="shared" si="162"/>
        <v>1.4065552420230085E-3</v>
      </c>
      <c r="AX201">
        <v>33</v>
      </c>
      <c r="AY201" s="32">
        <f t="shared" si="163"/>
        <v>1.3054535179429217E-2</v>
      </c>
      <c r="AZ201">
        <v>11</v>
      </c>
      <c r="BA201" s="32">
        <f t="shared" si="164"/>
        <v>4.3515117264764057E-3</v>
      </c>
      <c r="BB201">
        <v>9</v>
      </c>
      <c r="BC201" s="32">
        <f t="shared" si="165"/>
        <v>3.5603277762079684E-3</v>
      </c>
      <c r="BD201">
        <v>20</v>
      </c>
      <c r="BF201" s="48">
        <v>77.599999999999994</v>
      </c>
      <c r="BG201" s="48">
        <f t="shared" si="166"/>
        <v>2.2526639006780605E-2</v>
      </c>
      <c r="BH201">
        <v>250</v>
      </c>
      <c r="BI201" s="32">
        <f t="shared" si="167"/>
        <v>9.3625653429039557E-2</v>
      </c>
      <c r="BJ201" s="47">
        <v>200</v>
      </c>
      <c r="BK201" s="27">
        <f t="shared" si="168"/>
        <v>7.490052274323164E-2</v>
      </c>
      <c r="BL201" s="47">
        <v>2.6</v>
      </c>
      <c r="BM201" s="27">
        <f t="shared" si="169"/>
        <v>9.5669886326302657E-4</v>
      </c>
      <c r="BN201" s="47">
        <v>39</v>
      </c>
      <c r="BO201" s="27">
        <f t="shared" si="170"/>
        <v>1.4668309448155115E-2</v>
      </c>
      <c r="BP201" s="47">
        <v>1</v>
      </c>
      <c r="BQ201" s="27">
        <f t="shared" si="171"/>
        <v>3.7299963903260737E-4</v>
      </c>
      <c r="BR201" s="47">
        <v>4.0999999999999996</v>
      </c>
      <c r="BS201" s="27">
        <f t="shared" si="172"/>
        <v>1.5182629187005553E-3</v>
      </c>
      <c r="BT201" s="47">
        <v>0.5</v>
      </c>
      <c r="BU201" s="27">
        <f t="shared" si="173"/>
        <v>1.851540144756775E-4</v>
      </c>
      <c r="BV201" s="47">
        <v>0.04</v>
      </c>
      <c r="BW201" s="27">
        <f t="shared" si="174"/>
        <v>1.4635352286773795E-5</v>
      </c>
      <c r="BX201" s="47">
        <v>0.02</v>
      </c>
      <c r="BY201" s="27">
        <f t="shared" si="175"/>
        <v>7.3176761433868973E-6</v>
      </c>
      <c r="BZ201" s="51">
        <f t="shared" si="176"/>
        <v>247.26</v>
      </c>
      <c r="CA201" s="51">
        <f t="shared" si="177"/>
        <v>47.260000000000005</v>
      </c>
      <c r="CB201" s="27">
        <f t="shared" si="178"/>
        <v>9.2623900655288763E-2</v>
      </c>
      <c r="CC201" s="27">
        <f t="shared" si="179"/>
        <v>1.7723377912057144E-2</v>
      </c>
      <c r="CD201">
        <v>490</v>
      </c>
      <c r="CE201">
        <v>300</v>
      </c>
      <c r="CF201" t="s">
        <v>19</v>
      </c>
      <c r="CG201">
        <v>800</v>
      </c>
      <c r="CH201" s="32">
        <v>3.4</v>
      </c>
      <c r="CI201" s="32">
        <f t="shared" si="180"/>
        <v>6.0877350044762753E-2</v>
      </c>
      <c r="CJ201" s="32">
        <f t="shared" si="181"/>
        <v>6.0877350044762753E-2</v>
      </c>
      <c r="CK201" s="32">
        <v>1.8</v>
      </c>
      <c r="CL201" s="32">
        <f t="shared" si="182"/>
        <v>3.2768978700163848E-2</v>
      </c>
      <c r="CM201" s="32">
        <f t="shared" si="183"/>
        <v>6.5537957400327695E-2</v>
      </c>
      <c r="CN201" s="27">
        <v>35</v>
      </c>
      <c r="CO201" s="27">
        <f t="shared" si="184"/>
        <v>0.36435561107641057</v>
      </c>
      <c r="CP201" s="27">
        <f t="shared" si="185"/>
        <v>2.9148448886112845</v>
      </c>
      <c r="CQ201" s="57">
        <v>37</v>
      </c>
      <c r="CR201" s="57">
        <v>51.388888888888886</v>
      </c>
      <c r="CS201" s="57">
        <v>3.0814074536747866</v>
      </c>
      <c r="CT201" s="57">
        <f t="shared" si="186"/>
        <v>3.0814074536747866</v>
      </c>
      <c r="CU201" s="28">
        <v>0</v>
      </c>
      <c r="CV201" s="28">
        <v>0</v>
      </c>
      <c r="CW201" s="28">
        <v>0</v>
      </c>
      <c r="CX201" s="28">
        <f t="shared" si="187"/>
        <v>0</v>
      </c>
      <c r="CY201" s="32">
        <f t="shared" si="188"/>
        <v>21.508224026650009</v>
      </c>
      <c r="CZ201" s="32">
        <f t="shared" si="189"/>
        <v>21.508224026650009</v>
      </c>
      <c r="DA201" s="32">
        <f t="shared" si="190"/>
        <v>24.908224026650007</v>
      </c>
      <c r="DB201" s="32">
        <f t="shared" si="191"/>
        <v>0.44598431560698309</v>
      </c>
      <c r="DC201" s="32">
        <f t="shared" si="192"/>
        <v>0.44598431560698309</v>
      </c>
      <c r="DD201" s="59">
        <f t="shared" si="193"/>
        <v>0</v>
      </c>
      <c r="DE201" s="59">
        <f t="shared" si="194"/>
        <v>0</v>
      </c>
      <c r="DF201" s="59">
        <f t="shared" si="195"/>
        <v>3.4</v>
      </c>
      <c r="DG201" s="59">
        <f t="shared" si="196"/>
        <v>6.0877350044762753E-2</v>
      </c>
      <c r="DH201" s="59">
        <f t="shared" si="197"/>
        <v>6.0877350044762753E-2</v>
      </c>
      <c r="DI201" s="32">
        <f t="shared" si="198"/>
        <v>2.9148448886112845</v>
      </c>
      <c r="DJ201" s="32">
        <f t="shared" si="199"/>
        <v>5.2</v>
      </c>
      <c r="DK201" s="32">
        <f t="shared" si="200"/>
        <v>0.12641530744509044</v>
      </c>
      <c r="DL201">
        <f t="shared" si="201"/>
        <v>3.5929297266820974</v>
      </c>
      <c r="DM201">
        <f t="shared" si="206"/>
        <v>1.8240812480585011E-2</v>
      </c>
      <c r="DN201">
        <f t="shared" si="207"/>
        <v>0.12412831575718815</v>
      </c>
      <c r="DO201">
        <f t="shared" si="208"/>
        <v>0.85763087176222685</v>
      </c>
      <c r="DP201">
        <f t="shared" si="202"/>
        <v>0.12641530744509044</v>
      </c>
      <c r="DQ201">
        <f t="shared" si="209"/>
        <v>0.51843371443600417</v>
      </c>
      <c r="DR201">
        <f t="shared" si="210"/>
        <v>0.48156628556399583</v>
      </c>
      <c r="DS201">
        <f t="shared" si="211"/>
        <v>0</v>
      </c>
      <c r="DT201" s="63">
        <f t="shared" si="212"/>
        <v>-3.4767774342462774</v>
      </c>
      <c r="DU201" s="63">
        <f t="shared" si="213"/>
        <v>-1.0263015009270279E-2</v>
      </c>
      <c r="DV201" s="63">
        <f t="shared" si="214"/>
        <v>-3.45905405633422</v>
      </c>
      <c r="DW201" s="63">
        <f t="shared" si="215"/>
        <v>7.4603629027868712E-3</v>
      </c>
      <c r="DX201" t="str">
        <f t="shared" si="203"/>
        <v>Sufficient Capacity</v>
      </c>
      <c r="DY201" t="str">
        <f t="shared" si="204"/>
        <v>Insufficient Capacity</v>
      </c>
      <c r="DZ201" t="str">
        <f t="shared" si="205"/>
        <v>Sulfate Dominant electron acceptor</v>
      </c>
      <c r="EA201" t="str">
        <f t="shared" si="216"/>
        <v>Iron Dominant electron acceptor</v>
      </c>
      <c r="EB201">
        <v>1.010523E-2</v>
      </c>
      <c r="EC201">
        <v>1.652099E-3</v>
      </c>
      <c r="ED201" s="66">
        <v>1.7488639999999999E-7</v>
      </c>
      <c r="EE201">
        <v>5.6103649999999995E-4</v>
      </c>
      <c r="EF201">
        <v>3.8409469999999999E-3</v>
      </c>
      <c r="EG201" s="66">
        <v>1.614701E-5</v>
      </c>
      <c r="EH201">
        <v>2.9749170000000001E-4</v>
      </c>
      <c r="EI201" s="66">
        <v>9.0275509999999994E-5</v>
      </c>
      <c r="EJ201">
        <v>4.2577860000000002E-4</v>
      </c>
      <c r="EK201">
        <v>6.8333619999999995E-4</v>
      </c>
      <c r="EL201">
        <v>4.2667980000000001E-4</v>
      </c>
      <c r="EM201">
        <v>2.101061E-4</v>
      </c>
      <c r="EN201">
        <v>1.859142E-3</v>
      </c>
      <c r="EO201">
        <v>6.974905E-4</v>
      </c>
      <c r="EP201">
        <v>1.929109E-3</v>
      </c>
      <c r="EQ201">
        <v>1.4429950000000001E-3</v>
      </c>
      <c r="ER201">
        <v>3.6223869999999999E-4</v>
      </c>
      <c r="ES201">
        <v>6.235743E-4</v>
      </c>
      <c r="ET201">
        <v>1.145639E-2</v>
      </c>
      <c r="EU201">
        <v>3.1706960000000002E-3</v>
      </c>
      <c r="EV201">
        <v>8.8792869999999996E-3</v>
      </c>
      <c r="EW201">
        <v>6.1031189999999997E-4</v>
      </c>
      <c r="EX201">
        <v>5.3831219999999997E-3</v>
      </c>
      <c r="EY201">
        <v>7.079424E-3</v>
      </c>
      <c r="EZ201">
        <v>1.1029519999999999E-3</v>
      </c>
      <c r="FA201">
        <v>8.9517459999999998E-4</v>
      </c>
      <c r="FB201">
        <v>9.3529870000000001E-4</v>
      </c>
      <c r="FC201">
        <v>1.799922E-3</v>
      </c>
      <c r="FD201">
        <v>3.5227590000000002E-4</v>
      </c>
      <c r="FE201">
        <v>2.2689620000000001E-2</v>
      </c>
      <c r="FF201">
        <v>1.6506509999999999E-2</v>
      </c>
      <c r="FG201">
        <v>8.8711520000000002E-3</v>
      </c>
      <c r="FH201">
        <v>9.1011960000000002E-4</v>
      </c>
      <c r="FI201">
        <v>1.380575E-3</v>
      </c>
      <c r="FJ201">
        <v>1.145579E-2</v>
      </c>
      <c r="FK201">
        <v>-2.06113524721383E-2</v>
      </c>
      <c r="FL201">
        <v>-0.180426169302836</v>
      </c>
      <c r="FM201">
        <v>0.289952260508551</v>
      </c>
      <c r="FN201">
        <v>1.81417028500519E-3</v>
      </c>
      <c r="FO201">
        <v>0.128685241447558</v>
      </c>
      <c r="FP201">
        <v>-3.8067511451407299E-2</v>
      </c>
      <c r="FQ201">
        <v>-5.1305119836785998E-2</v>
      </c>
      <c r="FR201">
        <v>-6.56370252825145E-2</v>
      </c>
      <c r="FS201">
        <v>-0.20200737248452399</v>
      </c>
      <c r="FT201">
        <v>-8.9656172111159699E-2</v>
      </c>
      <c r="FU201">
        <v>-0.15729500704673099</v>
      </c>
      <c r="FV201">
        <v>-9.3603928458948701E-2</v>
      </c>
      <c r="FW201">
        <v>0.17752573751857401</v>
      </c>
      <c r="FX201">
        <v>-8.9486802905792501E-2</v>
      </c>
      <c r="FY201">
        <v>-0.11026207245476199</v>
      </c>
      <c r="FZ201">
        <v>0.27754078737260601</v>
      </c>
      <c r="GA201">
        <v>0.13519814717074799</v>
      </c>
      <c r="GB201">
        <v>4.4723835691602397E-3</v>
      </c>
      <c r="GC201">
        <v>-5.4566739209053403E-2</v>
      </c>
      <c r="GD201">
        <v>7.8892064775037504E-2</v>
      </c>
      <c r="GE201">
        <v>4.4284641501620002E-2</v>
      </c>
      <c r="GF201">
        <v>-0.14417059019207801</v>
      </c>
      <c r="GG201">
        <v>-5.5017815254513998E-2</v>
      </c>
      <c r="GH201">
        <v>-5.5368054582386299E-2</v>
      </c>
      <c r="GI201">
        <v>-4.0077277449298301E-2</v>
      </c>
      <c r="GJ201">
        <v>-1.3765300729579299E-2</v>
      </c>
      <c r="GK201">
        <v>-2.76001549080176E-2</v>
      </c>
      <c r="GL201">
        <v>9.9051369089829103E-2</v>
      </c>
      <c r="GM201">
        <v>5.0597743447495298E-2</v>
      </c>
      <c r="GN201">
        <v>0.13780433142816501</v>
      </c>
      <c r="GO201">
        <v>-3.9313807365337197E-2</v>
      </c>
      <c r="GP201">
        <v>7.8402824680894795E-2</v>
      </c>
      <c r="GT201" s="66"/>
      <c r="GV201" s="66"/>
      <c r="HM201" s="65"/>
      <c r="HO201" s="65"/>
      <c r="HP201" s="65"/>
      <c r="HQ201" s="65"/>
      <c r="HV201" s="65"/>
      <c r="HW201" s="65"/>
      <c r="HX201" s="65"/>
    </row>
    <row r="202" spans="1:278" ht="15.75" x14ac:dyDescent="0.25">
      <c r="A202" s="2" t="s">
        <v>254</v>
      </c>
      <c r="B202" s="2" t="s">
        <v>254</v>
      </c>
      <c r="C202" s="2" t="s">
        <v>1107</v>
      </c>
      <c r="D202" s="2" t="s">
        <v>644</v>
      </c>
      <c r="E202" s="2" t="s">
        <v>644</v>
      </c>
      <c r="F202" s="2">
        <v>201</v>
      </c>
      <c r="G202" s="19" t="s">
        <v>1106</v>
      </c>
      <c r="H202" s="10" t="s">
        <v>656</v>
      </c>
      <c r="I202" s="2">
        <v>150</v>
      </c>
      <c r="J202" s="2">
        <v>65</v>
      </c>
      <c r="K202" s="12">
        <v>6.45</v>
      </c>
      <c r="L202" t="s">
        <v>428</v>
      </c>
      <c r="M202" s="2" t="s">
        <v>1120</v>
      </c>
      <c r="N202" s="2" t="s">
        <v>437</v>
      </c>
      <c r="O202" s="2" t="s">
        <v>653</v>
      </c>
      <c r="P202" s="2" t="s">
        <v>1123</v>
      </c>
      <c r="Q202" s="9" t="s">
        <v>731</v>
      </c>
      <c r="R202" s="2" t="str">
        <f t="shared" si="217"/>
        <v>CW_3_Section_1</v>
      </c>
      <c r="S202" s="2" t="str">
        <f t="shared" si="218"/>
        <v>CW_3_MF01</v>
      </c>
      <c r="T202" s="11" t="s">
        <v>1075</v>
      </c>
      <c r="U202" s="1">
        <v>46008</v>
      </c>
      <c r="V202" s="2" t="s">
        <v>799</v>
      </c>
      <c r="W202" s="2" t="s">
        <v>655</v>
      </c>
      <c r="X202" s="2" t="s">
        <v>1074</v>
      </c>
      <c r="Y202" s="2" t="str">
        <f t="shared" si="219"/>
        <v>T8_MF01</v>
      </c>
      <c r="Z202" s="2" t="str">
        <f t="shared" si="220"/>
        <v>T8_CW_3_MF01</v>
      </c>
      <c r="AA202" s="2" t="str">
        <f t="shared" si="221"/>
        <v>T8_0.15-0.30</v>
      </c>
      <c r="AB202" s="2">
        <v>490</v>
      </c>
      <c r="AC202" s="2">
        <v>16.117999999999999</v>
      </c>
      <c r="AD202" s="2">
        <v>1.53</v>
      </c>
      <c r="AE202" s="2">
        <v>8</v>
      </c>
      <c r="AF202" t="s">
        <v>51</v>
      </c>
      <c r="AG202" t="s">
        <v>1237</v>
      </c>
      <c r="AH202">
        <v>68</v>
      </c>
      <c r="AI202" t="s">
        <v>443</v>
      </c>
      <c r="AJ202">
        <v>0.7</v>
      </c>
      <c r="AK202">
        <v>6.01</v>
      </c>
      <c r="AL202">
        <v>9</v>
      </c>
      <c r="AM202">
        <v>33</v>
      </c>
      <c r="AN202">
        <v>7.3</v>
      </c>
      <c r="AO202">
        <v>1081</v>
      </c>
      <c r="AP202">
        <v>0.1</v>
      </c>
      <c r="AQ202">
        <v>0.01</v>
      </c>
      <c r="AR202">
        <v>12</v>
      </c>
      <c r="AS202">
        <v>13</v>
      </c>
      <c r="AT202">
        <v>380</v>
      </c>
      <c r="AU202" s="32">
        <f t="shared" si="161"/>
        <v>0.14594802202022789</v>
      </c>
      <c r="AV202">
        <v>15</v>
      </c>
      <c r="AW202" s="32">
        <f t="shared" si="162"/>
        <v>5.8606468417625353E-3</v>
      </c>
      <c r="AX202">
        <v>150</v>
      </c>
      <c r="AY202" s="32">
        <f t="shared" si="163"/>
        <v>5.9338796270132804E-2</v>
      </c>
      <c r="AZ202">
        <v>40</v>
      </c>
      <c r="BA202" s="32">
        <f t="shared" si="164"/>
        <v>1.5823679005368747E-2</v>
      </c>
      <c r="BB202">
        <v>2</v>
      </c>
      <c r="BC202" s="32">
        <f t="shared" si="165"/>
        <v>7.9118395026843739E-4</v>
      </c>
      <c r="BD202">
        <v>54</v>
      </c>
      <c r="BF202" s="48">
        <v>599</v>
      </c>
      <c r="BG202" s="48">
        <f t="shared" si="166"/>
        <v>0.21114746513212324</v>
      </c>
      <c r="BH202">
        <v>1400</v>
      </c>
      <c r="BI202" s="32">
        <f t="shared" si="167"/>
        <v>0.52430365920262156</v>
      </c>
      <c r="BJ202" s="47">
        <v>1000</v>
      </c>
      <c r="BK202" s="27">
        <f t="shared" si="168"/>
        <v>0.37450261371615823</v>
      </c>
      <c r="BL202" s="47">
        <v>0.2</v>
      </c>
      <c r="BM202" s="27">
        <f t="shared" si="169"/>
        <v>7.3592220251002044E-5</v>
      </c>
      <c r="BN202" s="47">
        <v>0.16</v>
      </c>
      <c r="BO202" s="27">
        <f t="shared" si="170"/>
        <v>6.0177679787303031E-5</v>
      </c>
      <c r="BP202" s="47">
        <v>5.0000000000000001E-3</v>
      </c>
      <c r="BQ202" s="27">
        <f t="shared" si="171"/>
        <v>1.8649981951630372E-6</v>
      </c>
      <c r="BR202" s="47">
        <v>0.02</v>
      </c>
      <c r="BS202" s="27">
        <f t="shared" si="172"/>
        <v>7.4061605790270997E-6</v>
      </c>
      <c r="BT202" s="47">
        <v>1E-3</v>
      </c>
      <c r="BU202" s="27">
        <f t="shared" si="173"/>
        <v>3.7030802895135499E-7</v>
      </c>
      <c r="BV202" s="47">
        <v>1E-3</v>
      </c>
      <c r="BW202" s="27">
        <f t="shared" si="174"/>
        <v>3.6588380716934485E-7</v>
      </c>
      <c r="BX202" s="47">
        <v>2E-3</v>
      </c>
      <c r="BY202" s="27">
        <f t="shared" si="175"/>
        <v>7.3176761433868969E-7</v>
      </c>
      <c r="BZ202" s="51">
        <f t="shared" si="176"/>
        <v>1000.3889999999999</v>
      </c>
      <c r="CA202" s="51">
        <f t="shared" si="177"/>
        <v>0.38900000000000001</v>
      </c>
      <c r="CB202" s="27">
        <f t="shared" si="178"/>
        <v>0.37464712273442119</v>
      </c>
      <c r="CC202" s="27">
        <f t="shared" si="179"/>
        <v>1.4450901826295462E-4</v>
      </c>
      <c r="CD202">
        <v>2200</v>
      </c>
      <c r="CE202">
        <v>25</v>
      </c>
      <c r="CF202" t="s">
        <v>19</v>
      </c>
      <c r="CG202">
        <v>2200</v>
      </c>
      <c r="CH202" s="32">
        <v>15</v>
      </c>
      <c r="CI202" s="32">
        <f t="shared" si="180"/>
        <v>0.26857654431512978</v>
      </c>
      <c r="CJ202" s="32">
        <f t="shared" si="181"/>
        <v>0.26857654431512978</v>
      </c>
      <c r="CK202" s="32">
        <v>2.2000000000000002</v>
      </c>
      <c r="CL202" s="32">
        <f t="shared" si="182"/>
        <v>4.0050973966866923E-2</v>
      </c>
      <c r="CM202" s="32">
        <f t="shared" si="183"/>
        <v>8.0101947933733847E-2</v>
      </c>
      <c r="CN202" s="27">
        <v>0.5</v>
      </c>
      <c r="CO202" s="27">
        <f t="shared" si="184"/>
        <v>5.2050801582344368E-3</v>
      </c>
      <c r="CP202" s="27">
        <f t="shared" si="185"/>
        <v>4.1640641265875494E-2</v>
      </c>
      <c r="CQ202" s="57">
        <v>71.5</v>
      </c>
      <c r="CR202" s="57">
        <v>99.305555555555557</v>
      </c>
      <c r="CS202" s="57">
        <v>5.9546117010201955</v>
      </c>
      <c r="CT202" s="57">
        <f t="shared" si="186"/>
        <v>5.9546117010201955</v>
      </c>
      <c r="CU202" s="28">
        <v>71.5</v>
      </c>
      <c r="CV202" s="28">
        <v>99.305555555555557</v>
      </c>
      <c r="CW202" s="28">
        <v>5.9546117010201955</v>
      </c>
      <c r="CX202" s="28">
        <f t="shared" si="187"/>
        <v>5.9546117010201955</v>
      </c>
      <c r="CY202" s="32">
        <f t="shared" si="188"/>
        <v>41.563189673120966</v>
      </c>
      <c r="CZ202" s="32">
        <f t="shared" si="189"/>
        <v>41.563189673120966</v>
      </c>
      <c r="DA202" s="32">
        <f t="shared" si="190"/>
        <v>56.563189673120966</v>
      </c>
      <c r="DB202" s="32">
        <f t="shared" si="191"/>
        <v>1.0127697345232043</v>
      </c>
      <c r="DC202" s="32">
        <f t="shared" si="192"/>
        <v>1.0127697345232043</v>
      </c>
      <c r="DD202" s="59">
        <f t="shared" si="193"/>
        <v>41.563189673120966</v>
      </c>
      <c r="DE202" s="59">
        <f t="shared" si="194"/>
        <v>41.563189673120966</v>
      </c>
      <c r="DF202" s="59">
        <f t="shared" si="195"/>
        <v>56.563189673120966</v>
      </c>
      <c r="DG202" s="59">
        <f t="shared" si="196"/>
        <v>1.0127697345232043</v>
      </c>
      <c r="DH202" s="59">
        <f t="shared" si="197"/>
        <v>1.0127697345232043</v>
      </c>
      <c r="DI202" s="32">
        <f t="shared" si="198"/>
        <v>4.1640641265875494E-2</v>
      </c>
      <c r="DJ202" s="32">
        <f t="shared" si="199"/>
        <v>58.763189673120969</v>
      </c>
      <c r="DK202" s="32">
        <f t="shared" si="200"/>
        <v>1.0928716824569382</v>
      </c>
      <c r="DL202">
        <f t="shared" si="201"/>
        <v>7.0474833834771342</v>
      </c>
      <c r="DM202">
        <f t="shared" ref="DM202:DM207" si="222">$CM202/$DL202</f>
        <v>1.1366035728659301E-2</v>
      </c>
      <c r="DN202">
        <f t="shared" ref="DN202:DN207" si="223">$DC202/$DL202</f>
        <v>0.14370657998252948</v>
      </c>
      <c r="DO202">
        <f t="shared" ref="DO202:DO207" si="224">$CT202/$DL202</f>
        <v>0.84492738428881109</v>
      </c>
      <c r="DP202">
        <f t="shared" si="202"/>
        <v>7.0474833834771342</v>
      </c>
      <c r="DQ202">
        <f t="shared" ref="DQ202:DQ207" si="225">$CM202/$DP202</f>
        <v>1.1366035728659301E-2</v>
      </c>
      <c r="DR202">
        <f t="shared" ref="DR202:DR207" si="226">$DH202/$DP202</f>
        <v>0.14370657998252948</v>
      </c>
      <c r="DS202">
        <f t="shared" ref="DS202:DS207" si="227">$CX202/$DP202</f>
        <v>0.84492738428881109</v>
      </c>
      <c r="DT202" s="63">
        <f t="shared" ref="DT202:DT207" si="228">($BG202+$BI202)-$DL202</f>
        <v>-6.3120322591423896</v>
      </c>
      <c r="DU202" s="63">
        <f t="shared" ref="DU202:DU207" si="229">($BG202+$BI202)-$DP202</f>
        <v>-6.3120322591423896</v>
      </c>
      <c r="DV202" s="63">
        <f t="shared" ref="DV202:DV207" si="230">($BG202+$BI202+$CC202)-$DL202</f>
        <v>-6.3118877501241268</v>
      </c>
      <c r="DW202" s="63">
        <f t="shared" ref="DW202:DW207" si="231">($BG202+$BI202+$CC202)-$DP202</f>
        <v>-6.3118877501241268</v>
      </c>
      <c r="DX202" t="str">
        <f t="shared" si="203"/>
        <v>Sufficient Capacity</v>
      </c>
      <c r="DY202" t="str">
        <f t="shared" si="204"/>
        <v>Sufficient Capacity</v>
      </c>
      <c r="DZ202" t="str">
        <f t="shared" si="205"/>
        <v>Sulfate Dominant electron acceptor</v>
      </c>
      <c r="EA202" t="str">
        <f t="shared" ref="EA202:EA207" si="232">IF(COUNT($DQ202:$DS202)=0, "No Data", IF(MAX($DQ202:$DS202)=$DS202, "Sulfate Dominant electron acceptor", IF(MAX($DQ202:$DS202)=$DQ202, "Iron Dominant electron acceptor", "Manganese Dominant electron acceptor")))</f>
        <v>Sulfate Dominant electron acceptor</v>
      </c>
      <c r="EB202">
        <v>9.4466050000000003E-3</v>
      </c>
      <c r="EC202">
        <v>1.1038580000000001E-3</v>
      </c>
      <c r="ED202" s="66">
        <v>6.2522060000000004E-7</v>
      </c>
      <c r="EE202">
        <v>4.3563770000000003E-4</v>
      </c>
      <c r="EF202">
        <v>3.5020910000000001E-3</v>
      </c>
      <c r="EG202" s="66">
        <v>1.425992E-5</v>
      </c>
      <c r="EH202">
        <v>2.286167E-4</v>
      </c>
      <c r="EI202">
        <v>1.5953340000000001E-4</v>
      </c>
      <c r="EJ202">
        <v>3.9139289999999999E-4</v>
      </c>
      <c r="EK202">
        <v>6.5817450000000004E-4</v>
      </c>
      <c r="EL202">
        <v>3.1208009999999999E-4</v>
      </c>
      <c r="EM202">
        <v>2.0707810000000001E-4</v>
      </c>
      <c r="EN202">
        <v>1.9796459999999998E-3</v>
      </c>
      <c r="EO202">
        <v>7.9776160000000001E-4</v>
      </c>
      <c r="EP202">
        <v>1.8279100000000001E-3</v>
      </c>
      <c r="EQ202">
        <v>1.5441249999999999E-3</v>
      </c>
      <c r="ER202">
        <v>2.7038810000000002E-4</v>
      </c>
      <c r="ES202">
        <v>5.7374420000000001E-4</v>
      </c>
      <c r="ET202">
        <v>1.8102770000000001E-2</v>
      </c>
      <c r="EU202">
        <v>3.35272E-3</v>
      </c>
      <c r="EV202">
        <v>1.0058889999999999E-2</v>
      </c>
      <c r="EW202">
        <v>4.9263010000000001E-4</v>
      </c>
      <c r="EX202">
        <v>4.9623000000000002E-3</v>
      </c>
      <c r="EY202">
        <v>6.2610019999999999E-3</v>
      </c>
      <c r="EZ202">
        <v>1.067538E-3</v>
      </c>
      <c r="FA202">
        <v>8.2346380000000003E-4</v>
      </c>
      <c r="FB202">
        <v>8.5640219999999999E-4</v>
      </c>
      <c r="FC202">
        <v>1.78718E-3</v>
      </c>
      <c r="FD202">
        <v>2.9533229999999998E-4</v>
      </c>
      <c r="FE202">
        <v>2.0322860000000002E-2</v>
      </c>
      <c r="FF202">
        <v>1.137561E-2</v>
      </c>
      <c r="FG202">
        <v>6.13307E-3</v>
      </c>
      <c r="FH202">
        <v>6.0241750000000001E-4</v>
      </c>
      <c r="FI202">
        <v>1.3112499999999999E-3</v>
      </c>
      <c r="FJ202">
        <v>8.483338E-3</v>
      </c>
      <c r="FK202">
        <v>-0.273586383662063</v>
      </c>
      <c r="FL202">
        <v>-0.272784901404032</v>
      </c>
      <c r="FM202">
        <v>0.165670172171407</v>
      </c>
      <c r="FN202">
        <v>-0.26152535309105501</v>
      </c>
      <c r="FO202">
        <v>0.69807232958697296</v>
      </c>
      <c r="FP202">
        <v>-0.122275089523322</v>
      </c>
      <c r="FQ202">
        <v>-8.8822004679234304E-2</v>
      </c>
      <c r="FR202">
        <v>-0.37841098867532602</v>
      </c>
      <c r="FS202">
        <v>-0.21652399691382099</v>
      </c>
      <c r="FT202">
        <v>-2.6853222243380201E-2</v>
      </c>
      <c r="FU202">
        <v>-2.2974094628906101E-2</v>
      </c>
      <c r="FV202">
        <v>-0.14748892906352701</v>
      </c>
      <c r="FW202">
        <v>0.24526232961114899</v>
      </c>
      <c r="FX202">
        <v>-0.38193185536854701</v>
      </c>
      <c r="FY202">
        <v>-0.193546344082348</v>
      </c>
      <c r="FZ202">
        <v>0.73505809967427704</v>
      </c>
      <c r="GA202">
        <v>0.19101898171161899</v>
      </c>
      <c r="GB202">
        <v>0.12920794319325801</v>
      </c>
      <c r="GC202">
        <v>-0.268778289012711</v>
      </c>
      <c r="GD202">
        <v>-2.5070955548516199E-3</v>
      </c>
      <c r="GE202">
        <v>-7.8567670761319902E-2</v>
      </c>
      <c r="GF202">
        <v>-0.176805749160692</v>
      </c>
      <c r="GG202">
        <v>-0.13851700836321101</v>
      </c>
      <c r="GH202">
        <v>-0.14349387248829201</v>
      </c>
      <c r="GI202">
        <v>-4.7181649498331701E-2</v>
      </c>
      <c r="GJ202">
        <v>-0.190078813070193</v>
      </c>
      <c r="GK202">
        <v>-0.13776134525597999</v>
      </c>
      <c r="GL202">
        <v>-0.27323188968586198</v>
      </c>
      <c r="GM202">
        <v>-0.31851148018481101</v>
      </c>
      <c r="GN202">
        <v>-0.27482096148964602</v>
      </c>
      <c r="GO202">
        <v>-9.0833005691297194E-2</v>
      </c>
      <c r="GP202">
        <v>-0.221988449937291</v>
      </c>
      <c r="GR202" s="66"/>
      <c r="GT202" s="66"/>
      <c r="GV202" s="66"/>
      <c r="GW202" s="65"/>
      <c r="HO202" s="65"/>
      <c r="HP202" s="65"/>
      <c r="HQ202" s="65"/>
      <c r="HS202" s="65"/>
      <c r="HT202" s="65"/>
      <c r="HU202" s="65"/>
      <c r="HV202" s="65"/>
      <c r="HW202" s="65"/>
      <c r="HX202" s="65"/>
    </row>
    <row r="203" spans="1:278" ht="15.75" x14ac:dyDescent="0.25">
      <c r="A203" s="2" t="s">
        <v>255</v>
      </c>
      <c r="B203" s="2" t="s">
        <v>255</v>
      </c>
      <c r="C203" s="2" t="s">
        <v>1109</v>
      </c>
      <c r="D203" s="2" t="s">
        <v>645</v>
      </c>
      <c r="E203" s="2" t="s">
        <v>645</v>
      </c>
      <c r="F203" s="2">
        <v>202</v>
      </c>
      <c r="G203" s="19" t="s">
        <v>1108</v>
      </c>
      <c r="H203" s="10" t="s">
        <v>656</v>
      </c>
      <c r="I203" s="2">
        <v>150</v>
      </c>
      <c r="J203" s="2">
        <v>65</v>
      </c>
      <c r="K203" s="12">
        <v>4</v>
      </c>
      <c r="L203" t="s">
        <v>429</v>
      </c>
      <c r="M203" s="2" t="s">
        <v>1120</v>
      </c>
      <c r="N203" s="2" t="s">
        <v>437</v>
      </c>
      <c r="O203" s="2" t="s">
        <v>653</v>
      </c>
      <c r="P203" s="2" t="s">
        <v>1124</v>
      </c>
      <c r="Q203" s="9" t="s">
        <v>734</v>
      </c>
      <c r="R203" s="2" t="str">
        <f t="shared" si="217"/>
        <v>CW_3_Section_1</v>
      </c>
      <c r="S203" s="2" t="str">
        <f t="shared" si="218"/>
        <v>CW_3_MF02</v>
      </c>
      <c r="T203" s="11" t="s">
        <v>1075</v>
      </c>
      <c r="U203" s="1">
        <v>46008</v>
      </c>
      <c r="V203" s="2" t="s">
        <v>799</v>
      </c>
      <c r="W203" s="2" t="s">
        <v>663</v>
      </c>
      <c r="X203" s="2" t="s">
        <v>1074</v>
      </c>
      <c r="Y203" s="2" t="str">
        <f t="shared" si="219"/>
        <v>T8_MF02</v>
      </c>
      <c r="Z203" s="2" t="str">
        <f t="shared" si="220"/>
        <v>T8_CW_3_MF02</v>
      </c>
      <c r="AA203" s="2" t="str">
        <f t="shared" si="221"/>
        <v>T8_0.60-0.80</v>
      </c>
      <c r="AB203" s="2">
        <v>490</v>
      </c>
      <c r="AC203" s="2">
        <v>16.117999999999999</v>
      </c>
      <c r="AD203" s="2">
        <v>1.53</v>
      </c>
      <c r="AE203" s="2">
        <v>8</v>
      </c>
      <c r="AF203" t="s">
        <v>53</v>
      </c>
      <c r="AG203" t="s">
        <v>1237</v>
      </c>
      <c r="AH203">
        <v>71</v>
      </c>
      <c r="AI203" t="s">
        <v>443</v>
      </c>
      <c r="AJ203">
        <v>0.59</v>
      </c>
      <c r="AK203">
        <v>2.2200000000000002</v>
      </c>
      <c r="AL203">
        <v>10</v>
      </c>
      <c r="AM203">
        <v>-92</v>
      </c>
      <c r="AN203">
        <v>7.5</v>
      </c>
      <c r="AO203">
        <v>1138</v>
      </c>
      <c r="AP203">
        <v>0.1</v>
      </c>
      <c r="AQ203">
        <v>0.01</v>
      </c>
      <c r="AR203">
        <v>15</v>
      </c>
      <c r="AS203">
        <v>17</v>
      </c>
      <c r="AT203">
        <v>820</v>
      </c>
      <c r="AU203" s="32">
        <f t="shared" ref="AU203:AU207" si="233">($AT203/78110)*30</f>
        <v>0.31494046856996544</v>
      </c>
      <c r="AV203">
        <v>180</v>
      </c>
      <c r="AW203" s="32">
        <f t="shared" ref="AW203:AW207" si="234">($AV203/92140)*36</f>
        <v>7.0327762101150423E-2</v>
      </c>
      <c r="AX203">
        <v>580</v>
      </c>
      <c r="AY203" s="32">
        <f t="shared" ref="AY203:AY207" si="235">($AX203/106170)*42</f>
        <v>0.22944334557784687</v>
      </c>
      <c r="AZ203">
        <v>230</v>
      </c>
      <c r="BA203" s="32">
        <f t="shared" ref="BA203:BA207" si="236">($AZ203/106170)*42</f>
        <v>9.0986154280870299E-2</v>
      </c>
      <c r="BB203">
        <v>260</v>
      </c>
      <c r="BC203" s="32">
        <f t="shared" ref="BC203:BC207" si="237">($BB203/106170)*42</f>
        <v>0.10285391353489687</v>
      </c>
      <c r="BD203">
        <v>490</v>
      </c>
      <c r="BF203" s="48">
        <v>2070</v>
      </c>
      <c r="BG203" s="48">
        <f t="shared" ref="BG203:BG207" si="238">$AU203+$AW203+$AY203+$BE203</f>
        <v>0.61471157624896278</v>
      </c>
      <c r="BH203">
        <v>2200</v>
      </c>
      <c r="BI203" s="32">
        <f t="shared" ref="BI203:BI207" si="239">($BH203/128170)*48</f>
        <v>0.82390575017554801</v>
      </c>
      <c r="BJ203" s="47">
        <v>2300</v>
      </c>
      <c r="BK203" s="27">
        <f t="shared" ref="BK203:BK207" si="240">($BJ203/128170)*48</f>
        <v>0.8613560115471639</v>
      </c>
      <c r="BL203" s="47">
        <v>4</v>
      </c>
      <c r="BM203" s="27">
        <f t="shared" ref="BM203:BM207" si="241">($BL203/152190)*56</f>
        <v>1.4718444050200407E-3</v>
      </c>
      <c r="BN203" s="47">
        <v>130</v>
      </c>
      <c r="BO203" s="27">
        <f t="shared" ref="BO203:BO207" si="242">($BN203/154210)*58</f>
        <v>4.8894364827183713E-2</v>
      </c>
      <c r="BP203" s="47">
        <v>35</v>
      </c>
      <c r="BQ203" s="27">
        <f t="shared" ref="BQ203:BQ207" si="243">($BP203/166220)*62</f>
        <v>1.3054987366141258E-2</v>
      </c>
      <c r="BR203" s="47">
        <v>21</v>
      </c>
      <c r="BS203" s="27">
        <f t="shared" ref="BS203:BS207" si="244">($BR203/178230)*66</f>
        <v>7.7764686079784548E-3</v>
      </c>
      <c r="BT203" s="47">
        <v>0.4</v>
      </c>
      <c r="BU203" s="27">
        <f t="shared" ref="BU203:BU207" si="245">($BT203/178230)*66</f>
        <v>1.4812321158054199E-4</v>
      </c>
      <c r="BV203" s="47">
        <v>0.83</v>
      </c>
      <c r="BW203" s="27">
        <f t="shared" ref="BW203:BW207" si="246">($BV203/202250)*74</f>
        <v>3.0368355995055626E-4</v>
      </c>
      <c r="BX203" s="47">
        <v>0.86</v>
      </c>
      <c r="BY203" s="27">
        <f t="shared" ref="BY203:BY207" si="247">($BX203/202250)*74</f>
        <v>3.146600741656366E-4</v>
      </c>
      <c r="BZ203" s="51">
        <f t="shared" ref="BZ203:BZ207" si="248">$BJ203+$BL203+$BN203+$BP203+$BR203+$BT203+$BV203+$BX203</f>
        <v>2492.09</v>
      </c>
      <c r="CA203" s="51">
        <f t="shared" ref="CA203:CA206" si="249">$BL203+$BN203+$BP203+$BR203+$BT203+$BV203+$BX203</f>
        <v>192.09000000000003</v>
      </c>
      <c r="CB203" s="27">
        <f t="shared" ref="CB203:CB207" si="250">$BK203+$BM203+$BO203+$BQ203+$BS203+$BU203+$BW203+$BY203</f>
        <v>0.93332014359918403</v>
      </c>
      <c r="CC203" s="27">
        <f t="shared" ref="CC203:CC207" si="251">$BM203+$BO203+$BQ203+$BS203+$BU203+$BW203+$BY203</f>
        <v>7.1964132052020208E-2</v>
      </c>
      <c r="CD203">
        <v>4900</v>
      </c>
      <c r="CE203">
        <v>1400</v>
      </c>
      <c r="CF203" t="s">
        <v>19</v>
      </c>
      <c r="CG203">
        <v>6300</v>
      </c>
      <c r="CH203" s="32">
        <v>0.2</v>
      </c>
      <c r="CI203" s="32">
        <f t="shared" ref="CI203:CI207" si="252">$CH203/55.85</f>
        <v>3.5810205908683975E-3</v>
      </c>
      <c r="CJ203" s="32">
        <f t="shared" ref="CJ203:CJ207" si="253">$CI203*1</f>
        <v>3.5810205908683975E-3</v>
      </c>
      <c r="CK203" s="32">
        <v>0.8</v>
      </c>
      <c r="CL203" s="32">
        <f t="shared" ref="CL203:CL207" si="254">$CK203/54.93</f>
        <v>1.4563990533406155E-2</v>
      </c>
      <c r="CM203" s="32">
        <f t="shared" ref="CM203:CM207" si="255">$CL203*2</f>
        <v>2.912798106681231E-2</v>
      </c>
      <c r="CN203" s="27">
        <v>54</v>
      </c>
      <c r="CO203" s="27">
        <f t="shared" ref="CO203:CO207" si="256">CN203/96.06</f>
        <v>0.56214865708931916</v>
      </c>
      <c r="CP203" s="27">
        <f t="shared" ref="CP203:CP207" si="257">CO203*8</f>
        <v>4.4971892567145533</v>
      </c>
      <c r="CQ203" s="57">
        <v>18</v>
      </c>
      <c r="CR203" s="57">
        <v>25</v>
      </c>
      <c r="CS203" s="57">
        <v>1.4990630855715177</v>
      </c>
      <c r="CT203" s="57">
        <f t="shared" ref="CT203:CT207" si="258">IF($CS203&lt;0, 0,  $CS203)</f>
        <v>1.4990630855715177</v>
      </c>
      <c r="CU203" s="28">
        <v>18</v>
      </c>
      <c r="CV203" s="28">
        <v>25</v>
      </c>
      <c r="CW203" s="28">
        <v>1.4990630855715177</v>
      </c>
      <c r="CX203" s="28">
        <f t="shared" ref="CX203:CX207" si="259">IF($CW203&lt;0, 0,  $CW203)</f>
        <v>1.4990630855715177</v>
      </c>
      <c r="CY203" s="32">
        <f t="shared" ref="CY203:CY207" si="260">$CQ203*(55.84/96.06)</f>
        <v>10.463460337289193</v>
      </c>
      <c r="CZ203" s="32">
        <f t="shared" ref="CZ203:CZ207" si="261">IF($CY203&lt;0, 0,  $CY203)</f>
        <v>10.463460337289193</v>
      </c>
      <c r="DA203" s="32">
        <f t="shared" ref="DA203:DA207" si="262">$CH203+$CZ203</f>
        <v>10.663460337289193</v>
      </c>
      <c r="DB203" s="32">
        <f t="shared" ref="DB203:DB207" si="263">$DA203/55.85</f>
        <v>0.19093035518870533</v>
      </c>
      <c r="DC203" s="32">
        <f t="shared" ref="DC203:DC207" si="264">$DB203*1</f>
        <v>0.19093035518870533</v>
      </c>
      <c r="DD203" s="59">
        <f t="shared" ref="DD203:DD207" si="265">$CU203*(55.84/96.06)</f>
        <v>10.463460337289193</v>
      </c>
      <c r="DE203" s="59">
        <f t="shared" ref="DE203:DE207" si="266">IF($DD203&lt;0, 0,  $DD203)</f>
        <v>10.463460337289193</v>
      </c>
      <c r="DF203" s="59">
        <f t="shared" ref="DF203:DF207" si="267">$CH203+$DE203</f>
        <v>10.663460337289193</v>
      </c>
      <c r="DG203" s="59">
        <f t="shared" ref="DG203:DG207" si="268">$DF203/55.85</f>
        <v>0.19093035518870533</v>
      </c>
      <c r="DH203" s="59">
        <f t="shared" ref="DH203:DH207" si="269">$DG203*1</f>
        <v>0.19093035518870533</v>
      </c>
      <c r="DI203" s="32">
        <f t="shared" ref="DI203:DI207" si="270">$CP203</f>
        <v>4.4971892567145533</v>
      </c>
      <c r="DJ203" s="32">
        <f t="shared" ref="DJ203:DJ207" si="271">$CK203+$DF203</f>
        <v>11.463460337289193</v>
      </c>
      <c r="DK203" s="32">
        <f t="shared" ref="DK203:DK207" si="272">$CM203+$DH203</f>
        <v>0.22005833625551763</v>
      </c>
      <c r="DL203">
        <f t="shared" ref="DL203:DL207" si="273">$DC203+$CM203+$CT203</f>
        <v>1.7191214218270354</v>
      </c>
      <c r="DM203">
        <f t="shared" si="222"/>
        <v>1.6943527488509733E-2</v>
      </c>
      <c r="DN203">
        <f t="shared" si="223"/>
        <v>0.11106275145230274</v>
      </c>
      <c r="DO203">
        <f t="shared" si="224"/>
        <v>0.87199372105918749</v>
      </c>
      <c r="DP203">
        <f t="shared" ref="DP203:DP207" si="274">$DH203+$CM203+$CX203</f>
        <v>1.7191214218270354</v>
      </c>
      <c r="DQ203">
        <f t="shared" si="225"/>
        <v>1.6943527488509733E-2</v>
      </c>
      <c r="DR203">
        <f t="shared" si="226"/>
        <v>0.11106275145230274</v>
      </c>
      <c r="DS203">
        <f t="shared" si="227"/>
        <v>0.87199372105918749</v>
      </c>
      <c r="DT203" s="63">
        <f t="shared" si="228"/>
        <v>-0.28050409540252463</v>
      </c>
      <c r="DU203" s="63">
        <f t="shared" si="229"/>
        <v>-0.28050409540252463</v>
      </c>
      <c r="DV203" s="63">
        <f t="shared" si="230"/>
        <v>-0.20853996335050451</v>
      </c>
      <c r="DW203" s="63">
        <f t="shared" si="231"/>
        <v>-0.20853996335050451</v>
      </c>
      <c r="DX203" t="str">
        <f t="shared" ref="DX203:DX207" si="275">IF(DV203&lt;0, "Sufficient Capacity", "Insufficient Capacity")</f>
        <v>Sufficient Capacity</v>
      </c>
      <c r="DY203" t="str">
        <f t="shared" ref="DY203:DY207" si="276">IF($DW203&lt;0, "Sufficient Capacity", "Insufficient Capacity")</f>
        <v>Sufficient Capacity</v>
      </c>
      <c r="DZ203" t="str">
        <f t="shared" ref="DZ203:DZ207" si="277">IF(COUNT($DM203:$DO203)=0, "No Data", IF(MAX($DM203:$DO203)=$DO203, "Sulfate Dominant electron acceptor", IF(MAX($DM203:$DO203)=$DM203, "Iron Dominant electron acceptor", "Manganese Dominant electron acceptor")))</f>
        <v>Sulfate Dominant electron acceptor</v>
      </c>
      <c r="EA203" t="str">
        <f t="shared" si="232"/>
        <v>Sulfate Dominant electron acceptor</v>
      </c>
      <c r="EB203">
        <v>1.0979020000000001E-2</v>
      </c>
      <c r="EC203">
        <v>2.0571690000000002E-3</v>
      </c>
      <c r="ED203" s="66">
        <v>8.3353660000000004E-8</v>
      </c>
      <c r="EE203">
        <v>1.115539E-4</v>
      </c>
      <c r="EF203">
        <v>1.398626E-3</v>
      </c>
      <c r="EG203" s="66">
        <v>1.8711270000000001E-6</v>
      </c>
      <c r="EH203" s="66">
        <v>4.04773E-5</v>
      </c>
      <c r="EI203" s="66">
        <v>2.9362970000000001E-5</v>
      </c>
      <c r="EJ203" s="66">
        <v>9.8941149999999997E-5</v>
      </c>
      <c r="EK203">
        <v>1.819801E-4</v>
      </c>
      <c r="EL203">
        <v>2.426091E-4</v>
      </c>
      <c r="EM203" s="66">
        <v>3.0440110000000001E-5</v>
      </c>
      <c r="EN203">
        <v>1.6320009999999999E-3</v>
      </c>
      <c r="EO203">
        <v>5.1196629999999998E-4</v>
      </c>
      <c r="EP203">
        <v>9.6321980000000002E-4</v>
      </c>
      <c r="EQ203">
        <v>1.9685029999999999E-3</v>
      </c>
      <c r="ER203" s="66">
        <v>7.3411200000000006E-5</v>
      </c>
      <c r="ES203">
        <v>2.3656999999999999E-4</v>
      </c>
      <c r="ET203">
        <v>6.9468120000000001E-3</v>
      </c>
      <c r="EU203">
        <v>2.698345E-3</v>
      </c>
      <c r="EV203">
        <v>1.037828E-2</v>
      </c>
      <c r="EW203">
        <v>5.4383860000000003E-4</v>
      </c>
      <c r="EX203">
        <v>6.4761590000000004E-3</v>
      </c>
      <c r="EY203">
        <v>7.680325E-3</v>
      </c>
      <c r="EZ203">
        <v>2.7690510000000001E-4</v>
      </c>
      <c r="FA203">
        <v>2.9607679999999999E-4</v>
      </c>
      <c r="FB203">
        <v>3.0160279999999999E-4</v>
      </c>
      <c r="FC203">
        <v>1.3925369999999999E-3</v>
      </c>
      <c r="FD203" s="66">
        <v>5.2067480000000001E-5</v>
      </c>
      <c r="FE203">
        <v>1.916472E-2</v>
      </c>
      <c r="FF203">
        <v>2.5866429999999999E-2</v>
      </c>
      <c r="FG203">
        <v>1.2486199999999999E-2</v>
      </c>
      <c r="FH203">
        <v>1.0378010000000001E-3</v>
      </c>
      <c r="FI203">
        <v>9.1662030000000004E-4</v>
      </c>
      <c r="FJ203">
        <v>1.6791879999999999E-2</v>
      </c>
      <c r="FK203">
        <v>-1.6358894360990801</v>
      </c>
      <c r="FL203">
        <v>-1.1906547939479999</v>
      </c>
      <c r="FM203">
        <v>-1.86524170957246</v>
      </c>
      <c r="FN203">
        <v>-1.9928308320018799</v>
      </c>
      <c r="FO203">
        <v>-0.99444661843627002</v>
      </c>
      <c r="FP203">
        <v>-1.4974617753725501</v>
      </c>
      <c r="FQ203">
        <v>-1.37439475797495</v>
      </c>
      <c r="FR203">
        <v>-0.63021936819284996</v>
      </c>
      <c r="FS203">
        <v>-2.1338588670542502</v>
      </c>
      <c r="FT203">
        <v>-0.21996439379975299</v>
      </c>
      <c r="FU203">
        <v>-0.46652509801705699</v>
      </c>
      <c r="FV203">
        <v>-0.78813581490823403</v>
      </c>
      <c r="FW203">
        <v>0.48807827813985</v>
      </c>
      <c r="FX203">
        <v>-1.68571367715732</v>
      </c>
      <c r="FY203">
        <v>-1.0794858492492301</v>
      </c>
      <c r="FZ203">
        <v>-0.22272401625892099</v>
      </c>
      <c r="GA203">
        <v>-2.61143528699339E-2</v>
      </c>
      <c r="GB203">
        <v>0.160466283313422</v>
      </c>
      <c r="GC203">
        <v>-0.169884365518713</v>
      </c>
      <c r="GD203">
        <v>0.26375114921769999</v>
      </c>
      <c r="GE203">
        <v>0.125753957010313</v>
      </c>
      <c r="GF203">
        <v>-1.5262412426107801</v>
      </c>
      <c r="GG203">
        <v>-1.1614177181721499</v>
      </c>
      <c r="GH203">
        <v>-1.18712307818323</v>
      </c>
      <c r="GI203">
        <v>-0.29669334469724801</v>
      </c>
      <c r="GJ203">
        <v>-1.92563940651552</v>
      </c>
      <c r="GK203">
        <v>-0.19643661733397499</v>
      </c>
      <c r="GL203">
        <v>0.54824250953601095</v>
      </c>
      <c r="GM203">
        <v>0.39241711402405199</v>
      </c>
      <c r="GN203">
        <v>0.26908764249179101</v>
      </c>
      <c r="GO203">
        <v>-0.44887584650678197</v>
      </c>
      <c r="GP203">
        <v>0.46080298186888002</v>
      </c>
      <c r="HM203" s="65"/>
      <c r="HP203" s="65"/>
      <c r="HQ203" s="65"/>
      <c r="HT203" s="65"/>
      <c r="HU203" s="65"/>
      <c r="HV203" s="65"/>
      <c r="HW203" s="65"/>
      <c r="HX203" s="65"/>
    </row>
    <row r="204" spans="1:278" ht="15.75" x14ac:dyDescent="0.25">
      <c r="A204" s="2" t="s">
        <v>256</v>
      </c>
      <c r="B204" s="2" t="s">
        <v>256</v>
      </c>
      <c r="C204" s="2" t="s">
        <v>1111</v>
      </c>
      <c r="D204" s="2" t="s">
        <v>646</v>
      </c>
      <c r="E204" s="2" t="s">
        <v>646</v>
      </c>
      <c r="F204" s="2">
        <v>203</v>
      </c>
      <c r="G204" s="19" t="s">
        <v>1110</v>
      </c>
      <c r="H204" s="10" t="s">
        <v>656</v>
      </c>
      <c r="I204" s="2">
        <v>150</v>
      </c>
      <c r="J204" s="2">
        <v>65</v>
      </c>
      <c r="K204" s="12">
        <v>10.5</v>
      </c>
      <c r="L204" t="s">
        <v>430</v>
      </c>
      <c r="M204" s="2" t="s">
        <v>1120</v>
      </c>
      <c r="N204" s="2" t="s">
        <v>437</v>
      </c>
      <c r="O204" s="2" t="s">
        <v>666</v>
      </c>
      <c r="P204" s="2" t="s">
        <v>1131</v>
      </c>
      <c r="Q204" s="9" t="s">
        <v>737</v>
      </c>
      <c r="R204" s="2" t="str">
        <f t="shared" si="217"/>
        <v>CW_3_Section_2</v>
      </c>
      <c r="S204" s="2" t="str">
        <f t="shared" si="218"/>
        <v>CW_3_MF05</v>
      </c>
      <c r="T204" s="11" t="s">
        <v>1075</v>
      </c>
      <c r="U204" s="1">
        <v>46008</v>
      </c>
      <c r="V204" s="2" t="s">
        <v>799</v>
      </c>
      <c r="W204" s="2" t="s">
        <v>655</v>
      </c>
      <c r="X204" s="2" t="s">
        <v>1074</v>
      </c>
      <c r="Y204" s="2" t="str">
        <f t="shared" si="219"/>
        <v>T8_MF05</v>
      </c>
      <c r="Z204" s="2" t="str">
        <f t="shared" si="220"/>
        <v>T8_CW_3_MF05</v>
      </c>
      <c r="AA204" s="2" t="str">
        <f t="shared" si="221"/>
        <v>T8_0.15-0.30</v>
      </c>
      <c r="AB204" s="2">
        <v>490</v>
      </c>
      <c r="AC204" s="2">
        <v>16.117999999999999</v>
      </c>
      <c r="AD204" s="2">
        <v>1.53</v>
      </c>
      <c r="AE204" s="2">
        <v>8</v>
      </c>
      <c r="AF204" t="s">
        <v>55</v>
      </c>
      <c r="AG204" t="s">
        <v>1237</v>
      </c>
      <c r="AH204">
        <v>70</v>
      </c>
      <c r="AI204" t="s">
        <v>443</v>
      </c>
      <c r="AJ204">
        <v>1.4999999999999999E-2</v>
      </c>
      <c r="AK204">
        <v>1.69</v>
      </c>
      <c r="AL204">
        <v>9</v>
      </c>
      <c r="AM204">
        <v>26</v>
      </c>
      <c r="AN204">
        <v>7.3</v>
      </c>
      <c r="AO204">
        <v>1031</v>
      </c>
      <c r="AP204">
        <v>0.1</v>
      </c>
      <c r="AQ204">
        <v>0.01</v>
      </c>
      <c r="AR204">
        <v>1.9</v>
      </c>
      <c r="AS204">
        <v>2.2999999999999998</v>
      </c>
      <c r="AT204">
        <v>1.4</v>
      </c>
      <c r="AU204" s="32">
        <f t="shared" si="233"/>
        <v>5.3770323902189218E-4</v>
      </c>
      <c r="AV204">
        <v>0.02</v>
      </c>
      <c r="AW204" s="32">
        <f t="shared" si="234"/>
        <v>7.8141957890167132E-6</v>
      </c>
      <c r="AX204">
        <v>1.7</v>
      </c>
      <c r="AY204" s="32">
        <f t="shared" si="235"/>
        <v>6.7250635772817175E-4</v>
      </c>
      <c r="AZ204">
        <v>0.47</v>
      </c>
      <c r="BA204" s="32">
        <f t="shared" si="236"/>
        <v>1.8592822831308279E-4</v>
      </c>
      <c r="BB204">
        <v>0.31</v>
      </c>
      <c r="BC204" s="32">
        <f t="shared" si="237"/>
        <v>1.2263351229160779E-4</v>
      </c>
      <c r="BD204">
        <v>0.78</v>
      </c>
      <c r="BF204" s="48">
        <v>4.0199999999999996</v>
      </c>
      <c r="BG204" s="48">
        <f t="shared" si="238"/>
        <v>1.2180237925390807E-3</v>
      </c>
      <c r="BH204">
        <v>9.9</v>
      </c>
      <c r="BI204" s="32">
        <f t="shared" si="239"/>
        <v>3.7075758757899669E-3</v>
      </c>
      <c r="BJ204" s="47">
        <v>8.1</v>
      </c>
      <c r="BK204" s="27">
        <f t="shared" si="240"/>
        <v>3.0334711711008811E-3</v>
      </c>
      <c r="BL204" s="47">
        <v>0.01</v>
      </c>
      <c r="BM204" s="27">
        <f t="shared" si="241"/>
        <v>3.6796110125501018E-6</v>
      </c>
      <c r="BN204" s="47">
        <v>0.01</v>
      </c>
      <c r="BO204" s="27">
        <f t="shared" si="242"/>
        <v>3.7611049867064394E-6</v>
      </c>
      <c r="BP204" s="47">
        <v>5.0000000000000001E-3</v>
      </c>
      <c r="BQ204" s="27">
        <f t="shared" si="243"/>
        <v>1.8649981951630372E-6</v>
      </c>
      <c r="BR204" s="47">
        <v>1E-3</v>
      </c>
      <c r="BS204" s="27">
        <f t="shared" si="244"/>
        <v>3.7030802895135499E-7</v>
      </c>
      <c r="BT204" s="47">
        <v>1E-3</v>
      </c>
      <c r="BU204" s="27">
        <f t="shared" si="245"/>
        <v>3.7030802895135499E-7</v>
      </c>
      <c r="BV204" s="47">
        <v>1E-3</v>
      </c>
      <c r="BW204" s="27">
        <f t="shared" si="246"/>
        <v>3.6588380716934485E-7</v>
      </c>
      <c r="BX204" s="47">
        <v>2E-3</v>
      </c>
      <c r="BY204" s="27">
        <f t="shared" si="247"/>
        <v>7.3176761433868969E-7</v>
      </c>
      <c r="BZ204" s="51">
        <f t="shared" si="248"/>
        <v>8.129999999999999</v>
      </c>
      <c r="CA204" s="51">
        <f t="shared" si="249"/>
        <v>3.0000000000000006E-2</v>
      </c>
      <c r="CB204" s="27">
        <f t="shared" si="250"/>
        <v>3.0446151527747114E-3</v>
      </c>
      <c r="CC204" s="27">
        <f t="shared" si="251"/>
        <v>1.1143981673830322E-5</v>
      </c>
      <c r="CD204">
        <v>2.5</v>
      </c>
      <c r="CE204">
        <v>2.5</v>
      </c>
      <c r="CF204" t="s">
        <v>19</v>
      </c>
      <c r="CG204">
        <v>5</v>
      </c>
      <c r="CH204" s="32">
        <v>3.4</v>
      </c>
      <c r="CI204" s="32">
        <f t="shared" si="252"/>
        <v>6.0877350044762753E-2</v>
      </c>
      <c r="CJ204" s="32">
        <f t="shared" si="253"/>
        <v>6.0877350044762753E-2</v>
      </c>
      <c r="CK204" s="32">
        <v>8.3000000000000007</v>
      </c>
      <c r="CL204" s="32">
        <f t="shared" si="254"/>
        <v>0.15110140178408885</v>
      </c>
      <c r="CM204" s="32">
        <f t="shared" si="255"/>
        <v>0.30220280356817769</v>
      </c>
      <c r="CN204" s="27">
        <v>35</v>
      </c>
      <c r="CO204" s="27">
        <f t="shared" si="256"/>
        <v>0.36435561107641057</v>
      </c>
      <c r="CP204" s="27">
        <f t="shared" si="257"/>
        <v>2.9148448886112845</v>
      </c>
      <c r="CQ204" s="57">
        <v>37</v>
      </c>
      <c r="CR204" s="57">
        <v>51.388888888888886</v>
      </c>
      <c r="CS204" s="57">
        <v>3.0814074536747866</v>
      </c>
      <c r="CT204" s="57">
        <f t="shared" si="258"/>
        <v>3.0814074536747866</v>
      </c>
      <c r="CU204" s="28">
        <v>-34.5</v>
      </c>
      <c r="CV204" s="28">
        <v>-6900</v>
      </c>
      <c r="CW204" s="28">
        <v>-2.8732042473454089</v>
      </c>
      <c r="CX204" s="28">
        <f t="shared" si="259"/>
        <v>0</v>
      </c>
      <c r="CY204" s="32">
        <f t="shared" si="260"/>
        <v>21.508224026650009</v>
      </c>
      <c r="CZ204" s="32">
        <f t="shared" si="261"/>
        <v>21.508224026650009</v>
      </c>
      <c r="DA204" s="32">
        <f t="shared" si="262"/>
        <v>24.908224026650007</v>
      </c>
      <c r="DB204" s="32">
        <f t="shared" si="263"/>
        <v>0.44598431560698309</v>
      </c>
      <c r="DC204" s="32">
        <f t="shared" si="264"/>
        <v>0.44598431560698309</v>
      </c>
      <c r="DD204" s="59">
        <f t="shared" si="265"/>
        <v>-20.054965646470954</v>
      </c>
      <c r="DE204" s="59">
        <f t="shared" si="266"/>
        <v>0</v>
      </c>
      <c r="DF204" s="59">
        <f t="shared" si="267"/>
        <v>3.4</v>
      </c>
      <c r="DG204" s="59">
        <f t="shared" si="268"/>
        <v>6.0877350044762753E-2</v>
      </c>
      <c r="DH204" s="59">
        <f t="shared" si="269"/>
        <v>6.0877350044762753E-2</v>
      </c>
      <c r="DI204" s="32">
        <f t="shared" si="270"/>
        <v>2.9148448886112845</v>
      </c>
      <c r="DJ204" s="32">
        <f t="shared" si="271"/>
        <v>11.700000000000001</v>
      </c>
      <c r="DK204" s="32">
        <f t="shared" si="272"/>
        <v>0.36308015361294044</v>
      </c>
      <c r="DL204">
        <f t="shared" si="273"/>
        <v>3.8295945728499472</v>
      </c>
      <c r="DM204">
        <f t="shared" si="222"/>
        <v>7.891247959004738E-2</v>
      </c>
      <c r="DN204">
        <f t="shared" si="223"/>
        <v>0.11645731868558762</v>
      </c>
      <c r="DO204">
        <f t="shared" si="224"/>
        <v>0.80463020172436506</v>
      </c>
      <c r="DP204">
        <f t="shared" si="274"/>
        <v>0.36308015361294044</v>
      </c>
      <c r="DQ204">
        <f t="shared" si="225"/>
        <v>0.83233082436761141</v>
      </c>
      <c r="DR204">
        <f t="shared" si="226"/>
        <v>0.16766917563238862</v>
      </c>
      <c r="DS204">
        <f t="shared" si="227"/>
        <v>0</v>
      </c>
      <c r="DT204" s="63">
        <f t="shared" si="228"/>
        <v>-3.8246689731816184</v>
      </c>
      <c r="DU204" s="63">
        <f t="shared" si="229"/>
        <v>-0.35815455394461138</v>
      </c>
      <c r="DV204" s="63">
        <f t="shared" si="230"/>
        <v>-3.8246578291999445</v>
      </c>
      <c r="DW204" s="63">
        <f t="shared" si="231"/>
        <v>-0.35814340996293759</v>
      </c>
      <c r="DX204" t="str">
        <f t="shared" si="275"/>
        <v>Sufficient Capacity</v>
      </c>
      <c r="DY204" t="str">
        <f t="shared" si="276"/>
        <v>Sufficient Capacity</v>
      </c>
      <c r="DZ204" t="str">
        <f t="shared" si="277"/>
        <v>Sulfate Dominant electron acceptor</v>
      </c>
      <c r="EA204" t="str">
        <f t="shared" si="232"/>
        <v>Iron Dominant electron acceptor</v>
      </c>
      <c r="EB204">
        <v>1.034155E-2</v>
      </c>
      <c r="EC204">
        <v>1.8197549999999999E-3</v>
      </c>
      <c r="ED204">
        <v>0</v>
      </c>
      <c r="EE204">
        <v>6.4667390000000004E-4</v>
      </c>
      <c r="EF204">
        <v>5.3216180000000002E-3</v>
      </c>
      <c r="EG204" s="66">
        <v>2.528365E-5</v>
      </c>
      <c r="EH204">
        <v>3.1683610000000001E-4</v>
      </c>
      <c r="EI204">
        <v>1.0443510000000001E-4</v>
      </c>
      <c r="EJ204">
        <v>3.1277600000000002E-4</v>
      </c>
      <c r="EK204">
        <v>5.9933459999999997E-4</v>
      </c>
      <c r="EL204">
        <v>4.3707840000000001E-4</v>
      </c>
      <c r="EM204">
        <v>2.752718E-4</v>
      </c>
      <c r="EN204">
        <v>2.241888E-3</v>
      </c>
      <c r="EO204">
        <v>1.062431E-3</v>
      </c>
      <c r="EP204">
        <v>2.452241E-3</v>
      </c>
      <c r="EQ204">
        <v>1.1922339999999999E-3</v>
      </c>
      <c r="ER204">
        <v>4.5516699999999997E-4</v>
      </c>
      <c r="ES204">
        <v>8.3528219999999998E-4</v>
      </c>
      <c r="ET204">
        <v>7.5642640000000002E-3</v>
      </c>
      <c r="EU204">
        <v>2.7642280000000001E-3</v>
      </c>
      <c r="EV204">
        <v>8.4435240000000009E-3</v>
      </c>
      <c r="EW204">
        <v>5.8579339999999995E-4</v>
      </c>
      <c r="EX204">
        <v>4.6917640000000002E-3</v>
      </c>
      <c r="EY204">
        <v>6.7954160000000003E-3</v>
      </c>
      <c r="EZ204">
        <v>1.608658E-3</v>
      </c>
      <c r="FA204">
        <v>1.190958E-3</v>
      </c>
      <c r="FB204">
        <v>1.249219E-3</v>
      </c>
      <c r="FC204">
        <v>1.8572770000000001E-3</v>
      </c>
      <c r="FD204">
        <v>3.9444859999999998E-4</v>
      </c>
      <c r="FE204">
        <v>2.5000519999999998E-2</v>
      </c>
      <c r="FF204">
        <v>1.3945829999999999E-2</v>
      </c>
      <c r="FG204">
        <v>8.1747409999999993E-3</v>
      </c>
      <c r="FH204">
        <v>8.2612250000000005E-4</v>
      </c>
      <c r="FI204">
        <v>1.5344460000000001E-3</v>
      </c>
      <c r="FJ204">
        <v>1.0669069999999999E-2</v>
      </c>
      <c r="FK204">
        <v>0.121444830626755</v>
      </c>
      <c r="FL204">
        <v>0.14563227237069601</v>
      </c>
      <c r="FM204">
        <v>0.73837530906700999</v>
      </c>
      <c r="FN204">
        <v>6.48124503166079E-2</v>
      </c>
      <c r="FO204">
        <v>0.27438485073561403</v>
      </c>
      <c r="FP204">
        <v>-0.34649972492571801</v>
      </c>
      <c r="FQ204">
        <v>-0.182472058593659</v>
      </c>
      <c r="FR204">
        <v>-4.1558290265578002E-2</v>
      </c>
      <c r="FS204">
        <v>6.8138959485751494E-2</v>
      </c>
      <c r="FT204">
        <v>9.7547104918610295E-2</v>
      </c>
      <c r="FU204">
        <v>0.26353105693551998</v>
      </c>
      <c r="FV204">
        <v>0.14634013360888701</v>
      </c>
      <c r="FW204">
        <v>-1.3366219161738101E-2</v>
      </c>
      <c r="FX204">
        <v>0.13887419488466299</v>
      </c>
      <c r="FY204">
        <v>0.18203963535217299</v>
      </c>
      <c r="FZ204">
        <v>-0.13757181320700301</v>
      </c>
      <c r="GA204">
        <v>-1.9915833291079799E-3</v>
      </c>
      <c r="GB204">
        <v>-4.5849120409306103E-2</v>
      </c>
      <c r="GC204">
        <v>-9.5569709490391994E-2</v>
      </c>
      <c r="GD204">
        <v>-5.8567807342997803E-2</v>
      </c>
      <c r="GE204">
        <v>3.3403602533033099E-3</v>
      </c>
      <c r="GF204">
        <v>0.23323947919829399</v>
      </c>
      <c r="GG204">
        <v>0.230476705947984</v>
      </c>
      <c r="GH204">
        <v>0.23403983693392599</v>
      </c>
      <c r="GI204">
        <v>-8.7091715122307196E-3</v>
      </c>
      <c r="GJ204">
        <v>9.9308864159303803E-2</v>
      </c>
      <c r="GK204">
        <v>6.9388918558200202E-2</v>
      </c>
      <c r="GL204">
        <v>-6.9522940609370906E-2</v>
      </c>
      <c r="GM204">
        <v>-3.11578861030615E-2</v>
      </c>
      <c r="GN204">
        <v>4.0971379591430997E-2</v>
      </c>
      <c r="GO204">
        <v>6.6355517422946902E-2</v>
      </c>
      <c r="GP204">
        <v>7.2564468887739196E-3</v>
      </c>
      <c r="GR204" s="66"/>
      <c r="GT204" s="66"/>
      <c r="GV204" s="66"/>
      <c r="GZ204" s="66"/>
      <c r="HM204" s="65"/>
      <c r="HO204" s="65"/>
      <c r="HP204" s="65"/>
      <c r="HQ204" s="65"/>
      <c r="HT204" s="65"/>
      <c r="HV204" s="65"/>
      <c r="HW204" s="65"/>
      <c r="HX204" s="65"/>
    </row>
    <row r="205" spans="1:278" ht="15.75" x14ac:dyDescent="0.25">
      <c r="A205" s="2" t="s">
        <v>257</v>
      </c>
      <c r="B205" s="2" t="s">
        <v>257</v>
      </c>
      <c r="C205" s="2" t="s">
        <v>1113</v>
      </c>
      <c r="D205" s="2" t="s">
        <v>647</v>
      </c>
      <c r="E205" s="2" t="s">
        <v>647</v>
      </c>
      <c r="F205" s="2">
        <v>204</v>
      </c>
      <c r="G205" s="19" t="s">
        <v>1112</v>
      </c>
      <c r="H205" s="10" t="s">
        <v>656</v>
      </c>
      <c r="I205" s="2">
        <v>150</v>
      </c>
      <c r="J205" s="2">
        <v>65</v>
      </c>
      <c r="K205" s="12">
        <v>5.2</v>
      </c>
      <c r="L205" t="s">
        <v>431</v>
      </c>
      <c r="M205" s="2" t="s">
        <v>1120</v>
      </c>
      <c r="N205" s="2" t="s">
        <v>437</v>
      </c>
      <c r="O205" s="2" t="s">
        <v>666</v>
      </c>
      <c r="P205" s="2" t="s">
        <v>1132</v>
      </c>
      <c r="Q205" s="9" t="s">
        <v>740</v>
      </c>
      <c r="R205" s="2" t="str">
        <f t="shared" si="217"/>
        <v>CW_3_Section_2</v>
      </c>
      <c r="S205" s="2" t="str">
        <f t="shared" si="218"/>
        <v>CW_3_MF06</v>
      </c>
      <c r="T205" s="11" t="s">
        <v>1075</v>
      </c>
      <c r="U205" s="1">
        <v>46008</v>
      </c>
      <c r="V205" s="2" t="s">
        <v>799</v>
      </c>
      <c r="W205" s="2" t="s">
        <v>663</v>
      </c>
      <c r="X205" s="2" t="s">
        <v>1074</v>
      </c>
      <c r="Y205" s="2" t="str">
        <f t="shared" si="219"/>
        <v>T8_MF06</v>
      </c>
      <c r="Z205" s="2" t="str">
        <f t="shared" si="220"/>
        <v>T8_CW_3_MF06</v>
      </c>
      <c r="AA205" s="2" t="str">
        <f t="shared" si="221"/>
        <v>T8_0.60-0.80</v>
      </c>
      <c r="AB205" s="2">
        <v>490</v>
      </c>
      <c r="AC205" s="2">
        <v>16.117999999999999</v>
      </c>
      <c r="AD205" s="2">
        <v>1.53</v>
      </c>
      <c r="AE205" s="2">
        <v>8</v>
      </c>
      <c r="AF205" t="s">
        <v>57</v>
      </c>
      <c r="AG205" t="s">
        <v>1237</v>
      </c>
      <c r="AH205">
        <v>73</v>
      </c>
      <c r="AI205" t="s">
        <v>443</v>
      </c>
      <c r="AJ205">
        <v>0.63</v>
      </c>
      <c r="AK205">
        <v>3.32</v>
      </c>
      <c r="AL205">
        <v>9</v>
      </c>
      <c r="AM205">
        <v>-82</v>
      </c>
      <c r="AN205">
        <v>7.7</v>
      </c>
      <c r="AO205">
        <v>1107</v>
      </c>
      <c r="AP205">
        <v>0.1</v>
      </c>
      <c r="AQ205">
        <v>0.01</v>
      </c>
      <c r="AR205">
        <v>7.4</v>
      </c>
      <c r="AS205">
        <v>11</v>
      </c>
      <c r="AT205">
        <v>520</v>
      </c>
      <c r="AU205" s="32">
        <f t="shared" si="233"/>
        <v>0.19971834592241711</v>
      </c>
      <c r="AV205">
        <v>95</v>
      </c>
      <c r="AW205" s="32">
        <f t="shared" si="234"/>
        <v>3.7117429997829396E-2</v>
      </c>
      <c r="AX205">
        <v>240</v>
      </c>
      <c r="AY205" s="32">
        <f t="shared" si="235"/>
        <v>9.4942074032212498E-2</v>
      </c>
      <c r="AZ205">
        <v>110</v>
      </c>
      <c r="BA205" s="32">
        <f t="shared" si="236"/>
        <v>4.3515117264764057E-2</v>
      </c>
      <c r="BB205">
        <v>110</v>
      </c>
      <c r="BC205" s="32">
        <f t="shared" si="237"/>
        <v>4.3515117264764057E-2</v>
      </c>
      <c r="BD205">
        <v>220</v>
      </c>
      <c r="BF205" s="48">
        <v>1075</v>
      </c>
      <c r="BG205" s="48">
        <f t="shared" si="238"/>
        <v>0.33177784995245901</v>
      </c>
      <c r="BH205">
        <v>1300</v>
      </c>
      <c r="BI205" s="32">
        <f t="shared" si="239"/>
        <v>0.48685339783100573</v>
      </c>
      <c r="BJ205" s="47">
        <v>1200</v>
      </c>
      <c r="BK205" s="27">
        <f t="shared" si="240"/>
        <v>0.44940313645938984</v>
      </c>
      <c r="BL205" s="47">
        <v>2</v>
      </c>
      <c r="BM205" s="27">
        <f t="shared" si="241"/>
        <v>7.3592220251002033E-4</v>
      </c>
      <c r="BN205" s="47">
        <v>50</v>
      </c>
      <c r="BO205" s="27">
        <f t="shared" si="242"/>
        <v>1.8805524933532197E-2</v>
      </c>
      <c r="BP205" s="47">
        <v>14</v>
      </c>
      <c r="BQ205" s="27">
        <f t="shared" si="243"/>
        <v>5.2219949464565032E-3</v>
      </c>
      <c r="BR205" s="47">
        <v>7.7</v>
      </c>
      <c r="BS205" s="27">
        <f t="shared" si="244"/>
        <v>2.8513718229254336E-3</v>
      </c>
      <c r="BT205" s="47">
        <v>1.6</v>
      </c>
      <c r="BU205" s="27">
        <f t="shared" si="245"/>
        <v>5.9249284632216796E-4</v>
      </c>
      <c r="BV205" s="47">
        <v>0.38</v>
      </c>
      <c r="BW205" s="27">
        <f t="shared" si="246"/>
        <v>1.3903584672435106E-4</v>
      </c>
      <c r="BX205" s="47">
        <v>0.43</v>
      </c>
      <c r="BY205" s="27">
        <f t="shared" si="247"/>
        <v>1.573300370828183E-4</v>
      </c>
      <c r="BZ205" s="51">
        <f t="shared" si="248"/>
        <v>1276.1100000000001</v>
      </c>
      <c r="CA205" s="51">
        <f t="shared" si="249"/>
        <v>76.11</v>
      </c>
      <c r="CB205" s="27">
        <f t="shared" si="250"/>
        <v>0.47790680909494332</v>
      </c>
      <c r="CC205" s="27">
        <f t="shared" si="251"/>
        <v>2.8503672635553489E-2</v>
      </c>
      <c r="CD205">
        <v>2100</v>
      </c>
      <c r="CE205">
        <v>510</v>
      </c>
      <c r="CF205" t="s">
        <v>19</v>
      </c>
      <c r="CG205">
        <v>2700</v>
      </c>
      <c r="CH205" s="32">
        <v>0.02</v>
      </c>
      <c r="CI205" s="32">
        <f t="shared" si="252"/>
        <v>3.5810205908683976E-4</v>
      </c>
      <c r="CJ205" s="32">
        <f t="shared" si="253"/>
        <v>3.5810205908683976E-4</v>
      </c>
      <c r="CK205" s="32">
        <v>0.8</v>
      </c>
      <c r="CL205" s="32">
        <f t="shared" si="254"/>
        <v>1.4563990533406155E-2</v>
      </c>
      <c r="CM205" s="32">
        <f t="shared" si="255"/>
        <v>2.912798106681231E-2</v>
      </c>
      <c r="CN205" s="27">
        <v>64</v>
      </c>
      <c r="CO205" s="27">
        <f t="shared" si="256"/>
        <v>0.66625026025400791</v>
      </c>
      <c r="CP205" s="27">
        <f t="shared" si="257"/>
        <v>5.3300020820320633</v>
      </c>
      <c r="CQ205" s="57">
        <v>8</v>
      </c>
      <c r="CR205" s="57">
        <v>11.111111111111111</v>
      </c>
      <c r="CS205" s="57">
        <v>0.66625026025400791</v>
      </c>
      <c r="CT205" s="57">
        <f t="shared" si="258"/>
        <v>0.66625026025400791</v>
      </c>
      <c r="CU205" s="28">
        <v>-10</v>
      </c>
      <c r="CV205" s="28">
        <v>-18.518518518518519</v>
      </c>
      <c r="CW205" s="28">
        <v>-0.83281282531750989</v>
      </c>
      <c r="CX205" s="28">
        <f t="shared" si="259"/>
        <v>0</v>
      </c>
      <c r="CY205" s="32">
        <f t="shared" si="260"/>
        <v>4.650426816572975</v>
      </c>
      <c r="CZ205" s="32">
        <f t="shared" si="261"/>
        <v>4.650426816572975</v>
      </c>
      <c r="DA205" s="32">
        <f t="shared" si="262"/>
        <v>4.6704268165729745</v>
      </c>
      <c r="DB205" s="32">
        <f t="shared" si="263"/>
        <v>8.3624472991458809E-2</v>
      </c>
      <c r="DC205" s="32">
        <f t="shared" si="264"/>
        <v>8.3624472991458809E-2</v>
      </c>
      <c r="DD205" s="59">
        <f t="shared" si="265"/>
        <v>-5.8130335207162185</v>
      </c>
      <c r="DE205" s="59">
        <f t="shared" si="266"/>
        <v>0</v>
      </c>
      <c r="DF205" s="59">
        <f t="shared" si="267"/>
        <v>0.02</v>
      </c>
      <c r="DG205" s="59">
        <f t="shared" si="268"/>
        <v>3.5810205908683976E-4</v>
      </c>
      <c r="DH205" s="59">
        <f t="shared" si="269"/>
        <v>3.5810205908683976E-4</v>
      </c>
      <c r="DI205" s="32">
        <f t="shared" si="270"/>
        <v>5.3300020820320633</v>
      </c>
      <c r="DJ205" s="32">
        <f t="shared" si="271"/>
        <v>0.82000000000000006</v>
      </c>
      <c r="DK205" s="32">
        <f t="shared" si="272"/>
        <v>2.9486083125899148E-2</v>
      </c>
      <c r="DL205">
        <f t="shared" si="273"/>
        <v>0.77900271431227908</v>
      </c>
      <c r="DM205">
        <f t="shared" si="222"/>
        <v>3.7391373010204641E-2</v>
      </c>
      <c r="DN205">
        <f t="shared" si="223"/>
        <v>0.10734811503870606</v>
      </c>
      <c r="DO205">
        <f t="shared" si="224"/>
        <v>0.85526051195108921</v>
      </c>
      <c r="DP205">
        <f t="shared" si="274"/>
        <v>2.9486083125899148E-2</v>
      </c>
      <c r="DQ205">
        <f t="shared" si="225"/>
        <v>0.9878552177460187</v>
      </c>
      <c r="DR205">
        <f t="shared" si="226"/>
        <v>1.2144782253981379E-2</v>
      </c>
      <c r="DS205">
        <f t="shared" si="227"/>
        <v>0</v>
      </c>
      <c r="DT205" s="63">
        <f t="shared" si="228"/>
        <v>3.9628533471185667E-2</v>
      </c>
      <c r="DU205" s="63">
        <f t="shared" si="229"/>
        <v>0.78914516465756557</v>
      </c>
      <c r="DV205" s="63">
        <f t="shared" si="230"/>
        <v>6.8132206106739202E-2</v>
      </c>
      <c r="DW205" s="63">
        <f t="shared" si="231"/>
        <v>0.8176488372931191</v>
      </c>
      <c r="DX205" t="str">
        <f t="shared" si="275"/>
        <v>Insufficient Capacity</v>
      </c>
      <c r="DY205" t="str">
        <f t="shared" si="276"/>
        <v>Insufficient Capacity</v>
      </c>
      <c r="DZ205" t="str">
        <f t="shared" si="277"/>
        <v>Sulfate Dominant electron acceptor</v>
      </c>
      <c r="EA205" t="str">
        <f t="shared" si="232"/>
        <v>Iron Dominant electron acceptor</v>
      </c>
      <c r="EB205">
        <v>1.082467E-2</v>
      </c>
      <c r="EC205">
        <v>2.0012889999999998E-3</v>
      </c>
      <c r="ED205">
        <v>0</v>
      </c>
      <c r="EE205">
        <v>2.096066E-4</v>
      </c>
      <c r="EF205">
        <v>1.9506390000000001E-3</v>
      </c>
      <c r="EG205" s="66">
        <v>5.6275389999999999E-6</v>
      </c>
      <c r="EH205" s="66">
        <v>9.4166219999999994E-5</v>
      </c>
      <c r="EI205" s="66">
        <v>4.012132E-5</v>
      </c>
      <c r="EJ205">
        <v>1.7174240000000001E-4</v>
      </c>
      <c r="EK205">
        <v>2.9472059999999998E-4</v>
      </c>
      <c r="EL205">
        <v>3.0940090000000002E-4</v>
      </c>
      <c r="EM205" s="66">
        <v>8.0542020000000004E-5</v>
      </c>
      <c r="EN205">
        <v>1.714302E-3</v>
      </c>
      <c r="EO205">
        <v>5.7325900000000001E-4</v>
      </c>
      <c r="EP205">
        <v>1.1504569999999999E-3</v>
      </c>
      <c r="EQ205">
        <v>1.891132E-3</v>
      </c>
      <c r="ER205">
        <v>1.2421310000000001E-4</v>
      </c>
      <c r="ES205">
        <v>3.27466E-4</v>
      </c>
      <c r="ET205">
        <v>6.8354649999999998E-3</v>
      </c>
      <c r="EU205">
        <v>2.669397E-3</v>
      </c>
      <c r="EV205">
        <v>1.009087E-2</v>
      </c>
      <c r="EW205">
        <v>5.6778790000000003E-4</v>
      </c>
      <c r="EX205">
        <v>6.3231590000000001E-3</v>
      </c>
      <c r="EY205">
        <v>7.7243069999999997E-3</v>
      </c>
      <c r="EZ205">
        <v>4.2894329999999998E-4</v>
      </c>
      <c r="FA205">
        <v>4.019219E-4</v>
      </c>
      <c r="FB205">
        <v>4.1141559999999998E-4</v>
      </c>
      <c r="FC205">
        <v>1.4074090000000001E-3</v>
      </c>
      <c r="FD205" s="66">
        <v>9.9363360000000002E-5</v>
      </c>
      <c r="FE205">
        <v>2.0369769999999999E-2</v>
      </c>
      <c r="FF205">
        <v>2.5424950000000002E-2</v>
      </c>
      <c r="FG205">
        <v>1.242738E-2</v>
      </c>
      <c r="FH205">
        <v>1.002361E-3</v>
      </c>
      <c r="FI205">
        <v>9.9104529999999996E-4</v>
      </c>
      <c r="FJ205">
        <v>1.6496799999999999E-2</v>
      </c>
      <c r="FK205">
        <v>-1.0051648777662101</v>
      </c>
      <c r="FL205">
        <v>-0.85798810887747701</v>
      </c>
      <c r="FM205">
        <v>-0.76411040867287305</v>
      </c>
      <c r="FN205">
        <v>-1.14851063660752</v>
      </c>
      <c r="FO205">
        <v>-0.68227311125599099</v>
      </c>
      <c r="FP205">
        <v>-0.94599132455106505</v>
      </c>
      <c r="FQ205">
        <v>-0.89226430951879299</v>
      </c>
      <c r="FR205">
        <v>-0.387033027313749</v>
      </c>
      <c r="FS205">
        <v>-1.1608409778934099</v>
      </c>
      <c r="FT205">
        <v>-0.17076526239901599</v>
      </c>
      <c r="FU205">
        <v>-0.35344627900665199</v>
      </c>
      <c r="FV205">
        <v>-0.61050291200728302</v>
      </c>
      <c r="FW205">
        <v>0.44798051431274899</v>
      </c>
      <c r="FX205">
        <v>-1.15979155071566</v>
      </c>
      <c r="FY205">
        <v>-0.75434576358146899</v>
      </c>
      <c r="FZ205">
        <v>-0.23888236551321301</v>
      </c>
      <c r="GA205">
        <v>-3.6900370769426899E-2</v>
      </c>
      <c r="GB205">
        <v>0.13238217721410001</v>
      </c>
      <c r="GC205">
        <v>-0.12678894368538299</v>
      </c>
      <c r="GD205">
        <v>0.23984248656263099</v>
      </c>
      <c r="GE205">
        <v>0.13146420305964401</v>
      </c>
      <c r="GF205">
        <v>-1.08859134845869</v>
      </c>
      <c r="GG205">
        <v>-0.85577880716435895</v>
      </c>
      <c r="GH205">
        <v>-0.876630102293671</v>
      </c>
      <c r="GI205">
        <v>-0.28607018277880403</v>
      </c>
      <c r="GJ205">
        <v>-1.2793965420911799</v>
      </c>
      <c r="GK205">
        <v>-0.135455767033098</v>
      </c>
      <c r="GL205">
        <v>0.53102749590569198</v>
      </c>
      <c r="GM205">
        <v>0.387695182507935</v>
      </c>
      <c r="GN205">
        <v>0.23434180818269301</v>
      </c>
      <c r="GO205">
        <v>-0.37080892071392701</v>
      </c>
      <c r="GP205">
        <v>0.44307396834012602</v>
      </c>
      <c r="HM205" s="65"/>
      <c r="HO205" s="65"/>
      <c r="HS205" s="65"/>
      <c r="HV205" s="65"/>
      <c r="HW205" s="65"/>
      <c r="HX205" s="65"/>
    </row>
    <row r="206" spans="1:278" ht="15.75" x14ac:dyDescent="0.25">
      <c r="A206" s="2" t="s">
        <v>258</v>
      </c>
      <c r="B206" s="2" t="s">
        <v>258</v>
      </c>
      <c r="C206" s="2" t="s">
        <v>1115</v>
      </c>
      <c r="D206" s="2" t="s">
        <v>648</v>
      </c>
      <c r="E206" s="2" t="s">
        <v>648</v>
      </c>
      <c r="F206" s="2">
        <v>205</v>
      </c>
      <c r="G206" s="19" t="s">
        <v>1114</v>
      </c>
      <c r="H206" s="10" t="s">
        <v>656</v>
      </c>
      <c r="I206" s="2">
        <v>150</v>
      </c>
      <c r="J206" s="2">
        <v>65</v>
      </c>
      <c r="K206" s="12">
        <v>8.25</v>
      </c>
      <c r="L206" t="s">
        <v>433</v>
      </c>
      <c r="M206" s="2" t="s">
        <v>1120</v>
      </c>
      <c r="N206" s="2" t="s">
        <v>437</v>
      </c>
      <c r="O206" s="2" t="s">
        <v>673</v>
      </c>
      <c r="P206" s="2" t="s">
        <v>1127</v>
      </c>
      <c r="Q206" s="9" t="s">
        <v>743</v>
      </c>
      <c r="R206" s="2" t="str">
        <f t="shared" si="217"/>
        <v>CW_3_Section_3</v>
      </c>
      <c r="S206" s="2" t="str">
        <f t="shared" si="218"/>
        <v>CW_3_MF09</v>
      </c>
      <c r="T206" s="11" t="s">
        <v>1075</v>
      </c>
      <c r="U206" s="1">
        <v>46009</v>
      </c>
      <c r="V206" s="2" t="s">
        <v>799</v>
      </c>
      <c r="W206" s="2" t="s">
        <v>655</v>
      </c>
      <c r="X206" s="2" t="s">
        <v>1074</v>
      </c>
      <c r="Y206" s="2" t="str">
        <f t="shared" si="219"/>
        <v>T8_MF09</v>
      </c>
      <c r="Z206" s="2" t="str">
        <f t="shared" si="220"/>
        <v>T8_CW_3_MF09</v>
      </c>
      <c r="AA206" s="2" t="str">
        <f t="shared" si="221"/>
        <v>T8_0.15-0.30</v>
      </c>
      <c r="AB206" s="2">
        <v>490</v>
      </c>
      <c r="AC206" s="2">
        <v>16.117999999999999</v>
      </c>
      <c r="AD206" s="2">
        <v>1.53</v>
      </c>
      <c r="AE206" s="2">
        <v>8</v>
      </c>
      <c r="AF206" t="s">
        <v>59</v>
      </c>
      <c r="AG206" t="s">
        <v>1237</v>
      </c>
      <c r="AH206">
        <v>43</v>
      </c>
      <c r="AI206" t="s">
        <v>443</v>
      </c>
      <c r="AJ206">
        <v>1.1000000000000001</v>
      </c>
      <c r="AK206">
        <v>5.78</v>
      </c>
      <c r="AL206">
        <v>9</v>
      </c>
      <c r="AM206">
        <v>105</v>
      </c>
      <c r="AN206">
        <v>7.4</v>
      </c>
      <c r="AO206">
        <v>1110</v>
      </c>
      <c r="AP206">
        <v>0.1</v>
      </c>
      <c r="AQ206">
        <v>0.01</v>
      </c>
      <c r="AR206">
        <v>13</v>
      </c>
      <c r="AS206">
        <v>14</v>
      </c>
      <c r="AT206">
        <v>120</v>
      </c>
      <c r="AU206" s="32">
        <f t="shared" si="233"/>
        <v>4.6088849059019332E-2</v>
      </c>
      <c r="AV206">
        <v>3.4</v>
      </c>
      <c r="AW206" s="32">
        <f t="shared" si="234"/>
        <v>1.3284132841328412E-3</v>
      </c>
      <c r="AX206">
        <v>37</v>
      </c>
      <c r="AY206" s="32">
        <f t="shared" si="235"/>
        <v>1.4636903079966092E-2</v>
      </c>
      <c r="AZ206">
        <v>27</v>
      </c>
      <c r="BA206" s="32">
        <f t="shared" si="236"/>
        <v>1.0680983328623906E-2</v>
      </c>
      <c r="BB206">
        <v>8.3000000000000007</v>
      </c>
      <c r="BC206" s="32">
        <f t="shared" si="237"/>
        <v>3.2834133936140157E-3</v>
      </c>
      <c r="BD206">
        <v>35.299999999999997</v>
      </c>
      <c r="BF206" s="48">
        <v>195.7</v>
      </c>
      <c r="BG206" s="48">
        <f t="shared" si="238"/>
        <v>6.2054165423118271E-2</v>
      </c>
      <c r="BH206">
        <v>160</v>
      </c>
      <c r="BI206" s="32">
        <f t="shared" si="239"/>
        <v>5.9920418194585309E-2</v>
      </c>
      <c r="BJ206" s="47">
        <v>28</v>
      </c>
      <c r="BK206" s="27">
        <f t="shared" si="240"/>
        <v>1.048607318405243E-2</v>
      </c>
      <c r="BL206" s="47">
        <v>0.01</v>
      </c>
      <c r="BM206" s="27">
        <f t="shared" si="241"/>
        <v>3.6796110125501018E-6</v>
      </c>
      <c r="BN206" s="47">
        <v>0.01</v>
      </c>
      <c r="BO206" s="27">
        <f t="shared" si="242"/>
        <v>3.7611049867064394E-6</v>
      </c>
      <c r="BP206" s="47">
        <v>5.0000000000000001E-3</v>
      </c>
      <c r="BQ206" s="27">
        <f t="shared" si="243"/>
        <v>1.8649981951630372E-6</v>
      </c>
      <c r="BR206" s="47">
        <v>0.01</v>
      </c>
      <c r="BS206" s="27">
        <f t="shared" si="244"/>
        <v>3.7030802895135499E-6</v>
      </c>
      <c r="BT206" s="47">
        <v>1E-3</v>
      </c>
      <c r="BU206" s="27">
        <f t="shared" si="245"/>
        <v>3.7030802895135499E-7</v>
      </c>
      <c r="BV206" s="47">
        <v>1E-3</v>
      </c>
      <c r="BW206" s="27">
        <f t="shared" si="246"/>
        <v>3.6588380716934485E-7</v>
      </c>
      <c r="BX206" s="47">
        <v>2E-3</v>
      </c>
      <c r="BY206" s="27">
        <f t="shared" si="247"/>
        <v>7.3176761433868969E-7</v>
      </c>
      <c r="BZ206" s="51">
        <f t="shared" si="248"/>
        <v>28.039000000000005</v>
      </c>
      <c r="CA206" s="51">
        <f t="shared" si="249"/>
        <v>3.9000000000000007E-2</v>
      </c>
      <c r="CB206" s="27">
        <f t="shared" si="250"/>
        <v>1.0500549937986822E-2</v>
      </c>
      <c r="CC206" s="27">
        <f t="shared" si="251"/>
        <v>1.4476753934392517E-5</v>
      </c>
      <c r="CD206">
        <v>360</v>
      </c>
      <c r="CE206">
        <v>2.5</v>
      </c>
      <c r="CF206" t="s">
        <v>19</v>
      </c>
      <c r="CG206">
        <v>370</v>
      </c>
      <c r="CH206" s="32">
        <v>31</v>
      </c>
      <c r="CI206" s="32">
        <f t="shared" si="252"/>
        <v>0.55505819158460157</v>
      </c>
      <c r="CJ206" s="32">
        <f t="shared" si="253"/>
        <v>0.55505819158460157</v>
      </c>
      <c r="CK206" s="32">
        <v>4.9000000000000004</v>
      </c>
      <c r="CL206" s="32">
        <f t="shared" si="254"/>
        <v>8.9204442017112695E-2</v>
      </c>
      <c r="CM206" s="32">
        <f t="shared" si="255"/>
        <v>0.17840888403422539</v>
      </c>
      <c r="CN206" s="27">
        <v>0.5</v>
      </c>
      <c r="CO206" s="27">
        <f t="shared" si="256"/>
        <v>5.2050801582344368E-3</v>
      </c>
      <c r="CP206" s="27">
        <f t="shared" si="257"/>
        <v>4.1640641265875494E-2</v>
      </c>
      <c r="CQ206" s="57">
        <v>71.5</v>
      </c>
      <c r="CR206" s="57">
        <v>99.305555555555557</v>
      </c>
      <c r="CS206" s="57">
        <v>5.9546117010201955</v>
      </c>
      <c r="CT206" s="57">
        <f t="shared" si="258"/>
        <v>5.9546117010201955</v>
      </c>
      <c r="CU206" s="28">
        <v>34.5</v>
      </c>
      <c r="CV206" s="28">
        <v>98.571428571428584</v>
      </c>
      <c r="CW206" s="28">
        <v>2.8732042473454089</v>
      </c>
      <c r="CX206" s="28">
        <f t="shared" si="259"/>
        <v>2.8732042473454089</v>
      </c>
      <c r="CY206" s="32">
        <f t="shared" si="260"/>
        <v>41.563189673120966</v>
      </c>
      <c r="CZ206" s="32">
        <f t="shared" si="261"/>
        <v>41.563189673120966</v>
      </c>
      <c r="DA206" s="32">
        <f t="shared" si="262"/>
        <v>72.563189673120974</v>
      </c>
      <c r="DB206" s="32">
        <f t="shared" si="263"/>
        <v>1.2992513817926763</v>
      </c>
      <c r="DC206" s="32">
        <f t="shared" si="264"/>
        <v>1.2992513817926763</v>
      </c>
      <c r="DD206" s="59">
        <f t="shared" si="265"/>
        <v>20.054965646470954</v>
      </c>
      <c r="DE206" s="59">
        <f t="shared" si="266"/>
        <v>20.054965646470954</v>
      </c>
      <c r="DF206" s="59">
        <f t="shared" si="267"/>
        <v>51.054965646470954</v>
      </c>
      <c r="DG206" s="59">
        <f t="shared" si="268"/>
        <v>0.91414441623045573</v>
      </c>
      <c r="DH206" s="59">
        <f t="shared" si="269"/>
        <v>0.91414441623045573</v>
      </c>
      <c r="DI206" s="32">
        <f t="shared" si="270"/>
        <v>4.1640641265875494E-2</v>
      </c>
      <c r="DJ206" s="32">
        <f t="shared" si="271"/>
        <v>55.954965646470953</v>
      </c>
      <c r="DK206" s="32">
        <f t="shared" si="272"/>
        <v>1.0925533002646812</v>
      </c>
      <c r="DL206">
        <f t="shared" si="273"/>
        <v>7.4322719668470967</v>
      </c>
      <c r="DM206">
        <f t="shared" si="222"/>
        <v>2.4004622655097705E-2</v>
      </c>
      <c r="DN206">
        <f t="shared" si="223"/>
        <v>0.17481214191141098</v>
      </c>
      <c r="DO206">
        <f t="shared" si="224"/>
        <v>0.80118323543349135</v>
      </c>
      <c r="DP206">
        <f t="shared" si="274"/>
        <v>3.9657575476100901</v>
      </c>
      <c r="DQ206">
        <f t="shared" si="225"/>
        <v>4.4987340222485635E-2</v>
      </c>
      <c r="DR206">
        <f t="shared" si="226"/>
        <v>0.23050940589682606</v>
      </c>
      <c r="DS206">
        <f t="shared" si="227"/>
        <v>0.72450325388068826</v>
      </c>
      <c r="DT206" s="63">
        <f t="shared" si="228"/>
        <v>-7.3102973832293934</v>
      </c>
      <c r="DU206" s="63">
        <f t="shared" si="229"/>
        <v>-3.8437829639923864</v>
      </c>
      <c r="DV206" s="63">
        <f t="shared" si="230"/>
        <v>-7.3102829064754591</v>
      </c>
      <c r="DW206" s="63">
        <f t="shared" si="231"/>
        <v>-3.8437684872384521</v>
      </c>
      <c r="DX206" t="str">
        <f t="shared" si="275"/>
        <v>Sufficient Capacity</v>
      </c>
      <c r="DY206" t="str">
        <f t="shared" si="276"/>
        <v>Sufficient Capacity</v>
      </c>
      <c r="DZ206" t="str">
        <f t="shared" si="277"/>
        <v>Sulfate Dominant electron acceptor</v>
      </c>
      <c r="EA206" t="str">
        <f t="shared" si="232"/>
        <v>Sulfate Dominant electron acceptor</v>
      </c>
      <c r="EB206">
        <v>1.0045409999999999E-2</v>
      </c>
      <c r="EC206">
        <v>1.354004E-3</v>
      </c>
      <c r="ED206" s="66">
        <v>2.2703350000000001E-7</v>
      </c>
      <c r="EE206">
        <v>4.6798800000000002E-4</v>
      </c>
      <c r="EF206">
        <v>4.4318700000000001E-3</v>
      </c>
      <c r="EG206" s="66">
        <v>1.9441189999999999E-5</v>
      </c>
      <c r="EH206">
        <v>2.5311410000000001E-4</v>
      </c>
      <c r="EI206">
        <v>1.5238639999999999E-4</v>
      </c>
      <c r="EJ206">
        <v>3.274892E-4</v>
      </c>
      <c r="EK206">
        <v>5.8953079999999995E-4</v>
      </c>
      <c r="EL206">
        <v>4.231824E-4</v>
      </c>
      <c r="EM206">
        <v>2.8647770000000001E-4</v>
      </c>
      <c r="EN206">
        <v>2.2243319999999999E-3</v>
      </c>
      <c r="EO206">
        <v>9.659925E-4</v>
      </c>
      <c r="EP206">
        <v>2.202744E-3</v>
      </c>
      <c r="EQ206">
        <v>1.5165199999999999E-3</v>
      </c>
      <c r="ER206">
        <v>3.2213169999999999E-4</v>
      </c>
      <c r="ES206">
        <v>6.0689550000000004E-4</v>
      </c>
      <c r="ET206">
        <v>1.5993540000000001E-2</v>
      </c>
      <c r="EU206">
        <v>3.1853189999999998E-3</v>
      </c>
      <c r="EV206">
        <v>9.9020819999999996E-3</v>
      </c>
      <c r="EW206">
        <v>4.7624210000000002E-4</v>
      </c>
      <c r="EX206">
        <v>5.0751069999999997E-3</v>
      </c>
      <c r="EY206">
        <v>6.8601900000000004E-3</v>
      </c>
      <c r="EZ206">
        <v>1.3518200000000001E-3</v>
      </c>
      <c r="FA206">
        <v>1.077143E-3</v>
      </c>
      <c r="FB206">
        <v>1.105892E-3</v>
      </c>
      <c r="FC206">
        <v>1.7856020000000001E-3</v>
      </c>
      <c r="FD206">
        <v>3.5375780000000001E-4</v>
      </c>
      <c r="FE206">
        <v>2.0869970000000002E-2</v>
      </c>
      <c r="FF206">
        <v>1.182193E-2</v>
      </c>
      <c r="FG206">
        <v>6.6170980000000001E-3</v>
      </c>
      <c r="FH206">
        <v>5.5240270000000004E-4</v>
      </c>
      <c r="FI206">
        <v>1.4896040000000001E-3</v>
      </c>
      <c r="FJ206">
        <v>8.9686520000000006E-3</v>
      </c>
      <c r="FK206">
        <v>-0.201954663703692</v>
      </c>
      <c r="FL206">
        <v>-3.7323503196602402E-2</v>
      </c>
      <c r="FM206">
        <v>0.475611378449733</v>
      </c>
      <c r="FN206">
        <v>-0.15973177994660101</v>
      </c>
      <c r="FO206">
        <v>0.65223842532077603</v>
      </c>
      <c r="FP206">
        <v>-0.30053192687823299</v>
      </c>
      <c r="FQ206">
        <v>-0.198965132134203</v>
      </c>
      <c r="FR206">
        <v>-7.3867582526746703E-2</v>
      </c>
      <c r="FS206">
        <v>0.108040683466847</v>
      </c>
      <c r="FT206">
        <v>8.9685382736060901E-2</v>
      </c>
      <c r="FU206">
        <v>0.16837216962941101</v>
      </c>
      <c r="FV206">
        <v>3.9041689145322203E-2</v>
      </c>
      <c r="FW206">
        <v>0.22722315905828899</v>
      </c>
      <c r="FX206">
        <v>-0.20682972155785001</v>
      </c>
      <c r="FY206">
        <v>-0.137373378389824</v>
      </c>
      <c r="FZ206">
        <v>0.61117802514849195</v>
      </c>
      <c r="GA206">
        <v>0.13979946601596799</v>
      </c>
      <c r="GB206">
        <v>0.113496160641779</v>
      </c>
      <c r="GC206">
        <v>-0.30261053879982902</v>
      </c>
      <c r="GD206">
        <v>1.9971169960434999E-2</v>
      </c>
      <c r="GE206">
        <v>1.28272311850157E-2</v>
      </c>
      <c r="GF206">
        <v>5.9291020825236601E-2</v>
      </c>
      <c r="GG206">
        <v>0.130030846270793</v>
      </c>
      <c r="GH206">
        <v>0.112173530034471</v>
      </c>
      <c r="GI206">
        <v>-4.8064994803255899E-2</v>
      </c>
      <c r="GJ206">
        <v>-9.56747794538515E-3</v>
      </c>
      <c r="GK206">
        <v>-0.111196422475659</v>
      </c>
      <c r="GL206">
        <v>-0.23474719823794299</v>
      </c>
      <c r="GM206">
        <v>-0.24255001517004701</v>
      </c>
      <c r="GN206">
        <v>-0.36149437873249801</v>
      </c>
      <c r="GO206">
        <v>3.6696426402033702E-2</v>
      </c>
      <c r="GP206">
        <v>-0.16635706829286501</v>
      </c>
      <c r="GR206" s="66"/>
      <c r="GT206" s="66"/>
      <c r="GV206" s="66"/>
      <c r="GW206" s="65"/>
      <c r="GZ206" s="66"/>
      <c r="HO206" s="65"/>
      <c r="HP206" s="65"/>
      <c r="HQ206" s="65"/>
      <c r="HS206" s="65"/>
      <c r="HT206" s="65"/>
      <c r="HU206" s="65"/>
      <c r="HV206" s="65"/>
      <c r="HW206" s="65"/>
      <c r="HX206" s="65"/>
    </row>
    <row r="207" spans="1:278" ht="15.75" x14ac:dyDescent="0.25">
      <c r="A207" s="2" t="s">
        <v>259</v>
      </c>
      <c r="B207" s="2" t="s">
        <v>259</v>
      </c>
      <c r="C207" s="2" t="s">
        <v>1117</v>
      </c>
      <c r="D207" s="2" t="s">
        <v>649</v>
      </c>
      <c r="E207" s="2" t="s">
        <v>649</v>
      </c>
      <c r="F207" s="2">
        <v>206</v>
      </c>
      <c r="G207" s="19" t="s">
        <v>1116</v>
      </c>
      <c r="H207" s="10" t="s">
        <v>656</v>
      </c>
      <c r="I207" s="2">
        <v>150</v>
      </c>
      <c r="J207" s="2">
        <v>65</v>
      </c>
      <c r="K207" s="12">
        <v>5.4</v>
      </c>
      <c r="L207" t="s">
        <v>434</v>
      </c>
      <c r="M207" s="2" t="s">
        <v>1120</v>
      </c>
      <c r="N207" s="2" t="s">
        <v>437</v>
      </c>
      <c r="O207" s="2" t="s">
        <v>673</v>
      </c>
      <c r="P207" s="2" t="s">
        <v>1128</v>
      </c>
      <c r="Q207" s="9" t="s">
        <v>746</v>
      </c>
      <c r="R207" s="2" t="str">
        <f t="shared" si="217"/>
        <v>CW_3_Section_3</v>
      </c>
      <c r="S207" s="2" t="str">
        <f t="shared" si="218"/>
        <v>CW_3_MF10</v>
      </c>
      <c r="T207" s="11" t="s">
        <v>1075</v>
      </c>
      <c r="U207" s="1">
        <v>46009</v>
      </c>
      <c r="V207" s="2" t="s">
        <v>799</v>
      </c>
      <c r="W207" s="2" t="s">
        <v>663</v>
      </c>
      <c r="X207" s="2" t="s">
        <v>1074</v>
      </c>
      <c r="Y207" s="2" t="str">
        <f t="shared" si="219"/>
        <v>T8_MF10</v>
      </c>
      <c r="Z207" s="2" t="str">
        <f t="shared" si="220"/>
        <v>T8_CW_3_MF10</v>
      </c>
      <c r="AA207" s="2" t="str">
        <f t="shared" si="221"/>
        <v>T8_0.60-0.80</v>
      </c>
      <c r="AB207" s="2">
        <v>490</v>
      </c>
      <c r="AC207" s="2">
        <v>16.117999999999999</v>
      </c>
      <c r="AD207" s="2">
        <v>1.53</v>
      </c>
      <c r="AE207" s="2">
        <v>8</v>
      </c>
      <c r="AF207" t="s">
        <v>61</v>
      </c>
      <c r="AG207" t="s">
        <v>1237</v>
      </c>
      <c r="AH207">
        <v>68</v>
      </c>
      <c r="AI207" t="s">
        <v>443</v>
      </c>
      <c r="AJ207">
        <v>0.45</v>
      </c>
      <c r="AK207">
        <v>1.39</v>
      </c>
      <c r="AL207">
        <v>9</v>
      </c>
      <c r="AM207">
        <v>-71</v>
      </c>
      <c r="AN207">
        <v>7.7</v>
      </c>
      <c r="AO207">
        <v>1107</v>
      </c>
      <c r="AP207">
        <v>0.1</v>
      </c>
      <c r="AQ207">
        <v>0.01</v>
      </c>
      <c r="AR207">
        <v>12</v>
      </c>
      <c r="AS207">
        <v>12</v>
      </c>
      <c r="AT207">
        <v>570</v>
      </c>
      <c r="AU207" s="32">
        <f t="shared" si="233"/>
        <v>0.21892203303034183</v>
      </c>
      <c r="AV207">
        <v>77</v>
      </c>
      <c r="AW207" s="32">
        <f t="shared" si="234"/>
        <v>3.0084653787714348E-2</v>
      </c>
      <c r="AX207">
        <v>300</v>
      </c>
      <c r="AY207" s="32">
        <f t="shared" si="235"/>
        <v>0.11867759254026561</v>
      </c>
      <c r="AZ207">
        <v>140</v>
      </c>
      <c r="BA207" s="32">
        <f t="shared" si="236"/>
        <v>5.5382876518790619E-2</v>
      </c>
      <c r="BB207">
        <v>110</v>
      </c>
      <c r="BC207" s="32">
        <f t="shared" si="237"/>
        <v>4.3515117264764057E-2</v>
      </c>
      <c r="BD207">
        <v>250</v>
      </c>
      <c r="BF207" s="48">
        <v>1197</v>
      </c>
      <c r="BG207" s="48">
        <f t="shared" si="238"/>
        <v>0.36768427935832182</v>
      </c>
      <c r="BH207">
        <v>1800</v>
      </c>
      <c r="BI207" s="32">
        <f t="shared" si="239"/>
        <v>0.6741047046890849</v>
      </c>
      <c r="BJ207" s="47">
        <v>3100</v>
      </c>
      <c r="BK207" s="27">
        <f t="shared" si="240"/>
        <v>1.1609581025200906</v>
      </c>
      <c r="BL207" s="47">
        <v>2</v>
      </c>
      <c r="BM207" s="27">
        <f t="shared" si="241"/>
        <v>7.3592220251002033E-4</v>
      </c>
      <c r="BN207" s="47">
        <v>85</v>
      </c>
      <c r="BO207" s="27">
        <f t="shared" si="242"/>
        <v>3.1969392387004733E-2</v>
      </c>
      <c r="BP207" s="47">
        <v>18</v>
      </c>
      <c r="BQ207" s="27">
        <f t="shared" si="243"/>
        <v>6.7139935025869336E-3</v>
      </c>
      <c r="BR207" s="47">
        <v>11</v>
      </c>
      <c r="BS207" s="27">
        <f t="shared" si="244"/>
        <v>4.0733883184649045E-3</v>
      </c>
      <c r="BT207" s="47">
        <v>1.5</v>
      </c>
      <c r="BU207" s="27">
        <f t="shared" si="245"/>
        <v>5.5546204342703253E-4</v>
      </c>
      <c r="BV207" s="47">
        <v>0.48</v>
      </c>
      <c r="BW207" s="27">
        <f t="shared" si="246"/>
        <v>1.7562422744128552E-4</v>
      </c>
      <c r="BX207" s="47">
        <v>0.33</v>
      </c>
      <c r="BY207" s="27">
        <f t="shared" si="247"/>
        <v>1.2074165636588381E-4</v>
      </c>
      <c r="BZ207" s="51">
        <f t="shared" si="248"/>
        <v>3218.31</v>
      </c>
      <c r="CA207" s="51">
        <f>$BL207+$BN207+$BP207+$BR207+$BT207+$BV207+$BX207</f>
        <v>118.31</v>
      </c>
      <c r="CB207" s="27">
        <f t="shared" si="250"/>
        <v>1.2053026268578912</v>
      </c>
      <c r="CC207" s="27">
        <f t="shared" si="251"/>
        <v>4.4344524337800797E-2</v>
      </c>
      <c r="CD207">
        <v>3400</v>
      </c>
      <c r="CE207">
        <v>900</v>
      </c>
      <c r="CF207" t="s">
        <v>19</v>
      </c>
      <c r="CG207">
        <v>4300</v>
      </c>
      <c r="CH207" s="32">
        <v>0.6</v>
      </c>
      <c r="CI207" s="32">
        <f t="shared" si="252"/>
        <v>1.0743061772605192E-2</v>
      </c>
      <c r="CJ207" s="32">
        <f t="shared" si="253"/>
        <v>1.0743061772605192E-2</v>
      </c>
      <c r="CK207" s="32">
        <v>1.2</v>
      </c>
      <c r="CL207" s="32">
        <f t="shared" si="254"/>
        <v>2.1845985800109231E-2</v>
      </c>
      <c r="CM207" s="32">
        <f t="shared" si="255"/>
        <v>4.3691971600218461E-2</v>
      </c>
      <c r="CN207" s="27">
        <v>49</v>
      </c>
      <c r="CO207" s="27">
        <f t="shared" si="256"/>
        <v>0.51009785550697484</v>
      </c>
      <c r="CP207" s="27">
        <f t="shared" si="257"/>
        <v>4.0807828440557987</v>
      </c>
      <c r="CQ207" s="57">
        <v>23</v>
      </c>
      <c r="CR207" s="57">
        <v>31.944444444444443</v>
      </c>
      <c r="CS207" s="57">
        <v>1.9154694982302727</v>
      </c>
      <c r="CT207" s="57">
        <f t="shared" si="258"/>
        <v>1.9154694982302727</v>
      </c>
      <c r="CU207" s="28">
        <v>15</v>
      </c>
      <c r="CV207" s="28">
        <v>23.4375</v>
      </c>
      <c r="CW207" s="28">
        <v>1.2492192379762648</v>
      </c>
      <c r="CX207" s="28">
        <f t="shared" si="259"/>
        <v>1.2492192379762648</v>
      </c>
      <c r="CY207" s="32">
        <f t="shared" si="260"/>
        <v>13.369977097647302</v>
      </c>
      <c r="CZ207" s="32">
        <f t="shared" si="261"/>
        <v>13.369977097647302</v>
      </c>
      <c r="DA207" s="32">
        <f t="shared" si="262"/>
        <v>13.969977097647302</v>
      </c>
      <c r="DB207" s="32">
        <f t="shared" si="263"/>
        <v>0.25013387820317462</v>
      </c>
      <c r="DC207" s="32">
        <f t="shared" si="264"/>
        <v>0.25013387820317462</v>
      </c>
      <c r="DD207" s="59">
        <f t="shared" si="265"/>
        <v>8.7195502810743282</v>
      </c>
      <c r="DE207" s="59">
        <f t="shared" si="266"/>
        <v>8.7195502810743282</v>
      </c>
      <c r="DF207" s="59">
        <f t="shared" si="267"/>
        <v>9.3195502810743278</v>
      </c>
      <c r="DG207" s="59">
        <f t="shared" si="268"/>
        <v>0.16686750727080263</v>
      </c>
      <c r="DH207" s="59">
        <f t="shared" si="269"/>
        <v>0.16686750727080263</v>
      </c>
      <c r="DI207" s="32">
        <f t="shared" si="270"/>
        <v>4.0807828440557987</v>
      </c>
      <c r="DJ207" s="32">
        <f t="shared" si="271"/>
        <v>10.519550281074327</v>
      </c>
      <c r="DK207" s="32">
        <f t="shared" si="272"/>
        <v>0.21055947887102108</v>
      </c>
      <c r="DL207">
        <f t="shared" si="273"/>
        <v>2.2092953480336659</v>
      </c>
      <c r="DM207">
        <f t="shared" si="222"/>
        <v>1.9776428551802967E-2</v>
      </c>
      <c r="DN207">
        <f t="shared" si="223"/>
        <v>0.11321884981372034</v>
      </c>
      <c r="DO207">
        <f t="shared" si="224"/>
        <v>0.86700472163447662</v>
      </c>
      <c r="DP207">
        <f t="shared" si="274"/>
        <v>1.4597787168472858</v>
      </c>
      <c r="DQ207">
        <f t="shared" si="225"/>
        <v>2.9930544332486854E-2</v>
      </c>
      <c r="DR207">
        <f t="shared" si="226"/>
        <v>0.11431013847851532</v>
      </c>
      <c r="DS207">
        <f t="shared" si="227"/>
        <v>0.85575931718899789</v>
      </c>
      <c r="DT207" s="63">
        <f t="shared" si="228"/>
        <v>-1.1675063639862593</v>
      </c>
      <c r="DU207" s="63">
        <f t="shared" si="229"/>
        <v>-0.41798973279987917</v>
      </c>
      <c r="DV207" s="63">
        <f t="shared" si="230"/>
        <v>-1.1231618396484584</v>
      </c>
      <c r="DW207" s="63">
        <f t="shared" si="231"/>
        <v>-0.37364520846207827</v>
      </c>
      <c r="DX207" t="str">
        <f t="shared" si="275"/>
        <v>Sufficient Capacity</v>
      </c>
      <c r="DY207" t="str">
        <f t="shared" si="276"/>
        <v>Sufficient Capacity</v>
      </c>
      <c r="DZ207" t="str">
        <f t="shared" si="277"/>
        <v>Sulfate Dominant electron acceptor</v>
      </c>
      <c r="EA207" t="str">
        <f t="shared" si="232"/>
        <v>Sulfate Dominant electron acceptor</v>
      </c>
      <c r="EB207">
        <v>1.00535E-2</v>
      </c>
      <c r="EC207">
        <v>1.820761E-3</v>
      </c>
      <c r="ED207" s="66">
        <v>1.6288939999999999E-7</v>
      </c>
      <c r="EE207">
        <v>3.2476169999999998E-4</v>
      </c>
      <c r="EF207">
        <v>2.9319150000000002E-3</v>
      </c>
      <c r="EG207" s="66">
        <v>5.4515070000000002E-6</v>
      </c>
      <c r="EH207">
        <v>1.244691E-4</v>
      </c>
      <c r="EI207">
        <v>1.329394E-4</v>
      </c>
      <c r="EJ207">
        <v>3.313376E-4</v>
      </c>
      <c r="EK207">
        <v>5.2859100000000002E-4</v>
      </c>
      <c r="EL207">
        <v>2.9685360000000001E-4</v>
      </c>
      <c r="EM207" s="66">
        <v>7.4944229999999995E-5</v>
      </c>
      <c r="EN207">
        <v>2.04967E-3</v>
      </c>
      <c r="EO207">
        <v>8.9139540000000004E-4</v>
      </c>
      <c r="EP207">
        <v>1.3356030000000001E-3</v>
      </c>
      <c r="EQ207">
        <v>1.287942E-3</v>
      </c>
      <c r="ER207">
        <v>2.2988659999999999E-4</v>
      </c>
      <c r="ES207">
        <v>3.6899950000000002E-4</v>
      </c>
      <c r="ET207">
        <v>7.8358230000000004E-3</v>
      </c>
      <c r="EU207">
        <v>2.7536380000000001E-3</v>
      </c>
      <c r="EV207">
        <v>9.4098519999999998E-3</v>
      </c>
      <c r="EW207">
        <v>4.4058900000000002E-4</v>
      </c>
      <c r="EX207">
        <v>5.7763509999999999E-3</v>
      </c>
      <c r="EY207">
        <v>7.0272759999999998E-3</v>
      </c>
      <c r="EZ207">
        <v>7.3078659999999997E-4</v>
      </c>
      <c r="FA207">
        <v>6.4705839999999997E-4</v>
      </c>
      <c r="FB207">
        <v>6.6199979999999998E-4</v>
      </c>
      <c r="FC207">
        <v>1.734109E-3</v>
      </c>
      <c r="FD207">
        <v>1.8229659999999999E-4</v>
      </c>
      <c r="FE207">
        <v>2.1439590000000001E-2</v>
      </c>
      <c r="FF207">
        <v>2.1309669999999999E-2</v>
      </c>
      <c r="FG207">
        <v>1.1058800000000001E-2</v>
      </c>
      <c r="FH207">
        <v>8.5891739999999998E-4</v>
      </c>
      <c r="FI207">
        <v>1.214454E-3</v>
      </c>
      <c r="FJ207">
        <v>1.496666E-2</v>
      </c>
      <c r="FK207">
        <v>-0.56730563565160896</v>
      </c>
      <c r="FL207">
        <v>-0.45048932692745702</v>
      </c>
      <c r="FM207">
        <v>-0.79589054848709295</v>
      </c>
      <c r="FN207">
        <v>-0.86951466282307199</v>
      </c>
      <c r="FO207">
        <v>0.51571241018437197</v>
      </c>
      <c r="FP207">
        <v>-0.28884920914141299</v>
      </c>
      <c r="FQ207">
        <v>-0.30807712249573499</v>
      </c>
      <c r="FR207">
        <v>-0.42843178632414702</v>
      </c>
      <c r="FS207">
        <v>-1.2328757767787399</v>
      </c>
      <c r="FT207">
        <v>7.9075414960181299E-3</v>
      </c>
      <c r="FU207">
        <v>8.8004199499519806E-2</v>
      </c>
      <c r="FV207">
        <v>-0.46127929148144597</v>
      </c>
      <c r="FW207">
        <v>6.3850518348640903E-2</v>
      </c>
      <c r="FX207">
        <v>-0.54420404583416504</v>
      </c>
      <c r="FY207">
        <v>-0.63493470744748703</v>
      </c>
      <c r="FZ207">
        <v>-0.10230095379026199</v>
      </c>
      <c r="GA207">
        <v>-5.83002848252523E-3</v>
      </c>
      <c r="GB207">
        <v>6.2508348106125503E-2</v>
      </c>
      <c r="GC207">
        <v>-0.38042440907557701</v>
      </c>
      <c r="GD207">
        <v>0.14939572995324399</v>
      </c>
      <c r="GE207">
        <v>3.6891241550647699E-2</v>
      </c>
      <c r="GF207">
        <v>-0.55579460255391799</v>
      </c>
      <c r="GG207">
        <v>-0.37960004512326001</v>
      </c>
      <c r="GH207">
        <v>-0.400968744271402</v>
      </c>
      <c r="GI207">
        <v>-7.7326871258160096E-2</v>
      </c>
      <c r="GJ207">
        <v>-0.67254494519499197</v>
      </c>
      <c r="GK207">
        <v>-8.4268493208259798E-2</v>
      </c>
      <c r="GL207">
        <v>0.35445748084449102</v>
      </c>
      <c r="GM207">
        <v>0.27101957068458699</v>
      </c>
      <c r="GN207">
        <v>7.9901071018934303E-2</v>
      </c>
      <c r="GO207">
        <v>-0.16751929334587801</v>
      </c>
      <c r="GP207">
        <v>0.34573260628190799</v>
      </c>
      <c r="GY207" s="65"/>
      <c r="HM207" s="65"/>
      <c r="HO207" s="65"/>
      <c r="HP207" s="65"/>
      <c r="HQ207" s="65"/>
      <c r="HS207" s="65"/>
      <c r="HT207" s="65"/>
      <c r="HU207" s="65"/>
      <c r="HV207" s="65"/>
      <c r="HW207" s="65"/>
      <c r="HX207" s="65"/>
    </row>
    <row r="208" spans="1:278" ht="15.75" x14ac:dyDescent="0.25">
      <c r="A208" s="2"/>
      <c r="B208" s="2"/>
    </row>
  </sheetData>
  <phoneticPr fontId="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Wetland_Recalculated_Metadata_S</vt:lpstr>
    </vt:vector>
  </TitlesOfParts>
  <Company>UHasselt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VANDERSANDEN Simon</dc:creator>
  <cp:lastModifiedBy>VANDERSANDEN Simon</cp:lastModifiedBy>
  <dcterms:created xsi:type="dcterms:W3CDTF">2026-04-03T08:25:53Z</dcterms:created>
  <dcterms:modified xsi:type="dcterms:W3CDTF">2026-09-07T20:01:37Z</dcterms:modified>
</cp:coreProperties>
</file>