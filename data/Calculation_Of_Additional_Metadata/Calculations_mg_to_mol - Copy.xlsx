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lucp12540\Documents\GitHub\Microbiome_Pipeline_Collab\data\Calculation_Of_Additional_Metadata\"/>
    </mc:Choice>
  </mc:AlternateContent>
  <xr:revisionPtr revIDLastSave="0" documentId="13_ncr:1_{9BDB0310-7229-4407-82B7-39B46ED1633B}" xr6:coauthVersionLast="47" xr6:coauthVersionMax="47" xr10:uidLastSave="{00000000-0000-0000-0000-000000000000}"/>
  <bookViews>
    <workbookView xWindow="-120" yWindow="-120" windowWidth="29040" windowHeight="15720" firstSheet="1" activeTab="5" xr2:uid="{00000000-000D-0000-FFFF-FFFF00000000}"/>
  </bookViews>
  <sheets>
    <sheet name="FInal table formatted" sheetId="4" r:id="rId1"/>
    <sheet name="Acceptable_Potential" sheetId="3" r:id="rId2"/>
    <sheet name="clean_version" sheetId="5" r:id="rId3"/>
    <sheet name="mg_to_mole" sheetId="1" r:id="rId4"/>
    <sheet name="Wetland study" sheetId="6" r:id="rId5"/>
    <sheet name="iron_sulfur_cycle" sheetId="7" r:id="rId6"/>
    <sheet name="Electron_Redox_Calculations" sheetId="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 i="1" l="1"/>
  <c r="E14" i="1"/>
  <c r="D14" i="1"/>
  <c r="L3" i="5"/>
  <c r="F3" i="5"/>
  <c r="N19" i="5"/>
  <c r="K19" i="5"/>
  <c r="H41" i="5"/>
  <c r="H40" i="5"/>
  <c r="H39" i="5"/>
  <c r="H38" i="5"/>
  <c r="H37" i="5"/>
  <c r="H36" i="5"/>
  <c r="O35" i="5"/>
  <c r="N35" i="5"/>
  <c r="L35" i="5"/>
  <c r="K35" i="5"/>
  <c r="J35" i="5"/>
  <c r="D20" i="5"/>
  <c r="F20" i="5" s="1"/>
  <c r="H20" i="5" s="1"/>
  <c r="L20" i="5" s="1"/>
  <c r="N20" i="5" s="1"/>
  <c r="D21" i="5"/>
  <c r="F21" i="5" s="1"/>
  <c r="H21" i="5" s="1"/>
  <c r="L21" i="5" s="1"/>
  <c r="N21" i="5" s="1"/>
  <c r="D24" i="5"/>
  <c r="F24" i="5" s="1"/>
  <c r="H24" i="5" s="1"/>
  <c r="L24" i="5" s="1"/>
  <c r="N24" i="5" s="1"/>
  <c r="D22" i="5"/>
  <c r="F22" i="5" s="1"/>
  <c r="H22" i="5" s="1"/>
  <c r="L22" i="5" s="1"/>
  <c r="N22" i="5" s="1"/>
  <c r="D12" i="5"/>
  <c r="F12" i="5" s="1"/>
  <c r="H12" i="5" s="1"/>
  <c r="L12" i="5" s="1"/>
  <c r="N12" i="5" s="1"/>
  <c r="D13" i="5"/>
  <c r="F13" i="5" s="1"/>
  <c r="H13" i="5" s="1"/>
  <c r="L13" i="5" s="1"/>
  <c r="N13" i="5" s="1"/>
  <c r="D15" i="5"/>
  <c r="F15" i="5" s="1"/>
  <c r="H15" i="5" s="1"/>
  <c r="L15" i="5" s="1"/>
  <c r="N15" i="5" s="1"/>
  <c r="D16" i="5"/>
  <c r="F16" i="5" s="1"/>
  <c r="H16" i="5" s="1"/>
  <c r="L16" i="5" s="1"/>
  <c r="N16" i="5" s="1"/>
  <c r="D11" i="5"/>
  <c r="F11" i="5" s="1"/>
  <c r="H11" i="5" s="1"/>
  <c r="O9" i="5"/>
  <c r="O17" i="5"/>
  <c r="O18" i="5"/>
  <c r="O25" i="5"/>
  <c r="O26" i="5"/>
  <c r="N7" i="5"/>
  <c r="L9" i="5"/>
  <c r="N9" i="5" s="1"/>
  <c r="L10" i="5"/>
  <c r="N10" i="5" s="1"/>
  <c r="L17" i="5"/>
  <c r="N17" i="5" s="1"/>
  <c r="L18" i="5"/>
  <c r="N18" i="5" s="1"/>
  <c r="L25" i="5"/>
  <c r="N25" i="5" s="1"/>
  <c r="L26" i="5"/>
  <c r="N26" i="5" s="1"/>
  <c r="L29" i="5"/>
  <c r="N29" i="5" s="1"/>
  <c r="L7" i="5"/>
  <c r="J9" i="5"/>
  <c r="J25" i="5"/>
  <c r="K9" i="5"/>
  <c r="K25" i="5"/>
  <c r="J26" i="5"/>
  <c r="F28" i="5"/>
  <c r="H28" i="5" s="1"/>
  <c r="L28" i="5" s="1"/>
  <c r="N28" i="5" s="1"/>
  <c r="D4" i="5"/>
  <c r="F4" i="5" s="1"/>
  <c r="H4" i="5" s="1"/>
  <c r="L4" i="5" s="1"/>
  <c r="N4" i="5" s="1"/>
  <c r="D5" i="5"/>
  <c r="F5" i="5" s="1"/>
  <c r="H5" i="5" s="1"/>
  <c r="D6" i="5"/>
  <c r="F6" i="5" s="1"/>
  <c r="H6" i="5" s="1"/>
  <c r="D7" i="5"/>
  <c r="F7" i="5" s="1"/>
  <c r="H7" i="5" s="1"/>
  <c r="D8" i="5"/>
  <c r="F8" i="5" s="1"/>
  <c r="H8" i="5" s="1"/>
  <c r="L8" i="5" s="1"/>
  <c r="N8" i="5" s="1"/>
  <c r="D14" i="5"/>
  <c r="F14" i="5" s="1"/>
  <c r="H14" i="5" s="1"/>
  <c r="D23" i="5"/>
  <c r="F23" i="5" s="1"/>
  <c r="H23" i="5" s="1"/>
  <c r="L23" i="5" s="1"/>
  <c r="N23" i="5" s="1"/>
  <c r="D25" i="5"/>
  <c r="D26" i="5"/>
  <c r="D27" i="5"/>
  <c r="F27" i="5" s="1"/>
  <c r="H27" i="5" s="1"/>
  <c r="L27" i="5" s="1"/>
  <c r="N27" i="5" s="1"/>
  <c r="D28" i="5"/>
  <c r="D29" i="5"/>
  <c r="F29" i="5" s="1"/>
  <c r="H29" i="5" s="1"/>
  <c r="D30" i="5"/>
  <c r="F30" i="5" s="1"/>
  <c r="H30" i="5" s="1"/>
  <c r="L30" i="5" s="1"/>
  <c r="N30" i="5" s="1"/>
  <c r="D31" i="5"/>
  <c r="F31" i="5" s="1"/>
  <c r="H31" i="5" s="1"/>
  <c r="L31" i="5" s="1"/>
  <c r="N31" i="5" s="1"/>
  <c r="D32" i="5"/>
  <c r="F32" i="5" s="1"/>
  <c r="H32" i="5" s="1"/>
  <c r="L32" i="5" s="1"/>
  <c r="N32" i="5" s="1"/>
  <c r="D3" i="5"/>
  <c r="H3" i="5" s="1"/>
  <c r="I4" i="3"/>
  <c r="I5" i="3"/>
  <c r="I6" i="3"/>
  <c r="I7" i="3"/>
  <c r="I8" i="3"/>
  <c r="I3" i="3"/>
  <c r="I31" i="3"/>
  <c r="M50" i="3"/>
  <c r="M55" i="3"/>
  <c r="M54" i="3"/>
  <c r="M53" i="3"/>
  <c r="M52" i="3"/>
  <c r="M51" i="3"/>
  <c r="J51" i="3"/>
  <c r="J52" i="3"/>
  <c r="J53" i="3"/>
  <c r="J54" i="3"/>
  <c r="J55" i="3"/>
  <c r="J50" i="3"/>
  <c r="G50" i="3"/>
  <c r="I12" i="3"/>
  <c r="F4" i="3"/>
  <c r="F13" i="3"/>
  <c r="I14" i="3"/>
  <c r="F21" i="3"/>
  <c r="F32" i="3"/>
  <c r="F31" i="3"/>
  <c r="F33" i="3"/>
  <c r="C23" i="4"/>
  <c r="C21" i="4"/>
  <c r="D21" i="4"/>
  <c r="D22" i="4"/>
  <c r="D23" i="4"/>
  <c r="D24" i="4"/>
  <c r="D25" i="4"/>
  <c r="D26" i="4"/>
  <c r="C26" i="4"/>
  <c r="C25" i="4"/>
  <c r="C24" i="4"/>
  <c r="C22" i="4"/>
  <c r="D50" i="3"/>
  <c r="G51" i="3"/>
  <c r="G52" i="3"/>
  <c r="G53" i="3"/>
  <c r="G54" i="3"/>
  <c r="G55" i="3"/>
  <c r="D51" i="3"/>
  <c r="D52" i="3"/>
  <c r="D53" i="3"/>
  <c r="D54" i="3"/>
  <c r="D55" i="3"/>
  <c r="I21" i="3"/>
  <c r="F36" i="3"/>
  <c r="I36" i="3" s="1"/>
  <c r="F35" i="3"/>
  <c r="I35" i="3" s="1"/>
  <c r="F34" i="3"/>
  <c r="I34" i="3" s="1"/>
  <c r="I33" i="3"/>
  <c r="I32" i="3"/>
  <c r="F8" i="3"/>
  <c r="F7" i="3"/>
  <c r="F6" i="3"/>
  <c r="F5" i="3"/>
  <c r="F3" i="3"/>
  <c r="F17" i="3"/>
  <c r="I17" i="3" s="1"/>
  <c r="F16" i="3"/>
  <c r="I16" i="3" s="1"/>
  <c r="F15" i="3"/>
  <c r="I15" i="3" s="1"/>
  <c r="F14" i="3"/>
  <c r="I13" i="3"/>
  <c r="F12" i="3"/>
  <c r="F26" i="3"/>
  <c r="I26" i="3" s="1"/>
  <c r="F25" i="3"/>
  <c r="I25" i="3" s="1"/>
  <c r="F24" i="3"/>
  <c r="I24" i="3" s="1"/>
  <c r="F23" i="3"/>
  <c r="I23" i="3" s="1"/>
  <c r="F22" i="3"/>
  <c r="I22" i="3" s="1"/>
  <c r="J47" i="2"/>
  <c r="D47" i="2"/>
  <c r="J46" i="2"/>
  <c r="D46" i="2"/>
  <c r="J45" i="2"/>
  <c r="D45" i="2"/>
  <c r="J44" i="2"/>
  <c r="D44" i="2"/>
  <c r="J43" i="2"/>
  <c r="D43" i="2"/>
  <c r="J42" i="2"/>
  <c r="D42" i="2"/>
  <c r="J38" i="2"/>
  <c r="D38" i="2"/>
  <c r="J37" i="2"/>
  <c r="D37" i="2"/>
  <c r="J36" i="2"/>
  <c r="D36" i="2"/>
  <c r="J35" i="2"/>
  <c r="D35" i="2"/>
  <c r="J34" i="2"/>
  <c r="D34" i="2"/>
  <c r="J33" i="2"/>
  <c r="D33" i="2"/>
  <c r="F3" i="2"/>
  <c r="F4" i="2"/>
  <c r="F5" i="2"/>
  <c r="F6" i="2"/>
  <c r="F7" i="2"/>
  <c r="F2" i="2"/>
  <c r="H25" i="2"/>
  <c r="D25" i="2"/>
  <c r="H24" i="2"/>
  <c r="D24" i="2"/>
  <c r="H23" i="2"/>
  <c r="D23" i="2"/>
  <c r="H22" i="2"/>
  <c r="D22" i="2"/>
  <c r="H21" i="2"/>
  <c r="D21" i="2"/>
  <c r="H20" i="2"/>
  <c r="D20" i="2"/>
  <c r="H16" i="2"/>
  <c r="D16" i="2"/>
  <c r="H15" i="2"/>
  <c r="D15" i="2"/>
  <c r="H14" i="2"/>
  <c r="D14" i="2"/>
  <c r="H13" i="2"/>
  <c r="D13" i="2"/>
  <c r="H12" i="2"/>
  <c r="D12" i="2"/>
  <c r="H11" i="2"/>
  <c r="D11" i="2"/>
  <c r="H41" i="1"/>
  <c r="H42" i="1"/>
  <c r="H43" i="1"/>
  <c r="H44" i="1"/>
  <c r="H45" i="1"/>
  <c r="H46" i="1"/>
  <c r="H33" i="1"/>
  <c r="H34" i="1"/>
  <c r="H35" i="1"/>
  <c r="H36" i="1"/>
  <c r="H37" i="1"/>
  <c r="H32" i="1"/>
  <c r="D33" i="1"/>
  <c r="D34" i="1"/>
  <c r="D35" i="1"/>
  <c r="D36" i="1"/>
  <c r="D37" i="1"/>
  <c r="D41" i="1"/>
  <c r="D42" i="1"/>
  <c r="D43" i="1"/>
  <c r="D44" i="1"/>
  <c r="D45" i="1"/>
  <c r="D46" i="1"/>
  <c r="D32" i="1"/>
  <c r="J15" i="1"/>
  <c r="J16" i="1"/>
  <c r="J17" i="1"/>
  <c r="J18" i="1"/>
  <c r="J19" i="1"/>
  <c r="J22" i="1"/>
  <c r="J23" i="1"/>
  <c r="J24" i="1"/>
  <c r="J25" i="1"/>
  <c r="J26" i="1"/>
  <c r="J27" i="1"/>
  <c r="J14" i="1"/>
  <c r="E22" i="1"/>
  <c r="E23" i="1"/>
  <c r="E24" i="1"/>
  <c r="E25" i="1"/>
  <c r="E26" i="1"/>
  <c r="E27" i="1"/>
  <c r="E15" i="1"/>
  <c r="E16" i="1"/>
  <c r="E17" i="1"/>
  <c r="E18" i="1"/>
  <c r="E19" i="1"/>
  <c r="I22" i="1"/>
  <c r="I23" i="1"/>
  <c r="I24" i="1"/>
  <c r="I25" i="1"/>
  <c r="I26" i="1"/>
  <c r="I27" i="1"/>
  <c r="I15" i="1"/>
  <c r="I16" i="1"/>
  <c r="I17" i="1"/>
  <c r="I18" i="1"/>
  <c r="I19" i="1"/>
  <c r="G14" i="1"/>
  <c r="I14" i="1"/>
  <c r="D22" i="1"/>
  <c r="D23" i="1"/>
  <c r="D24" i="1"/>
  <c r="D25" i="1"/>
  <c r="D26" i="1"/>
  <c r="D27" i="1"/>
  <c r="D15" i="1"/>
  <c r="D16" i="1"/>
  <c r="D17" i="1"/>
  <c r="D18" i="1"/>
  <c r="G23" i="1"/>
  <c r="G24" i="1"/>
  <c r="G25" i="1"/>
  <c r="G26" i="1"/>
  <c r="G27" i="1"/>
  <c r="G22" i="1"/>
  <c r="G15" i="1"/>
  <c r="G16" i="1"/>
  <c r="G17" i="1"/>
  <c r="G18" i="1"/>
  <c r="G19" i="1"/>
  <c r="B23" i="1"/>
  <c r="B24" i="1"/>
  <c r="B25" i="1"/>
  <c r="B26" i="1"/>
  <c r="B27" i="1"/>
  <c r="B22" i="1"/>
  <c r="B15" i="1"/>
  <c r="B16" i="1"/>
  <c r="B17" i="1"/>
  <c r="B18" i="1"/>
  <c r="B19" i="1"/>
  <c r="D19" i="1" s="1"/>
  <c r="B14" i="1"/>
  <c r="L41" i="5" l="1"/>
  <c r="N41" i="5" s="1"/>
  <c r="K41" i="5"/>
  <c r="J41" i="5"/>
  <c r="O41" i="5" s="1"/>
  <c r="L40" i="5"/>
  <c r="N40" i="5" s="1"/>
  <c r="K40" i="5"/>
  <c r="J40" i="5"/>
  <c r="O40" i="5" s="1"/>
  <c r="L36" i="5"/>
  <c r="N36" i="5" s="1"/>
  <c r="K36" i="5"/>
  <c r="J36" i="5"/>
  <c r="O36" i="5" s="1"/>
  <c r="L37" i="5"/>
  <c r="N37" i="5" s="1"/>
  <c r="K37" i="5"/>
  <c r="J37" i="5"/>
  <c r="O37" i="5" s="1"/>
  <c r="L38" i="5"/>
  <c r="N38" i="5" s="1"/>
  <c r="K38" i="5"/>
  <c r="J38" i="5"/>
  <c r="O38" i="5" s="1"/>
  <c r="L39" i="5"/>
  <c r="N39" i="5" s="1"/>
  <c r="K39" i="5"/>
  <c r="J39" i="5"/>
  <c r="O39" i="5" s="1"/>
  <c r="D19" i="5"/>
  <c r="F19" i="5" s="1"/>
  <c r="H19" i="5" s="1"/>
  <c r="N59" i="5"/>
  <c r="J3" i="5"/>
  <c r="O3" i="5" s="1"/>
  <c r="N3" i="5"/>
  <c r="K3" i="5"/>
  <c r="N62" i="5"/>
  <c r="J5" i="5"/>
  <c r="O5" i="5" s="1"/>
  <c r="L5" i="5"/>
  <c r="N5" i="5" s="1"/>
  <c r="N60" i="5" s="1"/>
  <c r="N63" i="5"/>
  <c r="K11" i="5"/>
  <c r="L11" i="5"/>
  <c r="N11" i="5" s="1"/>
  <c r="J14" i="5"/>
  <c r="O14" i="5" s="1"/>
  <c r="L14" i="5"/>
  <c r="N14" i="5" s="1"/>
  <c r="K6" i="5"/>
  <c r="L6" i="5"/>
  <c r="N6" i="5" s="1"/>
  <c r="K26" i="5"/>
  <c r="J10" i="5"/>
  <c r="O10" i="5" s="1"/>
  <c r="K10" i="5"/>
  <c r="K32" i="5"/>
  <c r="J32" i="5"/>
  <c r="O32" i="5" s="1"/>
  <c r="K31" i="5"/>
  <c r="J31" i="5"/>
  <c r="O31" i="5" s="1"/>
  <c r="K30" i="5"/>
  <c r="J30" i="5"/>
  <c r="O30" i="5" s="1"/>
  <c r="K29" i="5"/>
  <c r="J29" i="5"/>
  <c r="O29" i="5" s="1"/>
  <c r="K28" i="5"/>
  <c r="J28" i="5"/>
  <c r="O28" i="5" s="1"/>
  <c r="K27" i="5"/>
  <c r="J27" i="5"/>
  <c r="O27" i="5" s="1"/>
  <c r="J24" i="5"/>
  <c r="O24" i="5" s="1"/>
  <c r="K24" i="5"/>
  <c r="J23" i="5"/>
  <c r="O23" i="5" s="1"/>
  <c r="K23" i="5"/>
  <c r="K22" i="5"/>
  <c r="J22" i="5"/>
  <c r="O22" i="5" s="1"/>
  <c r="J21" i="5"/>
  <c r="O21" i="5" s="1"/>
  <c r="K21" i="5"/>
  <c r="K20" i="5"/>
  <c r="J20" i="5"/>
  <c r="O20" i="5" s="1"/>
  <c r="K16" i="5"/>
  <c r="J16" i="5"/>
  <c r="O16" i="5" s="1"/>
  <c r="K15" i="5"/>
  <c r="J15" i="5"/>
  <c r="O15" i="5" s="1"/>
  <c r="K14" i="5"/>
  <c r="K13" i="5"/>
  <c r="J13" i="5"/>
  <c r="O13" i="5" s="1"/>
  <c r="K12" i="5"/>
  <c r="J12" i="5"/>
  <c r="O12" i="5" s="1"/>
  <c r="J11" i="5"/>
  <c r="O11" i="5" s="1"/>
  <c r="J8" i="5"/>
  <c r="O8" i="5" s="1"/>
  <c r="K8" i="5"/>
  <c r="K7" i="5"/>
  <c r="J7" i="5"/>
  <c r="O7" i="5" s="1"/>
  <c r="J6" i="5"/>
  <c r="O6" i="5" s="1"/>
  <c r="K5" i="5"/>
  <c r="J4" i="5"/>
  <c r="O4" i="5" s="1"/>
  <c r="K4" i="5"/>
  <c r="R51" i="3"/>
  <c r="R50" i="3"/>
  <c r="R55" i="3"/>
  <c r="R54" i="3"/>
  <c r="R53" i="3"/>
  <c r="R52" i="3"/>
  <c r="M59" i="5" l="1"/>
  <c r="L19" i="5"/>
  <c r="N58" i="5" s="1"/>
  <c r="J19" i="5"/>
  <c r="O19" i="5" s="1"/>
  <c r="M58" i="5" s="1"/>
  <c r="M63" i="5"/>
  <c r="N61" i="5"/>
  <c r="M60" i="5"/>
  <c r="M61" i="5"/>
  <c r="M62" i="5"/>
</calcChain>
</file>

<file path=xl/sharedStrings.xml><?xml version="1.0" encoding="utf-8"?>
<sst xmlns="http://schemas.openxmlformats.org/spreadsheetml/2006/main" count="371" uniqueCount="119">
  <si>
    <t>Soil properties</t>
  </si>
  <si>
    <t>Nitrate (mg/kg)</t>
  </si>
  <si>
    <t>Sulphates (mg/kg)</t>
  </si>
  <si>
    <t>Iron (mg/kg)</t>
  </si>
  <si>
    <t>Manganese (mg/kg)</t>
  </si>
  <si>
    <t>pH</t>
  </si>
  <si>
    <t>Conductivity (dS/m)</t>
  </si>
  <si>
    <t>SC1</t>
  </si>
  <si>
    <t>SC2</t>
  </si>
  <si>
    <t>SC3</t>
  </si>
  <si>
    <t>SC4</t>
  </si>
  <si>
    <t>SC5</t>
  </si>
  <si>
    <t>SC6</t>
  </si>
  <si>
    <t>96,06 g/mol</t>
  </si>
  <si>
    <r>
      <t>55.85 g/mol</t>
    </r>
    <r>
      <rPr>
        <sz val="15"/>
        <color rgb="FF1F1F1F"/>
        <rFont val="Arial"/>
        <family val="2"/>
      </rPr>
      <t>.</t>
    </r>
  </si>
  <si>
    <t>54.938049 g/mol</t>
  </si>
  <si>
    <t>Nitrate (g/kg)</t>
  </si>
  <si>
    <t>Sulphates (g/kg)</t>
  </si>
  <si>
    <t>Iron (g/kg)</t>
  </si>
  <si>
    <t>Manganese (g/kg)</t>
  </si>
  <si>
    <t>Molar mass (62.0049 g/mol)</t>
  </si>
  <si>
    <t>mol/kg</t>
  </si>
  <si>
    <t>mmol/kg</t>
  </si>
  <si>
    <t>Nitrate (mmol/kg)</t>
  </si>
  <si>
    <t>Sulphates (mmol/kg)</t>
  </si>
  <si>
    <t>Iron (mmol/kg)</t>
  </si>
  <si>
    <t>Manganese (mmol/kg)</t>
  </si>
  <si>
    <t>to electron acceptor capacity (number of electrons per mol)</t>
  </si>
  <si>
    <t>https://www.researchgate.net/figure/Order-of-utilization-of-electron-acceptor-half-reactions-in-soils-and-the-associated_tbl1_271943847</t>
  </si>
  <si>
    <t>Number of electrons accepted per mole (in mol)</t>
  </si>
  <si>
    <t>Total mmol electrons 'acceptable' for this compound</t>
  </si>
  <si>
    <t>https://www.researchgate.net/figure/Simplified-sequence-of-microbial-redox-processes-in-a-stratified-sediment-after_fig2_305311154</t>
  </si>
  <si>
    <t>Total mol of electrons acceptors  availabled'</t>
  </si>
  <si>
    <t>Gibs free energy to oxidise 1 benzene using this electron acceptor</t>
  </si>
  <si>
    <t>How much mole is consumed per mole of benzene</t>
  </si>
  <si>
    <t>electrons resulting from benzene biodegradation: 30</t>
  </si>
  <si>
    <t>Anaerobic Degradation of Benzene and
Polycyclic Aromatic Hydrocarbons</t>
  </si>
  <si>
    <t>Gibs free energy after oxidising 1 benzene using this electron acceptor</t>
  </si>
  <si>
    <t>How much mmole is consumed per mole of benzene</t>
  </si>
  <si>
    <t>How much mole is consumed per mmole of benzene</t>
  </si>
  <si>
    <t>how many moles of benzene can be oxidised using this electron acceptor</t>
  </si>
  <si>
    <t>Amount of energy available from using nitrate as electron acceptor</t>
  </si>
  <si>
    <t>Gibs free energy after oxidising 1mole benzene using this electron acceptor</t>
  </si>
  <si>
    <t>Amount of energy available from using Mangenese as electron acceptor</t>
  </si>
  <si>
    <t>theoretical energy available if all electron acceptors are consumed for benzene oxidation</t>
  </si>
  <si>
    <t>theoretical energy available if all electron acceptors are consumed for benzene oxidation (kJ)</t>
  </si>
  <si>
    <t>Total available energy to be gained by bezene oxidation (in kJ)</t>
  </si>
  <si>
    <t>Nitrate (kJ available/kg)</t>
  </si>
  <si>
    <t>Manganese (kJ available/kg)</t>
  </si>
  <si>
    <t>Iron (kJ available/kg)</t>
  </si>
  <si>
    <t>Sulphate (kJ available/kg)</t>
  </si>
  <si>
    <t>Taking into account bioavailable Maganese/Iron (minimal measurements, considered to be limit of bioavailability)</t>
  </si>
  <si>
    <t>Nitrate (how much mole of benzene can be oxidised)</t>
  </si>
  <si>
    <t>Manganese (how much mole of benzene can be oxidised)</t>
  </si>
  <si>
    <t>Iron (how much mole of benzene can be oxidised)</t>
  </si>
  <si>
    <t>Sulphate (how much mole of benzene can be oxidised)</t>
  </si>
  <si>
    <t>Amount of energy available from using Iron as electron acceptor</t>
  </si>
  <si>
    <t>how many mmoles of benzene can be oxidised using this electron acceptor</t>
  </si>
  <si>
    <t>Nitrate</t>
  </si>
  <si>
    <t xml:space="preserve">Manganese </t>
  </si>
  <si>
    <t>Sulphate</t>
  </si>
  <si>
    <t>Measured (mg/kg)</t>
  </si>
  <si>
    <t>g/kg</t>
  </si>
  <si>
    <t>Molar mass</t>
  </si>
  <si>
    <t xml:space="preserve">Mol/kg </t>
  </si>
  <si>
    <t>(mass in gram /molar mass)</t>
  </si>
  <si>
    <t xml:space="preserve"> in g/mol unit</t>
  </si>
  <si>
    <t>Based on stoichiometric equation</t>
  </si>
  <si>
    <t>How many moles of e- acceptor is consumed per mole?</t>
  </si>
  <si>
    <t>Divide available mole / number of moles that need to be consumed per mole of benzene</t>
  </si>
  <si>
    <t>Mole of benzene that can be oxidised with this amount of e- acceptor (in mol/kg)</t>
  </si>
  <si>
    <t>standart free energy changes per mole of benzene oxidised (kJ/mol)</t>
  </si>
  <si>
    <t>Can be found in table with the reactions</t>
  </si>
  <si>
    <t xml:space="preserve">Moles of benzene (mol/kg)* standart free energy (kJ/mol) </t>
  </si>
  <si>
    <t>How much energy is available if this electron acceptor is consumed oxidising benzene (kJ/kg)</t>
  </si>
  <si>
    <t>Because it is easier to interpret</t>
  </si>
  <si>
    <t>mmol of benzene that can be consumed (mmol/kg)</t>
  </si>
  <si>
    <t>iron</t>
  </si>
  <si>
    <t>&lt;- molar mass benzene</t>
  </si>
  <si>
    <t xml:space="preserve">in mg benzene </t>
  </si>
  <si>
    <t xml:space="preserve">how many g of bezene is this? </t>
  </si>
  <si>
    <t>Energy available in J/kg</t>
  </si>
  <si>
    <t>total energy per sample</t>
  </si>
  <si>
    <t>total benzene oxidation capacity (mg benzene/kg)</t>
  </si>
  <si>
    <r>
      <t xml:space="preserve">Nitrate in SC1: 7.8 </t>
    </r>
    <r>
      <rPr>
        <i/>
        <sz val="12"/>
        <color rgb="FF404040"/>
        <rFont val="Times New Roman"/>
        <family val="1"/>
      </rPr>
      <t>mg.kg</t>
    </r>
    <r>
      <rPr>
        <i/>
        <vertAlign val="superscript"/>
        <sz val="12"/>
        <color rgb="FF404040"/>
        <rFont val="Times New Roman"/>
        <family val="1"/>
      </rPr>
      <t>-1</t>
    </r>
    <r>
      <rPr>
        <sz val="12"/>
        <color rgb="FF404040"/>
        <rFont val="Times New Roman"/>
        <family val="1"/>
      </rPr>
      <t xml:space="preserve"> = 0.0078 </t>
    </r>
    <r>
      <rPr>
        <i/>
        <sz val="12"/>
        <color rgb="FF404040"/>
        <rFont val="Times New Roman"/>
        <family val="1"/>
      </rPr>
      <t>g.kg</t>
    </r>
    <r>
      <rPr>
        <i/>
        <vertAlign val="superscript"/>
        <sz val="12"/>
        <color rgb="FF404040"/>
        <rFont val="Times New Roman"/>
        <family val="1"/>
      </rPr>
      <t>-1</t>
    </r>
  </si>
  <si>
    <r>
      <t>Molar mass nitrate = 62 g.mol</t>
    </r>
    <r>
      <rPr>
        <vertAlign val="superscript"/>
        <sz val="12"/>
        <color rgb="FF404040"/>
        <rFont val="Times New Roman"/>
        <family val="1"/>
      </rPr>
      <t>-1</t>
    </r>
  </si>
  <si>
    <r>
      <t xml:space="preserve">Moles of nitrate per kg dry soil: = 0.0078 </t>
    </r>
    <r>
      <rPr>
        <i/>
        <sz val="12"/>
        <color rgb="FF404040"/>
        <rFont val="Times New Roman"/>
        <family val="1"/>
      </rPr>
      <t>g</t>
    </r>
    <r>
      <rPr>
        <sz val="12"/>
        <color rgb="FF404040"/>
        <rFont val="Times New Roman"/>
        <family val="1"/>
      </rPr>
      <t>/ 62 g.mol</t>
    </r>
    <r>
      <rPr>
        <vertAlign val="superscript"/>
        <sz val="12"/>
        <color rgb="FF404040"/>
        <rFont val="Times New Roman"/>
        <family val="1"/>
      </rPr>
      <t>-1</t>
    </r>
    <r>
      <rPr>
        <sz val="12"/>
        <color theme="1"/>
        <rFont val="Times New Roman"/>
        <family val="1"/>
      </rPr>
      <t>= 0,000125806 Moles.</t>
    </r>
    <r>
      <rPr>
        <sz val="12"/>
        <color rgb="FF404040"/>
        <rFont val="Times New Roman"/>
        <family val="1"/>
      </rPr>
      <t xml:space="preserve"> </t>
    </r>
    <r>
      <rPr>
        <i/>
        <sz val="12"/>
        <color rgb="FF404040"/>
        <rFont val="Times New Roman"/>
        <family val="1"/>
      </rPr>
      <t>kg</t>
    </r>
    <r>
      <rPr>
        <i/>
        <vertAlign val="superscript"/>
        <sz val="12"/>
        <color rgb="FF404040"/>
        <rFont val="Times New Roman"/>
        <family val="1"/>
      </rPr>
      <t>-1</t>
    </r>
  </si>
  <si>
    <t>Number of moles nitrate consumed per mole of benzene, based on Stoichiometric equation: 6</t>
  </si>
  <si>
    <t>How many moles of benzene can be oxidised x moles of nitrate:</t>
  </si>
  <si>
    <r>
      <t>1,25806 x 10</t>
    </r>
    <r>
      <rPr>
        <vertAlign val="superscript"/>
        <sz val="12"/>
        <color theme="1"/>
        <rFont val="Times New Roman"/>
        <family val="1"/>
      </rPr>
      <t>-4</t>
    </r>
    <r>
      <rPr>
        <sz val="12"/>
        <color theme="1"/>
        <rFont val="Times New Roman"/>
        <family val="1"/>
      </rPr>
      <t xml:space="preserve"> Moles.</t>
    </r>
    <r>
      <rPr>
        <sz val="12"/>
        <color rgb="FF404040"/>
        <rFont val="Times New Roman"/>
        <family val="1"/>
      </rPr>
      <t xml:space="preserve"> </t>
    </r>
    <r>
      <rPr>
        <i/>
        <sz val="12"/>
        <color rgb="FF404040"/>
        <rFont val="Times New Roman"/>
        <family val="1"/>
      </rPr>
      <t>kg</t>
    </r>
    <r>
      <rPr>
        <i/>
        <vertAlign val="superscript"/>
        <sz val="12"/>
        <color rgb="FF404040"/>
        <rFont val="Times New Roman"/>
        <family val="1"/>
      </rPr>
      <t>-1</t>
    </r>
    <r>
      <rPr>
        <sz val="12"/>
        <color rgb="FF404040"/>
        <rFont val="Times New Roman"/>
        <family val="1"/>
      </rPr>
      <t xml:space="preserve"> nitrate / 6 = 2,09677 </t>
    </r>
    <r>
      <rPr>
        <sz val="12"/>
        <color theme="1"/>
        <rFont val="Times New Roman"/>
        <family val="1"/>
      </rPr>
      <t>x 10</t>
    </r>
    <r>
      <rPr>
        <vertAlign val="superscript"/>
        <sz val="12"/>
        <color theme="1"/>
        <rFont val="Times New Roman"/>
        <family val="1"/>
      </rPr>
      <t>-5</t>
    </r>
    <r>
      <rPr>
        <sz val="12"/>
        <color theme="1"/>
        <rFont val="Times New Roman"/>
        <family val="1"/>
      </rPr>
      <t xml:space="preserve"> Moles.</t>
    </r>
    <r>
      <rPr>
        <sz val="12"/>
        <color rgb="FF404040"/>
        <rFont val="Times New Roman"/>
        <family val="1"/>
      </rPr>
      <t xml:space="preserve"> </t>
    </r>
    <r>
      <rPr>
        <i/>
        <sz val="12"/>
        <color rgb="FF404040"/>
        <rFont val="Times New Roman"/>
        <family val="1"/>
      </rPr>
      <t>kg</t>
    </r>
    <r>
      <rPr>
        <i/>
        <vertAlign val="superscript"/>
        <sz val="12"/>
        <color rgb="FF404040"/>
        <rFont val="Times New Roman"/>
        <family val="1"/>
      </rPr>
      <t>-1</t>
    </r>
  </si>
  <si>
    <r>
      <t>Molar mass benzene = 78.11 x 10</t>
    </r>
    <r>
      <rPr>
        <vertAlign val="superscript"/>
        <sz val="12"/>
        <color rgb="FF404040"/>
        <rFont val="Times New Roman"/>
        <family val="1"/>
      </rPr>
      <t>3</t>
    </r>
    <r>
      <rPr>
        <sz val="12"/>
        <color rgb="FF404040"/>
        <rFont val="Times New Roman"/>
        <family val="1"/>
      </rPr>
      <t xml:space="preserve"> mg.mol</t>
    </r>
    <r>
      <rPr>
        <vertAlign val="superscript"/>
        <sz val="12"/>
        <color rgb="FF404040"/>
        <rFont val="Times New Roman"/>
        <family val="1"/>
      </rPr>
      <t>-1</t>
    </r>
  </si>
  <si>
    <r>
      <t xml:space="preserve">Covert moles of benzene to </t>
    </r>
    <r>
      <rPr>
        <i/>
        <sz val="12"/>
        <color rgb="FF404040"/>
        <rFont val="Times New Roman"/>
        <family val="1"/>
      </rPr>
      <t>mg.kg</t>
    </r>
    <r>
      <rPr>
        <i/>
        <vertAlign val="superscript"/>
        <sz val="12"/>
        <color rgb="FF404040"/>
        <rFont val="Times New Roman"/>
        <family val="1"/>
      </rPr>
      <t>-1</t>
    </r>
  </si>
  <si>
    <r>
      <t xml:space="preserve">2,09677 </t>
    </r>
    <r>
      <rPr>
        <sz val="12"/>
        <color theme="1"/>
        <rFont val="Times New Roman"/>
        <family val="1"/>
      </rPr>
      <t>x 10</t>
    </r>
    <r>
      <rPr>
        <vertAlign val="superscript"/>
        <sz val="12"/>
        <color theme="1"/>
        <rFont val="Times New Roman"/>
        <family val="1"/>
      </rPr>
      <t>-5</t>
    </r>
    <r>
      <rPr>
        <sz val="12"/>
        <color theme="1"/>
        <rFont val="Times New Roman"/>
        <family val="1"/>
      </rPr>
      <t xml:space="preserve"> Moles.</t>
    </r>
    <r>
      <rPr>
        <sz val="12"/>
        <color rgb="FF404040"/>
        <rFont val="Times New Roman"/>
        <family val="1"/>
      </rPr>
      <t xml:space="preserve"> </t>
    </r>
    <r>
      <rPr>
        <i/>
        <sz val="12"/>
        <color rgb="FF404040"/>
        <rFont val="Times New Roman"/>
        <family val="1"/>
      </rPr>
      <t>kg</t>
    </r>
    <r>
      <rPr>
        <i/>
        <vertAlign val="superscript"/>
        <sz val="12"/>
        <color rgb="FF404040"/>
        <rFont val="Times New Roman"/>
        <family val="1"/>
      </rPr>
      <t>-1</t>
    </r>
    <r>
      <rPr>
        <sz val="12"/>
        <color rgb="FF404040"/>
        <rFont val="Times New Roman"/>
        <family val="1"/>
      </rPr>
      <t xml:space="preserve"> * 78.11 x 10</t>
    </r>
    <r>
      <rPr>
        <vertAlign val="superscript"/>
        <sz val="12"/>
        <color rgb="FF404040"/>
        <rFont val="Times New Roman"/>
        <family val="1"/>
      </rPr>
      <t>3</t>
    </r>
    <r>
      <rPr>
        <sz val="12"/>
        <color rgb="FF404040"/>
        <rFont val="Times New Roman"/>
        <family val="1"/>
      </rPr>
      <t xml:space="preserve"> mg.mol</t>
    </r>
    <r>
      <rPr>
        <vertAlign val="superscript"/>
        <sz val="12"/>
        <color rgb="FF404040"/>
        <rFont val="Times New Roman"/>
        <family val="1"/>
      </rPr>
      <t>-1</t>
    </r>
    <r>
      <rPr>
        <sz val="12"/>
        <color rgb="FF404040"/>
        <rFont val="Times New Roman"/>
        <family val="1"/>
      </rPr>
      <t xml:space="preserve"> = 1.638 </t>
    </r>
    <r>
      <rPr>
        <i/>
        <sz val="12"/>
        <color rgb="FF404040"/>
        <rFont val="Times New Roman"/>
        <family val="1"/>
      </rPr>
      <t>mg.kg</t>
    </r>
    <r>
      <rPr>
        <i/>
        <vertAlign val="superscript"/>
        <sz val="12"/>
        <color rgb="FF404040"/>
        <rFont val="Times New Roman"/>
        <family val="1"/>
      </rPr>
      <t>-1</t>
    </r>
  </si>
  <si>
    <t>T0</t>
  </si>
  <si>
    <t>T1</t>
  </si>
  <si>
    <t>T2</t>
  </si>
  <si>
    <t>T3</t>
  </si>
  <si>
    <t>T4</t>
  </si>
  <si>
    <t>T5</t>
  </si>
  <si>
    <t>T6</t>
  </si>
  <si>
    <t>T7</t>
  </si>
  <si>
    <t>T8</t>
  </si>
  <si>
    <t>iron2_mg_l</t>
  </si>
  <si>
    <t>manganese2_mg_l</t>
  </si>
  <si>
    <t>nitrate_N_mg_l</t>
  </si>
  <si>
    <t>sulfate_mg_l</t>
  </si>
  <si>
    <t>iron2_precipated_due_to_sulphate_reduction_mg_l</t>
  </si>
  <si>
    <t>iron2_precipated_due_to_sulphate_reduction_no_negative_values_mg_l</t>
  </si>
  <si>
    <t>iron2_measured_mmoles_l</t>
  </si>
  <si>
    <t>iron2_measured_electron_acceptor_capacity_mmol_e</t>
  </si>
  <si>
    <t>total_iron2_mg_l</t>
  </si>
  <si>
    <t>iron2_total_mmoles_l</t>
  </si>
  <si>
    <t>iron2_total_electron_acceptor_capacity_mmol_e</t>
  </si>
  <si>
    <t>manganese2_mmoles_l</t>
  </si>
  <si>
    <t>manganese2_electron_acceptor_capacity_mmol_e_l</t>
  </si>
  <si>
    <t>Ratio_iron_manganese2_in_mmoles_l_precipitation</t>
  </si>
  <si>
    <t>Ratio_iron_manganese2_in_mmoles_e_l_metabolic</t>
  </si>
  <si>
    <t>combined_total_reduced_dissolved_metals_mg_l</t>
  </si>
  <si>
    <t>combined_total_reduced_dissolved_metals_mmol_e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</si>
</sst>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5"/>
      <color rgb="FF040C28"/>
      <name val="Arial"/>
      <family val="2"/>
    </font>
    <font>
      <sz val="15"/>
      <color rgb="FF1F1F1F"/>
      <name val="Arial"/>
      <family val="2"/>
    </font>
    <font>
      <sz val="8"/>
      <name val="Calibri"/>
      <family val="2"/>
      <scheme val="minor"/>
    </font>
    <font>
      <sz val="11"/>
      <name val="Calibri"/>
      <family val="2"/>
      <scheme val="minor"/>
    </font>
    <font>
      <sz val="12"/>
      <color theme="1"/>
      <name val="Times New Roman"/>
      <family val="1"/>
    </font>
    <font>
      <i/>
      <sz val="12"/>
      <color rgb="FF404040"/>
      <name val="Times New Roman"/>
      <family val="1"/>
    </font>
    <font>
      <i/>
      <vertAlign val="superscript"/>
      <sz val="12"/>
      <color rgb="FF404040"/>
      <name val="Times New Roman"/>
      <family val="1"/>
    </font>
    <font>
      <sz val="12"/>
      <color rgb="FF404040"/>
      <name val="Times New Roman"/>
      <family val="1"/>
    </font>
    <font>
      <vertAlign val="superscript"/>
      <sz val="12"/>
      <color rgb="FF404040"/>
      <name val="Times New Roman"/>
      <family val="1"/>
    </font>
    <font>
      <vertAlign val="superscript"/>
      <sz val="12"/>
      <color theme="1"/>
      <name val="Times New Roman"/>
      <family val="1"/>
    </font>
  </fonts>
  <fills count="18">
    <fill>
      <patternFill patternType="none"/>
    </fill>
    <fill>
      <patternFill patternType="gray125"/>
    </fill>
    <fill>
      <patternFill patternType="solid">
        <fgColor theme="9"/>
        <bgColor indexed="64"/>
      </patternFill>
    </fill>
    <fill>
      <patternFill patternType="solid">
        <fgColor theme="7"/>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theme="6"/>
        <bgColor indexed="64"/>
      </patternFill>
    </fill>
    <fill>
      <patternFill patternType="solid">
        <fgColor theme="4"/>
        <bgColor indexed="64"/>
      </patternFill>
    </fill>
    <fill>
      <patternFill patternType="solid">
        <fgColor theme="0"/>
        <bgColor indexed="64"/>
      </patternFill>
    </fill>
    <fill>
      <patternFill patternType="solid">
        <fgColor theme="9" tint="0.79998168889431442"/>
        <bgColor indexed="64"/>
      </patternFill>
    </fill>
    <fill>
      <patternFill patternType="solid">
        <fgColor theme="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6">
    <xf numFmtId="0" fontId="0" fillId="0" borderId="0" xfId="0"/>
    <xf numFmtId="0" fontId="0" fillId="2" borderId="0" xfId="0" applyFill="1"/>
    <xf numFmtId="3" fontId="0" fillId="2" borderId="0" xfId="0" applyNumberFormat="1" applyFill="1"/>
    <xf numFmtId="0" fontId="0" fillId="3" borderId="0" xfId="0" applyFill="1"/>
    <xf numFmtId="0" fontId="0" fillId="4" borderId="0" xfId="0" applyFill="1"/>
    <xf numFmtId="0" fontId="1" fillId="4" borderId="0" xfId="0" applyFont="1" applyFill="1"/>
    <xf numFmtId="0" fontId="0" fillId="5" borderId="0" xfId="0" applyFill="1"/>
    <xf numFmtId="3" fontId="0" fillId="5" borderId="0" xfId="0" applyNumberFormat="1" applyFill="1"/>
    <xf numFmtId="0" fontId="0" fillId="6" borderId="0" xfId="0" applyFill="1"/>
    <xf numFmtId="0" fontId="0" fillId="0" borderId="0" xfId="0" quotePrefix="1"/>
    <xf numFmtId="0" fontId="0" fillId="0" borderId="0" xfId="0" applyAlignment="1">
      <alignment wrapText="1"/>
    </xf>
    <xf numFmtId="0" fontId="0" fillId="7" borderId="0" xfId="0" applyFill="1"/>
    <xf numFmtId="0" fontId="0" fillId="8" borderId="0" xfId="0" applyFill="1"/>
    <xf numFmtId="0" fontId="0" fillId="9" borderId="0" xfId="0" applyFill="1"/>
    <xf numFmtId="0" fontId="4" fillId="10" borderId="0" xfId="0" applyFont="1" applyFill="1"/>
    <xf numFmtId="0" fontId="0" fillId="11" borderId="0" xfId="0" applyFill="1"/>
    <xf numFmtId="0" fontId="4" fillId="12" borderId="0" xfId="0" applyFont="1" applyFill="1"/>
    <xf numFmtId="0" fontId="0" fillId="13" borderId="0" xfId="0" applyFill="1"/>
    <xf numFmtId="0" fontId="0" fillId="10" borderId="0" xfId="0" applyFill="1"/>
    <xf numFmtId="0" fontId="0" fillId="14" borderId="0" xfId="0" applyFill="1"/>
    <xf numFmtId="0" fontId="5" fillId="0" borderId="0" xfId="0" applyFont="1" applyAlignment="1">
      <alignment vertical="center"/>
    </xf>
    <xf numFmtId="0" fontId="8" fillId="0" borderId="0" xfId="0" applyFont="1" applyAlignment="1">
      <alignment vertical="center"/>
    </xf>
    <xf numFmtId="2" fontId="0" fillId="6" borderId="0" xfId="0" applyNumberFormat="1" applyFill="1"/>
    <xf numFmtId="0" fontId="0" fillId="15" borderId="0" xfId="0" applyFill="1"/>
    <xf numFmtId="0" fontId="0" fillId="16" borderId="0" xfId="0" applyFill="1"/>
    <xf numFmtId="0" fontId="0" fillId="1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358705161854769E-2"/>
          <c:y val="0.10226851851851854"/>
          <c:w val="0.89019685039370078"/>
          <c:h val="0.61498432487605714"/>
        </c:manualLayout>
      </c:layout>
      <c:barChart>
        <c:barDir val="col"/>
        <c:grouping val="clustered"/>
        <c:varyColors val="0"/>
        <c:ser>
          <c:idx val="0"/>
          <c:order val="0"/>
          <c:tx>
            <c:strRef>
              <c:f>'FInal table formatted'!$B$1</c:f>
              <c:strCache>
                <c:ptCount val="1"/>
                <c:pt idx="0">
                  <c:v>Nitrate (mmol/kg)</c:v>
                </c:pt>
              </c:strCache>
            </c:strRef>
          </c:tx>
          <c:spPr>
            <a:solidFill>
              <a:schemeClr val="accent1"/>
            </a:solidFill>
            <a:ln>
              <a:noFill/>
            </a:ln>
            <a:effectLst/>
          </c:spPr>
          <c:invertIfNegative val="0"/>
          <c:cat>
            <c:strRef>
              <c:f>'FInal table formatted'!$A$2:$A$7</c:f>
              <c:strCache>
                <c:ptCount val="6"/>
                <c:pt idx="0">
                  <c:v>SC1</c:v>
                </c:pt>
                <c:pt idx="1">
                  <c:v>SC2</c:v>
                </c:pt>
                <c:pt idx="2">
                  <c:v>SC3</c:v>
                </c:pt>
                <c:pt idx="3">
                  <c:v>SC4</c:v>
                </c:pt>
                <c:pt idx="4">
                  <c:v>SC5</c:v>
                </c:pt>
                <c:pt idx="5">
                  <c:v>SC6</c:v>
                </c:pt>
              </c:strCache>
            </c:strRef>
          </c:cat>
          <c:val>
            <c:numRef>
              <c:f>'FInal table formatted'!$B$2:$B$7</c:f>
              <c:numCache>
                <c:formatCode>General</c:formatCode>
                <c:ptCount val="6"/>
                <c:pt idx="0">
                  <c:v>0.12579650963069047</c:v>
                </c:pt>
                <c:pt idx="1">
                  <c:v>0.14514981880464284</c:v>
                </c:pt>
                <c:pt idx="2">
                  <c:v>0</c:v>
                </c:pt>
                <c:pt idx="3">
                  <c:v>0</c:v>
                </c:pt>
                <c:pt idx="4">
                  <c:v>0</c:v>
                </c:pt>
                <c:pt idx="5">
                  <c:v>0.10321764892774604</c:v>
                </c:pt>
              </c:numCache>
            </c:numRef>
          </c:val>
          <c:extLst>
            <c:ext xmlns:c16="http://schemas.microsoft.com/office/drawing/2014/chart" uri="{C3380CC4-5D6E-409C-BE32-E72D297353CC}">
              <c16:uniqueId val="{00000000-1F28-4D1A-BF3C-1B7E58B8CDB2}"/>
            </c:ext>
          </c:extLst>
        </c:ser>
        <c:ser>
          <c:idx val="1"/>
          <c:order val="1"/>
          <c:tx>
            <c:strRef>
              <c:f>'FInal table formatted'!$C$1</c:f>
              <c:strCache>
                <c:ptCount val="1"/>
                <c:pt idx="0">
                  <c:v>Manganese (mmol/kg)</c:v>
                </c:pt>
              </c:strCache>
            </c:strRef>
          </c:tx>
          <c:spPr>
            <a:solidFill>
              <a:schemeClr val="accent2"/>
            </a:solidFill>
            <a:ln>
              <a:noFill/>
            </a:ln>
            <a:effectLst/>
          </c:spPr>
          <c:invertIfNegative val="0"/>
          <c:cat>
            <c:strRef>
              <c:f>'FInal table formatted'!$A$2:$A$7</c:f>
              <c:strCache>
                <c:ptCount val="6"/>
                <c:pt idx="0">
                  <c:v>SC1</c:v>
                </c:pt>
                <c:pt idx="1">
                  <c:v>SC2</c:v>
                </c:pt>
                <c:pt idx="2">
                  <c:v>SC3</c:v>
                </c:pt>
                <c:pt idx="3">
                  <c:v>SC4</c:v>
                </c:pt>
                <c:pt idx="4">
                  <c:v>SC5</c:v>
                </c:pt>
                <c:pt idx="5">
                  <c:v>SC6</c:v>
                </c:pt>
              </c:strCache>
            </c:strRef>
          </c:cat>
          <c:val>
            <c:numRef>
              <c:f>'FInal table formatted'!$C$2:$C$7</c:f>
              <c:numCache>
                <c:formatCode>General</c:formatCode>
                <c:ptCount val="6"/>
                <c:pt idx="0">
                  <c:v>2.0022570898103313</c:v>
                </c:pt>
                <c:pt idx="1">
                  <c:v>2.7303505770140881</c:v>
                </c:pt>
                <c:pt idx="2">
                  <c:v>0.98292620772507178</c:v>
                </c:pt>
                <c:pt idx="3">
                  <c:v>1.1831519167061051</c:v>
                </c:pt>
                <c:pt idx="4">
                  <c:v>1.3287706141468563</c:v>
                </c:pt>
                <c:pt idx="5">
                  <c:v>2.9305762859951217</c:v>
                </c:pt>
              </c:numCache>
            </c:numRef>
          </c:val>
          <c:extLst>
            <c:ext xmlns:c16="http://schemas.microsoft.com/office/drawing/2014/chart" uri="{C3380CC4-5D6E-409C-BE32-E72D297353CC}">
              <c16:uniqueId val="{00000001-1F28-4D1A-BF3C-1B7E58B8CDB2}"/>
            </c:ext>
          </c:extLst>
        </c:ser>
        <c:ser>
          <c:idx val="2"/>
          <c:order val="2"/>
          <c:tx>
            <c:strRef>
              <c:f>'FInal table formatted'!$D$1</c:f>
              <c:strCache>
                <c:ptCount val="1"/>
                <c:pt idx="0">
                  <c:v>Iron (mmol/kg)</c:v>
                </c:pt>
              </c:strCache>
            </c:strRef>
          </c:tx>
          <c:spPr>
            <a:solidFill>
              <a:schemeClr val="accent3"/>
            </a:solidFill>
            <a:ln>
              <a:noFill/>
            </a:ln>
            <a:effectLst/>
          </c:spPr>
          <c:invertIfNegative val="0"/>
          <c:cat>
            <c:strRef>
              <c:f>'FInal table formatted'!$A$2:$A$7</c:f>
              <c:strCache>
                <c:ptCount val="6"/>
                <c:pt idx="0">
                  <c:v>SC1</c:v>
                </c:pt>
                <c:pt idx="1">
                  <c:v>SC2</c:v>
                </c:pt>
                <c:pt idx="2">
                  <c:v>SC3</c:v>
                </c:pt>
                <c:pt idx="3">
                  <c:v>SC4</c:v>
                </c:pt>
                <c:pt idx="4">
                  <c:v>SC5</c:v>
                </c:pt>
                <c:pt idx="5">
                  <c:v>SC6</c:v>
                </c:pt>
              </c:strCache>
            </c:strRef>
          </c:cat>
          <c:val>
            <c:numRef>
              <c:f>'FInal table formatted'!$D$2:$D$7</c:f>
              <c:numCache>
                <c:formatCode>General</c:formatCode>
                <c:ptCount val="6"/>
                <c:pt idx="0">
                  <c:v>83.079677708146804</c:v>
                </c:pt>
                <c:pt idx="1">
                  <c:v>158.10205908683974</c:v>
                </c:pt>
                <c:pt idx="2">
                  <c:v>66.60698299015219</c:v>
                </c:pt>
                <c:pt idx="3">
                  <c:v>56.401074306177257</c:v>
                </c:pt>
                <c:pt idx="4">
                  <c:v>61.772605192479858</c:v>
                </c:pt>
                <c:pt idx="5">
                  <c:v>38.675022381378696</c:v>
                </c:pt>
              </c:numCache>
            </c:numRef>
          </c:val>
          <c:extLst>
            <c:ext xmlns:c16="http://schemas.microsoft.com/office/drawing/2014/chart" uri="{C3380CC4-5D6E-409C-BE32-E72D297353CC}">
              <c16:uniqueId val="{00000002-1F28-4D1A-BF3C-1B7E58B8CDB2}"/>
            </c:ext>
          </c:extLst>
        </c:ser>
        <c:ser>
          <c:idx val="3"/>
          <c:order val="3"/>
          <c:tx>
            <c:strRef>
              <c:f>'FInal table formatted'!$E$1</c:f>
              <c:strCache>
                <c:ptCount val="1"/>
                <c:pt idx="0">
                  <c:v>Sulphates (mmol/kg)</c:v>
                </c:pt>
              </c:strCache>
            </c:strRef>
          </c:tx>
          <c:spPr>
            <a:solidFill>
              <a:schemeClr val="accent4"/>
            </a:solidFill>
            <a:ln>
              <a:noFill/>
            </a:ln>
            <a:effectLst/>
          </c:spPr>
          <c:invertIfNegative val="0"/>
          <c:cat>
            <c:strRef>
              <c:f>'FInal table formatted'!$A$2:$A$7</c:f>
              <c:strCache>
                <c:ptCount val="6"/>
                <c:pt idx="0">
                  <c:v>SC1</c:v>
                </c:pt>
                <c:pt idx="1">
                  <c:v>SC2</c:v>
                </c:pt>
                <c:pt idx="2">
                  <c:v>SC3</c:v>
                </c:pt>
                <c:pt idx="3">
                  <c:v>SC4</c:v>
                </c:pt>
                <c:pt idx="4">
                  <c:v>SC5</c:v>
                </c:pt>
                <c:pt idx="5">
                  <c:v>SC6</c:v>
                </c:pt>
              </c:strCache>
            </c:strRef>
          </c:cat>
          <c:val>
            <c:numRef>
              <c:f>'FInal table formatted'!$E$2:$E$7</c:f>
              <c:numCache>
                <c:formatCode>General</c:formatCode>
                <c:ptCount val="6"/>
                <c:pt idx="0">
                  <c:v>0.54132833645638145</c:v>
                </c:pt>
                <c:pt idx="1">
                  <c:v>1.0514261919633563</c:v>
                </c:pt>
                <c:pt idx="2">
                  <c:v>2.5400791172184047</c:v>
                </c:pt>
                <c:pt idx="3">
                  <c:v>0.63501977930460118</c:v>
                </c:pt>
                <c:pt idx="4">
                  <c:v>1.4782427649385801</c:v>
                </c:pt>
                <c:pt idx="5">
                  <c:v>1.6760358109514886</c:v>
                </c:pt>
              </c:numCache>
            </c:numRef>
          </c:val>
          <c:extLst>
            <c:ext xmlns:c16="http://schemas.microsoft.com/office/drawing/2014/chart" uri="{C3380CC4-5D6E-409C-BE32-E72D297353CC}">
              <c16:uniqueId val="{00000003-1F28-4D1A-BF3C-1B7E58B8CDB2}"/>
            </c:ext>
          </c:extLst>
        </c:ser>
        <c:dLbls>
          <c:showLegendKey val="0"/>
          <c:showVal val="0"/>
          <c:showCatName val="0"/>
          <c:showSerName val="0"/>
          <c:showPercent val="0"/>
          <c:showBubbleSize val="0"/>
        </c:dLbls>
        <c:gapWidth val="219"/>
        <c:overlap val="-27"/>
        <c:axId val="550716256"/>
        <c:axId val="550723472"/>
      </c:barChart>
      <c:catAx>
        <c:axId val="550716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23472"/>
        <c:crosses val="autoZero"/>
        <c:auto val="1"/>
        <c:lblAlgn val="ctr"/>
        <c:lblOffset val="100"/>
        <c:noMultiLvlLbl val="0"/>
      </c:catAx>
      <c:valAx>
        <c:axId val="55072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16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'FInal table formatted'!$B$11</c:f>
              <c:strCache>
                <c:ptCount val="1"/>
                <c:pt idx="0">
                  <c:v>Nitrate (kJ available/kg)</c:v>
                </c:pt>
              </c:strCache>
            </c:strRef>
          </c:tx>
          <c:spPr>
            <a:solidFill>
              <a:schemeClr val="accent1"/>
            </a:solidFill>
            <a:ln>
              <a:noFill/>
            </a:ln>
            <a:effectLst/>
          </c:spPr>
          <c:invertIfNegative val="0"/>
          <c:cat>
            <c:strRef>
              <c:f>'FInal table formatted'!$A$12:$A$17</c:f>
              <c:strCache>
                <c:ptCount val="6"/>
                <c:pt idx="0">
                  <c:v>SC1</c:v>
                </c:pt>
                <c:pt idx="1">
                  <c:v>SC2</c:v>
                </c:pt>
                <c:pt idx="2">
                  <c:v>SC3</c:v>
                </c:pt>
                <c:pt idx="3">
                  <c:v>SC4</c:v>
                </c:pt>
                <c:pt idx="4">
                  <c:v>SC5</c:v>
                </c:pt>
                <c:pt idx="5">
                  <c:v>SC6</c:v>
                </c:pt>
              </c:strCache>
            </c:strRef>
          </c:cat>
          <c:val>
            <c:numRef>
              <c:f>'FInal table formatted'!$B$12:$B$17</c:f>
              <c:numCache>
                <c:formatCode>General</c:formatCode>
                <c:ptCount val="6"/>
                <c:pt idx="0">
                  <c:v>312.18500473349701</c:v>
                </c:pt>
                <c:pt idx="1">
                  <c:v>360.21346700018898</c:v>
                </c:pt>
                <c:pt idx="2">
                  <c:v>0</c:v>
                </c:pt>
                <c:pt idx="3">
                  <c:v>0</c:v>
                </c:pt>
                <c:pt idx="4">
                  <c:v>0</c:v>
                </c:pt>
                <c:pt idx="5">
                  <c:v>256.15179875568998</c:v>
                </c:pt>
              </c:numCache>
            </c:numRef>
          </c:val>
          <c:extLst>
            <c:ext xmlns:c16="http://schemas.microsoft.com/office/drawing/2014/chart" uri="{C3380CC4-5D6E-409C-BE32-E72D297353CC}">
              <c16:uniqueId val="{00000000-6BF6-4430-A76B-70AFB4AE8F45}"/>
            </c:ext>
          </c:extLst>
        </c:ser>
        <c:ser>
          <c:idx val="1"/>
          <c:order val="1"/>
          <c:tx>
            <c:strRef>
              <c:f>'FInal table formatted'!$C$11</c:f>
              <c:strCache>
                <c:ptCount val="1"/>
                <c:pt idx="0">
                  <c:v>Manganese (kJ available/kg)</c:v>
                </c:pt>
              </c:strCache>
            </c:strRef>
          </c:tx>
          <c:spPr>
            <a:solidFill>
              <a:schemeClr val="accent2"/>
            </a:solidFill>
            <a:ln>
              <a:noFill/>
            </a:ln>
            <a:effectLst/>
          </c:spPr>
          <c:invertIfNegative val="0"/>
          <c:cat>
            <c:strRef>
              <c:f>'FInal table formatted'!$A$12:$A$17</c:f>
              <c:strCache>
                <c:ptCount val="6"/>
                <c:pt idx="0">
                  <c:v>SC1</c:v>
                </c:pt>
                <c:pt idx="1">
                  <c:v>SC2</c:v>
                </c:pt>
                <c:pt idx="2">
                  <c:v>SC3</c:v>
                </c:pt>
                <c:pt idx="3">
                  <c:v>SC4</c:v>
                </c:pt>
                <c:pt idx="4">
                  <c:v>SC5</c:v>
                </c:pt>
                <c:pt idx="5">
                  <c:v>SC6</c:v>
                </c:pt>
              </c:strCache>
            </c:strRef>
          </c:cat>
          <c:val>
            <c:numRef>
              <c:f>'FInal table formatted'!$C$12:$C$17</c:f>
              <c:numCache>
                <c:formatCode>General</c:formatCode>
                <c:ptCount val="6"/>
                <c:pt idx="0">
                  <c:v>2246.7994223791702</c:v>
                </c:pt>
                <c:pt idx="1">
                  <c:v>3063.8173941534101</c:v>
                </c:pt>
                <c:pt idx="2">
                  <c:v>1102.97426189523</c:v>
                </c:pt>
                <c:pt idx="3">
                  <c:v>1327.65420413314</c:v>
                </c:pt>
                <c:pt idx="4">
                  <c:v>1491.0577984879901</c:v>
                </c:pt>
                <c:pt idx="5">
                  <c:v>3288.49733639133</c:v>
                </c:pt>
              </c:numCache>
            </c:numRef>
          </c:val>
          <c:extLst>
            <c:ext xmlns:c16="http://schemas.microsoft.com/office/drawing/2014/chart" uri="{C3380CC4-5D6E-409C-BE32-E72D297353CC}">
              <c16:uniqueId val="{00000001-6BF6-4430-A76B-70AFB4AE8F45}"/>
            </c:ext>
          </c:extLst>
        </c:ser>
        <c:ser>
          <c:idx val="2"/>
          <c:order val="2"/>
          <c:tx>
            <c:strRef>
              <c:f>'FInal table formatted'!$D$11</c:f>
              <c:strCache>
                <c:ptCount val="1"/>
                <c:pt idx="0">
                  <c:v>Iron (kJ available/kg)</c:v>
                </c:pt>
              </c:strCache>
            </c:strRef>
          </c:tx>
          <c:spPr>
            <a:solidFill>
              <a:schemeClr val="accent3"/>
            </a:solidFill>
            <a:ln>
              <a:noFill/>
            </a:ln>
            <a:effectLst/>
          </c:spPr>
          <c:invertIfNegative val="0"/>
          <c:cat>
            <c:strRef>
              <c:f>'FInal table formatted'!$A$12:$A$17</c:f>
              <c:strCache>
                <c:ptCount val="6"/>
                <c:pt idx="0">
                  <c:v>SC1</c:v>
                </c:pt>
                <c:pt idx="1">
                  <c:v>SC2</c:v>
                </c:pt>
                <c:pt idx="2">
                  <c:v>SC3</c:v>
                </c:pt>
                <c:pt idx="3">
                  <c:v>SC4</c:v>
                </c:pt>
                <c:pt idx="4">
                  <c:v>SC5</c:v>
                </c:pt>
                <c:pt idx="5">
                  <c:v>SC6</c:v>
                </c:pt>
              </c:strCache>
            </c:strRef>
          </c:cat>
          <c:val>
            <c:numRef>
              <c:f>'FInal table formatted'!$D$12:$D$17</c:f>
              <c:numCache>
                <c:formatCode>General</c:formatCode>
                <c:ptCount val="6"/>
                <c:pt idx="0">
                  <c:v>1453.89435989257</c:v>
                </c:pt>
                <c:pt idx="1">
                  <c:v>2766.7860340196999</c:v>
                </c:pt>
                <c:pt idx="2">
                  <c:v>1165.62220232766</c:v>
                </c:pt>
                <c:pt idx="3">
                  <c:v>987.018800358102</c:v>
                </c:pt>
                <c:pt idx="4">
                  <c:v>1081.0205908683999</c:v>
                </c:pt>
                <c:pt idx="5">
                  <c:v>676.81289167412694</c:v>
                </c:pt>
              </c:numCache>
            </c:numRef>
          </c:val>
          <c:extLst>
            <c:ext xmlns:c16="http://schemas.microsoft.com/office/drawing/2014/chart" uri="{C3380CC4-5D6E-409C-BE32-E72D297353CC}">
              <c16:uniqueId val="{00000002-6BF6-4430-A76B-70AFB4AE8F45}"/>
            </c:ext>
          </c:extLst>
        </c:ser>
        <c:ser>
          <c:idx val="3"/>
          <c:order val="3"/>
          <c:tx>
            <c:strRef>
              <c:f>'FInal table formatted'!$E$11</c:f>
              <c:strCache>
                <c:ptCount val="1"/>
                <c:pt idx="0">
                  <c:v>Sulphate (kJ available/kg)</c:v>
                </c:pt>
              </c:strCache>
            </c:strRef>
          </c:tx>
          <c:spPr>
            <a:solidFill>
              <a:schemeClr val="accent4"/>
            </a:solidFill>
            <a:ln>
              <a:noFill/>
            </a:ln>
            <a:effectLst/>
          </c:spPr>
          <c:invertIfNegative val="0"/>
          <c:cat>
            <c:strRef>
              <c:f>'FInal table formatted'!$A$12:$A$17</c:f>
              <c:strCache>
                <c:ptCount val="6"/>
                <c:pt idx="0">
                  <c:v>SC1</c:v>
                </c:pt>
                <c:pt idx="1">
                  <c:v>SC2</c:v>
                </c:pt>
                <c:pt idx="2">
                  <c:v>SC3</c:v>
                </c:pt>
                <c:pt idx="3">
                  <c:v>SC4</c:v>
                </c:pt>
                <c:pt idx="4">
                  <c:v>SC5</c:v>
                </c:pt>
                <c:pt idx="5">
                  <c:v>SC6</c:v>
                </c:pt>
              </c:strCache>
            </c:strRef>
          </c:cat>
          <c:val>
            <c:numRef>
              <c:f>'FInal table formatted'!$E$12:$E$17</c:f>
              <c:numCache>
                <c:formatCode>General</c:formatCode>
                <c:ptCount val="6"/>
                <c:pt idx="0">
                  <c:v>30.603095287667401</c:v>
                </c:pt>
                <c:pt idx="1">
                  <c:v>59.440627385661699</c:v>
                </c:pt>
                <c:pt idx="2">
                  <c:v>143.599139426747</c:v>
                </c:pt>
                <c:pt idx="3">
                  <c:v>35.8997848566868</c:v>
                </c:pt>
                <c:pt idx="4">
                  <c:v>83.569990977861096</c:v>
                </c:pt>
                <c:pt idx="5">
                  <c:v>94.7518911791242</c:v>
                </c:pt>
              </c:numCache>
            </c:numRef>
          </c:val>
          <c:extLst>
            <c:ext xmlns:c16="http://schemas.microsoft.com/office/drawing/2014/chart" uri="{C3380CC4-5D6E-409C-BE32-E72D297353CC}">
              <c16:uniqueId val="{00000003-6BF6-4430-A76B-70AFB4AE8F45}"/>
            </c:ext>
          </c:extLst>
        </c:ser>
        <c:dLbls>
          <c:showLegendKey val="0"/>
          <c:showVal val="0"/>
          <c:showCatName val="0"/>
          <c:showSerName val="0"/>
          <c:showPercent val="0"/>
          <c:showBubbleSize val="0"/>
        </c:dLbls>
        <c:gapWidth val="219"/>
        <c:overlap val="-27"/>
        <c:axId val="550722160"/>
        <c:axId val="550721504"/>
      </c:barChart>
      <c:catAx>
        <c:axId val="55072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21504"/>
        <c:crosses val="autoZero"/>
        <c:auto val="1"/>
        <c:lblAlgn val="ctr"/>
        <c:lblOffset val="100"/>
        <c:noMultiLvlLbl val="0"/>
      </c:catAx>
      <c:valAx>
        <c:axId val="55072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22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'FInal table formatted'!$B$20</c:f>
              <c:strCache>
                <c:ptCount val="1"/>
                <c:pt idx="0">
                  <c:v>Nitrate (kJ available/kg)</c:v>
                </c:pt>
              </c:strCache>
            </c:strRef>
          </c:tx>
          <c:spPr>
            <a:solidFill>
              <a:schemeClr val="accent1"/>
            </a:solidFill>
            <a:ln>
              <a:noFill/>
            </a:ln>
            <a:effectLst/>
          </c:spPr>
          <c:invertIfNegative val="0"/>
          <c:cat>
            <c:strRef>
              <c:f>'FInal table formatted'!$A$21:$A$26</c:f>
              <c:strCache>
                <c:ptCount val="6"/>
                <c:pt idx="0">
                  <c:v>SC1</c:v>
                </c:pt>
                <c:pt idx="1">
                  <c:v>SC2</c:v>
                </c:pt>
                <c:pt idx="2">
                  <c:v>SC3</c:v>
                </c:pt>
                <c:pt idx="3">
                  <c:v>SC4</c:v>
                </c:pt>
                <c:pt idx="4">
                  <c:v>SC5</c:v>
                </c:pt>
                <c:pt idx="5">
                  <c:v>SC6</c:v>
                </c:pt>
              </c:strCache>
            </c:strRef>
          </c:cat>
          <c:val>
            <c:numRef>
              <c:f>'FInal table formatted'!$B$21:$B$26</c:f>
              <c:numCache>
                <c:formatCode>General</c:formatCode>
                <c:ptCount val="6"/>
                <c:pt idx="0">
                  <c:v>312.18500473349701</c:v>
                </c:pt>
                <c:pt idx="1">
                  <c:v>360.21346700018898</c:v>
                </c:pt>
                <c:pt idx="2">
                  <c:v>0</c:v>
                </c:pt>
                <c:pt idx="3">
                  <c:v>0</c:v>
                </c:pt>
                <c:pt idx="4">
                  <c:v>0</c:v>
                </c:pt>
                <c:pt idx="5">
                  <c:v>256.15179875568998</c:v>
                </c:pt>
              </c:numCache>
            </c:numRef>
          </c:val>
          <c:extLst>
            <c:ext xmlns:c16="http://schemas.microsoft.com/office/drawing/2014/chart" uri="{C3380CC4-5D6E-409C-BE32-E72D297353CC}">
              <c16:uniqueId val="{00000000-670D-47C0-AAE5-3254259F2767}"/>
            </c:ext>
          </c:extLst>
        </c:ser>
        <c:ser>
          <c:idx val="1"/>
          <c:order val="1"/>
          <c:tx>
            <c:strRef>
              <c:f>'FInal table formatted'!$C$20</c:f>
              <c:strCache>
                <c:ptCount val="1"/>
                <c:pt idx="0">
                  <c:v>Manganese (kJ available/kg)</c:v>
                </c:pt>
              </c:strCache>
            </c:strRef>
          </c:tx>
          <c:spPr>
            <a:solidFill>
              <a:schemeClr val="accent2"/>
            </a:solidFill>
            <a:ln>
              <a:noFill/>
            </a:ln>
            <a:effectLst/>
          </c:spPr>
          <c:invertIfNegative val="0"/>
          <c:cat>
            <c:strRef>
              <c:f>'FInal table formatted'!$A$21:$A$26</c:f>
              <c:strCache>
                <c:ptCount val="6"/>
                <c:pt idx="0">
                  <c:v>SC1</c:v>
                </c:pt>
                <c:pt idx="1">
                  <c:v>SC2</c:v>
                </c:pt>
                <c:pt idx="2">
                  <c:v>SC3</c:v>
                </c:pt>
                <c:pt idx="3">
                  <c:v>SC4</c:v>
                </c:pt>
                <c:pt idx="4">
                  <c:v>SC5</c:v>
                </c:pt>
                <c:pt idx="5">
                  <c:v>SC6</c:v>
                </c:pt>
              </c:strCache>
            </c:strRef>
          </c:cat>
          <c:val>
            <c:numRef>
              <c:f>'FInal table formatted'!$C$21:$C$26</c:f>
              <c:numCache>
                <c:formatCode>General</c:formatCode>
                <c:ptCount val="6"/>
                <c:pt idx="0">
                  <c:v>1143.8251604839402</c:v>
                </c:pt>
                <c:pt idx="1">
                  <c:v>1960.84313225818</c:v>
                </c:pt>
                <c:pt idx="2">
                  <c:v>0</c:v>
                </c:pt>
                <c:pt idx="3">
                  <c:v>224.67994223790993</c:v>
                </c:pt>
                <c:pt idx="4">
                  <c:v>388.08353659276008</c:v>
                </c:pt>
                <c:pt idx="5">
                  <c:v>2185.5230744961</c:v>
                </c:pt>
              </c:numCache>
            </c:numRef>
          </c:val>
          <c:extLst>
            <c:ext xmlns:c16="http://schemas.microsoft.com/office/drawing/2014/chart" uri="{C3380CC4-5D6E-409C-BE32-E72D297353CC}">
              <c16:uniqueId val="{00000001-670D-47C0-AAE5-3254259F2767}"/>
            </c:ext>
          </c:extLst>
        </c:ser>
        <c:ser>
          <c:idx val="2"/>
          <c:order val="2"/>
          <c:tx>
            <c:strRef>
              <c:f>'FInal table formatted'!$D$20</c:f>
              <c:strCache>
                <c:ptCount val="1"/>
                <c:pt idx="0">
                  <c:v>Iron (kJ available/kg)</c:v>
                </c:pt>
              </c:strCache>
            </c:strRef>
          </c:tx>
          <c:spPr>
            <a:solidFill>
              <a:schemeClr val="accent3"/>
            </a:solidFill>
            <a:ln>
              <a:noFill/>
            </a:ln>
            <a:effectLst/>
          </c:spPr>
          <c:invertIfNegative val="0"/>
          <c:cat>
            <c:strRef>
              <c:f>'FInal table formatted'!$A$21:$A$26</c:f>
              <c:strCache>
                <c:ptCount val="6"/>
                <c:pt idx="0">
                  <c:v>SC1</c:v>
                </c:pt>
                <c:pt idx="1">
                  <c:v>SC2</c:v>
                </c:pt>
                <c:pt idx="2">
                  <c:v>SC3</c:v>
                </c:pt>
                <c:pt idx="3">
                  <c:v>SC4</c:v>
                </c:pt>
                <c:pt idx="4">
                  <c:v>SC5</c:v>
                </c:pt>
                <c:pt idx="5">
                  <c:v>SC6</c:v>
                </c:pt>
              </c:strCache>
            </c:strRef>
          </c:cat>
          <c:val>
            <c:numRef>
              <c:f>'FInal table formatted'!$D$21:$D$26</c:f>
              <c:numCache>
                <c:formatCode>General</c:formatCode>
                <c:ptCount val="6"/>
                <c:pt idx="0">
                  <c:v>777.08146821844309</c:v>
                </c:pt>
                <c:pt idx="1">
                  <c:v>2089.9731423455728</c:v>
                </c:pt>
                <c:pt idx="2">
                  <c:v>488.80931065353309</c:v>
                </c:pt>
                <c:pt idx="3">
                  <c:v>310.20590868397505</c:v>
                </c:pt>
                <c:pt idx="4">
                  <c:v>404.207699194273</c:v>
                </c:pt>
                <c:pt idx="5">
                  <c:v>0</c:v>
                </c:pt>
              </c:numCache>
            </c:numRef>
          </c:val>
          <c:extLst>
            <c:ext xmlns:c16="http://schemas.microsoft.com/office/drawing/2014/chart" uri="{C3380CC4-5D6E-409C-BE32-E72D297353CC}">
              <c16:uniqueId val="{00000002-670D-47C0-AAE5-3254259F2767}"/>
            </c:ext>
          </c:extLst>
        </c:ser>
        <c:ser>
          <c:idx val="3"/>
          <c:order val="3"/>
          <c:tx>
            <c:strRef>
              <c:f>'FInal table formatted'!$E$20</c:f>
              <c:strCache>
                <c:ptCount val="1"/>
                <c:pt idx="0">
                  <c:v>Sulphate (kJ available/kg)</c:v>
                </c:pt>
              </c:strCache>
            </c:strRef>
          </c:tx>
          <c:spPr>
            <a:solidFill>
              <a:schemeClr val="accent4"/>
            </a:solidFill>
            <a:ln>
              <a:noFill/>
            </a:ln>
            <a:effectLst/>
          </c:spPr>
          <c:invertIfNegative val="0"/>
          <c:cat>
            <c:strRef>
              <c:f>'FInal table formatted'!$A$21:$A$26</c:f>
              <c:strCache>
                <c:ptCount val="6"/>
                <c:pt idx="0">
                  <c:v>SC1</c:v>
                </c:pt>
                <c:pt idx="1">
                  <c:v>SC2</c:v>
                </c:pt>
                <c:pt idx="2">
                  <c:v>SC3</c:v>
                </c:pt>
                <c:pt idx="3">
                  <c:v>SC4</c:v>
                </c:pt>
                <c:pt idx="4">
                  <c:v>SC5</c:v>
                </c:pt>
                <c:pt idx="5">
                  <c:v>SC6</c:v>
                </c:pt>
              </c:strCache>
            </c:strRef>
          </c:cat>
          <c:val>
            <c:numRef>
              <c:f>'FInal table formatted'!$E$21:$E$26</c:f>
              <c:numCache>
                <c:formatCode>General</c:formatCode>
                <c:ptCount val="6"/>
                <c:pt idx="0">
                  <c:v>113.19426747727699</c:v>
                </c:pt>
                <c:pt idx="1">
                  <c:v>154.355819287196</c:v>
                </c:pt>
                <c:pt idx="2">
                  <c:v>55.568094943390697</c:v>
                </c:pt>
                <c:pt idx="3">
                  <c:v>66.887521691118494</c:v>
                </c:pt>
                <c:pt idx="4">
                  <c:v>75.1198320531023</c:v>
                </c:pt>
                <c:pt idx="5">
                  <c:v>165.67524603492399</c:v>
                </c:pt>
              </c:numCache>
            </c:numRef>
          </c:val>
          <c:extLst>
            <c:ext xmlns:c16="http://schemas.microsoft.com/office/drawing/2014/chart" uri="{C3380CC4-5D6E-409C-BE32-E72D297353CC}">
              <c16:uniqueId val="{00000003-670D-47C0-AAE5-3254259F2767}"/>
            </c:ext>
          </c:extLst>
        </c:ser>
        <c:dLbls>
          <c:showLegendKey val="0"/>
          <c:showVal val="0"/>
          <c:showCatName val="0"/>
          <c:showSerName val="0"/>
          <c:showPercent val="0"/>
          <c:showBubbleSize val="0"/>
        </c:dLbls>
        <c:gapWidth val="219"/>
        <c:overlap val="-27"/>
        <c:axId val="550720192"/>
        <c:axId val="550719208"/>
      </c:barChart>
      <c:catAx>
        <c:axId val="55072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19208"/>
        <c:crosses val="autoZero"/>
        <c:auto val="1"/>
        <c:lblAlgn val="ctr"/>
        <c:lblOffset val="100"/>
        <c:noMultiLvlLbl val="0"/>
      </c:catAx>
      <c:valAx>
        <c:axId val="550719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7201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'Wetland study'!$B$3</c:f>
              <c:strCache>
                <c:ptCount val="1"/>
                <c:pt idx="0">
                  <c:v>iron2_mg_l</c:v>
                </c:pt>
              </c:strCache>
            </c:strRef>
          </c:tx>
          <c:spPr>
            <a:solidFill>
              <a:schemeClr val="accent1"/>
            </a:solidFill>
            <a:ln>
              <a:noFill/>
            </a:ln>
            <a:effectLst/>
          </c:spPr>
          <c:invertIfNegative val="0"/>
          <c:cat>
            <c:strRef>
              <c:f>'Wetland study'!$A$4:$A$12</c:f>
              <c:strCache>
                <c:ptCount val="9"/>
                <c:pt idx="0">
                  <c:v>T0</c:v>
                </c:pt>
                <c:pt idx="1">
                  <c:v>T1</c:v>
                </c:pt>
                <c:pt idx="2">
                  <c:v>T2</c:v>
                </c:pt>
                <c:pt idx="3">
                  <c:v>T3</c:v>
                </c:pt>
                <c:pt idx="4">
                  <c:v>T4</c:v>
                </c:pt>
                <c:pt idx="5">
                  <c:v>T5</c:v>
                </c:pt>
                <c:pt idx="6">
                  <c:v>T6</c:v>
                </c:pt>
                <c:pt idx="7">
                  <c:v>T7</c:v>
                </c:pt>
                <c:pt idx="8">
                  <c:v>T8</c:v>
                </c:pt>
              </c:strCache>
            </c:strRef>
          </c:cat>
          <c:val>
            <c:numRef>
              <c:f>'Wetland study'!$B$4:$B$12</c:f>
              <c:numCache>
                <c:formatCode>0.00</c:formatCode>
                <c:ptCount val="9"/>
                <c:pt idx="0">
                  <c:v>0.3</c:v>
                </c:pt>
                <c:pt idx="1">
                  <c:v>1.9</c:v>
                </c:pt>
                <c:pt idx="2">
                  <c:v>1.2</c:v>
                </c:pt>
                <c:pt idx="3">
                  <c:v>0.5</c:v>
                </c:pt>
                <c:pt idx="4">
                  <c:v>0.6</c:v>
                </c:pt>
                <c:pt idx="5">
                  <c:v>20</c:v>
                </c:pt>
                <c:pt idx="6">
                  <c:v>4.2</c:v>
                </c:pt>
                <c:pt idx="7">
                  <c:v>0.02</c:v>
                </c:pt>
                <c:pt idx="8">
                  <c:v>1.5</c:v>
                </c:pt>
              </c:numCache>
            </c:numRef>
          </c:val>
          <c:extLst>
            <c:ext xmlns:c16="http://schemas.microsoft.com/office/drawing/2014/chart" uri="{C3380CC4-5D6E-409C-BE32-E72D297353CC}">
              <c16:uniqueId val="{00000000-1778-45D4-BEB6-2EA7156D23F3}"/>
            </c:ext>
          </c:extLst>
        </c:ser>
        <c:dLbls>
          <c:showLegendKey val="0"/>
          <c:showVal val="0"/>
          <c:showCatName val="0"/>
          <c:showSerName val="0"/>
          <c:showPercent val="0"/>
          <c:showBubbleSize val="0"/>
        </c:dLbls>
        <c:gapWidth val="219"/>
        <c:overlap val="-27"/>
        <c:axId val="1104929792"/>
        <c:axId val="1104930752"/>
      </c:barChart>
      <c:catAx>
        <c:axId val="110492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930752"/>
        <c:crosses val="autoZero"/>
        <c:auto val="1"/>
        <c:lblAlgn val="ctr"/>
        <c:lblOffset val="100"/>
        <c:noMultiLvlLbl val="0"/>
      </c:catAx>
      <c:valAx>
        <c:axId val="11049307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9297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'Wetland study'!$C$13</c:f>
              <c:strCache>
                <c:ptCount val="1"/>
                <c:pt idx="0">
                  <c:v>manganese2_mg_l</c:v>
                </c:pt>
              </c:strCache>
            </c:strRef>
          </c:tx>
          <c:spPr>
            <a:solidFill>
              <a:schemeClr val="accent1"/>
            </a:solidFill>
            <a:ln>
              <a:noFill/>
            </a:ln>
            <a:effectLst/>
          </c:spPr>
          <c:invertIfNegative val="0"/>
          <c:cat>
            <c:strRef>
              <c:f>'Wetland study'!$B$14:$B$22</c:f>
              <c:strCache>
                <c:ptCount val="9"/>
                <c:pt idx="0">
                  <c:v>T0</c:v>
                </c:pt>
                <c:pt idx="1">
                  <c:v>T1</c:v>
                </c:pt>
                <c:pt idx="2">
                  <c:v>T2</c:v>
                </c:pt>
                <c:pt idx="3">
                  <c:v>T3</c:v>
                </c:pt>
                <c:pt idx="4">
                  <c:v>T4</c:v>
                </c:pt>
                <c:pt idx="5">
                  <c:v>T5</c:v>
                </c:pt>
                <c:pt idx="6">
                  <c:v>T6</c:v>
                </c:pt>
                <c:pt idx="7">
                  <c:v>T7</c:v>
                </c:pt>
                <c:pt idx="8">
                  <c:v>T8</c:v>
                </c:pt>
              </c:strCache>
            </c:strRef>
          </c:cat>
          <c:val>
            <c:numRef>
              <c:f>'Wetland study'!$C$14:$C$22</c:f>
              <c:numCache>
                <c:formatCode>General</c:formatCode>
                <c:ptCount val="9"/>
                <c:pt idx="0">
                  <c:v>0.9</c:v>
                </c:pt>
                <c:pt idx="1">
                  <c:v>1.1000000000000001</c:v>
                </c:pt>
                <c:pt idx="2">
                  <c:v>0.9</c:v>
                </c:pt>
                <c:pt idx="3">
                  <c:v>0.8</c:v>
                </c:pt>
                <c:pt idx="4">
                  <c:v>0.8</c:v>
                </c:pt>
                <c:pt idx="5">
                  <c:v>1.7</c:v>
                </c:pt>
                <c:pt idx="6">
                  <c:v>1.4</c:v>
                </c:pt>
                <c:pt idx="7">
                  <c:v>0.05</c:v>
                </c:pt>
                <c:pt idx="8">
                  <c:v>0.8</c:v>
                </c:pt>
              </c:numCache>
            </c:numRef>
          </c:val>
          <c:extLst>
            <c:ext xmlns:c16="http://schemas.microsoft.com/office/drawing/2014/chart" uri="{C3380CC4-5D6E-409C-BE32-E72D297353CC}">
              <c16:uniqueId val="{00000000-C8AA-45C4-8BC4-805EF13003B7}"/>
            </c:ext>
          </c:extLst>
        </c:ser>
        <c:dLbls>
          <c:showLegendKey val="0"/>
          <c:showVal val="0"/>
          <c:showCatName val="0"/>
          <c:showSerName val="0"/>
          <c:showPercent val="0"/>
          <c:showBubbleSize val="0"/>
        </c:dLbls>
        <c:gapWidth val="219"/>
        <c:overlap val="-27"/>
        <c:axId val="836130848"/>
        <c:axId val="836134208"/>
      </c:barChart>
      <c:catAx>
        <c:axId val="83613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134208"/>
        <c:crosses val="autoZero"/>
        <c:auto val="1"/>
        <c:lblAlgn val="ctr"/>
        <c:lblOffset val="100"/>
        <c:noMultiLvlLbl val="0"/>
      </c:catAx>
      <c:valAx>
        <c:axId val="836134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61308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'Wetland study'!$E$34</c:f>
              <c:strCache>
                <c:ptCount val="1"/>
                <c:pt idx="0">
                  <c:v>sulfate_mg_l</c:v>
                </c:pt>
              </c:strCache>
            </c:strRef>
          </c:tx>
          <c:spPr>
            <a:solidFill>
              <a:schemeClr val="accent1"/>
            </a:solidFill>
            <a:ln>
              <a:noFill/>
            </a:ln>
            <a:effectLst/>
          </c:spPr>
          <c:invertIfNegative val="0"/>
          <c:cat>
            <c:strRef>
              <c:f>'Wetland study'!$D$35:$D$43</c:f>
              <c:strCache>
                <c:ptCount val="9"/>
                <c:pt idx="0">
                  <c:v>T0</c:v>
                </c:pt>
                <c:pt idx="1">
                  <c:v>T1</c:v>
                </c:pt>
                <c:pt idx="2">
                  <c:v>T2</c:v>
                </c:pt>
                <c:pt idx="3">
                  <c:v>T3</c:v>
                </c:pt>
                <c:pt idx="4">
                  <c:v>T4</c:v>
                </c:pt>
                <c:pt idx="5">
                  <c:v>T5</c:v>
                </c:pt>
                <c:pt idx="6">
                  <c:v>T6</c:v>
                </c:pt>
                <c:pt idx="7">
                  <c:v>T7</c:v>
                </c:pt>
                <c:pt idx="8">
                  <c:v>T8</c:v>
                </c:pt>
              </c:strCache>
            </c:strRef>
          </c:cat>
          <c:val>
            <c:numRef>
              <c:f>'Wetland study'!$E$35:$E$43</c:f>
              <c:numCache>
                <c:formatCode>General</c:formatCode>
                <c:ptCount val="9"/>
                <c:pt idx="0">
                  <c:v>73</c:v>
                </c:pt>
                <c:pt idx="1">
                  <c:v>78</c:v>
                </c:pt>
                <c:pt idx="2">
                  <c:v>81</c:v>
                </c:pt>
                <c:pt idx="3">
                  <c:v>82</c:v>
                </c:pt>
                <c:pt idx="4">
                  <c:v>87</c:v>
                </c:pt>
                <c:pt idx="5">
                  <c:v>79</c:v>
                </c:pt>
                <c:pt idx="6">
                  <c:v>140</c:v>
                </c:pt>
                <c:pt idx="7">
                  <c:v>25</c:v>
                </c:pt>
                <c:pt idx="8">
                  <c:v>72</c:v>
                </c:pt>
              </c:numCache>
            </c:numRef>
          </c:val>
          <c:extLst>
            <c:ext xmlns:c16="http://schemas.microsoft.com/office/drawing/2014/chart" uri="{C3380CC4-5D6E-409C-BE32-E72D297353CC}">
              <c16:uniqueId val="{00000000-E292-49EE-B41A-541A976F71A8}"/>
            </c:ext>
          </c:extLst>
        </c:ser>
        <c:dLbls>
          <c:showLegendKey val="0"/>
          <c:showVal val="0"/>
          <c:showCatName val="0"/>
          <c:showSerName val="0"/>
          <c:showPercent val="0"/>
          <c:showBubbleSize val="0"/>
        </c:dLbls>
        <c:gapWidth val="219"/>
        <c:overlap val="-27"/>
        <c:axId val="641029472"/>
        <c:axId val="641028512"/>
      </c:barChart>
      <c:catAx>
        <c:axId val="64102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28512"/>
        <c:crosses val="autoZero"/>
        <c:auto val="1"/>
        <c:lblAlgn val="ctr"/>
        <c:lblOffset val="100"/>
        <c:noMultiLvlLbl val="0"/>
      </c:catAx>
      <c:valAx>
        <c:axId val="64102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29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560294</xdr:colOff>
      <xdr:row>33</xdr:row>
      <xdr:rowOff>135591</xdr:rowOff>
    </xdr:from>
    <xdr:to>
      <xdr:col>6</xdr:col>
      <xdr:colOff>554692</xdr:colOff>
      <xdr:row>58</xdr:row>
      <xdr:rowOff>22412</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890868</xdr:colOff>
      <xdr:row>29</xdr:row>
      <xdr:rowOff>41142</xdr:rowOff>
    </xdr:from>
    <xdr:to>
      <xdr:col>22</xdr:col>
      <xdr:colOff>94451</xdr:colOff>
      <xdr:row>59</xdr:row>
      <xdr:rowOff>174494</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470647</xdr:colOff>
      <xdr:row>43</xdr:row>
      <xdr:rowOff>100851</xdr:rowOff>
    </xdr:from>
    <xdr:to>
      <xdr:col>8</xdr:col>
      <xdr:colOff>1378324</xdr:colOff>
      <xdr:row>69</xdr:row>
      <xdr:rowOff>11204</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205635</xdr:colOff>
      <xdr:row>7</xdr:row>
      <xdr:rowOff>13314</xdr:rowOff>
    </xdr:from>
    <xdr:to>
      <xdr:col>11</xdr:col>
      <xdr:colOff>479111</xdr:colOff>
      <xdr:row>30</xdr:row>
      <xdr:rowOff>8887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5441282" y="1346814"/>
          <a:ext cx="6952182" cy="4410691"/>
        </a:xfrm>
        <a:prstGeom prst="rect">
          <a:avLst/>
        </a:prstGeom>
      </xdr:spPr>
    </xdr:pic>
    <xdr:clientData/>
  </xdr:twoCellAnchor>
  <xdr:twoCellAnchor editAs="oneCell">
    <xdr:from>
      <xdr:col>11</xdr:col>
      <xdr:colOff>398927</xdr:colOff>
      <xdr:row>2</xdr:row>
      <xdr:rowOff>40365</xdr:rowOff>
    </xdr:from>
    <xdr:to>
      <xdr:col>13</xdr:col>
      <xdr:colOff>3494895</xdr:colOff>
      <xdr:row>28</xdr:row>
      <xdr:rowOff>57774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621192" y="421365"/>
          <a:ext cx="9427291" cy="500402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95250</xdr:colOff>
      <xdr:row>61</xdr:row>
      <xdr:rowOff>161925</xdr:rowOff>
    </xdr:from>
    <xdr:to>
      <xdr:col>8</xdr:col>
      <xdr:colOff>2196147</xdr:colOff>
      <xdr:row>65</xdr:row>
      <xdr:rowOff>29210</xdr:rowOff>
    </xdr:to>
    <xdr:pic>
      <xdr:nvPicPr>
        <xdr:cNvPr id="4" name="Picture 3" descr="How To Convert Grams To Moles - Chemistry Steps">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251025" y="7410450"/>
          <a:ext cx="2096135" cy="629285"/>
        </a:xfrm>
        <a:prstGeom prst="rect">
          <a:avLst/>
        </a:prstGeom>
        <a:noFill/>
      </xdr:spPr>
    </xdr:pic>
    <xdr:clientData/>
  </xdr:twoCellAnchor>
  <xdr:twoCellAnchor editAs="oneCell">
    <xdr:from>
      <xdr:col>4</xdr:col>
      <xdr:colOff>299357</xdr:colOff>
      <xdr:row>60</xdr:row>
      <xdr:rowOff>87340</xdr:rowOff>
    </xdr:from>
    <xdr:to>
      <xdr:col>5</xdr:col>
      <xdr:colOff>1534159</xdr:colOff>
      <xdr:row>63</xdr:row>
      <xdr:rowOff>145125</xdr:rowOff>
    </xdr:to>
    <xdr:pic>
      <xdr:nvPicPr>
        <xdr:cNvPr id="5" name="Picture 4" descr="How To Convert Grams To Moles - Chemistry Steps">
          <a:extLst>
            <a:ext uri="{FF2B5EF4-FFF2-40B4-BE49-F238E27FC236}">
              <a16:creationId xmlns:a16="http://schemas.microsoft.com/office/drawing/2014/main" id="{D752C23D-670F-44F6-95F5-231AFC2BC96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64428" y="11530947"/>
          <a:ext cx="2092052" cy="629285"/>
        </a:xfrm>
        <a:prstGeom prst="rect">
          <a:avLst/>
        </a:prstGeom>
        <a:noFill/>
      </xdr:spPr>
    </xdr:pic>
    <xdr:clientData/>
  </xdr:twoCellAnchor>
  <xdr:twoCellAnchor editAs="oneCell">
    <xdr:from>
      <xdr:col>6</xdr:col>
      <xdr:colOff>836655</xdr:colOff>
      <xdr:row>56</xdr:row>
      <xdr:rowOff>149679</xdr:rowOff>
    </xdr:from>
    <xdr:to>
      <xdr:col>7</xdr:col>
      <xdr:colOff>4448174</xdr:colOff>
      <xdr:row>76</xdr:row>
      <xdr:rowOff>60903</xdr:rowOff>
    </xdr:to>
    <xdr:pic>
      <xdr:nvPicPr>
        <xdr:cNvPr id="6" name="Picture 5">
          <a:extLst>
            <a:ext uri="{FF2B5EF4-FFF2-40B4-BE49-F238E27FC236}">
              <a16:creationId xmlns:a16="http://schemas.microsoft.com/office/drawing/2014/main" id="{B47BCCD5-A861-405F-A422-EE1B26B9BD90}"/>
            </a:ext>
          </a:extLst>
        </xdr:cNvPr>
        <xdr:cNvPicPr>
          <a:picLocks noChangeAspect="1"/>
        </xdr:cNvPicPr>
      </xdr:nvPicPr>
      <xdr:blipFill>
        <a:blip xmlns:r="http://schemas.openxmlformats.org/officeDocument/2006/relationships" r:embed="rId2"/>
        <a:stretch>
          <a:fillRect/>
        </a:stretch>
      </xdr:blipFill>
      <xdr:spPr>
        <a:xfrm>
          <a:off x="6973476" y="10831286"/>
          <a:ext cx="7013305" cy="37212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66675</xdr:colOff>
      <xdr:row>14</xdr:row>
      <xdr:rowOff>133350</xdr:rowOff>
    </xdr:from>
    <xdr:to>
      <xdr:col>15</xdr:col>
      <xdr:colOff>4648200</xdr:colOff>
      <xdr:row>26</xdr:row>
      <xdr:rowOff>18067</xdr:rowOff>
    </xdr:to>
    <xdr:pic>
      <xdr:nvPicPr>
        <xdr:cNvPr id="2" name="Picture 1" descr="How To Convert Grams To Moles - Chemistry Steps">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15875" y="2847975"/>
          <a:ext cx="7210425" cy="21707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1918607</xdr:colOff>
      <xdr:row>57</xdr:row>
      <xdr:rowOff>149679</xdr:rowOff>
    </xdr:from>
    <xdr:to>
      <xdr:col>12</xdr:col>
      <xdr:colOff>1333500</xdr:colOff>
      <xdr:row>85</xdr:row>
      <xdr:rowOff>178254</xdr:rowOff>
    </xdr:to>
    <xdr:pic>
      <xdr:nvPicPr>
        <xdr:cNvPr id="5" name="Picture 4" descr="Simplified sequence of microbial redox processes in a stratified sediment (after Konhauser 2006; Schmidt et al. 2010; with modifications). For better comparison, the Gibbs free energy change at standard conditions in kJ/reaction for the complete oxidation of acetate is shown. The approximate redox potentials at increasing sediment depths and concentrations of involved redox partners are indicated. The succession of electron acceptors from oxic (high redox potential) down to anoxic (low redox potential) conditions – oxygen, nitrate, Mn 4+ , Fe 3+ , sulphate, protons – leads to lower energy yields.  ">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8286" y="11062608"/>
          <a:ext cx="8096250" cy="5362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428625</xdr:colOff>
      <xdr:row>2</xdr:row>
      <xdr:rowOff>109537</xdr:rowOff>
    </xdr:from>
    <xdr:to>
      <xdr:col>13</xdr:col>
      <xdr:colOff>123825</xdr:colOff>
      <xdr:row>16</xdr:row>
      <xdr:rowOff>185737</xdr:rowOff>
    </xdr:to>
    <xdr:graphicFrame macro="">
      <xdr:nvGraphicFramePr>
        <xdr:cNvPr id="2" name="Chart 1">
          <a:extLst>
            <a:ext uri="{FF2B5EF4-FFF2-40B4-BE49-F238E27FC236}">
              <a16:creationId xmlns:a16="http://schemas.microsoft.com/office/drawing/2014/main" id="{1D317333-9A8B-6165-1126-E193D1C85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400050</xdr:colOff>
      <xdr:row>2</xdr:row>
      <xdr:rowOff>80962</xdr:rowOff>
    </xdr:from>
    <xdr:to>
      <xdr:col>21</xdr:col>
      <xdr:colOff>95250</xdr:colOff>
      <xdr:row>16</xdr:row>
      <xdr:rowOff>157162</xdr:rowOff>
    </xdr:to>
    <xdr:graphicFrame macro="">
      <xdr:nvGraphicFramePr>
        <xdr:cNvPr id="3" name="Chart 2">
          <a:extLst>
            <a:ext uri="{FF2B5EF4-FFF2-40B4-BE49-F238E27FC236}">
              <a16:creationId xmlns:a16="http://schemas.microsoft.com/office/drawing/2014/main" id="{454EE07A-73A1-4DCD-08C4-081789C1A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380999</xdr:colOff>
      <xdr:row>17</xdr:row>
      <xdr:rowOff>61911</xdr:rowOff>
    </xdr:from>
    <xdr:to>
      <xdr:col>13</xdr:col>
      <xdr:colOff>466724</xdr:colOff>
      <xdr:row>33</xdr:row>
      <xdr:rowOff>180974</xdr:rowOff>
    </xdr:to>
    <xdr:graphicFrame macro="">
      <xdr:nvGraphicFramePr>
        <xdr:cNvPr id="5" name="Chart 4">
          <a:extLst>
            <a:ext uri="{FF2B5EF4-FFF2-40B4-BE49-F238E27FC236}">
              <a16:creationId xmlns:a16="http://schemas.microsoft.com/office/drawing/2014/main" id="{B731B95F-E7A5-A9FD-B07F-AC17ACEED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800100</xdr:colOff>
      <xdr:row>1</xdr:row>
      <xdr:rowOff>180975</xdr:rowOff>
    </xdr:from>
    <xdr:to>
      <xdr:col>3</xdr:col>
      <xdr:colOff>613742</xdr:colOff>
      <xdr:row>9</xdr:row>
      <xdr:rowOff>131104</xdr:rowOff>
    </xdr:to>
    <xdr:pic>
      <xdr:nvPicPr>
        <xdr:cNvPr id="2" name="Picture 1">
          <a:extLst>
            <a:ext uri="{FF2B5EF4-FFF2-40B4-BE49-F238E27FC236}">
              <a16:creationId xmlns:a16="http://schemas.microsoft.com/office/drawing/2014/main" id="{4F981EB2-DFDD-D37C-A592-3BBA467C3AC6}"/>
            </a:ext>
          </a:extLst>
        </xdr:cNvPr>
        <xdr:cNvPicPr>
          <a:picLocks noChangeAspect="1"/>
        </xdr:cNvPicPr>
      </xdr:nvPicPr>
      <xdr:blipFill>
        <a:blip xmlns:r="http://schemas.openxmlformats.org/officeDocument/2006/relationships" r:embed="rId1"/>
        <a:stretch>
          <a:fillRect/>
        </a:stretch>
      </xdr:blipFill>
      <xdr:spPr>
        <a:xfrm>
          <a:off x="800100" y="371475"/>
          <a:ext cx="8486775" cy="1474129"/>
        </a:xfrm>
        <a:prstGeom prst="rect">
          <a:avLst/>
        </a:prstGeom>
      </xdr:spPr>
    </xdr:pic>
    <xdr:clientData/>
  </xdr:twoCellAnchor>
  <xdr:twoCellAnchor editAs="oneCell">
    <xdr:from>
      <xdr:col>0</xdr:col>
      <xdr:colOff>438150</xdr:colOff>
      <xdr:row>9</xdr:row>
      <xdr:rowOff>9525</xdr:rowOff>
    </xdr:from>
    <xdr:to>
      <xdr:col>2</xdr:col>
      <xdr:colOff>2741958</xdr:colOff>
      <xdr:row>14</xdr:row>
      <xdr:rowOff>177721</xdr:rowOff>
    </xdr:to>
    <xdr:pic>
      <xdr:nvPicPr>
        <xdr:cNvPr id="3" name="Picture 2">
          <a:extLst>
            <a:ext uri="{FF2B5EF4-FFF2-40B4-BE49-F238E27FC236}">
              <a16:creationId xmlns:a16="http://schemas.microsoft.com/office/drawing/2014/main" id="{3254D16B-C321-77B1-E80A-136FA0C2FAA8}"/>
            </a:ext>
          </a:extLst>
        </xdr:cNvPr>
        <xdr:cNvPicPr>
          <a:picLocks noChangeAspect="1"/>
        </xdr:cNvPicPr>
      </xdr:nvPicPr>
      <xdr:blipFill>
        <a:blip xmlns:r="http://schemas.openxmlformats.org/officeDocument/2006/relationships" r:embed="rId2"/>
        <a:stretch>
          <a:fillRect/>
        </a:stretch>
      </xdr:blipFill>
      <xdr:spPr>
        <a:xfrm>
          <a:off x="438150" y="1724025"/>
          <a:ext cx="7743825" cy="11206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12</xdr:col>
      <xdr:colOff>340179</xdr:colOff>
      <xdr:row>3</xdr:row>
      <xdr:rowOff>59279</xdr:rowOff>
    </xdr:from>
    <xdr:to>
      <xdr:col>23</xdr:col>
      <xdr:colOff>16330</xdr:colOff>
      <xdr:row>25</xdr:row>
      <xdr:rowOff>95250</xdr:rowOff>
    </xdr:to>
    <xdr:pic>
      <xdr:nvPicPr>
        <xdr:cNvPr id="2" name="Picture 1" descr="Simplified sequence of microbial redox processes in a stratified sediment (after Konhauser 2006; Schmidt et al. 2010; with modifications). For better comparison, the Gibbs free energy change at standard conditions in kJ/reaction for the complete oxidation of acetate is shown. The approximate redox potentials at increasing sediment depths and concentrations of involved redox partners are indicated. The succession of electron acceptors from oxic (high redox potential) down to anoxic (low redox potential) conditions – oxygen, nitrate, Mn 4+ , Fe 3+ , sulphate, protons – leads to lower energy yields.  ">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8215" y="630779"/>
          <a:ext cx="6411686" cy="42269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1345819</xdr:colOff>
      <xdr:row>49</xdr:row>
      <xdr:rowOff>56628</xdr:rowOff>
    </xdr:from>
    <xdr:to>
      <xdr:col>6</xdr:col>
      <xdr:colOff>1338832</xdr:colOff>
      <xdr:row>79</xdr:row>
      <xdr:rowOff>244930</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6298819" y="9391128"/>
          <a:ext cx="11123656" cy="59033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8BC0D-3969-4914-956A-FA28092D3DFF}">
  <dimension ref="A1:L26"/>
  <sheetViews>
    <sheetView topLeftCell="F1" zoomScale="70" zoomScaleNormal="70" workbookViewId="0">
      <selection activeCell="I20" sqref="I20"/>
    </sheetView>
  </sheetViews>
  <sheetFormatPr defaultRowHeight="15" x14ac:dyDescent="0.25"/>
  <cols>
    <col min="1" max="1" width="47.42578125" bestFit="1" customWidth="1"/>
    <col min="2" max="2" width="17.85546875" bestFit="1" customWidth="1"/>
    <col min="3" max="3" width="22.28515625" bestFit="1" customWidth="1"/>
    <col min="4" max="4" width="15" bestFit="1" customWidth="1"/>
    <col min="5" max="5" width="20.7109375" bestFit="1" customWidth="1"/>
    <col min="6" max="6" width="26.5703125" customWidth="1"/>
    <col min="7" max="7" width="28.140625" customWidth="1"/>
    <col min="8" max="8" width="51.140625" bestFit="1" customWidth="1"/>
    <col min="9" max="9" width="56.42578125" bestFit="1" customWidth="1"/>
    <col min="10" max="10" width="60.5703125" bestFit="1" customWidth="1"/>
    <col min="11" max="11" width="53.85546875" bestFit="1" customWidth="1"/>
  </cols>
  <sheetData>
    <row r="1" spans="1:12" x14ac:dyDescent="0.25">
      <c r="A1" t="s">
        <v>0</v>
      </c>
      <c r="B1" t="s">
        <v>23</v>
      </c>
      <c r="C1" t="s">
        <v>26</v>
      </c>
      <c r="D1" t="s">
        <v>25</v>
      </c>
      <c r="E1" t="s">
        <v>24</v>
      </c>
      <c r="F1" t="s">
        <v>47</v>
      </c>
      <c r="G1" t="s">
        <v>48</v>
      </c>
      <c r="H1" t="s">
        <v>49</v>
      </c>
      <c r="I1" t="s">
        <v>50</v>
      </c>
      <c r="J1" t="s">
        <v>46</v>
      </c>
      <c r="K1" t="s">
        <v>5</v>
      </c>
      <c r="L1" t="s">
        <v>6</v>
      </c>
    </row>
    <row r="2" spans="1:12" x14ac:dyDescent="0.25">
      <c r="A2" t="s">
        <v>7</v>
      </c>
      <c r="B2">
        <v>0.12579650963069047</v>
      </c>
      <c r="C2">
        <v>2.0022570898103313</v>
      </c>
      <c r="D2">
        <v>83.079677708146804</v>
      </c>
      <c r="E2">
        <v>0.54132833645638145</v>
      </c>
      <c r="F2">
        <v>-312.18500473349684</v>
      </c>
      <c r="G2">
        <v>-2246.7994223791666</v>
      </c>
      <c r="H2">
        <v>-1453.8943598925689</v>
      </c>
      <c r="I2">
        <v>-113.19426747727741</v>
      </c>
      <c r="J2">
        <v>-4126.0730544825101</v>
      </c>
      <c r="K2">
        <v>8.85</v>
      </c>
      <c r="L2">
        <v>8.4000000000000005E-2</v>
      </c>
    </row>
    <row r="3" spans="1:12" x14ac:dyDescent="0.25">
      <c r="A3" t="s">
        <v>8</v>
      </c>
      <c r="B3">
        <v>0.14514981880464284</v>
      </c>
      <c r="C3">
        <v>2.7303505770140881</v>
      </c>
      <c r="D3">
        <v>158.10205908683974</v>
      </c>
      <c r="E3">
        <v>1.0514261919633563</v>
      </c>
      <c r="F3">
        <v>-360.21346700018864</v>
      </c>
      <c r="G3">
        <v>-3063.8173941534092</v>
      </c>
      <c r="H3">
        <v>-2766.7860340196953</v>
      </c>
      <c r="I3">
        <v>-154.35581928719645</v>
      </c>
      <c r="J3">
        <v>-6345.1727144604893</v>
      </c>
      <c r="K3">
        <v>8.58</v>
      </c>
      <c r="L3">
        <v>0.123</v>
      </c>
    </row>
    <row r="4" spans="1:12" x14ac:dyDescent="0.25">
      <c r="A4" t="s">
        <v>9</v>
      </c>
      <c r="B4">
        <v>0</v>
      </c>
      <c r="C4">
        <v>0.98292620772507178</v>
      </c>
      <c r="D4">
        <v>66.60698299015219</v>
      </c>
      <c r="E4">
        <v>2.5400791172184047</v>
      </c>
      <c r="F4">
        <v>0</v>
      </c>
      <c r="G4">
        <v>-1102.9742618952271</v>
      </c>
      <c r="H4">
        <v>-1165.6222023276632</v>
      </c>
      <c r="I4">
        <v>-55.568094943390697</v>
      </c>
      <c r="J4">
        <v>-2324.1645591662809</v>
      </c>
      <c r="K4">
        <v>8.1300000000000008</v>
      </c>
      <c r="L4">
        <v>0.14899999999999999</v>
      </c>
    </row>
    <row r="5" spans="1:12" x14ac:dyDescent="0.25">
      <c r="A5" t="s">
        <v>10</v>
      </c>
      <c r="B5">
        <v>0</v>
      </c>
      <c r="C5">
        <v>1.1831519167061051</v>
      </c>
      <c r="D5">
        <v>56.401074306177257</v>
      </c>
      <c r="E5">
        <v>0.63501977930460118</v>
      </c>
      <c r="F5">
        <v>0</v>
      </c>
      <c r="G5">
        <v>-1327.654204133144</v>
      </c>
      <c r="H5">
        <v>-987.018800358102</v>
      </c>
      <c r="I5">
        <v>-66.887521691118465</v>
      </c>
      <c r="J5">
        <v>-2381.5605261823644</v>
      </c>
      <c r="K5">
        <v>8.3000000000000007</v>
      </c>
      <c r="L5">
        <v>6.4000000000000001E-2</v>
      </c>
    </row>
    <row r="6" spans="1:12" x14ac:dyDescent="0.25">
      <c r="A6" t="s">
        <v>11</v>
      </c>
      <c r="B6">
        <v>0</v>
      </c>
      <c r="C6">
        <v>1.3287706141468563</v>
      </c>
      <c r="D6">
        <v>61.772605192479858</v>
      </c>
      <c r="E6">
        <v>1.4782427649385801</v>
      </c>
      <c r="F6">
        <v>0</v>
      </c>
      <c r="G6">
        <v>-1491.0577984879922</v>
      </c>
      <c r="H6">
        <v>-1081.0205908683974</v>
      </c>
      <c r="I6">
        <v>-75.119832053102272</v>
      </c>
      <c r="J6">
        <v>-2647.1982214094915</v>
      </c>
      <c r="K6">
        <v>8.0399999999999991</v>
      </c>
      <c r="L6">
        <v>6.8000000000000005E-2</v>
      </c>
    </row>
    <row r="7" spans="1:12" x14ac:dyDescent="0.25">
      <c r="A7" t="s">
        <v>12</v>
      </c>
      <c r="B7">
        <v>0.10321764892774604</v>
      </c>
      <c r="C7">
        <v>2.9305762859951217</v>
      </c>
      <c r="D7">
        <v>38.675022381378696</v>
      </c>
      <c r="E7">
        <v>1.6760358109514886</v>
      </c>
      <c r="F7">
        <v>-256.15179875568981</v>
      </c>
      <c r="G7">
        <v>-3288.4973363913259</v>
      </c>
      <c r="H7">
        <v>-676.81289167412717</v>
      </c>
      <c r="I7">
        <v>-165.67524603492421</v>
      </c>
      <c r="J7">
        <v>-4387.1372728560673</v>
      </c>
      <c r="K7">
        <v>7.86</v>
      </c>
      <c r="L7">
        <v>6.8000000000000005E-2</v>
      </c>
    </row>
    <row r="11" spans="1:12" x14ac:dyDescent="0.25">
      <c r="A11" t="s">
        <v>0</v>
      </c>
      <c r="B11" t="s">
        <v>47</v>
      </c>
      <c r="C11" t="s">
        <v>48</v>
      </c>
      <c r="D11" t="s">
        <v>49</v>
      </c>
      <c r="E11" t="s">
        <v>50</v>
      </c>
      <c r="G11" t="s">
        <v>0</v>
      </c>
      <c r="H11" t="s">
        <v>52</v>
      </c>
      <c r="I11" t="s">
        <v>53</v>
      </c>
      <c r="J11" t="s">
        <v>54</v>
      </c>
      <c r="K11" t="s">
        <v>55</v>
      </c>
    </row>
    <row r="12" spans="1:12" x14ac:dyDescent="0.25">
      <c r="A12" t="s">
        <v>7</v>
      </c>
      <c r="B12">
        <v>312.18500473349701</v>
      </c>
      <c r="C12">
        <v>2246.7994223791702</v>
      </c>
      <c r="D12">
        <v>1453.89435989257</v>
      </c>
      <c r="E12">
        <v>30.603095287667401</v>
      </c>
      <c r="G12" t="s">
        <v>7</v>
      </c>
      <c r="H12">
        <v>0.10483042469224167</v>
      </c>
      <c r="I12">
        <v>1.0678704478988434</v>
      </c>
    </row>
    <row r="13" spans="1:12" x14ac:dyDescent="0.25">
      <c r="A13" t="s">
        <v>8</v>
      </c>
      <c r="B13">
        <v>360.21346700018898</v>
      </c>
      <c r="C13">
        <v>3063.8173941534101</v>
      </c>
      <c r="D13">
        <v>2766.7860340196999</v>
      </c>
      <c r="E13">
        <v>59.440627385661699</v>
      </c>
      <c r="G13" t="s">
        <v>8</v>
      </c>
      <c r="H13">
        <v>0.12095818233720236</v>
      </c>
      <c r="I13">
        <v>1.4561869744075138</v>
      </c>
    </row>
    <row r="14" spans="1:12" x14ac:dyDescent="0.25">
      <c r="A14" t="s">
        <v>9</v>
      </c>
      <c r="B14">
        <v>0</v>
      </c>
      <c r="C14">
        <v>1102.97426189523</v>
      </c>
      <c r="D14">
        <v>1165.62220232766</v>
      </c>
      <c r="E14">
        <v>143.599139426747</v>
      </c>
      <c r="G14" t="s">
        <v>9</v>
      </c>
      <c r="H14">
        <v>0</v>
      </c>
      <c r="I14">
        <v>0.52422731078670493</v>
      </c>
    </row>
    <row r="15" spans="1:12" x14ac:dyDescent="0.25">
      <c r="A15" t="s">
        <v>10</v>
      </c>
      <c r="B15">
        <v>0</v>
      </c>
      <c r="C15">
        <v>1327.65420413314</v>
      </c>
      <c r="D15">
        <v>987.018800358102</v>
      </c>
      <c r="E15">
        <v>35.8997848566868</v>
      </c>
      <c r="G15" t="s">
        <v>10</v>
      </c>
      <c r="H15">
        <v>0</v>
      </c>
      <c r="I15">
        <v>0.63101435557658936</v>
      </c>
    </row>
    <row r="16" spans="1:12" x14ac:dyDescent="0.25">
      <c r="A16" t="s">
        <v>11</v>
      </c>
      <c r="B16">
        <v>0</v>
      </c>
      <c r="C16">
        <v>1491.0577984879901</v>
      </c>
      <c r="D16">
        <v>1081.0205908683999</v>
      </c>
      <c r="E16">
        <v>83.569990977861096</v>
      </c>
      <c r="G16" t="s">
        <v>11</v>
      </c>
      <c r="H16">
        <v>0</v>
      </c>
      <c r="I16">
        <v>0.70867766087832329</v>
      </c>
    </row>
    <row r="17" spans="1:9" x14ac:dyDescent="0.25">
      <c r="A17" t="s">
        <v>12</v>
      </c>
      <c r="B17">
        <v>256.15179875568998</v>
      </c>
      <c r="C17">
        <v>3288.49733639133</v>
      </c>
      <c r="D17">
        <v>676.81289167412694</v>
      </c>
      <c r="E17">
        <v>94.7518911791242</v>
      </c>
      <c r="G17" t="s">
        <v>12</v>
      </c>
      <c r="H17">
        <v>8.6014707439788382E-2</v>
      </c>
      <c r="I17">
        <v>1.5629740191973982</v>
      </c>
    </row>
    <row r="19" spans="1:9" x14ac:dyDescent="0.25">
      <c r="A19" t="s">
        <v>51</v>
      </c>
    </row>
    <row r="20" spans="1:9" x14ac:dyDescent="0.25">
      <c r="A20" t="s">
        <v>0</v>
      </c>
      <c r="B20" t="s">
        <v>47</v>
      </c>
      <c r="C20" t="s">
        <v>48</v>
      </c>
      <c r="D20" t="s">
        <v>49</v>
      </c>
      <c r="E20" t="s">
        <v>50</v>
      </c>
    </row>
    <row r="21" spans="1:9" x14ac:dyDescent="0.25">
      <c r="A21" t="s">
        <v>7</v>
      </c>
      <c r="B21">
        <v>312.18500473349701</v>
      </c>
      <c r="C21">
        <f>C12-C14</f>
        <v>1143.8251604839402</v>
      </c>
      <c r="D21">
        <f>D12-D17</f>
        <v>777.08146821844309</v>
      </c>
      <c r="E21">
        <v>113.19426747727699</v>
      </c>
    </row>
    <row r="22" spans="1:9" x14ac:dyDescent="0.25">
      <c r="A22" t="s">
        <v>8</v>
      </c>
      <c r="B22">
        <v>360.21346700018898</v>
      </c>
      <c r="C22">
        <f>C13-C14</f>
        <v>1960.84313225818</v>
      </c>
      <c r="D22">
        <f>D13-D17</f>
        <v>2089.9731423455728</v>
      </c>
      <c r="E22">
        <v>154.355819287196</v>
      </c>
    </row>
    <row r="23" spans="1:9" x14ac:dyDescent="0.25">
      <c r="A23" t="s">
        <v>9</v>
      </c>
      <c r="B23">
        <v>0</v>
      </c>
      <c r="C23">
        <f>C14-C14</f>
        <v>0</v>
      </c>
      <c r="D23">
        <f>D14-D17</f>
        <v>488.80931065353309</v>
      </c>
      <c r="E23">
        <v>55.568094943390697</v>
      </c>
    </row>
    <row r="24" spans="1:9" x14ac:dyDescent="0.25">
      <c r="A24" t="s">
        <v>10</v>
      </c>
      <c r="B24">
        <v>0</v>
      </c>
      <c r="C24">
        <f>C15-C14</f>
        <v>224.67994223790993</v>
      </c>
      <c r="D24">
        <f>D15-D17</f>
        <v>310.20590868397505</v>
      </c>
      <c r="E24">
        <v>66.887521691118494</v>
      </c>
    </row>
    <row r="25" spans="1:9" x14ac:dyDescent="0.25">
      <c r="A25" t="s">
        <v>11</v>
      </c>
      <c r="B25">
        <v>0</v>
      </c>
      <c r="C25">
        <f>C16-C14</f>
        <v>388.08353659276008</v>
      </c>
      <c r="D25">
        <f>D16-D17</f>
        <v>404.207699194273</v>
      </c>
      <c r="E25">
        <v>75.1198320531023</v>
      </c>
    </row>
    <row r="26" spans="1:9" x14ac:dyDescent="0.25">
      <c r="A26" t="s">
        <v>12</v>
      </c>
      <c r="B26">
        <v>256.15179875568998</v>
      </c>
      <c r="C26">
        <f>C17-C14</f>
        <v>2185.5230744961</v>
      </c>
      <c r="D26">
        <f>D17-D17</f>
        <v>0</v>
      </c>
      <c r="E26">
        <v>165.67524603492399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76E34-9D2B-4A7C-AB68-6AF1D5168EB8}">
  <dimension ref="B1:R55"/>
  <sheetViews>
    <sheetView topLeftCell="E1" zoomScale="130" zoomScaleNormal="130" workbookViewId="0">
      <selection activeCell="F26" sqref="F26"/>
    </sheetView>
  </sheetViews>
  <sheetFormatPr defaultRowHeight="15" x14ac:dyDescent="0.25"/>
  <cols>
    <col min="2" max="2" width="14.140625" bestFit="1" customWidth="1"/>
    <col min="3" max="3" width="14.140625" customWidth="1"/>
    <col min="4" max="4" width="64.5703125" bestFit="1" customWidth="1"/>
    <col min="5" max="5" width="44.7109375" bestFit="1" customWidth="1"/>
    <col min="6" max="6" width="72.85546875" bestFit="1" customWidth="1"/>
    <col min="7" max="7" width="60.28515625" customWidth="1"/>
    <col min="8" max="8" width="60.42578125" customWidth="1"/>
    <col min="9" max="9" width="38.140625" customWidth="1"/>
    <col min="10" max="10" width="66.5703125" bestFit="1" customWidth="1"/>
    <col min="11" max="11" width="33.5703125" customWidth="1"/>
    <col min="12" max="12" width="33.140625" customWidth="1"/>
    <col min="13" max="13" width="61.85546875" bestFit="1" customWidth="1"/>
    <col min="14" max="14" width="70.5703125" bestFit="1" customWidth="1"/>
  </cols>
  <sheetData>
    <row r="1" spans="2:9" x14ac:dyDescent="0.25">
      <c r="E1" t="s">
        <v>29</v>
      </c>
      <c r="F1" t="s">
        <v>30</v>
      </c>
      <c r="G1" t="s">
        <v>37</v>
      </c>
      <c r="H1" t="s">
        <v>39</v>
      </c>
      <c r="I1" t="s">
        <v>40</v>
      </c>
    </row>
    <row r="2" spans="2:9" s="1" customFormat="1" x14ac:dyDescent="0.25">
      <c r="B2" s="1" t="s">
        <v>0</v>
      </c>
      <c r="D2" s="1" t="s">
        <v>23</v>
      </c>
      <c r="E2" s="1">
        <v>5</v>
      </c>
      <c r="G2" s="1">
        <v>-2.9780000000000002</v>
      </c>
      <c r="H2" s="1">
        <v>6</v>
      </c>
    </row>
    <row r="3" spans="2:9" s="1" customFormat="1" x14ac:dyDescent="0.25">
      <c r="B3" s="1" t="s">
        <v>7</v>
      </c>
      <c r="D3" s="1">
        <v>0.12579650963069</v>
      </c>
      <c r="E3" s="1">
        <v>5</v>
      </c>
      <c r="F3" s="1">
        <f t="shared" ref="F3:F8" si="0">D3*E3</f>
        <v>0.62898254815345001</v>
      </c>
      <c r="G3" s="1">
        <v>-2.9780000000000002</v>
      </c>
      <c r="H3" s="1">
        <v>6</v>
      </c>
      <c r="I3" s="1">
        <f>D3/H3</f>
        <v>2.0966084938448332E-2</v>
      </c>
    </row>
    <row r="4" spans="2:9" s="1" customFormat="1" x14ac:dyDescent="0.25">
      <c r="B4" s="1" t="s">
        <v>8</v>
      </c>
      <c r="D4" s="1">
        <v>0.14514981880464284</v>
      </c>
      <c r="E4" s="1">
        <v>5</v>
      </c>
      <c r="F4" s="1">
        <f>D4*E4</f>
        <v>0.72574909402321419</v>
      </c>
      <c r="G4" s="1">
        <v>-2.9780000000000002</v>
      </c>
      <c r="H4" s="1">
        <v>6</v>
      </c>
      <c r="I4" s="1">
        <f t="shared" ref="I4:I8" si="1">D4/H4</f>
        <v>2.4191636467440474E-2</v>
      </c>
    </row>
    <row r="5" spans="2:9" s="1" customFormat="1" x14ac:dyDescent="0.25">
      <c r="B5" s="1" t="s">
        <v>9</v>
      </c>
      <c r="D5" s="1">
        <v>0</v>
      </c>
      <c r="E5" s="1">
        <v>5</v>
      </c>
      <c r="F5" s="1">
        <f t="shared" si="0"/>
        <v>0</v>
      </c>
      <c r="G5" s="1">
        <v>-2.9780000000000002</v>
      </c>
      <c r="H5" s="1">
        <v>6</v>
      </c>
      <c r="I5" s="1">
        <f t="shared" si="1"/>
        <v>0</v>
      </c>
    </row>
    <row r="6" spans="2:9" s="1" customFormat="1" x14ac:dyDescent="0.25">
      <c r="B6" s="1" t="s">
        <v>10</v>
      </c>
      <c r="D6" s="1">
        <v>0</v>
      </c>
      <c r="E6" s="1">
        <v>5</v>
      </c>
      <c r="F6" s="1">
        <f t="shared" si="0"/>
        <v>0</v>
      </c>
      <c r="G6" s="1">
        <v>-2.9780000000000002</v>
      </c>
      <c r="H6" s="1">
        <v>6</v>
      </c>
      <c r="I6" s="1">
        <f t="shared" si="1"/>
        <v>0</v>
      </c>
    </row>
    <row r="7" spans="2:9" s="1" customFormat="1" x14ac:dyDescent="0.25">
      <c r="B7" s="1" t="s">
        <v>11</v>
      </c>
      <c r="D7" s="1">
        <v>0</v>
      </c>
      <c r="E7" s="1">
        <v>5</v>
      </c>
      <c r="F7" s="1">
        <f t="shared" si="0"/>
        <v>0</v>
      </c>
      <c r="G7" s="1">
        <v>-2.9780000000000002</v>
      </c>
      <c r="H7" s="1">
        <v>6</v>
      </c>
      <c r="I7" s="1">
        <f t="shared" si="1"/>
        <v>0</v>
      </c>
    </row>
    <row r="8" spans="2:9" s="1" customFormat="1" x14ac:dyDescent="0.25">
      <c r="B8" s="1" t="s">
        <v>12</v>
      </c>
      <c r="D8" s="1">
        <v>0.10321764892774604</v>
      </c>
      <c r="E8" s="1">
        <v>5</v>
      </c>
      <c r="F8" s="1">
        <f t="shared" si="0"/>
        <v>0.51608824463873026</v>
      </c>
      <c r="G8" s="1">
        <v>-2.9780000000000002</v>
      </c>
      <c r="H8" s="1">
        <v>6</v>
      </c>
      <c r="I8" s="1">
        <f t="shared" si="1"/>
        <v>1.7202941487957674E-2</v>
      </c>
    </row>
    <row r="10" spans="2:9" ht="18" customHeight="1" x14ac:dyDescent="0.25">
      <c r="E10" t="s">
        <v>29</v>
      </c>
      <c r="F10" t="s">
        <v>30</v>
      </c>
      <c r="G10" t="s">
        <v>37</v>
      </c>
      <c r="H10" t="s">
        <v>38</v>
      </c>
    </row>
    <row r="11" spans="2:9" s="13" customFormat="1" x14ac:dyDescent="0.25">
      <c r="D11" s="13" t="s">
        <v>26</v>
      </c>
      <c r="E11" s="13">
        <v>2</v>
      </c>
      <c r="G11" s="13">
        <v>-2104</v>
      </c>
      <c r="H11" s="13">
        <v>15</v>
      </c>
    </row>
    <row r="12" spans="2:9" s="13" customFormat="1" x14ac:dyDescent="0.25">
      <c r="B12" s="13" t="s">
        <v>7</v>
      </c>
      <c r="D12" s="13">
        <v>2.0022570898103313</v>
      </c>
      <c r="E12" s="13">
        <v>2</v>
      </c>
      <c r="F12" s="13">
        <f t="shared" ref="F12:F17" si="2">D12*E12</f>
        <v>4.0045141796206627</v>
      </c>
      <c r="G12" s="13">
        <v>-2104</v>
      </c>
      <c r="H12" s="13">
        <v>15</v>
      </c>
      <c r="I12" s="13">
        <f>F12/H12</f>
        <v>0.26696761197471086</v>
      </c>
    </row>
    <row r="13" spans="2:9" s="13" customFormat="1" x14ac:dyDescent="0.25">
      <c r="B13" s="13" t="s">
        <v>8</v>
      </c>
      <c r="D13" s="13">
        <v>2.7303505770140881</v>
      </c>
      <c r="E13" s="13">
        <v>2</v>
      </c>
      <c r="F13" s="13">
        <f>D13*E13</f>
        <v>5.4607011540281762</v>
      </c>
      <c r="G13" s="13">
        <v>-2104</v>
      </c>
      <c r="H13" s="13">
        <v>15</v>
      </c>
      <c r="I13" s="13">
        <f t="shared" ref="I13:I17" si="3">F13/H13</f>
        <v>0.36404674360187844</v>
      </c>
    </row>
    <row r="14" spans="2:9" s="13" customFormat="1" x14ac:dyDescent="0.25">
      <c r="B14" s="13" t="s">
        <v>9</v>
      </c>
      <c r="D14" s="13">
        <v>0.98292620772507178</v>
      </c>
      <c r="E14" s="13">
        <v>2</v>
      </c>
      <c r="F14" s="13">
        <f t="shared" si="2"/>
        <v>1.9658524154501436</v>
      </c>
      <c r="G14" s="13">
        <v>-2104</v>
      </c>
      <c r="H14" s="13">
        <v>15</v>
      </c>
      <c r="I14" s="13">
        <f>F14/H14</f>
        <v>0.13105682769667623</v>
      </c>
    </row>
    <row r="15" spans="2:9" s="13" customFormat="1" x14ac:dyDescent="0.25">
      <c r="B15" s="13" t="s">
        <v>10</v>
      </c>
      <c r="D15" s="13">
        <v>1.1831519167061051</v>
      </c>
      <c r="E15" s="13">
        <v>2</v>
      </c>
      <c r="F15" s="13">
        <f t="shared" si="2"/>
        <v>2.3663038334122102</v>
      </c>
      <c r="G15" s="13">
        <v>-2104</v>
      </c>
      <c r="H15" s="13">
        <v>15</v>
      </c>
      <c r="I15" s="13">
        <f t="shared" si="3"/>
        <v>0.15775358889414734</v>
      </c>
    </row>
    <row r="16" spans="2:9" s="13" customFormat="1" x14ac:dyDescent="0.25">
      <c r="B16" s="13" t="s">
        <v>11</v>
      </c>
      <c r="D16" s="13">
        <v>1.3287706141468563</v>
      </c>
      <c r="E16" s="13">
        <v>2</v>
      </c>
      <c r="F16" s="13">
        <f t="shared" si="2"/>
        <v>2.6575412282937125</v>
      </c>
      <c r="G16" s="13">
        <v>-2104</v>
      </c>
      <c r="H16" s="13">
        <v>15</v>
      </c>
      <c r="I16" s="13">
        <f t="shared" si="3"/>
        <v>0.17716941521958082</v>
      </c>
    </row>
    <row r="17" spans="2:9" s="13" customFormat="1" x14ac:dyDescent="0.25">
      <c r="B17" s="13" t="s">
        <v>12</v>
      </c>
      <c r="D17" s="13">
        <v>2.9305762859951217</v>
      </c>
      <c r="E17" s="13">
        <v>2</v>
      </c>
      <c r="F17" s="13">
        <f t="shared" si="2"/>
        <v>5.8611525719902433</v>
      </c>
      <c r="G17" s="13">
        <v>-2104</v>
      </c>
      <c r="H17" s="13">
        <v>15</v>
      </c>
      <c r="I17" s="13">
        <f t="shared" si="3"/>
        <v>0.39074350479934955</v>
      </c>
    </row>
    <row r="19" spans="2:9" x14ac:dyDescent="0.25">
      <c r="E19" t="s">
        <v>29</v>
      </c>
      <c r="F19" t="s">
        <v>30</v>
      </c>
      <c r="G19" t="s">
        <v>37</v>
      </c>
      <c r="H19" t="s">
        <v>38</v>
      </c>
    </row>
    <row r="20" spans="2:9" s="8" customFormat="1" x14ac:dyDescent="0.25">
      <c r="D20" s="8" t="s">
        <v>25</v>
      </c>
      <c r="E20" s="8">
        <v>1</v>
      </c>
      <c r="G20" s="8">
        <v>-525</v>
      </c>
      <c r="H20" s="8">
        <v>30</v>
      </c>
    </row>
    <row r="21" spans="2:9" s="8" customFormat="1" x14ac:dyDescent="0.25">
      <c r="B21" s="8" t="s">
        <v>7</v>
      </c>
      <c r="D21" s="8">
        <v>83.079677708146804</v>
      </c>
      <c r="E21" s="8">
        <v>1</v>
      </c>
      <c r="F21" s="8">
        <f>D21*E21</f>
        <v>83.079677708146804</v>
      </c>
      <c r="G21" s="8">
        <v>-525</v>
      </c>
      <c r="H21" s="8">
        <v>30</v>
      </c>
      <c r="I21" s="8">
        <f t="shared" ref="I21:I26" si="4">F21/H21</f>
        <v>2.7693225902715599</v>
      </c>
    </row>
    <row r="22" spans="2:9" s="8" customFormat="1" x14ac:dyDescent="0.25">
      <c r="B22" s="8" t="s">
        <v>8</v>
      </c>
      <c r="D22" s="8">
        <v>158.10205908683974</v>
      </c>
      <c r="E22" s="8">
        <v>1</v>
      </c>
      <c r="F22" s="8">
        <f t="shared" ref="F22:F26" si="5">D22*E22</f>
        <v>158.10205908683974</v>
      </c>
      <c r="G22" s="8">
        <v>-525</v>
      </c>
      <c r="H22" s="8">
        <v>30</v>
      </c>
      <c r="I22" s="8">
        <f t="shared" si="4"/>
        <v>5.2700686362279914</v>
      </c>
    </row>
    <row r="23" spans="2:9" s="8" customFormat="1" x14ac:dyDescent="0.25">
      <c r="B23" s="8" t="s">
        <v>9</v>
      </c>
      <c r="D23" s="8">
        <v>66.60698299015219</v>
      </c>
      <c r="E23" s="8">
        <v>1</v>
      </c>
      <c r="F23" s="8">
        <f t="shared" si="5"/>
        <v>66.60698299015219</v>
      </c>
      <c r="G23" s="8">
        <v>-525</v>
      </c>
      <c r="H23" s="8">
        <v>30</v>
      </c>
      <c r="I23" s="8">
        <f t="shared" si="4"/>
        <v>2.2202327663384063</v>
      </c>
    </row>
    <row r="24" spans="2:9" s="8" customFormat="1" x14ac:dyDescent="0.25">
      <c r="B24" s="8" t="s">
        <v>10</v>
      </c>
      <c r="D24" s="8">
        <v>56.401074306177257</v>
      </c>
      <c r="E24" s="8">
        <v>1</v>
      </c>
      <c r="F24" s="8">
        <f t="shared" si="5"/>
        <v>56.401074306177257</v>
      </c>
      <c r="G24" s="8">
        <v>-525</v>
      </c>
      <c r="H24" s="8">
        <v>30</v>
      </c>
      <c r="I24" s="8">
        <f t="shared" si="4"/>
        <v>1.8800358102059085</v>
      </c>
    </row>
    <row r="25" spans="2:9" s="8" customFormat="1" x14ac:dyDescent="0.25">
      <c r="B25" s="8" t="s">
        <v>11</v>
      </c>
      <c r="D25" s="8">
        <v>61.772605192479858</v>
      </c>
      <c r="E25" s="8">
        <v>1</v>
      </c>
      <c r="F25" s="8">
        <f t="shared" si="5"/>
        <v>61.772605192479858</v>
      </c>
      <c r="G25" s="8">
        <v>-525</v>
      </c>
      <c r="H25" s="8">
        <v>30</v>
      </c>
      <c r="I25" s="8">
        <f t="shared" si="4"/>
        <v>2.0590868397493285</v>
      </c>
    </row>
    <row r="26" spans="2:9" s="8" customFormat="1" x14ac:dyDescent="0.25">
      <c r="B26" s="8" t="s">
        <v>12</v>
      </c>
      <c r="D26" s="8">
        <v>38.675022381378696</v>
      </c>
      <c r="E26" s="8">
        <v>1</v>
      </c>
      <c r="F26" s="8">
        <f t="shared" si="5"/>
        <v>38.675022381378696</v>
      </c>
      <c r="G26" s="8">
        <v>-525</v>
      </c>
      <c r="H26" s="8">
        <v>30</v>
      </c>
      <c r="I26" s="8">
        <f t="shared" si="4"/>
        <v>1.2891674127126231</v>
      </c>
    </row>
    <row r="29" spans="2:9" x14ac:dyDescent="0.25">
      <c r="E29" t="s">
        <v>29</v>
      </c>
      <c r="F29" t="s">
        <v>30</v>
      </c>
      <c r="H29" t="s">
        <v>38</v>
      </c>
    </row>
    <row r="30" spans="2:9" s="3" customFormat="1" x14ac:dyDescent="0.25">
      <c r="D30" s="3" t="s">
        <v>24</v>
      </c>
      <c r="E30" s="3">
        <v>8</v>
      </c>
      <c r="G30" s="3" t="s">
        <v>37</v>
      </c>
      <c r="H30" s="3">
        <v>3.75</v>
      </c>
    </row>
    <row r="31" spans="2:9" s="3" customFormat="1" x14ac:dyDescent="0.25">
      <c r="B31" s="3" t="s">
        <v>7</v>
      </c>
      <c r="D31" s="3">
        <v>0.54132833645638145</v>
      </c>
      <c r="E31" s="3">
        <v>8</v>
      </c>
      <c r="F31" s="3">
        <f>D31*E31</f>
        <v>4.3306266916510516</v>
      </c>
      <c r="G31" s="3">
        <v>-106</v>
      </c>
      <c r="H31" s="3">
        <v>3.75</v>
      </c>
      <c r="I31" s="3">
        <f>F31/H31</f>
        <v>1.1548337844402805</v>
      </c>
    </row>
    <row r="32" spans="2:9" s="3" customFormat="1" x14ac:dyDescent="0.25">
      <c r="B32" s="3" t="s">
        <v>8</v>
      </c>
      <c r="D32" s="3">
        <v>1.0514261919633563</v>
      </c>
      <c r="E32" s="3">
        <v>8</v>
      </c>
      <c r="F32" s="3">
        <f>D32*E32</f>
        <v>8.4114095357068503</v>
      </c>
      <c r="G32" s="3">
        <v>-106</v>
      </c>
      <c r="H32" s="3">
        <v>3.75</v>
      </c>
      <c r="I32" s="3">
        <f t="shared" ref="I32:I36" si="6">F32/H32</f>
        <v>2.2430425428551599</v>
      </c>
    </row>
    <row r="33" spans="2:15" s="3" customFormat="1" x14ac:dyDescent="0.25">
      <c r="B33" s="3" t="s">
        <v>9</v>
      </c>
      <c r="D33" s="3">
        <v>2.5400791172184047</v>
      </c>
      <c r="E33" s="3">
        <v>8</v>
      </c>
      <c r="F33" s="3">
        <f>D33*E33</f>
        <v>20.320632937747238</v>
      </c>
      <c r="G33" s="3">
        <v>-106</v>
      </c>
      <c r="H33" s="3">
        <v>3.75</v>
      </c>
      <c r="I33" s="3">
        <f t="shared" si="6"/>
        <v>5.4188354500659299</v>
      </c>
    </row>
    <row r="34" spans="2:15" s="3" customFormat="1" x14ac:dyDescent="0.25">
      <c r="B34" s="3" t="s">
        <v>10</v>
      </c>
      <c r="D34" s="3">
        <v>0.63501977930460118</v>
      </c>
      <c r="E34" s="3">
        <v>8</v>
      </c>
      <c r="F34" s="3">
        <f t="shared" ref="F34:F36" si="7">D34*E34</f>
        <v>5.0801582344368095</v>
      </c>
      <c r="G34" s="3">
        <v>-106</v>
      </c>
      <c r="H34" s="3">
        <v>3.75</v>
      </c>
      <c r="I34" s="3">
        <f t="shared" si="6"/>
        <v>1.3547088625164825</v>
      </c>
    </row>
    <row r="35" spans="2:15" s="3" customFormat="1" x14ac:dyDescent="0.25">
      <c r="B35" s="3" t="s">
        <v>11</v>
      </c>
      <c r="D35" s="3">
        <v>1.4782427649385801</v>
      </c>
      <c r="E35" s="3">
        <v>8</v>
      </c>
      <c r="F35" s="3">
        <f t="shared" si="7"/>
        <v>11.825942119508641</v>
      </c>
      <c r="G35" s="3">
        <v>-106</v>
      </c>
      <c r="H35" s="3">
        <v>3.75</v>
      </c>
      <c r="I35" s="3">
        <f t="shared" si="6"/>
        <v>3.153584565202304</v>
      </c>
    </row>
    <row r="36" spans="2:15" s="3" customFormat="1" x14ac:dyDescent="0.25">
      <c r="B36" s="3" t="s">
        <v>12</v>
      </c>
      <c r="D36" s="3">
        <v>1.6760358109514886</v>
      </c>
      <c r="E36" s="3">
        <v>8</v>
      </c>
      <c r="F36" s="3">
        <f t="shared" si="7"/>
        <v>13.408286487611909</v>
      </c>
      <c r="G36" s="3">
        <v>-106</v>
      </c>
      <c r="H36" s="3">
        <v>3.75</v>
      </c>
      <c r="I36" s="3">
        <f t="shared" si="6"/>
        <v>3.5755430633631757</v>
      </c>
    </row>
    <row r="42" spans="2:15" x14ac:dyDescent="0.25">
      <c r="B42" t="s">
        <v>0</v>
      </c>
      <c r="D42" s="1" t="s">
        <v>23</v>
      </c>
      <c r="E42" s="1" t="s">
        <v>57</v>
      </c>
      <c r="F42" s="1" t="s">
        <v>42</v>
      </c>
      <c r="G42" s="11" t="s">
        <v>26</v>
      </c>
      <c r="H42" s="11" t="s">
        <v>57</v>
      </c>
      <c r="I42" s="11" t="s">
        <v>37</v>
      </c>
      <c r="J42" s="8" t="s">
        <v>25</v>
      </c>
      <c r="K42" s="8" t="s">
        <v>57</v>
      </c>
      <c r="L42" s="8" t="s">
        <v>37</v>
      </c>
      <c r="M42" s="3" t="s">
        <v>24</v>
      </c>
      <c r="N42" s="3" t="s">
        <v>57</v>
      </c>
      <c r="O42" s="3" t="s">
        <v>37</v>
      </c>
    </row>
    <row r="43" spans="2:15" x14ac:dyDescent="0.25">
      <c r="B43" t="s">
        <v>7</v>
      </c>
      <c r="D43">
        <v>0.12579650963069047</v>
      </c>
      <c r="E43">
        <v>0.10483042469224167</v>
      </c>
      <c r="F43">
        <v>-2978</v>
      </c>
      <c r="G43">
        <v>2.0022570898103313</v>
      </c>
      <c r="H43">
        <v>0.26696761197471086</v>
      </c>
      <c r="I43">
        <v>-2104</v>
      </c>
      <c r="J43">
        <v>83.079677708146804</v>
      </c>
      <c r="K43">
        <v>2.7693225902715599</v>
      </c>
      <c r="L43">
        <v>-525</v>
      </c>
      <c r="M43" s="14">
        <v>0.54132833645638145</v>
      </c>
      <c r="N43" s="14">
        <v>1.1548337844402805</v>
      </c>
      <c r="O43">
        <v>-106</v>
      </c>
    </row>
    <row r="44" spans="2:15" x14ac:dyDescent="0.25">
      <c r="B44" t="s">
        <v>8</v>
      </c>
      <c r="D44">
        <v>0.14514981880464284</v>
      </c>
      <c r="E44">
        <v>0.12095818233720236</v>
      </c>
      <c r="F44">
        <v>-2978</v>
      </c>
      <c r="G44">
        <v>2.7303505770140881</v>
      </c>
      <c r="H44">
        <v>0.36404674360187844</v>
      </c>
      <c r="I44">
        <v>-2104</v>
      </c>
      <c r="J44">
        <v>158.10205908683974</v>
      </c>
      <c r="K44">
        <v>5.2700686362279914</v>
      </c>
      <c r="L44">
        <v>-525</v>
      </c>
      <c r="M44" s="14">
        <v>1.0514261919633563</v>
      </c>
      <c r="N44" s="14">
        <v>2.2430425428551599</v>
      </c>
      <c r="O44">
        <v>-106</v>
      </c>
    </row>
    <row r="45" spans="2:15" x14ac:dyDescent="0.25">
      <c r="B45" t="s">
        <v>9</v>
      </c>
      <c r="D45">
        <v>0</v>
      </c>
      <c r="E45">
        <v>0</v>
      </c>
      <c r="F45">
        <v>-2978</v>
      </c>
      <c r="G45">
        <v>0.98292620772507178</v>
      </c>
      <c r="H45">
        <v>0.13105682769667623</v>
      </c>
      <c r="I45">
        <v>-2104</v>
      </c>
      <c r="J45">
        <v>66.60698299015219</v>
      </c>
      <c r="K45">
        <v>2.2202327663384063</v>
      </c>
      <c r="L45">
        <v>-525</v>
      </c>
      <c r="M45" s="14">
        <v>2.5400791172184047</v>
      </c>
      <c r="N45" s="14">
        <v>5.4188354500659299</v>
      </c>
      <c r="O45">
        <v>-106</v>
      </c>
    </row>
    <row r="46" spans="2:15" x14ac:dyDescent="0.25">
      <c r="B46" t="s">
        <v>10</v>
      </c>
      <c r="D46">
        <v>0</v>
      </c>
      <c r="E46">
        <v>0</v>
      </c>
      <c r="F46">
        <v>-2978</v>
      </c>
      <c r="G46">
        <v>1.1831519167061051</v>
      </c>
      <c r="H46">
        <v>0.15775358889414734</v>
      </c>
      <c r="I46">
        <v>-2104</v>
      </c>
      <c r="J46">
        <v>56.401074306177257</v>
      </c>
      <c r="K46">
        <v>1.8800358102059085</v>
      </c>
      <c r="L46">
        <v>-525</v>
      </c>
      <c r="M46" s="14">
        <v>0.63501977930460118</v>
      </c>
      <c r="N46" s="14">
        <v>1.3547088625164825</v>
      </c>
      <c r="O46">
        <v>-106</v>
      </c>
    </row>
    <row r="47" spans="2:15" x14ac:dyDescent="0.25">
      <c r="B47" t="s">
        <v>11</v>
      </c>
      <c r="D47">
        <v>0</v>
      </c>
      <c r="E47">
        <v>0</v>
      </c>
      <c r="F47">
        <v>-2978</v>
      </c>
      <c r="G47">
        <v>1.3287706141468563</v>
      </c>
      <c r="H47">
        <v>0.17716941521958082</v>
      </c>
      <c r="I47">
        <v>-2104</v>
      </c>
      <c r="J47">
        <v>61.772605192479858</v>
      </c>
      <c r="K47">
        <v>2.0590868397493285</v>
      </c>
      <c r="L47">
        <v>-525</v>
      </c>
      <c r="M47" s="14">
        <v>1.4782427649385801</v>
      </c>
      <c r="N47" s="14">
        <v>3.153584565202304</v>
      </c>
      <c r="O47">
        <v>-106</v>
      </c>
    </row>
    <row r="48" spans="2:15" x14ac:dyDescent="0.25">
      <c r="B48" t="s">
        <v>12</v>
      </c>
      <c r="D48">
        <v>0.10321764892774604</v>
      </c>
      <c r="E48">
        <v>8.6014707439788382E-2</v>
      </c>
      <c r="F48">
        <v>-2978</v>
      </c>
      <c r="G48">
        <v>2.9305762859951217</v>
      </c>
      <c r="H48">
        <v>0.39074350479934955</v>
      </c>
      <c r="I48">
        <v>-2104</v>
      </c>
      <c r="J48">
        <v>38.675022381378696</v>
      </c>
      <c r="K48">
        <v>1.2891674127126231</v>
      </c>
      <c r="L48">
        <v>-525</v>
      </c>
      <c r="M48" s="14">
        <v>1.6760358109514886</v>
      </c>
      <c r="N48" s="14">
        <v>3.5755430633631757</v>
      </c>
      <c r="O48">
        <v>-106</v>
      </c>
    </row>
    <row r="49" spans="2:18" x14ac:dyDescent="0.25">
      <c r="D49" s="1" t="s">
        <v>41</v>
      </c>
      <c r="G49" s="11" t="s">
        <v>43</v>
      </c>
      <c r="H49" s="12"/>
      <c r="J49" s="8" t="s">
        <v>56</v>
      </c>
      <c r="M49" s="3" t="s">
        <v>56</v>
      </c>
      <c r="R49" t="s">
        <v>44</v>
      </c>
    </row>
    <row r="50" spans="2:18" x14ac:dyDescent="0.25">
      <c r="B50" t="s">
        <v>7</v>
      </c>
      <c r="D50">
        <f t="shared" ref="D50:D55" si="8">E43*F43</f>
        <v>-312.1850047334957</v>
      </c>
      <c r="G50">
        <f t="shared" ref="G50:G55" si="9">H43*I43</f>
        <v>-561.69985559479164</v>
      </c>
      <c r="J50">
        <f>K43*L43</f>
        <v>-1453.8943598925689</v>
      </c>
      <c r="M50">
        <f>N43*O43</f>
        <v>-122.41238115066973</v>
      </c>
      <c r="R50">
        <f>D50+G50+H50+'FInal table formatted'!I2</f>
        <v>-987.07912780556478</v>
      </c>
    </row>
    <row r="51" spans="2:18" x14ac:dyDescent="0.25">
      <c r="B51" t="s">
        <v>8</v>
      </c>
      <c r="D51">
        <f t="shared" si="8"/>
        <v>-360.21346700018864</v>
      </c>
      <c r="G51">
        <f t="shared" si="9"/>
        <v>-765.95434853835229</v>
      </c>
      <c r="J51">
        <f t="shared" ref="J51:J55" si="10">K44*L44</f>
        <v>-2766.7860340196953</v>
      </c>
      <c r="M51">
        <f t="shared" ref="M51:M55" si="11">N44*O44</f>
        <v>-237.76250954264694</v>
      </c>
      <c r="R51">
        <f>D51+G51+H51+'FInal table formatted'!I3</f>
        <v>-1280.5236348257374</v>
      </c>
    </row>
    <row r="52" spans="2:18" x14ac:dyDescent="0.25">
      <c r="B52" t="s">
        <v>9</v>
      </c>
      <c r="D52">
        <f t="shared" si="8"/>
        <v>0</v>
      </c>
      <c r="G52">
        <f t="shared" si="9"/>
        <v>-275.74356547380677</v>
      </c>
      <c r="J52">
        <f t="shared" si="10"/>
        <v>-1165.6222023276632</v>
      </c>
      <c r="M52">
        <f t="shared" si="11"/>
        <v>-574.39655770698857</v>
      </c>
      <c r="R52">
        <f>D52+G52+H52+'FInal table formatted'!I4</f>
        <v>-331.31166041719746</v>
      </c>
    </row>
    <row r="53" spans="2:18" x14ac:dyDescent="0.25">
      <c r="B53" t="s">
        <v>10</v>
      </c>
      <c r="D53">
        <f t="shared" si="8"/>
        <v>0</v>
      </c>
      <c r="G53">
        <f t="shared" si="9"/>
        <v>-331.91355103328601</v>
      </c>
      <c r="J53">
        <f t="shared" si="10"/>
        <v>-987.018800358102</v>
      </c>
      <c r="M53">
        <f t="shared" si="11"/>
        <v>-143.59913942674714</v>
      </c>
      <c r="R53">
        <f>D53+G53+H53+'FInal table formatted'!I5</f>
        <v>-398.80107272440449</v>
      </c>
    </row>
    <row r="54" spans="2:18" x14ac:dyDescent="0.25">
      <c r="B54" t="s">
        <v>11</v>
      </c>
      <c r="D54">
        <f t="shared" si="8"/>
        <v>0</v>
      </c>
      <c r="G54">
        <f t="shared" si="9"/>
        <v>-372.76444962199804</v>
      </c>
      <c r="J54">
        <f t="shared" si="10"/>
        <v>-1081.0205908683974</v>
      </c>
      <c r="M54">
        <f t="shared" si="11"/>
        <v>-334.27996391144421</v>
      </c>
      <c r="R54">
        <f>D54+G54+H54+'FInal table formatted'!I6</f>
        <v>-447.88428167510028</v>
      </c>
    </row>
    <row r="55" spans="2:18" x14ac:dyDescent="0.25">
      <c r="B55" t="s">
        <v>12</v>
      </c>
      <c r="D55">
        <f t="shared" si="8"/>
        <v>-256.15179875568981</v>
      </c>
      <c r="G55">
        <f t="shared" si="9"/>
        <v>-822.12433409783148</v>
      </c>
      <c r="J55">
        <f t="shared" si="10"/>
        <v>-676.81289167412717</v>
      </c>
      <c r="M55">
        <f t="shared" si="11"/>
        <v>-379.00756471649663</v>
      </c>
      <c r="R55">
        <f>D55+G55+H55+'FInal table formatted'!I7</f>
        <v>-1243.9513788884453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1A2E5-DB44-4436-BBDF-7DAB4892B3B0}">
  <dimension ref="A1:P63"/>
  <sheetViews>
    <sheetView topLeftCell="J1" zoomScale="130" zoomScaleNormal="130" workbookViewId="0">
      <selection activeCell="L3" sqref="L3"/>
    </sheetView>
  </sheetViews>
  <sheetFormatPr defaultRowHeight="15" x14ac:dyDescent="0.25"/>
  <cols>
    <col min="1" max="1" width="11.5703125" bestFit="1" customWidth="1"/>
    <col min="2" max="2" width="11.5703125" customWidth="1"/>
    <col min="3" max="3" width="17.5703125" bestFit="1" customWidth="1"/>
    <col min="4" max="4" width="12.7109375" customWidth="1"/>
    <col min="5" max="5" width="12.85546875" bestFit="1" customWidth="1"/>
    <col min="6" max="6" width="25.7109375" bestFit="1" customWidth="1"/>
    <col min="7" max="7" width="51" bestFit="1" customWidth="1"/>
    <col min="8" max="8" width="90.28515625" bestFit="1" customWidth="1"/>
    <col min="9" max="9" width="63.140625" bestFit="1" customWidth="1"/>
    <col min="10" max="10" width="85.42578125" bestFit="1" customWidth="1"/>
    <col min="11" max="11" width="38.5703125" customWidth="1"/>
    <col min="12" max="12" width="30.28515625" bestFit="1" customWidth="1"/>
    <col min="14" max="14" width="14.5703125" bestFit="1" customWidth="1"/>
    <col min="15" max="15" width="22" bestFit="1" customWidth="1"/>
    <col min="16" max="16" width="22.42578125" bestFit="1" customWidth="1"/>
  </cols>
  <sheetData>
    <row r="1" spans="1:16" s="15" customFormat="1" x14ac:dyDescent="0.25">
      <c r="A1" s="15" t="s">
        <v>58</v>
      </c>
      <c r="C1" s="15" t="s">
        <v>61</v>
      </c>
      <c r="D1" s="15" t="s">
        <v>62</v>
      </c>
      <c r="E1" s="15" t="s">
        <v>63</v>
      </c>
      <c r="F1" s="15" t="s">
        <v>64</v>
      </c>
      <c r="G1" s="15" t="s">
        <v>68</v>
      </c>
      <c r="H1" s="15" t="s">
        <v>70</v>
      </c>
      <c r="I1" s="15" t="s">
        <v>71</v>
      </c>
      <c r="J1" s="15" t="s">
        <v>74</v>
      </c>
      <c r="K1" s="15" t="s">
        <v>76</v>
      </c>
      <c r="L1" s="15" t="s">
        <v>80</v>
      </c>
      <c r="N1" s="15" t="s">
        <v>79</v>
      </c>
      <c r="O1" s="15" t="s">
        <v>81</v>
      </c>
    </row>
    <row r="2" spans="1:16" x14ac:dyDescent="0.25">
      <c r="E2" t="s">
        <v>66</v>
      </c>
      <c r="F2" t="s">
        <v>65</v>
      </c>
      <c r="G2" t="s">
        <v>67</v>
      </c>
      <c r="H2" t="s">
        <v>69</v>
      </c>
      <c r="I2" t="s">
        <v>72</v>
      </c>
      <c r="J2" t="s">
        <v>73</v>
      </c>
      <c r="K2" t="s">
        <v>75</v>
      </c>
      <c r="L2">
        <v>78.11</v>
      </c>
      <c r="M2" t="s">
        <v>78</v>
      </c>
    </row>
    <row r="3" spans="1:16" s="15" customFormat="1" x14ac:dyDescent="0.25">
      <c r="A3" s="15" t="s">
        <v>7</v>
      </c>
      <c r="C3" s="15">
        <v>7.8</v>
      </c>
      <c r="D3" s="15">
        <f>C3/1000</f>
        <v>7.7999999999999996E-3</v>
      </c>
      <c r="E3" s="15">
        <v>62</v>
      </c>
      <c r="F3" s="15">
        <f>D3/E3</f>
        <v>1.2580645161290322E-4</v>
      </c>
      <c r="G3" s="15">
        <v>6</v>
      </c>
      <c r="H3" s="15">
        <f>F3/G3</f>
        <v>2.0967741935483869E-5</v>
      </c>
      <c r="I3" s="15">
        <v>2978</v>
      </c>
      <c r="J3" s="15">
        <f>H3*I3</f>
        <v>6.2441935483870961E-2</v>
      </c>
      <c r="K3" s="15">
        <f>H3*1000</f>
        <v>2.0967741935483869E-2</v>
      </c>
      <c r="L3" s="15">
        <f>H3*$L$2</f>
        <v>1.637790322580645E-3</v>
      </c>
      <c r="N3" s="15">
        <f>L3*1000</f>
        <v>1.6377903225806449</v>
      </c>
      <c r="O3" s="15">
        <f>J3*1000</f>
        <v>62.441935483870964</v>
      </c>
    </row>
    <row r="4" spans="1:16" s="15" customFormat="1" x14ac:dyDescent="0.25">
      <c r="A4" s="15" t="s">
        <v>8</v>
      </c>
      <c r="C4" s="15">
        <v>9</v>
      </c>
      <c r="D4" s="15">
        <f t="shared" ref="D4:D32" si="0">C4/1000</f>
        <v>8.9999999999999993E-3</v>
      </c>
      <c r="E4" s="15">
        <v>62</v>
      </c>
      <c r="F4" s="15">
        <f t="shared" ref="F4:F32" si="1">D4/E4</f>
        <v>1.4516129032258063E-4</v>
      </c>
      <c r="G4" s="15">
        <v>6</v>
      </c>
      <c r="H4" s="15">
        <f t="shared" ref="H4:H32" si="2">F4/G4</f>
        <v>2.4193548387096773E-5</v>
      </c>
      <c r="I4" s="15">
        <v>2978</v>
      </c>
      <c r="J4" s="15">
        <f t="shared" ref="J4:J32" si="3">H4*I4</f>
        <v>7.2048387096774191E-2</v>
      </c>
      <c r="K4" s="15">
        <f t="shared" ref="K4:K32" si="4">H4*1000</f>
        <v>2.4193548387096774E-2</v>
      </c>
      <c r="L4" s="15">
        <f t="shared" ref="L4:L32" si="5">H4*$L$2</f>
        <v>1.889758064516129E-3</v>
      </c>
      <c r="N4" s="15">
        <f t="shared" ref="N4:N32" si="6">L4*1000</f>
        <v>1.8897580645161292</v>
      </c>
      <c r="O4" s="15">
        <f t="shared" ref="O4:O32" si="7">J4*1000</f>
        <v>72.048387096774192</v>
      </c>
    </row>
    <row r="5" spans="1:16" s="15" customFormat="1" x14ac:dyDescent="0.25">
      <c r="A5" s="15" t="s">
        <v>9</v>
      </c>
      <c r="C5" s="15">
        <v>0</v>
      </c>
      <c r="D5" s="15">
        <f t="shared" si="0"/>
        <v>0</v>
      </c>
      <c r="E5" s="15">
        <v>62</v>
      </c>
      <c r="F5" s="15">
        <f t="shared" si="1"/>
        <v>0</v>
      </c>
      <c r="G5" s="15">
        <v>6</v>
      </c>
      <c r="H5" s="15">
        <f t="shared" si="2"/>
        <v>0</v>
      </c>
      <c r="I5" s="15">
        <v>2978</v>
      </c>
      <c r="J5" s="15">
        <f t="shared" si="3"/>
        <v>0</v>
      </c>
      <c r="K5" s="15">
        <f t="shared" si="4"/>
        <v>0</v>
      </c>
      <c r="L5" s="15">
        <f t="shared" si="5"/>
        <v>0</v>
      </c>
      <c r="N5" s="15">
        <f t="shared" si="6"/>
        <v>0</v>
      </c>
      <c r="O5" s="15">
        <f t="shared" si="7"/>
        <v>0</v>
      </c>
    </row>
    <row r="6" spans="1:16" s="15" customFormat="1" x14ac:dyDescent="0.25">
      <c r="A6" s="15" t="s">
        <v>10</v>
      </c>
      <c r="C6" s="15">
        <v>0</v>
      </c>
      <c r="D6" s="15">
        <f t="shared" si="0"/>
        <v>0</v>
      </c>
      <c r="E6" s="15">
        <v>62</v>
      </c>
      <c r="F6" s="15">
        <f t="shared" si="1"/>
        <v>0</v>
      </c>
      <c r="G6" s="15">
        <v>6</v>
      </c>
      <c r="H6" s="15">
        <f t="shared" si="2"/>
        <v>0</v>
      </c>
      <c r="I6" s="15">
        <v>2978</v>
      </c>
      <c r="J6" s="15">
        <f t="shared" si="3"/>
        <v>0</v>
      </c>
      <c r="K6" s="15">
        <f t="shared" si="4"/>
        <v>0</v>
      </c>
      <c r="L6" s="15">
        <f t="shared" si="5"/>
        <v>0</v>
      </c>
      <c r="N6" s="15">
        <f t="shared" si="6"/>
        <v>0</v>
      </c>
      <c r="O6" s="15">
        <f t="shared" si="7"/>
        <v>0</v>
      </c>
    </row>
    <row r="7" spans="1:16" s="15" customFormat="1" x14ac:dyDescent="0.25">
      <c r="A7" s="15" t="s">
        <v>11</v>
      </c>
      <c r="C7" s="15">
        <v>0</v>
      </c>
      <c r="D7" s="15">
        <f t="shared" si="0"/>
        <v>0</v>
      </c>
      <c r="E7" s="15">
        <v>62</v>
      </c>
      <c r="F7" s="15">
        <f t="shared" si="1"/>
        <v>0</v>
      </c>
      <c r="G7" s="15">
        <v>6</v>
      </c>
      <c r="H7" s="15">
        <f t="shared" si="2"/>
        <v>0</v>
      </c>
      <c r="I7" s="15">
        <v>2978</v>
      </c>
      <c r="J7" s="15">
        <f t="shared" si="3"/>
        <v>0</v>
      </c>
      <c r="K7" s="15">
        <f t="shared" si="4"/>
        <v>0</v>
      </c>
      <c r="L7" s="15">
        <f t="shared" si="5"/>
        <v>0</v>
      </c>
      <c r="N7" s="15">
        <f t="shared" si="6"/>
        <v>0</v>
      </c>
      <c r="O7" s="15">
        <f t="shared" si="7"/>
        <v>0</v>
      </c>
    </row>
    <row r="8" spans="1:16" s="15" customFormat="1" x14ac:dyDescent="0.25">
      <c r="A8" s="15" t="s">
        <v>12</v>
      </c>
      <c r="C8" s="15">
        <v>6.4</v>
      </c>
      <c r="D8" s="15">
        <f t="shared" si="0"/>
        <v>6.4000000000000003E-3</v>
      </c>
      <c r="E8" s="15">
        <v>62</v>
      </c>
      <c r="F8" s="15">
        <f t="shared" si="1"/>
        <v>1.032258064516129E-4</v>
      </c>
      <c r="G8" s="15">
        <v>6</v>
      </c>
      <c r="H8" s="15">
        <f t="shared" si="2"/>
        <v>1.7204301075268818E-5</v>
      </c>
      <c r="I8" s="15">
        <v>2978</v>
      </c>
      <c r="J8" s="15">
        <f t="shared" si="3"/>
        <v>5.123440860215054E-2</v>
      </c>
      <c r="K8" s="15">
        <f t="shared" si="4"/>
        <v>1.7204301075268817E-2</v>
      </c>
      <c r="L8" s="15">
        <f t="shared" si="5"/>
        <v>1.3438279569892473E-3</v>
      </c>
      <c r="N8" s="15">
        <f t="shared" si="6"/>
        <v>1.3438279569892473</v>
      </c>
      <c r="O8" s="15">
        <f t="shared" si="7"/>
        <v>51.234408602150538</v>
      </c>
    </row>
    <row r="9" spans="1:16" ht="15.75" customHeight="1" x14ac:dyDescent="0.25">
      <c r="J9">
        <f t="shared" si="3"/>
        <v>0</v>
      </c>
      <c r="K9">
        <f t="shared" si="4"/>
        <v>0</v>
      </c>
      <c r="L9" s="15">
        <f t="shared" si="5"/>
        <v>0</v>
      </c>
      <c r="N9" s="15">
        <f t="shared" si="6"/>
        <v>0</v>
      </c>
      <c r="O9" s="15">
        <f t="shared" si="7"/>
        <v>0</v>
      </c>
    </row>
    <row r="10" spans="1:16" s="19" customFormat="1" x14ac:dyDescent="0.25">
      <c r="A10" s="19" t="s">
        <v>59</v>
      </c>
      <c r="J10" s="19">
        <f t="shared" si="3"/>
        <v>0</v>
      </c>
      <c r="K10" s="19">
        <f t="shared" si="4"/>
        <v>0</v>
      </c>
      <c r="L10" s="15">
        <f t="shared" si="5"/>
        <v>0</v>
      </c>
      <c r="N10" s="15">
        <f t="shared" si="6"/>
        <v>0</v>
      </c>
      <c r="O10" s="15">
        <f t="shared" si="7"/>
        <v>0</v>
      </c>
      <c r="P10" s="19">
        <v>0</v>
      </c>
    </row>
    <row r="11" spans="1:16" s="19" customFormat="1" x14ac:dyDescent="0.25">
      <c r="A11" s="19" t="s">
        <v>7</v>
      </c>
      <c r="B11" s="19">
        <v>110</v>
      </c>
      <c r="C11" s="19">
        <v>110</v>
      </c>
      <c r="D11" s="19">
        <f t="shared" si="0"/>
        <v>0.11</v>
      </c>
      <c r="E11" s="19">
        <v>54.938000000000002</v>
      </c>
      <c r="F11" s="19">
        <f t="shared" si="1"/>
        <v>2.0022570898103314E-3</v>
      </c>
      <c r="G11" s="19">
        <v>15</v>
      </c>
      <c r="H11" s="19">
        <f t="shared" si="2"/>
        <v>1.3348380598735544E-4</v>
      </c>
      <c r="I11" s="19">
        <v>2104</v>
      </c>
      <c r="J11" s="19">
        <f t="shared" si="3"/>
        <v>0.28084992779739582</v>
      </c>
      <c r="K11" s="19">
        <f t="shared" si="4"/>
        <v>0.13348380598735543</v>
      </c>
      <c r="L11" s="15">
        <f t="shared" si="5"/>
        <v>1.0426420085672333E-2</v>
      </c>
      <c r="N11" s="15">
        <f t="shared" si="6"/>
        <v>10.426420085672332</v>
      </c>
      <c r="O11" s="15">
        <f t="shared" si="7"/>
        <v>280.84992779739582</v>
      </c>
      <c r="P11" s="19">
        <v>142.97814506049244</v>
      </c>
    </row>
    <row r="12" spans="1:16" s="19" customFormat="1" x14ac:dyDescent="0.25">
      <c r="A12" s="19" t="s">
        <v>8</v>
      </c>
      <c r="B12" s="19">
        <v>150</v>
      </c>
      <c r="C12" s="19">
        <v>150</v>
      </c>
      <c r="D12" s="19">
        <f t="shared" si="0"/>
        <v>0.15</v>
      </c>
      <c r="E12" s="19">
        <v>54.938000000000002</v>
      </c>
      <c r="F12" s="19">
        <f t="shared" si="1"/>
        <v>2.7303505770140883E-3</v>
      </c>
      <c r="G12" s="19">
        <v>15</v>
      </c>
      <c r="H12" s="19">
        <f t="shared" si="2"/>
        <v>1.8202337180093923E-4</v>
      </c>
      <c r="I12" s="19">
        <v>2104</v>
      </c>
      <c r="J12" s="19">
        <f t="shared" si="3"/>
        <v>0.38297717426917616</v>
      </c>
      <c r="K12" s="19">
        <f t="shared" si="4"/>
        <v>0.18202337180093922</v>
      </c>
      <c r="L12" s="15">
        <f t="shared" si="5"/>
        <v>1.4217845571371363E-2</v>
      </c>
      <c r="N12" s="15">
        <f t="shared" si="6"/>
        <v>14.217845571371363</v>
      </c>
      <c r="O12" s="15">
        <f t="shared" si="7"/>
        <v>382.97717426917615</v>
      </c>
      <c r="P12" s="19">
        <v>245.10539153227273</v>
      </c>
    </row>
    <row r="13" spans="1:16" s="19" customFormat="1" x14ac:dyDescent="0.25">
      <c r="A13" s="19" t="s">
        <v>9</v>
      </c>
      <c r="B13" s="19">
        <v>54</v>
      </c>
      <c r="C13" s="19">
        <v>54</v>
      </c>
      <c r="D13" s="19">
        <f t="shared" si="0"/>
        <v>5.3999999999999999E-2</v>
      </c>
      <c r="E13" s="19">
        <v>54.938000000000002</v>
      </c>
      <c r="F13" s="19">
        <f t="shared" si="1"/>
        <v>9.829262077250718E-4</v>
      </c>
      <c r="G13" s="19">
        <v>15</v>
      </c>
      <c r="H13" s="19">
        <f t="shared" si="2"/>
        <v>6.5528413848338127E-5</v>
      </c>
      <c r="I13" s="19">
        <v>2104</v>
      </c>
      <c r="J13" s="19">
        <f t="shared" si="3"/>
        <v>0.13787178273690343</v>
      </c>
      <c r="K13" s="19">
        <f t="shared" si="4"/>
        <v>6.552841384833813E-2</v>
      </c>
      <c r="L13" s="15">
        <f t="shared" si="5"/>
        <v>5.1184244056936912E-3</v>
      </c>
      <c r="N13" s="15">
        <f t="shared" si="6"/>
        <v>5.1184244056936912</v>
      </c>
      <c r="O13" s="15">
        <f t="shared" si="7"/>
        <v>137.87178273690341</v>
      </c>
      <c r="P13" s="19">
        <v>0</v>
      </c>
    </row>
    <row r="14" spans="1:16" s="19" customFormat="1" x14ac:dyDescent="0.25">
      <c r="A14" s="19" t="s">
        <v>10</v>
      </c>
      <c r="B14" s="19">
        <v>65</v>
      </c>
      <c r="C14" s="19">
        <v>65</v>
      </c>
      <c r="D14" s="19">
        <f t="shared" si="0"/>
        <v>6.5000000000000002E-2</v>
      </c>
      <c r="E14" s="19">
        <v>54.938000000000002</v>
      </c>
      <c r="F14" s="19">
        <f t="shared" si="1"/>
        <v>1.183151916706105E-3</v>
      </c>
      <c r="G14" s="19">
        <v>15</v>
      </c>
      <c r="H14" s="19">
        <f t="shared" si="2"/>
        <v>7.8876794447073673E-5</v>
      </c>
      <c r="I14" s="19">
        <v>2104</v>
      </c>
      <c r="J14" s="19">
        <f t="shared" si="3"/>
        <v>0.16595677551664301</v>
      </c>
      <c r="K14" s="19">
        <f t="shared" si="4"/>
        <v>7.887679444707367E-2</v>
      </c>
      <c r="L14" s="15">
        <f t="shared" si="5"/>
        <v>6.1610664142609248E-3</v>
      </c>
      <c r="N14" s="15">
        <f t="shared" si="6"/>
        <v>6.1610664142609251</v>
      </c>
      <c r="O14" s="15">
        <f t="shared" si="7"/>
        <v>165.95677551664301</v>
      </c>
      <c r="P14" s="19">
        <v>28.084992779739583</v>
      </c>
    </row>
    <row r="15" spans="1:16" s="19" customFormat="1" x14ac:dyDescent="0.25">
      <c r="A15" s="19" t="s">
        <v>11</v>
      </c>
      <c r="B15" s="19">
        <v>73</v>
      </c>
      <c r="C15" s="19">
        <v>73</v>
      </c>
      <c r="D15" s="19">
        <f t="shared" si="0"/>
        <v>7.2999999999999995E-2</v>
      </c>
      <c r="E15" s="19">
        <v>54.938000000000002</v>
      </c>
      <c r="F15" s="19">
        <f t="shared" si="1"/>
        <v>1.3287706141468564E-3</v>
      </c>
      <c r="G15" s="19">
        <v>15</v>
      </c>
      <c r="H15" s="19">
        <f t="shared" si="2"/>
        <v>8.8584707609790428E-5</v>
      </c>
      <c r="I15" s="19">
        <v>2104</v>
      </c>
      <c r="J15" s="19">
        <f t="shared" si="3"/>
        <v>0.18638222481099906</v>
      </c>
      <c r="K15" s="19">
        <f t="shared" si="4"/>
        <v>8.8584707609790425E-2</v>
      </c>
      <c r="L15" s="15">
        <f t="shared" si="5"/>
        <v>6.9193515114007306E-3</v>
      </c>
      <c r="N15" s="15">
        <f t="shared" si="6"/>
        <v>6.9193515114007305</v>
      </c>
      <c r="O15" s="15">
        <f t="shared" si="7"/>
        <v>186.38222481099905</v>
      </c>
      <c r="P15" s="19">
        <v>48.510442074095643</v>
      </c>
    </row>
    <row r="16" spans="1:16" s="19" customFormat="1" x14ac:dyDescent="0.25">
      <c r="A16" s="19" t="s">
        <v>12</v>
      </c>
      <c r="B16" s="19">
        <v>161</v>
      </c>
      <c r="C16" s="19">
        <v>161</v>
      </c>
      <c r="D16" s="19">
        <f t="shared" si="0"/>
        <v>0.161</v>
      </c>
      <c r="E16" s="19">
        <v>54.938000000000002</v>
      </c>
      <c r="F16" s="19">
        <f t="shared" si="1"/>
        <v>2.9305762859951215E-3</v>
      </c>
      <c r="G16" s="19">
        <v>15</v>
      </c>
      <c r="H16" s="19">
        <f t="shared" si="2"/>
        <v>1.9537175239967477E-4</v>
      </c>
      <c r="I16" s="19">
        <v>2104</v>
      </c>
      <c r="J16" s="19">
        <f t="shared" si="3"/>
        <v>0.41106216704891574</v>
      </c>
      <c r="K16" s="19">
        <f t="shared" si="4"/>
        <v>0.19537175239967478</v>
      </c>
      <c r="L16" s="15">
        <f t="shared" si="5"/>
        <v>1.5260487579938597E-2</v>
      </c>
      <c r="N16" s="15">
        <f t="shared" si="6"/>
        <v>15.260487579938596</v>
      </c>
      <c r="O16" s="15">
        <f t="shared" si="7"/>
        <v>411.06216704891574</v>
      </c>
      <c r="P16" s="19">
        <v>273.19038431201233</v>
      </c>
    </row>
    <row r="17" spans="1:16" s="18" customFormat="1" x14ac:dyDescent="0.25">
      <c r="L17" s="15">
        <f t="shared" si="5"/>
        <v>0</v>
      </c>
      <c r="N17" s="15">
        <f t="shared" si="6"/>
        <v>0</v>
      </c>
      <c r="O17" s="15">
        <f t="shared" si="7"/>
        <v>0</v>
      </c>
    </row>
    <row r="18" spans="1:16" s="16" customFormat="1" x14ac:dyDescent="0.25">
      <c r="A18" s="16" t="s">
        <v>77</v>
      </c>
      <c r="L18" s="15">
        <f t="shared" si="5"/>
        <v>0</v>
      </c>
      <c r="N18" s="15">
        <f t="shared" si="6"/>
        <v>0</v>
      </c>
      <c r="O18" s="15">
        <f t="shared" si="7"/>
        <v>0</v>
      </c>
      <c r="P18" s="16">
        <v>0</v>
      </c>
    </row>
    <row r="19" spans="1:16" s="16" customFormat="1" x14ac:dyDescent="0.25">
      <c r="A19" s="16" t="s">
        <v>7</v>
      </c>
      <c r="B19" s="16">
        <v>4640</v>
      </c>
      <c r="C19" s="16">
        <v>4640</v>
      </c>
      <c r="D19" s="16">
        <f t="shared" si="0"/>
        <v>4.6399999999999997</v>
      </c>
      <c r="E19" s="16">
        <v>55.844999999999999</v>
      </c>
      <c r="F19" s="16">
        <f>D19/E19</f>
        <v>8.30871161249888E-2</v>
      </c>
      <c r="G19" s="16">
        <v>30</v>
      </c>
      <c r="H19" s="16">
        <f t="shared" si="2"/>
        <v>2.7695705374996267E-3</v>
      </c>
      <c r="I19" s="16">
        <v>814.5</v>
      </c>
      <c r="J19" s="16">
        <f t="shared" si="3"/>
        <v>2.2558152027934457</v>
      </c>
      <c r="K19" s="16">
        <f>H19*1000</f>
        <v>2.7695705374996269</v>
      </c>
      <c r="L19" s="15">
        <f t="shared" si="5"/>
        <v>0.21633115468409583</v>
      </c>
      <c r="N19" s="15">
        <f>L19*1000</f>
        <v>216.33115468409582</v>
      </c>
      <c r="O19" s="15">
        <f t="shared" si="7"/>
        <v>2255.8152027934457</v>
      </c>
      <c r="P19" s="16">
        <v>1205.6943325275317</v>
      </c>
    </row>
    <row r="20" spans="1:16" s="16" customFormat="1" x14ac:dyDescent="0.25">
      <c r="A20" s="16" t="s">
        <v>8</v>
      </c>
      <c r="B20" s="16">
        <v>8830</v>
      </c>
      <c r="C20" s="16">
        <v>8830</v>
      </c>
      <c r="D20" s="16">
        <f t="shared" si="0"/>
        <v>8.83</v>
      </c>
      <c r="E20" s="16">
        <v>55.844999999999999</v>
      </c>
      <c r="F20" s="16">
        <f t="shared" si="1"/>
        <v>0.15811621452233862</v>
      </c>
      <c r="G20" s="16">
        <v>30</v>
      </c>
      <c r="H20" s="16">
        <f t="shared" si="2"/>
        <v>5.2705404840779537E-3</v>
      </c>
      <c r="I20" s="16">
        <v>814.5</v>
      </c>
      <c r="J20" s="16">
        <f t="shared" si="3"/>
        <v>4.2928552242814932</v>
      </c>
      <c r="K20" s="16">
        <f t="shared" si="4"/>
        <v>5.2705404840779533</v>
      </c>
      <c r="L20" s="15">
        <f t="shared" si="5"/>
        <v>0.41168191721132896</v>
      </c>
      <c r="N20" s="15">
        <f t="shared" si="6"/>
        <v>411.68191721132894</v>
      </c>
      <c r="O20" s="15">
        <f t="shared" si="7"/>
        <v>4292.8552242814931</v>
      </c>
      <c r="P20" s="16">
        <v>3242.7343540155789</v>
      </c>
    </row>
    <row r="21" spans="1:16" s="16" customFormat="1" x14ac:dyDescent="0.25">
      <c r="A21" s="16" t="s">
        <v>9</v>
      </c>
      <c r="B21" s="16">
        <v>3720</v>
      </c>
      <c r="C21" s="16">
        <v>3720</v>
      </c>
      <c r="D21" s="16">
        <f t="shared" si="0"/>
        <v>3.72</v>
      </c>
      <c r="E21" s="16">
        <v>55.844999999999999</v>
      </c>
      <c r="F21" s="16">
        <f t="shared" si="1"/>
        <v>6.6612946548482405E-2</v>
      </c>
      <c r="G21" s="16">
        <v>30</v>
      </c>
      <c r="H21" s="16">
        <f t="shared" si="2"/>
        <v>2.2204315516160802E-3</v>
      </c>
      <c r="I21" s="16">
        <v>814.5</v>
      </c>
      <c r="J21" s="16">
        <f t="shared" si="3"/>
        <v>1.8085414987912973</v>
      </c>
      <c r="K21" s="16">
        <f t="shared" si="4"/>
        <v>2.2204315516160804</v>
      </c>
      <c r="L21" s="15">
        <f t="shared" si="5"/>
        <v>0.17343790849673202</v>
      </c>
      <c r="N21" s="15">
        <f t="shared" si="6"/>
        <v>173.43790849673201</v>
      </c>
      <c r="O21" s="15">
        <f t="shared" si="7"/>
        <v>1808.5414987912973</v>
      </c>
      <c r="P21" s="16">
        <v>758.42062852538288</v>
      </c>
    </row>
    <row r="22" spans="1:16" s="16" customFormat="1" x14ac:dyDescent="0.25">
      <c r="A22" s="16" t="s">
        <v>10</v>
      </c>
      <c r="B22" s="16">
        <v>3150</v>
      </c>
      <c r="C22" s="16">
        <v>3150</v>
      </c>
      <c r="D22" s="16">
        <f t="shared" si="0"/>
        <v>3.15</v>
      </c>
      <c r="E22" s="16">
        <v>55.844999999999999</v>
      </c>
      <c r="F22" s="16">
        <f t="shared" si="1"/>
        <v>5.6406124093473002E-2</v>
      </c>
      <c r="G22" s="16">
        <v>30</v>
      </c>
      <c r="H22" s="16">
        <f t="shared" si="2"/>
        <v>1.8802041364491E-3</v>
      </c>
      <c r="I22" s="16">
        <v>814.5</v>
      </c>
      <c r="J22" s="16">
        <f t="shared" si="3"/>
        <v>1.531426269137792</v>
      </c>
      <c r="K22" s="16">
        <f t="shared" si="4"/>
        <v>1.8802041364491</v>
      </c>
      <c r="L22" s="15">
        <f t="shared" si="5"/>
        <v>0.1468627450980392</v>
      </c>
      <c r="N22" s="15">
        <f t="shared" si="6"/>
        <v>146.8627450980392</v>
      </c>
      <c r="O22" s="15">
        <f t="shared" si="7"/>
        <v>1531.4262691377919</v>
      </c>
      <c r="P22" s="16">
        <v>481.30539887187757</v>
      </c>
    </row>
    <row r="23" spans="1:16" s="16" customFormat="1" x14ac:dyDescent="0.25">
      <c r="A23" s="16" t="s">
        <v>11</v>
      </c>
      <c r="B23" s="16">
        <v>3450</v>
      </c>
      <c r="C23" s="16">
        <v>3450</v>
      </c>
      <c r="D23" s="16">
        <f t="shared" si="0"/>
        <v>3.45</v>
      </c>
      <c r="E23" s="16">
        <v>55.844999999999999</v>
      </c>
      <c r="F23" s="16">
        <f t="shared" si="1"/>
        <v>6.1778135911899013E-2</v>
      </c>
      <c r="G23" s="16">
        <v>30</v>
      </c>
      <c r="H23" s="16">
        <f t="shared" si="2"/>
        <v>2.0592711970633002E-3</v>
      </c>
      <c r="I23" s="16">
        <v>814.5</v>
      </c>
      <c r="J23" s="16">
        <f t="shared" si="3"/>
        <v>1.6772763900080581</v>
      </c>
      <c r="K23" s="16">
        <f t="shared" si="4"/>
        <v>2.0592711970633002</v>
      </c>
      <c r="L23" s="15">
        <f t="shared" si="5"/>
        <v>0.16084967320261437</v>
      </c>
      <c r="N23" s="15">
        <f t="shared" si="6"/>
        <v>160.84967320261435</v>
      </c>
      <c r="O23" s="15">
        <f t="shared" si="7"/>
        <v>1677.2763900080581</v>
      </c>
      <c r="P23" s="16">
        <v>627.1555197421435</v>
      </c>
    </row>
    <row r="24" spans="1:16" s="16" customFormat="1" x14ac:dyDescent="0.25">
      <c r="A24" s="16" t="s">
        <v>12</v>
      </c>
      <c r="B24" s="16">
        <v>2160</v>
      </c>
      <c r="C24" s="16">
        <v>2160</v>
      </c>
      <c r="D24" s="16">
        <f t="shared" si="0"/>
        <v>2.16</v>
      </c>
      <c r="E24" s="16">
        <v>55.844999999999999</v>
      </c>
      <c r="F24" s="16">
        <f t="shared" si="1"/>
        <v>3.8678485092667206E-2</v>
      </c>
      <c r="G24" s="16">
        <v>30</v>
      </c>
      <c r="H24" s="16">
        <f t="shared" si="2"/>
        <v>1.2892828364222402E-3</v>
      </c>
      <c r="I24" s="16">
        <v>814.5</v>
      </c>
      <c r="J24" s="16">
        <f t="shared" si="3"/>
        <v>1.0501208702659146</v>
      </c>
      <c r="K24" s="16">
        <f t="shared" si="4"/>
        <v>1.2892828364222402</v>
      </c>
      <c r="L24" s="15">
        <f t="shared" si="5"/>
        <v>0.10070588235294117</v>
      </c>
      <c r="N24" s="15">
        <f t="shared" si="6"/>
        <v>100.70588235294117</v>
      </c>
      <c r="O24" s="15">
        <f t="shared" si="7"/>
        <v>1050.1208702659146</v>
      </c>
      <c r="P24" s="16">
        <v>0</v>
      </c>
    </row>
    <row r="25" spans="1:16" s="18" customFormat="1" x14ac:dyDescent="0.25">
      <c r="D25" s="18">
        <f t="shared" si="0"/>
        <v>0</v>
      </c>
      <c r="J25" s="18">
        <f t="shared" si="3"/>
        <v>0</v>
      </c>
      <c r="K25" s="18">
        <f t="shared" si="4"/>
        <v>0</v>
      </c>
      <c r="L25" s="18">
        <f t="shared" si="5"/>
        <v>0</v>
      </c>
      <c r="N25" s="18">
        <f t="shared" si="6"/>
        <v>0</v>
      </c>
      <c r="O25" s="15">
        <f t="shared" si="7"/>
        <v>0</v>
      </c>
    </row>
    <row r="26" spans="1:16" s="17" customFormat="1" x14ac:dyDescent="0.25">
      <c r="A26" s="17" t="s">
        <v>60</v>
      </c>
      <c r="D26" s="17">
        <f t="shared" si="0"/>
        <v>0</v>
      </c>
      <c r="J26" s="18">
        <f t="shared" si="3"/>
        <v>0</v>
      </c>
      <c r="K26" s="18">
        <f t="shared" si="4"/>
        <v>0</v>
      </c>
      <c r="L26" s="18">
        <f t="shared" si="5"/>
        <v>0</v>
      </c>
      <c r="M26" s="18"/>
      <c r="N26" s="18">
        <f t="shared" si="6"/>
        <v>0</v>
      </c>
      <c r="O26" s="15">
        <f t="shared" si="7"/>
        <v>0</v>
      </c>
    </row>
    <row r="27" spans="1:16" s="17" customFormat="1" x14ac:dyDescent="0.25">
      <c r="A27" s="17" t="s">
        <v>7</v>
      </c>
      <c r="C27" s="17">
        <v>52</v>
      </c>
      <c r="D27" s="17">
        <f t="shared" si="0"/>
        <v>5.1999999999999998E-2</v>
      </c>
      <c r="E27" s="17">
        <v>96.06</v>
      </c>
      <c r="F27" s="17">
        <f t="shared" si="1"/>
        <v>5.4132833645638141E-4</v>
      </c>
      <c r="G27" s="17">
        <v>3.75</v>
      </c>
      <c r="H27" s="17">
        <f t="shared" si="2"/>
        <v>1.4435422305503505E-4</v>
      </c>
      <c r="I27" s="17">
        <v>186</v>
      </c>
      <c r="J27" s="17">
        <f t="shared" si="3"/>
        <v>2.6849885488236518E-2</v>
      </c>
      <c r="K27" s="17">
        <f t="shared" si="4"/>
        <v>0.14435422305503504</v>
      </c>
      <c r="L27" s="15">
        <f t="shared" si="5"/>
        <v>1.1275508362828788E-2</v>
      </c>
      <c r="N27" s="15">
        <f t="shared" si="6"/>
        <v>11.275508362828788</v>
      </c>
      <c r="O27" s="15">
        <f t="shared" si="7"/>
        <v>26.849885488236517</v>
      </c>
    </row>
    <row r="28" spans="1:16" s="17" customFormat="1" x14ac:dyDescent="0.25">
      <c r="A28" s="17" t="s">
        <v>8</v>
      </c>
      <c r="C28" s="17">
        <v>101</v>
      </c>
      <c r="D28" s="17">
        <f t="shared" si="0"/>
        <v>0.10100000000000001</v>
      </c>
      <c r="E28" s="17">
        <v>96.06</v>
      </c>
      <c r="F28" s="17">
        <f t="shared" si="1"/>
        <v>1.0514261919633563E-3</v>
      </c>
      <c r="G28" s="17">
        <v>3.75</v>
      </c>
      <c r="H28" s="17">
        <f t="shared" si="2"/>
        <v>2.8038031785689499E-4</v>
      </c>
      <c r="I28" s="17">
        <v>186</v>
      </c>
      <c r="J28" s="17">
        <f t="shared" si="3"/>
        <v>5.2150739121382468E-2</v>
      </c>
      <c r="K28" s="17">
        <f t="shared" si="4"/>
        <v>0.28038031785689499</v>
      </c>
      <c r="L28" s="15">
        <f t="shared" si="5"/>
        <v>2.1900506627802067E-2</v>
      </c>
      <c r="N28" s="15">
        <f t="shared" si="6"/>
        <v>21.900506627802066</v>
      </c>
      <c r="O28" s="15">
        <f t="shared" si="7"/>
        <v>52.150739121382465</v>
      </c>
    </row>
    <row r="29" spans="1:16" s="17" customFormat="1" x14ac:dyDescent="0.25">
      <c r="A29" s="17" t="s">
        <v>9</v>
      </c>
      <c r="C29" s="17">
        <v>244</v>
      </c>
      <c r="D29" s="17">
        <f t="shared" si="0"/>
        <v>0.24399999999999999</v>
      </c>
      <c r="E29" s="17">
        <v>96.06</v>
      </c>
      <c r="F29" s="17">
        <f t="shared" si="1"/>
        <v>2.5400791172184049E-3</v>
      </c>
      <c r="G29" s="17">
        <v>3.75</v>
      </c>
      <c r="H29" s="17">
        <f t="shared" si="2"/>
        <v>6.7735443125824127E-4</v>
      </c>
      <c r="I29" s="17">
        <v>186</v>
      </c>
      <c r="J29" s="17">
        <f t="shared" si="3"/>
        <v>0.12598792421403288</v>
      </c>
      <c r="K29" s="17">
        <f t="shared" si="4"/>
        <v>0.67735443125824124</v>
      </c>
      <c r="L29" s="15">
        <f t="shared" si="5"/>
        <v>5.2908154625581225E-2</v>
      </c>
      <c r="N29" s="15">
        <f t="shared" si="6"/>
        <v>52.908154625581226</v>
      </c>
      <c r="O29" s="15">
        <f t="shared" si="7"/>
        <v>125.98792421403287</v>
      </c>
    </row>
    <row r="30" spans="1:16" s="17" customFormat="1" x14ac:dyDescent="0.25">
      <c r="A30" s="17" t="s">
        <v>10</v>
      </c>
      <c r="C30" s="17">
        <v>61</v>
      </c>
      <c r="D30" s="17">
        <f t="shared" si="0"/>
        <v>6.0999999999999999E-2</v>
      </c>
      <c r="E30" s="17">
        <v>96.06</v>
      </c>
      <c r="F30" s="17">
        <f t="shared" si="1"/>
        <v>6.3501977930460122E-4</v>
      </c>
      <c r="G30" s="17">
        <v>3.75</v>
      </c>
      <c r="H30" s="17">
        <f t="shared" si="2"/>
        <v>1.6933860781456032E-4</v>
      </c>
      <c r="I30" s="17">
        <v>186</v>
      </c>
      <c r="J30" s="17">
        <f t="shared" si="3"/>
        <v>3.1496981053508219E-2</v>
      </c>
      <c r="K30" s="17">
        <f t="shared" si="4"/>
        <v>0.16933860781456031</v>
      </c>
      <c r="L30" s="15">
        <f t="shared" si="5"/>
        <v>1.3227038656395306E-2</v>
      </c>
      <c r="N30" s="15">
        <f t="shared" si="6"/>
        <v>13.227038656395306</v>
      </c>
      <c r="O30" s="15">
        <f t="shared" si="7"/>
        <v>31.496981053508218</v>
      </c>
    </row>
    <row r="31" spans="1:16" s="17" customFormat="1" x14ac:dyDescent="0.25">
      <c r="A31" s="17" t="s">
        <v>11</v>
      </c>
      <c r="C31" s="17">
        <v>142</v>
      </c>
      <c r="D31" s="17">
        <f t="shared" si="0"/>
        <v>0.14199999999999999</v>
      </c>
      <c r="E31" s="17">
        <v>96.06</v>
      </c>
      <c r="F31" s="17">
        <f t="shared" si="1"/>
        <v>1.47824276493858E-3</v>
      </c>
      <c r="G31" s="17">
        <v>3.75</v>
      </c>
      <c r="H31" s="17">
        <f t="shared" si="2"/>
        <v>3.9419807065028798E-4</v>
      </c>
      <c r="I31" s="17">
        <v>186</v>
      </c>
      <c r="J31" s="17">
        <f t="shared" si="3"/>
        <v>7.3320841140953566E-2</v>
      </c>
      <c r="K31" s="17">
        <f t="shared" si="4"/>
        <v>0.394198070650288</v>
      </c>
      <c r="L31" s="15">
        <f t="shared" si="5"/>
        <v>3.0790811298493995E-2</v>
      </c>
      <c r="N31" s="15">
        <f t="shared" si="6"/>
        <v>30.790811298493995</v>
      </c>
      <c r="O31" s="15">
        <f t="shared" si="7"/>
        <v>73.320841140953561</v>
      </c>
    </row>
    <row r="32" spans="1:16" s="17" customFormat="1" x14ac:dyDescent="0.25">
      <c r="A32" s="17" t="s">
        <v>12</v>
      </c>
      <c r="C32" s="17">
        <v>161</v>
      </c>
      <c r="D32" s="17">
        <f t="shared" si="0"/>
        <v>0.161</v>
      </c>
      <c r="E32" s="17">
        <v>96.06</v>
      </c>
      <c r="F32" s="17">
        <f t="shared" si="1"/>
        <v>1.6760358109514887E-3</v>
      </c>
      <c r="G32" s="17">
        <v>3.75</v>
      </c>
      <c r="H32" s="17">
        <f t="shared" si="2"/>
        <v>4.4694288292039698E-4</v>
      </c>
      <c r="I32" s="17">
        <v>186</v>
      </c>
      <c r="J32" s="17">
        <f t="shared" si="3"/>
        <v>8.3131376223193845E-2</v>
      </c>
      <c r="K32" s="17">
        <f t="shared" si="4"/>
        <v>0.44694288292039697</v>
      </c>
      <c r="L32" s="15">
        <f t="shared" si="5"/>
        <v>3.4910708584912208E-2</v>
      </c>
      <c r="N32" s="15">
        <f t="shared" si="6"/>
        <v>34.910708584912207</v>
      </c>
      <c r="O32" s="15">
        <f t="shared" si="7"/>
        <v>83.13137622319384</v>
      </c>
    </row>
    <row r="35" spans="1:16" x14ac:dyDescent="0.25">
      <c r="A35" s="17"/>
      <c r="B35" s="17"/>
      <c r="C35" s="17"/>
      <c r="D35" s="17"/>
      <c r="E35" s="17"/>
      <c r="F35" s="17"/>
      <c r="G35" s="17"/>
      <c r="H35" s="17"/>
      <c r="I35" s="17"/>
      <c r="J35" s="18">
        <f t="shared" ref="J35:J41" si="8">H35*I35</f>
        <v>0</v>
      </c>
      <c r="K35" s="18">
        <f t="shared" ref="K35:K41" si="9">H35*1000</f>
        <v>0</v>
      </c>
      <c r="L35" s="18">
        <f t="shared" ref="L35:L41" si="10">H35*$L$2</f>
        <v>0</v>
      </c>
      <c r="M35" s="18"/>
      <c r="N35" s="18">
        <f t="shared" ref="N35:N41" si="11">L35*1000</f>
        <v>0</v>
      </c>
      <c r="O35" s="15">
        <f t="shared" ref="O35:O41" si="12">J35*1000</f>
        <v>0</v>
      </c>
      <c r="P35" s="17"/>
    </row>
    <row r="36" spans="1:16" x14ac:dyDescent="0.25">
      <c r="A36" s="17"/>
      <c r="B36" s="17"/>
      <c r="C36" s="17"/>
      <c r="D36" s="17"/>
      <c r="E36" s="17"/>
      <c r="F36" s="17"/>
      <c r="G36" s="17"/>
      <c r="H36" s="17" t="e">
        <f t="shared" ref="H36:H41" si="13">F36/G36</f>
        <v>#DIV/0!</v>
      </c>
      <c r="I36" s="17">
        <v>186</v>
      </c>
      <c r="J36" s="17" t="e">
        <f t="shared" si="8"/>
        <v>#DIV/0!</v>
      </c>
      <c r="K36" s="17" t="e">
        <f t="shared" si="9"/>
        <v>#DIV/0!</v>
      </c>
      <c r="L36" s="15" t="e">
        <f t="shared" si="10"/>
        <v>#DIV/0!</v>
      </c>
      <c r="M36" s="17"/>
      <c r="N36" s="15" t="e">
        <f t="shared" si="11"/>
        <v>#DIV/0!</v>
      </c>
      <c r="O36" s="15" t="e">
        <f t="shared" si="12"/>
        <v>#DIV/0!</v>
      </c>
      <c r="P36" s="17"/>
    </row>
    <row r="37" spans="1:16" x14ac:dyDescent="0.25">
      <c r="A37" s="17"/>
      <c r="B37" s="17"/>
      <c r="C37" s="17"/>
      <c r="D37" s="17"/>
      <c r="E37" s="17"/>
      <c r="F37" s="17"/>
      <c r="G37" s="17"/>
      <c r="H37" s="17" t="e">
        <f t="shared" si="13"/>
        <v>#DIV/0!</v>
      </c>
      <c r="I37" s="17">
        <v>186</v>
      </c>
      <c r="J37" s="17" t="e">
        <f t="shared" si="8"/>
        <v>#DIV/0!</v>
      </c>
      <c r="K37" s="17" t="e">
        <f t="shared" si="9"/>
        <v>#DIV/0!</v>
      </c>
      <c r="L37" s="15" t="e">
        <f t="shared" si="10"/>
        <v>#DIV/0!</v>
      </c>
      <c r="M37" s="17"/>
      <c r="N37" s="15" t="e">
        <f t="shared" si="11"/>
        <v>#DIV/0!</v>
      </c>
      <c r="O37" s="15" t="e">
        <f t="shared" si="12"/>
        <v>#DIV/0!</v>
      </c>
      <c r="P37" s="17"/>
    </row>
    <row r="38" spans="1:16" x14ac:dyDescent="0.25">
      <c r="A38" s="17"/>
      <c r="B38" s="17"/>
      <c r="C38" s="17"/>
      <c r="D38" s="17"/>
      <c r="E38" s="17"/>
      <c r="F38" s="17"/>
      <c r="G38" s="17"/>
      <c r="H38" s="17" t="e">
        <f t="shared" si="13"/>
        <v>#DIV/0!</v>
      </c>
      <c r="I38" s="17">
        <v>186</v>
      </c>
      <c r="J38" s="17" t="e">
        <f t="shared" si="8"/>
        <v>#DIV/0!</v>
      </c>
      <c r="K38" s="17" t="e">
        <f t="shared" si="9"/>
        <v>#DIV/0!</v>
      </c>
      <c r="L38" s="15" t="e">
        <f t="shared" si="10"/>
        <v>#DIV/0!</v>
      </c>
      <c r="M38" s="17"/>
      <c r="N38" s="15" t="e">
        <f t="shared" si="11"/>
        <v>#DIV/0!</v>
      </c>
      <c r="O38" s="15" t="e">
        <f t="shared" si="12"/>
        <v>#DIV/0!</v>
      </c>
      <c r="P38" s="17"/>
    </row>
    <row r="39" spans="1:16" x14ac:dyDescent="0.25">
      <c r="A39" s="17"/>
      <c r="B39" s="17"/>
      <c r="C39" s="17"/>
      <c r="D39" s="17"/>
      <c r="E39" s="17"/>
      <c r="F39" s="17"/>
      <c r="G39" s="17"/>
      <c r="H39" s="17" t="e">
        <f t="shared" si="13"/>
        <v>#DIV/0!</v>
      </c>
      <c r="I39" s="17">
        <v>186</v>
      </c>
      <c r="J39" s="17" t="e">
        <f t="shared" si="8"/>
        <v>#DIV/0!</v>
      </c>
      <c r="K39" s="17" t="e">
        <f t="shared" si="9"/>
        <v>#DIV/0!</v>
      </c>
      <c r="L39" s="15" t="e">
        <f t="shared" si="10"/>
        <v>#DIV/0!</v>
      </c>
      <c r="M39" s="17"/>
      <c r="N39" s="15" t="e">
        <f t="shared" si="11"/>
        <v>#DIV/0!</v>
      </c>
      <c r="O39" s="15" t="e">
        <f t="shared" si="12"/>
        <v>#DIV/0!</v>
      </c>
      <c r="P39" s="17"/>
    </row>
    <row r="40" spans="1:16" x14ac:dyDescent="0.25">
      <c r="A40" s="17"/>
      <c r="B40" s="17"/>
      <c r="C40" s="17"/>
      <c r="D40" s="17"/>
      <c r="E40" s="17"/>
      <c r="F40" s="17"/>
      <c r="G40" s="17"/>
      <c r="H40" s="17" t="e">
        <f t="shared" si="13"/>
        <v>#DIV/0!</v>
      </c>
      <c r="I40" s="17">
        <v>186</v>
      </c>
      <c r="J40" s="17" t="e">
        <f t="shared" si="8"/>
        <v>#DIV/0!</v>
      </c>
      <c r="K40" s="17" t="e">
        <f t="shared" si="9"/>
        <v>#DIV/0!</v>
      </c>
      <c r="L40" s="15" t="e">
        <f t="shared" si="10"/>
        <v>#DIV/0!</v>
      </c>
      <c r="M40" s="17"/>
      <c r="N40" s="15" t="e">
        <f t="shared" si="11"/>
        <v>#DIV/0!</v>
      </c>
      <c r="O40" s="15" t="e">
        <f t="shared" si="12"/>
        <v>#DIV/0!</v>
      </c>
      <c r="P40" s="17"/>
    </row>
    <row r="41" spans="1:16" x14ac:dyDescent="0.25">
      <c r="A41" s="17"/>
      <c r="B41" s="17"/>
      <c r="C41" s="17"/>
      <c r="D41" s="17"/>
      <c r="E41" s="17"/>
      <c r="F41" s="17"/>
      <c r="G41" s="17"/>
      <c r="H41" s="17" t="e">
        <f t="shared" si="13"/>
        <v>#DIV/0!</v>
      </c>
      <c r="I41" s="17">
        <v>186</v>
      </c>
      <c r="J41" s="17" t="e">
        <f t="shared" si="8"/>
        <v>#DIV/0!</v>
      </c>
      <c r="K41" s="17" t="e">
        <f t="shared" si="9"/>
        <v>#DIV/0!</v>
      </c>
      <c r="L41" s="15" t="e">
        <f t="shared" si="10"/>
        <v>#DIV/0!</v>
      </c>
      <c r="M41" s="17"/>
      <c r="N41" s="15" t="e">
        <f t="shared" si="11"/>
        <v>#DIV/0!</v>
      </c>
      <c r="O41" s="15" t="e">
        <f t="shared" si="12"/>
        <v>#DIV/0!</v>
      </c>
      <c r="P41" s="17"/>
    </row>
    <row r="57" spans="12:14" x14ac:dyDescent="0.25">
      <c r="M57" s="15" t="s">
        <v>82</v>
      </c>
      <c r="N57" t="s">
        <v>83</v>
      </c>
    </row>
    <row r="58" spans="12:14" x14ac:dyDescent="0.25">
      <c r="L58" t="s">
        <v>7</v>
      </c>
      <c r="M58">
        <f t="shared" ref="M58:M63" si="14">O3+O11+O19+O27</f>
        <v>2625.9569515629487</v>
      </c>
      <c r="N58">
        <f t="shared" ref="N58:N63" si="15">N3+N11+N19+N27</f>
        <v>239.6708734551776</v>
      </c>
    </row>
    <row r="59" spans="12:14" x14ac:dyDescent="0.25">
      <c r="L59" t="s">
        <v>8</v>
      </c>
      <c r="M59">
        <f t="shared" si="14"/>
        <v>4800.0315247688259</v>
      </c>
      <c r="N59">
        <f t="shared" si="15"/>
        <v>449.6900274750185</v>
      </c>
    </row>
    <row r="60" spans="12:14" x14ac:dyDescent="0.25">
      <c r="L60" t="s">
        <v>9</v>
      </c>
      <c r="M60">
        <f t="shared" si="14"/>
        <v>2072.4012057422337</v>
      </c>
      <c r="N60">
        <f t="shared" si="15"/>
        <v>231.46448752800694</v>
      </c>
    </row>
    <row r="61" spans="12:14" x14ac:dyDescent="0.25">
      <c r="L61" t="s">
        <v>10</v>
      </c>
      <c r="M61">
        <f t="shared" si="14"/>
        <v>1728.8800257079431</v>
      </c>
      <c r="N61">
        <f t="shared" si="15"/>
        <v>166.25085016869542</v>
      </c>
    </row>
    <row r="62" spans="12:14" x14ac:dyDescent="0.25">
      <c r="L62" t="s">
        <v>11</v>
      </c>
      <c r="M62">
        <f t="shared" si="14"/>
        <v>1936.9794559600107</v>
      </c>
      <c r="N62">
        <f t="shared" si="15"/>
        <v>198.55983601250907</v>
      </c>
    </row>
    <row r="63" spans="12:14" x14ac:dyDescent="0.25">
      <c r="L63" t="s">
        <v>12</v>
      </c>
      <c r="M63">
        <f t="shared" si="14"/>
        <v>1595.5488221401747</v>
      </c>
      <c r="N63">
        <f t="shared" si="15"/>
        <v>152.22090647478123</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8"/>
  <sheetViews>
    <sheetView topLeftCell="D7" zoomScale="85" zoomScaleNormal="85" workbookViewId="0">
      <selection activeCell="I33" sqref="I33"/>
    </sheetView>
  </sheetViews>
  <sheetFormatPr defaultRowHeight="15" x14ac:dyDescent="0.25"/>
  <cols>
    <col min="1" max="1" width="53.28515625" customWidth="1"/>
    <col min="2" max="2" width="20.7109375" bestFit="1" customWidth="1"/>
    <col min="3" max="3" width="46.42578125" bestFit="1" customWidth="1"/>
    <col min="4" max="4" width="12" bestFit="1" customWidth="1"/>
    <col min="5" max="5" width="18.85546875" bestFit="1" customWidth="1"/>
    <col min="6" max="6" width="22.28515625" bestFit="1" customWidth="1"/>
    <col min="7" max="7" width="46.42578125" bestFit="1" customWidth="1"/>
    <col min="8" max="8" width="17.140625" bestFit="1" customWidth="1"/>
    <col min="9" max="9" width="14.85546875" customWidth="1"/>
    <col min="10" max="10" width="17.42578125" bestFit="1" customWidth="1"/>
    <col min="11" max="11" width="19.85546875" bestFit="1" customWidth="1"/>
    <col min="12" max="12" width="14.5703125" bestFit="1" customWidth="1"/>
    <col min="13" max="13" width="21.42578125" bestFit="1" customWidth="1"/>
    <col min="16" max="16" width="90.28515625" bestFit="1" customWidth="1"/>
  </cols>
  <sheetData>
    <row r="1" spans="1:16" x14ac:dyDescent="0.25">
      <c r="A1" t="s">
        <v>0</v>
      </c>
      <c r="B1" t="s">
        <v>1</v>
      </c>
      <c r="C1" t="s">
        <v>2</v>
      </c>
      <c r="D1" t="s">
        <v>3</v>
      </c>
      <c r="E1" t="s">
        <v>4</v>
      </c>
      <c r="F1" t="s">
        <v>5</v>
      </c>
      <c r="G1" t="s">
        <v>6</v>
      </c>
      <c r="I1" t="s">
        <v>0</v>
      </c>
      <c r="J1" t="s">
        <v>23</v>
      </c>
      <c r="K1" t="s">
        <v>24</v>
      </c>
      <c r="L1" t="s">
        <v>25</v>
      </c>
      <c r="M1" t="s">
        <v>26</v>
      </c>
      <c r="N1" t="s">
        <v>5</v>
      </c>
      <c r="O1" t="s">
        <v>6</v>
      </c>
      <c r="P1" t="s">
        <v>45</v>
      </c>
    </row>
    <row r="2" spans="1:16" x14ac:dyDescent="0.25">
      <c r="A2" t="s">
        <v>7</v>
      </c>
      <c r="B2">
        <v>7.8</v>
      </c>
      <c r="C2">
        <v>52</v>
      </c>
      <c r="D2">
        <v>4640</v>
      </c>
      <c r="E2">
        <v>110</v>
      </c>
      <c r="F2">
        <v>8.85</v>
      </c>
      <c r="G2">
        <v>8.4000000000000005E-2</v>
      </c>
      <c r="I2" t="s">
        <v>7</v>
      </c>
      <c r="J2">
        <v>0.12579650963069047</v>
      </c>
      <c r="K2">
        <v>0.54132833645638145</v>
      </c>
      <c r="L2">
        <v>83.079677708146804</v>
      </c>
      <c r="M2">
        <v>2.0022570898103313</v>
      </c>
      <c r="N2">
        <v>8.85</v>
      </c>
      <c r="O2">
        <v>8.4000000000000005E-2</v>
      </c>
      <c r="P2">
        <v>-4126.0730544825101</v>
      </c>
    </row>
    <row r="3" spans="1:16" x14ac:dyDescent="0.25">
      <c r="A3" t="s">
        <v>8</v>
      </c>
      <c r="B3">
        <v>9</v>
      </c>
      <c r="C3">
        <v>101</v>
      </c>
      <c r="D3">
        <v>8830</v>
      </c>
      <c r="E3">
        <v>150</v>
      </c>
      <c r="F3">
        <v>8.58</v>
      </c>
      <c r="G3">
        <v>0.123</v>
      </c>
      <c r="I3" t="s">
        <v>8</v>
      </c>
      <c r="J3">
        <v>0.14514981880464284</v>
      </c>
      <c r="K3">
        <v>1.0514261919633563</v>
      </c>
      <c r="L3">
        <v>158.10205908683974</v>
      </c>
      <c r="M3">
        <v>2.7303505770140881</v>
      </c>
      <c r="N3">
        <v>8.58</v>
      </c>
      <c r="O3">
        <v>0.123</v>
      </c>
      <c r="P3">
        <v>-6345.1727144604893</v>
      </c>
    </row>
    <row r="4" spans="1:16" x14ac:dyDescent="0.25">
      <c r="A4" t="s">
        <v>9</v>
      </c>
      <c r="B4">
        <v>0</v>
      </c>
      <c r="C4">
        <v>244</v>
      </c>
      <c r="D4">
        <v>3720</v>
      </c>
      <c r="E4">
        <v>54</v>
      </c>
      <c r="F4">
        <v>8.1300000000000008</v>
      </c>
      <c r="G4">
        <v>0.14899999999999999</v>
      </c>
      <c r="I4" t="s">
        <v>9</v>
      </c>
      <c r="J4">
        <v>0</v>
      </c>
      <c r="K4">
        <v>2.5400791172184047</v>
      </c>
      <c r="L4">
        <v>66.60698299015219</v>
      </c>
      <c r="M4">
        <v>0.98292620772507178</v>
      </c>
      <c r="N4">
        <v>8.1300000000000008</v>
      </c>
      <c r="O4">
        <v>0.14899999999999999</v>
      </c>
      <c r="P4">
        <v>-2324.1645591662809</v>
      </c>
    </row>
    <row r="5" spans="1:16" x14ac:dyDescent="0.25">
      <c r="A5" t="s">
        <v>10</v>
      </c>
      <c r="B5">
        <v>0</v>
      </c>
      <c r="C5">
        <v>61</v>
      </c>
      <c r="D5">
        <v>3150</v>
      </c>
      <c r="E5">
        <v>65</v>
      </c>
      <c r="F5">
        <v>8.3000000000000007</v>
      </c>
      <c r="G5">
        <v>6.4000000000000001E-2</v>
      </c>
      <c r="I5" t="s">
        <v>10</v>
      </c>
      <c r="J5">
        <v>0</v>
      </c>
      <c r="K5">
        <v>0.63501977930460118</v>
      </c>
      <c r="L5">
        <v>56.401074306177257</v>
      </c>
      <c r="M5">
        <v>1.1831519167061051</v>
      </c>
      <c r="N5">
        <v>8.3000000000000007</v>
      </c>
      <c r="O5">
        <v>6.4000000000000001E-2</v>
      </c>
      <c r="P5">
        <v>-2381.5605261823644</v>
      </c>
    </row>
    <row r="6" spans="1:16" x14ac:dyDescent="0.25">
      <c r="A6" t="s">
        <v>11</v>
      </c>
      <c r="B6">
        <v>0</v>
      </c>
      <c r="C6">
        <v>142</v>
      </c>
      <c r="D6">
        <v>3450</v>
      </c>
      <c r="E6">
        <v>73</v>
      </c>
      <c r="F6">
        <v>8.0399999999999991</v>
      </c>
      <c r="G6">
        <v>6.8000000000000005E-2</v>
      </c>
      <c r="I6" t="s">
        <v>11</v>
      </c>
      <c r="J6">
        <v>0</v>
      </c>
      <c r="K6">
        <v>1.4782427649385801</v>
      </c>
      <c r="L6">
        <v>61.772605192479858</v>
      </c>
      <c r="M6">
        <v>1.3287706141468563</v>
      </c>
      <c r="N6">
        <v>8.0399999999999991</v>
      </c>
      <c r="O6">
        <v>6.8000000000000005E-2</v>
      </c>
      <c r="P6">
        <v>-2647.1982214094915</v>
      </c>
    </row>
    <row r="7" spans="1:16" x14ac:dyDescent="0.25">
      <c r="A7" t="s">
        <v>12</v>
      </c>
      <c r="B7">
        <v>6.4</v>
      </c>
      <c r="C7">
        <v>161</v>
      </c>
      <c r="D7">
        <v>2160</v>
      </c>
      <c r="E7">
        <v>161</v>
      </c>
      <c r="F7">
        <v>7.86</v>
      </c>
      <c r="G7">
        <v>6.8000000000000005E-2</v>
      </c>
      <c r="I7" t="s">
        <v>12</v>
      </c>
      <c r="J7">
        <v>0.10321764892774604</v>
      </c>
      <c r="K7">
        <v>1.6760358109514886</v>
      </c>
      <c r="L7">
        <v>38.675022381378696</v>
      </c>
      <c r="M7">
        <v>2.9305762859951217</v>
      </c>
      <c r="N7">
        <v>7.86</v>
      </c>
      <c r="O7">
        <v>6.8000000000000005E-2</v>
      </c>
      <c r="P7">
        <v>-4387.1372728560673</v>
      </c>
    </row>
    <row r="10" spans="1:16" x14ac:dyDescent="0.25">
      <c r="C10">
        <f>7.8/62</f>
        <v>0.12580645161290321</v>
      </c>
    </row>
    <row r="13" spans="1:16" ht="18.75" x14ac:dyDescent="0.25">
      <c r="A13" s="1" t="s">
        <v>1</v>
      </c>
      <c r="B13" s="1" t="s">
        <v>16</v>
      </c>
      <c r="C13" s="1" t="s">
        <v>20</v>
      </c>
      <c r="D13" s="1" t="s">
        <v>21</v>
      </c>
      <c r="E13" s="1" t="s">
        <v>22</v>
      </c>
      <c r="F13" s="4" t="s">
        <v>3</v>
      </c>
      <c r="G13" s="4" t="s">
        <v>18</v>
      </c>
      <c r="H13" s="5" t="s">
        <v>14</v>
      </c>
      <c r="I13" s="4" t="s">
        <v>21</v>
      </c>
      <c r="J13" s="4" t="s">
        <v>22</v>
      </c>
    </row>
    <row r="14" spans="1:16" x14ac:dyDescent="0.25">
      <c r="A14" s="1">
        <v>7.8</v>
      </c>
      <c r="B14" s="1">
        <f>A14/1000</f>
        <v>7.7999999999999996E-3</v>
      </c>
      <c r="C14" s="2">
        <v>62.004899999999999</v>
      </c>
      <c r="D14" s="1">
        <f>(B14)/(C14)</f>
        <v>1.2579650963069047E-4</v>
      </c>
      <c r="E14" s="1">
        <f>D14*1000</f>
        <v>0.12579650963069047</v>
      </c>
      <c r="F14" s="4">
        <v>4640</v>
      </c>
      <c r="G14" s="4">
        <f>F14/1000</f>
        <v>4.6399999999999997</v>
      </c>
      <c r="H14" s="4">
        <v>55.85</v>
      </c>
      <c r="I14" s="4">
        <f>(G14)/(H14)</f>
        <v>8.307967770814681E-2</v>
      </c>
      <c r="J14" s="4">
        <f>I14*1000</f>
        <v>83.079677708146804</v>
      </c>
    </row>
    <row r="15" spans="1:16" x14ac:dyDescent="0.25">
      <c r="A15" s="1">
        <v>9</v>
      </c>
      <c r="B15" s="1">
        <f t="shared" ref="B15:B19" si="0">A15/1000</f>
        <v>8.9999999999999993E-3</v>
      </c>
      <c r="C15" s="2">
        <v>62.004899999999999</v>
      </c>
      <c r="D15" s="1">
        <f t="shared" ref="D15:D27" si="1">(B15)/(C15)</f>
        <v>1.4514981880464284E-4</v>
      </c>
      <c r="E15" s="1">
        <f t="shared" ref="E15:E27" si="2">D15*1000</f>
        <v>0.14514981880464284</v>
      </c>
      <c r="F15" s="4">
        <v>8830</v>
      </c>
      <c r="G15" s="4">
        <f t="shared" ref="G15:G19" si="3">F15/1000</f>
        <v>8.83</v>
      </c>
      <c r="H15" s="4">
        <v>55.85</v>
      </c>
      <c r="I15" s="4">
        <f t="shared" ref="I15:I27" si="4">(G15)/(H15)</f>
        <v>0.15810205908683975</v>
      </c>
      <c r="J15" s="4">
        <f t="shared" ref="J15:J27" si="5">I15*1000</f>
        <v>158.10205908683974</v>
      </c>
    </row>
    <row r="16" spans="1:16" x14ac:dyDescent="0.25">
      <c r="A16" s="1">
        <v>0</v>
      </c>
      <c r="B16" s="1">
        <f t="shared" si="0"/>
        <v>0</v>
      </c>
      <c r="C16" s="2">
        <v>62.004899999999999</v>
      </c>
      <c r="D16" s="1">
        <f t="shared" si="1"/>
        <v>0</v>
      </c>
      <c r="E16" s="1">
        <f t="shared" si="2"/>
        <v>0</v>
      </c>
      <c r="F16" s="4">
        <v>3720</v>
      </c>
      <c r="G16" s="4">
        <f t="shared" si="3"/>
        <v>3.72</v>
      </c>
      <c r="H16" s="4">
        <v>55.85</v>
      </c>
      <c r="I16" s="4">
        <f t="shared" si="4"/>
        <v>6.6606982990152191E-2</v>
      </c>
      <c r="J16" s="4">
        <f t="shared" si="5"/>
        <v>66.60698299015219</v>
      </c>
    </row>
    <row r="17" spans="1:16" x14ac:dyDescent="0.25">
      <c r="A17" s="1">
        <v>0</v>
      </c>
      <c r="B17" s="1">
        <f t="shared" si="0"/>
        <v>0</v>
      </c>
      <c r="C17" s="2">
        <v>62.004899999999999</v>
      </c>
      <c r="D17" s="1">
        <f t="shared" si="1"/>
        <v>0</v>
      </c>
      <c r="E17" s="1">
        <f t="shared" si="2"/>
        <v>0</v>
      </c>
      <c r="F17" s="4">
        <v>3150</v>
      </c>
      <c r="G17" s="4">
        <f t="shared" si="3"/>
        <v>3.15</v>
      </c>
      <c r="H17" s="4">
        <v>55.85</v>
      </c>
      <c r="I17" s="4">
        <f t="shared" si="4"/>
        <v>5.640107430617726E-2</v>
      </c>
      <c r="J17" s="4">
        <f t="shared" si="5"/>
        <v>56.401074306177257</v>
      </c>
    </row>
    <row r="18" spans="1:16" x14ac:dyDescent="0.25">
      <c r="A18" s="1">
        <v>0</v>
      </c>
      <c r="B18" s="1">
        <f t="shared" si="0"/>
        <v>0</v>
      </c>
      <c r="C18" s="2">
        <v>62.004899999999999</v>
      </c>
      <c r="D18" s="1">
        <f t="shared" si="1"/>
        <v>0</v>
      </c>
      <c r="E18" s="1">
        <f t="shared" si="2"/>
        <v>0</v>
      </c>
      <c r="F18" s="4">
        <v>3450</v>
      </c>
      <c r="G18" s="4">
        <f t="shared" si="3"/>
        <v>3.45</v>
      </c>
      <c r="H18" s="4">
        <v>55.85</v>
      </c>
      <c r="I18" s="4">
        <f t="shared" si="4"/>
        <v>6.177260519247986E-2</v>
      </c>
      <c r="J18" s="4">
        <f t="shared" si="5"/>
        <v>61.772605192479858</v>
      </c>
    </row>
    <row r="19" spans="1:16" x14ac:dyDescent="0.25">
      <c r="A19" s="1">
        <v>6.4</v>
      </c>
      <c r="B19" s="1">
        <f t="shared" si="0"/>
        <v>6.4000000000000003E-3</v>
      </c>
      <c r="C19" s="2">
        <v>62.004899999999999</v>
      </c>
      <c r="D19" s="1">
        <f t="shared" si="1"/>
        <v>1.0321764892774604E-4</v>
      </c>
      <c r="E19" s="1">
        <f t="shared" si="2"/>
        <v>0.10321764892774604</v>
      </c>
      <c r="F19" s="4">
        <v>2160</v>
      </c>
      <c r="G19" s="4">
        <f t="shared" si="3"/>
        <v>2.16</v>
      </c>
      <c r="H19" s="4">
        <v>55.85</v>
      </c>
      <c r="I19" s="4">
        <f t="shared" si="4"/>
        <v>3.8675022381378696E-2</v>
      </c>
      <c r="J19" s="4">
        <f t="shared" si="5"/>
        <v>38.675022381378696</v>
      </c>
    </row>
    <row r="21" spans="1:16" x14ac:dyDescent="0.25">
      <c r="A21" s="3" t="s">
        <v>2</v>
      </c>
      <c r="B21" s="3" t="s">
        <v>17</v>
      </c>
      <c r="C21" s="3" t="s">
        <v>13</v>
      </c>
      <c r="D21" s="3" t="s">
        <v>21</v>
      </c>
      <c r="E21" s="3" t="s">
        <v>22</v>
      </c>
      <c r="F21" s="6" t="s">
        <v>4</v>
      </c>
      <c r="G21" s="6" t="s">
        <v>19</v>
      </c>
      <c r="H21" s="6" t="s">
        <v>15</v>
      </c>
      <c r="I21" s="6" t="s">
        <v>21</v>
      </c>
      <c r="J21" s="6" t="s">
        <v>22</v>
      </c>
    </row>
    <row r="22" spans="1:16" x14ac:dyDescent="0.25">
      <c r="A22" s="3">
        <v>52</v>
      </c>
      <c r="B22" s="3">
        <f>A22/1000</f>
        <v>5.1999999999999998E-2</v>
      </c>
      <c r="C22" s="3">
        <v>96.06</v>
      </c>
      <c r="D22" s="3">
        <f t="shared" si="1"/>
        <v>5.4132833645638141E-4</v>
      </c>
      <c r="E22" s="3">
        <f t="shared" si="2"/>
        <v>0.54132833645638145</v>
      </c>
      <c r="F22" s="6">
        <v>110</v>
      </c>
      <c r="G22" s="6">
        <f>F22/1000</f>
        <v>0.11</v>
      </c>
      <c r="H22" s="7">
        <v>54.938000000000002</v>
      </c>
      <c r="I22" s="6">
        <f t="shared" si="4"/>
        <v>2.0022570898103314E-3</v>
      </c>
      <c r="J22" s="6">
        <f t="shared" si="5"/>
        <v>2.0022570898103313</v>
      </c>
    </row>
    <row r="23" spans="1:16" x14ac:dyDescent="0.25">
      <c r="A23" s="3">
        <v>101</v>
      </c>
      <c r="B23" s="3">
        <f t="shared" ref="B23:B27" si="6">A23/1000</f>
        <v>0.10100000000000001</v>
      </c>
      <c r="C23" s="3">
        <v>96.06</v>
      </c>
      <c r="D23" s="3">
        <f t="shared" si="1"/>
        <v>1.0514261919633563E-3</v>
      </c>
      <c r="E23" s="3">
        <f t="shared" si="2"/>
        <v>1.0514261919633563</v>
      </c>
      <c r="F23" s="6">
        <v>150</v>
      </c>
      <c r="G23" s="6">
        <f t="shared" ref="G23:G27" si="7">F23/1000</f>
        <v>0.15</v>
      </c>
      <c r="H23" s="7">
        <v>54.938000000000002</v>
      </c>
      <c r="I23" s="6">
        <f t="shared" si="4"/>
        <v>2.7303505770140883E-3</v>
      </c>
      <c r="J23" s="6">
        <f t="shared" si="5"/>
        <v>2.7303505770140881</v>
      </c>
    </row>
    <row r="24" spans="1:16" x14ac:dyDescent="0.25">
      <c r="A24" s="3">
        <v>244</v>
      </c>
      <c r="B24" s="3">
        <f t="shared" si="6"/>
        <v>0.24399999999999999</v>
      </c>
      <c r="C24" s="3">
        <v>96.06</v>
      </c>
      <c r="D24" s="3">
        <f t="shared" si="1"/>
        <v>2.5400791172184049E-3</v>
      </c>
      <c r="E24" s="3">
        <f t="shared" si="2"/>
        <v>2.5400791172184047</v>
      </c>
      <c r="F24" s="6">
        <v>54</v>
      </c>
      <c r="G24" s="6">
        <f t="shared" si="7"/>
        <v>5.3999999999999999E-2</v>
      </c>
      <c r="H24" s="7">
        <v>54.938000000000002</v>
      </c>
      <c r="I24" s="6">
        <f t="shared" si="4"/>
        <v>9.829262077250718E-4</v>
      </c>
      <c r="J24" s="6">
        <f t="shared" si="5"/>
        <v>0.98292620772507178</v>
      </c>
    </row>
    <row r="25" spans="1:16" x14ac:dyDescent="0.25">
      <c r="A25" s="3">
        <v>61</v>
      </c>
      <c r="B25" s="3">
        <f t="shared" si="6"/>
        <v>6.0999999999999999E-2</v>
      </c>
      <c r="C25" s="3">
        <v>96.06</v>
      </c>
      <c r="D25" s="3">
        <f t="shared" si="1"/>
        <v>6.3501977930460122E-4</v>
      </c>
      <c r="E25" s="3">
        <f t="shared" si="2"/>
        <v>0.63501977930460118</v>
      </c>
      <c r="F25" s="6">
        <v>65</v>
      </c>
      <c r="G25" s="6">
        <f t="shared" si="7"/>
        <v>6.5000000000000002E-2</v>
      </c>
      <c r="H25" s="7">
        <v>54.938000000000002</v>
      </c>
      <c r="I25" s="6">
        <f t="shared" si="4"/>
        <v>1.183151916706105E-3</v>
      </c>
      <c r="J25" s="6">
        <f t="shared" si="5"/>
        <v>1.1831519167061051</v>
      </c>
    </row>
    <row r="26" spans="1:16" x14ac:dyDescent="0.25">
      <c r="A26" s="3">
        <v>142</v>
      </c>
      <c r="B26" s="3">
        <f t="shared" si="6"/>
        <v>0.14199999999999999</v>
      </c>
      <c r="C26" s="3">
        <v>96.06</v>
      </c>
      <c r="D26" s="3">
        <f t="shared" si="1"/>
        <v>1.47824276493858E-3</v>
      </c>
      <c r="E26" s="3">
        <f t="shared" si="2"/>
        <v>1.4782427649385801</v>
      </c>
      <c r="F26" s="6">
        <v>73</v>
      </c>
      <c r="G26" s="6">
        <f t="shared" si="7"/>
        <v>7.2999999999999995E-2</v>
      </c>
      <c r="H26" s="7">
        <v>54.938000000000002</v>
      </c>
      <c r="I26" s="6">
        <f t="shared" si="4"/>
        <v>1.3287706141468564E-3</v>
      </c>
      <c r="J26" s="6">
        <f t="shared" si="5"/>
        <v>1.3287706141468563</v>
      </c>
    </row>
    <row r="27" spans="1:16" x14ac:dyDescent="0.25">
      <c r="A27" s="3">
        <v>161</v>
      </c>
      <c r="B27" s="3">
        <f t="shared" si="6"/>
        <v>0.161</v>
      </c>
      <c r="C27" s="3">
        <v>96.06</v>
      </c>
      <c r="D27" s="3">
        <f t="shared" si="1"/>
        <v>1.6760358109514887E-3</v>
      </c>
      <c r="E27" s="3">
        <f t="shared" si="2"/>
        <v>1.6760358109514886</v>
      </c>
      <c r="F27" s="6">
        <v>161</v>
      </c>
      <c r="G27" s="6">
        <f t="shared" si="7"/>
        <v>0.161</v>
      </c>
      <c r="H27" s="7">
        <v>54.938000000000002</v>
      </c>
      <c r="I27" s="6">
        <f t="shared" si="4"/>
        <v>2.9305762859951215E-3</v>
      </c>
      <c r="J27" s="6">
        <f t="shared" si="5"/>
        <v>2.9305762859951217</v>
      </c>
    </row>
    <row r="29" spans="1:16" ht="18.75" x14ac:dyDescent="0.25">
      <c r="A29" t="s">
        <v>27</v>
      </c>
      <c r="P29" s="20" t="s">
        <v>84</v>
      </c>
    </row>
    <row r="30" spans="1:16" ht="18.75" x14ac:dyDescent="0.25">
      <c r="C30" t="s">
        <v>29</v>
      </c>
      <c r="D30" t="s">
        <v>30</v>
      </c>
      <c r="G30" t="s">
        <v>29</v>
      </c>
      <c r="H30" t="s">
        <v>30</v>
      </c>
      <c r="P30" s="21" t="s">
        <v>85</v>
      </c>
    </row>
    <row r="31" spans="1:16" ht="18.75" x14ac:dyDescent="0.25">
      <c r="A31" t="s">
        <v>0</v>
      </c>
      <c r="B31" s="1" t="s">
        <v>23</v>
      </c>
      <c r="C31" s="1">
        <v>5</v>
      </c>
      <c r="D31" s="1"/>
      <c r="F31" s="8" t="s">
        <v>25</v>
      </c>
      <c r="G31" s="8">
        <v>1</v>
      </c>
      <c r="H31" s="8"/>
      <c r="P31" s="20" t="s">
        <v>86</v>
      </c>
    </row>
    <row r="32" spans="1:16" ht="15.75" x14ac:dyDescent="0.25">
      <c r="A32" t="s">
        <v>7</v>
      </c>
      <c r="B32" s="1">
        <v>0.12579650963069047</v>
      </c>
      <c r="C32" s="1">
        <v>5</v>
      </c>
      <c r="D32" s="1">
        <f>B32*C32</f>
        <v>0.62898254815345234</v>
      </c>
      <c r="F32" s="8">
        <v>83.079677708146804</v>
      </c>
      <c r="G32" s="8">
        <v>1</v>
      </c>
      <c r="H32" s="8">
        <f>F32*G32</f>
        <v>83.079677708146804</v>
      </c>
      <c r="P32" s="20" t="s">
        <v>87</v>
      </c>
    </row>
    <row r="33" spans="1:16" ht="15.75" x14ac:dyDescent="0.25">
      <c r="A33" t="s">
        <v>8</v>
      </c>
      <c r="B33" s="1">
        <v>0.14514981880464284</v>
      </c>
      <c r="C33" s="1">
        <v>5</v>
      </c>
      <c r="D33" s="1">
        <f t="shared" ref="D33:D46" si="8">B33*C33</f>
        <v>0.72574909402321419</v>
      </c>
      <c r="F33" s="8">
        <v>158.10205908683974</v>
      </c>
      <c r="G33" s="8">
        <v>1</v>
      </c>
      <c r="H33" s="8">
        <f t="shared" ref="H33:H46" si="9">F33*G33</f>
        <v>158.10205908683974</v>
      </c>
      <c r="P33" s="20" t="s">
        <v>88</v>
      </c>
    </row>
    <row r="34" spans="1:16" ht="18.75" x14ac:dyDescent="0.25">
      <c r="A34" t="s">
        <v>9</v>
      </c>
      <c r="B34" s="1">
        <v>0</v>
      </c>
      <c r="C34" s="1">
        <v>5</v>
      </c>
      <c r="D34" s="1">
        <f t="shared" si="8"/>
        <v>0</v>
      </c>
      <c r="F34" s="8">
        <v>66.60698299015219</v>
      </c>
      <c r="G34" s="8">
        <v>1</v>
      </c>
      <c r="H34" s="8">
        <f t="shared" si="9"/>
        <v>66.60698299015219</v>
      </c>
      <c r="P34" s="20" t="s">
        <v>89</v>
      </c>
    </row>
    <row r="35" spans="1:16" ht="18.75" x14ac:dyDescent="0.25">
      <c r="A35" t="s">
        <v>10</v>
      </c>
      <c r="B35" s="1">
        <v>0</v>
      </c>
      <c r="C35" s="1">
        <v>5</v>
      </c>
      <c r="D35" s="1">
        <f t="shared" si="8"/>
        <v>0</v>
      </c>
      <c r="F35" s="8">
        <v>56.401074306177257</v>
      </c>
      <c r="G35" s="8">
        <v>1</v>
      </c>
      <c r="H35" s="8">
        <f t="shared" si="9"/>
        <v>56.401074306177257</v>
      </c>
      <c r="P35" s="21" t="s">
        <v>90</v>
      </c>
    </row>
    <row r="36" spans="1:16" ht="18.75" x14ac:dyDescent="0.25">
      <c r="A36" t="s">
        <v>11</v>
      </c>
      <c r="B36" s="1">
        <v>0</v>
      </c>
      <c r="C36" s="1">
        <v>5</v>
      </c>
      <c r="D36" s="1">
        <f t="shared" si="8"/>
        <v>0</v>
      </c>
      <c r="F36" s="8">
        <v>61.772605192479858</v>
      </c>
      <c r="G36" s="8">
        <v>1</v>
      </c>
      <c r="H36" s="8">
        <f t="shared" si="9"/>
        <v>61.772605192479858</v>
      </c>
      <c r="P36" s="20" t="s">
        <v>91</v>
      </c>
    </row>
    <row r="37" spans="1:16" ht="18.75" x14ac:dyDescent="0.25">
      <c r="A37" t="s">
        <v>12</v>
      </c>
      <c r="B37" s="1">
        <v>0.10321764892774604</v>
      </c>
      <c r="C37" s="1">
        <v>5</v>
      </c>
      <c r="D37" s="1">
        <f t="shared" si="8"/>
        <v>0.51608824463873026</v>
      </c>
      <c r="F37" s="8">
        <v>38.675022381378696</v>
      </c>
      <c r="G37" s="8">
        <v>1</v>
      </c>
      <c r="H37" s="8">
        <f t="shared" si="9"/>
        <v>38.675022381378696</v>
      </c>
      <c r="P37" s="21" t="s">
        <v>92</v>
      </c>
    </row>
    <row r="39" spans="1:16" x14ac:dyDescent="0.25">
      <c r="C39" t="s">
        <v>29</v>
      </c>
    </row>
    <row r="40" spans="1:16" x14ac:dyDescent="0.25">
      <c r="B40" s="3" t="s">
        <v>24</v>
      </c>
      <c r="C40" s="3">
        <v>8</v>
      </c>
      <c r="D40" s="3"/>
      <c r="F40" s="8" t="s">
        <v>26</v>
      </c>
      <c r="G40" s="8">
        <v>2</v>
      </c>
      <c r="H40" s="8"/>
    </row>
    <row r="41" spans="1:16" x14ac:dyDescent="0.25">
      <c r="B41" s="3">
        <v>0.54132833645638145</v>
      </c>
      <c r="C41" s="3">
        <v>8</v>
      </c>
      <c r="D41" s="3">
        <f t="shared" si="8"/>
        <v>4.3306266916510516</v>
      </c>
      <c r="F41" s="8">
        <v>2.0022570898103313</v>
      </c>
      <c r="G41" s="8">
        <v>2</v>
      </c>
      <c r="H41" s="8">
        <f t="shared" si="9"/>
        <v>4.0045141796206627</v>
      </c>
    </row>
    <row r="42" spans="1:16" x14ac:dyDescent="0.25">
      <c r="B42" s="3">
        <v>1.0514261919633563</v>
      </c>
      <c r="C42" s="3">
        <v>8</v>
      </c>
      <c r="D42" s="3">
        <f t="shared" si="8"/>
        <v>8.4114095357068503</v>
      </c>
      <c r="F42" s="8">
        <v>2.7303505770140881</v>
      </c>
      <c r="G42" s="8">
        <v>2</v>
      </c>
      <c r="H42" s="8">
        <f t="shared" si="9"/>
        <v>5.4607011540281762</v>
      </c>
    </row>
    <row r="43" spans="1:16" x14ac:dyDescent="0.25">
      <c r="B43" s="3">
        <v>2.5400791172184047</v>
      </c>
      <c r="C43" s="3">
        <v>8</v>
      </c>
      <c r="D43" s="3">
        <f t="shared" si="8"/>
        <v>20.320632937747238</v>
      </c>
      <c r="F43" s="8">
        <v>0.98292620772507178</v>
      </c>
      <c r="G43" s="8">
        <v>2</v>
      </c>
      <c r="H43" s="8">
        <f t="shared" si="9"/>
        <v>1.9658524154501436</v>
      </c>
    </row>
    <row r="44" spans="1:16" x14ac:dyDescent="0.25">
      <c r="B44" s="3">
        <v>0.63501977930460118</v>
      </c>
      <c r="C44" s="3">
        <v>8</v>
      </c>
      <c r="D44" s="3">
        <f t="shared" si="8"/>
        <v>5.0801582344368095</v>
      </c>
      <c r="F44" s="8">
        <v>1.1831519167061051</v>
      </c>
      <c r="G44" s="8">
        <v>2</v>
      </c>
      <c r="H44" s="8">
        <f t="shared" si="9"/>
        <v>2.3663038334122102</v>
      </c>
    </row>
    <row r="45" spans="1:16" x14ac:dyDescent="0.25">
      <c r="B45" s="3">
        <v>1.4782427649385801</v>
      </c>
      <c r="C45" s="3">
        <v>8</v>
      </c>
      <c r="D45" s="3">
        <f t="shared" si="8"/>
        <v>11.825942119508641</v>
      </c>
      <c r="F45" s="8">
        <v>1.3287706141468563</v>
      </c>
      <c r="G45" s="8">
        <v>2</v>
      </c>
      <c r="H45" s="8">
        <f t="shared" si="9"/>
        <v>2.6575412282937125</v>
      </c>
    </row>
    <row r="46" spans="1:16" x14ac:dyDescent="0.25">
      <c r="B46" s="3">
        <v>1.6760358109514886</v>
      </c>
      <c r="C46" s="3">
        <v>8</v>
      </c>
      <c r="D46" s="3">
        <f t="shared" si="8"/>
        <v>13.408286487611909</v>
      </c>
      <c r="F46" s="8">
        <v>2.9305762859951217</v>
      </c>
      <c r="G46" s="8">
        <v>2</v>
      </c>
      <c r="H46" s="8">
        <f t="shared" si="9"/>
        <v>5.8611525719902433</v>
      </c>
    </row>
    <row r="55" spans="11:11" x14ac:dyDescent="0.25">
      <c r="K55" t="s">
        <v>28</v>
      </c>
    </row>
    <row r="88" spans="9:9" x14ac:dyDescent="0.25">
      <c r="I88" t="s">
        <v>31</v>
      </c>
    </row>
  </sheetData>
  <phoneticPr fontId="3"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23CA6-A5A7-4269-A73E-0137DDC745C7}">
  <dimension ref="A3:E43"/>
  <sheetViews>
    <sheetView workbookViewId="0">
      <selection activeCell="Q22" sqref="Q22"/>
    </sheetView>
  </sheetViews>
  <sheetFormatPr defaultRowHeight="15" x14ac:dyDescent="0.25"/>
  <cols>
    <col min="2" max="2" width="16" customWidth="1"/>
    <col min="3" max="3" width="17.7109375" bestFit="1" customWidth="1"/>
    <col min="4" max="4" width="14.85546875" bestFit="1" customWidth="1"/>
  </cols>
  <sheetData>
    <row r="3" spans="1:5" x14ac:dyDescent="0.25">
      <c r="B3" s="22" t="s">
        <v>102</v>
      </c>
      <c r="C3" s="23" t="s">
        <v>103</v>
      </c>
      <c r="D3" s="15" t="s">
        <v>104</v>
      </c>
      <c r="E3" s="24" t="s">
        <v>105</v>
      </c>
    </row>
    <row r="4" spans="1:5" x14ac:dyDescent="0.25">
      <c r="A4" t="s">
        <v>93</v>
      </c>
      <c r="B4" s="22">
        <v>0.3</v>
      </c>
      <c r="C4">
        <v>0.9</v>
      </c>
      <c r="D4">
        <v>1.7000000000000001E-2</v>
      </c>
      <c r="E4" s="25">
        <v>73</v>
      </c>
    </row>
    <row r="5" spans="1:5" x14ac:dyDescent="0.25">
      <c r="A5" t="s">
        <v>94</v>
      </c>
      <c r="B5" s="22">
        <v>1.9</v>
      </c>
      <c r="C5">
        <v>1.1000000000000001</v>
      </c>
      <c r="D5">
        <v>1.7000000000000001E-2</v>
      </c>
      <c r="E5" s="25">
        <v>78</v>
      </c>
    </row>
    <row r="6" spans="1:5" x14ac:dyDescent="0.25">
      <c r="A6" t="s">
        <v>95</v>
      </c>
      <c r="B6" s="22">
        <v>1.2</v>
      </c>
      <c r="C6">
        <v>0.9</v>
      </c>
      <c r="D6">
        <v>1.7000000000000001E-2</v>
      </c>
      <c r="E6" s="25">
        <v>81</v>
      </c>
    </row>
    <row r="7" spans="1:5" x14ac:dyDescent="0.25">
      <c r="A7" t="s">
        <v>96</v>
      </c>
      <c r="B7" s="22">
        <v>0.5</v>
      </c>
      <c r="C7">
        <v>0.8</v>
      </c>
      <c r="D7">
        <v>1.7000000000000001E-2</v>
      </c>
      <c r="E7" s="25">
        <v>82</v>
      </c>
    </row>
    <row r="8" spans="1:5" x14ac:dyDescent="0.25">
      <c r="A8" t="s">
        <v>97</v>
      </c>
      <c r="B8" s="22">
        <v>0.6</v>
      </c>
      <c r="C8">
        <v>0.8</v>
      </c>
      <c r="D8">
        <v>1.7000000000000001E-2</v>
      </c>
      <c r="E8" s="25">
        <v>87</v>
      </c>
    </row>
    <row r="9" spans="1:5" x14ac:dyDescent="0.25">
      <c r="A9" t="s">
        <v>98</v>
      </c>
      <c r="B9" s="22">
        <v>20</v>
      </c>
      <c r="C9">
        <v>1.7</v>
      </c>
      <c r="D9">
        <v>1.7000000000000001E-2</v>
      </c>
      <c r="E9" s="25">
        <v>79</v>
      </c>
    </row>
    <row r="10" spans="1:5" x14ac:dyDescent="0.25">
      <c r="A10" t="s">
        <v>99</v>
      </c>
      <c r="B10" s="22">
        <v>4.2</v>
      </c>
      <c r="C10">
        <v>1.4</v>
      </c>
      <c r="D10">
        <v>1.7000000000000001E-2</v>
      </c>
      <c r="E10" s="25">
        <v>140</v>
      </c>
    </row>
    <row r="11" spans="1:5" x14ac:dyDescent="0.25">
      <c r="A11" t="s">
        <v>100</v>
      </c>
      <c r="B11" s="22">
        <v>0.02</v>
      </c>
      <c r="C11">
        <v>0.05</v>
      </c>
      <c r="D11">
        <v>1.7000000000000001E-2</v>
      </c>
      <c r="E11" s="25">
        <v>25</v>
      </c>
    </row>
    <row r="12" spans="1:5" x14ac:dyDescent="0.25">
      <c r="A12" t="s">
        <v>101</v>
      </c>
      <c r="B12" s="22">
        <v>1.5</v>
      </c>
      <c r="C12">
        <v>0.8</v>
      </c>
      <c r="D12">
        <v>1.7000000000000001E-2</v>
      </c>
      <c r="E12" s="25">
        <v>72</v>
      </c>
    </row>
    <row r="13" spans="1:5" x14ac:dyDescent="0.25">
      <c r="C13" s="23" t="s">
        <v>103</v>
      </c>
    </row>
    <row r="14" spans="1:5" x14ac:dyDescent="0.25">
      <c r="B14" t="s">
        <v>93</v>
      </c>
      <c r="C14">
        <v>0.9</v>
      </c>
    </row>
    <row r="15" spans="1:5" x14ac:dyDescent="0.25">
      <c r="B15" t="s">
        <v>94</v>
      </c>
      <c r="C15">
        <v>1.1000000000000001</v>
      </c>
    </row>
    <row r="16" spans="1:5" x14ac:dyDescent="0.25">
      <c r="B16" t="s">
        <v>95</v>
      </c>
      <c r="C16">
        <v>0.9</v>
      </c>
    </row>
    <row r="17" spans="2:4" x14ac:dyDescent="0.25">
      <c r="B17" t="s">
        <v>96</v>
      </c>
      <c r="C17">
        <v>0.8</v>
      </c>
    </row>
    <row r="18" spans="2:4" x14ac:dyDescent="0.25">
      <c r="B18" t="s">
        <v>97</v>
      </c>
      <c r="C18">
        <v>0.8</v>
      </c>
    </row>
    <row r="19" spans="2:4" x14ac:dyDescent="0.25">
      <c r="B19" t="s">
        <v>98</v>
      </c>
      <c r="C19">
        <v>1.7</v>
      </c>
    </row>
    <row r="20" spans="2:4" x14ac:dyDescent="0.25">
      <c r="B20" t="s">
        <v>99</v>
      </c>
      <c r="C20">
        <v>1.4</v>
      </c>
    </row>
    <row r="21" spans="2:4" x14ac:dyDescent="0.25">
      <c r="B21" t="s">
        <v>100</v>
      </c>
      <c r="C21">
        <v>0.05</v>
      </c>
    </row>
    <row r="22" spans="2:4" x14ac:dyDescent="0.25">
      <c r="B22" t="s">
        <v>101</v>
      </c>
      <c r="C22">
        <v>0.8</v>
      </c>
    </row>
    <row r="24" spans="2:4" x14ac:dyDescent="0.25">
      <c r="D24" s="15" t="s">
        <v>104</v>
      </c>
    </row>
    <row r="25" spans="2:4" x14ac:dyDescent="0.25">
      <c r="C25" t="s">
        <v>93</v>
      </c>
      <c r="D25">
        <v>1.7000000000000001E-2</v>
      </c>
    </row>
    <row r="26" spans="2:4" x14ac:dyDescent="0.25">
      <c r="C26" t="s">
        <v>94</v>
      </c>
      <c r="D26">
        <v>1.7000000000000001E-2</v>
      </c>
    </row>
    <row r="27" spans="2:4" x14ac:dyDescent="0.25">
      <c r="C27" t="s">
        <v>95</v>
      </c>
      <c r="D27">
        <v>1.7000000000000001E-2</v>
      </c>
    </row>
    <row r="28" spans="2:4" x14ac:dyDescent="0.25">
      <c r="C28" t="s">
        <v>96</v>
      </c>
      <c r="D28">
        <v>1.7000000000000001E-2</v>
      </c>
    </row>
    <row r="29" spans="2:4" x14ac:dyDescent="0.25">
      <c r="C29" t="s">
        <v>97</v>
      </c>
      <c r="D29">
        <v>1.7000000000000001E-2</v>
      </c>
    </row>
    <row r="30" spans="2:4" x14ac:dyDescent="0.25">
      <c r="C30" t="s">
        <v>98</v>
      </c>
      <c r="D30">
        <v>1.7000000000000001E-2</v>
      </c>
    </row>
    <row r="31" spans="2:4" x14ac:dyDescent="0.25">
      <c r="C31" t="s">
        <v>99</v>
      </c>
      <c r="D31">
        <v>1.7000000000000001E-2</v>
      </c>
    </row>
    <row r="32" spans="2:4" x14ac:dyDescent="0.25">
      <c r="C32" t="s">
        <v>100</v>
      </c>
      <c r="D32">
        <v>1.7000000000000001E-2</v>
      </c>
    </row>
    <row r="33" spans="3:5" x14ac:dyDescent="0.25">
      <c r="C33" t="s">
        <v>101</v>
      </c>
      <c r="D33">
        <v>1.7000000000000001E-2</v>
      </c>
    </row>
    <row r="34" spans="3:5" x14ac:dyDescent="0.25">
      <c r="E34" s="24" t="s">
        <v>105</v>
      </c>
    </row>
    <row r="35" spans="3:5" x14ac:dyDescent="0.25">
      <c r="D35" t="s">
        <v>93</v>
      </c>
      <c r="E35" s="25">
        <v>73</v>
      </c>
    </row>
    <row r="36" spans="3:5" x14ac:dyDescent="0.25">
      <c r="D36" t="s">
        <v>94</v>
      </c>
      <c r="E36" s="25">
        <v>78</v>
      </c>
    </row>
    <row r="37" spans="3:5" x14ac:dyDescent="0.25">
      <c r="D37" t="s">
        <v>95</v>
      </c>
      <c r="E37" s="25">
        <v>81</v>
      </c>
    </row>
    <row r="38" spans="3:5" x14ac:dyDescent="0.25">
      <c r="D38" t="s">
        <v>96</v>
      </c>
      <c r="E38" s="25">
        <v>82</v>
      </c>
    </row>
    <row r="39" spans="3:5" x14ac:dyDescent="0.25">
      <c r="D39" t="s">
        <v>97</v>
      </c>
      <c r="E39" s="25">
        <v>87</v>
      </c>
    </row>
    <row r="40" spans="3:5" x14ac:dyDescent="0.25">
      <c r="D40" t="s">
        <v>98</v>
      </c>
      <c r="E40" s="25">
        <v>79</v>
      </c>
    </row>
    <row r="41" spans="3:5" x14ac:dyDescent="0.25">
      <c r="D41" t="s">
        <v>99</v>
      </c>
      <c r="E41" s="25">
        <v>140</v>
      </c>
    </row>
    <row r="42" spans="3:5" x14ac:dyDescent="0.25">
      <c r="D42" t="s">
        <v>100</v>
      </c>
      <c r="E42" s="25">
        <v>25</v>
      </c>
    </row>
    <row r="43" spans="3:5" x14ac:dyDescent="0.25">
      <c r="D43" t="s">
        <v>101</v>
      </c>
      <c r="E43" s="25">
        <v>72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D98E-9E1B-4F4E-8D4C-A352B30A7651}">
  <dimension ref="A17:H26"/>
  <sheetViews>
    <sheetView tabSelected="1" zoomScale="70" zoomScaleNormal="70" workbookViewId="0">
      <selection activeCell="E29" sqref="E29"/>
    </sheetView>
  </sheetViews>
  <sheetFormatPr defaultRowHeight="15" x14ac:dyDescent="0.25"/>
  <cols>
    <col min="1" max="1" width="48.28515625" bestFit="1" customWidth="1"/>
    <col min="2" max="2" width="33.28515625" customWidth="1"/>
    <col min="3" max="4" width="48.42578125" bestFit="1" customWidth="1"/>
    <col min="5" max="5" width="50.140625" bestFit="1" customWidth="1"/>
    <col min="6" max="6" width="46.28515625" bestFit="1" customWidth="1"/>
    <col min="7" max="7" width="51.42578125" bestFit="1" customWidth="1"/>
    <col min="8" max="8" width="45.28515625" bestFit="1" customWidth="1"/>
    <col min="9" max="9" width="17.7109375" bestFit="1" customWidth="1"/>
    <col min="10" max="10" width="24.28515625" bestFit="1" customWidth="1"/>
    <col min="11" max="11" width="53.85546875" bestFit="1" customWidth="1"/>
  </cols>
  <sheetData>
    <row r="17" spans="1:8" x14ac:dyDescent="0.25">
      <c r="A17" t="s">
        <v>106</v>
      </c>
      <c r="B17" t="s">
        <v>107</v>
      </c>
      <c r="C17" t="s">
        <v>102</v>
      </c>
      <c r="D17" t="s">
        <v>108</v>
      </c>
      <c r="E17" t="s">
        <v>109</v>
      </c>
      <c r="F17" t="s">
        <v>110</v>
      </c>
      <c r="G17" t="s">
        <v>111</v>
      </c>
      <c r="H17" t="s">
        <v>112</v>
      </c>
    </row>
    <row r="18" spans="1:8" x14ac:dyDescent="0.25">
      <c r="A18">
        <v>0</v>
      </c>
      <c r="C18">
        <v>0.3</v>
      </c>
      <c r="D18">
        <v>5.3715308863025958E-3</v>
      </c>
      <c r="E18">
        <v>5.3715308863025958E-3</v>
      </c>
      <c r="F18">
        <v>0.3</v>
      </c>
      <c r="G18">
        <v>5.3715308863025958E-3</v>
      </c>
      <c r="H18">
        <v>5.3715308863025958E-3</v>
      </c>
    </row>
    <row r="19" spans="1:8" x14ac:dyDescent="0.25">
      <c r="A19">
        <v>21.508224026650009</v>
      </c>
      <c r="B19">
        <v>21.508224026650009</v>
      </c>
      <c r="C19">
        <v>5.3</v>
      </c>
      <c r="D19">
        <v>9.4897045658012533E-2</v>
      </c>
      <c r="E19">
        <v>9.4897045658012533E-2</v>
      </c>
      <c r="F19">
        <v>26.808224026650009</v>
      </c>
      <c r="G19">
        <v>0.4800040112202329</v>
      </c>
      <c r="H19">
        <v>0.4800040112202329</v>
      </c>
    </row>
    <row r="20" spans="1:8" x14ac:dyDescent="0.25">
      <c r="A20">
        <v>20.926920674578387</v>
      </c>
      <c r="B20">
        <v>20.926920674578387</v>
      </c>
      <c r="C20">
        <v>6.3</v>
      </c>
      <c r="D20">
        <v>0.11280214861235452</v>
      </c>
      <c r="E20">
        <v>0.11280214861235452</v>
      </c>
      <c r="F20">
        <v>27.226920674578388</v>
      </c>
      <c r="G20">
        <v>0.4875008178080284</v>
      </c>
      <c r="H20">
        <v>0.4875008178080284</v>
      </c>
    </row>
    <row r="23" spans="1:8" x14ac:dyDescent="0.25">
      <c r="A23" t="s">
        <v>103</v>
      </c>
      <c r="B23" t="s">
        <v>113</v>
      </c>
      <c r="C23" t="s">
        <v>114</v>
      </c>
      <c r="D23" t="s">
        <v>115</v>
      </c>
      <c r="E23" t="s">
        <v>116</v>
      </c>
      <c r="F23" t="s">
        <v>117</v>
      </c>
      <c r="G23" t="s">
        <v>118</v>
      </c>
    </row>
    <row r="24" spans="1:8" x14ac:dyDescent="0.25">
      <c r="A24">
        <v>0.9</v>
      </c>
      <c r="B24">
        <v>1.6384489350081924E-2</v>
      </c>
      <c r="C24">
        <v>3.2768978700163848E-2</v>
      </c>
      <c r="D24">
        <v>0.32784243509400174</v>
      </c>
      <c r="E24">
        <v>0.16392121754700087</v>
      </c>
      <c r="F24">
        <v>1.2</v>
      </c>
      <c r="G24">
        <v>3.8140509586466441E-2</v>
      </c>
    </row>
    <row r="25" spans="1:8" x14ac:dyDescent="0.25">
      <c r="A25">
        <v>3.8</v>
      </c>
      <c r="B25">
        <v>6.9178955033679226E-2</v>
      </c>
      <c r="C25">
        <v>0.13835791006735845</v>
      </c>
      <c r="D25">
        <v>6.9385842990335247</v>
      </c>
      <c r="E25">
        <v>3.4692921495167623</v>
      </c>
      <c r="F25">
        <v>30.60822402665001</v>
      </c>
      <c r="G25">
        <v>0.61836192128759138</v>
      </c>
    </row>
    <row r="26" spans="1:8" x14ac:dyDescent="0.25">
      <c r="A26">
        <v>3.7</v>
      </c>
      <c r="B26">
        <v>6.7358456217003468E-2</v>
      </c>
      <c r="C26">
        <v>0.13471691243400694</v>
      </c>
      <c r="D26">
        <v>7.2374107897824311</v>
      </c>
      <c r="E26">
        <v>3.6187053948912156</v>
      </c>
      <c r="F26">
        <v>30.926920674578387</v>
      </c>
      <c r="G26">
        <v>0.62221773024203531</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654DF-880C-4655-B8E7-39F93ED653C5}">
  <dimension ref="A1:L80"/>
  <sheetViews>
    <sheetView zoomScale="85" zoomScaleNormal="85" workbookViewId="0">
      <selection activeCell="B3" sqref="B3"/>
    </sheetView>
  </sheetViews>
  <sheetFormatPr defaultRowHeight="15" x14ac:dyDescent="0.25"/>
  <cols>
    <col min="1" max="1" width="14.5703125" bestFit="1" customWidth="1"/>
    <col min="2" max="2" width="19.85546875" bestFit="1" customWidth="1"/>
    <col min="3" max="3" width="40" customWidth="1"/>
    <col min="4" max="4" width="51.140625" bestFit="1" customWidth="1"/>
    <col min="5" max="5" width="64.28515625" bestFit="1" customWidth="1"/>
    <col min="6" max="6" width="51.42578125" bestFit="1" customWidth="1"/>
    <col min="7" max="7" width="46.28515625" bestFit="1" customWidth="1"/>
    <col min="8" max="8" width="51.140625" bestFit="1" customWidth="1"/>
    <col min="9" max="9" width="64.28515625" bestFit="1" customWidth="1"/>
    <col min="10" max="10" width="49.140625" bestFit="1" customWidth="1"/>
    <col min="11" max="11" width="36" customWidth="1"/>
    <col min="12" max="12" width="48" bestFit="1" customWidth="1"/>
  </cols>
  <sheetData>
    <row r="1" spans="1:8" x14ac:dyDescent="0.25">
      <c r="A1" t="s">
        <v>0</v>
      </c>
      <c r="B1" t="s">
        <v>23</v>
      </c>
      <c r="C1" t="s">
        <v>24</v>
      </c>
      <c r="D1" t="s">
        <v>25</v>
      </c>
      <c r="E1" t="s">
        <v>26</v>
      </c>
      <c r="F1" s="9" t="s">
        <v>32</v>
      </c>
    </row>
    <row r="2" spans="1:8" x14ac:dyDescent="0.25">
      <c r="A2" t="s">
        <v>7</v>
      </c>
      <c r="B2">
        <v>0.12579650963069047</v>
      </c>
      <c r="C2">
        <v>0.54132833645638145</v>
      </c>
      <c r="D2">
        <v>83.079677708146804</v>
      </c>
      <c r="E2">
        <v>2.0022570898103313</v>
      </c>
      <c r="F2">
        <f>D11+D20+H11+H20</f>
        <v>92.043801127571967</v>
      </c>
    </row>
    <row r="3" spans="1:8" x14ac:dyDescent="0.25">
      <c r="A3" t="s">
        <v>8</v>
      </c>
      <c r="B3">
        <v>0.14514981880464284</v>
      </c>
      <c r="C3">
        <v>1.0514261919633563</v>
      </c>
      <c r="D3">
        <v>158.10205908683974</v>
      </c>
      <c r="E3">
        <v>2.7303505770140881</v>
      </c>
      <c r="F3">
        <f t="shared" ref="F3:F7" si="0">D12+D21+H12+H21</f>
        <v>172.699918870598</v>
      </c>
    </row>
    <row r="4" spans="1:8" x14ac:dyDescent="0.25">
      <c r="A4" t="s">
        <v>9</v>
      </c>
      <c r="B4">
        <v>0</v>
      </c>
      <c r="C4">
        <v>2.5400791172184047</v>
      </c>
      <c r="D4">
        <v>66.60698299015219</v>
      </c>
      <c r="E4">
        <v>0.98292620772507178</v>
      </c>
      <c r="F4">
        <f t="shared" si="0"/>
        <v>88.893468343349568</v>
      </c>
    </row>
    <row r="5" spans="1:8" x14ac:dyDescent="0.25">
      <c r="A5" t="s">
        <v>10</v>
      </c>
      <c r="B5">
        <v>0</v>
      </c>
      <c r="C5">
        <v>0.63501977930460118</v>
      </c>
      <c r="D5">
        <v>56.401074306177257</v>
      </c>
      <c r="E5">
        <v>1.1831519167061051</v>
      </c>
      <c r="F5">
        <f t="shared" si="0"/>
        <v>63.847536374026276</v>
      </c>
    </row>
    <row r="6" spans="1:8" x14ac:dyDescent="0.25">
      <c r="A6" t="s">
        <v>11</v>
      </c>
      <c r="B6">
        <v>0</v>
      </c>
      <c r="C6">
        <v>1.4782427649385801</v>
      </c>
      <c r="D6">
        <v>61.772605192479858</v>
      </c>
      <c r="E6">
        <v>1.3287706141468563</v>
      </c>
      <c r="F6">
        <f t="shared" si="0"/>
        <v>76.256088540282207</v>
      </c>
    </row>
    <row r="7" spans="1:8" x14ac:dyDescent="0.25">
      <c r="A7" t="s">
        <v>12</v>
      </c>
      <c r="B7">
        <v>0.10321764892774604</v>
      </c>
      <c r="C7">
        <v>1.6760358109514886</v>
      </c>
      <c r="D7">
        <v>38.675022381378696</v>
      </c>
      <c r="E7">
        <v>2.9305762859951217</v>
      </c>
      <c r="F7">
        <f t="shared" si="0"/>
        <v>58.460549685619583</v>
      </c>
    </row>
    <row r="9" spans="1:8" x14ac:dyDescent="0.25">
      <c r="C9" t="s">
        <v>29</v>
      </c>
      <c r="D9" t="s">
        <v>30</v>
      </c>
      <c r="E9" t="s">
        <v>33</v>
      </c>
      <c r="G9" t="s">
        <v>29</v>
      </c>
      <c r="H9" t="s">
        <v>30</v>
      </c>
    </row>
    <row r="10" spans="1:8" x14ac:dyDescent="0.25">
      <c r="A10" t="s">
        <v>0</v>
      </c>
      <c r="B10" s="1" t="s">
        <v>23</v>
      </c>
      <c r="C10" s="1">
        <v>5</v>
      </c>
      <c r="D10" s="1"/>
      <c r="E10">
        <v>-2.9780000000000002</v>
      </c>
      <c r="F10" s="8" t="s">
        <v>25</v>
      </c>
      <c r="G10" s="8">
        <v>1</v>
      </c>
      <c r="H10" s="8"/>
    </row>
    <row r="11" spans="1:8" x14ac:dyDescent="0.25">
      <c r="A11" t="s">
        <v>7</v>
      </c>
      <c r="B11" s="1">
        <v>0.12579650963069047</v>
      </c>
      <c r="C11" s="1">
        <v>5</v>
      </c>
      <c r="D11" s="1">
        <f>B11*C11</f>
        <v>0.62898254815345234</v>
      </c>
      <c r="E11">
        <v>-2.9780000000000002</v>
      </c>
      <c r="F11" s="8">
        <v>83.079677708146804</v>
      </c>
      <c r="G11" s="8">
        <v>1</v>
      </c>
      <c r="H11" s="8">
        <f>F11*G11</f>
        <v>83.079677708146804</v>
      </c>
    </row>
    <row r="12" spans="1:8" x14ac:dyDescent="0.25">
      <c r="A12" t="s">
        <v>8</v>
      </c>
      <c r="B12" s="1">
        <v>0.14514981880464284</v>
      </c>
      <c r="C12" s="1">
        <v>5</v>
      </c>
      <c r="D12" s="1">
        <f t="shared" ref="D12:D25" si="1">B12*C12</f>
        <v>0.72574909402321419</v>
      </c>
      <c r="E12">
        <v>-2.9780000000000002</v>
      </c>
      <c r="F12" s="8">
        <v>158.10205908683974</v>
      </c>
      <c r="G12" s="8">
        <v>1</v>
      </c>
      <c r="H12" s="8">
        <f t="shared" ref="H12:H25" si="2">F12*G12</f>
        <v>158.10205908683974</v>
      </c>
    </row>
    <row r="13" spans="1:8" x14ac:dyDescent="0.25">
      <c r="A13" t="s">
        <v>9</v>
      </c>
      <c r="B13" s="1">
        <v>0</v>
      </c>
      <c r="C13" s="1">
        <v>5</v>
      </c>
      <c r="D13" s="1">
        <f t="shared" si="1"/>
        <v>0</v>
      </c>
      <c r="E13">
        <v>-2.9780000000000002</v>
      </c>
      <c r="F13" s="8">
        <v>66.60698299015219</v>
      </c>
      <c r="G13" s="8">
        <v>1</v>
      </c>
      <c r="H13" s="8">
        <f t="shared" si="2"/>
        <v>66.60698299015219</v>
      </c>
    </row>
    <row r="14" spans="1:8" x14ac:dyDescent="0.25">
      <c r="A14" t="s">
        <v>10</v>
      </c>
      <c r="B14" s="1">
        <v>0</v>
      </c>
      <c r="C14" s="1">
        <v>5</v>
      </c>
      <c r="D14" s="1">
        <f t="shared" si="1"/>
        <v>0</v>
      </c>
      <c r="E14">
        <v>-2.9780000000000002</v>
      </c>
      <c r="F14" s="8">
        <v>56.401074306177257</v>
      </c>
      <c r="G14" s="8">
        <v>1</v>
      </c>
      <c r="H14" s="8">
        <f t="shared" si="2"/>
        <v>56.401074306177257</v>
      </c>
    </row>
    <row r="15" spans="1:8" x14ac:dyDescent="0.25">
      <c r="A15" t="s">
        <v>11</v>
      </c>
      <c r="B15" s="1">
        <v>0</v>
      </c>
      <c r="C15" s="1">
        <v>5</v>
      </c>
      <c r="D15" s="1">
        <f t="shared" si="1"/>
        <v>0</v>
      </c>
      <c r="E15">
        <v>-2.9780000000000002</v>
      </c>
      <c r="F15" s="8">
        <v>61.772605192479858</v>
      </c>
      <c r="G15" s="8">
        <v>1</v>
      </c>
      <c r="H15" s="8">
        <f t="shared" si="2"/>
        <v>61.772605192479858</v>
      </c>
    </row>
    <row r="16" spans="1:8" x14ac:dyDescent="0.25">
      <c r="A16" t="s">
        <v>12</v>
      </c>
      <c r="B16" s="1">
        <v>0.10321764892774604</v>
      </c>
      <c r="C16" s="1">
        <v>5</v>
      </c>
      <c r="D16" s="1">
        <f t="shared" si="1"/>
        <v>0.51608824463873026</v>
      </c>
      <c r="E16">
        <v>-2.9780000000000002</v>
      </c>
      <c r="F16" s="8">
        <v>38.675022381378696</v>
      </c>
      <c r="G16" s="8">
        <v>1</v>
      </c>
      <c r="H16" s="8">
        <f t="shared" si="2"/>
        <v>38.675022381378696</v>
      </c>
    </row>
    <row r="18" spans="1:12" x14ac:dyDescent="0.25">
      <c r="C18" t="s">
        <v>29</v>
      </c>
    </row>
    <row r="19" spans="1:12" x14ac:dyDescent="0.25">
      <c r="B19" s="3" t="s">
        <v>24</v>
      </c>
      <c r="C19" s="3">
        <v>8</v>
      </c>
      <c r="D19" s="3"/>
      <c r="F19" s="8" t="s">
        <v>26</v>
      </c>
      <c r="G19" s="8">
        <v>2</v>
      </c>
      <c r="H19" s="8"/>
    </row>
    <row r="20" spans="1:12" x14ac:dyDescent="0.25">
      <c r="B20" s="3">
        <v>0.54132833645638145</v>
      </c>
      <c r="C20" s="3">
        <v>8</v>
      </c>
      <c r="D20" s="3">
        <f t="shared" si="1"/>
        <v>4.3306266916510516</v>
      </c>
      <c r="F20" s="8">
        <v>2.0022570898103313</v>
      </c>
      <c r="G20" s="8">
        <v>2</v>
      </c>
      <c r="H20" s="8">
        <f t="shared" si="2"/>
        <v>4.0045141796206627</v>
      </c>
    </row>
    <row r="21" spans="1:12" x14ac:dyDescent="0.25">
      <c r="B21" s="3">
        <v>1.0514261919633563</v>
      </c>
      <c r="C21" s="3">
        <v>8</v>
      </c>
      <c r="D21" s="3">
        <f t="shared" si="1"/>
        <v>8.4114095357068503</v>
      </c>
      <c r="F21" s="8">
        <v>2.7303505770140881</v>
      </c>
      <c r="G21" s="8">
        <v>2</v>
      </c>
      <c r="H21" s="8">
        <f t="shared" si="2"/>
        <v>5.4607011540281762</v>
      </c>
    </row>
    <row r="22" spans="1:12" x14ac:dyDescent="0.25">
      <c r="B22" s="3">
        <v>2.5400791172184047</v>
      </c>
      <c r="C22" s="3">
        <v>8</v>
      </c>
      <c r="D22" s="3">
        <f t="shared" si="1"/>
        <v>20.320632937747238</v>
      </c>
      <c r="F22" s="8">
        <v>0.98292620772507178</v>
      </c>
      <c r="G22" s="8">
        <v>2</v>
      </c>
      <c r="H22" s="8">
        <f t="shared" si="2"/>
        <v>1.9658524154501436</v>
      </c>
    </row>
    <row r="23" spans="1:12" x14ac:dyDescent="0.25">
      <c r="B23" s="3">
        <v>0.63501977930460118</v>
      </c>
      <c r="C23" s="3">
        <v>8</v>
      </c>
      <c r="D23" s="3">
        <f t="shared" si="1"/>
        <v>5.0801582344368095</v>
      </c>
      <c r="F23" s="8">
        <v>1.1831519167061051</v>
      </c>
      <c r="G23" s="8">
        <v>2</v>
      </c>
      <c r="H23" s="8">
        <f t="shared" si="2"/>
        <v>2.3663038334122102</v>
      </c>
    </row>
    <row r="24" spans="1:12" x14ac:dyDescent="0.25">
      <c r="B24" s="3">
        <v>1.4782427649385801</v>
      </c>
      <c r="C24" s="3">
        <v>8</v>
      </c>
      <c r="D24" s="3">
        <f t="shared" si="1"/>
        <v>11.825942119508641</v>
      </c>
      <c r="F24" s="8">
        <v>1.3287706141468563</v>
      </c>
      <c r="G24" s="8">
        <v>2</v>
      </c>
      <c r="H24" s="8">
        <f t="shared" si="2"/>
        <v>2.6575412282937125</v>
      </c>
    </row>
    <row r="25" spans="1:12" x14ac:dyDescent="0.25">
      <c r="B25" s="3">
        <v>1.6760358109514886</v>
      </c>
      <c r="C25" s="3">
        <v>8</v>
      </c>
      <c r="D25" s="3">
        <f t="shared" si="1"/>
        <v>13.408286487611909</v>
      </c>
      <c r="F25" s="8">
        <v>2.9305762859951217</v>
      </c>
      <c r="G25" s="8">
        <v>2</v>
      </c>
      <c r="H25" s="8">
        <f t="shared" si="2"/>
        <v>5.8611525719902433</v>
      </c>
    </row>
    <row r="30" spans="1:12" x14ac:dyDescent="0.25">
      <c r="F30" t="s">
        <v>35</v>
      </c>
      <c r="K30" t="s">
        <v>35</v>
      </c>
    </row>
    <row r="31" spans="1:12" x14ac:dyDescent="0.25">
      <c r="C31" t="s">
        <v>29</v>
      </c>
      <c r="D31" t="s">
        <v>30</v>
      </c>
      <c r="E31" t="s">
        <v>33</v>
      </c>
      <c r="F31" t="s">
        <v>34</v>
      </c>
      <c r="I31" t="s">
        <v>29</v>
      </c>
      <c r="J31" t="s">
        <v>30</v>
      </c>
      <c r="K31" t="s">
        <v>33</v>
      </c>
      <c r="L31" t="s">
        <v>34</v>
      </c>
    </row>
    <row r="32" spans="1:12" x14ac:dyDescent="0.25">
      <c r="A32" t="s">
        <v>0</v>
      </c>
      <c r="B32" s="1" t="s">
        <v>23</v>
      </c>
      <c r="C32" s="1">
        <v>5</v>
      </c>
      <c r="D32" s="1"/>
      <c r="E32">
        <v>-2.9780000000000002</v>
      </c>
      <c r="F32">
        <v>6</v>
      </c>
      <c r="H32" s="8" t="s">
        <v>25</v>
      </c>
      <c r="I32" s="8">
        <v>1</v>
      </c>
      <c r="J32" s="8"/>
      <c r="K32">
        <v>-525</v>
      </c>
      <c r="L32">
        <v>30</v>
      </c>
    </row>
    <row r="33" spans="1:12" x14ac:dyDescent="0.25">
      <c r="A33" t="s">
        <v>7</v>
      </c>
      <c r="B33" s="1">
        <v>0.12579650963069047</v>
      </c>
      <c r="C33" s="1">
        <v>5</v>
      </c>
      <c r="D33" s="1">
        <f>B33*C33</f>
        <v>0.62898254815345234</v>
      </c>
      <c r="E33">
        <v>-2.9780000000000002</v>
      </c>
      <c r="F33">
        <v>6</v>
      </c>
      <c r="H33" s="8">
        <v>83.079677708146804</v>
      </c>
      <c r="I33" s="8">
        <v>1</v>
      </c>
      <c r="J33" s="8">
        <f>H33*I33</f>
        <v>83.079677708146804</v>
      </c>
      <c r="K33">
        <v>-525</v>
      </c>
      <c r="L33">
        <v>30</v>
      </c>
    </row>
    <row r="34" spans="1:12" x14ac:dyDescent="0.25">
      <c r="A34" t="s">
        <v>8</v>
      </c>
      <c r="B34" s="1">
        <v>0.14514981880464284</v>
      </c>
      <c r="C34" s="1">
        <v>5</v>
      </c>
      <c r="D34" s="1">
        <f t="shared" ref="D34:D38" si="3">B34*C34</f>
        <v>0.72574909402321419</v>
      </c>
      <c r="E34">
        <v>-2.9780000000000002</v>
      </c>
      <c r="F34">
        <v>6</v>
      </c>
      <c r="H34" s="8">
        <v>158.10205908683974</v>
      </c>
      <c r="I34" s="8">
        <v>1</v>
      </c>
      <c r="J34" s="8">
        <f t="shared" ref="J34:J38" si="4">H34*I34</f>
        <v>158.10205908683974</v>
      </c>
      <c r="K34">
        <v>-525</v>
      </c>
      <c r="L34">
        <v>30</v>
      </c>
    </row>
    <row r="35" spans="1:12" x14ac:dyDescent="0.25">
      <c r="A35" t="s">
        <v>9</v>
      </c>
      <c r="B35" s="1">
        <v>0</v>
      </c>
      <c r="C35" s="1">
        <v>5</v>
      </c>
      <c r="D35" s="1">
        <f t="shared" si="3"/>
        <v>0</v>
      </c>
      <c r="E35">
        <v>-2.9780000000000002</v>
      </c>
      <c r="F35">
        <v>6</v>
      </c>
      <c r="H35" s="8">
        <v>66.60698299015219</v>
      </c>
      <c r="I35" s="8">
        <v>1</v>
      </c>
      <c r="J35" s="8">
        <f t="shared" si="4"/>
        <v>66.60698299015219</v>
      </c>
      <c r="K35">
        <v>-525</v>
      </c>
      <c r="L35">
        <v>30</v>
      </c>
    </row>
    <row r="36" spans="1:12" x14ac:dyDescent="0.25">
      <c r="A36" t="s">
        <v>10</v>
      </c>
      <c r="B36" s="1">
        <v>0</v>
      </c>
      <c r="C36" s="1">
        <v>5</v>
      </c>
      <c r="D36" s="1">
        <f t="shared" si="3"/>
        <v>0</v>
      </c>
      <c r="E36">
        <v>-2.9780000000000002</v>
      </c>
      <c r="F36">
        <v>6</v>
      </c>
      <c r="H36" s="8">
        <v>56.401074306177257</v>
      </c>
      <c r="I36" s="8">
        <v>1</v>
      </c>
      <c r="J36" s="8">
        <f t="shared" si="4"/>
        <v>56.401074306177257</v>
      </c>
      <c r="K36">
        <v>-525</v>
      </c>
      <c r="L36">
        <v>30</v>
      </c>
    </row>
    <row r="37" spans="1:12" x14ac:dyDescent="0.25">
      <c r="A37" t="s">
        <v>11</v>
      </c>
      <c r="B37" s="1">
        <v>0</v>
      </c>
      <c r="C37" s="1">
        <v>5</v>
      </c>
      <c r="D37" s="1">
        <f t="shared" si="3"/>
        <v>0</v>
      </c>
      <c r="E37">
        <v>-2.9780000000000002</v>
      </c>
      <c r="F37">
        <v>6</v>
      </c>
      <c r="H37" s="8">
        <v>61.772605192479858</v>
      </c>
      <c r="I37" s="8">
        <v>1</v>
      </c>
      <c r="J37" s="8">
        <f t="shared" si="4"/>
        <v>61.772605192479858</v>
      </c>
      <c r="K37">
        <v>-525</v>
      </c>
      <c r="L37">
        <v>30</v>
      </c>
    </row>
    <row r="38" spans="1:12" x14ac:dyDescent="0.25">
      <c r="A38" t="s">
        <v>12</v>
      </c>
      <c r="B38" s="1">
        <v>0.10321764892774604</v>
      </c>
      <c r="C38" s="1">
        <v>5</v>
      </c>
      <c r="D38" s="1">
        <f t="shared" si="3"/>
        <v>0.51608824463873026</v>
      </c>
      <c r="E38">
        <v>-2.9780000000000002</v>
      </c>
      <c r="F38">
        <v>6</v>
      </c>
      <c r="H38" s="8">
        <v>38.675022381378696</v>
      </c>
      <c r="I38" s="8">
        <v>1</v>
      </c>
      <c r="J38" s="8">
        <f t="shared" si="4"/>
        <v>38.675022381378696</v>
      </c>
      <c r="K38">
        <v>-525</v>
      </c>
      <c r="L38">
        <v>30</v>
      </c>
    </row>
    <row r="40" spans="1:12" x14ac:dyDescent="0.25">
      <c r="C40" t="s">
        <v>29</v>
      </c>
      <c r="F40" t="s">
        <v>35</v>
      </c>
      <c r="K40" t="s">
        <v>35</v>
      </c>
    </row>
    <row r="41" spans="1:12" x14ac:dyDescent="0.25">
      <c r="B41" s="3" t="s">
        <v>24</v>
      </c>
      <c r="C41" s="3">
        <v>8</v>
      </c>
      <c r="D41" s="3"/>
      <c r="E41">
        <v>-106</v>
      </c>
      <c r="F41">
        <v>3.75</v>
      </c>
      <c r="H41" s="11" t="s">
        <v>26</v>
      </c>
      <c r="I41" s="11">
        <v>2</v>
      </c>
      <c r="J41" s="11"/>
      <c r="K41">
        <v>-2104</v>
      </c>
      <c r="L41">
        <v>15</v>
      </c>
    </row>
    <row r="42" spans="1:12" x14ac:dyDescent="0.25">
      <c r="B42" s="3">
        <v>0.54132833645638145</v>
      </c>
      <c r="C42" s="3">
        <v>8</v>
      </c>
      <c r="D42" s="3">
        <f t="shared" ref="D42:D47" si="5">B42*C42</f>
        <v>4.3306266916510516</v>
      </c>
      <c r="E42">
        <v>-106</v>
      </c>
      <c r="F42">
        <v>3.75</v>
      </c>
      <c r="H42" s="11">
        <v>2.0022570898103313</v>
      </c>
      <c r="I42" s="11">
        <v>2</v>
      </c>
      <c r="J42" s="11">
        <f t="shared" ref="J42:J47" si="6">H42*I42</f>
        <v>4.0045141796206627</v>
      </c>
      <c r="K42">
        <v>-2104</v>
      </c>
      <c r="L42">
        <v>15</v>
      </c>
    </row>
    <row r="43" spans="1:12" x14ac:dyDescent="0.25">
      <c r="B43" s="3">
        <v>1.0514261919633563</v>
      </c>
      <c r="C43" s="3">
        <v>8</v>
      </c>
      <c r="D43" s="3">
        <f t="shared" si="5"/>
        <v>8.4114095357068503</v>
      </c>
      <c r="E43">
        <v>-106</v>
      </c>
      <c r="F43">
        <v>3.75</v>
      </c>
      <c r="H43" s="11">
        <v>2.7303505770140881</v>
      </c>
      <c r="I43" s="11">
        <v>2</v>
      </c>
      <c r="J43" s="11">
        <f t="shared" si="6"/>
        <v>5.4607011540281762</v>
      </c>
      <c r="K43">
        <v>-2104</v>
      </c>
      <c r="L43">
        <v>15</v>
      </c>
    </row>
    <row r="44" spans="1:12" x14ac:dyDescent="0.25">
      <c r="B44" s="3">
        <v>2.5400791172184047</v>
      </c>
      <c r="C44" s="3">
        <v>8</v>
      </c>
      <c r="D44" s="3">
        <f t="shared" si="5"/>
        <v>20.320632937747238</v>
      </c>
      <c r="E44">
        <v>-106</v>
      </c>
      <c r="F44">
        <v>3.75</v>
      </c>
      <c r="H44" s="11">
        <v>0.98292620772507178</v>
      </c>
      <c r="I44" s="11">
        <v>2</v>
      </c>
      <c r="J44" s="11">
        <f t="shared" si="6"/>
        <v>1.9658524154501436</v>
      </c>
      <c r="K44">
        <v>-2104</v>
      </c>
      <c r="L44">
        <v>15</v>
      </c>
    </row>
    <row r="45" spans="1:12" x14ac:dyDescent="0.25">
      <c r="B45" s="3">
        <v>0.63501977930460118</v>
      </c>
      <c r="C45" s="3">
        <v>8</v>
      </c>
      <c r="D45" s="3">
        <f t="shared" si="5"/>
        <v>5.0801582344368095</v>
      </c>
      <c r="E45">
        <v>-106</v>
      </c>
      <c r="F45">
        <v>3.75</v>
      </c>
      <c r="H45" s="11">
        <v>1.1831519167061051</v>
      </c>
      <c r="I45" s="11">
        <v>2</v>
      </c>
      <c r="J45" s="11">
        <f t="shared" si="6"/>
        <v>2.3663038334122102</v>
      </c>
      <c r="K45">
        <v>-2104</v>
      </c>
      <c r="L45">
        <v>15</v>
      </c>
    </row>
    <row r="46" spans="1:12" x14ac:dyDescent="0.25">
      <c r="B46" s="3">
        <v>1.4782427649385801</v>
      </c>
      <c r="C46" s="3">
        <v>8</v>
      </c>
      <c r="D46" s="3">
        <f t="shared" si="5"/>
        <v>11.825942119508641</v>
      </c>
      <c r="E46">
        <v>-106</v>
      </c>
      <c r="F46">
        <v>3.75</v>
      </c>
      <c r="H46" s="11">
        <v>1.3287706141468563</v>
      </c>
      <c r="I46" s="11">
        <v>2</v>
      </c>
      <c r="J46" s="11">
        <f t="shared" si="6"/>
        <v>2.6575412282937125</v>
      </c>
      <c r="K46">
        <v>-2104</v>
      </c>
      <c r="L46">
        <v>15</v>
      </c>
    </row>
    <row r="47" spans="1:12" x14ac:dyDescent="0.25">
      <c r="B47" s="3">
        <v>1.6760358109514886</v>
      </c>
      <c r="C47" s="3">
        <v>8</v>
      </c>
      <c r="D47" s="3">
        <f t="shared" si="5"/>
        <v>13.408286487611909</v>
      </c>
      <c r="E47">
        <v>-106</v>
      </c>
      <c r="F47">
        <v>3.75</v>
      </c>
      <c r="H47" s="11">
        <v>2.9305762859951217</v>
      </c>
      <c r="I47" s="11">
        <v>2</v>
      </c>
      <c r="J47" s="11">
        <f t="shared" si="6"/>
        <v>5.8611525719902433</v>
      </c>
      <c r="K47">
        <v>-2104</v>
      </c>
      <c r="L47">
        <v>15</v>
      </c>
    </row>
    <row r="80" spans="8:8" ht="30" x14ac:dyDescent="0.25">
      <c r="H80" s="10" t="s">
        <v>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FInal table formatted</vt:lpstr>
      <vt:lpstr>Acceptable_Potential</vt:lpstr>
      <vt:lpstr>clean_version</vt:lpstr>
      <vt:lpstr>mg_to_mole</vt:lpstr>
      <vt:lpstr>Wetland study</vt:lpstr>
      <vt:lpstr>iron_sulfur_cycle</vt:lpstr>
      <vt:lpstr>Electron_Redox_Calculations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VANDERSANDEN Simon</dc:creator>
  <cp:lastModifiedBy>VANDERSANDEN Simon</cp:lastModifiedBy>
  <dcterms:created xsi:type="dcterms:W3CDTF">2015-06-05T18:17:20Z</dcterms:created>
  <dcterms:modified xsi:type="dcterms:W3CDTF">2026-05-26T14:57:26Z</dcterms:modified>
</cp:coreProperties>
</file>