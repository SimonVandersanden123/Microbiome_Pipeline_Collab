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6DD98426-CBA3-4602-A1A0-83F6814ADBAB}" xr6:coauthVersionLast="47" xr6:coauthVersionMax="47" xr10:uidLastSave="{00000000-0000-0000-0000-000000000000}"/>
  <bookViews>
    <workbookView xWindow="29580" yWindow="780" windowWidth="38700" windowHeight="15345" xr2:uid="{A6DD00EA-6B77-49B5-8AC2-AC6E6C608B26}"/>
  </bookViews>
  <sheets>
    <sheet name="Wetland_Utrecht_Data_Final_Or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V10" i="1" l="1"/>
  <c r="FG10" i="1" l="1"/>
  <c r="FG11" i="1"/>
  <c r="FG12" i="1"/>
  <c r="FG13" i="1"/>
  <c r="FG14" i="1"/>
  <c r="FG15" i="1"/>
  <c r="FG16" i="1"/>
  <c r="FG17" i="1"/>
  <c r="FG18" i="1"/>
  <c r="FG19" i="1"/>
  <c r="FG20" i="1"/>
  <c r="FG21" i="1"/>
  <c r="FG22" i="1"/>
  <c r="FG23" i="1"/>
  <c r="FG24" i="1"/>
  <c r="FG25" i="1"/>
  <c r="FG26" i="1"/>
  <c r="FG27" i="1"/>
  <c r="FG28" i="1"/>
  <c r="FG29" i="1"/>
  <c r="FG30" i="1"/>
  <c r="FG31" i="1"/>
  <c r="FG32" i="1"/>
  <c r="FG33" i="1"/>
  <c r="FG34" i="1"/>
  <c r="FG35" i="1"/>
  <c r="FG36" i="1"/>
  <c r="FG37" i="1"/>
  <c r="FG38" i="1"/>
  <c r="FG39" i="1"/>
  <c r="FG40" i="1"/>
  <c r="FG41" i="1"/>
  <c r="FG42" i="1"/>
  <c r="FG43" i="1"/>
  <c r="FG44" i="1"/>
  <c r="FG45" i="1"/>
  <c r="FG46" i="1"/>
  <c r="FG47" i="1"/>
  <c r="FG48" i="1"/>
  <c r="FG49" i="1"/>
  <c r="FG50" i="1"/>
  <c r="FG51" i="1"/>
  <c r="FG52" i="1"/>
  <c r="FG53" i="1"/>
  <c r="FG54" i="1"/>
  <c r="FG55" i="1"/>
  <c r="FG56" i="1"/>
  <c r="FG57" i="1"/>
  <c r="FG58" i="1"/>
  <c r="FG59" i="1"/>
  <c r="FG60" i="1"/>
  <c r="FG61" i="1"/>
  <c r="FG62" i="1"/>
  <c r="FG63" i="1"/>
  <c r="FG64" i="1"/>
  <c r="FG65" i="1"/>
  <c r="FG66" i="1"/>
  <c r="FG67" i="1"/>
  <c r="FG68" i="1"/>
  <c r="FG69" i="1"/>
  <c r="FG70" i="1"/>
  <c r="FG71" i="1"/>
  <c r="FG72" i="1"/>
  <c r="FG73" i="1"/>
  <c r="FG74" i="1"/>
  <c r="FG75" i="1"/>
  <c r="FG76" i="1"/>
  <c r="FG77" i="1"/>
  <c r="FG78" i="1"/>
  <c r="FG79" i="1"/>
  <c r="FG80" i="1"/>
  <c r="FG81" i="1"/>
  <c r="FG82" i="1"/>
  <c r="FG83" i="1"/>
  <c r="FG84" i="1"/>
  <c r="FG85" i="1"/>
  <c r="FG86" i="1"/>
  <c r="FG87" i="1"/>
  <c r="FG88" i="1"/>
  <c r="FG89" i="1"/>
  <c r="FG90" i="1"/>
  <c r="FG91" i="1"/>
  <c r="FG92" i="1"/>
  <c r="FG93" i="1"/>
  <c r="FG94" i="1"/>
  <c r="FG95" i="1"/>
  <c r="FG96" i="1"/>
  <c r="FG97" i="1"/>
  <c r="FG98" i="1"/>
  <c r="FG99" i="1"/>
  <c r="FG100" i="1"/>
  <c r="FG101" i="1"/>
  <c r="FG102" i="1"/>
  <c r="FG103" i="1"/>
  <c r="FG104" i="1"/>
  <c r="FG105" i="1"/>
  <c r="FG106" i="1"/>
  <c r="FG107" i="1"/>
  <c r="FG108" i="1"/>
  <c r="FG109" i="1"/>
  <c r="FG110" i="1"/>
  <c r="FG111" i="1"/>
  <c r="FG112" i="1"/>
  <c r="FG113" i="1"/>
  <c r="FG114" i="1"/>
  <c r="FG115" i="1"/>
  <c r="FG116" i="1"/>
  <c r="FG117" i="1"/>
  <c r="FG118" i="1"/>
  <c r="FG119" i="1"/>
  <c r="FG120" i="1"/>
  <c r="FG121" i="1"/>
  <c r="FG122" i="1"/>
  <c r="FG123" i="1"/>
  <c r="FG124" i="1"/>
  <c r="FG125" i="1"/>
  <c r="FG126" i="1"/>
  <c r="FG127" i="1"/>
  <c r="FG128" i="1"/>
  <c r="FG129" i="1"/>
  <c r="FG130" i="1"/>
  <c r="FG131" i="1"/>
  <c r="FG132" i="1"/>
  <c r="FG133" i="1"/>
  <c r="FG134" i="1"/>
  <c r="FG135" i="1"/>
  <c r="FG136" i="1"/>
  <c r="FG137" i="1"/>
  <c r="FG138" i="1"/>
  <c r="FG139" i="1"/>
  <c r="FG140" i="1"/>
  <c r="FG141" i="1"/>
  <c r="FG142" i="1"/>
  <c r="FG143" i="1"/>
  <c r="FG144" i="1"/>
  <c r="FG145" i="1"/>
  <c r="FG146" i="1"/>
  <c r="FG147" i="1"/>
  <c r="FG148" i="1"/>
  <c r="FG149" i="1"/>
  <c r="FG150" i="1"/>
  <c r="FG151" i="1"/>
  <c r="FG152" i="1"/>
  <c r="FG153" i="1"/>
  <c r="FG154" i="1"/>
  <c r="FG155" i="1"/>
  <c r="FG156" i="1"/>
  <c r="FG157" i="1"/>
  <c r="FG158" i="1"/>
  <c r="FG159" i="1"/>
  <c r="FG160" i="1"/>
  <c r="FG161" i="1"/>
  <c r="FG162" i="1"/>
  <c r="FG163" i="1"/>
  <c r="FG164" i="1"/>
  <c r="FG165" i="1"/>
  <c r="FG166" i="1"/>
  <c r="FG167" i="1"/>
  <c r="FG168" i="1"/>
  <c r="FG169" i="1"/>
  <c r="FG170" i="1"/>
  <c r="FG171" i="1"/>
  <c r="FG172" i="1"/>
  <c r="FG173" i="1"/>
  <c r="FG174" i="1"/>
  <c r="FG175" i="1"/>
  <c r="FG176" i="1"/>
  <c r="FG177" i="1"/>
  <c r="FG178" i="1"/>
  <c r="FG179" i="1"/>
  <c r="FG180" i="1"/>
  <c r="FG181" i="1"/>
  <c r="FG182" i="1"/>
  <c r="FG183" i="1"/>
  <c r="FG184" i="1"/>
  <c r="FG185" i="1"/>
  <c r="FG186" i="1"/>
  <c r="FG187" i="1"/>
  <c r="FG188" i="1"/>
  <c r="FG189" i="1"/>
  <c r="FG190" i="1"/>
  <c r="FG191" i="1"/>
  <c r="FG192" i="1"/>
  <c r="FG193" i="1"/>
  <c r="FG194" i="1"/>
  <c r="FG195" i="1"/>
  <c r="FG196" i="1"/>
  <c r="FG197" i="1"/>
  <c r="FG198" i="1"/>
  <c r="FG199" i="1"/>
  <c r="FG200" i="1"/>
  <c r="FG201" i="1"/>
  <c r="FG202" i="1"/>
  <c r="FG203" i="1"/>
  <c r="FG204" i="1"/>
  <c r="FG205" i="1"/>
  <c r="FG206" i="1"/>
  <c r="FG207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F58" i="1"/>
  <c r="FF59" i="1"/>
  <c r="FF60" i="1"/>
  <c r="FF61" i="1"/>
  <c r="FF62" i="1"/>
  <c r="FF63" i="1"/>
  <c r="FF64" i="1"/>
  <c r="FF65" i="1"/>
  <c r="FF66" i="1"/>
  <c r="FF67" i="1"/>
  <c r="FF68" i="1"/>
  <c r="FF69" i="1"/>
  <c r="FF70" i="1"/>
  <c r="FF71" i="1"/>
  <c r="FF72" i="1"/>
  <c r="FF73" i="1"/>
  <c r="FF74" i="1"/>
  <c r="FF75" i="1"/>
  <c r="FF76" i="1"/>
  <c r="FF77" i="1"/>
  <c r="FF78" i="1"/>
  <c r="FF79" i="1"/>
  <c r="FF80" i="1"/>
  <c r="FF81" i="1"/>
  <c r="FF82" i="1"/>
  <c r="FF83" i="1"/>
  <c r="FF84" i="1"/>
  <c r="FF85" i="1"/>
  <c r="FF86" i="1"/>
  <c r="FF87" i="1"/>
  <c r="FF88" i="1"/>
  <c r="FF89" i="1"/>
  <c r="FF90" i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F107" i="1"/>
  <c r="FF108" i="1"/>
  <c r="FF109" i="1"/>
  <c r="FF110" i="1"/>
  <c r="FF111" i="1"/>
  <c r="FF112" i="1"/>
  <c r="FF113" i="1"/>
  <c r="FF114" i="1"/>
  <c r="FF115" i="1"/>
  <c r="FF116" i="1"/>
  <c r="FF117" i="1"/>
  <c r="FF118" i="1"/>
  <c r="FF119" i="1"/>
  <c r="FF120" i="1"/>
  <c r="FF121" i="1"/>
  <c r="FF122" i="1"/>
  <c r="FF123" i="1"/>
  <c r="FF124" i="1"/>
  <c r="FF125" i="1"/>
  <c r="FF126" i="1"/>
  <c r="FF127" i="1"/>
  <c r="FF128" i="1"/>
  <c r="FF129" i="1"/>
  <c r="FF130" i="1"/>
  <c r="FF131" i="1"/>
  <c r="FF132" i="1"/>
  <c r="FF133" i="1"/>
  <c r="FF134" i="1"/>
  <c r="FF135" i="1"/>
  <c r="FF136" i="1"/>
  <c r="FF137" i="1"/>
  <c r="FF138" i="1"/>
  <c r="FF139" i="1"/>
  <c r="FF140" i="1"/>
  <c r="FF141" i="1"/>
  <c r="FF142" i="1"/>
  <c r="FF143" i="1"/>
  <c r="FF144" i="1"/>
  <c r="FF145" i="1"/>
  <c r="FF146" i="1"/>
  <c r="FF147" i="1"/>
  <c r="FF148" i="1"/>
  <c r="FF149" i="1"/>
  <c r="FF150" i="1"/>
  <c r="FF151" i="1"/>
  <c r="FF152" i="1"/>
  <c r="FF153" i="1"/>
  <c r="FF154" i="1"/>
  <c r="FF155" i="1"/>
  <c r="FF156" i="1"/>
  <c r="FF157" i="1"/>
  <c r="FF158" i="1"/>
  <c r="FF159" i="1"/>
  <c r="FF160" i="1"/>
  <c r="FF161" i="1"/>
  <c r="FF162" i="1"/>
  <c r="FF163" i="1"/>
  <c r="FF164" i="1"/>
  <c r="FF165" i="1"/>
  <c r="FF166" i="1"/>
  <c r="FF167" i="1"/>
  <c r="FF168" i="1"/>
  <c r="FF169" i="1"/>
  <c r="FF170" i="1"/>
  <c r="FF171" i="1"/>
  <c r="FF172" i="1"/>
  <c r="FF173" i="1"/>
  <c r="FF174" i="1"/>
  <c r="FF175" i="1"/>
  <c r="FF176" i="1"/>
  <c r="FF177" i="1"/>
  <c r="FF178" i="1"/>
  <c r="FF179" i="1"/>
  <c r="FF180" i="1"/>
  <c r="FF181" i="1"/>
  <c r="FF182" i="1"/>
  <c r="FF183" i="1"/>
  <c r="FF184" i="1"/>
  <c r="FF185" i="1"/>
  <c r="FF186" i="1"/>
  <c r="FF187" i="1"/>
  <c r="FF188" i="1"/>
  <c r="FF189" i="1"/>
  <c r="FF190" i="1"/>
  <c r="FF191" i="1"/>
  <c r="FF192" i="1"/>
  <c r="FF193" i="1"/>
  <c r="FF194" i="1"/>
  <c r="FF195" i="1"/>
  <c r="FF196" i="1"/>
  <c r="FF197" i="1"/>
  <c r="FF198" i="1"/>
  <c r="FF199" i="1"/>
  <c r="FF200" i="1"/>
  <c r="FF201" i="1"/>
  <c r="FF202" i="1"/>
  <c r="FF203" i="1"/>
  <c r="FF204" i="1"/>
  <c r="FF205" i="1"/>
  <c r="FF206" i="1"/>
  <c r="FF207" i="1"/>
  <c r="FF10" i="1"/>
  <c r="FE10" i="1"/>
  <c r="FD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156" i="1"/>
  <c r="FE157" i="1"/>
  <c r="FE158" i="1"/>
  <c r="FE159" i="1"/>
  <c r="FE160" i="1"/>
  <c r="FE161" i="1"/>
  <c r="FE162" i="1"/>
  <c r="FE163" i="1"/>
  <c r="FE164" i="1"/>
  <c r="FE165" i="1"/>
  <c r="FE166" i="1"/>
  <c r="FE167" i="1"/>
  <c r="FE168" i="1"/>
  <c r="FE169" i="1"/>
  <c r="FE170" i="1"/>
  <c r="FE171" i="1"/>
  <c r="FE172" i="1"/>
  <c r="FE173" i="1"/>
  <c r="FE174" i="1"/>
  <c r="FE175" i="1"/>
  <c r="FE176" i="1"/>
  <c r="FE177" i="1"/>
  <c r="FE178" i="1"/>
  <c r="FE179" i="1"/>
  <c r="FE180" i="1"/>
  <c r="FE181" i="1"/>
  <c r="FE182" i="1"/>
  <c r="FE183" i="1"/>
  <c r="FE184" i="1"/>
  <c r="FE185" i="1"/>
  <c r="FE186" i="1"/>
  <c r="FE187" i="1"/>
  <c r="FE188" i="1"/>
  <c r="FE189" i="1"/>
  <c r="FE190" i="1"/>
  <c r="FE191" i="1"/>
  <c r="FE192" i="1"/>
  <c r="FE193" i="1"/>
  <c r="FE194" i="1"/>
  <c r="FE195" i="1"/>
  <c r="FE196" i="1"/>
  <c r="FE197" i="1"/>
  <c r="FE198" i="1"/>
  <c r="FE199" i="1"/>
  <c r="FE200" i="1"/>
  <c r="FE201" i="1"/>
  <c r="FE202" i="1"/>
  <c r="FE203" i="1"/>
  <c r="FE204" i="1"/>
  <c r="FE205" i="1"/>
  <c r="FE206" i="1"/>
  <c r="FE207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10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10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10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11" i="1"/>
  <c r="BY12" i="1"/>
  <c r="BY13" i="1"/>
  <c r="BY14" i="1"/>
  <c r="BY15" i="1"/>
  <c r="BY16" i="1"/>
  <c r="BY17" i="1"/>
  <c r="BY18" i="1"/>
  <c r="BY19" i="1"/>
  <c r="BY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10" i="1"/>
  <c r="AP10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10" i="1"/>
  <c r="DN29" i="1"/>
  <c r="DO29" i="1" s="1"/>
  <c r="DP29" i="1" s="1"/>
  <c r="DN41" i="1"/>
  <c r="DO41" i="1" s="1"/>
  <c r="DP41" i="1" s="1"/>
  <c r="DN47" i="1"/>
  <c r="DO47" i="1" s="1"/>
  <c r="DP47" i="1" s="1"/>
  <c r="DN50" i="1"/>
  <c r="DO50" i="1" s="1"/>
  <c r="DP50" i="1" s="1"/>
  <c r="DN51" i="1"/>
  <c r="DO51" i="1" s="1"/>
  <c r="DP51" i="1" s="1"/>
  <c r="DN56" i="1"/>
  <c r="DO56" i="1" s="1"/>
  <c r="DP56" i="1" s="1"/>
  <c r="DN63" i="1"/>
  <c r="DO63" i="1" s="1"/>
  <c r="DP63" i="1" s="1"/>
  <c r="DN69" i="1"/>
  <c r="DO69" i="1" s="1"/>
  <c r="DP69" i="1" s="1"/>
  <c r="DN72" i="1"/>
  <c r="DO72" i="1" s="1"/>
  <c r="DP72" i="1" s="1"/>
  <c r="DN73" i="1"/>
  <c r="DO73" i="1" s="1"/>
  <c r="DP73" i="1" s="1"/>
  <c r="DN78" i="1"/>
  <c r="DO78" i="1" s="1"/>
  <c r="DP78" i="1" s="1"/>
  <c r="DN79" i="1"/>
  <c r="DO79" i="1" s="1"/>
  <c r="DP79" i="1" s="1"/>
  <c r="DN85" i="1"/>
  <c r="DO85" i="1" s="1"/>
  <c r="DP85" i="1" s="1"/>
  <c r="DN90" i="1"/>
  <c r="DO90" i="1" s="1"/>
  <c r="DP90" i="1" s="1"/>
  <c r="DN91" i="1"/>
  <c r="DO91" i="1" s="1"/>
  <c r="DP91" i="1" s="1"/>
  <c r="DN94" i="1"/>
  <c r="DO94" i="1" s="1"/>
  <c r="DP94" i="1" s="1"/>
  <c r="DN100" i="1"/>
  <c r="DO100" i="1" s="1"/>
  <c r="DP100" i="1" s="1"/>
  <c r="DN106" i="1"/>
  <c r="DO106" i="1" s="1"/>
  <c r="DP106" i="1" s="1"/>
  <c r="DN107" i="1"/>
  <c r="DO107" i="1" s="1"/>
  <c r="DP107" i="1" s="1"/>
  <c r="DN116" i="1"/>
  <c r="DO116" i="1" s="1"/>
  <c r="DP116" i="1" s="1"/>
  <c r="DN117" i="1"/>
  <c r="DO117" i="1" s="1"/>
  <c r="DP117" i="1" s="1"/>
  <c r="DN129" i="1"/>
  <c r="DO129" i="1" s="1"/>
  <c r="DP129" i="1" s="1"/>
  <c r="DN138" i="1"/>
  <c r="DO138" i="1" s="1"/>
  <c r="DP138" i="1" s="1"/>
  <c r="DN139" i="1"/>
  <c r="DO139" i="1" s="1"/>
  <c r="DP139" i="1" s="1"/>
  <c r="DN144" i="1"/>
  <c r="DO144" i="1" s="1"/>
  <c r="DP144" i="1" s="1"/>
  <c r="DN145" i="1"/>
  <c r="DO145" i="1" s="1"/>
  <c r="DP145" i="1" s="1"/>
  <c r="DN151" i="1"/>
  <c r="DO151" i="1" s="1"/>
  <c r="DP151" i="1" s="1"/>
  <c r="DN160" i="1"/>
  <c r="DO160" i="1" s="1"/>
  <c r="DP160" i="1" s="1"/>
  <c r="DN162" i="1"/>
  <c r="DO162" i="1" s="1"/>
  <c r="DP162" i="1" s="1"/>
  <c r="DN168" i="1"/>
  <c r="DO168" i="1" s="1"/>
  <c r="DP168" i="1" s="1"/>
  <c r="DN171" i="1"/>
  <c r="DO171" i="1" s="1"/>
  <c r="DP171" i="1" s="1"/>
  <c r="DN173" i="1"/>
  <c r="DO173" i="1" s="1"/>
  <c r="DP173" i="1" s="1"/>
  <c r="DN174" i="1"/>
  <c r="DO174" i="1" s="1"/>
  <c r="DP174" i="1" s="1"/>
  <c r="DN182" i="1"/>
  <c r="DO182" i="1" s="1"/>
  <c r="DP182" i="1" s="1"/>
  <c r="DN185" i="1"/>
  <c r="DO185" i="1" s="1"/>
  <c r="DP185" i="1" s="1"/>
  <c r="DN188" i="1"/>
  <c r="DO188" i="1" s="1"/>
  <c r="DP188" i="1" s="1"/>
  <c r="DN199" i="1"/>
  <c r="DO199" i="1" s="1"/>
  <c r="DP199" i="1" s="1"/>
  <c r="DN204" i="1"/>
  <c r="DO204" i="1" s="1"/>
  <c r="DP204" i="1" s="1"/>
  <c r="DN205" i="1"/>
  <c r="DO205" i="1" s="1"/>
  <c r="DP205" i="1" s="1"/>
  <c r="DN19" i="1"/>
  <c r="DO19" i="1" s="1"/>
  <c r="DP19" i="1" s="1"/>
  <c r="DN22" i="1"/>
  <c r="DO22" i="1" s="1"/>
  <c r="DP22" i="1" s="1"/>
  <c r="DN25" i="1"/>
  <c r="DO25" i="1" s="1"/>
  <c r="DP25" i="1" s="1"/>
  <c r="DN28" i="1"/>
  <c r="DO28" i="1" s="1"/>
  <c r="DP28" i="1" s="1"/>
  <c r="EL10" i="1"/>
  <c r="EG81" i="1"/>
  <c r="EH81" i="1" s="1"/>
  <c r="EG15" i="1"/>
  <c r="EH15" i="1" s="1"/>
  <c r="EG11" i="1"/>
  <c r="DL11" i="1" s="1"/>
  <c r="EG170" i="1"/>
  <c r="EJ170" i="1" s="1"/>
  <c r="EG207" i="1"/>
  <c r="EH207" i="1" s="1"/>
  <c r="EG206" i="1"/>
  <c r="EJ206" i="1" s="1"/>
  <c r="EG205" i="1"/>
  <c r="EG204" i="1"/>
  <c r="EG203" i="1"/>
  <c r="EI203" i="1" s="1"/>
  <c r="EG202" i="1"/>
  <c r="EI202" i="1" s="1"/>
  <c r="EG201" i="1"/>
  <c r="EJ201" i="1" s="1"/>
  <c r="EG200" i="1"/>
  <c r="EG199" i="1"/>
  <c r="EI199" i="1" s="1"/>
  <c r="EG198" i="1"/>
  <c r="EG197" i="1"/>
  <c r="EG196" i="1"/>
  <c r="EG195" i="1"/>
  <c r="EI195" i="1" s="1"/>
  <c r="EG194" i="1"/>
  <c r="EG193" i="1"/>
  <c r="EJ193" i="1" s="1"/>
  <c r="EG192" i="1"/>
  <c r="EG191" i="1"/>
  <c r="EH191" i="1" s="1"/>
  <c r="EG190" i="1"/>
  <c r="EG189" i="1"/>
  <c r="EG188" i="1"/>
  <c r="EG187" i="1"/>
  <c r="EH187" i="1" s="1"/>
  <c r="EG186" i="1"/>
  <c r="EH186" i="1" s="1"/>
  <c r="EG185" i="1"/>
  <c r="EI185" i="1" s="1"/>
  <c r="EG184" i="1"/>
  <c r="EG183" i="1"/>
  <c r="EG182" i="1"/>
  <c r="EH182" i="1" s="1"/>
  <c r="EG181" i="1"/>
  <c r="EG180" i="1"/>
  <c r="EG179" i="1"/>
  <c r="EI179" i="1" s="1"/>
  <c r="EG178" i="1"/>
  <c r="EI178" i="1" s="1"/>
  <c r="EG177" i="1"/>
  <c r="EJ177" i="1" s="1"/>
  <c r="EG176" i="1"/>
  <c r="EI176" i="1" s="1"/>
  <c r="EG175" i="1"/>
  <c r="EJ175" i="1" s="1"/>
  <c r="EG174" i="1"/>
  <c r="EH174" i="1" s="1"/>
  <c r="EG173" i="1"/>
  <c r="EG172" i="1"/>
  <c r="EG171" i="1"/>
  <c r="EH171" i="1" s="1"/>
  <c r="EG169" i="1"/>
  <c r="EH169" i="1" s="1"/>
  <c r="EG168" i="1"/>
  <c r="DL168" i="1" s="1"/>
  <c r="EG167" i="1"/>
  <c r="EJ167" i="1" s="1"/>
  <c r="EG166" i="1"/>
  <c r="EI166" i="1" s="1"/>
  <c r="EG165" i="1"/>
  <c r="EG164" i="1"/>
  <c r="EG163" i="1"/>
  <c r="EI163" i="1" s="1"/>
  <c r="EG162" i="1"/>
  <c r="EH162" i="1" s="1"/>
  <c r="EG161" i="1"/>
  <c r="EI161" i="1" s="1"/>
  <c r="EG160" i="1"/>
  <c r="EG159" i="1"/>
  <c r="EG158" i="1"/>
  <c r="EG157" i="1"/>
  <c r="EG156" i="1"/>
  <c r="EG155" i="1"/>
  <c r="EG154" i="1"/>
  <c r="EH154" i="1" s="1"/>
  <c r="EG153" i="1"/>
  <c r="DM153" i="1" s="1"/>
  <c r="DN153" i="1" s="1"/>
  <c r="DO153" i="1" s="1"/>
  <c r="DP153" i="1" s="1"/>
  <c r="EG152" i="1"/>
  <c r="EG151" i="1"/>
  <c r="EI151" i="1" s="1"/>
  <c r="EG150" i="1"/>
  <c r="EJ150" i="1" s="1"/>
  <c r="EG149" i="1"/>
  <c r="EI149" i="1" s="1"/>
  <c r="EG148" i="1"/>
  <c r="EG147" i="1"/>
  <c r="EI147" i="1" s="1"/>
  <c r="EG146" i="1"/>
  <c r="EH146" i="1" s="1"/>
  <c r="EG145" i="1"/>
  <c r="EH145" i="1" s="1"/>
  <c r="EG144" i="1"/>
  <c r="EG143" i="1"/>
  <c r="EI143" i="1" s="1"/>
  <c r="EG142" i="1"/>
  <c r="EI142" i="1" s="1"/>
  <c r="EG112" i="1"/>
  <c r="EG111" i="1"/>
  <c r="EG110" i="1"/>
  <c r="EH110" i="1" s="1"/>
  <c r="EG109" i="1"/>
  <c r="DL109" i="1" s="1"/>
  <c r="EG108" i="1"/>
  <c r="EG107" i="1"/>
  <c r="EI107" i="1" s="1"/>
  <c r="EG106" i="1"/>
  <c r="EI106" i="1" s="1"/>
  <c r="EG105" i="1"/>
  <c r="EH105" i="1" s="1"/>
  <c r="EG104" i="1"/>
  <c r="EJ104" i="1" s="1"/>
  <c r="EG103" i="1"/>
  <c r="EI103" i="1" s="1"/>
  <c r="EG102" i="1"/>
  <c r="EI102" i="1" s="1"/>
  <c r="EG101" i="1"/>
  <c r="DL101" i="1" s="1"/>
  <c r="EG100" i="1"/>
  <c r="EG99" i="1"/>
  <c r="EJ99" i="1" s="1"/>
  <c r="EG141" i="1"/>
  <c r="EG140" i="1"/>
  <c r="EG139" i="1"/>
  <c r="EI139" i="1" s="1"/>
  <c r="EG138" i="1"/>
  <c r="EG137" i="1"/>
  <c r="DM137" i="1" s="1"/>
  <c r="DN137" i="1" s="1"/>
  <c r="DO137" i="1" s="1"/>
  <c r="DP137" i="1" s="1"/>
  <c r="EG136" i="1"/>
  <c r="DL136" i="1" s="1"/>
  <c r="EG135" i="1"/>
  <c r="EI135" i="1" s="1"/>
  <c r="EG134" i="1"/>
  <c r="EJ134" i="1" s="1"/>
  <c r="EG133" i="1"/>
  <c r="EG132" i="1"/>
  <c r="EG131" i="1"/>
  <c r="EJ131" i="1" s="1"/>
  <c r="EG130" i="1"/>
  <c r="EG129" i="1"/>
  <c r="EH129" i="1" s="1"/>
  <c r="EG128" i="1"/>
  <c r="EG127" i="1"/>
  <c r="EI127" i="1" s="1"/>
  <c r="EG126" i="1"/>
  <c r="EG125" i="1"/>
  <c r="EI125" i="1" s="1"/>
  <c r="EG124" i="1"/>
  <c r="EJ124" i="1" s="1"/>
  <c r="EG123" i="1"/>
  <c r="EJ123" i="1" s="1"/>
  <c r="EG122" i="1"/>
  <c r="EG121" i="1"/>
  <c r="EI121" i="1" s="1"/>
  <c r="EG120" i="1"/>
  <c r="DL120" i="1" s="1"/>
  <c r="EG119" i="1"/>
  <c r="EG118" i="1"/>
  <c r="EJ118" i="1" s="1"/>
  <c r="EG117" i="1"/>
  <c r="EG116" i="1"/>
  <c r="EG115" i="1"/>
  <c r="EJ115" i="1" s="1"/>
  <c r="EG114" i="1"/>
  <c r="EG113" i="1"/>
  <c r="EI113" i="1" s="1"/>
  <c r="EG98" i="1"/>
  <c r="EI98" i="1" s="1"/>
  <c r="EG95" i="1"/>
  <c r="EH95" i="1" s="1"/>
  <c r="EG94" i="1"/>
  <c r="EH94" i="1" s="1"/>
  <c r="EG89" i="1"/>
  <c r="EJ89" i="1" s="1"/>
  <c r="EG88" i="1"/>
  <c r="EI88" i="1" s="1"/>
  <c r="EG87" i="1"/>
  <c r="EJ87" i="1" s="1"/>
  <c r="EG86" i="1"/>
  <c r="EG85" i="1"/>
  <c r="DL85" i="1" s="1"/>
  <c r="EG84" i="1"/>
  <c r="EG83" i="1"/>
  <c r="EH83" i="1" s="1"/>
  <c r="EG82" i="1"/>
  <c r="EJ82" i="1" s="1"/>
  <c r="EG80" i="1"/>
  <c r="EJ80" i="1" s="1"/>
  <c r="EG79" i="1"/>
  <c r="EH79" i="1" s="1"/>
  <c r="EG78" i="1"/>
  <c r="EH78" i="1" s="1"/>
  <c r="EG77" i="1"/>
  <c r="EG76" i="1"/>
  <c r="EG97" i="1"/>
  <c r="EI97" i="1" s="1"/>
  <c r="EG96" i="1"/>
  <c r="EG93" i="1"/>
  <c r="EG92" i="1"/>
  <c r="EI92" i="1" s="1"/>
  <c r="EG91" i="1"/>
  <c r="EI91" i="1" s="1"/>
  <c r="EG90" i="1"/>
  <c r="EI90" i="1" s="1"/>
  <c r="EG75" i="1"/>
  <c r="EG74" i="1"/>
  <c r="EI74" i="1" s="1"/>
  <c r="EG73" i="1"/>
  <c r="EH73" i="1" s="1"/>
  <c r="EG72" i="1"/>
  <c r="DL72" i="1" s="1"/>
  <c r="EG71" i="1"/>
  <c r="EJ71" i="1" s="1"/>
  <c r="EG70" i="1"/>
  <c r="EG69" i="1"/>
  <c r="EG68" i="1"/>
  <c r="EI68" i="1" s="1"/>
  <c r="EG67" i="1"/>
  <c r="EG66" i="1"/>
  <c r="EJ66" i="1" s="1"/>
  <c r="EG65" i="1"/>
  <c r="EI65" i="1" s="1"/>
  <c r="EG64" i="1"/>
  <c r="EG63" i="1"/>
  <c r="EI63" i="1" s="1"/>
  <c r="EG62" i="1"/>
  <c r="EJ62" i="1" s="1"/>
  <c r="EG61" i="1"/>
  <c r="DL61" i="1" s="1"/>
  <c r="EG60" i="1"/>
  <c r="EG59" i="1"/>
  <c r="EG58" i="1"/>
  <c r="EH58" i="1" s="1"/>
  <c r="EG57" i="1"/>
  <c r="EH57" i="1" s="1"/>
  <c r="EG56" i="1"/>
  <c r="DL56" i="1" s="1"/>
  <c r="EG55" i="1"/>
  <c r="EJ55" i="1" s="1"/>
  <c r="EG54" i="1"/>
  <c r="EJ54" i="1" s="1"/>
  <c r="EG53" i="1"/>
  <c r="EG52" i="1"/>
  <c r="EI52" i="1" s="1"/>
  <c r="EG51" i="1"/>
  <c r="EH51" i="1" s="1"/>
  <c r="EG50" i="1"/>
  <c r="EH50" i="1" s="1"/>
  <c r="EG49" i="1"/>
  <c r="EI49" i="1" s="1"/>
  <c r="EG48" i="1"/>
  <c r="DL48" i="1" s="1"/>
  <c r="EG47" i="1"/>
  <c r="EI47" i="1" s="1"/>
  <c r="EG46" i="1"/>
  <c r="EJ46" i="1" s="1"/>
  <c r="EG45" i="1"/>
  <c r="EG44" i="1"/>
  <c r="EG43" i="1"/>
  <c r="EG42" i="1"/>
  <c r="EH42" i="1" s="1"/>
  <c r="EG41" i="1"/>
  <c r="EI41" i="1" s="1"/>
  <c r="EG40" i="1"/>
  <c r="EJ40" i="1" s="1"/>
  <c r="EG39" i="1"/>
  <c r="EJ39" i="1" s="1"/>
  <c r="EG38" i="1"/>
  <c r="EI38" i="1" s="1"/>
  <c r="EG37" i="1"/>
  <c r="EG36" i="1"/>
  <c r="EI36" i="1" s="1"/>
  <c r="EG35" i="1"/>
  <c r="EG34" i="1"/>
  <c r="EI34" i="1" s="1"/>
  <c r="EG33" i="1"/>
  <c r="EH33" i="1" s="1"/>
  <c r="EG32" i="1"/>
  <c r="DL32" i="1" s="1"/>
  <c r="EG10" i="1"/>
  <c r="EJ10" i="1" s="1"/>
  <c r="EG13" i="1"/>
  <c r="EJ13" i="1" s="1"/>
  <c r="EG12" i="1"/>
  <c r="EG31" i="1"/>
  <c r="EJ31" i="1" s="1"/>
  <c r="EG30" i="1"/>
  <c r="EG29" i="1"/>
  <c r="DL29" i="1" s="1"/>
  <c r="EG28" i="1"/>
  <c r="EG27" i="1"/>
  <c r="EJ27" i="1" s="1"/>
  <c r="EG26" i="1"/>
  <c r="EJ26" i="1" s="1"/>
  <c r="EG25" i="1"/>
  <c r="EI25" i="1" s="1"/>
  <c r="EG19" i="1"/>
  <c r="EH19" i="1" s="1"/>
  <c r="EG24" i="1"/>
  <c r="EG18" i="1"/>
  <c r="EG16" i="1"/>
  <c r="EJ16" i="1" s="1"/>
  <c r="EG23" i="1"/>
  <c r="EG22" i="1"/>
  <c r="EI22" i="1" s="1"/>
  <c r="EG21" i="1"/>
  <c r="DL21" i="1" s="1"/>
  <c r="EG20" i="1"/>
  <c r="EG14" i="1"/>
  <c r="EG17" i="1"/>
  <c r="DI10" i="1"/>
  <c r="DI28" i="1"/>
  <c r="DJ28" i="1" s="1"/>
  <c r="DK28" i="1" s="1"/>
  <c r="DI168" i="1"/>
  <c r="DJ168" i="1" s="1"/>
  <c r="DI171" i="1"/>
  <c r="DJ171" i="1" s="1"/>
  <c r="DK171" i="1" s="1"/>
  <c r="DI173" i="1"/>
  <c r="DJ173" i="1" s="1"/>
  <c r="DK173" i="1" s="1"/>
  <c r="DI174" i="1"/>
  <c r="DJ174" i="1" s="1"/>
  <c r="DK174" i="1" s="1"/>
  <c r="DI182" i="1"/>
  <c r="DJ182" i="1" s="1"/>
  <c r="DK182" i="1" s="1"/>
  <c r="DI185" i="1"/>
  <c r="DJ185" i="1" s="1"/>
  <c r="DK185" i="1" s="1"/>
  <c r="ED187" i="1"/>
  <c r="EE187" i="1" s="1"/>
  <c r="ED188" i="1"/>
  <c r="EE188" i="1" s="1"/>
  <c r="ED189" i="1"/>
  <c r="EE189" i="1" s="1"/>
  <c r="ED190" i="1"/>
  <c r="EE190" i="1" s="1"/>
  <c r="ED191" i="1"/>
  <c r="EE191" i="1" s="1"/>
  <c r="ED192" i="1"/>
  <c r="EE192" i="1" s="1"/>
  <c r="ED193" i="1"/>
  <c r="EE193" i="1" s="1"/>
  <c r="ED194" i="1"/>
  <c r="EE194" i="1" s="1"/>
  <c r="ED195" i="1"/>
  <c r="EE195" i="1" s="1"/>
  <c r="ED196" i="1"/>
  <c r="EE196" i="1" s="1"/>
  <c r="ED197" i="1"/>
  <c r="EE197" i="1" s="1"/>
  <c r="ED198" i="1"/>
  <c r="EE198" i="1" s="1"/>
  <c r="ED199" i="1"/>
  <c r="EE199" i="1" s="1"/>
  <c r="ED200" i="1"/>
  <c r="EE200" i="1" s="1"/>
  <c r="ED201" i="1"/>
  <c r="EE201" i="1" s="1"/>
  <c r="ED202" i="1"/>
  <c r="EE202" i="1" s="1"/>
  <c r="ED203" i="1"/>
  <c r="EE203" i="1" s="1"/>
  <c r="ED204" i="1"/>
  <c r="EE204" i="1" s="1"/>
  <c r="ED205" i="1"/>
  <c r="EE205" i="1" s="1"/>
  <c r="ED206" i="1"/>
  <c r="EE206" i="1" s="1"/>
  <c r="ED207" i="1"/>
  <c r="EE207" i="1" s="1"/>
  <c r="ED186" i="1"/>
  <c r="EE186" i="1" s="1"/>
  <c r="ED165" i="1"/>
  <c r="EE165" i="1" s="1"/>
  <c r="ED166" i="1"/>
  <c r="EE166" i="1" s="1"/>
  <c r="ED167" i="1"/>
  <c r="EE167" i="1" s="1"/>
  <c r="ED168" i="1"/>
  <c r="EE168" i="1" s="1"/>
  <c r="ED169" i="1"/>
  <c r="EE169" i="1" s="1"/>
  <c r="ED170" i="1"/>
  <c r="EE170" i="1" s="1"/>
  <c r="ED171" i="1"/>
  <c r="EE171" i="1" s="1"/>
  <c r="ED172" i="1"/>
  <c r="EE172" i="1" s="1"/>
  <c r="ED173" i="1"/>
  <c r="EE173" i="1" s="1"/>
  <c r="ED174" i="1"/>
  <c r="EE174" i="1" s="1"/>
  <c r="ED175" i="1"/>
  <c r="EE175" i="1" s="1"/>
  <c r="ED176" i="1"/>
  <c r="EE176" i="1" s="1"/>
  <c r="ED177" i="1"/>
  <c r="EE177" i="1" s="1"/>
  <c r="ED178" i="1"/>
  <c r="EE178" i="1" s="1"/>
  <c r="ED179" i="1"/>
  <c r="EE179" i="1" s="1"/>
  <c r="ED180" i="1"/>
  <c r="EE180" i="1" s="1"/>
  <c r="ED181" i="1"/>
  <c r="EE181" i="1" s="1"/>
  <c r="ED182" i="1"/>
  <c r="EE182" i="1" s="1"/>
  <c r="ED183" i="1"/>
  <c r="EE183" i="1" s="1"/>
  <c r="ED184" i="1"/>
  <c r="EE184" i="1" s="1"/>
  <c r="ED185" i="1"/>
  <c r="EE185" i="1" s="1"/>
  <c r="ED164" i="1"/>
  <c r="EE164" i="1" s="1"/>
  <c r="ED143" i="1"/>
  <c r="EE143" i="1" s="1"/>
  <c r="ED144" i="1"/>
  <c r="EE144" i="1" s="1"/>
  <c r="ED145" i="1"/>
  <c r="EE145" i="1" s="1"/>
  <c r="ED146" i="1"/>
  <c r="EE146" i="1" s="1"/>
  <c r="ED147" i="1"/>
  <c r="EE147" i="1" s="1"/>
  <c r="ED148" i="1"/>
  <c r="EE148" i="1" s="1"/>
  <c r="ED149" i="1"/>
  <c r="EE149" i="1" s="1"/>
  <c r="ED150" i="1"/>
  <c r="EE150" i="1" s="1"/>
  <c r="ED151" i="1"/>
  <c r="EE151" i="1" s="1"/>
  <c r="ED152" i="1"/>
  <c r="EE152" i="1" s="1"/>
  <c r="ED153" i="1"/>
  <c r="EE153" i="1" s="1"/>
  <c r="ED154" i="1"/>
  <c r="EE154" i="1" s="1"/>
  <c r="ED155" i="1"/>
  <c r="EE155" i="1" s="1"/>
  <c r="ED156" i="1"/>
  <c r="EE156" i="1" s="1"/>
  <c r="ED157" i="1"/>
  <c r="EE157" i="1" s="1"/>
  <c r="ED158" i="1"/>
  <c r="EE158" i="1" s="1"/>
  <c r="ED159" i="1"/>
  <c r="EE159" i="1" s="1"/>
  <c r="ED160" i="1"/>
  <c r="EE160" i="1" s="1"/>
  <c r="ED161" i="1"/>
  <c r="EE161" i="1" s="1"/>
  <c r="ED162" i="1"/>
  <c r="EE162" i="1" s="1"/>
  <c r="ED163" i="1"/>
  <c r="EE163" i="1" s="1"/>
  <c r="ED142" i="1"/>
  <c r="EE142" i="1" s="1"/>
  <c r="ED121" i="1"/>
  <c r="EE121" i="1" s="1"/>
  <c r="ED122" i="1"/>
  <c r="EE122" i="1" s="1"/>
  <c r="ED123" i="1"/>
  <c r="EE123" i="1" s="1"/>
  <c r="ED124" i="1"/>
  <c r="EE124" i="1" s="1"/>
  <c r="ED125" i="1"/>
  <c r="EE125" i="1" s="1"/>
  <c r="ED126" i="1"/>
  <c r="EE126" i="1" s="1"/>
  <c r="ED127" i="1"/>
  <c r="EE127" i="1" s="1"/>
  <c r="ED128" i="1"/>
  <c r="EE128" i="1" s="1"/>
  <c r="ED129" i="1"/>
  <c r="EE129" i="1" s="1"/>
  <c r="ED130" i="1"/>
  <c r="EE130" i="1" s="1"/>
  <c r="ED131" i="1"/>
  <c r="EE131" i="1" s="1"/>
  <c r="ED132" i="1"/>
  <c r="EE132" i="1" s="1"/>
  <c r="ED133" i="1"/>
  <c r="EE133" i="1" s="1"/>
  <c r="ED134" i="1"/>
  <c r="EE134" i="1" s="1"/>
  <c r="ED135" i="1"/>
  <c r="EE135" i="1" s="1"/>
  <c r="ED136" i="1"/>
  <c r="EE136" i="1" s="1"/>
  <c r="ED137" i="1"/>
  <c r="EE137" i="1" s="1"/>
  <c r="ED138" i="1"/>
  <c r="EE138" i="1" s="1"/>
  <c r="ED139" i="1"/>
  <c r="EF139" i="1" s="1"/>
  <c r="ED140" i="1"/>
  <c r="EE140" i="1" s="1"/>
  <c r="ED141" i="1"/>
  <c r="EE141" i="1" s="1"/>
  <c r="ED120" i="1"/>
  <c r="EE120" i="1" s="1"/>
  <c r="ED99" i="1"/>
  <c r="EE99" i="1" s="1"/>
  <c r="ED100" i="1"/>
  <c r="EE100" i="1" s="1"/>
  <c r="ED101" i="1"/>
  <c r="EE101" i="1" s="1"/>
  <c r="ED102" i="1"/>
  <c r="EE102" i="1" s="1"/>
  <c r="ED103" i="1"/>
  <c r="EE103" i="1" s="1"/>
  <c r="ED104" i="1"/>
  <c r="EE104" i="1" s="1"/>
  <c r="ED105" i="1"/>
  <c r="EE105" i="1" s="1"/>
  <c r="ED106" i="1"/>
  <c r="EE106" i="1" s="1"/>
  <c r="ED107" i="1"/>
  <c r="EE107" i="1" s="1"/>
  <c r="ED108" i="1"/>
  <c r="EE108" i="1" s="1"/>
  <c r="ED109" i="1"/>
  <c r="EE109" i="1" s="1"/>
  <c r="ED110" i="1"/>
  <c r="EE110" i="1" s="1"/>
  <c r="ED111" i="1"/>
  <c r="EE111" i="1" s="1"/>
  <c r="ED112" i="1"/>
  <c r="EE112" i="1" s="1"/>
  <c r="ED113" i="1"/>
  <c r="EE113" i="1" s="1"/>
  <c r="ED114" i="1"/>
  <c r="EE114" i="1" s="1"/>
  <c r="ED115" i="1"/>
  <c r="EE115" i="1" s="1"/>
  <c r="ED116" i="1"/>
  <c r="EE116" i="1" s="1"/>
  <c r="ED117" i="1"/>
  <c r="EE117" i="1" s="1"/>
  <c r="ED118" i="1"/>
  <c r="EE118" i="1" s="1"/>
  <c r="ED119" i="1"/>
  <c r="EE119" i="1" s="1"/>
  <c r="ED98" i="1"/>
  <c r="EE98" i="1" s="1"/>
  <c r="ED77" i="1"/>
  <c r="EE77" i="1" s="1"/>
  <c r="ED78" i="1"/>
  <c r="EE78" i="1" s="1"/>
  <c r="ED79" i="1"/>
  <c r="EE79" i="1" s="1"/>
  <c r="ED80" i="1"/>
  <c r="EE80" i="1" s="1"/>
  <c r="ED81" i="1"/>
  <c r="EE81" i="1" s="1"/>
  <c r="ED82" i="1"/>
  <c r="EE82" i="1" s="1"/>
  <c r="ED83" i="1"/>
  <c r="EE83" i="1" s="1"/>
  <c r="ED84" i="1"/>
  <c r="EE84" i="1" s="1"/>
  <c r="ED85" i="1"/>
  <c r="EE85" i="1" s="1"/>
  <c r="ED86" i="1"/>
  <c r="EE86" i="1" s="1"/>
  <c r="ED87" i="1"/>
  <c r="EE87" i="1" s="1"/>
  <c r="ED88" i="1"/>
  <c r="EE88" i="1" s="1"/>
  <c r="ED89" i="1"/>
  <c r="EE89" i="1" s="1"/>
  <c r="ED90" i="1"/>
  <c r="EE90" i="1" s="1"/>
  <c r="ED91" i="1"/>
  <c r="EE91" i="1" s="1"/>
  <c r="ED92" i="1"/>
  <c r="EE92" i="1" s="1"/>
  <c r="ED93" i="1"/>
  <c r="EE93" i="1" s="1"/>
  <c r="ED94" i="1"/>
  <c r="EE94" i="1" s="1"/>
  <c r="ED95" i="1"/>
  <c r="EE95" i="1" s="1"/>
  <c r="ED96" i="1"/>
  <c r="EE96" i="1" s="1"/>
  <c r="ED97" i="1"/>
  <c r="EE97" i="1" s="1"/>
  <c r="ED76" i="1"/>
  <c r="EE76" i="1" s="1"/>
  <c r="ED71" i="1"/>
  <c r="EE71" i="1" s="1"/>
  <c r="ED72" i="1"/>
  <c r="EE72" i="1" s="1"/>
  <c r="ED73" i="1"/>
  <c r="EE73" i="1" s="1"/>
  <c r="ED74" i="1"/>
  <c r="EE74" i="1" s="1"/>
  <c r="ED75" i="1"/>
  <c r="EE75" i="1" s="1"/>
  <c r="ED66" i="1"/>
  <c r="EE66" i="1" s="1"/>
  <c r="ED67" i="1"/>
  <c r="EE67" i="1" s="1"/>
  <c r="ED68" i="1"/>
  <c r="EE68" i="1" s="1"/>
  <c r="ED69" i="1"/>
  <c r="EE69" i="1" s="1"/>
  <c r="ED70" i="1"/>
  <c r="EE70" i="1" s="1"/>
  <c r="ED55" i="1"/>
  <c r="EE55" i="1" s="1"/>
  <c r="ED56" i="1"/>
  <c r="EE56" i="1" s="1"/>
  <c r="ED57" i="1"/>
  <c r="EE57" i="1" s="1"/>
  <c r="ED58" i="1"/>
  <c r="EE58" i="1" s="1"/>
  <c r="ED59" i="1"/>
  <c r="EE59" i="1" s="1"/>
  <c r="ED60" i="1"/>
  <c r="EE60" i="1" s="1"/>
  <c r="ED61" i="1"/>
  <c r="EE61" i="1" s="1"/>
  <c r="ED62" i="1"/>
  <c r="EE62" i="1" s="1"/>
  <c r="ED63" i="1"/>
  <c r="EE63" i="1" s="1"/>
  <c r="ED64" i="1"/>
  <c r="EE64" i="1" s="1"/>
  <c r="ED65" i="1"/>
  <c r="EE65" i="1" s="1"/>
  <c r="ED54" i="1"/>
  <c r="EE54" i="1" s="1"/>
  <c r="ED36" i="1"/>
  <c r="EE36" i="1" s="1"/>
  <c r="ED37" i="1"/>
  <c r="EE37" i="1" s="1"/>
  <c r="ED38" i="1"/>
  <c r="EE38" i="1" s="1"/>
  <c r="ED39" i="1"/>
  <c r="EE39" i="1" s="1"/>
  <c r="ED40" i="1"/>
  <c r="EE40" i="1" s="1"/>
  <c r="ED41" i="1"/>
  <c r="EE41" i="1" s="1"/>
  <c r="ED42" i="1"/>
  <c r="EE42" i="1" s="1"/>
  <c r="ED43" i="1"/>
  <c r="EE43" i="1" s="1"/>
  <c r="ED44" i="1"/>
  <c r="EE44" i="1" s="1"/>
  <c r="ED45" i="1"/>
  <c r="EE45" i="1" s="1"/>
  <c r="ED46" i="1"/>
  <c r="EE46" i="1" s="1"/>
  <c r="ED47" i="1"/>
  <c r="EE47" i="1" s="1"/>
  <c r="ED48" i="1"/>
  <c r="EE48" i="1" s="1"/>
  <c r="ED49" i="1"/>
  <c r="EE49" i="1" s="1"/>
  <c r="ED50" i="1"/>
  <c r="EE50" i="1" s="1"/>
  <c r="ED51" i="1"/>
  <c r="EE51" i="1" s="1"/>
  <c r="ED52" i="1"/>
  <c r="EE52" i="1" s="1"/>
  <c r="ED53" i="1"/>
  <c r="EE53" i="1" s="1"/>
  <c r="ED33" i="1"/>
  <c r="EE33" i="1" s="1"/>
  <c r="ED34" i="1"/>
  <c r="EE34" i="1" s="1"/>
  <c r="ED35" i="1"/>
  <c r="EE35" i="1" s="1"/>
  <c r="ED32" i="1"/>
  <c r="EE32" i="1" s="1"/>
  <c r="ED10" i="1"/>
  <c r="EE10" i="1" s="1"/>
  <c r="ED12" i="1"/>
  <c r="EE12" i="1" s="1"/>
  <c r="ED13" i="1"/>
  <c r="EE13" i="1" s="1"/>
  <c r="ED14" i="1"/>
  <c r="EE14" i="1" s="1"/>
  <c r="ED15" i="1"/>
  <c r="EE15" i="1" s="1"/>
  <c r="ED16" i="1"/>
  <c r="EE16" i="1" s="1"/>
  <c r="ED17" i="1"/>
  <c r="EE17" i="1" s="1"/>
  <c r="ED18" i="1"/>
  <c r="EE18" i="1" s="1"/>
  <c r="ED19" i="1"/>
  <c r="EE19" i="1" s="1"/>
  <c r="ED20" i="1"/>
  <c r="EE20" i="1" s="1"/>
  <c r="ED21" i="1"/>
  <c r="EE21" i="1" s="1"/>
  <c r="ED22" i="1"/>
  <c r="EE22" i="1" s="1"/>
  <c r="ED23" i="1"/>
  <c r="EE23" i="1" s="1"/>
  <c r="ED24" i="1"/>
  <c r="EE24" i="1" s="1"/>
  <c r="ED25" i="1"/>
  <c r="EE25" i="1" s="1"/>
  <c r="ED26" i="1"/>
  <c r="EE26" i="1" s="1"/>
  <c r="ED27" i="1"/>
  <c r="EE27" i="1" s="1"/>
  <c r="ED28" i="1"/>
  <c r="EE28" i="1" s="1"/>
  <c r="ED29" i="1"/>
  <c r="EE29" i="1" s="1"/>
  <c r="ED30" i="1"/>
  <c r="EE30" i="1" s="1"/>
  <c r="ED31" i="1"/>
  <c r="EE31" i="1" s="1"/>
  <c r="ED11" i="1"/>
  <c r="EE11" i="1" s="1"/>
  <c r="DZ10" i="1"/>
  <c r="DZ186" i="1"/>
  <c r="DZ164" i="1"/>
  <c r="DZ165" i="1"/>
  <c r="DZ166" i="1"/>
  <c r="DZ167" i="1"/>
  <c r="DZ168" i="1"/>
  <c r="DZ169" i="1"/>
  <c r="DZ170" i="1"/>
  <c r="DZ171" i="1"/>
  <c r="DZ172" i="1"/>
  <c r="DZ173" i="1"/>
  <c r="DZ174" i="1"/>
  <c r="DZ175" i="1"/>
  <c r="DZ176" i="1"/>
  <c r="DZ177" i="1"/>
  <c r="DZ178" i="1"/>
  <c r="DZ179" i="1"/>
  <c r="DZ180" i="1"/>
  <c r="DZ181" i="1"/>
  <c r="DZ182" i="1"/>
  <c r="DZ183" i="1"/>
  <c r="DZ184" i="1"/>
  <c r="DZ185" i="1"/>
  <c r="DZ187" i="1"/>
  <c r="DZ188" i="1"/>
  <c r="DZ189" i="1"/>
  <c r="DZ190" i="1"/>
  <c r="DZ191" i="1"/>
  <c r="DZ192" i="1"/>
  <c r="DZ193" i="1"/>
  <c r="DZ194" i="1"/>
  <c r="DZ195" i="1"/>
  <c r="DZ196" i="1"/>
  <c r="DZ197" i="1"/>
  <c r="DZ198" i="1"/>
  <c r="DZ199" i="1"/>
  <c r="DZ200" i="1"/>
  <c r="DZ201" i="1"/>
  <c r="DZ202" i="1"/>
  <c r="DZ203" i="1"/>
  <c r="DZ204" i="1"/>
  <c r="DZ205" i="1"/>
  <c r="DZ206" i="1"/>
  <c r="DZ207" i="1"/>
  <c r="DZ142" i="1"/>
  <c r="DZ76" i="1"/>
  <c r="DZ98" i="1"/>
  <c r="DZ120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9" i="1"/>
  <c r="DZ100" i="1"/>
  <c r="DZ101" i="1"/>
  <c r="DZ102" i="1"/>
  <c r="DZ103" i="1"/>
  <c r="DZ104" i="1"/>
  <c r="DZ105" i="1"/>
  <c r="DZ106" i="1"/>
  <c r="DZ107" i="1"/>
  <c r="DZ108" i="1"/>
  <c r="DZ109" i="1"/>
  <c r="DZ110" i="1"/>
  <c r="DZ111" i="1"/>
  <c r="DZ112" i="1"/>
  <c r="DZ113" i="1"/>
  <c r="DZ114" i="1"/>
  <c r="DZ115" i="1"/>
  <c r="DZ116" i="1"/>
  <c r="DZ117" i="1"/>
  <c r="DZ118" i="1"/>
  <c r="DZ119" i="1"/>
  <c r="DZ121" i="1"/>
  <c r="DZ122" i="1"/>
  <c r="DZ123" i="1"/>
  <c r="DZ124" i="1"/>
  <c r="DZ125" i="1"/>
  <c r="DZ126" i="1"/>
  <c r="DZ127" i="1"/>
  <c r="DZ128" i="1"/>
  <c r="DZ129" i="1"/>
  <c r="DZ130" i="1"/>
  <c r="DZ131" i="1"/>
  <c r="DZ132" i="1"/>
  <c r="DZ133" i="1"/>
  <c r="DZ134" i="1"/>
  <c r="DZ135" i="1"/>
  <c r="DZ136" i="1"/>
  <c r="DZ137" i="1"/>
  <c r="DZ138" i="1"/>
  <c r="DZ139" i="1"/>
  <c r="DZ140" i="1"/>
  <c r="DZ141" i="1"/>
  <c r="DZ143" i="1"/>
  <c r="DZ144" i="1"/>
  <c r="DZ145" i="1"/>
  <c r="DZ146" i="1"/>
  <c r="DZ147" i="1"/>
  <c r="DZ148" i="1"/>
  <c r="DZ149" i="1"/>
  <c r="DZ150" i="1"/>
  <c r="DZ151" i="1"/>
  <c r="DZ152" i="1"/>
  <c r="DZ153" i="1"/>
  <c r="DZ154" i="1"/>
  <c r="DZ155" i="1"/>
  <c r="DZ156" i="1"/>
  <c r="DZ157" i="1"/>
  <c r="DZ158" i="1"/>
  <c r="DZ159" i="1"/>
  <c r="DZ160" i="1"/>
  <c r="DZ161" i="1"/>
  <c r="DZ162" i="1"/>
  <c r="DZ163" i="1"/>
  <c r="DZ54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32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EL11" i="1"/>
  <c r="EM11" i="1" s="1"/>
  <c r="EL12" i="1"/>
  <c r="EM12" i="1" s="1"/>
  <c r="EL13" i="1"/>
  <c r="EM13" i="1" s="1"/>
  <c r="EL14" i="1"/>
  <c r="EM14" i="1" s="1"/>
  <c r="EL15" i="1"/>
  <c r="EM15" i="1" s="1"/>
  <c r="EL16" i="1"/>
  <c r="EM16" i="1" s="1"/>
  <c r="EL17" i="1"/>
  <c r="EM17" i="1" s="1"/>
  <c r="EL18" i="1"/>
  <c r="EM18" i="1" s="1"/>
  <c r="EL19" i="1"/>
  <c r="EM19" i="1" s="1"/>
  <c r="EL20" i="1"/>
  <c r="EM20" i="1" s="1"/>
  <c r="EL21" i="1"/>
  <c r="EM21" i="1" s="1"/>
  <c r="EL22" i="1"/>
  <c r="EM22" i="1" s="1"/>
  <c r="EL23" i="1"/>
  <c r="EM23" i="1" s="1"/>
  <c r="EL24" i="1"/>
  <c r="EM24" i="1" s="1"/>
  <c r="EL25" i="1"/>
  <c r="EM25" i="1" s="1"/>
  <c r="EL26" i="1"/>
  <c r="EM26" i="1" s="1"/>
  <c r="EL27" i="1"/>
  <c r="EM27" i="1" s="1"/>
  <c r="EL28" i="1"/>
  <c r="EM28" i="1" s="1"/>
  <c r="EL29" i="1"/>
  <c r="EM29" i="1" s="1"/>
  <c r="EL30" i="1"/>
  <c r="EM30" i="1" s="1"/>
  <c r="EL31" i="1"/>
  <c r="EM31" i="1" s="1"/>
  <c r="EL32" i="1"/>
  <c r="EM32" i="1" s="1"/>
  <c r="EL33" i="1"/>
  <c r="EM33" i="1" s="1"/>
  <c r="EL34" i="1"/>
  <c r="EM34" i="1" s="1"/>
  <c r="EL35" i="1"/>
  <c r="EM35" i="1" s="1"/>
  <c r="EL36" i="1"/>
  <c r="EM36" i="1" s="1"/>
  <c r="EL37" i="1"/>
  <c r="EM37" i="1" s="1"/>
  <c r="EL38" i="1"/>
  <c r="EM38" i="1" s="1"/>
  <c r="EL39" i="1"/>
  <c r="EM39" i="1" s="1"/>
  <c r="EL40" i="1"/>
  <c r="EM40" i="1" s="1"/>
  <c r="EL41" i="1"/>
  <c r="EM41" i="1" s="1"/>
  <c r="EL42" i="1"/>
  <c r="EM42" i="1" s="1"/>
  <c r="EL43" i="1"/>
  <c r="EM43" i="1" s="1"/>
  <c r="EL44" i="1"/>
  <c r="EM44" i="1" s="1"/>
  <c r="EL45" i="1"/>
  <c r="EM45" i="1" s="1"/>
  <c r="EL46" i="1"/>
  <c r="EM46" i="1" s="1"/>
  <c r="EL47" i="1"/>
  <c r="EM47" i="1" s="1"/>
  <c r="EL48" i="1"/>
  <c r="EM48" i="1" s="1"/>
  <c r="EL49" i="1"/>
  <c r="EM49" i="1" s="1"/>
  <c r="EL50" i="1"/>
  <c r="EM50" i="1" s="1"/>
  <c r="EL51" i="1"/>
  <c r="EM51" i="1" s="1"/>
  <c r="EL52" i="1"/>
  <c r="EM52" i="1" s="1"/>
  <c r="EL53" i="1"/>
  <c r="EM53" i="1" s="1"/>
  <c r="EL54" i="1"/>
  <c r="EM54" i="1" s="1"/>
  <c r="EL55" i="1"/>
  <c r="EM55" i="1" s="1"/>
  <c r="EL56" i="1"/>
  <c r="EM56" i="1" s="1"/>
  <c r="EL57" i="1"/>
  <c r="EM57" i="1" s="1"/>
  <c r="EL58" i="1"/>
  <c r="EM58" i="1" s="1"/>
  <c r="EL59" i="1"/>
  <c r="EM59" i="1" s="1"/>
  <c r="EL60" i="1"/>
  <c r="EM60" i="1" s="1"/>
  <c r="EL61" i="1"/>
  <c r="EM61" i="1" s="1"/>
  <c r="EL62" i="1"/>
  <c r="EM62" i="1" s="1"/>
  <c r="EL63" i="1"/>
  <c r="EM63" i="1" s="1"/>
  <c r="EL64" i="1"/>
  <c r="EM64" i="1" s="1"/>
  <c r="EL65" i="1"/>
  <c r="EM65" i="1" s="1"/>
  <c r="EL66" i="1"/>
  <c r="EM66" i="1" s="1"/>
  <c r="EL67" i="1"/>
  <c r="EM67" i="1" s="1"/>
  <c r="EL68" i="1"/>
  <c r="EM68" i="1" s="1"/>
  <c r="EL69" i="1"/>
  <c r="EM69" i="1" s="1"/>
  <c r="EL70" i="1"/>
  <c r="EM70" i="1" s="1"/>
  <c r="EL71" i="1"/>
  <c r="EM71" i="1" s="1"/>
  <c r="EL72" i="1"/>
  <c r="EM72" i="1" s="1"/>
  <c r="EL73" i="1"/>
  <c r="EM73" i="1" s="1"/>
  <c r="EL74" i="1"/>
  <c r="EM74" i="1" s="1"/>
  <c r="EL75" i="1"/>
  <c r="EM75" i="1" s="1"/>
  <c r="EL76" i="1"/>
  <c r="EM76" i="1" s="1"/>
  <c r="EL77" i="1"/>
  <c r="EM77" i="1" s="1"/>
  <c r="EL78" i="1"/>
  <c r="EM78" i="1" s="1"/>
  <c r="EL79" i="1"/>
  <c r="EM79" i="1" s="1"/>
  <c r="EL80" i="1"/>
  <c r="EM80" i="1" s="1"/>
  <c r="EL81" i="1"/>
  <c r="EM81" i="1" s="1"/>
  <c r="EL82" i="1"/>
  <c r="EM82" i="1" s="1"/>
  <c r="EL83" i="1"/>
  <c r="EM83" i="1" s="1"/>
  <c r="EL84" i="1"/>
  <c r="EM84" i="1" s="1"/>
  <c r="EL85" i="1"/>
  <c r="EM85" i="1" s="1"/>
  <c r="EL86" i="1"/>
  <c r="EM86" i="1" s="1"/>
  <c r="EL87" i="1"/>
  <c r="EM87" i="1" s="1"/>
  <c r="EL88" i="1"/>
  <c r="EM88" i="1" s="1"/>
  <c r="EL89" i="1"/>
  <c r="EM89" i="1" s="1"/>
  <c r="EL90" i="1"/>
  <c r="EM90" i="1" s="1"/>
  <c r="EL91" i="1"/>
  <c r="EM91" i="1" s="1"/>
  <c r="EL92" i="1"/>
  <c r="EM92" i="1" s="1"/>
  <c r="EL93" i="1"/>
  <c r="EM93" i="1" s="1"/>
  <c r="EL94" i="1"/>
  <c r="EM94" i="1" s="1"/>
  <c r="EL95" i="1"/>
  <c r="EM95" i="1" s="1"/>
  <c r="EL96" i="1"/>
  <c r="EM96" i="1" s="1"/>
  <c r="EL97" i="1"/>
  <c r="EM97" i="1" s="1"/>
  <c r="EL98" i="1"/>
  <c r="EM98" i="1" s="1"/>
  <c r="EL99" i="1"/>
  <c r="EM99" i="1" s="1"/>
  <c r="EL100" i="1"/>
  <c r="EM100" i="1" s="1"/>
  <c r="EL101" i="1"/>
  <c r="EM101" i="1" s="1"/>
  <c r="EL102" i="1"/>
  <c r="EM102" i="1" s="1"/>
  <c r="EL103" i="1"/>
  <c r="EM103" i="1" s="1"/>
  <c r="EL104" i="1"/>
  <c r="EM104" i="1" s="1"/>
  <c r="EL105" i="1"/>
  <c r="EM105" i="1" s="1"/>
  <c r="EL106" i="1"/>
  <c r="EM106" i="1" s="1"/>
  <c r="EL107" i="1"/>
  <c r="EM107" i="1" s="1"/>
  <c r="EL108" i="1"/>
  <c r="EM108" i="1" s="1"/>
  <c r="EL109" i="1"/>
  <c r="EM109" i="1" s="1"/>
  <c r="EL110" i="1"/>
  <c r="EM110" i="1" s="1"/>
  <c r="EL111" i="1"/>
  <c r="EM111" i="1" s="1"/>
  <c r="EL112" i="1"/>
  <c r="EM112" i="1" s="1"/>
  <c r="EL113" i="1"/>
  <c r="EM113" i="1" s="1"/>
  <c r="EL114" i="1"/>
  <c r="EM114" i="1" s="1"/>
  <c r="EL115" i="1"/>
  <c r="EM115" i="1" s="1"/>
  <c r="EL116" i="1"/>
  <c r="EM116" i="1" s="1"/>
  <c r="EL117" i="1"/>
  <c r="EM117" i="1" s="1"/>
  <c r="EL118" i="1"/>
  <c r="EM118" i="1" s="1"/>
  <c r="EL119" i="1"/>
  <c r="EM119" i="1" s="1"/>
  <c r="EL120" i="1"/>
  <c r="EM120" i="1" s="1"/>
  <c r="EL121" i="1"/>
  <c r="EM121" i="1" s="1"/>
  <c r="EL122" i="1"/>
  <c r="EM122" i="1" s="1"/>
  <c r="EL123" i="1"/>
  <c r="EM123" i="1" s="1"/>
  <c r="EL124" i="1"/>
  <c r="EM124" i="1" s="1"/>
  <c r="EL125" i="1"/>
  <c r="EM125" i="1" s="1"/>
  <c r="EL126" i="1"/>
  <c r="EM126" i="1" s="1"/>
  <c r="EL127" i="1"/>
  <c r="EM127" i="1" s="1"/>
  <c r="EL128" i="1"/>
  <c r="EM128" i="1" s="1"/>
  <c r="EL129" i="1"/>
  <c r="EM129" i="1" s="1"/>
  <c r="EL130" i="1"/>
  <c r="EM130" i="1" s="1"/>
  <c r="EL131" i="1"/>
  <c r="EM131" i="1" s="1"/>
  <c r="EL132" i="1"/>
  <c r="EM132" i="1" s="1"/>
  <c r="EL133" i="1"/>
  <c r="EM133" i="1" s="1"/>
  <c r="EL134" i="1"/>
  <c r="EM134" i="1" s="1"/>
  <c r="EL135" i="1"/>
  <c r="EM135" i="1" s="1"/>
  <c r="EL136" i="1"/>
  <c r="EM136" i="1" s="1"/>
  <c r="EL137" i="1"/>
  <c r="EM137" i="1" s="1"/>
  <c r="EL138" i="1"/>
  <c r="EM138" i="1" s="1"/>
  <c r="EL139" i="1"/>
  <c r="EM139" i="1" s="1"/>
  <c r="EL140" i="1"/>
  <c r="EM140" i="1" s="1"/>
  <c r="EL141" i="1"/>
  <c r="EM141" i="1" s="1"/>
  <c r="EL142" i="1"/>
  <c r="EM142" i="1" s="1"/>
  <c r="EL143" i="1"/>
  <c r="EM143" i="1" s="1"/>
  <c r="EL144" i="1"/>
  <c r="EM144" i="1" s="1"/>
  <c r="EL145" i="1"/>
  <c r="EM145" i="1" s="1"/>
  <c r="EL146" i="1"/>
  <c r="EM146" i="1" s="1"/>
  <c r="EL147" i="1"/>
  <c r="EM147" i="1" s="1"/>
  <c r="EL148" i="1"/>
  <c r="EM148" i="1" s="1"/>
  <c r="EL149" i="1"/>
  <c r="EM149" i="1" s="1"/>
  <c r="EL150" i="1"/>
  <c r="EM150" i="1" s="1"/>
  <c r="EL151" i="1"/>
  <c r="EM151" i="1" s="1"/>
  <c r="EL152" i="1"/>
  <c r="EM152" i="1" s="1"/>
  <c r="EL153" i="1"/>
  <c r="EM153" i="1" s="1"/>
  <c r="EL154" i="1"/>
  <c r="EM154" i="1" s="1"/>
  <c r="EL155" i="1"/>
  <c r="EM155" i="1" s="1"/>
  <c r="EL156" i="1"/>
  <c r="EM156" i="1" s="1"/>
  <c r="EL157" i="1"/>
  <c r="EM157" i="1" s="1"/>
  <c r="EL158" i="1"/>
  <c r="EM158" i="1" s="1"/>
  <c r="EL159" i="1"/>
  <c r="EM159" i="1" s="1"/>
  <c r="EL160" i="1"/>
  <c r="EM160" i="1" s="1"/>
  <c r="EL161" i="1"/>
  <c r="EM161" i="1" s="1"/>
  <c r="EL162" i="1"/>
  <c r="EM162" i="1" s="1"/>
  <c r="EL163" i="1"/>
  <c r="EM163" i="1" s="1"/>
  <c r="EL164" i="1"/>
  <c r="EM164" i="1" s="1"/>
  <c r="EL165" i="1"/>
  <c r="EM165" i="1" s="1"/>
  <c r="EL166" i="1"/>
  <c r="EM166" i="1" s="1"/>
  <c r="EL167" i="1"/>
  <c r="EM167" i="1" s="1"/>
  <c r="EL168" i="1"/>
  <c r="EM168" i="1" s="1"/>
  <c r="EL169" i="1"/>
  <c r="EM169" i="1" s="1"/>
  <c r="EL170" i="1"/>
  <c r="EM170" i="1" s="1"/>
  <c r="EL171" i="1"/>
  <c r="EM171" i="1" s="1"/>
  <c r="EL172" i="1"/>
  <c r="EM172" i="1" s="1"/>
  <c r="EL173" i="1"/>
  <c r="EM173" i="1" s="1"/>
  <c r="EL174" i="1"/>
  <c r="EM174" i="1" s="1"/>
  <c r="EL175" i="1"/>
  <c r="EM175" i="1" s="1"/>
  <c r="EL176" i="1"/>
  <c r="EM176" i="1" s="1"/>
  <c r="EL177" i="1"/>
  <c r="EM177" i="1" s="1"/>
  <c r="EL178" i="1"/>
  <c r="EM178" i="1" s="1"/>
  <c r="EL179" i="1"/>
  <c r="EM179" i="1" s="1"/>
  <c r="EL180" i="1"/>
  <c r="EM180" i="1" s="1"/>
  <c r="EL181" i="1"/>
  <c r="EM181" i="1" s="1"/>
  <c r="EL182" i="1"/>
  <c r="EM182" i="1" s="1"/>
  <c r="EL183" i="1"/>
  <c r="EM183" i="1" s="1"/>
  <c r="EL184" i="1"/>
  <c r="EM184" i="1" s="1"/>
  <c r="EL185" i="1"/>
  <c r="EM185" i="1" s="1"/>
  <c r="EL186" i="1"/>
  <c r="EM186" i="1" s="1"/>
  <c r="EL187" i="1"/>
  <c r="EM187" i="1" s="1"/>
  <c r="EL188" i="1"/>
  <c r="EM188" i="1" s="1"/>
  <c r="EL189" i="1"/>
  <c r="EM189" i="1" s="1"/>
  <c r="EL190" i="1"/>
  <c r="EM190" i="1" s="1"/>
  <c r="EL191" i="1"/>
  <c r="EM191" i="1" s="1"/>
  <c r="EL192" i="1"/>
  <c r="EM192" i="1" s="1"/>
  <c r="EL193" i="1"/>
  <c r="EM193" i="1" s="1"/>
  <c r="EL194" i="1"/>
  <c r="EM194" i="1" s="1"/>
  <c r="EL195" i="1"/>
  <c r="EM195" i="1" s="1"/>
  <c r="EL196" i="1"/>
  <c r="EM196" i="1" s="1"/>
  <c r="EL197" i="1"/>
  <c r="EM197" i="1" s="1"/>
  <c r="EL198" i="1"/>
  <c r="EM198" i="1" s="1"/>
  <c r="EL199" i="1"/>
  <c r="EM199" i="1" s="1"/>
  <c r="EL200" i="1"/>
  <c r="EM200" i="1" s="1"/>
  <c r="EL201" i="1"/>
  <c r="EM201" i="1" s="1"/>
  <c r="EL202" i="1"/>
  <c r="EM202" i="1" s="1"/>
  <c r="EL203" i="1"/>
  <c r="EM203" i="1" s="1"/>
  <c r="EL204" i="1"/>
  <c r="EM204" i="1" s="1"/>
  <c r="EL205" i="1"/>
  <c r="EM205" i="1" s="1"/>
  <c r="EL206" i="1"/>
  <c r="EM206" i="1" s="1"/>
  <c r="EL207" i="1"/>
  <c r="EM207" i="1" s="1"/>
  <c r="EM10" i="1"/>
  <c r="EB21" i="1"/>
  <c r="EC21" i="1" s="1"/>
  <c r="EB22" i="1"/>
  <c r="EC22" i="1" s="1"/>
  <c r="EB23" i="1"/>
  <c r="EC23" i="1" s="1"/>
  <c r="EB24" i="1"/>
  <c r="EC24" i="1" s="1"/>
  <c r="EB25" i="1"/>
  <c r="EC25" i="1" s="1"/>
  <c r="EB26" i="1"/>
  <c r="EC26" i="1" s="1"/>
  <c r="EB27" i="1"/>
  <c r="EC27" i="1" s="1"/>
  <c r="EB28" i="1"/>
  <c r="EC28" i="1" s="1"/>
  <c r="EB29" i="1"/>
  <c r="EC29" i="1" s="1"/>
  <c r="EB30" i="1"/>
  <c r="EC30" i="1" s="1"/>
  <c r="EB31" i="1"/>
  <c r="EC31" i="1" s="1"/>
  <c r="EB32" i="1"/>
  <c r="EC32" i="1" s="1"/>
  <c r="EB33" i="1"/>
  <c r="EC33" i="1" s="1"/>
  <c r="EB34" i="1"/>
  <c r="EC34" i="1" s="1"/>
  <c r="EB35" i="1"/>
  <c r="EC35" i="1" s="1"/>
  <c r="EB36" i="1"/>
  <c r="EC36" i="1" s="1"/>
  <c r="EB37" i="1"/>
  <c r="EC37" i="1" s="1"/>
  <c r="EB38" i="1"/>
  <c r="EC38" i="1" s="1"/>
  <c r="EB39" i="1"/>
  <c r="EC39" i="1" s="1"/>
  <c r="EB40" i="1"/>
  <c r="EC40" i="1" s="1"/>
  <c r="EB41" i="1"/>
  <c r="EC41" i="1" s="1"/>
  <c r="EB42" i="1"/>
  <c r="EC42" i="1" s="1"/>
  <c r="EB43" i="1"/>
  <c r="EC43" i="1" s="1"/>
  <c r="EB44" i="1"/>
  <c r="EC44" i="1" s="1"/>
  <c r="EB45" i="1"/>
  <c r="EC45" i="1" s="1"/>
  <c r="EB46" i="1"/>
  <c r="EC46" i="1" s="1"/>
  <c r="EB47" i="1"/>
  <c r="EC47" i="1" s="1"/>
  <c r="EB48" i="1"/>
  <c r="EC48" i="1" s="1"/>
  <c r="EB49" i="1"/>
  <c r="EC49" i="1" s="1"/>
  <c r="EB50" i="1"/>
  <c r="EC50" i="1" s="1"/>
  <c r="EB51" i="1"/>
  <c r="EC51" i="1" s="1"/>
  <c r="EB52" i="1"/>
  <c r="EC52" i="1" s="1"/>
  <c r="EB53" i="1"/>
  <c r="EC53" i="1" s="1"/>
  <c r="EB54" i="1"/>
  <c r="EC54" i="1" s="1"/>
  <c r="EB55" i="1"/>
  <c r="EC55" i="1" s="1"/>
  <c r="EB56" i="1"/>
  <c r="EC56" i="1" s="1"/>
  <c r="EB57" i="1"/>
  <c r="EC57" i="1" s="1"/>
  <c r="EB58" i="1"/>
  <c r="EC58" i="1" s="1"/>
  <c r="EB59" i="1"/>
  <c r="EC59" i="1" s="1"/>
  <c r="EB60" i="1"/>
  <c r="EC60" i="1" s="1"/>
  <c r="EB61" i="1"/>
  <c r="EC61" i="1" s="1"/>
  <c r="EB62" i="1"/>
  <c r="EC62" i="1" s="1"/>
  <c r="EB63" i="1"/>
  <c r="EC63" i="1" s="1"/>
  <c r="EB64" i="1"/>
  <c r="EC64" i="1" s="1"/>
  <c r="EB65" i="1"/>
  <c r="EC65" i="1" s="1"/>
  <c r="EB66" i="1"/>
  <c r="EC66" i="1" s="1"/>
  <c r="EB67" i="1"/>
  <c r="EC67" i="1" s="1"/>
  <c r="EB68" i="1"/>
  <c r="EC68" i="1" s="1"/>
  <c r="EB69" i="1"/>
  <c r="EC69" i="1" s="1"/>
  <c r="EB70" i="1"/>
  <c r="EC70" i="1" s="1"/>
  <c r="EB71" i="1"/>
  <c r="EC71" i="1" s="1"/>
  <c r="EB72" i="1"/>
  <c r="EC72" i="1" s="1"/>
  <c r="EB73" i="1"/>
  <c r="EC73" i="1" s="1"/>
  <c r="EB74" i="1"/>
  <c r="EC74" i="1" s="1"/>
  <c r="EB75" i="1"/>
  <c r="EC75" i="1" s="1"/>
  <c r="EB76" i="1"/>
  <c r="EC76" i="1" s="1"/>
  <c r="EB77" i="1"/>
  <c r="EC77" i="1" s="1"/>
  <c r="EB78" i="1"/>
  <c r="EC78" i="1" s="1"/>
  <c r="EB79" i="1"/>
  <c r="EC79" i="1" s="1"/>
  <c r="EB80" i="1"/>
  <c r="EC80" i="1" s="1"/>
  <c r="EB81" i="1"/>
  <c r="EC81" i="1" s="1"/>
  <c r="EB82" i="1"/>
  <c r="EC82" i="1" s="1"/>
  <c r="EB83" i="1"/>
  <c r="EC83" i="1" s="1"/>
  <c r="EB84" i="1"/>
  <c r="EC84" i="1" s="1"/>
  <c r="EB85" i="1"/>
  <c r="EC85" i="1" s="1"/>
  <c r="EB86" i="1"/>
  <c r="EC86" i="1" s="1"/>
  <c r="EB87" i="1"/>
  <c r="EC87" i="1" s="1"/>
  <c r="EB88" i="1"/>
  <c r="EC88" i="1" s="1"/>
  <c r="EB89" i="1"/>
  <c r="EC89" i="1" s="1"/>
  <c r="EB90" i="1"/>
  <c r="EC90" i="1" s="1"/>
  <c r="EB91" i="1"/>
  <c r="EC91" i="1" s="1"/>
  <c r="EB92" i="1"/>
  <c r="EC92" i="1" s="1"/>
  <c r="EB93" i="1"/>
  <c r="EC93" i="1" s="1"/>
  <c r="EB94" i="1"/>
  <c r="EC94" i="1" s="1"/>
  <c r="EB95" i="1"/>
  <c r="EC95" i="1" s="1"/>
  <c r="EB96" i="1"/>
  <c r="EC96" i="1" s="1"/>
  <c r="EB97" i="1"/>
  <c r="EC97" i="1" s="1"/>
  <c r="EB98" i="1"/>
  <c r="EC98" i="1" s="1"/>
  <c r="EB99" i="1"/>
  <c r="EC99" i="1" s="1"/>
  <c r="EB100" i="1"/>
  <c r="EC100" i="1" s="1"/>
  <c r="EB101" i="1"/>
  <c r="EC101" i="1" s="1"/>
  <c r="EB102" i="1"/>
  <c r="EC102" i="1" s="1"/>
  <c r="EB103" i="1"/>
  <c r="EC103" i="1" s="1"/>
  <c r="EB104" i="1"/>
  <c r="EC104" i="1" s="1"/>
  <c r="EB105" i="1"/>
  <c r="EC105" i="1" s="1"/>
  <c r="EB106" i="1"/>
  <c r="EC106" i="1" s="1"/>
  <c r="EB107" i="1"/>
  <c r="EC107" i="1" s="1"/>
  <c r="EB108" i="1"/>
  <c r="EC108" i="1" s="1"/>
  <c r="EB109" i="1"/>
  <c r="EC109" i="1" s="1"/>
  <c r="EB110" i="1"/>
  <c r="EC110" i="1" s="1"/>
  <c r="EB111" i="1"/>
  <c r="EC111" i="1" s="1"/>
  <c r="EB112" i="1"/>
  <c r="EC112" i="1" s="1"/>
  <c r="EB113" i="1"/>
  <c r="EC113" i="1" s="1"/>
  <c r="EB114" i="1"/>
  <c r="EC114" i="1" s="1"/>
  <c r="EB115" i="1"/>
  <c r="EC115" i="1" s="1"/>
  <c r="EB116" i="1"/>
  <c r="EC116" i="1" s="1"/>
  <c r="EB117" i="1"/>
  <c r="EC117" i="1" s="1"/>
  <c r="EB118" i="1"/>
  <c r="EC118" i="1" s="1"/>
  <c r="EB119" i="1"/>
  <c r="EC119" i="1" s="1"/>
  <c r="EB120" i="1"/>
  <c r="EC120" i="1" s="1"/>
  <c r="EB121" i="1"/>
  <c r="EC121" i="1" s="1"/>
  <c r="EB122" i="1"/>
  <c r="EC122" i="1" s="1"/>
  <c r="EB123" i="1"/>
  <c r="EC123" i="1" s="1"/>
  <c r="EB124" i="1"/>
  <c r="EC124" i="1" s="1"/>
  <c r="EB125" i="1"/>
  <c r="EC125" i="1" s="1"/>
  <c r="EB126" i="1"/>
  <c r="EC126" i="1" s="1"/>
  <c r="EB127" i="1"/>
  <c r="EC127" i="1" s="1"/>
  <c r="EB128" i="1"/>
  <c r="EC128" i="1" s="1"/>
  <c r="EB129" i="1"/>
  <c r="EC129" i="1" s="1"/>
  <c r="EB130" i="1"/>
  <c r="EC130" i="1" s="1"/>
  <c r="EB131" i="1"/>
  <c r="EC131" i="1" s="1"/>
  <c r="EB132" i="1"/>
  <c r="EC132" i="1" s="1"/>
  <c r="EB133" i="1"/>
  <c r="EC133" i="1" s="1"/>
  <c r="EB134" i="1"/>
  <c r="EC134" i="1" s="1"/>
  <c r="EB135" i="1"/>
  <c r="EC135" i="1" s="1"/>
  <c r="EB136" i="1"/>
  <c r="EC136" i="1" s="1"/>
  <c r="EB137" i="1"/>
  <c r="EC137" i="1" s="1"/>
  <c r="EB138" i="1"/>
  <c r="EC138" i="1" s="1"/>
  <c r="EB139" i="1"/>
  <c r="EC139" i="1" s="1"/>
  <c r="EB140" i="1"/>
  <c r="EC140" i="1" s="1"/>
  <c r="EB141" i="1"/>
  <c r="EC141" i="1" s="1"/>
  <c r="EB142" i="1"/>
  <c r="EC142" i="1" s="1"/>
  <c r="EB143" i="1"/>
  <c r="EC143" i="1" s="1"/>
  <c r="EB144" i="1"/>
  <c r="EC144" i="1" s="1"/>
  <c r="EB145" i="1"/>
  <c r="EC145" i="1" s="1"/>
  <c r="EB146" i="1"/>
  <c r="EC146" i="1" s="1"/>
  <c r="EB147" i="1"/>
  <c r="EC147" i="1" s="1"/>
  <c r="EB148" i="1"/>
  <c r="EC148" i="1" s="1"/>
  <c r="EB149" i="1"/>
  <c r="EC149" i="1" s="1"/>
  <c r="EB150" i="1"/>
  <c r="EC150" i="1" s="1"/>
  <c r="EB151" i="1"/>
  <c r="EC151" i="1" s="1"/>
  <c r="EB152" i="1"/>
  <c r="EC152" i="1" s="1"/>
  <c r="EB153" i="1"/>
  <c r="EC153" i="1" s="1"/>
  <c r="EB154" i="1"/>
  <c r="EC154" i="1" s="1"/>
  <c r="EB155" i="1"/>
  <c r="EC155" i="1" s="1"/>
  <c r="EB156" i="1"/>
  <c r="EC156" i="1" s="1"/>
  <c r="EB157" i="1"/>
  <c r="EC157" i="1" s="1"/>
  <c r="EB158" i="1"/>
  <c r="EC158" i="1" s="1"/>
  <c r="EB159" i="1"/>
  <c r="EC159" i="1" s="1"/>
  <c r="EB160" i="1"/>
  <c r="EC160" i="1" s="1"/>
  <c r="EB161" i="1"/>
  <c r="EC161" i="1" s="1"/>
  <c r="EB162" i="1"/>
  <c r="EC162" i="1" s="1"/>
  <c r="EB163" i="1"/>
  <c r="EC163" i="1" s="1"/>
  <c r="EB164" i="1"/>
  <c r="EC164" i="1" s="1"/>
  <c r="EB165" i="1"/>
  <c r="EC165" i="1" s="1"/>
  <c r="EB166" i="1"/>
  <c r="EC166" i="1" s="1"/>
  <c r="EB167" i="1"/>
  <c r="EC167" i="1" s="1"/>
  <c r="EB168" i="1"/>
  <c r="EC168" i="1" s="1"/>
  <c r="EB169" i="1"/>
  <c r="EC169" i="1" s="1"/>
  <c r="EB170" i="1"/>
  <c r="EC170" i="1" s="1"/>
  <c r="EB171" i="1"/>
  <c r="EC171" i="1" s="1"/>
  <c r="EB172" i="1"/>
  <c r="EC172" i="1" s="1"/>
  <c r="EB173" i="1"/>
  <c r="EC173" i="1" s="1"/>
  <c r="EB174" i="1"/>
  <c r="EC174" i="1" s="1"/>
  <c r="EB175" i="1"/>
  <c r="EC175" i="1" s="1"/>
  <c r="EB176" i="1"/>
  <c r="EC176" i="1" s="1"/>
  <c r="EB177" i="1"/>
  <c r="EC177" i="1" s="1"/>
  <c r="EB178" i="1"/>
  <c r="EC178" i="1" s="1"/>
  <c r="EB179" i="1"/>
  <c r="EC179" i="1" s="1"/>
  <c r="EB180" i="1"/>
  <c r="EC180" i="1" s="1"/>
  <c r="EB181" i="1"/>
  <c r="EC181" i="1" s="1"/>
  <c r="EB182" i="1"/>
  <c r="EC182" i="1" s="1"/>
  <c r="EB183" i="1"/>
  <c r="EC183" i="1" s="1"/>
  <c r="EB184" i="1"/>
  <c r="EC184" i="1" s="1"/>
  <c r="EB185" i="1"/>
  <c r="EC185" i="1" s="1"/>
  <c r="EB186" i="1"/>
  <c r="EC186" i="1" s="1"/>
  <c r="EB187" i="1"/>
  <c r="EC187" i="1" s="1"/>
  <c r="EB188" i="1"/>
  <c r="EC188" i="1" s="1"/>
  <c r="EB189" i="1"/>
  <c r="EC189" i="1" s="1"/>
  <c r="EB190" i="1"/>
  <c r="EC190" i="1" s="1"/>
  <c r="EB191" i="1"/>
  <c r="EC191" i="1" s="1"/>
  <c r="EB192" i="1"/>
  <c r="EC192" i="1" s="1"/>
  <c r="EB193" i="1"/>
  <c r="EC193" i="1" s="1"/>
  <c r="EB194" i="1"/>
  <c r="EC194" i="1" s="1"/>
  <c r="EB195" i="1"/>
  <c r="EC195" i="1" s="1"/>
  <c r="EB196" i="1"/>
  <c r="EC196" i="1" s="1"/>
  <c r="EB197" i="1"/>
  <c r="EC197" i="1" s="1"/>
  <c r="EB198" i="1"/>
  <c r="EC198" i="1" s="1"/>
  <c r="EB199" i="1"/>
  <c r="EC199" i="1" s="1"/>
  <c r="EB200" i="1"/>
  <c r="EC200" i="1" s="1"/>
  <c r="EB201" i="1"/>
  <c r="EC201" i="1" s="1"/>
  <c r="EB202" i="1"/>
  <c r="EC202" i="1" s="1"/>
  <c r="EB203" i="1"/>
  <c r="EC203" i="1" s="1"/>
  <c r="EB204" i="1"/>
  <c r="EC204" i="1" s="1"/>
  <c r="EB205" i="1"/>
  <c r="EC205" i="1" s="1"/>
  <c r="EB206" i="1"/>
  <c r="EC206" i="1" s="1"/>
  <c r="EB207" i="1"/>
  <c r="EC207" i="1" s="1"/>
  <c r="EB11" i="1"/>
  <c r="EC11" i="1" s="1"/>
  <c r="EB12" i="1"/>
  <c r="EC12" i="1" s="1"/>
  <c r="EB13" i="1"/>
  <c r="EC13" i="1" s="1"/>
  <c r="EB14" i="1"/>
  <c r="EC14" i="1" s="1"/>
  <c r="EB15" i="1"/>
  <c r="EC15" i="1" s="1"/>
  <c r="EB16" i="1"/>
  <c r="EC16" i="1" s="1"/>
  <c r="EB17" i="1"/>
  <c r="EC17" i="1" s="1"/>
  <c r="EB18" i="1"/>
  <c r="EC18" i="1" s="1"/>
  <c r="EB19" i="1"/>
  <c r="EC19" i="1" s="1"/>
  <c r="EB20" i="1"/>
  <c r="EC20" i="1" s="1"/>
  <c r="EB10" i="1"/>
  <c r="EC10" i="1" s="1"/>
  <c r="CP200" i="1" l="1"/>
  <c r="CP184" i="1"/>
  <c r="CP168" i="1"/>
  <c r="CP160" i="1"/>
  <c r="CP152" i="1"/>
  <c r="CP136" i="1"/>
  <c r="CP120" i="1"/>
  <c r="CP104" i="1"/>
  <c r="CP96" i="1"/>
  <c r="CP88" i="1"/>
  <c r="CP72" i="1"/>
  <c r="CP56" i="1"/>
  <c r="CP40" i="1"/>
  <c r="CP32" i="1"/>
  <c r="CP24" i="1"/>
  <c r="CP16" i="1"/>
  <c r="CP192" i="1"/>
  <c r="CP176" i="1"/>
  <c r="CP144" i="1"/>
  <c r="CP128" i="1"/>
  <c r="CP112" i="1"/>
  <c r="CP80" i="1"/>
  <c r="CP64" i="1"/>
  <c r="CP48" i="1"/>
  <c r="CP202" i="1"/>
  <c r="CP194" i="1"/>
  <c r="CP186" i="1"/>
  <c r="CP178" i="1"/>
  <c r="CP170" i="1"/>
  <c r="CP162" i="1"/>
  <c r="CP154" i="1"/>
  <c r="CP146" i="1"/>
  <c r="CP138" i="1"/>
  <c r="CP130" i="1"/>
  <c r="CP122" i="1"/>
  <c r="CP114" i="1"/>
  <c r="CP106" i="1"/>
  <c r="CP98" i="1"/>
  <c r="CP90" i="1"/>
  <c r="CP82" i="1"/>
  <c r="CP74" i="1"/>
  <c r="CP66" i="1"/>
  <c r="CP58" i="1"/>
  <c r="CP50" i="1"/>
  <c r="CP42" i="1"/>
  <c r="CP34" i="1"/>
  <c r="CP26" i="1"/>
  <c r="CP18" i="1"/>
  <c r="CP201" i="1"/>
  <c r="CP193" i="1"/>
  <c r="CP185" i="1"/>
  <c r="CP177" i="1"/>
  <c r="CP169" i="1"/>
  <c r="CP161" i="1"/>
  <c r="CP153" i="1"/>
  <c r="CP145" i="1"/>
  <c r="CP137" i="1"/>
  <c r="CP129" i="1"/>
  <c r="CP121" i="1"/>
  <c r="CP113" i="1"/>
  <c r="CP105" i="1"/>
  <c r="CP97" i="1"/>
  <c r="CP89" i="1"/>
  <c r="CP81" i="1"/>
  <c r="CP73" i="1"/>
  <c r="CP65" i="1"/>
  <c r="CP57" i="1"/>
  <c r="CP49" i="1"/>
  <c r="CP41" i="1"/>
  <c r="CP33" i="1"/>
  <c r="CP25" i="1"/>
  <c r="CP17" i="1"/>
  <c r="CP203" i="1"/>
  <c r="CP195" i="1"/>
  <c r="CP187" i="1"/>
  <c r="CP179" i="1"/>
  <c r="CP171" i="1"/>
  <c r="CP163" i="1"/>
  <c r="CP155" i="1"/>
  <c r="CP147" i="1"/>
  <c r="CP139" i="1"/>
  <c r="CP131" i="1"/>
  <c r="CP123" i="1"/>
  <c r="CP115" i="1"/>
  <c r="CP107" i="1"/>
  <c r="CP99" i="1"/>
  <c r="CP91" i="1"/>
  <c r="CP83" i="1"/>
  <c r="CP75" i="1"/>
  <c r="CP67" i="1"/>
  <c r="CP59" i="1"/>
  <c r="CP51" i="1"/>
  <c r="CP43" i="1"/>
  <c r="CP35" i="1"/>
  <c r="CP27" i="1"/>
  <c r="CP19" i="1"/>
  <c r="CP11" i="1"/>
  <c r="CP207" i="1"/>
  <c r="CP199" i="1"/>
  <c r="CP191" i="1"/>
  <c r="CP183" i="1"/>
  <c r="CP175" i="1"/>
  <c r="CP167" i="1"/>
  <c r="CP159" i="1"/>
  <c r="CP151" i="1"/>
  <c r="CP143" i="1"/>
  <c r="CP135" i="1"/>
  <c r="CP127" i="1"/>
  <c r="CP119" i="1"/>
  <c r="CP111" i="1"/>
  <c r="CP103" i="1"/>
  <c r="CP95" i="1"/>
  <c r="CP87" i="1"/>
  <c r="CP79" i="1"/>
  <c r="CP71" i="1"/>
  <c r="CP63" i="1"/>
  <c r="CP55" i="1"/>
  <c r="CP47" i="1"/>
  <c r="CP39" i="1"/>
  <c r="CP31" i="1"/>
  <c r="CP23" i="1"/>
  <c r="CP15" i="1"/>
  <c r="CP205" i="1"/>
  <c r="CP197" i="1"/>
  <c r="CP189" i="1"/>
  <c r="CP181" i="1"/>
  <c r="CP173" i="1"/>
  <c r="CP165" i="1"/>
  <c r="CP157" i="1"/>
  <c r="CP149" i="1"/>
  <c r="CP141" i="1"/>
  <c r="CP133" i="1"/>
  <c r="CP125" i="1"/>
  <c r="CP117" i="1"/>
  <c r="CP109" i="1"/>
  <c r="CP101" i="1"/>
  <c r="CP93" i="1"/>
  <c r="CP85" i="1"/>
  <c r="CP77" i="1"/>
  <c r="CP69" i="1"/>
  <c r="CP61" i="1"/>
  <c r="CP53" i="1"/>
  <c r="CP45" i="1"/>
  <c r="CP37" i="1"/>
  <c r="CP29" i="1"/>
  <c r="CP21" i="1"/>
  <c r="CP13" i="1"/>
  <c r="CP206" i="1"/>
  <c r="CP198" i="1"/>
  <c r="CP190" i="1"/>
  <c r="CP182" i="1"/>
  <c r="CP174" i="1"/>
  <c r="CP166" i="1"/>
  <c r="CP158" i="1"/>
  <c r="CP150" i="1"/>
  <c r="CP142" i="1"/>
  <c r="CP134" i="1"/>
  <c r="CP126" i="1"/>
  <c r="CP118" i="1"/>
  <c r="CP110" i="1"/>
  <c r="CP102" i="1"/>
  <c r="CP94" i="1"/>
  <c r="CP86" i="1"/>
  <c r="CP78" i="1"/>
  <c r="CP70" i="1"/>
  <c r="CP62" i="1"/>
  <c r="CP54" i="1"/>
  <c r="CP46" i="1"/>
  <c r="CP38" i="1"/>
  <c r="CP30" i="1"/>
  <c r="CP22" i="1"/>
  <c r="CP14" i="1"/>
  <c r="EN11" i="1"/>
  <c r="CP204" i="1"/>
  <c r="CP196" i="1"/>
  <c r="CP188" i="1"/>
  <c r="CP180" i="1"/>
  <c r="CP172" i="1"/>
  <c r="CP164" i="1"/>
  <c r="CP156" i="1"/>
  <c r="CP148" i="1"/>
  <c r="CP140" i="1"/>
  <c r="CP132" i="1"/>
  <c r="CP124" i="1"/>
  <c r="CP116" i="1"/>
  <c r="CP108" i="1"/>
  <c r="CP100" i="1"/>
  <c r="CP92" i="1"/>
  <c r="CP84" i="1"/>
  <c r="CP76" i="1"/>
  <c r="CP68" i="1"/>
  <c r="CP60" i="1"/>
  <c r="CP52" i="1"/>
  <c r="CP44" i="1"/>
  <c r="CP36" i="1"/>
  <c r="CP28" i="1"/>
  <c r="CP20" i="1"/>
  <c r="CP12" i="1"/>
  <c r="CP10" i="1"/>
  <c r="AR206" i="1"/>
  <c r="AR198" i="1"/>
  <c r="AR190" i="1"/>
  <c r="AR182" i="1"/>
  <c r="AR174" i="1"/>
  <c r="AR166" i="1"/>
  <c r="AR158" i="1"/>
  <c r="AR150" i="1"/>
  <c r="AR142" i="1"/>
  <c r="AR134" i="1"/>
  <c r="AR126" i="1"/>
  <c r="AR118" i="1"/>
  <c r="AR110" i="1"/>
  <c r="AR102" i="1"/>
  <c r="AR94" i="1"/>
  <c r="AR86" i="1"/>
  <c r="AR78" i="1"/>
  <c r="AR70" i="1"/>
  <c r="AR62" i="1"/>
  <c r="AR54" i="1"/>
  <c r="AR46" i="1"/>
  <c r="AR38" i="1"/>
  <c r="AR30" i="1"/>
  <c r="AR22" i="1"/>
  <c r="AR14" i="1"/>
  <c r="AR148" i="1"/>
  <c r="AR124" i="1"/>
  <c r="AR20" i="1"/>
  <c r="AR205" i="1"/>
  <c r="AR197" i="1"/>
  <c r="AR189" i="1"/>
  <c r="AR181" i="1"/>
  <c r="AR173" i="1"/>
  <c r="AR165" i="1"/>
  <c r="AR157" i="1"/>
  <c r="AR149" i="1"/>
  <c r="AR141" i="1"/>
  <c r="AR133" i="1"/>
  <c r="AR125" i="1"/>
  <c r="AR117" i="1"/>
  <c r="AR109" i="1"/>
  <c r="AR101" i="1"/>
  <c r="AR93" i="1"/>
  <c r="AR85" i="1"/>
  <c r="AR77" i="1"/>
  <c r="AR69" i="1"/>
  <c r="AR61" i="1"/>
  <c r="AR53" i="1"/>
  <c r="AR45" i="1"/>
  <c r="AR37" i="1"/>
  <c r="AR29" i="1"/>
  <c r="AR21" i="1"/>
  <c r="AR13" i="1"/>
  <c r="AR188" i="1"/>
  <c r="AR180" i="1"/>
  <c r="AR156" i="1"/>
  <c r="AR116" i="1"/>
  <c r="AR92" i="1"/>
  <c r="AR84" i="1"/>
  <c r="AR60" i="1"/>
  <c r="AR52" i="1"/>
  <c r="AR28" i="1"/>
  <c r="AR204" i="1"/>
  <c r="AR196" i="1"/>
  <c r="AR172" i="1"/>
  <c r="AR164" i="1"/>
  <c r="AR140" i="1"/>
  <c r="AR132" i="1"/>
  <c r="AR108" i="1"/>
  <c r="AR100" i="1"/>
  <c r="AR76" i="1"/>
  <c r="AR68" i="1"/>
  <c r="AR44" i="1"/>
  <c r="AR36" i="1"/>
  <c r="AR12" i="1"/>
  <c r="AR186" i="1"/>
  <c r="AR154" i="1"/>
  <c r="AR122" i="1"/>
  <c r="AR90" i="1"/>
  <c r="AR58" i="1"/>
  <c r="AR26" i="1"/>
  <c r="AR203" i="1"/>
  <c r="AR195" i="1"/>
  <c r="AR163" i="1"/>
  <c r="AR139" i="1"/>
  <c r="AR107" i="1"/>
  <c r="AR99" i="1"/>
  <c r="AR91" i="1"/>
  <c r="AR83" i="1"/>
  <c r="AR75" i="1"/>
  <c r="AR67" i="1"/>
  <c r="AR59" i="1"/>
  <c r="AR51" i="1"/>
  <c r="AR43" i="1"/>
  <c r="AR35" i="1"/>
  <c r="AR27" i="1"/>
  <c r="AR19" i="1"/>
  <c r="AR11" i="1"/>
  <c r="AR202" i="1"/>
  <c r="AR194" i="1"/>
  <c r="AR178" i="1"/>
  <c r="AR170" i="1"/>
  <c r="AR162" i="1"/>
  <c r="AR146" i="1"/>
  <c r="AR138" i="1"/>
  <c r="AR130" i="1"/>
  <c r="AR114" i="1"/>
  <c r="AR106" i="1"/>
  <c r="AR98" i="1"/>
  <c r="AR82" i="1"/>
  <c r="AR74" i="1"/>
  <c r="AR66" i="1"/>
  <c r="AR50" i="1"/>
  <c r="AR42" i="1"/>
  <c r="AR34" i="1"/>
  <c r="AR187" i="1"/>
  <c r="AR155" i="1"/>
  <c r="AR131" i="1"/>
  <c r="AR18" i="1"/>
  <c r="AR201" i="1"/>
  <c r="AR193" i="1"/>
  <c r="AR185" i="1"/>
  <c r="AR177" i="1"/>
  <c r="AR169" i="1"/>
  <c r="AR161" i="1"/>
  <c r="AR153" i="1"/>
  <c r="AR145" i="1"/>
  <c r="AR137" i="1"/>
  <c r="AR129" i="1"/>
  <c r="AR121" i="1"/>
  <c r="AR113" i="1"/>
  <c r="AR105" i="1"/>
  <c r="AR97" i="1"/>
  <c r="AR89" i="1"/>
  <c r="AR81" i="1"/>
  <c r="AR73" i="1"/>
  <c r="AR65" i="1"/>
  <c r="AR57" i="1"/>
  <c r="AR49" i="1"/>
  <c r="AR41" i="1"/>
  <c r="AR33" i="1"/>
  <c r="AR25" i="1"/>
  <c r="AR17" i="1"/>
  <c r="AR171" i="1"/>
  <c r="AR123" i="1"/>
  <c r="AR10" i="1"/>
  <c r="AR200" i="1"/>
  <c r="AR192" i="1"/>
  <c r="AR184" i="1"/>
  <c r="AR176" i="1"/>
  <c r="AR168" i="1"/>
  <c r="AR160" i="1"/>
  <c r="AR152" i="1"/>
  <c r="AR144" i="1"/>
  <c r="AR136" i="1"/>
  <c r="AR128" i="1"/>
  <c r="AR120" i="1"/>
  <c r="AR112" i="1"/>
  <c r="AR104" i="1"/>
  <c r="AR96" i="1"/>
  <c r="AR88" i="1"/>
  <c r="AR80" i="1"/>
  <c r="AR72" i="1"/>
  <c r="AR64" i="1"/>
  <c r="AR56" i="1"/>
  <c r="AR48" i="1"/>
  <c r="AR40" i="1"/>
  <c r="AR32" i="1"/>
  <c r="AR24" i="1"/>
  <c r="AR16" i="1"/>
  <c r="AR179" i="1"/>
  <c r="AR147" i="1"/>
  <c r="AR115" i="1"/>
  <c r="AR207" i="1"/>
  <c r="AR199" i="1"/>
  <c r="AR191" i="1"/>
  <c r="AR183" i="1"/>
  <c r="AR175" i="1"/>
  <c r="AR167" i="1"/>
  <c r="AR159" i="1"/>
  <c r="AR151" i="1"/>
  <c r="AR143" i="1"/>
  <c r="AR135" i="1"/>
  <c r="AR127" i="1"/>
  <c r="AR119" i="1"/>
  <c r="AR111" i="1"/>
  <c r="AR103" i="1"/>
  <c r="AR95" i="1"/>
  <c r="AR87" i="1"/>
  <c r="AR79" i="1"/>
  <c r="AR71" i="1"/>
  <c r="AR63" i="1"/>
  <c r="AR55" i="1"/>
  <c r="AR47" i="1"/>
  <c r="AR39" i="1"/>
  <c r="AR31" i="1"/>
  <c r="AR23" i="1"/>
  <c r="AR15" i="1"/>
  <c r="EJ143" i="1"/>
  <c r="DL62" i="1"/>
  <c r="EJ38" i="1"/>
  <c r="DL176" i="1"/>
  <c r="EI193" i="1"/>
  <c r="DM120" i="1"/>
  <c r="DN120" i="1" s="1"/>
  <c r="DO120" i="1" s="1"/>
  <c r="DP120" i="1" s="1"/>
  <c r="EI39" i="1"/>
  <c r="DM121" i="1"/>
  <c r="DN121" i="1" s="1"/>
  <c r="DO121" i="1" s="1"/>
  <c r="DP121" i="1" s="1"/>
  <c r="EI186" i="1"/>
  <c r="EI46" i="1"/>
  <c r="EJ32" i="1"/>
  <c r="EJ88" i="1"/>
  <c r="DL142" i="1"/>
  <c r="DM101" i="1"/>
  <c r="DN101" i="1" s="1"/>
  <c r="DO101" i="1" s="1"/>
  <c r="DP101" i="1" s="1"/>
  <c r="EI15" i="1"/>
  <c r="EI89" i="1"/>
  <c r="EJ105" i="1"/>
  <c r="DL166" i="1"/>
  <c r="DM203" i="1"/>
  <c r="DN203" i="1" s="1"/>
  <c r="DO203" i="1" s="1"/>
  <c r="DP203" i="1" s="1"/>
  <c r="DM57" i="1"/>
  <c r="DN57" i="1" s="1"/>
  <c r="DO57" i="1" s="1"/>
  <c r="DP57" i="1" s="1"/>
  <c r="EI206" i="1"/>
  <c r="EI167" i="1"/>
  <c r="EI129" i="1"/>
  <c r="EI83" i="1"/>
  <c r="EI33" i="1"/>
  <c r="DL102" i="1"/>
  <c r="DM191" i="1"/>
  <c r="DN191" i="1" s="1"/>
  <c r="DO191" i="1" s="1"/>
  <c r="DP191" i="1" s="1"/>
  <c r="DM49" i="1"/>
  <c r="DN49" i="1" s="1"/>
  <c r="DO49" i="1" s="1"/>
  <c r="DP49" i="1" s="1"/>
  <c r="EI78" i="1"/>
  <c r="EI26" i="1"/>
  <c r="EJ57" i="1"/>
  <c r="DL88" i="1"/>
  <c r="DM175" i="1"/>
  <c r="DN175" i="1" s="1"/>
  <c r="DO175" i="1" s="1"/>
  <c r="DP175" i="1" s="1"/>
  <c r="EI115" i="1"/>
  <c r="EI207" i="1"/>
  <c r="EJ58" i="1"/>
  <c r="EJ146" i="1"/>
  <c r="DM169" i="1"/>
  <c r="DN169" i="1" s="1"/>
  <c r="DO169" i="1" s="1"/>
  <c r="DP169" i="1" s="1"/>
  <c r="EI154" i="1"/>
  <c r="EI110" i="1"/>
  <c r="EI58" i="1"/>
  <c r="EJ15" i="1"/>
  <c r="EJ186" i="1"/>
  <c r="DM150" i="1"/>
  <c r="DN150" i="1" s="1"/>
  <c r="DO150" i="1" s="1"/>
  <c r="DP150" i="1" s="1"/>
  <c r="EI191" i="1"/>
  <c r="EI153" i="1"/>
  <c r="EI50" i="1"/>
  <c r="EJ21" i="1"/>
  <c r="EJ187" i="1"/>
  <c r="EH18" i="1"/>
  <c r="EJ18" i="1"/>
  <c r="DM18" i="1"/>
  <c r="DN18" i="1" s="1"/>
  <c r="DO18" i="1" s="1"/>
  <c r="DP18" i="1" s="1"/>
  <c r="EI18" i="1"/>
  <c r="EH75" i="1"/>
  <c r="EJ75" i="1"/>
  <c r="EI75" i="1"/>
  <c r="EH114" i="1"/>
  <c r="EJ114" i="1"/>
  <c r="EI114" i="1"/>
  <c r="EH138" i="1"/>
  <c r="EI138" i="1"/>
  <c r="EH148" i="1"/>
  <c r="EJ148" i="1"/>
  <c r="EI148" i="1"/>
  <c r="EH173" i="1"/>
  <c r="EI173" i="1"/>
  <c r="DL173" i="1"/>
  <c r="EH197" i="1"/>
  <c r="EJ197" i="1"/>
  <c r="EI197" i="1"/>
  <c r="DL197" i="1"/>
  <c r="EH205" i="1"/>
  <c r="EI205" i="1"/>
  <c r="DL205" i="1"/>
  <c r="EH35" i="1"/>
  <c r="EJ35" i="1"/>
  <c r="EI35" i="1"/>
  <c r="EI59" i="1"/>
  <c r="EJ59" i="1"/>
  <c r="EH77" i="1"/>
  <c r="EI77" i="1"/>
  <c r="DM77" i="1"/>
  <c r="DN77" i="1" s="1"/>
  <c r="DO77" i="1" s="1"/>
  <c r="DP77" i="1" s="1"/>
  <c r="DL77" i="1"/>
  <c r="EH122" i="1"/>
  <c r="EJ122" i="1"/>
  <c r="EI122" i="1"/>
  <c r="EH103" i="1"/>
  <c r="EJ103" i="1"/>
  <c r="DM103" i="1"/>
  <c r="DN103" i="1" s="1"/>
  <c r="DO103" i="1" s="1"/>
  <c r="DP103" i="1" s="1"/>
  <c r="EH164" i="1"/>
  <c r="EI164" i="1"/>
  <c r="EJ164" i="1"/>
  <c r="EH189" i="1"/>
  <c r="EJ189" i="1"/>
  <c r="EI189" i="1"/>
  <c r="DL189" i="1"/>
  <c r="DL18" i="1"/>
  <c r="EJ126" i="1"/>
  <c r="EI126" i="1"/>
  <c r="EI51" i="1"/>
  <c r="EH30" i="1"/>
  <c r="EI30" i="1"/>
  <c r="EJ30" i="1"/>
  <c r="DL30" i="1"/>
  <c r="EJ43" i="1"/>
  <c r="EI43" i="1"/>
  <c r="EH67" i="1"/>
  <c r="DM67" i="1"/>
  <c r="DN67" i="1" s="1"/>
  <c r="DO67" i="1" s="1"/>
  <c r="DP67" i="1" s="1"/>
  <c r="EI67" i="1"/>
  <c r="EJ67" i="1"/>
  <c r="EH86" i="1"/>
  <c r="EJ86" i="1"/>
  <c r="EI86" i="1"/>
  <c r="DL86" i="1"/>
  <c r="EH130" i="1"/>
  <c r="EJ130" i="1"/>
  <c r="EI130" i="1"/>
  <c r="DM130" i="1"/>
  <c r="DN130" i="1" s="1"/>
  <c r="DO130" i="1" s="1"/>
  <c r="DP130" i="1" s="1"/>
  <c r="EH111" i="1"/>
  <c r="DM111" i="1"/>
  <c r="DN111" i="1" s="1"/>
  <c r="DO111" i="1" s="1"/>
  <c r="DP111" i="1" s="1"/>
  <c r="EJ111" i="1"/>
  <c r="EI111" i="1"/>
  <c r="EH156" i="1"/>
  <c r="EJ156" i="1"/>
  <c r="EI156" i="1"/>
  <c r="EH181" i="1"/>
  <c r="EJ181" i="1"/>
  <c r="EI181" i="1"/>
  <c r="DM181" i="1"/>
  <c r="DN181" i="1" s="1"/>
  <c r="DO181" i="1" s="1"/>
  <c r="DP181" i="1" s="1"/>
  <c r="DL181" i="1"/>
  <c r="DL126" i="1"/>
  <c r="EJ77" i="1"/>
  <c r="EI60" i="1"/>
  <c r="EJ60" i="1"/>
  <c r="DL157" i="1"/>
  <c r="EJ157" i="1"/>
  <c r="EI157" i="1"/>
  <c r="DL190" i="1"/>
  <c r="EJ190" i="1"/>
  <c r="EH14" i="1"/>
  <c r="EJ14" i="1"/>
  <c r="EH12" i="1"/>
  <c r="EI12" i="1"/>
  <c r="EH37" i="1"/>
  <c r="EI37" i="1"/>
  <c r="DM37" i="1"/>
  <c r="DN37" i="1" s="1"/>
  <c r="DO37" i="1" s="1"/>
  <c r="DP37" i="1" s="1"/>
  <c r="EH45" i="1"/>
  <c r="EI45" i="1"/>
  <c r="EH53" i="1"/>
  <c r="EI53" i="1"/>
  <c r="EH61" i="1"/>
  <c r="EI61" i="1"/>
  <c r="EH69" i="1"/>
  <c r="EI69" i="1"/>
  <c r="EH116" i="1"/>
  <c r="EI116" i="1"/>
  <c r="EH124" i="1"/>
  <c r="EI124" i="1"/>
  <c r="EH132" i="1"/>
  <c r="EJ132" i="1"/>
  <c r="EI132" i="1"/>
  <c r="EH140" i="1"/>
  <c r="EJ140" i="1"/>
  <c r="EI140" i="1"/>
  <c r="DM140" i="1"/>
  <c r="DN140" i="1" s="1"/>
  <c r="DO140" i="1" s="1"/>
  <c r="DP140" i="1" s="1"/>
  <c r="EH142" i="1"/>
  <c r="EJ142" i="1"/>
  <c r="DM142" i="1"/>
  <c r="DN142" i="1" s="1"/>
  <c r="DO142" i="1" s="1"/>
  <c r="DP142" i="1" s="1"/>
  <c r="EH158" i="1"/>
  <c r="EJ158" i="1"/>
  <c r="DM158" i="1"/>
  <c r="DN158" i="1" s="1"/>
  <c r="DO158" i="1" s="1"/>
  <c r="DP158" i="1" s="1"/>
  <c r="EH166" i="1"/>
  <c r="EJ166" i="1"/>
  <c r="EH183" i="1"/>
  <c r="EJ183" i="1"/>
  <c r="DL158" i="1"/>
  <c r="DL110" i="1"/>
  <c r="DM163" i="1"/>
  <c r="DN163" i="1" s="1"/>
  <c r="DO163" i="1" s="1"/>
  <c r="DP163" i="1" s="1"/>
  <c r="DM110" i="1"/>
  <c r="DN110" i="1" s="1"/>
  <c r="DO110" i="1" s="1"/>
  <c r="DP110" i="1" s="1"/>
  <c r="DM45" i="1"/>
  <c r="DN45" i="1" s="1"/>
  <c r="DO45" i="1" s="1"/>
  <c r="DP45" i="1" s="1"/>
  <c r="EI19" i="1"/>
  <c r="EI190" i="1"/>
  <c r="EI177" i="1"/>
  <c r="EI99" i="1"/>
  <c r="EI87" i="1"/>
  <c r="EI62" i="1"/>
  <c r="EJ11" i="1"/>
  <c r="EJ42" i="1"/>
  <c r="EJ81" i="1"/>
  <c r="EJ110" i="1"/>
  <c r="EJ149" i="1"/>
  <c r="EJ191" i="1"/>
  <c r="DL17" i="1"/>
  <c r="EI17" i="1"/>
  <c r="DL24" i="1"/>
  <c r="EJ24" i="1"/>
  <c r="EI24" i="1"/>
  <c r="EJ44" i="1"/>
  <c r="EI44" i="1"/>
  <c r="DL104" i="1"/>
  <c r="EI104" i="1"/>
  <c r="DL112" i="1"/>
  <c r="EJ112" i="1"/>
  <c r="EI112" i="1"/>
  <c r="DL165" i="1"/>
  <c r="EI165" i="1"/>
  <c r="DL198" i="1"/>
  <c r="EJ198" i="1"/>
  <c r="EI21" i="1"/>
  <c r="DL20" i="1"/>
  <c r="EI20" i="1"/>
  <c r="EH46" i="1"/>
  <c r="DM46" i="1"/>
  <c r="DN46" i="1" s="1"/>
  <c r="DO46" i="1" s="1"/>
  <c r="DP46" i="1" s="1"/>
  <c r="EH70" i="1"/>
  <c r="EJ70" i="1"/>
  <c r="EH80" i="1"/>
  <c r="EI80" i="1"/>
  <c r="EH117" i="1"/>
  <c r="EI117" i="1"/>
  <c r="DL133" i="1"/>
  <c r="EI133" i="1"/>
  <c r="EJ141" i="1"/>
  <c r="EI141" i="1"/>
  <c r="DM159" i="1"/>
  <c r="DN159" i="1" s="1"/>
  <c r="DO159" i="1" s="1"/>
  <c r="DP159" i="1" s="1"/>
  <c r="EJ159" i="1"/>
  <c r="EH184" i="1"/>
  <c r="EJ184" i="1"/>
  <c r="EI184" i="1"/>
  <c r="EH192" i="1"/>
  <c r="EJ192" i="1"/>
  <c r="EI192" i="1"/>
  <c r="DM192" i="1"/>
  <c r="DN192" i="1" s="1"/>
  <c r="DO192" i="1" s="1"/>
  <c r="DP192" i="1" s="1"/>
  <c r="EH200" i="1"/>
  <c r="EJ200" i="1"/>
  <c r="EI200" i="1"/>
  <c r="DL192" i="1"/>
  <c r="DL150" i="1"/>
  <c r="DL53" i="1"/>
  <c r="DM39" i="1"/>
  <c r="DN39" i="1" s="1"/>
  <c r="DO39" i="1" s="1"/>
  <c r="DP39" i="1" s="1"/>
  <c r="EI201" i="1"/>
  <c r="EI187" i="1"/>
  <c r="EI175" i="1"/>
  <c r="EI162" i="1"/>
  <c r="EI150" i="1"/>
  <c r="EI137" i="1"/>
  <c r="EI123" i="1"/>
  <c r="EI73" i="1"/>
  <c r="EJ12" i="1"/>
  <c r="EJ45" i="1"/>
  <c r="EJ61" i="1"/>
  <c r="EJ83" i="1"/>
  <c r="EJ154" i="1"/>
  <c r="EJ195" i="1"/>
  <c r="EH22" i="1"/>
  <c r="DL22" i="1"/>
  <c r="EH27" i="1"/>
  <c r="DM27" i="1"/>
  <c r="DN27" i="1" s="1"/>
  <c r="DO27" i="1" s="1"/>
  <c r="DP27" i="1" s="1"/>
  <c r="EH32" i="1"/>
  <c r="EI32" i="1"/>
  <c r="EH40" i="1"/>
  <c r="EI40" i="1"/>
  <c r="EH48" i="1"/>
  <c r="EI48" i="1"/>
  <c r="EH56" i="1"/>
  <c r="EI56" i="1"/>
  <c r="EH64" i="1"/>
  <c r="EJ64" i="1"/>
  <c r="EI64" i="1"/>
  <c r="EH72" i="1"/>
  <c r="EI72" i="1"/>
  <c r="EH96" i="1"/>
  <c r="EJ96" i="1"/>
  <c r="EI96" i="1"/>
  <c r="EH119" i="1"/>
  <c r="EJ119" i="1"/>
  <c r="EH127" i="1"/>
  <c r="EJ127" i="1"/>
  <c r="EH135" i="1"/>
  <c r="EJ135" i="1"/>
  <c r="EH100" i="1"/>
  <c r="EI100" i="1"/>
  <c r="EH108" i="1"/>
  <c r="EJ108" i="1"/>
  <c r="EI108" i="1"/>
  <c r="EH153" i="1"/>
  <c r="EJ153" i="1"/>
  <c r="EH161" i="1"/>
  <c r="EJ161" i="1"/>
  <c r="EH178" i="1"/>
  <c r="EJ178" i="1"/>
  <c r="EH194" i="1"/>
  <c r="EJ194" i="1"/>
  <c r="EH202" i="1"/>
  <c r="EJ202" i="1"/>
  <c r="DL70" i="1"/>
  <c r="DL45" i="1"/>
  <c r="DM194" i="1"/>
  <c r="DN194" i="1" s="1"/>
  <c r="DO194" i="1" s="1"/>
  <c r="DP194" i="1" s="1"/>
  <c r="DM88" i="1"/>
  <c r="DN88" i="1" s="1"/>
  <c r="DO88" i="1" s="1"/>
  <c r="DP88" i="1" s="1"/>
  <c r="DM16" i="1"/>
  <c r="DN16" i="1" s="1"/>
  <c r="DO16" i="1" s="1"/>
  <c r="DP16" i="1" s="1"/>
  <c r="EI14" i="1"/>
  <c r="EI198" i="1"/>
  <c r="EI171" i="1"/>
  <c r="EI159" i="1"/>
  <c r="EI146" i="1"/>
  <c r="EI134" i="1"/>
  <c r="EI95" i="1"/>
  <c r="EI82" i="1"/>
  <c r="EI70" i="1"/>
  <c r="EI57" i="1"/>
  <c r="EI31" i="1"/>
  <c r="EJ33" i="1"/>
  <c r="EJ48" i="1"/>
  <c r="EJ125" i="1"/>
  <c r="EJ165" i="1"/>
  <c r="EJ207" i="1"/>
  <c r="EH23" i="1"/>
  <c r="EJ23" i="1"/>
  <c r="EH28" i="1"/>
  <c r="EI28" i="1"/>
  <c r="EH49" i="1"/>
  <c r="EJ49" i="1"/>
  <c r="EH65" i="1"/>
  <c r="EJ65" i="1"/>
  <c r="EH97" i="1"/>
  <c r="EJ97" i="1"/>
  <c r="EH84" i="1"/>
  <c r="EI84" i="1"/>
  <c r="EJ84" i="1"/>
  <c r="EH98" i="1"/>
  <c r="EJ98" i="1"/>
  <c r="EH120" i="1"/>
  <c r="EJ120" i="1"/>
  <c r="EI120" i="1"/>
  <c r="EH128" i="1"/>
  <c r="EI128" i="1"/>
  <c r="DM128" i="1"/>
  <c r="DN128" i="1" s="1"/>
  <c r="DO128" i="1" s="1"/>
  <c r="DP128" i="1" s="1"/>
  <c r="EH136" i="1"/>
  <c r="EJ136" i="1"/>
  <c r="EI136" i="1"/>
  <c r="EH101" i="1"/>
  <c r="EJ101" i="1"/>
  <c r="EI101" i="1"/>
  <c r="EH109" i="1"/>
  <c r="EJ109" i="1"/>
  <c r="EI109" i="1"/>
  <c r="EH179" i="1"/>
  <c r="EJ179" i="1"/>
  <c r="EH203" i="1"/>
  <c r="EJ203" i="1"/>
  <c r="DL134" i="1"/>
  <c r="DL96" i="1"/>
  <c r="DL69" i="1"/>
  <c r="DL40" i="1"/>
  <c r="DM132" i="1"/>
  <c r="DN132" i="1" s="1"/>
  <c r="DO132" i="1" s="1"/>
  <c r="DP132" i="1" s="1"/>
  <c r="DM15" i="1"/>
  <c r="DN15" i="1" s="1"/>
  <c r="DO15" i="1" s="1"/>
  <c r="DP15" i="1" s="1"/>
  <c r="EI10" i="1"/>
  <c r="EI13" i="1"/>
  <c r="EI183" i="1"/>
  <c r="EI170" i="1"/>
  <c r="EI158" i="1"/>
  <c r="EI145" i="1"/>
  <c r="EI131" i="1"/>
  <c r="EI119" i="1"/>
  <c r="EI94" i="1"/>
  <c r="EI81" i="1"/>
  <c r="EI55" i="1"/>
  <c r="EI42" i="1"/>
  <c r="EJ17" i="1"/>
  <c r="EJ36" i="1"/>
  <c r="EJ52" i="1"/>
  <c r="EJ68" i="1"/>
  <c r="EJ92" i="1"/>
  <c r="EJ128" i="1"/>
  <c r="EJ169" i="1"/>
  <c r="EH93" i="1"/>
  <c r="EI93" i="1"/>
  <c r="EJ93" i="1"/>
  <c r="DM93" i="1"/>
  <c r="DN93" i="1" s="1"/>
  <c r="DO93" i="1" s="1"/>
  <c r="DP93" i="1" s="1"/>
  <c r="EH144" i="1"/>
  <c r="EI144" i="1"/>
  <c r="DL152" i="1"/>
  <c r="EJ152" i="1"/>
  <c r="EI152" i="1"/>
  <c r="EH160" i="1"/>
  <c r="EI160" i="1"/>
  <c r="EH168" i="1"/>
  <c r="EI168" i="1"/>
  <c r="EI174" i="1"/>
  <c r="EI71" i="1"/>
  <c r="EH16" i="1"/>
  <c r="EI16" i="1"/>
  <c r="EH29" i="1"/>
  <c r="EI29" i="1"/>
  <c r="EH34" i="1"/>
  <c r="EJ34" i="1"/>
  <c r="EH66" i="1"/>
  <c r="DM66" i="1"/>
  <c r="DN66" i="1" s="1"/>
  <c r="DO66" i="1" s="1"/>
  <c r="DP66" i="1" s="1"/>
  <c r="EH74" i="1"/>
  <c r="EJ74" i="1"/>
  <c r="EH76" i="1"/>
  <c r="EJ76" i="1"/>
  <c r="EI76" i="1"/>
  <c r="EH85" i="1"/>
  <c r="EI85" i="1"/>
  <c r="EH113" i="1"/>
  <c r="EJ113" i="1"/>
  <c r="DM113" i="1"/>
  <c r="DN113" i="1" s="1"/>
  <c r="DO113" i="1" s="1"/>
  <c r="DP113" i="1" s="1"/>
  <c r="EH121" i="1"/>
  <c r="EJ121" i="1"/>
  <c r="EH137" i="1"/>
  <c r="EJ137" i="1"/>
  <c r="EH102" i="1"/>
  <c r="EJ102" i="1"/>
  <c r="EH147" i="1"/>
  <c r="EJ147" i="1"/>
  <c r="EH155" i="1"/>
  <c r="EJ155" i="1"/>
  <c r="EH163" i="1"/>
  <c r="EJ163" i="1"/>
  <c r="EH172" i="1"/>
  <c r="EJ172" i="1"/>
  <c r="EI172" i="1"/>
  <c r="EH180" i="1"/>
  <c r="EI180" i="1"/>
  <c r="DM180" i="1"/>
  <c r="DN180" i="1" s="1"/>
  <c r="DO180" i="1" s="1"/>
  <c r="DP180" i="1" s="1"/>
  <c r="EJ180" i="1"/>
  <c r="EH188" i="1"/>
  <c r="EI188" i="1"/>
  <c r="EH196" i="1"/>
  <c r="EI196" i="1"/>
  <c r="EJ196" i="1"/>
  <c r="EH204" i="1"/>
  <c r="EI204" i="1"/>
  <c r="DL128" i="1"/>
  <c r="DL93" i="1"/>
  <c r="DL64" i="1"/>
  <c r="DL37" i="1"/>
  <c r="DM184" i="1"/>
  <c r="DN184" i="1" s="1"/>
  <c r="DO184" i="1" s="1"/>
  <c r="DP184" i="1" s="1"/>
  <c r="DM58" i="1"/>
  <c r="DN58" i="1" s="1"/>
  <c r="DO58" i="1" s="1"/>
  <c r="DP58" i="1" s="1"/>
  <c r="EI23" i="1"/>
  <c r="EI11" i="1"/>
  <c r="EI194" i="1"/>
  <c r="EI182" i="1"/>
  <c r="EI169" i="1"/>
  <c r="EI155" i="1"/>
  <c r="EI118" i="1"/>
  <c r="EI105" i="1"/>
  <c r="EI79" i="1"/>
  <c r="EI66" i="1"/>
  <c r="EI54" i="1"/>
  <c r="EI27" i="1"/>
  <c r="EJ20" i="1"/>
  <c r="EJ37" i="1"/>
  <c r="EJ53" i="1"/>
  <c r="EJ95" i="1"/>
  <c r="EJ133" i="1"/>
  <c r="EJ176" i="1"/>
  <c r="EH44" i="1"/>
  <c r="DM44" i="1"/>
  <c r="DN44" i="1" s="1"/>
  <c r="DO44" i="1" s="1"/>
  <c r="DP44" i="1" s="1"/>
  <c r="DL44" i="1"/>
  <c r="EH115" i="1"/>
  <c r="DM115" i="1"/>
  <c r="DN115" i="1" s="1"/>
  <c r="DO115" i="1" s="1"/>
  <c r="DP115" i="1" s="1"/>
  <c r="DL115" i="1"/>
  <c r="EH149" i="1"/>
  <c r="DM149" i="1"/>
  <c r="DN149" i="1" s="1"/>
  <c r="DO149" i="1" s="1"/>
  <c r="DP149" i="1" s="1"/>
  <c r="EH206" i="1"/>
  <c r="DM206" i="1"/>
  <c r="DN206" i="1" s="1"/>
  <c r="DO206" i="1" s="1"/>
  <c r="DP206" i="1" s="1"/>
  <c r="DL174" i="1"/>
  <c r="DL46" i="1"/>
  <c r="DM70" i="1"/>
  <c r="DN70" i="1" s="1"/>
  <c r="DO70" i="1" s="1"/>
  <c r="DP70" i="1" s="1"/>
  <c r="EH31" i="1"/>
  <c r="DL31" i="1"/>
  <c r="EH60" i="1"/>
  <c r="DL60" i="1"/>
  <c r="EH87" i="1"/>
  <c r="DM87" i="1"/>
  <c r="DN87" i="1" s="1"/>
  <c r="DO87" i="1" s="1"/>
  <c r="DP87" i="1" s="1"/>
  <c r="DL87" i="1"/>
  <c r="EH139" i="1"/>
  <c r="DL139" i="1"/>
  <c r="EH157" i="1"/>
  <c r="DM157" i="1"/>
  <c r="DN157" i="1" s="1"/>
  <c r="DO157" i="1" s="1"/>
  <c r="DP157" i="1" s="1"/>
  <c r="DM190" i="1"/>
  <c r="DN190" i="1" s="1"/>
  <c r="DO190" i="1" s="1"/>
  <c r="DP190" i="1" s="1"/>
  <c r="EH20" i="1"/>
  <c r="DM20" i="1"/>
  <c r="DN20" i="1" s="1"/>
  <c r="DO20" i="1" s="1"/>
  <c r="DP20" i="1" s="1"/>
  <c r="EH25" i="1"/>
  <c r="DL25" i="1"/>
  <c r="EH13" i="1"/>
  <c r="DL13" i="1"/>
  <c r="DM13" i="1"/>
  <c r="DN13" i="1" s="1"/>
  <c r="DO13" i="1" s="1"/>
  <c r="DP13" i="1" s="1"/>
  <c r="EH38" i="1"/>
  <c r="DM38" i="1"/>
  <c r="DN38" i="1" s="1"/>
  <c r="DO38" i="1" s="1"/>
  <c r="DP38" i="1" s="1"/>
  <c r="EH54" i="1"/>
  <c r="DM54" i="1"/>
  <c r="DN54" i="1" s="1"/>
  <c r="DO54" i="1" s="1"/>
  <c r="DP54" i="1" s="1"/>
  <c r="EH62" i="1"/>
  <c r="DM62" i="1"/>
  <c r="DN62" i="1" s="1"/>
  <c r="DO62" i="1" s="1"/>
  <c r="DP62" i="1" s="1"/>
  <c r="EH92" i="1"/>
  <c r="DL92" i="1"/>
  <c r="DM92" i="1"/>
  <c r="DN92" i="1" s="1"/>
  <c r="DO92" i="1" s="1"/>
  <c r="DP92" i="1" s="1"/>
  <c r="EH89" i="1"/>
  <c r="DL89" i="1"/>
  <c r="EH125" i="1"/>
  <c r="DM125" i="1"/>
  <c r="DN125" i="1" s="1"/>
  <c r="DO125" i="1" s="1"/>
  <c r="DP125" i="1" s="1"/>
  <c r="EH133" i="1"/>
  <c r="DM133" i="1"/>
  <c r="DN133" i="1" s="1"/>
  <c r="DO133" i="1" s="1"/>
  <c r="DP133" i="1" s="1"/>
  <c r="EH141" i="1"/>
  <c r="DM141" i="1"/>
  <c r="DN141" i="1" s="1"/>
  <c r="DO141" i="1" s="1"/>
  <c r="DP141" i="1" s="1"/>
  <c r="EH106" i="1"/>
  <c r="DL106" i="1"/>
  <c r="EH143" i="1"/>
  <c r="DM143" i="1"/>
  <c r="DN143" i="1" s="1"/>
  <c r="DO143" i="1" s="1"/>
  <c r="DP143" i="1" s="1"/>
  <c r="DL143" i="1"/>
  <c r="EH151" i="1"/>
  <c r="DL151" i="1"/>
  <c r="EH159" i="1"/>
  <c r="DL159" i="1"/>
  <c r="EH167" i="1"/>
  <c r="DM167" i="1"/>
  <c r="DN167" i="1" s="1"/>
  <c r="DO167" i="1" s="1"/>
  <c r="DP167" i="1" s="1"/>
  <c r="DL167" i="1"/>
  <c r="EH176" i="1"/>
  <c r="DM176" i="1"/>
  <c r="DN176" i="1" s="1"/>
  <c r="DO176" i="1" s="1"/>
  <c r="DP176" i="1" s="1"/>
  <c r="EH170" i="1"/>
  <c r="DL170" i="1"/>
  <c r="DL144" i="1"/>
  <c r="DL125" i="1"/>
  <c r="DL80" i="1"/>
  <c r="DL38" i="1"/>
  <c r="DM89" i="1"/>
  <c r="DN89" i="1" s="1"/>
  <c r="DO89" i="1" s="1"/>
  <c r="DP89" i="1" s="1"/>
  <c r="DM60" i="1"/>
  <c r="DN60" i="1" s="1"/>
  <c r="DO60" i="1" s="1"/>
  <c r="DP60" i="1" s="1"/>
  <c r="DM31" i="1"/>
  <c r="DN31" i="1" s="1"/>
  <c r="DO31" i="1" s="1"/>
  <c r="DP31" i="1" s="1"/>
  <c r="EH24" i="1"/>
  <c r="DM24" i="1"/>
  <c r="DN24" i="1" s="1"/>
  <c r="DO24" i="1" s="1"/>
  <c r="DP24" i="1" s="1"/>
  <c r="EH104" i="1"/>
  <c r="DM104" i="1"/>
  <c r="DN104" i="1" s="1"/>
  <c r="DO104" i="1" s="1"/>
  <c r="DP104" i="1" s="1"/>
  <c r="EH21" i="1"/>
  <c r="DM21" i="1"/>
  <c r="DN21" i="1" s="1"/>
  <c r="DO21" i="1" s="1"/>
  <c r="DP21" i="1" s="1"/>
  <c r="EH26" i="1"/>
  <c r="DL26" i="1"/>
  <c r="DM26" i="1"/>
  <c r="DN26" i="1" s="1"/>
  <c r="DO26" i="1" s="1"/>
  <c r="DP26" i="1" s="1"/>
  <c r="EH10" i="1"/>
  <c r="DL10" i="1"/>
  <c r="DM10" i="1"/>
  <c r="DN10" i="1" s="1"/>
  <c r="DO10" i="1" s="1"/>
  <c r="DP10" i="1" s="1"/>
  <c r="EH39" i="1"/>
  <c r="DL39" i="1"/>
  <c r="EH47" i="1"/>
  <c r="DL47" i="1"/>
  <c r="EH55" i="1"/>
  <c r="DM55" i="1"/>
  <c r="DN55" i="1" s="1"/>
  <c r="DO55" i="1" s="1"/>
  <c r="DP55" i="1" s="1"/>
  <c r="DL55" i="1"/>
  <c r="EH63" i="1"/>
  <c r="DL63" i="1"/>
  <c r="EH71" i="1"/>
  <c r="DM71" i="1"/>
  <c r="DN71" i="1" s="1"/>
  <c r="DO71" i="1" s="1"/>
  <c r="DP71" i="1" s="1"/>
  <c r="DL71" i="1"/>
  <c r="EH82" i="1"/>
  <c r="DL82" i="1"/>
  <c r="EH118" i="1"/>
  <c r="DM118" i="1"/>
  <c r="DN118" i="1" s="1"/>
  <c r="DO118" i="1" s="1"/>
  <c r="DP118" i="1" s="1"/>
  <c r="EH126" i="1"/>
  <c r="DM126" i="1"/>
  <c r="DN126" i="1" s="1"/>
  <c r="DO126" i="1" s="1"/>
  <c r="DP126" i="1" s="1"/>
  <c r="EH134" i="1"/>
  <c r="DM134" i="1"/>
  <c r="DN134" i="1" s="1"/>
  <c r="DO134" i="1" s="1"/>
  <c r="DP134" i="1" s="1"/>
  <c r="EH99" i="1"/>
  <c r="DL99" i="1"/>
  <c r="DM99" i="1"/>
  <c r="DN99" i="1" s="1"/>
  <c r="DO99" i="1" s="1"/>
  <c r="DP99" i="1" s="1"/>
  <c r="EH107" i="1"/>
  <c r="DL107" i="1"/>
  <c r="EH152" i="1"/>
  <c r="DM152" i="1"/>
  <c r="DN152" i="1" s="1"/>
  <c r="DO152" i="1" s="1"/>
  <c r="DP152" i="1" s="1"/>
  <c r="EH177" i="1"/>
  <c r="DL177" i="1"/>
  <c r="DM177" i="1"/>
  <c r="DN177" i="1" s="1"/>
  <c r="DO177" i="1" s="1"/>
  <c r="DP177" i="1" s="1"/>
  <c r="EH185" i="1"/>
  <c r="DL185" i="1"/>
  <c r="EH193" i="1"/>
  <c r="DL193" i="1"/>
  <c r="DM193" i="1"/>
  <c r="DN193" i="1" s="1"/>
  <c r="DO193" i="1" s="1"/>
  <c r="DP193" i="1" s="1"/>
  <c r="EH201" i="1"/>
  <c r="DL201" i="1"/>
  <c r="EH11" i="1"/>
  <c r="DM11" i="1"/>
  <c r="DN11" i="1" s="1"/>
  <c r="DO11" i="1" s="1"/>
  <c r="DP11" i="1" s="1"/>
  <c r="DL206" i="1"/>
  <c r="DL184" i="1"/>
  <c r="DL78" i="1"/>
  <c r="DM201" i="1"/>
  <c r="DN201" i="1" s="1"/>
  <c r="DO201" i="1" s="1"/>
  <c r="DP201" i="1" s="1"/>
  <c r="EH36" i="1"/>
  <c r="DM36" i="1"/>
  <c r="DN36" i="1" s="1"/>
  <c r="DO36" i="1" s="1"/>
  <c r="DP36" i="1" s="1"/>
  <c r="DL36" i="1"/>
  <c r="EH90" i="1"/>
  <c r="DL90" i="1"/>
  <c r="EH131" i="1"/>
  <c r="DL131" i="1"/>
  <c r="DM131" i="1"/>
  <c r="DN131" i="1" s="1"/>
  <c r="DO131" i="1" s="1"/>
  <c r="DP131" i="1" s="1"/>
  <c r="DL182" i="1"/>
  <c r="DL160" i="1"/>
  <c r="DL141" i="1"/>
  <c r="DL118" i="1"/>
  <c r="DL54" i="1"/>
  <c r="DM200" i="1"/>
  <c r="DN200" i="1" s="1"/>
  <c r="DO200" i="1" s="1"/>
  <c r="DP200" i="1" s="1"/>
  <c r="DM170" i="1"/>
  <c r="DN170" i="1" s="1"/>
  <c r="DO170" i="1" s="1"/>
  <c r="DP170" i="1" s="1"/>
  <c r="DM82" i="1"/>
  <c r="DN82" i="1" s="1"/>
  <c r="DO82" i="1" s="1"/>
  <c r="DP82" i="1" s="1"/>
  <c r="DM17" i="1"/>
  <c r="DN17" i="1" s="1"/>
  <c r="DO17" i="1" s="1"/>
  <c r="DP17" i="1" s="1"/>
  <c r="EH52" i="1"/>
  <c r="DM52" i="1"/>
  <c r="DN52" i="1" s="1"/>
  <c r="DO52" i="1" s="1"/>
  <c r="DP52" i="1" s="1"/>
  <c r="DL52" i="1"/>
  <c r="EH68" i="1"/>
  <c r="DL68" i="1"/>
  <c r="DM68" i="1"/>
  <c r="DN68" i="1" s="1"/>
  <c r="DO68" i="1" s="1"/>
  <c r="DP68" i="1" s="1"/>
  <c r="EH123" i="1"/>
  <c r="DL123" i="1"/>
  <c r="DM112" i="1"/>
  <c r="DN112" i="1" s="1"/>
  <c r="DO112" i="1" s="1"/>
  <c r="DP112" i="1" s="1"/>
  <c r="EH165" i="1"/>
  <c r="DM165" i="1"/>
  <c r="DN165" i="1" s="1"/>
  <c r="DO165" i="1" s="1"/>
  <c r="DP165" i="1" s="1"/>
  <c r="EH198" i="1"/>
  <c r="DM198" i="1"/>
  <c r="DN198" i="1" s="1"/>
  <c r="DO198" i="1" s="1"/>
  <c r="DP198" i="1" s="1"/>
  <c r="DL149" i="1"/>
  <c r="DM123" i="1"/>
  <c r="DN123" i="1" s="1"/>
  <c r="DO123" i="1" s="1"/>
  <c r="DP123" i="1" s="1"/>
  <c r="DL200" i="1"/>
  <c r="DL117" i="1"/>
  <c r="DL94" i="1"/>
  <c r="DM80" i="1"/>
  <c r="DN80" i="1" s="1"/>
  <c r="DO80" i="1" s="1"/>
  <c r="DP80" i="1" s="1"/>
  <c r="DL19" i="1"/>
  <c r="DL207" i="1"/>
  <c r="DL199" i="1"/>
  <c r="DL191" i="1"/>
  <c r="DL183" i="1"/>
  <c r="DL175" i="1"/>
  <c r="DL135" i="1"/>
  <c r="DL127" i="1"/>
  <c r="DL119" i="1"/>
  <c r="DL111" i="1"/>
  <c r="DL103" i="1"/>
  <c r="DL95" i="1"/>
  <c r="DL79" i="1"/>
  <c r="DL23" i="1"/>
  <c r="DM202" i="1"/>
  <c r="DN202" i="1" s="1"/>
  <c r="DO202" i="1" s="1"/>
  <c r="DP202" i="1" s="1"/>
  <c r="DM183" i="1"/>
  <c r="DN183" i="1" s="1"/>
  <c r="DO183" i="1" s="1"/>
  <c r="DP183" i="1" s="1"/>
  <c r="DM172" i="1"/>
  <c r="DN172" i="1" s="1"/>
  <c r="DO172" i="1" s="1"/>
  <c r="DP172" i="1" s="1"/>
  <c r="DM161" i="1"/>
  <c r="DN161" i="1" s="1"/>
  <c r="DO161" i="1" s="1"/>
  <c r="DP161" i="1" s="1"/>
  <c r="DM122" i="1"/>
  <c r="DN122" i="1" s="1"/>
  <c r="DO122" i="1" s="1"/>
  <c r="DP122" i="1" s="1"/>
  <c r="DM102" i="1"/>
  <c r="DN102" i="1" s="1"/>
  <c r="DO102" i="1" s="1"/>
  <c r="DP102" i="1" s="1"/>
  <c r="DM81" i="1"/>
  <c r="DN81" i="1" s="1"/>
  <c r="DO81" i="1" s="1"/>
  <c r="DP81" i="1" s="1"/>
  <c r="DM59" i="1"/>
  <c r="DN59" i="1" s="1"/>
  <c r="DO59" i="1" s="1"/>
  <c r="DP59" i="1" s="1"/>
  <c r="DM48" i="1"/>
  <c r="DN48" i="1" s="1"/>
  <c r="DO48" i="1" s="1"/>
  <c r="DP48" i="1" s="1"/>
  <c r="DM30" i="1"/>
  <c r="DN30" i="1" s="1"/>
  <c r="DO30" i="1" s="1"/>
  <c r="DP30" i="1" s="1"/>
  <c r="DL16" i="1"/>
  <c r="DL204" i="1"/>
  <c r="DL196" i="1"/>
  <c r="DL188" i="1"/>
  <c r="DL180" i="1"/>
  <c r="DL172" i="1"/>
  <c r="DL164" i="1"/>
  <c r="DL156" i="1"/>
  <c r="DL148" i="1"/>
  <c r="DL140" i="1"/>
  <c r="DL132" i="1"/>
  <c r="DL124" i="1"/>
  <c r="DL116" i="1"/>
  <c r="DL108" i="1"/>
  <c r="DL100" i="1"/>
  <c r="DL84" i="1"/>
  <c r="DL76" i="1"/>
  <c r="DL28" i="1"/>
  <c r="DL12" i="1"/>
  <c r="DM179" i="1"/>
  <c r="DN179" i="1" s="1"/>
  <c r="DO179" i="1" s="1"/>
  <c r="DP179" i="1" s="1"/>
  <c r="DM148" i="1"/>
  <c r="DN148" i="1" s="1"/>
  <c r="DO148" i="1" s="1"/>
  <c r="DP148" i="1" s="1"/>
  <c r="DM136" i="1"/>
  <c r="DN136" i="1" s="1"/>
  <c r="DO136" i="1" s="1"/>
  <c r="DP136" i="1" s="1"/>
  <c r="DM127" i="1"/>
  <c r="DN127" i="1" s="1"/>
  <c r="DO127" i="1" s="1"/>
  <c r="DP127" i="1" s="1"/>
  <c r="DM119" i="1"/>
  <c r="DN119" i="1" s="1"/>
  <c r="DO119" i="1" s="1"/>
  <c r="DP119" i="1" s="1"/>
  <c r="DM109" i="1"/>
  <c r="DN109" i="1" s="1"/>
  <c r="DO109" i="1" s="1"/>
  <c r="DP109" i="1" s="1"/>
  <c r="DM98" i="1"/>
  <c r="DN98" i="1" s="1"/>
  <c r="DO98" i="1" s="1"/>
  <c r="DP98" i="1" s="1"/>
  <c r="DM76" i="1"/>
  <c r="DN76" i="1" s="1"/>
  <c r="DO76" i="1" s="1"/>
  <c r="DP76" i="1" s="1"/>
  <c r="DM65" i="1"/>
  <c r="DN65" i="1" s="1"/>
  <c r="DO65" i="1" s="1"/>
  <c r="DP65" i="1" s="1"/>
  <c r="DM35" i="1"/>
  <c r="DN35" i="1" s="1"/>
  <c r="DO35" i="1" s="1"/>
  <c r="DP35" i="1" s="1"/>
  <c r="DM14" i="1"/>
  <c r="DN14" i="1" s="1"/>
  <c r="DO14" i="1" s="1"/>
  <c r="DP14" i="1" s="1"/>
  <c r="DL15" i="1"/>
  <c r="DL203" i="1"/>
  <c r="DL195" i="1"/>
  <c r="DL187" i="1"/>
  <c r="DL179" i="1"/>
  <c r="DL171" i="1"/>
  <c r="DL163" i="1"/>
  <c r="DL155" i="1"/>
  <c r="DL147" i="1"/>
  <c r="DL91" i="1"/>
  <c r="DL83" i="1"/>
  <c r="DL75" i="1"/>
  <c r="DL67" i="1"/>
  <c r="DL59" i="1"/>
  <c r="DL51" i="1"/>
  <c r="DL43" i="1"/>
  <c r="DL35" i="1"/>
  <c r="DL27" i="1"/>
  <c r="DM197" i="1"/>
  <c r="DN197" i="1" s="1"/>
  <c r="DO197" i="1" s="1"/>
  <c r="DP197" i="1" s="1"/>
  <c r="DM189" i="1"/>
  <c r="DN189" i="1" s="1"/>
  <c r="DO189" i="1" s="1"/>
  <c r="DP189" i="1" s="1"/>
  <c r="DM178" i="1"/>
  <c r="DN178" i="1" s="1"/>
  <c r="DO178" i="1" s="1"/>
  <c r="DP178" i="1" s="1"/>
  <c r="DM166" i="1"/>
  <c r="DN166" i="1" s="1"/>
  <c r="DO166" i="1" s="1"/>
  <c r="DP166" i="1" s="1"/>
  <c r="DM156" i="1"/>
  <c r="DN156" i="1" s="1"/>
  <c r="DO156" i="1" s="1"/>
  <c r="DP156" i="1" s="1"/>
  <c r="DM147" i="1"/>
  <c r="DN147" i="1" s="1"/>
  <c r="DO147" i="1" s="1"/>
  <c r="DP147" i="1" s="1"/>
  <c r="DM135" i="1"/>
  <c r="DN135" i="1" s="1"/>
  <c r="DO135" i="1" s="1"/>
  <c r="DP135" i="1" s="1"/>
  <c r="DM108" i="1"/>
  <c r="DN108" i="1" s="1"/>
  <c r="DO108" i="1" s="1"/>
  <c r="DP108" i="1" s="1"/>
  <c r="DM97" i="1"/>
  <c r="DN97" i="1" s="1"/>
  <c r="DO97" i="1" s="1"/>
  <c r="DP97" i="1" s="1"/>
  <c r="DM86" i="1"/>
  <c r="DN86" i="1" s="1"/>
  <c r="DO86" i="1" s="1"/>
  <c r="DP86" i="1" s="1"/>
  <c r="DM75" i="1"/>
  <c r="DN75" i="1" s="1"/>
  <c r="DO75" i="1" s="1"/>
  <c r="DP75" i="1" s="1"/>
  <c r="DM64" i="1"/>
  <c r="DN64" i="1" s="1"/>
  <c r="DO64" i="1" s="1"/>
  <c r="DP64" i="1" s="1"/>
  <c r="DM43" i="1"/>
  <c r="DN43" i="1" s="1"/>
  <c r="DO43" i="1" s="1"/>
  <c r="DP43" i="1" s="1"/>
  <c r="DM34" i="1"/>
  <c r="DN34" i="1" s="1"/>
  <c r="DO34" i="1" s="1"/>
  <c r="DP34" i="1" s="1"/>
  <c r="DM23" i="1"/>
  <c r="DN23" i="1" s="1"/>
  <c r="DO23" i="1" s="1"/>
  <c r="DP23" i="1" s="1"/>
  <c r="DL14" i="1"/>
  <c r="DL202" i="1"/>
  <c r="DL194" i="1"/>
  <c r="DL186" i="1"/>
  <c r="DL178" i="1"/>
  <c r="DL162" i="1"/>
  <c r="DL154" i="1"/>
  <c r="DL146" i="1"/>
  <c r="DL138" i="1"/>
  <c r="DL130" i="1"/>
  <c r="DL122" i="1"/>
  <c r="DL114" i="1"/>
  <c r="DL98" i="1"/>
  <c r="DL74" i="1"/>
  <c r="DL66" i="1"/>
  <c r="DL58" i="1"/>
  <c r="DL50" i="1"/>
  <c r="DL42" i="1"/>
  <c r="DL34" i="1"/>
  <c r="DM207" i="1"/>
  <c r="DN207" i="1" s="1"/>
  <c r="DO207" i="1" s="1"/>
  <c r="DP207" i="1" s="1"/>
  <c r="DM196" i="1"/>
  <c r="DN196" i="1" s="1"/>
  <c r="DO196" i="1" s="1"/>
  <c r="DP196" i="1" s="1"/>
  <c r="DM187" i="1"/>
  <c r="DN187" i="1" s="1"/>
  <c r="DO187" i="1" s="1"/>
  <c r="DP187" i="1" s="1"/>
  <c r="DM155" i="1"/>
  <c r="DN155" i="1" s="1"/>
  <c r="DO155" i="1" s="1"/>
  <c r="DP155" i="1" s="1"/>
  <c r="DM146" i="1"/>
  <c r="DN146" i="1" s="1"/>
  <c r="DO146" i="1" s="1"/>
  <c r="DP146" i="1" s="1"/>
  <c r="DM105" i="1"/>
  <c r="DN105" i="1" s="1"/>
  <c r="DO105" i="1" s="1"/>
  <c r="DP105" i="1" s="1"/>
  <c r="DM96" i="1"/>
  <c r="DN96" i="1" s="1"/>
  <c r="DO96" i="1" s="1"/>
  <c r="DP96" i="1" s="1"/>
  <c r="DM84" i="1"/>
  <c r="DN84" i="1" s="1"/>
  <c r="DO84" i="1" s="1"/>
  <c r="DP84" i="1" s="1"/>
  <c r="DM74" i="1"/>
  <c r="DN74" i="1" s="1"/>
  <c r="DO74" i="1" s="1"/>
  <c r="DP74" i="1" s="1"/>
  <c r="DM53" i="1"/>
  <c r="DN53" i="1" s="1"/>
  <c r="DO53" i="1" s="1"/>
  <c r="DP53" i="1" s="1"/>
  <c r="DM42" i="1"/>
  <c r="DN42" i="1" s="1"/>
  <c r="DO42" i="1" s="1"/>
  <c r="DP42" i="1" s="1"/>
  <c r="DM33" i="1"/>
  <c r="DN33" i="1" s="1"/>
  <c r="DO33" i="1" s="1"/>
  <c r="DP33" i="1" s="1"/>
  <c r="DM12" i="1"/>
  <c r="DN12" i="1" s="1"/>
  <c r="DO12" i="1" s="1"/>
  <c r="DP12" i="1" s="1"/>
  <c r="DJ10" i="1"/>
  <c r="DK10" i="1" s="1"/>
  <c r="DL169" i="1"/>
  <c r="DL161" i="1"/>
  <c r="DL153" i="1"/>
  <c r="DL145" i="1"/>
  <c r="DL137" i="1"/>
  <c r="DL129" i="1"/>
  <c r="DL121" i="1"/>
  <c r="DL113" i="1"/>
  <c r="DL105" i="1"/>
  <c r="DL97" i="1"/>
  <c r="DL81" i="1"/>
  <c r="DL73" i="1"/>
  <c r="DL65" i="1"/>
  <c r="DL57" i="1"/>
  <c r="DL49" i="1"/>
  <c r="DL41" i="1"/>
  <c r="DL33" i="1"/>
  <c r="DM195" i="1"/>
  <c r="DN195" i="1" s="1"/>
  <c r="DO195" i="1" s="1"/>
  <c r="DP195" i="1" s="1"/>
  <c r="DM186" i="1"/>
  <c r="DN186" i="1" s="1"/>
  <c r="DO186" i="1" s="1"/>
  <c r="DP186" i="1" s="1"/>
  <c r="DM164" i="1"/>
  <c r="DN164" i="1" s="1"/>
  <c r="DO164" i="1" s="1"/>
  <c r="DP164" i="1" s="1"/>
  <c r="DM154" i="1"/>
  <c r="DN154" i="1" s="1"/>
  <c r="DO154" i="1" s="1"/>
  <c r="DP154" i="1" s="1"/>
  <c r="DM124" i="1"/>
  <c r="DN124" i="1" s="1"/>
  <c r="DO124" i="1" s="1"/>
  <c r="DP124" i="1" s="1"/>
  <c r="DM114" i="1"/>
  <c r="DN114" i="1" s="1"/>
  <c r="DO114" i="1" s="1"/>
  <c r="DP114" i="1" s="1"/>
  <c r="DM95" i="1"/>
  <c r="DN95" i="1" s="1"/>
  <c r="DO95" i="1" s="1"/>
  <c r="DP95" i="1" s="1"/>
  <c r="DM83" i="1"/>
  <c r="DN83" i="1" s="1"/>
  <c r="DO83" i="1" s="1"/>
  <c r="DP83" i="1" s="1"/>
  <c r="DM61" i="1"/>
  <c r="DN61" i="1" s="1"/>
  <c r="DO61" i="1" s="1"/>
  <c r="DP61" i="1" s="1"/>
  <c r="DM40" i="1"/>
  <c r="DN40" i="1" s="1"/>
  <c r="DO40" i="1" s="1"/>
  <c r="DP40" i="1" s="1"/>
  <c r="DM32" i="1"/>
  <c r="DN32" i="1" s="1"/>
  <c r="DO32" i="1" s="1"/>
  <c r="DP32" i="1" s="1"/>
  <c r="EH88" i="1"/>
  <c r="EH150" i="1"/>
  <c r="EH175" i="1"/>
  <c r="EH17" i="1"/>
  <c r="EH59" i="1"/>
  <c r="EH41" i="1"/>
  <c r="EH112" i="1"/>
  <c r="EH195" i="1"/>
  <c r="EH43" i="1"/>
  <c r="EH199" i="1"/>
  <c r="EH190" i="1"/>
  <c r="EH91" i="1"/>
  <c r="EF157" i="1"/>
  <c r="EF11" i="1"/>
  <c r="EF205" i="1"/>
  <c r="EF189" i="1"/>
  <c r="EF120" i="1"/>
  <c r="EF64" i="1"/>
  <c r="EF29" i="1"/>
  <c r="EF56" i="1"/>
  <c r="EF19" i="1"/>
  <c r="EF50" i="1"/>
  <c r="EF32" i="1"/>
  <c r="EF33" i="1"/>
  <c r="EF24" i="1"/>
  <c r="EF197" i="1"/>
  <c r="EF144" i="1"/>
  <c r="EF65" i="1"/>
  <c r="EF46" i="1"/>
  <c r="EF21" i="1"/>
  <c r="EF192" i="1"/>
  <c r="EF42" i="1"/>
  <c r="EF112" i="1"/>
  <c r="EF62" i="1"/>
  <c r="EF40" i="1"/>
  <c r="EF16" i="1"/>
  <c r="EF186" i="1"/>
  <c r="EF104" i="1"/>
  <c r="EF61" i="1"/>
  <c r="EF38" i="1"/>
  <c r="EF10" i="1"/>
  <c r="EF13" i="1"/>
  <c r="EF160" i="1"/>
  <c r="EF98" i="1"/>
  <c r="EF57" i="1"/>
  <c r="EF34" i="1"/>
  <c r="EF72" i="1"/>
  <c r="EF152" i="1"/>
  <c r="EF70" i="1"/>
  <c r="EF27" i="1"/>
  <c r="EF200" i="1"/>
  <c r="EF149" i="1"/>
  <c r="EF69" i="1"/>
  <c r="EF48" i="1"/>
  <c r="EF184" i="1"/>
  <c r="EF176" i="1"/>
  <c r="EF136" i="1"/>
  <c r="EF88" i="1"/>
  <c r="EF80" i="1"/>
  <c r="EF26" i="1"/>
  <c r="EF18" i="1"/>
  <c r="EF207" i="1"/>
  <c r="EF199" i="1"/>
  <c r="EF191" i="1"/>
  <c r="EF183" i="1"/>
  <c r="EF175" i="1"/>
  <c r="EF167" i="1"/>
  <c r="EF159" i="1"/>
  <c r="EF151" i="1"/>
  <c r="EF143" i="1"/>
  <c r="EF135" i="1"/>
  <c r="EF127" i="1"/>
  <c r="EF119" i="1"/>
  <c r="EF111" i="1"/>
  <c r="EF103" i="1"/>
  <c r="EF95" i="1"/>
  <c r="EF87" i="1"/>
  <c r="EF79" i="1"/>
  <c r="EF71" i="1"/>
  <c r="EF63" i="1"/>
  <c r="EF55" i="1"/>
  <c r="EF47" i="1"/>
  <c r="EF39" i="1"/>
  <c r="EF25" i="1"/>
  <c r="EF17" i="1"/>
  <c r="EF206" i="1"/>
  <c r="EF198" i="1"/>
  <c r="EF190" i="1"/>
  <c r="EF182" i="1"/>
  <c r="EF174" i="1"/>
  <c r="EF166" i="1"/>
  <c r="EF158" i="1"/>
  <c r="EF150" i="1"/>
  <c r="EF142" i="1"/>
  <c r="EF134" i="1"/>
  <c r="EF126" i="1"/>
  <c r="EF118" i="1"/>
  <c r="EF110" i="1"/>
  <c r="EF102" i="1"/>
  <c r="EF94" i="1"/>
  <c r="EF86" i="1"/>
  <c r="EF78" i="1"/>
  <c r="EF54" i="1"/>
  <c r="EF96" i="1"/>
  <c r="EF181" i="1"/>
  <c r="EF173" i="1"/>
  <c r="EF165" i="1"/>
  <c r="EF141" i="1"/>
  <c r="EF133" i="1"/>
  <c r="EF125" i="1"/>
  <c r="EF117" i="1"/>
  <c r="EF109" i="1"/>
  <c r="EF101" i="1"/>
  <c r="EF93" i="1"/>
  <c r="EF85" i="1"/>
  <c r="EF77" i="1"/>
  <c r="EF53" i="1"/>
  <c r="EF45" i="1"/>
  <c r="EF37" i="1"/>
  <c r="EF128" i="1"/>
  <c r="EF31" i="1"/>
  <c r="EF23" i="1"/>
  <c r="EF15" i="1"/>
  <c r="EF204" i="1"/>
  <c r="EF196" i="1"/>
  <c r="EF188" i="1"/>
  <c r="EF180" i="1"/>
  <c r="EF172" i="1"/>
  <c r="EF164" i="1"/>
  <c r="EF156" i="1"/>
  <c r="EF148" i="1"/>
  <c r="EF140" i="1"/>
  <c r="EF132" i="1"/>
  <c r="EF124" i="1"/>
  <c r="EF116" i="1"/>
  <c r="EF108" i="1"/>
  <c r="EF100" i="1"/>
  <c r="EF92" i="1"/>
  <c r="EF84" i="1"/>
  <c r="EF76" i="1"/>
  <c r="EF68" i="1"/>
  <c r="EF60" i="1"/>
  <c r="EF52" i="1"/>
  <c r="EF44" i="1"/>
  <c r="EF36" i="1"/>
  <c r="EF30" i="1"/>
  <c r="EF22" i="1"/>
  <c r="EF14" i="1"/>
  <c r="EF203" i="1"/>
  <c r="EF195" i="1"/>
  <c r="EF187" i="1"/>
  <c r="EF179" i="1"/>
  <c r="EF171" i="1"/>
  <c r="EF163" i="1"/>
  <c r="EF155" i="1"/>
  <c r="EF147" i="1"/>
  <c r="EF131" i="1"/>
  <c r="EF123" i="1"/>
  <c r="EF115" i="1"/>
  <c r="EF107" i="1"/>
  <c r="EF99" i="1"/>
  <c r="EF91" i="1"/>
  <c r="EF83" i="1"/>
  <c r="EF75" i="1"/>
  <c r="EF67" i="1"/>
  <c r="EF59" i="1"/>
  <c r="EF51" i="1"/>
  <c r="EF43" i="1"/>
  <c r="EF35" i="1"/>
  <c r="EF202" i="1"/>
  <c r="EF194" i="1"/>
  <c r="EF178" i="1"/>
  <c r="EF170" i="1"/>
  <c r="EF162" i="1"/>
  <c r="EF154" i="1"/>
  <c r="EF146" i="1"/>
  <c r="EF138" i="1"/>
  <c r="EF130" i="1"/>
  <c r="EF122" i="1"/>
  <c r="EF114" i="1"/>
  <c r="EF106" i="1"/>
  <c r="EF90" i="1"/>
  <c r="EF82" i="1"/>
  <c r="EF74" i="1"/>
  <c r="EF66" i="1"/>
  <c r="EF58" i="1"/>
  <c r="EF168" i="1"/>
  <c r="EF28" i="1"/>
  <c r="EF20" i="1"/>
  <c r="EF12" i="1"/>
  <c r="EF201" i="1"/>
  <c r="EF193" i="1"/>
  <c r="EF185" i="1"/>
  <c r="EF177" i="1"/>
  <c r="EF169" i="1"/>
  <c r="EF161" i="1"/>
  <c r="EF153" i="1"/>
  <c r="EF145" i="1"/>
  <c r="EF137" i="1"/>
  <c r="EF129" i="1"/>
  <c r="EF121" i="1"/>
  <c r="EF113" i="1"/>
  <c r="EF105" i="1"/>
  <c r="EF97" i="1"/>
  <c r="EF89" i="1"/>
  <c r="EF81" i="1"/>
  <c r="EF73" i="1"/>
  <c r="EF49" i="1"/>
  <c r="EF41" i="1"/>
  <c r="DK168" i="1"/>
  <c r="DV173" i="1"/>
  <c r="DV28" i="1"/>
  <c r="DV185" i="1"/>
  <c r="DV168" i="1"/>
  <c r="DV171" i="1"/>
  <c r="DV182" i="1"/>
  <c r="DV174" i="1"/>
  <c r="DE163" i="1"/>
  <c r="DI163" i="1" s="1"/>
  <c r="EE139" i="1"/>
  <c r="DE139" i="1"/>
  <c r="DI139" i="1" s="1"/>
  <c r="DE75" i="1"/>
  <c r="DI75" i="1" s="1"/>
  <c r="DE155" i="1"/>
  <c r="DI155" i="1" s="1"/>
  <c r="DE131" i="1"/>
  <c r="DI131" i="1" s="1"/>
  <c r="DE123" i="1"/>
  <c r="DI123" i="1" s="1"/>
  <c r="DE107" i="1"/>
  <c r="DI107" i="1" s="1"/>
  <c r="DD117" i="1"/>
  <c r="DE99" i="1"/>
  <c r="DI99" i="1" s="1"/>
  <c r="DE175" i="1"/>
  <c r="DI175" i="1" s="1"/>
  <c r="DE91" i="1"/>
  <c r="DI91" i="1" s="1"/>
  <c r="DE147" i="1"/>
  <c r="DI147" i="1" s="1"/>
  <c r="DE83" i="1"/>
  <c r="DI83" i="1" s="1"/>
  <c r="DE13" i="1"/>
  <c r="DI13" i="1" s="1"/>
  <c r="DE67" i="1"/>
  <c r="DI67" i="1" s="1"/>
  <c r="DE201" i="1"/>
  <c r="DI201" i="1" s="1"/>
  <c r="DE59" i="1"/>
  <c r="DI59" i="1" s="1"/>
  <c r="DE193" i="1"/>
  <c r="DI193" i="1" s="1"/>
  <c r="DE115" i="1"/>
  <c r="DI115" i="1" s="1"/>
  <c r="DE35" i="1"/>
  <c r="DI35" i="1" s="1"/>
  <c r="DE26" i="1"/>
  <c r="DI26" i="1" s="1"/>
  <c r="DE18" i="1"/>
  <c r="DI18" i="1" s="1"/>
  <c r="DD101" i="1"/>
  <c r="DE12" i="1"/>
  <c r="DI12" i="1" s="1"/>
  <c r="DE200" i="1"/>
  <c r="DI200" i="1" s="1"/>
  <c r="DE192" i="1"/>
  <c r="DI192" i="1" s="1"/>
  <c r="DE183" i="1"/>
  <c r="DI183" i="1" s="1"/>
  <c r="DE172" i="1"/>
  <c r="DI172" i="1" s="1"/>
  <c r="DE162" i="1"/>
  <c r="DI162" i="1" s="1"/>
  <c r="DE154" i="1"/>
  <c r="DI154" i="1" s="1"/>
  <c r="DE146" i="1"/>
  <c r="DI146" i="1" s="1"/>
  <c r="DE138" i="1"/>
  <c r="DI138" i="1" s="1"/>
  <c r="DE130" i="1"/>
  <c r="DI130" i="1" s="1"/>
  <c r="DE122" i="1"/>
  <c r="DI122" i="1" s="1"/>
  <c r="DE114" i="1"/>
  <c r="DI114" i="1" s="1"/>
  <c r="DE106" i="1"/>
  <c r="DI106" i="1" s="1"/>
  <c r="DE98" i="1"/>
  <c r="DI98" i="1" s="1"/>
  <c r="DE90" i="1"/>
  <c r="DI90" i="1" s="1"/>
  <c r="DE82" i="1"/>
  <c r="DI82" i="1" s="1"/>
  <c r="DE74" i="1"/>
  <c r="DI74" i="1" s="1"/>
  <c r="DE66" i="1"/>
  <c r="DI66" i="1" s="1"/>
  <c r="DE58" i="1"/>
  <c r="DI58" i="1" s="1"/>
  <c r="DE50" i="1"/>
  <c r="DI50" i="1" s="1"/>
  <c r="DE42" i="1"/>
  <c r="DI42" i="1" s="1"/>
  <c r="DE34" i="1"/>
  <c r="DI34" i="1" s="1"/>
  <c r="DE25" i="1"/>
  <c r="DI25" i="1" s="1"/>
  <c r="DE17" i="1"/>
  <c r="DI17" i="1" s="1"/>
  <c r="DD202" i="1"/>
  <c r="DD85" i="1"/>
  <c r="DE207" i="1"/>
  <c r="DI207" i="1" s="1"/>
  <c r="DE199" i="1"/>
  <c r="DI199" i="1" s="1"/>
  <c r="DE191" i="1"/>
  <c r="DI191" i="1" s="1"/>
  <c r="DE181" i="1"/>
  <c r="DI181" i="1" s="1"/>
  <c r="DE170" i="1"/>
  <c r="DI170" i="1" s="1"/>
  <c r="DE161" i="1"/>
  <c r="DI161" i="1" s="1"/>
  <c r="DE153" i="1"/>
  <c r="DI153" i="1" s="1"/>
  <c r="DE145" i="1"/>
  <c r="DI145" i="1" s="1"/>
  <c r="DE137" i="1"/>
  <c r="DI137" i="1" s="1"/>
  <c r="DE129" i="1"/>
  <c r="DI129" i="1" s="1"/>
  <c r="DE121" i="1"/>
  <c r="DI121" i="1" s="1"/>
  <c r="DE113" i="1"/>
  <c r="DI113" i="1" s="1"/>
  <c r="DE105" i="1"/>
  <c r="DI105" i="1" s="1"/>
  <c r="DE97" i="1"/>
  <c r="DI97" i="1" s="1"/>
  <c r="DE89" i="1"/>
  <c r="DI89" i="1" s="1"/>
  <c r="DE81" i="1"/>
  <c r="DI81" i="1" s="1"/>
  <c r="DE73" i="1"/>
  <c r="DI73" i="1" s="1"/>
  <c r="DE65" i="1"/>
  <c r="DI65" i="1" s="1"/>
  <c r="DE57" i="1"/>
  <c r="DI57" i="1" s="1"/>
  <c r="DE49" i="1"/>
  <c r="DI49" i="1" s="1"/>
  <c r="DE41" i="1"/>
  <c r="DI41" i="1" s="1"/>
  <c r="DE33" i="1"/>
  <c r="DI33" i="1" s="1"/>
  <c r="DE24" i="1"/>
  <c r="DI24" i="1" s="1"/>
  <c r="DE16" i="1"/>
  <c r="DI16" i="1" s="1"/>
  <c r="DD196" i="1"/>
  <c r="DD49" i="1"/>
  <c r="DE206" i="1"/>
  <c r="DI206" i="1" s="1"/>
  <c r="DE198" i="1"/>
  <c r="DI198" i="1" s="1"/>
  <c r="DE190" i="1"/>
  <c r="DI190" i="1" s="1"/>
  <c r="DE180" i="1"/>
  <c r="DI180" i="1" s="1"/>
  <c r="DE169" i="1"/>
  <c r="DI169" i="1" s="1"/>
  <c r="DE160" i="1"/>
  <c r="DI160" i="1" s="1"/>
  <c r="DE152" i="1"/>
  <c r="DI152" i="1" s="1"/>
  <c r="DE144" i="1"/>
  <c r="DI144" i="1" s="1"/>
  <c r="DE136" i="1"/>
  <c r="DI136" i="1" s="1"/>
  <c r="DE128" i="1"/>
  <c r="DI128" i="1" s="1"/>
  <c r="DE120" i="1"/>
  <c r="DI120" i="1" s="1"/>
  <c r="DE112" i="1"/>
  <c r="DI112" i="1" s="1"/>
  <c r="DE104" i="1"/>
  <c r="DI104" i="1" s="1"/>
  <c r="DE96" i="1"/>
  <c r="DI96" i="1" s="1"/>
  <c r="DE88" i="1"/>
  <c r="DI88" i="1" s="1"/>
  <c r="DE80" i="1"/>
  <c r="DI80" i="1" s="1"/>
  <c r="DE72" i="1"/>
  <c r="DI72" i="1" s="1"/>
  <c r="DE64" i="1"/>
  <c r="DI64" i="1" s="1"/>
  <c r="DE56" i="1"/>
  <c r="DI56" i="1" s="1"/>
  <c r="DE48" i="1"/>
  <c r="DI48" i="1" s="1"/>
  <c r="DE40" i="1"/>
  <c r="DI40" i="1" s="1"/>
  <c r="DE32" i="1"/>
  <c r="DI32" i="1" s="1"/>
  <c r="DE23" i="1"/>
  <c r="DI23" i="1" s="1"/>
  <c r="DE43" i="1"/>
  <c r="DI43" i="1" s="1"/>
  <c r="DD185" i="1"/>
  <c r="DD20" i="1"/>
  <c r="DE205" i="1"/>
  <c r="DI205" i="1" s="1"/>
  <c r="DE197" i="1"/>
  <c r="DI197" i="1" s="1"/>
  <c r="DE189" i="1"/>
  <c r="DI189" i="1" s="1"/>
  <c r="DE179" i="1"/>
  <c r="DI179" i="1" s="1"/>
  <c r="DE167" i="1"/>
  <c r="DI167" i="1" s="1"/>
  <c r="DE159" i="1"/>
  <c r="DI159" i="1" s="1"/>
  <c r="DE151" i="1"/>
  <c r="DI151" i="1" s="1"/>
  <c r="DE143" i="1"/>
  <c r="DI143" i="1" s="1"/>
  <c r="DE135" i="1"/>
  <c r="DI135" i="1" s="1"/>
  <c r="DE127" i="1"/>
  <c r="DI127" i="1" s="1"/>
  <c r="DE119" i="1"/>
  <c r="DI119" i="1" s="1"/>
  <c r="DE111" i="1"/>
  <c r="DI111" i="1" s="1"/>
  <c r="DE103" i="1"/>
  <c r="DI103" i="1" s="1"/>
  <c r="DE95" i="1"/>
  <c r="DI95" i="1" s="1"/>
  <c r="DE87" i="1"/>
  <c r="DI87" i="1" s="1"/>
  <c r="DE79" i="1"/>
  <c r="DI79" i="1" s="1"/>
  <c r="DE71" i="1"/>
  <c r="DI71" i="1" s="1"/>
  <c r="DE63" i="1"/>
  <c r="DI63" i="1" s="1"/>
  <c r="DE55" i="1"/>
  <c r="DI55" i="1" s="1"/>
  <c r="DE47" i="1"/>
  <c r="DI47" i="1" s="1"/>
  <c r="DE39" i="1"/>
  <c r="DI39" i="1" s="1"/>
  <c r="DE31" i="1"/>
  <c r="DI31" i="1" s="1"/>
  <c r="DE22" i="1"/>
  <c r="DI22" i="1" s="1"/>
  <c r="DE184" i="1"/>
  <c r="DI184" i="1" s="1"/>
  <c r="DD169" i="1"/>
  <c r="DE11" i="1"/>
  <c r="DI11" i="1" s="1"/>
  <c r="DE204" i="1"/>
  <c r="DI204" i="1" s="1"/>
  <c r="DE196" i="1"/>
  <c r="DI196" i="1" s="1"/>
  <c r="DE188" i="1"/>
  <c r="DI188" i="1" s="1"/>
  <c r="DE178" i="1"/>
  <c r="DI178" i="1" s="1"/>
  <c r="DE166" i="1"/>
  <c r="DI166" i="1" s="1"/>
  <c r="DE158" i="1"/>
  <c r="DI158" i="1" s="1"/>
  <c r="DE150" i="1"/>
  <c r="DI150" i="1" s="1"/>
  <c r="DE142" i="1"/>
  <c r="DI142" i="1" s="1"/>
  <c r="DE134" i="1"/>
  <c r="DI134" i="1" s="1"/>
  <c r="DE126" i="1"/>
  <c r="DI126" i="1" s="1"/>
  <c r="DE118" i="1"/>
  <c r="DI118" i="1" s="1"/>
  <c r="DE110" i="1"/>
  <c r="DI110" i="1" s="1"/>
  <c r="DE102" i="1"/>
  <c r="DI102" i="1" s="1"/>
  <c r="DE94" i="1"/>
  <c r="DI94" i="1" s="1"/>
  <c r="DE86" i="1"/>
  <c r="DI86" i="1" s="1"/>
  <c r="DE78" i="1"/>
  <c r="DI78" i="1" s="1"/>
  <c r="DE70" i="1"/>
  <c r="DI70" i="1" s="1"/>
  <c r="DE62" i="1"/>
  <c r="DI62" i="1" s="1"/>
  <c r="DE54" i="1"/>
  <c r="DI54" i="1" s="1"/>
  <c r="DE46" i="1"/>
  <c r="DI46" i="1" s="1"/>
  <c r="DE38" i="1"/>
  <c r="DI38" i="1" s="1"/>
  <c r="DE30" i="1"/>
  <c r="DI30" i="1" s="1"/>
  <c r="DE21" i="1"/>
  <c r="DI21" i="1" s="1"/>
  <c r="DD153" i="1"/>
  <c r="DE15" i="1"/>
  <c r="DI15" i="1" s="1"/>
  <c r="DE203" i="1"/>
  <c r="DI203" i="1" s="1"/>
  <c r="DE195" i="1"/>
  <c r="DI195" i="1" s="1"/>
  <c r="DE187" i="1"/>
  <c r="DI187" i="1" s="1"/>
  <c r="DE177" i="1"/>
  <c r="DI177" i="1" s="1"/>
  <c r="DE165" i="1"/>
  <c r="DI165" i="1" s="1"/>
  <c r="DE157" i="1"/>
  <c r="DI157" i="1" s="1"/>
  <c r="DE149" i="1"/>
  <c r="DI149" i="1" s="1"/>
  <c r="DE141" i="1"/>
  <c r="DI141" i="1" s="1"/>
  <c r="DE133" i="1"/>
  <c r="DI133" i="1" s="1"/>
  <c r="DE125" i="1"/>
  <c r="DI125" i="1" s="1"/>
  <c r="DE117" i="1"/>
  <c r="DI117" i="1" s="1"/>
  <c r="DE109" i="1"/>
  <c r="DI109" i="1" s="1"/>
  <c r="DE101" i="1"/>
  <c r="DI101" i="1" s="1"/>
  <c r="DE93" i="1"/>
  <c r="DI93" i="1" s="1"/>
  <c r="DE85" i="1"/>
  <c r="DI85" i="1" s="1"/>
  <c r="DE77" i="1"/>
  <c r="DI77" i="1" s="1"/>
  <c r="DE69" i="1"/>
  <c r="DI69" i="1" s="1"/>
  <c r="DE61" i="1"/>
  <c r="DI61" i="1" s="1"/>
  <c r="DE53" i="1"/>
  <c r="DI53" i="1" s="1"/>
  <c r="DE45" i="1"/>
  <c r="DI45" i="1" s="1"/>
  <c r="DE37" i="1"/>
  <c r="DI37" i="1" s="1"/>
  <c r="DE29" i="1"/>
  <c r="DI29" i="1" s="1"/>
  <c r="DE20" i="1"/>
  <c r="DI20" i="1" s="1"/>
  <c r="DE51" i="1"/>
  <c r="DI51" i="1" s="1"/>
  <c r="DD134" i="1"/>
  <c r="DE14" i="1"/>
  <c r="DI14" i="1" s="1"/>
  <c r="DE202" i="1"/>
  <c r="DI202" i="1" s="1"/>
  <c r="DE194" i="1"/>
  <c r="DI194" i="1" s="1"/>
  <c r="DE186" i="1"/>
  <c r="DI186" i="1" s="1"/>
  <c r="DE176" i="1"/>
  <c r="DI176" i="1" s="1"/>
  <c r="DE164" i="1"/>
  <c r="DI164" i="1" s="1"/>
  <c r="DE156" i="1"/>
  <c r="DI156" i="1" s="1"/>
  <c r="DE148" i="1"/>
  <c r="DI148" i="1" s="1"/>
  <c r="DE140" i="1"/>
  <c r="DI140" i="1" s="1"/>
  <c r="DE132" i="1"/>
  <c r="DI132" i="1" s="1"/>
  <c r="DE124" i="1"/>
  <c r="DI124" i="1" s="1"/>
  <c r="DE116" i="1"/>
  <c r="DI116" i="1" s="1"/>
  <c r="DE108" i="1"/>
  <c r="DI108" i="1" s="1"/>
  <c r="DE100" i="1"/>
  <c r="DI100" i="1" s="1"/>
  <c r="DE92" i="1"/>
  <c r="DI92" i="1" s="1"/>
  <c r="DE84" i="1"/>
  <c r="DI84" i="1" s="1"/>
  <c r="DE76" i="1"/>
  <c r="DI76" i="1" s="1"/>
  <c r="DE68" i="1"/>
  <c r="DI68" i="1" s="1"/>
  <c r="DE60" i="1"/>
  <c r="DI60" i="1" s="1"/>
  <c r="DE52" i="1"/>
  <c r="DI52" i="1" s="1"/>
  <c r="DE44" i="1"/>
  <c r="DI44" i="1" s="1"/>
  <c r="DE36" i="1"/>
  <c r="DI36" i="1" s="1"/>
  <c r="DE27" i="1"/>
  <c r="DI27" i="1" s="1"/>
  <c r="DE19" i="1"/>
  <c r="DI19" i="1" s="1"/>
  <c r="DD201" i="1"/>
  <c r="DD182" i="1"/>
  <c r="DD166" i="1"/>
  <c r="DD149" i="1"/>
  <c r="DD133" i="1"/>
  <c r="DD116" i="1"/>
  <c r="DD100" i="1"/>
  <c r="DD84" i="1"/>
  <c r="DD44" i="1"/>
  <c r="DD13" i="1"/>
  <c r="DD197" i="1"/>
  <c r="DD181" i="1"/>
  <c r="DD165" i="1"/>
  <c r="DD148" i="1"/>
  <c r="DD132" i="1"/>
  <c r="DD114" i="1"/>
  <c r="DD97" i="1"/>
  <c r="DD81" i="1"/>
  <c r="DD41" i="1"/>
  <c r="DD12" i="1"/>
  <c r="DD180" i="1"/>
  <c r="DD162" i="1"/>
  <c r="DD146" i="1"/>
  <c r="DD129" i="1"/>
  <c r="DD113" i="1"/>
  <c r="DD94" i="1"/>
  <c r="DD78" i="1"/>
  <c r="DD36" i="1"/>
  <c r="DD194" i="1"/>
  <c r="DD177" i="1"/>
  <c r="DD161" i="1"/>
  <c r="DD145" i="1"/>
  <c r="DD126" i="1"/>
  <c r="DD109" i="1"/>
  <c r="DD93" i="1"/>
  <c r="DD77" i="1"/>
  <c r="DD29" i="1"/>
  <c r="DD193" i="1"/>
  <c r="DD174" i="1"/>
  <c r="DD157" i="1"/>
  <c r="DD141" i="1"/>
  <c r="DD125" i="1"/>
  <c r="DD108" i="1"/>
  <c r="DD92" i="1"/>
  <c r="DD74" i="1"/>
  <c r="DD28" i="1"/>
  <c r="DD205" i="1"/>
  <c r="DD189" i="1"/>
  <c r="DD173" i="1"/>
  <c r="DD156" i="1"/>
  <c r="DD140" i="1"/>
  <c r="DD124" i="1"/>
  <c r="DD106" i="1"/>
  <c r="DD89" i="1"/>
  <c r="DD73" i="1"/>
  <c r="DD25" i="1"/>
  <c r="EN20" i="1"/>
  <c r="EN12" i="1"/>
  <c r="DD204" i="1"/>
  <c r="DD188" i="1"/>
  <c r="DD172" i="1"/>
  <c r="DD154" i="1"/>
  <c r="DD137" i="1"/>
  <c r="DD121" i="1"/>
  <c r="DD105" i="1"/>
  <c r="DD86" i="1"/>
  <c r="DD52" i="1"/>
  <c r="DD21" i="1"/>
  <c r="DD186" i="1"/>
  <c r="DD178" i="1"/>
  <c r="DD170" i="1"/>
  <c r="DD138" i="1"/>
  <c r="DD130" i="1"/>
  <c r="DD122" i="1"/>
  <c r="DD98" i="1"/>
  <c r="DD90" i="1"/>
  <c r="DD82" i="1"/>
  <c r="DD66" i="1"/>
  <c r="DD58" i="1"/>
  <c r="DD50" i="1"/>
  <c r="DD42" i="1"/>
  <c r="DD34" i="1"/>
  <c r="DD26" i="1"/>
  <c r="DD18" i="1"/>
  <c r="DD17" i="1"/>
  <c r="DD65" i="1"/>
  <c r="DD57" i="1"/>
  <c r="DD33" i="1"/>
  <c r="DD10" i="1"/>
  <c r="DD200" i="1"/>
  <c r="DD192" i="1"/>
  <c r="DD184" i="1"/>
  <c r="DD176" i="1"/>
  <c r="DD168" i="1"/>
  <c r="DD160" i="1"/>
  <c r="DD152" i="1"/>
  <c r="DD144" i="1"/>
  <c r="DD136" i="1"/>
  <c r="DD128" i="1"/>
  <c r="DD120" i="1"/>
  <c r="DD112" i="1"/>
  <c r="DD104" i="1"/>
  <c r="DD96" i="1"/>
  <c r="DD88" i="1"/>
  <c r="DD80" i="1"/>
  <c r="DD72" i="1"/>
  <c r="DD64" i="1"/>
  <c r="DD56" i="1"/>
  <c r="DD48" i="1"/>
  <c r="DD40" i="1"/>
  <c r="DD32" i="1"/>
  <c r="DD24" i="1"/>
  <c r="DD16" i="1"/>
  <c r="DD207" i="1"/>
  <c r="DD199" i="1"/>
  <c r="DD191" i="1"/>
  <c r="DD183" i="1"/>
  <c r="DD175" i="1"/>
  <c r="DD167" i="1"/>
  <c r="DD159" i="1"/>
  <c r="DD151" i="1"/>
  <c r="DD143" i="1"/>
  <c r="DD135" i="1"/>
  <c r="DD127" i="1"/>
  <c r="DD119" i="1"/>
  <c r="DD111" i="1"/>
  <c r="DD103" i="1"/>
  <c r="DD95" i="1"/>
  <c r="DD87" i="1"/>
  <c r="DD79" i="1"/>
  <c r="DD71" i="1"/>
  <c r="DD63" i="1"/>
  <c r="DD55" i="1"/>
  <c r="DD47" i="1"/>
  <c r="DD39" i="1"/>
  <c r="DD31" i="1"/>
  <c r="DD23" i="1"/>
  <c r="DD15" i="1"/>
  <c r="DD206" i="1"/>
  <c r="DD198" i="1"/>
  <c r="DD190" i="1"/>
  <c r="DD158" i="1"/>
  <c r="DD150" i="1"/>
  <c r="DD142" i="1"/>
  <c r="DD118" i="1"/>
  <c r="DD110" i="1"/>
  <c r="DD102" i="1"/>
  <c r="DD70" i="1"/>
  <c r="DD62" i="1"/>
  <c r="DD54" i="1"/>
  <c r="DD46" i="1"/>
  <c r="DD38" i="1"/>
  <c r="DD30" i="1"/>
  <c r="DD22" i="1"/>
  <c r="DD14" i="1"/>
  <c r="DD69" i="1"/>
  <c r="DD61" i="1"/>
  <c r="DD53" i="1"/>
  <c r="DD45" i="1"/>
  <c r="DD37" i="1"/>
  <c r="DD164" i="1"/>
  <c r="DD76" i="1"/>
  <c r="DD68" i="1"/>
  <c r="DD60" i="1"/>
  <c r="DD203" i="1"/>
  <c r="DD195" i="1"/>
  <c r="DD187" i="1"/>
  <c r="DD179" i="1"/>
  <c r="DD171" i="1"/>
  <c r="DD163" i="1"/>
  <c r="DD155" i="1"/>
  <c r="DD147" i="1"/>
  <c r="DD139" i="1"/>
  <c r="DD131" i="1"/>
  <c r="DD123" i="1"/>
  <c r="DD115" i="1"/>
  <c r="DD107" i="1"/>
  <c r="DD99" i="1"/>
  <c r="DD91" i="1"/>
  <c r="DD83" i="1"/>
  <c r="DD75" i="1"/>
  <c r="DD67" i="1"/>
  <c r="DD59" i="1"/>
  <c r="DD51" i="1"/>
  <c r="DD43" i="1"/>
  <c r="DD35" i="1"/>
  <c r="DD27" i="1"/>
  <c r="DD19" i="1"/>
  <c r="DD11" i="1"/>
  <c r="EN17" i="1"/>
  <c r="EN13" i="1"/>
  <c r="EN203" i="1"/>
  <c r="EN195" i="1"/>
  <c r="EN187" i="1"/>
  <c r="EN179" i="1"/>
  <c r="EN171" i="1"/>
  <c r="EN163" i="1"/>
  <c r="EN155" i="1"/>
  <c r="EN147" i="1"/>
  <c r="EN139" i="1"/>
  <c r="EN131" i="1"/>
  <c r="EN123" i="1"/>
  <c r="EN115" i="1"/>
  <c r="EN107" i="1"/>
  <c r="EN91" i="1"/>
  <c r="EN83" i="1"/>
  <c r="EN75" i="1"/>
  <c r="EN67" i="1"/>
  <c r="EN59" i="1"/>
  <c r="EN51" i="1"/>
  <c r="EN43" i="1"/>
  <c r="EN35" i="1"/>
  <c r="EN27" i="1"/>
  <c r="EN201" i="1"/>
  <c r="EN177" i="1"/>
  <c r="EN161" i="1"/>
  <c r="EN145" i="1"/>
  <c r="EN129" i="1"/>
  <c r="EN113" i="1"/>
  <c r="EN97" i="1"/>
  <c r="EN89" i="1"/>
  <c r="EN81" i="1"/>
  <c r="EN73" i="1"/>
  <c r="EN65" i="1"/>
  <c r="EN57" i="1"/>
  <c r="EN49" i="1"/>
  <c r="EN41" i="1"/>
  <c r="EN33" i="1"/>
  <c r="EN25" i="1"/>
  <c r="EN193" i="1"/>
  <c r="EN185" i="1"/>
  <c r="EN169" i="1"/>
  <c r="EN153" i="1"/>
  <c r="EN137" i="1"/>
  <c r="EN121" i="1"/>
  <c r="EN105" i="1"/>
  <c r="EN19" i="1"/>
  <c r="EN207" i="1"/>
  <c r="EN191" i="1"/>
  <c r="EN183" i="1"/>
  <c r="EN175" i="1"/>
  <c r="EN167" i="1"/>
  <c r="EN159" i="1"/>
  <c r="EN151" i="1"/>
  <c r="EN143" i="1"/>
  <c r="EN135" i="1"/>
  <c r="EN127" i="1"/>
  <c r="EN119" i="1"/>
  <c r="EN111" i="1"/>
  <c r="EN103" i="1"/>
  <c r="EN95" i="1"/>
  <c r="EN87" i="1"/>
  <c r="EN79" i="1"/>
  <c r="EN71" i="1"/>
  <c r="EN63" i="1"/>
  <c r="EN55" i="1"/>
  <c r="EN47" i="1"/>
  <c r="EN39" i="1"/>
  <c r="EN31" i="1"/>
  <c r="EN23" i="1"/>
  <c r="EN15" i="1"/>
  <c r="EN204" i="1"/>
  <c r="EN196" i="1"/>
  <c r="EN188" i="1"/>
  <c r="EN180" i="1"/>
  <c r="EN172" i="1"/>
  <c r="EN164" i="1"/>
  <c r="EN156" i="1"/>
  <c r="EN148" i="1"/>
  <c r="EN140" i="1"/>
  <c r="EN132" i="1"/>
  <c r="EN124" i="1"/>
  <c r="EN116" i="1"/>
  <c r="EN108" i="1"/>
  <c r="EN100" i="1"/>
  <c r="EN92" i="1"/>
  <c r="EN84" i="1"/>
  <c r="EN76" i="1"/>
  <c r="EN68" i="1"/>
  <c r="EN60" i="1"/>
  <c r="EN52" i="1"/>
  <c r="EN44" i="1"/>
  <c r="EN36" i="1"/>
  <c r="EN28" i="1"/>
  <c r="EN16" i="1"/>
  <c r="EN170" i="1"/>
  <c r="EN162" i="1"/>
  <c r="EN146" i="1"/>
  <c r="EN130" i="1"/>
  <c r="EN122" i="1"/>
  <c r="EN114" i="1"/>
  <c r="EN106" i="1"/>
  <c r="EN98" i="1"/>
  <c r="EN90" i="1"/>
  <c r="EN82" i="1"/>
  <c r="EN74" i="1"/>
  <c r="EN66" i="1"/>
  <c r="EN58" i="1"/>
  <c r="EN50" i="1"/>
  <c r="EN42" i="1"/>
  <c r="EN34" i="1"/>
  <c r="EN26" i="1"/>
  <c r="EN202" i="1"/>
  <c r="EN10" i="1"/>
  <c r="EN206" i="1"/>
  <c r="EN190" i="1"/>
  <c r="EN182" i="1"/>
  <c r="EN174" i="1"/>
  <c r="EN166" i="1"/>
  <c r="EN158" i="1"/>
  <c r="EN150" i="1"/>
  <c r="EN142" i="1"/>
  <c r="EN134" i="1"/>
  <c r="EN126" i="1"/>
  <c r="EN118" i="1"/>
  <c r="EN110" i="1"/>
  <c r="EN102" i="1"/>
  <c r="EN94" i="1"/>
  <c r="EN86" i="1"/>
  <c r="EN78" i="1"/>
  <c r="EN70" i="1"/>
  <c r="EN62" i="1"/>
  <c r="EN54" i="1"/>
  <c r="EN46" i="1"/>
  <c r="EN38" i="1"/>
  <c r="EN30" i="1"/>
  <c r="EN22" i="1"/>
  <c r="EN18" i="1"/>
  <c r="EN205" i="1"/>
  <c r="EN197" i="1"/>
  <c r="EN189" i="1"/>
  <c r="EN181" i="1"/>
  <c r="EN173" i="1"/>
  <c r="EN165" i="1"/>
  <c r="EN157" i="1"/>
  <c r="EN149" i="1"/>
  <c r="EN141" i="1"/>
  <c r="EN133" i="1"/>
  <c r="EN125" i="1"/>
  <c r="EN117" i="1"/>
  <c r="EN109" i="1"/>
  <c r="EN101" i="1"/>
  <c r="EN93" i="1"/>
  <c r="EN85" i="1"/>
  <c r="EN77" i="1"/>
  <c r="EN69" i="1"/>
  <c r="EN61" i="1"/>
  <c r="EN53" i="1"/>
  <c r="EN45" i="1"/>
  <c r="EN37" i="1"/>
  <c r="EN29" i="1"/>
  <c r="EN21" i="1"/>
  <c r="EN198" i="1"/>
  <c r="EN99" i="1"/>
  <c r="EN14" i="1"/>
  <c r="EN178" i="1"/>
  <c r="EN194" i="1"/>
  <c r="EN154" i="1"/>
  <c r="EN192" i="1"/>
  <c r="EN184" i="1"/>
  <c r="EN176" i="1"/>
  <c r="EN168" i="1"/>
  <c r="EN160" i="1"/>
  <c r="EN152" i="1"/>
  <c r="EN144" i="1"/>
  <c r="EN136" i="1"/>
  <c r="EN128" i="1"/>
  <c r="EN120" i="1"/>
  <c r="EN112" i="1"/>
  <c r="EN104" i="1"/>
  <c r="EN96" i="1"/>
  <c r="EN88" i="1"/>
  <c r="EN80" i="1"/>
  <c r="EN72" i="1"/>
  <c r="EN64" i="1"/>
  <c r="EN56" i="1"/>
  <c r="EN48" i="1"/>
  <c r="EN40" i="1"/>
  <c r="EN32" i="1"/>
  <c r="EN24" i="1"/>
  <c r="EN186" i="1"/>
  <c r="EN138" i="1"/>
  <c r="EN199" i="1"/>
  <c r="EN200" i="1"/>
  <c r="CX160" i="1"/>
  <c r="DR11" i="1"/>
  <c r="DS11" i="1" s="1"/>
  <c r="DR12" i="1"/>
  <c r="DS12" i="1" s="1"/>
  <c r="DR13" i="1"/>
  <c r="DS13" i="1" s="1"/>
  <c r="DR14" i="1"/>
  <c r="DS14" i="1" s="1"/>
  <c r="DR15" i="1"/>
  <c r="DS15" i="1" s="1"/>
  <c r="DR16" i="1"/>
  <c r="DS16" i="1" s="1"/>
  <c r="DR17" i="1"/>
  <c r="DS17" i="1" s="1"/>
  <c r="DR18" i="1"/>
  <c r="DS18" i="1" s="1"/>
  <c r="DR19" i="1"/>
  <c r="DS19" i="1" s="1"/>
  <c r="DR20" i="1"/>
  <c r="DS20" i="1" s="1"/>
  <c r="DR21" i="1"/>
  <c r="DS21" i="1" s="1"/>
  <c r="DR22" i="1"/>
  <c r="DS22" i="1" s="1"/>
  <c r="DR23" i="1"/>
  <c r="DS23" i="1" s="1"/>
  <c r="DR24" i="1"/>
  <c r="DS24" i="1" s="1"/>
  <c r="DR25" i="1"/>
  <c r="DS25" i="1" s="1"/>
  <c r="ES25" i="1" s="1"/>
  <c r="EV25" i="1" s="1"/>
  <c r="DR26" i="1"/>
  <c r="DS26" i="1" s="1"/>
  <c r="DR27" i="1"/>
  <c r="DS27" i="1" s="1"/>
  <c r="DR28" i="1"/>
  <c r="DS28" i="1" s="1"/>
  <c r="DR29" i="1"/>
  <c r="DS29" i="1" s="1"/>
  <c r="ES29" i="1" s="1"/>
  <c r="DR30" i="1"/>
  <c r="DS30" i="1" s="1"/>
  <c r="DR31" i="1"/>
  <c r="DS31" i="1" s="1"/>
  <c r="DR32" i="1"/>
  <c r="DS32" i="1" s="1"/>
  <c r="DR33" i="1"/>
  <c r="DS33" i="1" s="1"/>
  <c r="DR34" i="1"/>
  <c r="DS34" i="1" s="1"/>
  <c r="DR35" i="1"/>
  <c r="DS35" i="1" s="1"/>
  <c r="DR36" i="1"/>
  <c r="DS36" i="1" s="1"/>
  <c r="DR37" i="1"/>
  <c r="DS37" i="1" s="1"/>
  <c r="DR38" i="1"/>
  <c r="DS38" i="1" s="1"/>
  <c r="DR39" i="1"/>
  <c r="DS39" i="1" s="1"/>
  <c r="DR40" i="1"/>
  <c r="DS40" i="1" s="1"/>
  <c r="DR41" i="1"/>
  <c r="DS41" i="1" s="1"/>
  <c r="DR42" i="1"/>
  <c r="DS42" i="1" s="1"/>
  <c r="DR43" i="1"/>
  <c r="DS43" i="1" s="1"/>
  <c r="DR44" i="1"/>
  <c r="DS44" i="1" s="1"/>
  <c r="DR45" i="1"/>
  <c r="DS45" i="1" s="1"/>
  <c r="DR46" i="1"/>
  <c r="DS46" i="1" s="1"/>
  <c r="DR47" i="1"/>
  <c r="DS47" i="1" s="1"/>
  <c r="ES47" i="1" s="1"/>
  <c r="DR48" i="1"/>
  <c r="DS48" i="1" s="1"/>
  <c r="DR49" i="1"/>
  <c r="DS49" i="1" s="1"/>
  <c r="DR50" i="1"/>
  <c r="DS50" i="1" s="1"/>
  <c r="DR51" i="1"/>
  <c r="DS51" i="1" s="1"/>
  <c r="ES51" i="1" s="1"/>
  <c r="DR52" i="1"/>
  <c r="DS52" i="1" s="1"/>
  <c r="DR53" i="1"/>
  <c r="DS53" i="1" s="1"/>
  <c r="DR54" i="1"/>
  <c r="DS54" i="1" s="1"/>
  <c r="DR55" i="1"/>
  <c r="DS55" i="1" s="1"/>
  <c r="DR56" i="1"/>
  <c r="DS56" i="1" s="1"/>
  <c r="DR57" i="1"/>
  <c r="DS57" i="1" s="1"/>
  <c r="DR58" i="1"/>
  <c r="DS58" i="1" s="1"/>
  <c r="DR59" i="1"/>
  <c r="DS59" i="1" s="1"/>
  <c r="DR60" i="1"/>
  <c r="DS60" i="1" s="1"/>
  <c r="DR61" i="1"/>
  <c r="DS61" i="1" s="1"/>
  <c r="DR62" i="1"/>
  <c r="DS62" i="1" s="1"/>
  <c r="DR63" i="1"/>
  <c r="DS63" i="1" s="1"/>
  <c r="ES63" i="1" s="1"/>
  <c r="EV63" i="1" s="1"/>
  <c r="DR64" i="1"/>
  <c r="DS64" i="1" s="1"/>
  <c r="DR65" i="1"/>
  <c r="DS65" i="1" s="1"/>
  <c r="DR66" i="1"/>
  <c r="DS66" i="1" s="1"/>
  <c r="DR67" i="1"/>
  <c r="DS67" i="1" s="1"/>
  <c r="DR68" i="1"/>
  <c r="DS68" i="1" s="1"/>
  <c r="DR69" i="1"/>
  <c r="DS69" i="1" s="1"/>
  <c r="ES69" i="1" s="1"/>
  <c r="EV69" i="1" s="1"/>
  <c r="DR70" i="1"/>
  <c r="DS70" i="1" s="1"/>
  <c r="DR71" i="1"/>
  <c r="DS71" i="1" s="1"/>
  <c r="DR72" i="1"/>
  <c r="DS72" i="1" s="1"/>
  <c r="DR73" i="1"/>
  <c r="DS73" i="1" s="1"/>
  <c r="DR74" i="1"/>
  <c r="DS74" i="1" s="1"/>
  <c r="DR75" i="1"/>
  <c r="DS75" i="1" s="1"/>
  <c r="DR76" i="1"/>
  <c r="DS76" i="1" s="1"/>
  <c r="DR77" i="1"/>
  <c r="DS77" i="1" s="1"/>
  <c r="DR78" i="1"/>
  <c r="DS78" i="1" s="1"/>
  <c r="ES78" i="1" s="1"/>
  <c r="DR79" i="1"/>
  <c r="DS79" i="1" s="1"/>
  <c r="ES79" i="1" s="1"/>
  <c r="EV79" i="1" s="1"/>
  <c r="DR80" i="1"/>
  <c r="DS80" i="1" s="1"/>
  <c r="DR81" i="1"/>
  <c r="DS81" i="1" s="1"/>
  <c r="DR82" i="1"/>
  <c r="DS82" i="1" s="1"/>
  <c r="DR83" i="1"/>
  <c r="DS83" i="1" s="1"/>
  <c r="DR84" i="1"/>
  <c r="DS84" i="1" s="1"/>
  <c r="DR85" i="1"/>
  <c r="DS85" i="1" s="1"/>
  <c r="ES85" i="1" s="1"/>
  <c r="EV85" i="1" s="1"/>
  <c r="DR86" i="1"/>
  <c r="DS86" i="1" s="1"/>
  <c r="DR87" i="1"/>
  <c r="DS87" i="1" s="1"/>
  <c r="DR88" i="1"/>
  <c r="DS88" i="1" s="1"/>
  <c r="DR89" i="1"/>
  <c r="DS89" i="1" s="1"/>
  <c r="DR90" i="1"/>
  <c r="DS90" i="1" s="1"/>
  <c r="DR91" i="1"/>
  <c r="DS91" i="1" s="1"/>
  <c r="ES91" i="1" s="1"/>
  <c r="EV91" i="1" s="1"/>
  <c r="DR92" i="1"/>
  <c r="DS92" i="1" s="1"/>
  <c r="DR93" i="1"/>
  <c r="DS93" i="1" s="1"/>
  <c r="DR94" i="1"/>
  <c r="DS94" i="1" s="1"/>
  <c r="DR95" i="1"/>
  <c r="DS95" i="1" s="1"/>
  <c r="DR96" i="1"/>
  <c r="DS96" i="1" s="1"/>
  <c r="DR97" i="1"/>
  <c r="DS97" i="1" s="1"/>
  <c r="DR98" i="1"/>
  <c r="DS98" i="1" s="1"/>
  <c r="DR99" i="1"/>
  <c r="DS99" i="1" s="1"/>
  <c r="DR100" i="1"/>
  <c r="DS100" i="1" s="1"/>
  <c r="ES100" i="1" s="1"/>
  <c r="DR101" i="1"/>
  <c r="DS101" i="1" s="1"/>
  <c r="DR102" i="1"/>
  <c r="DS102" i="1" s="1"/>
  <c r="DR103" i="1"/>
  <c r="DS103" i="1" s="1"/>
  <c r="DR104" i="1"/>
  <c r="DS104" i="1" s="1"/>
  <c r="DR105" i="1"/>
  <c r="DS105" i="1" s="1"/>
  <c r="DR106" i="1"/>
  <c r="DS106" i="1" s="1"/>
  <c r="DR107" i="1"/>
  <c r="DS107" i="1" s="1"/>
  <c r="ES107" i="1" s="1"/>
  <c r="DR108" i="1"/>
  <c r="DS108" i="1" s="1"/>
  <c r="DR109" i="1"/>
  <c r="DS109" i="1" s="1"/>
  <c r="DR110" i="1"/>
  <c r="DS110" i="1" s="1"/>
  <c r="DR111" i="1"/>
  <c r="DS111" i="1" s="1"/>
  <c r="DR112" i="1"/>
  <c r="DS112" i="1" s="1"/>
  <c r="DR113" i="1"/>
  <c r="DS113" i="1" s="1"/>
  <c r="DR114" i="1"/>
  <c r="DS114" i="1" s="1"/>
  <c r="DR115" i="1"/>
  <c r="DS115" i="1" s="1"/>
  <c r="DR116" i="1"/>
  <c r="DS116" i="1" s="1"/>
  <c r="ES116" i="1" s="1"/>
  <c r="DR117" i="1"/>
  <c r="DS117" i="1" s="1"/>
  <c r="ES117" i="1" s="1"/>
  <c r="EV117" i="1" s="1"/>
  <c r="DR118" i="1"/>
  <c r="DS118" i="1" s="1"/>
  <c r="DR119" i="1"/>
  <c r="DS119" i="1" s="1"/>
  <c r="DR120" i="1"/>
  <c r="DS120" i="1" s="1"/>
  <c r="DR121" i="1"/>
  <c r="DS121" i="1" s="1"/>
  <c r="DR122" i="1"/>
  <c r="DS122" i="1" s="1"/>
  <c r="DR123" i="1"/>
  <c r="DS123" i="1" s="1"/>
  <c r="DR124" i="1"/>
  <c r="DS124" i="1" s="1"/>
  <c r="DR125" i="1"/>
  <c r="DS125" i="1" s="1"/>
  <c r="DR126" i="1"/>
  <c r="DS126" i="1" s="1"/>
  <c r="DR127" i="1"/>
  <c r="DS127" i="1" s="1"/>
  <c r="DR128" i="1"/>
  <c r="DS128" i="1" s="1"/>
  <c r="DR129" i="1"/>
  <c r="DS129" i="1" s="1"/>
  <c r="DR130" i="1"/>
  <c r="DS130" i="1" s="1"/>
  <c r="DR131" i="1"/>
  <c r="DS131" i="1" s="1"/>
  <c r="DR132" i="1"/>
  <c r="DS132" i="1" s="1"/>
  <c r="DR133" i="1"/>
  <c r="DS133" i="1" s="1"/>
  <c r="DR134" i="1"/>
  <c r="DS134" i="1" s="1"/>
  <c r="DR135" i="1"/>
  <c r="DS135" i="1" s="1"/>
  <c r="DR136" i="1"/>
  <c r="DS136" i="1" s="1"/>
  <c r="DR137" i="1"/>
  <c r="DS137" i="1" s="1"/>
  <c r="DR138" i="1"/>
  <c r="DS138" i="1" s="1"/>
  <c r="DR139" i="1"/>
  <c r="DS139" i="1" s="1"/>
  <c r="ES139" i="1" s="1"/>
  <c r="DR140" i="1"/>
  <c r="DS140" i="1" s="1"/>
  <c r="DR141" i="1"/>
  <c r="DS141" i="1" s="1"/>
  <c r="DR142" i="1"/>
  <c r="DS142" i="1" s="1"/>
  <c r="DR143" i="1"/>
  <c r="DS143" i="1" s="1"/>
  <c r="DR144" i="1"/>
  <c r="DS144" i="1" s="1"/>
  <c r="DR145" i="1"/>
  <c r="DS145" i="1" s="1"/>
  <c r="DR146" i="1"/>
  <c r="DS146" i="1" s="1"/>
  <c r="DR147" i="1"/>
  <c r="DS147" i="1" s="1"/>
  <c r="DR148" i="1"/>
  <c r="DS148" i="1" s="1"/>
  <c r="DR149" i="1"/>
  <c r="DS149" i="1" s="1"/>
  <c r="DR150" i="1"/>
  <c r="DS150" i="1" s="1"/>
  <c r="DR151" i="1"/>
  <c r="DS151" i="1" s="1"/>
  <c r="ES151" i="1" s="1"/>
  <c r="DR152" i="1"/>
  <c r="DS152" i="1" s="1"/>
  <c r="DR153" i="1"/>
  <c r="DS153" i="1" s="1"/>
  <c r="DR154" i="1"/>
  <c r="DS154" i="1" s="1"/>
  <c r="DR155" i="1"/>
  <c r="DS155" i="1" s="1"/>
  <c r="DR156" i="1"/>
  <c r="DS156" i="1" s="1"/>
  <c r="DR157" i="1"/>
  <c r="DS157" i="1" s="1"/>
  <c r="DR158" i="1"/>
  <c r="DS158" i="1" s="1"/>
  <c r="DR159" i="1"/>
  <c r="DS159" i="1" s="1"/>
  <c r="DR160" i="1"/>
  <c r="DS160" i="1" s="1"/>
  <c r="DR161" i="1"/>
  <c r="DS161" i="1" s="1"/>
  <c r="DR162" i="1"/>
  <c r="DS162" i="1" s="1"/>
  <c r="DR163" i="1"/>
  <c r="DS163" i="1" s="1"/>
  <c r="DR164" i="1"/>
  <c r="DS164" i="1" s="1"/>
  <c r="DR165" i="1"/>
  <c r="DS165" i="1" s="1"/>
  <c r="DR166" i="1"/>
  <c r="DS166" i="1" s="1"/>
  <c r="DR167" i="1"/>
  <c r="DS167" i="1" s="1"/>
  <c r="DR168" i="1"/>
  <c r="DS168" i="1" s="1"/>
  <c r="DR169" i="1"/>
  <c r="DS169" i="1" s="1"/>
  <c r="DR170" i="1"/>
  <c r="DS170" i="1" s="1"/>
  <c r="DR171" i="1"/>
  <c r="DS171" i="1" s="1"/>
  <c r="ES171" i="1" s="1"/>
  <c r="EV171" i="1" s="1"/>
  <c r="DR172" i="1"/>
  <c r="DS172" i="1" s="1"/>
  <c r="DR173" i="1"/>
  <c r="DS173" i="1" s="1"/>
  <c r="DR174" i="1"/>
  <c r="DS174" i="1" s="1"/>
  <c r="ES174" i="1" s="1"/>
  <c r="EV174" i="1" s="1"/>
  <c r="DR175" i="1"/>
  <c r="DS175" i="1" s="1"/>
  <c r="DR176" i="1"/>
  <c r="DS176" i="1" s="1"/>
  <c r="DR177" i="1"/>
  <c r="DS177" i="1" s="1"/>
  <c r="DR178" i="1"/>
  <c r="DS178" i="1" s="1"/>
  <c r="DR179" i="1"/>
  <c r="DS179" i="1" s="1"/>
  <c r="DR180" i="1"/>
  <c r="DS180" i="1" s="1"/>
  <c r="DR181" i="1"/>
  <c r="DS181" i="1" s="1"/>
  <c r="DR182" i="1"/>
  <c r="DS182" i="1" s="1"/>
  <c r="DR183" i="1"/>
  <c r="DS183" i="1" s="1"/>
  <c r="DR184" i="1"/>
  <c r="DS184" i="1" s="1"/>
  <c r="DR185" i="1"/>
  <c r="DR186" i="1"/>
  <c r="DS186" i="1" s="1"/>
  <c r="DR187" i="1"/>
  <c r="DS187" i="1" s="1"/>
  <c r="DR188" i="1"/>
  <c r="DS188" i="1" s="1"/>
  <c r="DR189" i="1"/>
  <c r="DS189" i="1" s="1"/>
  <c r="DR190" i="1"/>
  <c r="DS190" i="1" s="1"/>
  <c r="DR191" i="1"/>
  <c r="DS191" i="1" s="1"/>
  <c r="DR192" i="1"/>
  <c r="DS192" i="1" s="1"/>
  <c r="DR193" i="1"/>
  <c r="DS193" i="1" s="1"/>
  <c r="DR194" i="1"/>
  <c r="DS194" i="1" s="1"/>
  <c r="DR195" i="1"/>
  <c r="DS195" i="1" s="1"/>
  <c r="DR196" i="1"/>
  <c r="DS196" i="1" s="1"/>
  <c r="DR197" i="1"/>
  <c r="DS197" i="1" s="1"/>
  <c r="DR198" i="1"/>
  <c r="DS198" i="1" s="1"/>
  <c r="DR199" i="1"/>
  <c r="DS199" i="1" s="1"/>
  <c r="DR200" i="1"/>
  <c r="DS200" i="1" s="1"/>
  <c r="DR201" i="1"/>
  <c r="DS201" i="1" s="1"/>
  <c r="DR202" i="1"/>
  <c r="DS202" i="1" s="1"/>
  <c r="DR203" i="1"/>
  <c r="DS203" i="1" s="1"/>
  <c r="DR204" i="1"/>
  <c r="DS204" i="1" s="1"/>
  <c r="DR205" i="1"/>
  <c r="DS205" i="1" s="1"/>
  <c r="ES205" i="1" s="1"/>
  <c r="DR206" i="1"/>
  <c r="DS206" i="1" s="1"/>
  <c r="DR207" i="1"/>
  <c r="DS207" i="1" s="1"/>
  <c r="ES175" i="1" l="1"/>
  <c r="EV175" i="1" s="1"/>
  <c r="ES191" i="1"/>
  <c r="ET191" i="1" s="1"/>
  <c r="ES203" i="1"/>
  <c r="ET203" i="1" s="1"/>
  <c r="ES137" i="1"/>
  <c r="ET137" i="1" s="1"/>
  <c r="ES49" i="1"/>
  <c r="ET49" i="1" s="1"/>
  <c r="EV51" i="1"/>
  <c r="ET51" i="1"/>
  <c r="EV78" i="1"/>
  <c r="ET78" i="1"/>
  <c r="ES162" i="1"/>
  <c r="EV139" i="1"/>
  <c r="ET139" i="1"/>
  <c r="ES106" i="1"/>
  <c r="EU106" i="1" s="1"/>
  <c r="ES160" i="1"/>
  <c r="EV151" i="1"/>
  <c r="ET151" i="1"/>
  <c r="EV47" i="1"/>
  <c r="ET47" i="1"/>
  <c r="EV107" i="1"/>
  <c r="ET107" i="1"/>
  <c r="ES168" i="1"/>
  <c r="EU168" i="1" s="1"/>
  <c r="ES120" i="1"/>
  <c r="ET120" i="1" s="1"/>
  <c r="ES138" i="1"/>
  <c r="EU138" i="1" s="1"/>
  <c r="EV205" i="1"/>
  <c r="ET205" i="1"/>
  <c r="EV29" i="1"/>
  <c r="ET29" i="1"/>
  <c r="ES90" i="1"/>
  <c r="EU90" i="1" s="1"/>
  <c r="ES50" i="1"/>
  <c r="ES144" i="1"/>
  <c r="EV116" i="1"/>
  <c r="ET116" i="1"/>
  <c r="EV100" i="1"/>
  <c r="ET100" i="1"/>
  <c r="ES61" i="1"/>
  <c r="ET61" i="1" s="1"/>
  <c r="ES195" i="1"/>
  <c r="ET195" i="1" s="1"/>
  <c r="ES74" i="1"/>
  <c r="EU74" i="1" s="1"/>
  <c r="ES207" i="1"/>
  <c r="ET207" i="1" s="1"/>
  <c r="ES75" i="1"/>
  <c r="ET75" i="1" s="1"/>
  <c r="ES178" i="1"/>
  <c r="EU178" i="1" s="1"/>
  <c r="ES76" i="1"/>
  <c r="ET76" i="1" s="1"/>
  <c r="ES122" i="1"/>
  <c r="EU122" i="1" s="1"/>
  <c r="ES68" i="1"/>
  <c r="ET68" i="1" s="1"/>
  <c r="ES170" i="1"/>
  <c r="EV170" i="1" s="1"/>
  <c r="ES126" i="1"/>
  <c r="ET126" i="1" s="1"/>
  <c r="ES21" i="1"/>
  <c r="EV21" i="1" s="1"/>
  <c r="ES89" i="1"/>
  <c r="EV89" i="1" s="1"/>
  <c r="ES62" i="1"/>
  <c r="EV62" i="1" s="1"/>
  <c r="ES15" i="1"/>
  <c r="EV15" i="1" s="1"/>
  <c r="ES16" i="1"/>
  <c r="EV16" i="1" s="1"/>
  <c r="ES39" i="1"/>
  <c r="EV39" i="1" s="1"/>
  <c r="ES192" i="1"/>
  <c r="ET192" i="1" s="1"/>
  <c r="ES130" i="1"/>
  <c r="EV130" i="1" s="1"/>
  <c r="ES129" i="1"/>
  <c r="EU25" i="1"/>
  <c r="ES83" i="1"/>
  <c r="ET83" i="1" s="1"/>
  <c r="ES84" i="1"/>
  <c r="EV84" i="1" s="1"/>
  <c r="ES86" i="1"/>
  <c r="ET86" i="1" s="1"/>
  <c r="ES189" i="1"/>
  <c r="ET189" i="1" s="1"/>
  <c r="ES98" i="1"/>
  <c r="EU98" i="1" s="1"/>
  <c r="ES161" i="1"/>
  <c r="ET161" i="1" s="1"/>
  <c r="ES198" i="1"/>
  <c r="ET198" i="1" s="1"/>
  <c r="ES200" i="1"/>
  <c r="ET200" i="1" s="1"/>
  <c r="ES143" i="1"/>
  <c r="EV143" i="1" s="1"/>
  <c r="ES125" i="1"/>
  <c r="EV125" i="1" s="1"/>
  <c r="ES70" i="1"/>
  <c r="ET70" i="1" s="1"/>
  <c r="ES115" i="1"/>
  <c r="EV115" i="1" s="1"/>
  <c r="ET79" i="1"/>
  <c r="ET63" i="1"/>
  <c r="ET85" i="1"/>
  <c r="ET171" i="1"/>
  <c r="ES132" i="1"/>
  <c r="EU132" i="1" s="1"/>
  <c r="ES88" i="1"/>
  <c r="EV88" i="1" s="1"/>
  <c r="ES159" i="1"/>
  <c r="EV159" i="1" s="1"/>
  <c r="ET25" i="1"/>
  <c r="ES96" i="1"/>
  <c r="ET96" i="1" s="1"/>
  <c r="ES172" i="1"/>
  <c r="EV172" i="1" s="1"/>
  <c r="ES118" i="1"/>
  <c r="EV118" i="1" s="1"/>
  <c r="ES167" i="1"/>
  <c r="EV167" i="1" s="1"/>
  <c r="ES27" i="1"/>
  <c r="EV27" i="1" s="1"/>
  <c r="ES77" i="1"/>
  <c r="ET77" i="1" s="1"/>
  <c r="EU63" i="1"/>
  <c r="ES30" i="1"/>
  <c r="ET30" i="1" s="1"/>
  <c r="ES11" i="1"/>
  <c r="ET11" i="1" s="1"/>
  <c r="ET117" i="1"/>
  <c r="ES101" i="1"/>
  <c r="ET101" i="1" s="1"/>
  <c r="ES45" i="1"/>
  <c r="EU45" i="1" s="1"/>
  <c r="ES103" i="1"/>
  <c r="ET103" i="1" s="1"/>
  <c r="ES121" i="1"/>
  <c r="ET121" i="1" s="1"/>
  <c r="EU174" i="1"/>
  <c r="EU78" i="1"/>
  <c r="ES124" i="1"/>
  <c r="EV124" i="1" s="1"/>
  <c r="ES12" i="1"/>
  <c r="ET12" i="1" s="1"/>
  <c r="ES146" i="1"/>
  <c r="EV146" i="1" s="1"/>
  <c r="ES23" i="1"/>
  <c r="ET23" i="1" s="1"/>
  <c r="ES135" i="1"/>
  <c r="EV135" i="1" s="1"/>
  <c r="ES127" i="1"/>
  <c r="ET127" i="1" s="1"/>
  <c r="ES48" i="1"/>
  <c r="ET48" i="1" s="1"/>
  <c r="ES202" i="1"/>
  <c r="EU202" i="1" s="1"/>
  <c r="ES52" i="1"/>
  <c r="ET52" i="1" s="1"/>
  <c r="ES177" i="1"/>
  <c r="EV177" i="1" s="1"/>
  <c r="ES55" i="1"/>
  <c r="EV55" i="1" s="1"/>
  <c r="ES24" i="1"/>
  <c r="EU24" i="1" s="1"/>
  <c r="ES38" i="1"/>
  <c r="EV38" i="1" s="1"/>
  <c r="ES206" i="1"/>
  <c r="EV206" i="1" s="1"/>
  <c r="ES44" i="1"/>
  <c r="ET44" i="1" s="1"/>
  <c r="ET174" i="1"/>
  <c r="ET69" i="1"/>
  <c r="ES110" i="1"/>
  <c r="EU110" i="1" s="1"/>
  <c r="ES158" i="1"/>
  <c r="ET158" i="1" s="1"/>
  <c r="ES18" i="1"/>
  <c r="EU18" i="1" s="1"/>
  <c r="ES109" i="1"/>
  <c r="ET109" i="1" s="1"/>
  <c r="ES104" i="1"/>
  <c r="EV104" i="1" s="1"/>
  <c r="ES54" i="1"/>
  <c r="EV54" i="1" s="1"/>
  <c r="ES140" i="1"/>
  <c r="EV140" i="1" s="1"/>
  <c r="ES67" i="1"/>
  <c r="EV67" i="1" s="1"/>
  <c r="EU79" i="1"/>
  <c r="EU47" i="1"/>
  <c r="ES105" i="1"/>
  <c r="EV105" i="1" s="1"/>
  <c r="ES165" i="1"/>
  <c r="ET165" i="1" s="1"/>
  <c r="ES99" i="1"/>
  <c r="EV99" i="1" s="1"/>
  <c r="ES20" i="1"/>
  <c r="ET20" i="1" s="1"/>
  <c r="ES180" i="1"/>
  <c r="ET180" i="1" s="1"/>
  <c r="EU205" i="1"/>
  <c r="ES173" i="1"/>
  <c r="EU117" i="1"/>
  <c r="EU85" i="1"/>
  <c r="EU69" i="1"/>
  <c r="EU29" i="1"/>
  <c r="ES154" i="1"/>
  <c r="EU154" i="1" s="1"/>
  <c r="ES33" i="1"/>
  <c r="EU33" i="1" s="1"/>
  <c r="ES155" i="1"/>
  <c r="EV155" i="1" s="1"/>
  <c r="ES34" i="1"/>
  <c r="EV34" i="1" s="1"/>
  <c r="ES147" i="1"/>
  <c r="ET147" i="1" s="1"/>
  <c r="ES14" i="1"/>
  <c r="EV14" i="1" s="1"/>
  <c r="ES136" i="1"/>
  <c r="EU136" i="1" s="1"/>
  <c r="ES59" i="1"/>
  <c r="EV59" i="1" s="1"/>
  <c r="ES112" i="1"/>
  <c r="ET112" i="1" s="1"/>
  <c r="ES36" i="1"/>
  <c r="ET36" i="1" s="1"/>
  <c r="ES26" i="1"/>
  <c r="EV26" i="1" s="1"/>
  <c r="ES141" i="1"/>
  <c r="ET141" i="1" s="1"/>
  <c r="ES92" i="1"/>
  <c r="ET92" i="1" s="1"/>
  <c r="ES190" i="1"/>
  <c r="ET190" i="1" s="1"/>
  <c r="ES22" i="1"/>
  <c r="ES169" i="1"/>
  <c r="ET169" i="1" s="1"/>
  <c r="ES58" i="1"/>
  <c r="EV58" i="1" s="1"/>
  <c r="ES113" i="1"/>
  <c r="ET113" i="1" s="1"/>
  <c r="ES128" i="1"/>
  <c r="EU128" i="1" s="1"/>
  <c r="ES41" i="1"/>
  <c r="EU41" i="1" s="1"/>
  <c r="ES163" i="1"/>
  <c r="ET163" i="1" s="1"/>
  <c r="ES37" i="1"/>
  <c r="EV37" i="1" s="1"/>
  <c r="ES181" i="1"/>
  <c r="EU181" i="1" s="1"/>
  <c r="ES95" i="1"/>
  <c r="ET95" i="1" s="1"/>
  <c r="ES97" i="1"/>
  <c r="EU97" i="1" s="1"/>
  <c r="ES194" i="1"/>
  <c r="EU194" i="1" s="1"/>
  <c r="ES108" i="1"/>
  <c r="EV108" i="1" s="1"/>
  <c r="ES80" i="1"/>
  <c r="EV80" i="1" s="1"/>
  <c r="EU116" i="1"/>
  <c r="EU100" i="1"/>
  <c r="ES28" i="1"/>
  <c r="ES32" i="1"/>
  <c r="EV32" i="1" s="1"/>
  <c r="ES164" i="1"/>
  <c r="EV164" i="1" s="1"/>
  <c r="ES42" i="1"/>
  <c r="ET42" i="1" s="1"/>
  <c r="ES187" i="1"/>
  <c r="EV187" i="1" s="1"/>
  <c r="ES43" i="1"/>
  <c r="EV43" i="1" s="1"/>
  <c r="ES156" i="1"/>
  <c r="EV156" i="1" s="1"/>
  <c r="ES35" i="1"/>
  <c r="EU35" i="1" s="1"/>
  <c r="ES148" i="1"/>
  <c r="EV148" i="1" s="1"/>
  <c r="ES81" i="1"/>
  <c r="EU81" i="1" s="1"/>
  <c r="ES17" i="1"/>
  <c r="EU17" i="1" s="1"/>
  <c r="ES134" i="1"/>
  <c r="EV134" i="1" s="1"/>
  <c r="ES31" i="1"/>
  <c r="EV31" i="1" s="1"/>
  <c r="ES13" i="1"/>
  <c r="EV13" i="1" s="1"/>
  <c r="ES157" i="1"/>
  <c r="EV157" i="1" s="1"/>
  <c r="ES149" i="1"/>
  <c r="EU149" i="1" s="1"/>
  <c r="ET91" i="1"/>
  <c r="ES184" i="1"/>
  <c r="EU184" i="1" s="1"/>
  <c r="ES94" i="1"/>
  <c r="ES150" i="1"/>
  <c r="EU150" i="1" s="1"/>
  <c r="ES204" i="1"/>
  <c r="EU204" i="1" s="1"/>
  <c r="ES145" i="1"/>
  <c r="ES46" i="1"/>
  <c r="EV46" i="1" s="1"/>
  <c r="ES153" i="1"/>
  <c r="ET153" i="1" s="1"/>
  <c r="ES111" i="1"/>
  <c r="EV111" i="1" s="1"/>
  <c r="ES57" i="1"/>
  <c r="EU57" i="1" s="1"/>
  <c r="ES197" i="1"/>
  <c r="ET197" i="1" s="1"/>
  <c r="ES56" i="1"/>
  <c r="ES72" i="1"/>
  <c r="EU72" i="1" s="1"/>
  <c r="EU151" i="1"/>
  <c r="ES114" i="1"/>
  <c r="ET114" i="1" s="1"/>
  <c r="ES119" i="1"/>
  <c r="EV119" i="1" s="1"/>
  <c r="ES183" i="1"/>
  <c r="EV183" i="1" s="1"/>
  <c r="ES87" i="1"/>
  <c r="EV87" i="1" s="1"/>
  <c r="EU171" i="1"/>
  <c r="EU139" i="1"/>
  <c r="EU107" i="1"/>
  <c r="EU91" i="1"/>
  <c r="EU51" i="1"/>
  <c r="ES40" i="1"/>
  <c r="EV40" i="1" s="1"/>
  <c r="ES186" i="1"/>
  <c r="EV186" i="1" s="1"/>
  <c r="ES53" i="1"/>
  <c r="ET53" i="1" s="1"/>
  <c r="ES196" i="1"/>
  <c r="EV196" i="1" s="1"/>
  <c r="ES64" i="1"/>
  <c r="EU64" i="1" s="1"/>
  <c r="ES166" i="1"/>
  <c r="EU166" i="1" s="1"/>
  <c r="ES65" i="1"/>
  <c r="ET65" i="1" s="1"/>
  <c r="ES179" i="1"/>
  <c r="ET179" i="1" s="1"/>
  <c r="ES102" i="1"/>
  <c r="EU102" i="1" s="1"/>
  <c r="ES123" i="1"/>
  <c r="EV123" i="1" s="1"/>
  <c r="ES82" i="1"/>
  <c r="EV82" i="1" s="1"/>
  <c r="ES131" i="1"/>
  <c r="EV131" i="1" s="1"/>
  <c r="ES201" i="1"/>
  <c r="EV201" i="1" s="1"/>
  <c r="ES193" i="1"/>
  <c r="EV193" i="1" s="1"/>
  <c r="ES152" i="1"/>
  <c r="EU152" i="1" s="1"/>
  <c r="ES71" i="1"/>
  <c r="EV71" i="1" s="1"/>
  <c r="ES60" i="1"/>
  <c r="EV60" i="1" s="1"/>
  <c r="ES176" i="1"/>
  <c r="EV176" i="1" s="1"/>
  <c r="ES133" i="1"/>
  <c r="EU133" i="1" s="1"/>
  <c r="ES19" i="1"/>
  <c r="ES188" i="1"/>
  <c r="ES66" i="1"/>
  <c r="EV66" i="1" s="1"/>
  <c r="ES93" i="1"/>
  <c r="EV93" i="1" s="1"/>
  <c r="ES199" i="1"/>
  <c r="ES182" i="1"/>
  <c r="ES73" i="1"/>
  <c r="EU73" i="1" s="1"/>
  <c r="ES142" i="1"/>
  <c r="EV142" i="1" s="1"/>
  <c r="EO171" i="1"/>
  <c r="EQ171" i="1" s="1"/>
  <c r="EO168" i="1"/>
  <c r="EQ168" i="1" s="1"/>
  <c r="EO174" i="1"/>
  <c r="EQ174" i="1" s="1"/>
  <c r="DW173" i="1"/>
  <c r="DW28" i="1"/>
  <c r="EO28" i="1"/>
  <c r="EQ28" i="1" s="1"/>
  <c r="EO173" i="1"/>
  <c r="EQ173" i="1" s="1"/>
  <c r="DW171" i="1"/>
  <c r="EO182" i="1"/>
  <c r="EQ182" i="1" s="1"/>
  <c r="DW168" i="1"/>
  <c r="DT28" i="1"/>
  <c r="DT171" i="1"/>
  <c r="DS185" i="1"/>
  <c r="DT185" i="1"/>
  <c r="DU171" i="1"/>
  <c r="DT173" i="1"/>
  <c r="DU28" i="1"/>
  <c r="DW174" i="1"/>
  <c r="DU174" i="1"/>
  <c r="DT168" i="1"/>
  <c r="DW182" i="1"/>
  <c r="DU182" i="1"/>
  <c r="DT174" i="1"/>
  <c r="DU168" i="1"/>
  <c r="DT182" i="1"/>
  <c r="DU173" i="1"/>
  <c r="DJ19" i="1"/>
  <c r="DV19" i="1"/>
  <c r="DJ84" i="1"/>
  <c r="DV84" i="1"/>
  <c r="DJ148" i="1"/>
  <c r="DV148" i="1"/>
  <c r="DJ69" i="1"/>
  <c r="DV69" i="1"/>
  <c r="DJ133" i="1"/>
  <c r="DV133" i="1"/>
  <c r="DJ203" i="1"/>
  <c r="DV203" i="1"/>
  <c r="DJ62" i="1"/>
  <c r="DV62" i="1"/>
  <c r="DJ126" i="1"/>
  <c r="DV126" i="1"/>
  <c r="DJ196" i="1"/>
  <c r="DV196" i="1"/>
  <c r="DJ47" i="1"/>
  <c r="DV47" i="1"/>
  <c r="DJ111" i="1"/>
  <c r="DV111" i="1"/>
  <c r="DJ179" i="1"/>
  <c r="DV179" i="1"/>
  <c r="DJ32" i="1"/>
  <c r="DV32" i="1"/>
  <c r="DJ96" i="1"/>
  <c r="DV96" i="1"/>
  <c r="DJ160" i="1"/>
  <c r="DV160" i="1"/>
  <c r="DJ16" i="1"/>
  <c r="DV16" i="1"/>
  <c r="DJ81" i="1"/>
  <c r="DV81" i="1"/>
  <c r="DJ145" i="1"/>
  <c r="DV145" i="1"/>
  <c r="DJ66" i="1"/>
  <c r="DV66" i="1"/>
  <c r="DJ130" i="1"/>
  <c r="DV130" i="1"/>
  <c r="DJ200" i="1"/>
  <c r="DV200" i="1"/>
  <c r="DJ59" i="1"/>
  <c r="DV59" i="1"/>
  <c r="DJ99" i="1"/>
  <c r="DV99" i="1"/>
  <c r="DJ164" i="1"/>
  <c r="DV164" i="1"/>
  <c r="DJ11" i="1"/>
  <c r="DV11" i="1"/>
  <c r="DJ48" i="1"/>
  <c r="DV48" i="1"/>
  <c r="DJ33" i="1"/>
  <c r="DV33" i="1"/>
  <c r="DJ17" i="1"/>
  <c r="DV17" i="1"/>
  <c r="DJ107" i="1"/>
  <c r="DV107" i="1"/>
  <c r="DJ202" i="1"/>
  <c r="DV202" i="1"/>
  <c r="DJ117" i="1"/>
  <c r="DV117" i="1"/>
  <c r="DJ110" i="1"/>
  <c r="DV110" i="1"/>
  <c r="DJ31" i="1"/>
  <c r="DV31" i="1"/>
  <c r="DJ159" i="1"/>
  <c r="DV159" i="1"/>
  <c r="DJ80" i="1"/>
  <c r="DV80" i="1"/>
  <c r="DJ65" i="1"/>
  <c r="DV65" i="1"/>
  <c r="DJ129" i="1"/>
  <c r="DV129" i="1"/>
  <c r="DJ199" i="1"/>
  <c r="DV199" i="1"/>
  <c r="DJ114" i="1"/>
  <c r="DV114" i="1"/>
  <c r="DJ183" i="1"/>
  <c r="DV183" i="1"/>
  <c r="DJ115" i="1"/>
  <c r="DV115" i="1"/>
  <c r="DJ91" i="1"/>
  <c r="DV91" i="1"/>
  <c r="DJ75" i="1"/>
  <c r="DV75" i="1"/>
  <c r="DJ27" i="1"/>
  <c r="DV27" i="1"/>
  <c r="DJ92" i="1"/>
  <c r="DV92" i="1"/>
  <c r="DJ156" i="1"/>
  <c r="DV156" i="1"/>
  <c r="DJ51" i="1"/>
  <c r="DV51" i="1"/>
  <c r="DJ77" i="1"/>
  <c r="DV77" i="1"/>
  <c r="DJ141" i="1"/>
  <c r="DV141" i="1"/>
  <c r="DJ15" i="1"/>
  <c r="DV15" i="1"/>
  <c r="DJ70" i="1"/>
  <c r="DV70" i="1"/>
  <c r="DJ134" i="1"/>
  <c r="DV134" i="1"/>
  <c r="DJ204" i="1"/>
  <c r="DV204" i="1"/>
  <c r="DJ55" i="1"/>
  <c r="DV55" i="1"/>
  <c r="DJ119" i="1"/>
  <c r="DV119" i="1"/>
  <c r="DJ189" i="1"/>
  <c r="DV189" i="1"/>
  <c r="DJ40" i="1"/>
  <c r="DV40" i="1"/>
  <c r="DJ104" i="1"/>
  <c r="DV104" i="1"/>
  <c r="DJ169" i="1"/>
  <c r="DV169" i="1"/>
  <c r="DJ24" i="1"/>
  <c r="DV24" i="1"/>
  <c r="DJ89" i="1"/>
  <c r="DV89" i="1"/>
  <c r="DJ153" i="1"/>
  <c r="DV153" i="1"/>
  <c r="DJ74" i="1"/>
  <c r="DV74" i="1"/>
  <c r="DJ138" i="1"/>
  <c r="DV138" i="1"/>
  <c r="DJ12" i="1"/>
  <c r="DV12" i="1"/>
  <c r="DJ201" i="1"/>
  <c r="DV201" i="1"/>
  <c r="DJ163" i="1"/>
  <c r="DV163" i="1"/>
  <c r="DJ36" i="1"/>
  <c r="DV36" i="1"/>
  <c r="DJ149" i="1"/>
  <c r="DV149" i="1"/>
  <c r="DJ78" i="1"/>
  <c r="DV78" i="1"/>
  <c r="DJ63" i="1"/>
  <c r="DV63" i="1"/>
  <c r="DJ112" i="1"/>
  <c r="DV112" i="1"/>
  <c r="DJ161" i="1"/>
  <c r="DV161" i="1"/>
  <c r="DJ146" i="1"/>
  <c r="DV146" i="1"/>
  <c r="DJ44" i="1"/>
  <c r="DV44" i="1"/>
  <c r="DJ176" i="1"/>
  <c r="DV176" i="1"/>
  <c r="DJ93" i="1"/>
  <c r="DV93" i="1"/>
  <c r="DJ157" i="1"/>
  <c r="DV157" i="1"/>
  <c r="DJ86" i="1"/>
  <c r="DV86" i="1"/>
  <c r="DJ71" i="1"/>
  <c r="DV71" i="1"/>
  <c r="DJ135" i="1"/>
  <c r="DV135" i="1"/>
  <c r="DJ56" i="1"/>
  <c r="DV56" i="1"/>
  <c r="DJ190" i="1"/>
  <c r="DV190" i="1"/>
  <c r="DJ105" i="1"/>
  <c r="DV105" i="1"/>
  <c r="DJ25" i="1"/>
  <c r="DV25" i="1"/>
  <c r="DJ18" i="1"/>
  <c r="DV18" i="1"/>
  <c r="DJ52" i="1"/>
  <c r="DV52" i="1"/>
  <c r="DJ116" i="1"/>
  <c r="DV116" i="1"/>
  <c r="DJ186" i="1"/>
  <c r="DV186" i="1"/>
  <c r="DJ37" i="1"/>
  <c r="DV37" i="1"/>
  <c r="DJ101" i="1"/>
  <c r="DV101" i="1"/>
  <c r="DJ165" i="1"/>
  <c r="DV165" i="1"/>
  <c r="DJ30" i="1"/>
  <c r="DV30" i="1"/>
  <c r="DJ94" i="1"/>
  <c r="DV94" i="1"/>
  <c r="DJ158" i="1"/>
  <c r="DV158" i="1"/>
  <c r="DJ184" i="1"/>
  <c r="DV184" i="1"/>
  <c r="DJ79" i="1"/>
  <c r="DV79" i="1"/>
  <c r="DJ143" i="1"/>
  <c r="DV143" i="1"/>
  <c r="DJ64" i="1"/>
  <c r="DV64" i="1"/>
  <c r="DJ128" i="1"/>
  <c r="DV128" i="1"/>
  <c r="DJ198" i="1"/>
  <c r="DV198" i="1"/>
  <c r="DJ49" i="1"/>
  <c r="DV49" i="1"/>
  <c r="DJ113" i="1"/>
  <c r="DV113" i="1"/>
  <c r="DJ181" i="1"/>
  <c r="DV181" i="1"/>
  <c r="DJ34" i="1"/>
  <c r="DV34" i="1"/>
  <c r="DJ98" i="1"/>
  <c r="DV98" i="1"/>
  <c r="DJ162" i="1"/>
  <c r="DV162" i="1"/>
  <c r="DJ26" i="1"/>
  <c r="DV26" i="1"/>
  <c r="DJ83" i="1"/>
  <c r="DV83" i="1"/>
  <c r="DJ131" i="1"/>
  <c r="DV131" i="1"/>
  <c r="DJ67" i="1"/>
  <c r="DV67" i="1"/>
  <c r="DJ108" i="1"/>
  <c r="DV108" i="1"/>
  <c r="DJ29" i="1"/>
  <c r="DV29" i="1"/>
  <c r="DJ21" i="1"/>
  <c r="DV21" i="1"/>
  <c r="DJ150" i="1"/>
  <c r="DV150" i="1"/>
  <c r="DJ205" i="1"/>
  <c r="DV205" i="1"/>
  <c r="DJ120" i="1"/>
  <c r="DV120" i="1"/>
  <c r="DJ41" i="1"/>
  <c r="DV41" i="1"/>
  <c r="DJ170" i="1"/>
  <c r="DV170" i="1"/>
  <c r="DJ90" i="1"/>
  <c r="DV90" i="1"/>
  <c r="DJ154" i="1"/>
  <c r="DV154" i="1"/>
  <c r="DJ13" i="1"/>
  <c r="DV13" i="1"/>
  <c r="DJ123" i="1"/>
  <c r="DV123" i="1"/>
  <c r="DJ60" i="1"/>
  <c r="DV60" i="1"/>
  <c r="DJ124" i="1"/>
  <c r="DV124" i="1"/>
  <c r="DJ194" i="1"/>
  <c r="DV194" i="1"/>
  <c r="DJ45" i="1"/>
  <c r="DV45" i="1"/>
  <c r="DJ109" i="1"/>
  <c r="DV109" i="1"/>
  <c r="DJ177" i="1"/>
  <c r="DV177" i="1"/>
  <c r="DJ38" i="1"/>
  <c r="DV38" i="1"/>
  <c r="DJ102" i="1"/>
  <c r="DV102" i="1"/>
  <c r="DJ166" i="1"/>
  <c r="DV166" i="1"/>
  <c r="DJ22" i="1"/>
  <c r="DV22" i="1"/>
  <c r="DJ87" i="1"/>
  <c r="DV87" i="1"/>
  <c r="DJ151" i="1"/>
  <c r="DV151" i="1"/>
  <c r="DJ72" i="1"/>
  <c r="DV72" i="1"/>
  <c r="DJ136" i="1"/>
  <c r="DV136" i="1"/>
  <c r="DJ206" i="1"/>
  <c r="DV206" i="1"/>
  <c r="DJ57" i="1"/>
  <c r="DV57" i="1"/>
  <c r="DJ121" i="1"/>
  <c r="DV121" i="1"/>
  <c r="DJ191" i="1"/>
  <c r="DV191" i="1"/>
  <c r="DJ42" i="1"/>
  <c r="DV42" i="1"/>
  <c r="DJ106" i="1"/>
  <c r="DV106" i="1"/>
  <c r="DJ172" i="1"/>
  <c r="DV172" i="1"/>
  <c r="DJ35" i="1"/>
  <c r="DV35" i="1"/>
  <c r="DJ147" i="1"/>
  <c r="DV147" i="1"/>
  <c r="DJ155" i="1"/>
  <c r="DV155" i="1"/>
  <c r="DJ100" i="1"/>
  <c r="DV100" i="1"/>
  <c r="DJ85" i="1"/>
  <c r="DV85" i="1"/>
  <c r="DJ142" i="1"/>
  <c r="DV142" i="1"/>
  <c r="DJ127" i="1"/>
  <c r="DV127" i="1"/>
  <c r="DJ97" i="1"/>
  <c r="DV97" i="1"/>
  <c r="DJ132" i="1"/>
  <c r="DV132" i="1"/>
  <c r="DJ187" i="1"/>
  <c r="DV187" i="1"/>
  <c r="DJ43" i="1"/>
  <c r="DV43" i="1"/>
  <c r="DJ20" i="1"/>
  <c r="DV20" i="1"/>
  <c r="DJ197" i="1"/>
  <c r="DV197" i="1"/>
  <c r="DJ180" i="1"/>
  <c r="DV180" i="1"/>
  <c r="DJ82" i="1"/>
  <c r="DV82" i="1"/>
  <c r="DJ68" i="1"/>
  <c r="DV68" i="1"/>
  <c r="DJ53" i="1"/>
  <c r="DV53" i="1"/>
  <c r="DJ46" i="1"/>
  <c r="DV46" i="1"/>
  <c r="DJ178" i="1"/>
  <c r="DV178" i="1"/>
  <c r="DJ95" i="1"/>
  <c r="DV95" i="1"/>
  <c r="DJ144" i="1"/>
  <c r="DV144" i="1"/>
  <c r="DJ50" i="1"/>
  <c r="DV50" i="1"/>
  <c r="DJ76" i="1"/>
  <c r="DV76" i="1"/>
  <c r="DJ140" i="1"/>
  <c r="DV140" i="1"/>
  <c r="DJ14" i="1"/>
  <c r="DV14" i="1"/>
  <c r="DJ61" i="1"/>
  <c r="DV61" i="1"/>
  <c r="DJ125" i="1"/>
  <c r="DV125" i="1"/>
  <c r="DJ195" i="1"/>
  <c r="DV195" i="1"/>
  <c r="DJ54" i="1"/>
  <c r="DV54" i="1"/>
  <c r="DJ118" i="1"/>
  <c r="DV118" i="1"/>
  <c r="DJ188" i="1"/>
  <c r="DV188" i="1"/>
  <c r="DJ39" i="1"/>
  <c r="DV39" i="1"/>
  <c r="DJ103" i="1"/>
  <c r="DV103" i="1"/>
  <c r="DJ167" i="1"/>
  <c r="DV167" i="1"/>
  <c r="DJ23" i="1"/>
  <c r="DV23" i="1"/>
  <c r="DJ88" i="1"/>
  <c r="DV88" i="1"/>
  <c r="DJ152" i="1"/>
  <c r="DV152" i="1"/>
  <c r="DJ73" i="1"/>
  <c r="DV73" i="1"/>
  <c r="DJ137" i="1"/>
  <c r="DV137" i="1"/>
  <c r="DJ207" i="1"/>
  <c r="DV207" i="1"/>
  <c r="DJ58" i="1"/>
  <c r="DV58" i="1"/>
  <c r="DJ122" i="1"/>
  <c r="DV122" i="1"/>
  <c r="DJ192" i="1"/>
  <c r="DV192" i="1"/>
  <c r="DJ193" i="1"/>
  <c r="DV193" i="1"/>
  <c r="DJ175" i="1"/>
  <c r="DV175" i="1"/>
  <c r="DJ139" i="1"/>
  <c r="DV139" i="1"/>
  <c r="DR10" i="1"/>
  <c r="DG25" i="1"/>
  <c r="DH25" i="1" s="1"/>
  <c r="DG26" i="1"/>
  <c r="DH26" i="1" s="1"/>
  <c r="DG27" i="1"/>
  <c r="DH27" i="1" s="1"/>
  <c r="DG28" i="1"/>
  <c r="DH28" i="1" s="1"/>
  <c r="DG29" i="1"/>
  <c r="DH29" i="1" s="1"/>
  <c r="DG30" i="1"/>
  <c r="DH30" i="1" s="1"/>
  <c r="DG31" i="1"/>
  <c r="DH31" i="1" s="1"/>
  <c r="DG32" i="1"/>
  <c r="DH32" i="1" s="1"/>
  <c r="DG33" i="1"/>
  <c r="DH33" i="1" s="1"/>
  <c r="DG34" i="1"/>
  <c r="DH34" i="1" s="1"/>
  <c r="DG35" i="1"/>
  <c r="DH35" i="1" s="1"/>
  <c r="DG36" i="1"/>
  <c r="DH36" i="1" s="1"/>
  <c r="DG37" i="1"/>
  <c r="DH37" i="1" s="1"/>
  <c r="DG38" i="1"/>
  <c r="DH38" i="1" s="1"/>
  <c r="DG39" i="1"/>
  <c r="DH39" i="1" s="1"/>
  <c r="DG40" i="1"/>
  <c r="DH40" i="1" s="1"/>
  <c r="DG41" i="1"/>
  <c r="DH41" i="1" s="1"/>
  <c r="DG42" i="1"/>
  <c r="DH42" i="1" s="1"/>
  <c r="DG43" i="1"/>
  <c r="DH43" i="1" s="1"/>
  <c r="DG44" i="1"/>
  <c r="DH44" i="1" s="1"/>
  <c r="DG45" i="1"/>
  <c r="DH45" i="1" s="1"/>
  <c r="DG46" i="1"/>
  <c r="DH46" i="1" s="1"/>
  <c r="DG47" i="1"/>
  <c r="DH47" i="1" s="1"/>
  <c r="DG48" i="1"/>
  <c r="DH48" i="1" s="1"/>
  <c r="DG49" i="1"/>
  <c r="DH49" i="1" s="1"/>
  <c r="DG50" i="1"/>
  <c r="DH50" i="1" s="1"/>
  <c r="DG51" i="1"/>
  <c r="DH51" i="1" s="1"/>
  <c r="DG52" i="1"/>
  <c r="DH52" i="1" s="1"/>
  <c r="DG53" i="1"/>
  <c r="DH53" i="1" s="1"/>
  <c r="DG54" i="1"/>
  <c r="DH54" i="1" s="1"/>
  <c r="DG55" i="1"/>
  <c r="DH55" i="1" s="1"/>
  <c r="DG56" i="1"/>
  <c r="DH56" i="1" s="1"/>
  <c r="DG57" i="1"/>
  <c r="DH57" i="1" s="1"/>
  <c r="DG58" i="1"/>
  <c r="DH58" i="1" s="1"/>
  <c r="DG59" i="1"/>
  <c r="DH59" i="1" s="1"/>
  <c r="DG60" i="1"/>
  <c r="DH60" i="1" s="1"/>
  <c r="DG61" i="1"/>
  <c r="DH61" i="1" s="1"/>
  <c r="DG62" i="1"/>
  <c r="DH62" i="1" s="1"/>
  <c r="DG63" i="1"/>
  <c r="DH63" i="1" s="1"/>
  <c r="DG64" i="1"/>
  <c r="DH64" i="1" s="1"/>
  <c r="DG65" i="1"/>
  <c r="DH65" i="1" s="1"/>
  <c r="DG66" i="1"/>
  <c r="DH66" i="1" s="1"/>
  <c r="DG67" i="1"/>
  <c r="DH67" i="1" s="1"/>
  <c r="DG68" i="1"/>
  <c r="DH68" i="1" s="1"/>
  <c r="DG69" i="1"/>
  <c r="DH69" i="1" s="1"/>
  <c r="DG70" i="1"/>
  <c r="DH70" i="1" s="1"/>
  <c r="DG71" i="1"/>
  <c r="DH71" i="1" s="1"/>
  <c r="DG72" i="1"/>
  <c r="DH72" i="1" s="1"/>
  <c r="DG73" i="1"/>
  <c r="DH73" i="1" s="1"/>
  <c r="DG74" i="1"/>
  <c r="DH74" i="1" s="1"/>
  <c r="DG75" i="1"/>
  <c r="DH75" i="1" s="1"/>
  <c r="DG76" i="1"/>
  <c r="DH76" i="1" s="1"/>
  <c r="DG77" i="1"/>
  <c r="DH77" i="1" s="1"/>
  <c r="DG78" i="1"/>
  <c r="DH78" i="1" s="1"/>
  <c r="DG79" i="1"/>
  <c r="DH79" i="1" s="1"/>
  <c r="DG80" i="1"/>
  <c r="DH80" i="1" s="1"/>
  <c r="DG81" i="1"/>
  <c r="DH81" i="1" s="1"/>
  <c r="DG82" i="1"/>
  <c r="DH82" i="1" s="1"/>
  <c r="DG83" i="1"/>
  <c r="DH83" i="1" s="1"/>
  <c r="DG84" i="1"/>
  <c r="DH84" i="1" s="1"/>
  <c r="DG85" i="1"/>
  <c r="DH85" i="1" s="1"/>
  <c r="DG86" i="1"/>
  <c r="DH86" i="1" s="1"/>
  <c r="DG87" i="1"/>
  <c r="DH87" i="1" s="1"/>
  <c r="DG88" i="1"/>
  <c r="DH88" i="1" s="1"/>
  <c r="DG89" i="1"/>
  <c r="DH89" i="1" s="1"/>
  <c r="DG90" i="1"/>
  <c r="DH90" i="1" s="1"/>
  <c r="DG91" i="1"/>
  <c r="DH91" i="1" s="1"/>
  <c r="DG92" i="1"/>
  <c r="DH92" i="1" s="1"/>
  <c r="DG93" i="1"/>
  <c r="DH93" i="1" s="1"/>
  <c r="DG94" i="1"/>
  <c r="DH94" i="1" s="1"/>
  <c r="DG95" i="1"/>
  <c r="DH95" i="1" s="1"/>
  <c r="DG96" i="1"/>
  <c r="DH96" i="1" s="1"/>
  <c r="DG97" i="1"/>
  <c r="DH97" i="1" s="1"/>
  <c r="DG98" i="1"/>
  <c r="DH98" i="1" s="1"/>
  <c r="DG99" i="1"/>
  <c r="DH99" i="1" s="1"/>
  <c r="DG100" i="1"/>
  <c r="DH100" i="1" s="1"/>
  <c r="DG101" i="1"/>
  <c r="DH101" i="1" s="1"/>
  <c r="DG102" i="1"/>
  <c r="DH102" i="1" s="1"/>
  <c r="DG103" i="1"/>
  <c r="DH103" i="1" s="1"/>
  <c r="DG104" i="1"/>
  <c r="DH104" i="1" s="1"/>
  <c r="DG105" i="1"/>
  <c r="DH105" i="1" s="1"/>
  <c r="DG106" i="1"/>
  <c r="DH106" i="1" s="1"/>
  <c r="DG107" i="1"/>
  <c r="DH107" i="1" s="1"/>
  <c r="DG108" i="1"/>
  <c r="DH108" i="1" s="1"/>
  <c r="DG109" i="1"/>
  <c r="DH109" i="1" s="1"/>
  <c r="DG110" i="1"/>
  <c r="DH110" i="1" s="1"/>
  <c r="DG111" i="1"/>
  <c r="DH111" i="1" s="1"/>
  <c r="DG112" i="1"/>
  <c r="DH112" i="1" s="1"/>
  <c r="DG113" i="1"/>
  <c r="DH113" i="1" s="1"/>
  <c r="DG114" i="1"/>
  <c r="DH114" i="1" s="1"/>
  <c r="DG115" i="1"/>
  <c r="DH115" i="1" s="1"/>
  <c r="DG116" i="1"/>
  <c r="DH116" i="1" s="1"/>
  <c r="DG117" i="1"/>
  <c r="DH117" i="1" s="1"/>
  <c r="DG118" i="1"/>
  <c r="DH118" i="1" s="1"/>
  <c r="DG119" i="1"/>
  <c r="DH119" i="1" s="1"/>
  <c r="DG120" i="1"/>
  <c r="DH120" i="1" s="1"/>
  <c r="DG121" i="1"/>
  <c r="DH121" i="1" s="1"/>
  <c r="DG122" i="1"/>
  <c r="DH122" i="1" s="1"/>
  <c r="DG123" i="1"/>
  <c r="DH123" i="1" s="1"/>
  <c r="DG124" i="1"/>
  <c r="DH124" i="1" s="1"/>
  <c r="DG125" i="1"/>
  <c r="DH125" i="1" s="1"/>
  <c r="DG126" i="1"/>
  <c r="DH126" i="1" s="1"/>
  <c r="DG127" i="1"/>
  <c r="DH127" i="1" s="1"/>
  <c r="DG128" i="1"/>
  <c r="DH128" i="1" s="1"/>
  <c r="DG129" i="1"/>
  <c r="DH129" i="1" s="1"/>
  <c r="DG130" i="1"/>
  <c r="DH130" i="1" s="1"/>
  <c r="DG131" i="1"/>
  <c r="DH131" i="1" s="1"/>
  <c r="DG132" i="1"/>
  <c r="DH132" i="1" s="1"/>
  <c r="DG133" i="1"/>
  <c r="DH133" i="1" s="1"/>
  <c r="DG134" i="1"/>
  <c r="DH134" i="1" s="1"/>
  <c r="DG135" i="1"/>
  <c r="DH135" i="1" s="1"/>
  <c r="DG136" i="1"/>
  <c r="DH136" i="1" s="1"/>
  <c r="DG137" i="1"/>
  <c r="DH137" i="1" s="1"/>
  <c r="DG138" i="1"/>
  <c r="DH138" i="1" s="1"/>
  <c r="DG139" i="1"/>
  <c r="DH139" i="1" s="1"/>
  <c r="DG140" i="1"/>
  <c r="DH140" i="1" s="1"/>
  <c r="DG141" i="1"/>
  <c r="DH141" i="1" s="1"/>
  <c r="DG142" i="1"/>
  <c r="DH142" i="1" s="1"/>
  <c r="DG143" i="1"/>
  <c r="DH143" i="1" s="1"/>
  <c r="DG144" i="1"/>
  <c r="DH144" i="1" s="1"/>
  <c r="DG145" i="1"/>
  <c r="DH145" i="1" s="1"/>
  <c r="DG146" i="1"/>
  <c r="DH146" i="1" s="1"/>
  <c r="DG147" i="1"/>
  <c r="DH147" i="1" s="1"/>
  <c r="DG148" i="1"/>
  <c r="DH148" i="1" s="1"/>
  <c r="DG149" i="1"/>
  <c r="DH149" i="1" s="1"/>
  <c r="DG150" i="1"/>
  <c r="DH150" i="1" s="1"/>
  <c r="DG151" i="1"/>
  <c r="DH151" i="1" s="1"/>
  <c r="DG152" i="1"/>
  <c r="DH152" i="1" s="1"/>
  <c r="DG153" i="1"/>
  <c r="DH153" i="1" s="1"/>
  <c r="DG154" i="1"/>
  <c r="DH154" i="1" s="1"/>
  <c r="DG155" i="1"/>
  <c r="DH155" i="1" s="1"/>
  <c r="DG156" i="1"/>
  <c r="DH156" i="1" s="1"/>
  <c r="DG157" i="1"/>
  <c r="DH157" i="1" s="1"/>
  <c r="DG158" i="1"/>
  <c r="DH158" i="1" s="1"/>
  <c r="DG159" i="1"/>
  <c r="DH159" i="1" s="1"/>
  <c r="DG160" i="1"/>
  <c r="DH160" i="1" s="1"/>
  <c r="DG161" i="1"/>
  <c r="DH161" i="1" s="1"/>
  <c r="DG162" i="1"/>
  <c r="DH162" i="1" s="1"/>
  <c r="DG163" i="1"/>
  <c r="DH163" i="1" s="1"/>
  <c r="DG164" i="1"/>
  <c r="DH164" i="1" s="1"/>
  <c r="DG165" i="1"/>
  <c r="DH165" i="1" s="1"/>
  <c r="DG166" i="1"/>
  <c r="DH166" i="1" s="1"/>
  <c r="DG167" i="1"/>
  <c r="DH167" i="1" s="1"/>
  <c r="DG168" i="1"/>
  <c r="DH168" i="1" s="1"/>
  <c r="DG169" i="1"/>
  <c r="DH169" i="1" s="1"/>
  <c r="DG170" i="1"/>
  <c r="DH170" i="1" s="1"/>
  <c r="DG171" i="1"/>
  <c r="DH171" i="1" s="1"/>
  <c r="DG172" i="1"/>
  <c r="DH172" i="1" s="1"/>
  <c r="DG173" i="1"/>
  <c r="DH173" i="1" s="1"/>
  <c r="DG174" i="1"/>
  <c r="DH174" i="1" s="1"/>
  <c r="DG175" i="1"/>
  <c r="DH175" i="1" s="1"/>
  <c r="DG176" i="1"/>
  <c r="DH176" i="1" s="1"/>
  <c r="DG177" i="1"/>
  <c r="DH177" i="1" s="1"/>
  <c r="DG178" i="1"/>
  <c r="DH178" i="1" s="1"/>
  <c r="DG179" i="1"/>
  <c r="DH179" i="1" s="1"/>
  <c r="DG180" i="1"/>
  <c r="DH180" i="1" s="1"/>
  <c r="DG181" i="1"/>
  <c r="DH181" i="1" s="1"/>
  <c r="DG182" i="1"/>
  <c r="DH182" i="1" s="1"/>
  <c r="DG183" i="1"/>
  <c r="DH183" i="1" s="1"/>
  <c r="DG184" i="1"/>
  <c r="DH184" i="1" s="1"/>
  <c r="DG185" i="1"/>
  <c r="DH185" i="1" s="1"/>
  <c r="DG186" i="1"/>
  <c r="DH186" i="1" s="1"/>
  <c r="DG187" i="1"/>
  <c r="DH187" i="1" s="1"/>
  <c r="DG188" i="1"/>
  <c r="DH188" i="1" s="1"/>
  <c r="DG189" i="1"/>
  <c r="DH189" i="1" s="1"/>
  <c r="DG190" i="1"/>
  <c r="DH190" i="1" s="1"/>
  <c r="DG191" i="1"/>
  <c r="DH191" i="1" s="1"/>
  <c r="DG192" i="1"/>
  <c r="DH192" i="1" s="1"/>
  <c r="DG193" i="1"/>
  <c r="DH193" i="1" s="1"/>
  <c r="DG194" i="1"/>
  <c r="DH194" i="1" s="1"/>
  <c r="DG195" i="1"/>
  <c r="DH195" i="1" s="1"/>
  <c r="DG196" i="1"/>
  <c r="DH196" i="1" s="1"/>
  <c r="DG197" i="1"/>
  <c r="DH197" i="1" s="1"/>
  <c r="DG198" i="1"/>
  <c r="DH198" i="1" s="1"/>
  <c r="DG199" i="1"/>
  <c r="DH199" i="1" s="1"/>
  <c r="DG200" i="1"/>
  <c r="DH200" i="1" s="1"/>
  <c r="DG201" i="1"/>
  <c r="DH201" i="1" s="1"/>
  <c r="DG202" i="1"/>
  <c r="DH202" i="1" s="1"/>
  <c r="DG203" i="1"/>
  <c r="DH203" i="1" s="1"/>
  <c r="DG204" i="1"/>
  <c r="DH204" i="1" s="1"/>
  <c r="DG205" i="1"/>
  <c r="DH205" i="1" s="1"/>
  <c r="DG206" i="1"/>
  <c r="DH206" i="1" s="1"/>
  <c r="DG207" i="1"/>
  <c r="DH207" i="1" s="1"/>
  <c r="DG11" i="1"/>
  <c r="DG12" i="1"/>
  <c r="DH12" i="1" s="1"/>
  <c r="DG13" i="1"/>
  <c r="DH13" i="1" s="1"/>
  <c r="DG14" i="1"/>
  <c r="DH14" i="1" s="1"/>
  <c r="DG15" i="1"/>
  <c r="DH15" i="1" s="1"/>
  <c r="DG16" i="1"/>
  <c r="DH16" i="1" s="1"/>
  <c r="DG17" i="1"/>
  <c r="DH17" i="1" s="1"/>
  <c r="DG18" i="1"/>
  <c r="DH18" i="1" s="1"/>
  <c r="DG19" i="1"/>
  <c r="DH19" i="1" s="1"/>
  <c r="DG20" i="1"/>
  <c r="DH20" i="1" s="1"/>
  <c r="DG21" i="1"/>
  <c r="DH21" i="1" s="1"/>
  <c r="DG22" i="1"/>
  <c r="DH22" i="1" s="1"/>
  <c r="DG23" i="1"/>
  <c r="DH23" i="1" s="1"/>
  <c r="DG24" i="1"/>
  <c r="DH24" i="1" s="1"/>
  <c r="DG10" i="1"/>
  <c r="DH10" i="1" s="1"/>
  <c r="EU175" i="1" l="1"/>
  <c r="FD168" i="1"/>
  <c r="FD171" i="1"/>
  <c r="FD173" i="1"/>
  <c r="FD174" i="1"/>
  <c r="FD28" i="1"/>
  <c r="FD182" i="1"/>
  <c r="EV191" i="1"/>
  <c r="EU49" i="1"/>
  <c r="EP171" i="1"/>
  <c r="EV203" i="1"/>
  <c r="EV61" i="1"/>
  <c r="ET175" i="1"/>
  <c r="EU77" i="1"/>
  <c r="EU103" i="1"/>
  <c r="EU143" i="1"/>
  <c r="EU68" i="1"/>
  <c r="EU61" i="1"/>
  <c r="EU62" i="1"/>
  <c r="ET62" i="1"/>
  <c r="ET194" i="1"/>
  <c r="EU55" i="1"/>
  <c r="EU203" i="1"/>
  <c r="EV18" i="1"/>
  <c r="EV200" i="1"/>
  <c r="EU15" i="1"/>
  <c r="EU84" i="1"/>
  <c r="EU67" i="1"/>
  <c r="EU16" i="1"/>
  <c r="EU20" i="1"/>
  <c r="EU101" i="1"/>
  <c r="EV122" i="1"/>
  <c r="EV49" i="1"/>
  <c r="EU23" i="1"/>
  <c r="EU48" i="1"/>
  <c r="EV77" i="1"/>
  <c r="EU191" i="1"/>
  <c r="EU137" i="1"/>
  <c r="EV45" i="1"/>
  <c r="EU195" i="1"/>
  <c r="EU92" i="1"/>
  <c r="EV48" i="1"/>
  <c r="EV195" i="1"/>
  <c r="EV194" i="1"/>
  <c r="ET35" i="1"/>
  <c r="EU12" i="1"/>
  <c r="ET38" i="1"/>
  <c r="EV137" i="1"/>
  <c r="EV113" i="1"/>
  <c r="EV103" i="1"/>
  <c r="EU76" i="1"/>
  <c r="EU39" i="1"/>
  <c r="EV68" i="1"/>
  <c r="ET125" i="1"/>
  <c r="ET148" i="1"/>
  <c r="EV30" i="1"/>
  <c r="EU207" i="1"/>
  <c r="EU21" i="1"/>
  <c r="ET45" i="1"/>
  <c r="EU127" i="1"/>
  <c r="ET16" i="1"/>
  <c r="EV102" i="1"/>
  <c r="ET152" i="1"/>
  <c r="EV36" i="1"/>
  <c r="EV33" i="1"/>
  <c r="EU189" i="1"/>
  <c r="EU167" i="1"/>
  <c r="EV192" i="1"/>
  <c r="EU83" i="1"/>
  <c r="EU180" i="1"/>
  <c r="EU89" i="1"/>
  <c r="EV127" i="1"/>
  <c r="EV207" i="1"/>
  <c r="EU36" i="1"/>
  <c r="EV83" i="1"/>
  <c r="EV96" i="1"/>
  <c r="EV202" i="1"/>
  <c r="ET115" i="1"/>
  <c r="ET98" i="1"/>
  <c r="ET170" i="1"/>
  <c r="EU27" i="1"/>
  <c r="EU115" i="1"/>
  <c r="EV197" i="1"/>
  <c r="EU43" i="1"/>
  <c r="EV98" i="1"/>
  <c r="EU44" i="1"/>
  <c r="ET202" i="1"/>
  <c r="EU159" i="1"/>
  <c r="ET122" i="1"/>
  <c r="EU170" i="1"/>
  <c r="EU11" i="1"/>
  <c r="EV11" i="1"/>
  <c r="EU147" i="1"/>
  <c r="EV161" i="1"/>
  <c r="EV147" i="1"/>
  <c r="EU155" i="1"/>
  <c r="EV114" i="1"/>
  <c r="ET39" i="1"/>
  <c r="ET123" i="1"/>
  <c r="EU75" i="1"/>
  <c r="EU163" i="1"/>
  <c r="ET183" i="1"/>
  <c r="EV189" i="1"/>
  <c r="EV180" i="1"/>
  <c r="EV184" i="1"/>
  <c r="ET59" i="1"/>
  <c r="ET154" i="1"/>
  <c r="ET24" i="1"/>
  <c r="ET27" i="1"/>
  <c r="EU71" i="1"/>
  <c r="EU134" i="1"/>
  <c r="EV101" i="1"/>
  <c r="ET31" i="1"/>
  <c r="ET32" i="1"/>
  <c r="EU197" i="1"/>
  <c r="EU142" i="1"/>
  <c r="EV44" i="1"/>
  <c r="ET133" i="1"/>
  <c r="ET166" i="1"/>
  <c r="EU179" i="1"/>
  <c r="ET134" i="1"/>
  <c r="EV65" i="1"/>
  <c r="EV163" i="1"/>
  <c r="EU161" i="1"/>
  <c r="ET184" i="1"/>
  <c r="EV165" i="1"/>
  <c r="EU93" i="1"/>
  <c r="EV179" i="1"/>
  <c r="EU14" i="1"/>
  <c r="EU190" i="1"/>
  <c r="EU169" i="1"/>
  <c r="EV12" i="1"/>
  <c r="EV152" i="1"/>
  <c r="EU131" i="1"/>
  <c r="EU13" i="1"/>
  <c r="EU30" i="1"/>
  <c r="EU206" i="1"/>
  <c r="EV178" i="1"/>
  <c r="EV53" i="1"/>
  <c r="EU177" i="1"/>
  <c r="EU140" i="1"/>
  <c r="ET34" i="1"/>
  <c r="EU111" i="1"/>
  <c r="EV17" i="1"/>
  <c r="ET135" i="1"/>
  <c r="EV20" i="1"/>
  <c r="EU105" i="1"/>
  <c r="ET130" i="1"/>
  <c r="EU200" i="1"/>
  <c r="EU146" i="1"/>
  <c r="EU96" i="1"/>
  <c r="ET142" i="1"/>
  <c r="ET102" i="1"/>
  <c r="ET46" i="1"/>
  <c r="EV169" i="1"/>
  <c r="ET81" i="1"/>
  <c r="EU148" i="1"/>
  <c r="ET108" i="1"/>
  <c r="EU157" i="1"/>
  <c r="ET99" i="1"/>
  <c r="EV166" i="1"/>
  <c r="EV75" i="1"/>
  <c r="EU113" i="1"/>
  <c r="EV23" i="1"/>
  <c r="EU82" i="1"/>
  <c r="ET186" i="1"/>
  <c r="EU119" i="1"/>
  <c r="EU156" i="1"/>
  <c r="EV42" i="1"/>
  <c r="ET155" i="1"/>
  <c r="EU32" i="1"/>
  <c r="EU126" i="1"/>
  <c r="EV112" i="1"/>
  <c r="EU121" i="1"/>
  <c r="EV190" i="1"/>
  <c r="EV97" i="1"/>
  <c r="ET178" i="1"/>
  <c r="EU114" i="1"/>
  <c r="EU42" i="1"/>
  <c r="ET193" i="1"/>
  <c r="EV56" i="1"/>
  <c r="ET56" i="1"/>
  <c r="EV149" i="1"/>
  <c r="ET128" i="1"/>
  <c r="ET124" i="1"/>
  <c r="EU198" i="1"/>
  <c r="EV120" i="1"/>
  <c r="ET74" i="1"/>
  <c r="EU120" i="1"/>
  <c r="EV110" i="1"/>
  <c r="EV144" i="1"/>
  <c r="ET144" i="1"/>
  <c r="ES185" i="1"/>
  <c r="EV181" i="1"/>
  <c r="EV199" i="1"/>
  <c r="ET199" i="1"/>
  <c r="EV133" i="1"/>
  <c r="ET60" i="1"/>
  <c r="ET201" i="1"/>
  <c r="ET64" i="1"/>
  <c r="ET40" i="1"/>
  <c r="EV86" i="1"/>
  <c r="EV94" i="1"/>
  <c r="ET94" i="1"/>
  <c r="EU164" i="1"/>
  <c r="EV136" i="1"/>
  <c r="ET37" i="1"/>
  <c r="EV74" i="1"/>
  <c r="EV22" i="1"/>
  <c r="ET22" i="1"/>
  <c r="ET26" i="1"/>
  <c r="ET136" i="1"/>
  <c r="EU37" i="1"/>
  <c r="EU165" i="1"/>
  <c r="EV76" i="1"/>
  <c r="EU183" i="1"/>
  <c r="EU56" i="1"/>
  <c r="ET110" i="1"/>
  <c r="EU22" i="1"/>
  <c r="EU86" i="1"/>
  <c r="EV24" i="1"/>
  <c r="ET132" i="1"/>
  <c r="EU65" i="1"/>
  <c r="EV129" i="1"/>
  <c r="ET129" i="1"/>
  <c r="EU193" i="1"/>
  <c r="EV64" i="1"/>
  <c r="EU144" i="1"/>
  <c r="EV138" i="1"/>
  <c r="ET138" i="1"/>
  <c r="EV168" i="1"/>
  <c r="ET168" i="1"/>
  <c r="EU112" i="1"/>
  <c r="EU59" i="1"/>
  <c r="ET149" i="1"/>
  <c r="EU40" i="1"/>
  <c r="ET172" i="1"/>
  <c r="EV106" i="1"/>
  <c r="ET106" i="1"/>
  <c r="EV132" i="1"/>
  <c r="EV128" i="1"/>
  <c r="EV188" i="1"/>
  <c r="ET188" i="1"/>
  <c r="ET71" i="1"/>
  <c r="ET131" i="1"/>
  <c r="ET119" i="1"/>
  <c r="ET157" i="1"/>
  <c r="ET17" i="1"/>
  <c r="ET156" i="1"/>
  <c r="ET164" i="1"/>
  <c r="EU108" i="1"/>
  <c r="EU172" i="1"/>
  <c r="EU135" i="1"/>
  <c r="EV158" i="1"/>
  <c r="EV153" i="1"/>
  <c r="ET14" i="1"/>
  <c r="EU109" i="1"/>
  <c r="EV173" i="1"/>
  <c r="ET173" i="1"/>
  <c r="ET67" i="1"/>
  <c r="ET54" i="1"/>
  <c r="ET18" i="1"/>
  <c r="EV81" i="1"/>
  <c r="ET146" i="1"/>
  <c r="EU94" i="1"/>
  <c r="EU158" i="1"/>
  <c r="EV141" i="1"/>
  <c r="EV52" i="1"/>
  <c r="ET143" i="1"/>
  <c r="EU129" i="1"/>
  <c r="EU201" i="1"/>
  <c r="ET15" i="1"/>
  <c r="EU176" i="1"/>
  <c r="EU130" i="1"/>
  <c r="EV182" i="1"/>
  <c r="ET182" i="1"/>
  <c r="EU141" i="1"/>
  <c r="EV28" i="1"/>
  <c r="ET28" i="1"/>
  <c r="EV198" i="1"/>
  <c r="EU70" i="1"/>
  <c r="EV95" i="1"/>
  <c r="EU66" i="1"/>
  <c r="EU123" i="1"/>
  <c r="EU87" i="1"/>
  <c r="EV150" i="1"/>
  <c r="ET150" i="1"/>
  <c r="EU28" i="1"/>
  <c r="EV70" i="1"/>
  <c r="ET84" i="1"/>
  <c r="EU26" i="1"/>
  <c r="ET93" i="1"/>
  <c r="EV19" i="1"/>
  <c r="ET19" i="1"/>
  <c r="ET196" i="1"/>
  <c r="EU19" i="1"/>
  <c r="ET111" i="1"/>
  <c r="EV145" i="1"/>
  <c r="ET145" i="1"/>
  <c r="ET13" i="1"/>
  <c r="ET43" i="1"/>
  <c r="EU52" i="1"/>
  <c r="ET80" i="1"/>
  <c r="EV126" i="1"/>
  <c r="ET33" i="1"/>
  <c r="EU53" i="1"/>
  <c r="EU173" i="1"/>
  <c r="ET105" i="1"/>
  <c r="EV154" i="1"/>
  <c r="ET55" i="1"/>
  <c r="EU38" i="1"/>
  <c r="ET167" i="1"/>
  <c r="ET159" i="1"/>
  <c r="EV35" i="1"/>
  <c r="ET89" i="1"/>
  <c r="EV50" i="1"/>
  <c r="ET50" i="1"/>
  <c r="EU192" i="1"/>
  <c r="EV160" i="1"/>
  <c r="ET160" i="1"/>
  <c r="EV162" i="1"/>
  <c r="ET162" i="1"/>
  <c r="EU95" i="1"/>
  <c r="ET176" i="1"/>
  <c r="ET87" i="1"/>
  <c r="ET181" i="1"/>
  <c r="EU34" i="1"/>
  <c r="EV109" i="1"/>
  <c r="ET82" i="1"/>
  <c r="EU199" i="1"/>
  <c r="EU60" i="1"/>
  <c r="EU124" i="1"/>
  <c r="EU188" i="1"/>
  <c r="EU125" i="1"/>
  <c r="EU46" i="1"/>
  <c r="EU31" i="1"/>
  <c r="EU145" i="1"/>
  <c r="EV92" i="1"/>
  <c r="EU50" i="1"/>
  <c r="EU80" i="1"/>
  <c r="EU160" i="1"/>
  <c r="EU162" i="1"/>
  <c r="ET57" i="1"/>
  <c r="EV57" i="1"/>
  <c r="ET58" i="1"/>
  <c r="EU88" i="1"/>
  <c r="EU187" i="1"/>
  <c r="EU186" i="1"/>
  <c r="EV73" i="1"/>
  <c r="ET73" i="1"/>
  <c r="ET66" i="1"/>
  <c r="EU99" i="1"/>
  <c r="EV72" i="1"/>
  <c r="ET72" i="1"/>
  <c r="EV204" i="1"/>
  <c r="ET204" i="1"/>
  <c r="ET187" i="1"/>
  <c r="EU196" i="1"/>
  <c r="ET97" i="1"/>
  <c r="EV41" i="1"/>
  <c r="ET41" i="1"/>
  <c r="ET140" i="1"/>
  <c r="ET104" i="1"/>
  <c r="ET206" i="1"/>
  <c r="ET177" i="1"/>
  <c r="EU54" i="1"/>
  <c r="EU118" i="1"/>
  <c r="EU182" i="1"/>
  <c r="EV121" i="1"/>
  <c r="ET118" i="1"/>
  <c r="ET88" i="1"/>
  <c r="EU153" i="1"/>
  <c r="ET21" i="1"/>
  <c r="EV90" i="1"/>
  <c r="ET90" i="1"/>
  <c r="EU104" i="1"/>
  <c r="EU58" i="1"/>
  <c r="ER171" i="1"/>
  <c r="ER173" i="1"/>
  <c r="ER182" i="1"/>
  <c r="EP28" i="1"/>
  <c r="ER174" i="1"/>
  <c r="ER28" i="1"/>
  <c r="EP168" i="1"/>
  <c r="ER168" i="1"/>
  <c r="EP182" i="1"/>
  <c r="EP174" i="1"/>
  <c r="EO185" i="1"/>
  <c r="FD185" i="1" s="1"/>
  <c r="EP173" i="1"/>
  <c r="DK175" i="1"/>
  <c r="DT175" i="1"/>
  <c r="DK58" i="1"/>
  <c r="DT58" i="1"/>
  <c r="DK152" i="1"/>
  <c r="DT152" i="1"/>
  <c r="DK103" i="1"/>
  <c r="DT103" i="1"/>
  <c r="DK54" i="1"/>
  <c r="DT54" i="1"/>
  <c r="DK14" i="1"/>
  <c r="DT14" i="1"/>
  <c r="DK144" i="1"/>
  <c r="DT144" i="1"/>
  <c r="DK53" i="1"/>
  <c r="DT53" i="1"/>
  <c r="DK197" i="1"/>
  <c r="DT197" i="1"/>
  <c r="DK132" i="1"/>
  <c r="DT132" i="1"/>
  <c r="DK85" i="1"/>
  <c r="DT85" i="1"/>
  <c r="DK35" i="1"/>
  <c r="DT35" i="1"/>
  <c r="DK191" i="1"/>
  <c r="DT191" i="1"/>
  <c r="DK136" i="1"/>
  <c r="DT136" i="1"/>
  <c r="DK22" i="1"/>
  <c r="DT22" i="1"/>
  <c r="DK177" i="1"/>
  <c r="DT177" i="1"/>
  <c r="DK124" i="1"/>
  <c r="DT124" i="1"/>
  <c r="DK154" i="1"/>
  <c r="DT154" i="1"/>
  <c r="DK120" i="1"/>
  <c r="DT120" i="1"/>
  <c r="DK29" i="1"/>
  <c r="DT29" i="1"/>
  <c r="DK83" i="1"/>
  <c r="DT83" i="1"/>
  <c r="DK34" i="1"/>
  <c r="DT34" i="1"/>
  <c r="DK198" i="1"/>
  <c r="DT198" i="1"/>
  <c r="DK79" i="1"/>
  <c r="DT79" i="1"/>
  <c r="DK30" i="1"/>
  <c r="DT30" i="1"/>
  <c r="DK186" i="1"/>
  <c r="DT186" i="1"/>
  <c r="DK25" i="1"/>
  <c r="DT25" i="1"/>
  <c r="DK135" i="1"/>
  <c r="DT135" i="1"/>
  <c r="DK93" i="1"/>
  <c r="DT93" i="1"/>
  <c r="DK161" i="1"/>
  <c r="DT161" i="1"/>
  <c r="DK149" i="1"/>
  <c r="DT149" i="1"/>
  <c r="DK12" i="1"/>
  <c r="DT12" i="1"/>
  <c r="DK89" i="1"/>
  <c r="DT89" i="1"/>
  <c r="DK40" i="1"/>
  <c r="DT40" i="1"/>
  <c r="DK204" i="1"/>
  <c r="DT204" i="1"/>
  <c r="DK141" i="1"/>
  <c r="DT141" i="1"/>
  <c r="DK92" i="1"/>
  <c r="DT92" i="1"/>
  <c r="DK115" i="1"/>
  <c r="DT115" i="1"/>
  <c r="DK129" i="1"/>
  <c r="DT129" i="1"/>
  <c r="DK31" i="1"/>
  <c r="DT31" i="1"/>
  <c r="DK107" i="1"/>
  <c r="DT107" i="1"/>
  <c r="DK11" i="1"/>
  <c r="EO11" i="1" s="1"/>
  <c r="FD11" i="1" s="1"/>
  <c r="DT11" i="1"/>
  <c r="DK200" i="1"/>
  <c r="DT200" i="1"/>
  <c r="DK81" i="1"/>
  <c r="DT81" i="1"/>
  <c r="DK32" i="1"/>
  <c r="DT32" i="1"/>
  <c r="DK196" i="1"/>
  <c r="DT196" i="1"/>
  <c r="DK133" i="1"/>
  <c r="DT133" i="1"/>
  <c r="DK19" i="1"/>
  <c r="DT19" i="1"/>
  <c r="DK193" i="1"/>
  <c r="DT193" i="1"/>
  <c r="DK207" i="1"/>
  <c r="DT207" i="1"/>
  <c r="DK88" i="1"/>
  <c r="DT88" i="1"/>
  <c r="DK39" i="1"/>
  <c r="DT39" i="1"/>
  <c r="DK195" i="1"/>
  <c r="DT195" i="1"/>
  <c r="DK140" i="1"/>
  <c r="DT140" i="1"/>
  <c r="DK95" i="1"/>
  <c r="DT95" i="1"/>
  <c r="DK68" i="1"/>
  <c r="DT68" i="1"/>
  <c r="DK20" i="1"/>
  <c r="DT20" i="1"/>
  <c r="DK97" i="1"/>
  <c r="DT97" i="1"/>
  <c r="DK100" i="1"/>
  <c r="DT100" i="1"/>
  <c r="DK172" i="1"/>
  <c r="DT172" i="1"/>
  <c r="DK121" i="1"/>
  <c r="DT121" i="1"/>
  <c r="DK72" i="1"/>
  <c r="DT72" i="1"/>
  <c r="DK166" i="1"/>
  <c r="DT166" i="1"/>
  <c r="DK109" i="1"/>
  <c r="DT109" i="1"/>
  <c r="DK60" i="1"/>
  <c r="DT60" i="1"/>
  <c r="DK90" i="1"/>
  <c r="DT90" i="1"/>
  <c r="DK205" i="1"/>
  <c r="DT205" i="1"/>
  <c r="DK108" i="1"/>
  <c r="DT108" i="1"/>
  <c r="DK26" i="1"/>
  <c r="DT26" i="1"/>
  <c r="DK181" i="1"/>
  <c r="DT181" i="1"/>
  <c r="DK128" i="1"/>
  <c r="DT128" i="1"/>
  <c r="DK184" i="1"/>
  <c r="DT184" i="1"/>
  <c r="DK165" i="1"/>
  <c r="DT165" i="1"/>
  <c r="DK116" i="1"/>
  <c r="DT116" i="1"/>
  <c r="DK105" i="1"/>
  <c r="DT105" i="1"/>
  <c r="DK71" i="1"/>
  <c r="DT71" i="1"/>
  <c r="DK176" i="1"/>
  <c r="DT176" i="1"/>
  <c r="DK112" i="1"/>
  <c r="DT112" i="1"/>
  <c r="DK36" i="1"/>
  <c r="DT36" i="1"/>
  <c r="DK138" i="1"/>
  <c r="DT138" i="1"/>
  <c r="DK24" i="1"/>
  <c r="DT24" i="1"/>
  <c r="DK189" i="1"/>
  <c r="DT189" i="1"/>
  <c r="DK134" i="1"/>
  <c r="DT134" i="1"/>
  <c r="DK77" i="1"/>
  <c r="DT77" i="1"/>
  <c r="DK27" i="1"/>
  <c r="DT27" i="1"/>
  <c r="DK183" i="1"/>
  <c r="DT183" i="1"/>
  <c r="DK65" i="1"/>
  <c r="DT65" i="1"/>
  <c r="DK110" i="1"/>
  <c r="DT110" i="1"/>
  <c r="DK17" i="1"/>
  <c r="DT17" i="1"/>
  <c r="DK164" i="1"/>
  <c r="DT164" i="1"/>
  <c r="DK130" i="1"/>
  <c r="DT130" i="1"/>
  <c r="DK16" i="1"/>
  <c r="DT16" i="1"/>
  <c r="DK179" i="1"/>
  <c r="DT179" i="1"/>
  <c r="DK126" i="1"/>
  <c r="DT126" i="1"/>
  <c r="DK69" i="1"/>
  <c r="DT69" i="1"/>
  <c r="DS10" i="1"/>
  <c r="DT10" i="1"/>
  <c r="DK192" i="1"/>
  <c r="DT192" i="1"/>
  <c r="DK23" i="1"/>
  <c r="DT23" i="1"/>
  <c r="DK188" i="1"/>
  <c r="DT188" i="1"/>
  <c r="DK125" i="1"/>
  <c r="DT125" i="1"/>
  <c r="DK76" i="1"/>
  <c r="DT76" i="1"/>
  <c r="DK82" i="1"/>
  <c r="DT82" i="1"/>
  <c r="DK43" i="1"/>
  <c r="DT43" i="1"/>
  <c r="DK127" i="1"/>
  <c r="DT127" i="1"/>
  <c r="DK155" i="1"/>
  <c r="DT155" i="1"/>
  <c r="DK106" i="1"/>
  <c r="DT106" i="1"/>
  <c r="DK57" i="1"/>
  <c r="DT57" i="1"/>
  <c r="DK151" i="1"/>
  <c r="DT151" i="1"/>
  <c r="DK102" i="1"/>
  <c r="DT102" i="1"/>
  <c r="DK45" i="1"/>
  <c r="DT45" i="1"/>
  <c r="DK123" i="1"/>
  <c r="DT123" i="1"/>
  <c r="DK170" i="1"/>
  <c r="DT170" i="1"/>
  <c r="DK150" i="1"/>
  <c r="DT150" i="1"/>
  <c r="DK67" i="1"/>
  <c r="DT67" i="1"/>
  <c r="DK162" i="1"/>
  <c r="DT162" i="1"/>
  <c r="DK113" i="1"/>
  <c r="DT113" i="1"/>
  <c r="DK64" i="1"/>
  <c r="DT64" i="1"/>
  <c r="DK158" i="1"/>
  <c r="DT158" i="1"/>
  <c r="DK52" i="1"/>
  <c r="DT52" i="1"/>
  <c r="DK190" i="1"/>
  <c r="DT190" i="1"/>
  <c r="DK86" i="1"/>
  <c r="DT86" i="1"/>
  <c r="DK44" i="1"/>
  <c r="DT44" i="1"/>
  <c r="DK63" i="1"/>
  <c r="DT63" i="1"/>
  <c r="DK163" i="1"/>
  <c r="DT163" i="1"/>
  <c r="DK74" i="1"/>
  <c r="DT74" i="1"/>
  <c r="DK169" i="1"/>
  <c r="DT169" i="1"/>
  <c r="DK119" i="1"/>
  <c r="DT119" i="1"/>
  <c r="DK70" i="1"/>
  <c r="DT70" i="1"/>
  <c r="DK51" i="1"/>
  <c r="DT51" i="1"/>
  <c r="DK75" i="1"/>
  <c r="DT75" i="1"/>
  <c r="DK114" i="1"/>
  <c r="DT114" i="1"/>
  <c r="DK80" i="1"/>
  <c r="DT80" i="1"/>
  <c r="DK117" i="1"/>
  <c r="DT117" i="1"/>
  <c r="DK33" i="1"/>
  <c r="DT33" i="1"/>
  <c r="DK99" i="1"/>
  <c r="DT99" i="1"/>
  <c r="DK66" i="1"/>
  <c r="DT66" i="1"/>
  <c r="DK160" i="1"/>
  <c r="DT160" i="1"/>
  <c r="DK111" i="1"/>
  <c r="DT111" i="1"/>
  <c r="DK62" i="1"/>
  <c r="DT62" i="1"/>
  <c r="DK148" i="1"/>
  <c r="DT148" i="1"/>
  <c r="DK137" i="1"/>
  <c r="DT137" i="1"/>
  <c r="DK178" i="1"/>
  <c r="DT178" i="1"/>
  <c r="DK101" i="1"/>
  <c r="DT101" i="1"/>
  <c r="DK139" i="1"/>
  <c r="DT139" i="1"/>
  <c r="DK122" i="1"/>
  <c r="DT122" i="1"/>
  <c r="DK73" i="1"/>
  <c r="DT73" i="1"/>
  <c r="DK167" i="1"/>
  <c r="DT167" i="1"/>
  <c r="DK118" i="1"/>
  <c r="DT118" i="1"/>
  <c r="DK61" i="1"/>
  <c r="DT61" i="1"/>
  <c r="DK50" i="1"/>
  <c r="DT50" i="1"/>
  <c r="DK46" i="1"/>
  <c r="DT46" i="1"/>
  <c r="DK180" i="1"/>
  <c r="DT180" i="1"/>
  <c r="DK187" i="1"/>
  <c r="DT187" i="1"/>
  <c r="DK142" i="1"/>
  <c r="DT142" i="1"/>
  <c r="DK147" i="1"/>
  <c r="DT147" i="1"/>
  <c r="DK42" i="1"/>
  <c r="DT42" i="1"/>
  <c r="DK206" i="1"/>
  <c r="DT206" i="1"/>
  <c r="DK87" i="1"/>
  <c r="DT87" i="1"/>
  <c r="DK38" i="1"/>
  <c r="DT38" i="1"/>
  <c r="DK194" i="1"/>
  <c r="DT194" i="1"/>
  <c r="DK13" i="1"/>
  <c r="DT13" i="1"/>
  <c r="DK41" i="1"/>
  <c r="DT41" i="1"/>
  <c r="DK21" i="1"/>
  <c r="DT21" i="1"/>
  <c r="DK131" i="1"/>
  <c r="DT131" i="1"/>
  <c r="DK98" i="1"/>
  <c r="DT98" i="1"/>
  <c r="DK49" i="1"/>
  <c r="DT49" i="1"/>
  <c r="DK143" i="1"/>
  <c r="DT143" i="1"/>
  <c r="DK94" i="1"/>
  <c r="DT94" i="1"/>
  <c r="DK37" i="1"/>
  <c r="DT37" i="1"/>
  <c r="DK18" i="1"/>
  <c r="DT18" i="1"/>
  <c r="DK56" i="1"/>
  <c r="DT56" i="1"/>
  <c r="DK157" i="1"/>
  <c r="DT157" i="1"/>
  <c r="DK146" i="1"/>
  <c r="DT146" i="1"/>
  <c r="DK78" i="1"/>
  <c r="DT78" i="1"/>
  <c r="DK201" i="1"/>
  <c r="DT201" i="1"/>
  <c r="DK153" i="1"/>
  <c r="DT153" i="1"/>
  <c r="DK104" i="1"/>
  <c r="DT104" i="1"/>
  <c r="DK55" i="1"/>
  <c r="DT55" i="1"/>
  <c r="DK15" i="1"/>
  <c r="DT15" i="1"/>
  <c r="DK156" i="1"/>
  <c r="DT156" i="1"/>
  <c r="DK91" i="1"/>
  <c r="DT91" i="1"/>
  <c r="DK199" i="1"/>
  <c r="DT199" i="1"/>
  <c r="DK159" i="1"/>
  <c r="DT159" i="1"/>
  <c r="DK202" i="1"/>
  <c r="DT202" i="1"/>
  <c r="DK48" i="1"/>
  <c r="DT48" i="1"/>
  <c r="DK59" i="1"/>
  <c r="DT59" i="1"/>
  <c r="DK145" i="1"/>
  <c r="DT145" i="1"/>
  <c r="DK96" i="1"/>
  <c r="DT96" i="1"/>
  <c r="DK47" i="1"/>
  <c r="DT47" i="1"/>
  <c r="DK203" i="1"/>
  <c r="DT203" i="1"/>
  <c r="DK84" i="1"/>
  <c r="DT84" i="1"/>
  <c r="DW185" i="1"/>
  <c r="DU185" i="1"/>
  <c r="DH11" i="1"/>
  <c r="EV185" i="1" l="1"/>
  <c r="ET185" i="1"/>
  <c r="EU185" i="1"/>
  <c r="ES10" i="1"/>
  <c r="EU10" i="1" s="1"/>
  <c r="EO10" i="1"/>
  <c r="DW10" i="1"/>
  <c r="EO47" i="1"/>
  <c r="EO48" i="1"/>
  <c r="EO91" i="1"/>
  <c r="EO104" i="1"/>
  <c r="FD104" i="1" s="1"/>
  <c r="EO146" i="1"/>
  <c r="EO37" i="1"/>
  <c r="EO98" i="1"/>
  <c r="EO13" i="1"/>
  <c r="FD13" i="1" s="1"/>
  <c r="EO206" i="1"/>
  <c r="EO187" i="1"/>
  <c r="EO61" i="1"/>
  <c r="EO122" i="1"/>
  <c r="FD122" i="1" s="1"/>
  <c r="EO137" i="1"/>
  <c r="EO160" i="1"/>
  <c r="EO117" i="1"/>
  <c r="EO51" i="1"/>
  <c r="EO74" i="1"/>
  <c r="EO86" i="1"/>
  <c r="EO64" i="1"/>
  <c r="EO150" i="1"/>
  <c r="FD150" i="1" s="1"/>
  <c r="EO102" i="1"/>
  <c r="EO155" i="1"/>
  <c r="EO76" i="1"/>
  <c r="EO192" i="1"/>
  <c r="FD192" i="1" s="1"/>
  <c r="EO179" i="1"/>
  <c r="EO17" i="1"/>
  <c r="EO27" i="1"/>
  <c r="EO24" i="1"/>
  <c r="FD24" i="1" s="1"/>
  <c r="EO176" i="1"/>
  <c r="EO165" i="1"/>
  <c r="FD165" i="1" s="1"/>
  <c r="EO26" i="1"/>
  <c r="EO60" i="1"/>
  <c r="FD60" i="1" s="1"/>
  <c r="EO121" i="1"/>
  <c r="EO20" i="1"/>
  <c r="FD20" i="1" s="1"/>
  <c r="EO195" i="1"/>
  <c r="EO193" i="1"/>
  <c r="EO32" i="1"/>
  <c r="EO107" i="1"/>
  <c r="FD107" i="1" s="1"/>
  <c r="EO92" i="1"/>
  <c r="EO89" i="1"/>
  <c r="EO93" i="1"/>
  <c r="EO30" i="1"/>
  <c r="EO83" i="1"/>
  <c r="EO124" i="1"/>
  <c r="FD124" i="1" s="1"/>
  <c r="EO191" i="1"/>
  <c r="EO197" i="1"/>
  <c r="FD197" i="1" s="1"/>
  <c r="EO54" i="1"/>
  <c r="EO175" i="1"/>
  <c r="EO96" i="1"/>
  <c r="EO156" i="1"/>
  <c r="FD156" i="1" s="1"/>
  <c r="EO157" i="1"/>
  <c r="EO131" i="1"/>
  <c r="EO194" i="1"/>
  <c r="EO42" i="1"/>
  <c r="FD42" i="1" s="1"/>
  <c r="EO118" i="1"/>
  <c r="EO139" i="1"/>
  <c r="FD139" i="1" s="1"/>
  <c r="EO148" i="1"/>
  <c r="EO80" i="1"/>
  <c r="FD80" i="1" s="1"/>
  <c r="EO70" i="1"/>
  <c r="EO163" i="1"/>
  <c r="FD163" i="1" s="1"/>
  <c r="EO190" i="1"/>
  <c r="EO113" i="1"/>
  <c r="FD113" i="1" s="1"/>
  <c r="EO170" i="1"/>
  <c r="EO127" i="1"/>
  <c r="EO125" i="1"/>
  <c r="EO16" i="1"/>
  <c r="EO110" i="1"/>
  <c r="FD110" i="1" s="1"/>
  <c r="EO77" i="1"/>
  <c r="EO138" i="1"/>
  <c r="FD138" i="1" s="1"/>
  <c r="EO71" i="1"/>
  <c r="EO184" i="1"/>
  <c r="FD184" i="1" s="1"/>
  <c r="EO108" i="1"/>
  <c r="EO109" i="1"/>
  <c r="FD109" i="1" s="1"/>
  <c r="EO172" i="1"/>
  <c r="EO68" i="1"/>
  <c r="FD68" i="1" s="1"/>
  <c r="EO39" i="1"/>
  <c r="EO19" i="1"/>
  <c r="FD19" i="1" s="1"/>
  <c r="EO81" i="1"/>
  <c r="EO31" i="1"/>
  <c r="FD31" i="1" s="1"/>
  <c r="EO141" i="1"/>
  <c r="EO12" i="1"/>
  <c r="FD12" i="1" s="1"/>
  <c r="EO135" i="1"/>
  <c r="EO79" i="1"/>
  <c r="EO29" i="1"/>
  <c r="EO177" i="1"/>
  <c r="FD177" i="1" s="1"/>
  <c r="EO35" i="1"/>
  <c r="EO53" i="1"/>
  <c r="FD53" i="1" s="1"/>
  <c r="EO103" i="1"/>
  <c r="EQ185" i="1"/>
  <c r="ER185" i="1"/>
  <c r="EP185" i="1"/>
  <c r="EO202" i="1"/>
  <c r="EO153" i="1"/>
  <c r="FD153" i="1" s="1"/>
  <c r="EO94" i="1"/>
  <c r="EO180" i="1"/>
  <c r="FD180" i="1" s="1"/>
  <c r="EO66" i="1"/>
  <c r="EO151" i="1"/>
  <c r="FD151" i="1" s="1"/>
  <c r="EO84" i="1"/>
  <c r="EO145" i="1"/>
  <c r="EO159" i="1"/>
  <c r="EO15" i="1"/>
  <c r="EO201" i="1"/>
  <c r="EO56" i="1"/>
  <c r="EO143" i="1"/>
  <c r="EO21" i="1"/>
  <c r="FD21" i="1" s="1"/>
  <c r="EO38" i="1"/>
  <c r="EO147" i="1"/>
  <c r="EO46" i="1"/>
  <c r="EO167" i="1"/>
  <c r="FD167" i="1" s="1"/>
  <c r="EO101" i="1"/>
  <c r="EO62" i="1"/>
  <c r="EO99" i="1"/>
  <c r="EO114" i="1"/>
  <c r="EO119" i="1"/>
  <c r="EO63" i="1"/>
  <c r="EO52" i="1"/>
  <c r="EO162" i="1"/>
  <c r="EO123" i="1"/>
  <c r="EO57" i="1"/>
  <c r="EO43" i="1"/>
  <c r="EO188" i="1"/>
  <c r="EO69" i="1"/>
  <c r="EO130" i="1"/>
  <c r="FD130" i="1" s="1"/>
  <c r="EO65" i="1"/>
  <c r="EO134" i="1"/>
  <c r="EO36" i="1"/>
  <c r="EO105" i="1"/>
  <c r="EO128" i="1"/>
  <c r="EO205" i="1"/>
  <c r="EO166" i="1"/>
  <c r="EO100" i="1"/>
  <c r="EO95" i="1"/>
  <c r="EO88" i="1"/>
  <c r="EO133" i="1"/>
  <c r="EO200" i="1"/>
  <c r="FD200" i="1" s="1"/>
  <c r="EO129" i="1"/>
  <c r="EO204" i="1"/>
  <c r="EO149" i="1"/>
  <c r="EO25" i="1"/>
  <c r="EO198" i="1"/>
  <c r="EO120" i="1"/>
  <c r="EO22" i="1"/>
  <c r="EO85" i="1"/>
  <c r="FD85" i="1" s="1"/>
  <c r="EO144" i="1"/>
  <c r="EO152" i="1"/>
  <c r="EO203" i="1"/>
  <c r="EO59" i="1"/>
  <c r="EO199" i="1"/>
  <c r="EO55" i="1"/>
  <c r="EO78" i="1"/>
  <c r="EO18" i="1"/>
  <c r="EO49" i="1"/>
  <c r="EO41" i="1"/>
  <c r="FD41" i="1" s="1"/>
  <c r="EO87" i="1"/>
  <c r="EO142" i="1"/>
  <c r="FD142" i="1" s="1"/>
  <c r="EO50" i="1"/>
  <c r="EO73" i="1"/>
  <c r="FD73" i="1" s="1"/>
  <c r="EO178" i="1"/>
  <c r="EO111" i="1"/>
  <c r="EO33" i="1"/>
  <c r="EO75" i="1"/>
  <c r="EO169" i="1"/>
  <c r="EO44" i="1"/>
  <c r="EO158" i="1"/>
  <c r="EO67" i="1"/>
  <c r="FD67" i="1" s="1"/>
  <c r="EO45" i="1"/>
  <c r="EO106" i="1"/>
  <c r="FD106" i="1" s="1"/>
  <c r="EO82" i="1"/>
  <c r="EO23" i="1"/>
  <c r="EO126" i="1"/>
  <c r="EO164" i="1"/>
  <c r="EO183" i="1"/>
  <c r="EO189" i="1"/>
  <c r="EO112" i="1"/>
  <c r="EO116" i="1"/>
  <c r="EO181" i="1"/>
  <c r="EO90" i="1"/>
  <c r="EO72" i="1"/>
  <c r="EO97" i="1"/>
  <c r="EO140" i="1"/>
  <c r="EO207" i="1"/>
  <c r="FD207" i="1" s="1"/>
  <c r="EO196" i="1"/>
  <c r="EQ11" i="1"/>
  <c r="EO115" i="1"/>
  <c r="EO40" i="1"/>
  <c r="EO161" i="1"/>
  <c r="EO186" i="1"/>
  <c r="FD186" i="1" s="1"/>
  <c r="EO34" i="1"/>
  <c r="EO154" i="1"/>
  <c r="EO136" i="1"/>
  <c r="EO132" i="1"/>
  <c r="EO14" i="1"/>
  <c r="EO58" i="1"/>
  <c r="DW48" i="1"/>
  <c r="DU48" i="1"/>
  <c r="DW98" i="1"/>
  <c r="DU98" i="1"/>
  <c r="DW61" i="1"/>
  <c r="DU61" i="1"/>
  <c r="DW117" i="1"/>
  <c r="DU117" i="1"/>
  <c r="DW64" i="1"/>
  <c r="DU64" i="1"/>
  <c r="DW155" i="1"/>
  <c r="DU155" i="1"/>
  <c r="DW179" i="1"/>
  <c r="DU179" i="1"/>
  <c r="DW24" i="1"/>
  <c r="DU24" i="1"/>
  <c r="DW26" i="1"/>
  <c r="DU26" i="1"/>
  <c r="DW195" i="1"/>
  <c r="DU195" i="1"/>
  <c r="DW107" i="1"/>
  <c r="DU107" i="1"/>
  <c r="DW93" i="1"/>
  <c r="DU93" i="1"/>
  <c r="DW124" i="1"/>
  <c r="DU124" i="1"/>
  <c r="DW54" i="1"/>
  <c r="DU54" i="1"/>
  <c r="DW96" i="1"/>
  <c r="DU96" i="1"/>
  <c r="DW202" i="1"/>
  <c r="DU202" i="1"/>
  <c r="DW156" i="1"/>
  <c r="DU156" i="1"/>
  <c r="DW153" i="1"/>
  <c r="DU153" i="1"/>
  <c r="DW157" i="1"/>
  <c r="DU157" i="1"/>
  <c r="DW94" i="1"/>
  <c r="DU94" i="1"/>
  <c r="DW131" i="1"/>
  <c r="DU131" i="1"/>
  <c r="DW194" i="1"/>
  <c r="DU194" i="1"/>
  <c r="DW42" i="1"/>
  <c r="DU42" i="1"/>
  <c r="DW180" i="1"/>
  <c r="DU180" i="1"/>
  <c r="DW118" i="1"/>
  <c r="DU118" i="1"/>
  <c r="DW139" i="1"/>
  <c r="DU139" i="1"/>
  <c r="DW148" i="1"/>
  <c r="DU148" i="1"/>
  <c r="DW66" i="1"/>
  <c r="DU66" i="1"/>
  <c r="DW80" i="1"/>
  <c r="DU80" i="1"/>
  <c r="DW70" i="1"/>
  <c r="DU70" i="1"/>
  <c r="DW163" i="1"/>
  <c r="DU163" i="1"/>
  <c r="DW190" i="1"/>
  <c r="DU190" i="1"/>
  <c r="DW113" i="1"/>
  <c r="DU113" i="1"/>
  <c r="DW170" i="1"/>
  <c r="DU170" i="1"/>
  <c r="DW151" i="1"/>
  <c r="DU151" i="1"/>
  <c r="DW127" i="1"/>
  <c r="DU127" i="1"/>
  <c r="DW125" i="1"/>
  <c r="DU125" i="1"/>
  <c r="DU10" i="1"/>
  <c r="DW16" i="1"/>
  <c r="DU16" i="1"/>
  <c r="DW110" i="1"/>
  <c r="DU110" i="1"/>
  <c r="DW77" i="1"/>
  <c r="DU77" i="1"/>
  <c r="DW138" i="1"/>
  <c r="DU138" i="1"/>
  <c r="DW71" i="1"/>
  <c r="DU71" i="1"/>
  <c r="DW184" i="1"/>
  <c r="DU184" i="1"/>
  <c r="DW108" i="1"/>
  <c r="DU108" i="1"/>
  <c r="DW109" i="1"/>
  <c r="DU109" i="1"/>
  <c r="DW172" i="1"/>
  <c r="DU172" i="1"/>
  <c r="DW68" i="1"/>
  <c r="DU68" i="1"/>
  <c r="DW39" i="1"/>
  <c r="DU39" i="1"/>
  <c r="DW19" i="1"/>
  <c r="DU19" i="1"/>
  <c r="DW81" i="1"/>
  <c r="DU81" i="1"/>
  <c r="DW31" i="1"/>
  <c r="DU31" i="1"/>
  <c r="DW141" i="1"/>
  <c r="DU141" i="1"/>
  <c r="DW12" i="1"/>
  <c r="DU12" i="1"/>
  <c r="DW135" i="1"/>
  <c r="DU135" i="1"/>
  <c r="DW79" i="1"/>
  <c r="DU79" i="1"/>
  <c r="DW29" i="1"/>
  <c r="DU29" i="1"/>
  <c r="DW177" i="1"/>
  <c r="DU177" i="1"/>
  <c r="DW35" i="1"/>
  <c r="DU35" i="1"/>
  <c r="DW53" i="1"/>
  <c r="DU53" i="1"/>
  <c r="DW103" i="1"/>
  <c r="DU103" i="1"/>
  <c r="DW47" i="1"/>
  <c r="DU47" i="1"/>
  <c r="DW91" i="1"/>
  <c r="DU91" i="1"/>
  <c r="DW146" i="1"/>
  <c r="DU146" i="1"/>
  <c r="DW13" i="1"/>
  <c r="DU13" i="1"/>
  <c r="DW187" i="1"/>
  <c r="DU187" i="1"/>
  <c r="DW137" i="1"/>
  <c r="DU137" i="1"/>
  <c r="DW51" i="1"/>
  <c r="DU51" i="1"/>
  <c r="DW150" i="1"/>
  <c r="DU150" i="1"/>
  <c r="DW76" i="1"/>
  <c r="DU76" i="1"/>
  <c r="DW17" i="1"/>
  <c r="DU17" i="1"/>
  <c r="DW176" i="1"/>
  <c r="DU176" i="1"/>
  <c r="DW60" i="1"/>
  <c r="DU60" i="1"/>
  <c r="DW193" i="1"/>
  <c r="DU193" i="1"/>
  <c r="DW92" i="1"/>
  <c r="DU92" i="1"/>
  <c r="DW30" i="1"/>
  <c r="DU30" i="1"/>
  <c r="DW191" i="1"/>
  <c r="DU191" i="1"/>
  <c r="DW197" i="1"/>
  <c r="DU197" i="1"/>
  <c r="DW145" i="1"/>
  <c r="DU145" i="1"/>
  <c r="DW15" i="1"/>
  <c r="DU15" i="1"/>
  <c r="DW56" i="1"/>
  <c r="DU56" i="1"/>
  <c r="DW143" i="1"/>
  <c r="DU143" i="1"/>
  <c r="DW21" i="1"/>
  <c r="DU21" i="1"/>
  <c r="DW147" i="1"/>
  <c r="DU147" i="1"/>
  <c r="DW46" i="1"/>
  <c r="DU46" i="1"/>
  <c r="DW167" i="1"/>
  <c r="DU167" i="1"/>
  <c r="DW101" i="1"/>
  <c r="DU101" i="1"/>
  <c r="DW62" i="1"/>
  <c r="DU62" i="1"/>
  <c r="DW99" i="1"/>
  <c r="DU99" i="1"/>
  <c r="DW114" i="1"/>
  <c r="DU114" i="1"/>
  <c r="DW119" i="1"/>
  <c r="DU119" i="1"/>
  <c r="DW63" i="1"/>
  <c r="DU63" i="1"/>
  <c r="DW52" i="1"/>
  <c r="DU52" i="1"/>
  <c r="DW162" i="1"/>
  <c r="DU162" i="1"/>
  <c r="DW123" i="1"/>
  <c r="DU123" i="1"/>
  <c r="DW57" i="1"/>
  <c r="DU57" i="1"/>
  <c r="DW43" i="1"/>
  <c r="DU43" i="1"/>
  <c r="DW188" i="1"/>
  <c r="DU188" i="1"/>
  <c r="DW69" i="1"/>
  <c r="DU69" i="1"/>
  <c r="DW130" i="1"/>
  <c r="DU130" i="1"/>
  <c r="DW65" i="1"/>
  <c r="DU65" i="1"/>
  <c r="DW134" i="1"/>
  <c r="DU134" i="1"/>
  <c r="DW36" i="1"/>
  <c r="DU36" i="1"/>
  <c r="DW105" i="1"/>
  <c r="DU105" i="1"/>
  <c r="DW128" i="1"/>
  <c r="DU128" i="1"/>
  <c r="DW205" i="1"/>
  <c r="DU205" i="1"/>
  <c r="DW166" i="1"/>
  <c r="DU166" i="1"/>
  <c r="DW100" i="1"/>
  <c r="DU100" i="1"/>
  <c r="DW95" i="1"/>
  <c r="DU95" i="1"/>
  <c r="DW88" i="1"/>
  <c r="DU88" i="1"/>
  <c r="DW133" i="1"/>
  <c r="DU133" i="1"/>
  <c r="DW200" i="1"/>
  <c r="DU200" i="1"/>
  <c r="DW129" i="1"/>
  <c r="DU129" i="1"/>
  <c r="DW204" i="1"/>
  <c r="DU204" i="1"/>
  <c r="DW149" i="1"/>
  <c r="DU149" i="1"/>
  <c r="DW25" i="1"/>
  <c r="DU25" i="1"/>
  <c r="DW198" i="1"/>
  <c r="DU198" i="1"/>
  <c r="DW120" i="1"/>
  <c r="DU120" i="1"/>
  <c r="DW22" i="1"/>
  <c r="DU22" i="1"/>
  <c r="DW85" i="1"/>
  <c r="DU85" i="1"/>
  <c r="DW144" i="1"/>
  <c r="DU144" i="1"/>
  <c r="DW152" i="1"/>
  <c r="DU152" i="1"/>
  <c r="DW104" i="1"/>
  <c r="DU104" i="1"/>
  <c r="DW206" i="1"/>
  <c r="DU206" i="1"/>
  <c r="DW122" i="1"/>
  <c r="DU122" i="1"/>
  <c r="DW160" i="1"/>
  <c r="DU160" i="1"/>
  <c r="DW74" i="1"/>
  <c r="DU74" i="1"/>
  <c r="DW102" i="1"/>
  <c r="DU102" i="1"/>
  <c r="DW192" i="1"/>
  <c r="DU192" i="1"/>
  <c r="DW27" i="1"/>
  <c r="DU27" i="1"/>
  <c r="DW165" i="1"/>
  <c r="DU165" i="1"/>
  <c r="DW121" i="1"/>
  <c r="DU121" i="1"/>
  <c r="DW32" i="1"/>
  <c r="DU32" i="1"/>
  <c r="DW89" i="1"/>
  <c r="DU89" i="1"/>
  <c r="DW83" i="1"/>
  <c r="DU83" i="1"/>
  <c r="DW175" i="1"/>
  <c r="DU175" i="1"/>
  <c r="DW84" i="1"/>
  <c r="DU84" i="1"/>
  <c r="DW159" i="1"/>
  <c r="DU159" i="1"/>
  <c r="DW201" i="1"/>
  <c r="DU201" i="1"/>
  <c r="DW38" i="1"/>
  <c r="DU38" i="1"/>
  <c r="DW37" i="1"/>
  <c r="DU37" i="1"/>
  <c r="DW86" i="1"/>
  <c r="DU86" i="1"/>
  <c r="DW20" i="1"/>
  <c r="DU20" i="1"/>
  <c r="DW203" i="1"/>
  <c r="DU203" i="1"/>
  <c r="DW59" i="1"/>
  <c r="DU59" i="1"/>
  <c r="DW199" i="1"/>
  <c r="DU199" i="1"/>
  <c r="DW55" i="1"/>
  <c r="DU55" i="1"/>
  <c r="DW78" i="1"/>
  <c r="DU78" i="1"/>
  <c r="DW18" i="1"/>
  <c r="DU18" i="1"/>
  <c r="DW49" i="1"/>
  <c r="DU49" i="1"/>
  <c r="DW41" i="1"/>
  <c r="DU41" i="1"/>
  <c r="DW87" i="1"/>
  <c r="DU87" i="1"/>
  <c r="DW142" i="1"/>
  <c r="DU142" i="1"/>
  <c r="DW50" i="1"/>
  <c r="DU50" i="1"/>
  <c r="DW73" i="1"/>
  <c r="DU73" i="1"/>
  <c r="DW178" i="1"/>
  <c r="DU178" i="1"/>
  <c r="DW111" i="1"/>
  <c r="DU111" i="1"/>
  <c r="DW33" i="1"/>
  <c r="DU33" i="1"/>
  <c r="DW75" i="1"/>
  <c r="DU75" i="1"/>
  <c r="DW169" i="1"/>
  <c r="DU169" i="1"/>
  <c r="DW44" i="1"/>
  <c r="DU44" i="1"/>
  <c r="DW158" i="1"/>
  <c r="DU158" i="1"/>
  <c r="DW67" i="1"/>
  <c r="DU67" i="1"/>
  <c r="DW45" i="1"/>
  <c r="DU45" i="1"/>
  <c r="DW106" i="1"/>
  <c r="DU106" i="1"/>
  <c r="DW82" i="1"/>
  <c r="DU82" i="1"/>
  <c r="DW23" i="1"/>
  <c r="DU23" i="1"/>
  <c r="DW126" i="1"/>
  <c r="DU126" i="1"/>
  <c r="DW164" i="1"/>
  <c r="DU164" i="1"/>
  <c r="DW183" i="1"/>
  <c r="DU183" i="1"/>
  <c r="DW189" i="1"/>
  <c r="DU189" i="1"/>
  <c r="DW112" i="1"/>
  <c r="DU112" i="1"/>
  <c r="DW116" i="1"/>
  <c r="DU116" i="1"/>
  <c r="DW181" i="1"/>
  <c r="DU181" i="1"/>
  <c r="DW90" i="1"/>
  <c r="DU90" i="1"/>
  <c r="DW72" i="1"/>
  <c r="DU72" i="1"/>
  <c r="DW97" i="1"/>
  <c r="DU97" i="1"/>
  <c r="DW140" i="1"/>
  <c r="DU140" i="1"/>
  <c r="DW207" i="1"/>
  <c r="DU207" i="1"/>
  <c r="DW196" i="1"/>
  <c r="DU196" i="1"/>
  <c r="DW11" i="1"/>
  <c r="DU11" i="1"/>
  <c r="DW115" i="1"/>
  <c r="DU115" i="1"/>
  <c r="DW40" i="1"/>
  <c r="DU40" i="1"/>
  <c r="DW161" i="1"/>
  <c r="DU161" i="1"/>
  <c r="DW186" i="1"/>
  <c r="DU186" i="1"/>
  <c r="DW34" i="1"/>
  <c r="DU34" i="1"/>
  <c r="DW154" i="1"/>
  <c r="DU154" i="1"/>
  <c r="DW136" i="1"/>
  <c r="DU136" i="1"/>
  <c r="DW132" i="1"/>
  <c r="DU132" i="1"/>
  <c r="DW14" i="1"/>
  <c r="DU14" i="1"/>
  <c r="DW58" i="1"/>
  <c r="DU58" i="1"/>
  <c r="EQ120" i="1" l="1"/>
  <c r="FD120" i="1"/>
  <c r="EQ34" i="1"/>
  <c r="FD34" i="1"/>
  <c r="EQ140" i="1"/>
  <c r="FD140" i="1"/>
  <c r="EQ183" i="1"/>
  <c r="FD183" i="1"/>
  <c r="EQ158" i="1"/>
  <c r="FD158" i="1"/>
  <c r="EQ50" i="1"/>
  <c r="FD50" i="1"/>
  <c r="EQ199" i="1"/>
  <c r="FD199" i="1"/>
  <c r="EQ198" i="1"/>
  <c r="FD198" i="1"/>
  <c r="EQ95" i="1"/>
  <c r="FD95" i="1"/>
  <c r="EQ65" i="1"/>
  <c r="FD65" i="1"/>
  <c r="EQ46" i="1"/>
  <c r="FD46" i="1"/>
  <c r="EQ159" i="1"/>
  <c r="FD159" i="1"/>
  <c r="EQ202" i="1"/>
  <c r="FD202" i="1"/>
  <c r="EQ29" i="1"/>
  <c r="FD29" i="1"/>
  <c r="EQ39" i="1"/>
  <c r="FD39" i="1"/>
  <c r="EQ77" i="1"/>
  <c r="FD77" i="1"/>
  <c r="EQ131" i="1"/>
  <c r="FD131" i="1"/>
  <c r="EQ193" i="1"/>
  <c r="FD193" i="1"/>
  <c r="EQ97" i="1"/>
  <c r="FD97" i="1"/>
  <c r="EQ164" i="1"/>
  <c r="FD164" i="1"/>
  <c r="EQ44" i="1"/>
  <c r="FD44" i="1"/>
  <c r="EQ59" i="1"/>
  <c r="FD59" i="1"/>
  <c r="EQ25" i="1"/>
  <c r="FD25" i="1"/>
  <c r="EQ100" i="1"/>
  <c r="FD100" i="1"/>
  <c r="EQ63" i="1"/>
  <c r="FD63" i="1"/>
  <c r="EQ147" i="1"/>
  <c r="FD147" i="1"/>
  <c r="EQ145" i="1"/>
  <c r="FD145" i="1"/>
  <c r="EQ79" i="1"/>
  <c r="FD79" i="1"/>
  <c r="EQ70" i="1"/>
  <c r="FD70" i="1"/>
  <c r="EQ157" i="1"/>
  <c r="FD157" i="1"/>
  <c r="EQ83" i="1"/>
  <c r="FD83" i="1"/>
  <c r="EQ195" i="1"/>
  <c r="FD195" i="1"/>
  <c r="EQ27" i="1"/>
  <c r="FD27" i="1"/>
  <c r="EQ64" i="1"/>
  <c r="FD64" i="1"/>
  <c r="EQ61" i="1"/>
  <c r="FD61" i="1"/>
  <c r="EQ91" i="1"/>
  <c r="FD91" i="1"/>
  <c r="EQ161" i="1"/>
  <c r="FD161" i="1"/>
  <c r="EQ72" i="1"/>
  <c r="FD72" i="1"/>
  <c r="EQ126" i="1"/>
  <c r="FD126" i="1"/>
  <c r="EQ169" i="1"/>
  <c r="FD169" i="1"/>
  <c r="EQ87" i="1"/>
  <c r="FD87" i="1"/>
  <c r="EQ203" i="1"/>
  <c r="FD203" i="1"/>
  <c r="EQ149" i="1"/>
  <c r="FD149" i="1"/>
  <c r="EQ166" i="1"/>
  <c r="FD166" i="1"/>
  <c r="EQ69" i="1"/>
  <c r="FD69" i="1"/>
  <c r="EQ119" i="1"/>
  <c r="FD119" i="1"/>
  <c r="EQ38" i="1"/>
  <c r="FD38" i="1"/>
  <c r="EQ84" i="1"/>
  <c r="FD84" i="1"/>
  <c r="EQ135" i="1"/>
  <c r="FD135" i="1"/>
  <c r="EQ172" i="1"/>
  <c r="FD172" i="1"/>
  <c r="EQ16" i="1"/>
  <c r="FD16" i="1"/>
  <c r="EQ30" i="1"/>
  <c r="FD30" i="1"/>
  <c r="EQ17" i="1"/>
  <c r="FD17" i="1"/>
  <c r="EQ86" i="1"/>
  <c r="FD86" i="1"/>
  <c r="EQ187" i="1"/>
  <c r="FD187" i="1"/>
  <c r="EQ48" i="1"/>
  <c r="FD48" i="1"/>
  <c r="EQ58" i="1"/>
  <c r="FD58" i="1"/>
  <c r="EQ40" i="1"/>
  <c r="FD40" i="1"/>
  <c r="EQ23" i="1"/>
  <c r="FD23" i="1"/>
  <c r="EQ152" i="1"/>
  <c r="FD152" i="1"/>
  <c r="EQ204" i="1"/>
  <c r="FD204" i="1"/>
  <c r="EQ205" i="1"/>
  <c r="FD205" i="1"/>
  <c r="EQ188" i="1"/>
  <c r="FD188" i="1"/>
  <c r="EQ114" i="1"/>
  <c r="FD114" i="1"/>
  <c r="EQ125" i="1"/>
  <c r="FD125" i="1"/>
  <c r="EQ148" i="1"/>
  <c r="FD148" i="1"/>
  <c r="EQ96" i="1"/>
  <c r="FD96" i="1"/>
  <c r="EQ93" i="1"/>
  <c r="FD93" i="1"/>
  <c r="EQ121" i="1"/>
  <c r="FD121" i="1"/>
  <c r="EQ179" i="1"/>
  <c r="FD179" i="1"/>
  <c r="EQ74" i="1"/>
  <c r="FD74" i="1"/>
  <c r="EQ206" i="1"/>
  <c r="FD206" i="1"/>
  <c r="EQ47" i="1"/>
  <c r="FD47" i="1"/>
  <c r="EQ66" i="1"/>
  <c r="FD66" i="1"/>
  <c r="EQ75" i="1"/>
  <c r="FD75" i="1"/>
  <c r="EQ90" i="1"/>
  <c r="FD90" i="1"/>
  <c r="EQ14" i="1"/>
  <c r="FD14" i="1"/>
  <c r="EQ115" i="1"/>
  <c r="FD115" i="1"/>
  <c r="EQ181" i="1"/>
  <c r="FD181" i="1"/>
  <c r="EQ82" i="1"/>
  <c r="FD82" i="1"/>
  <c r="EQ33" i="1"/>
  <c r="FD33" i="1"/>
  <c r="EQ49" i="1"/>
  <c r="FD49" i="1"/>
  <c r="EQ144" i="1"/>
  <c r="FD144" i="1"/>
  <c r="EQ129" i="1"/>
  <c r="FD129" i="1"/>
  <c r="EQ128" i="1"/>
  <c r="FD128" i="1"/>
  <c r="EQ43" i="1"/>
  <c r="FD43" i="1"/>
  <c r="EQ99" i="1"/>
  <c r="FD99" i="1"/>
  <c r="EQ143" i="1"/>
  <c r="FD143" i="1"/>
  <c r="EQ103" i="1"/>
  <c r="FD103" i="1"/>
  <c r="EQ141" i="1"/>
  <c r="FD141" i="1"/>
  <c r="EQ108" i="1"/>
  <c r="FD108" i="1"/>
  <c r="EQ127" i="1"/>
  <c r="FD127" i="1"/>
  <c r="EQ175" i="1"/>
  <c r="FD175" i="1"/>
  <c r="EQ89" i="1"/>
  <c r="FD89" i="1"/>
  <c r="EQ51" i="1"/>
  <c r="FD51" i="1"/>
  <c r="EQ132" i="1"/>
  <c r="FD132" i="1"/>
  <c r="EQ116" i="1"/>
  <c r="FD116" i="1"/>
  <c r="EQ111" i="1"/>
  <c r="FD111" i="1"/>
  <c r="EQ18" i="1"/>
  <c r="FD18" i="1"/>
  <c r="EQ105" i="1"/>
  <c r="FD105" i="1"/>
  <c r="EQ57" i="1"/>
  <c r="FD57" i="1"/>
  <c r="EQ62" i="1"/>
  <c r="FD62" i="1"/>
  <c r="EQ56" i="1"/>
  <c r="FD56" i="1"/>
  <c r="EQ170" i="1"/>
  <c r="FD170" i="1"/>
  <c r="EQ118" i="1"/>
  <c r="FD118" i="1"/>
  <c r="EQ54" i="1"/>
  <c r="FD54" i="1"/>
  <c r="EQ92" i="1"/>
  <c r="FD92" i="1"/>
  <c r="EQ26" i="1"/>
  <c r="FD26" i="1"/>
  <c r="EQ76" i="1"/>
  <c r="FD76" i="1"/>
  <c r="EQ117" i="1"/>
  <c r="FD117" i="1"/>
  <c r="EQ98" i="1"/>
  <c r="FD98" i="1"/>
  <c r="EQ136" i="1"/>
  <c r="FD136" i="1"/>
  <c r="EQ196" i="1"/>
  <c r="FD196" i="1"/>
  <c r="EQ112" i="1"/>
  <c r="FD112" i="1"/>
  <c r="EQ45" i="1"/>
  <c r="FD45" i="1"/>
  <c r="EQ178" i="1"/>
  <c r="FD178" i="1"/>
  <c r="EQ78" i="1"/>
  <c r="FD78" i="1"/>
  <c r="EQ22" i="1"/>
  <c r="FD22" i="1"/>
  <c r="EQ133" i="1"/>
  <c r="FD133" i="1"/>
  <c r="EQ36" i="1"/>
  <c r="FD36" i="1"/>
  <c r="EQ123" i="1"/>
  <c r="FD123" i="1"/>
  <c r="EQ101" i="1"/>
  <c r="FD101" i="1"/>
  <c r="EQ201" i="1"/>
  <c r="FD201" i="1"/>
  <c r="EQ94" i="1"/>
  <c r="FD94" i="1"/>
  <c r="EQ35" i="1"/>
  <c r="FD35" i="1"/>
  <c r="EQ81" i="1"/>
  <c r="FD81" i="1"/>
  <c r="EQ71" i="1"/>
  <c r="FD71" i="1"/>
  <c r="EQ155" i="1"/>
  <c r="FD155" i="1"/>
  <c r="EQ160" i="1"/>
  <c r="FD160" i="1"/>
  <c r="EQ37" i="1"/>
  <c r="FD37" i="1"/>
  <c r="EQ154" i="1"/>
  <c r="FD154" i="1"/>
  <c r="EQ189" i="1"/>
  <c r="FD189" i="1"/>
  <c r="EQ88" i="1"/>
  <c r="FD88" i="1"/>
  <c r="EQ134" i="1"/>
  <c r="FD134" i="1"/>
  <c r="EQ162" i="1"/>
  <c r="FD162" i="1"/>
  <c r="EQ15" i="1"/>
  <c r="FD15" i="1"/>
  <c r="EQ190" i="1"/>
  <c r="FD190" i="1"/>
  <c r="EQ194" i="1"/>
  <c r="FD194" i="1"/>
  <c r="EQ191" i="1"/>
  <c r="FD191" i="1"/>
  <c r="EQ32" i="1"/>
  <c r="FD32" i="1"/>
  <c r="EQ176" i="1"/>
  <c r="FD176" i="1"/>
  <c r="EQ102" i="1"/>
  <c r="FD102" i="1"/>
  <c r="EQ137" i="1"/>
  <c r="FD137" i="1"/>
  <c r="EQ146" i="1"/>
  <c r="FD146" i="1"/>
  <c r="EQ52" i="1"/>
  <c r="FD52" i="1"/>
  <c r="EQ55" i="1"/>
  <c r="FD55" i="1"/>
  <c r="EV10" i="1"/>
  <c r="ET10" i="1"/>
  <c r="EP207" i="1"/>
  <c r="ER207" i="1"/>
  <c r="ER67" i="1"/>
  <c r="EP67" i="1"/>
  <c r="EP73" i="1"/>
  <c r="ER73" i="1"/>
  <c r="ER41" i="1"/>
  <c r="EP41" i="1"/>
  <c r="EP167" i="1"/>
  <c r="ER167" i="1"/>
  <c r="ER21" i="1"/>
  <c r="EP21" i="1"/>
  <c r="EP151" i="1"/>
  <c r="ER151" i="1"/>
  <c r="ER153" i="1"/>
  <c r="EP153" i="1"/>
  <c r="ER53" i="1"/>
  <c r="EP53" i="1"/>
  <c r="EP31" i="1"/>
  <c r="ER31" i="1"/>
  <c r="ER68" i="1"/>
  <c r="EP68" i="1"/>
  <c r="EP184" i="1"/>
  <c r="ER184" i="1"/>
  <c r="EP110" i="1"/>
  <c r="ER110" i="1"/>
  <c r="EP163" i="1"/>
  <c r="ER163" i="1"/>
  <c r="ER139" i="1"/>
  <c r="EP139" i="1"/>
  <c r="ER124" i="1"/>
  <c r="EP124" i="1"/>
  <c r="EP60" i="1"/>
  <c r="ER60" i="1"/>
  <c r="ER24" i="1"/>
  <c r="EP24" i="1"/>
  <c r="ER192" i="1"/>
  <c r="EP192" i="1"/>
  <c r="ER150" i="1"/>
  <c r="EP150" i="1"/>
  <c r="EP122" i="1"/>
  <c r="ER122" i="1"/>
  <c r="ER13" i="1"/>
  <c r="EP13" i="1"/>
  <c r="ER104" i="1"/>
  <c r="EP104" i="1"/>
  <c r="ER14" i="1"/>
  <c r="EP14" i="1"/>
  <c r="ER34" i="1"/>
  <c r="EP34" i="1"/>
  <c r="ER115" i="1"/>
  <c r="EP115" i="1"/>
  <c r="ER140" i="1"/>
  <c r="EP140" i="1"/>
  <c r="ER181" i="1"/>
  <c r="EP181" i="1"/>
  <c r="EP82" i="1"/>
  <c r="ER82" i="1"/>
  <c r="ER158" i="1"/>
  <c r="EP158" i="1"/>
  <c r="ER33" i="1"/>
  <c r="EP33" i="1"/>
  <c r="ER50" i="1"/>
  <c r="EP50" i="1"/>
  <c r="ER199" i="1"/>
  <c r="EP199" i="1"/>
  <c r="ER144" i="1"/>
  <c r="EP144" i="1"/>
  <c r="ER198" i="1"/>
  <c r="EP198" i="1"/>
  <c r="EP95" i="1"/>
  <c r="ER95" i="1"/>
  <c r="EP128" i="1"/>
  <c r="ER128" i="1"/>
  <c r="EP52" i="1"/>
  <c r="ER52" i="1"/>
  <c r="ER46" i="1"/>
  <c r="EP46" i="1"/>
  <c r="EP66" i="1"/>
  <c r="ER66" i="1"/>
  <c r="ER202" i="1"/>
  <c r="EP202" i="1"/>
  <c r="EQ53" i="1"/>
  <c r="EP79" i="1"/>
  <c r="ER79" i="1"/>
  <c r="EQ31" i="1"/>
  <c r="EQ68" i="1"/>
  <c r="EQ184" i="1"/>
  <c r="EQ110" i="1"/>
  <c r="EP127" i="1"/>
  <c r="ER127" i="1"/>
  <c r="EQ163" i="1"/>
  <c r="EQ139" i="1"/>
  <c r="ER131" i="1"/>
  <c r="EP131" i="1"/>
  <c r="EP175" i="1"/>
  <c r="ER175" i="1"/>
  <c r="EQ124" i="1"/>
  <c r="EP89" i="1"/>
  <c r="ER89" i="1"/>
  <c r="ER193" i="1"/>
  <c r="EP193" i="1"/>
  <c r="EQ60" i="1"/>
  <c r="EQ24" i="1"/>
  <c r="EQ192" i="1"/>
  <c r="EQ150" i="1"/>
  <c r="ER51" i="1"/>
  <c r="EP51" i="1"/>
  <c r="EQ122" i="1"/>
  <c r="EQ13" i="1"/>
  <c r="EQ104" i="1"/>
  <c r="EP183" i="1"/>
  <c r="ER183" i="1"/>
  <c r="ER49" i="1"/>
  <c r="EP49" i="1"/>
  <c r="ER129" i="1"/>
  <c r="EP129" i="1"/>
  <c r="ER65" i="1"/>
  <c r="EP65" i="1"/>
  <c r="ER43" i="1"/>
  <c r="EP43" i="1"/>
  <c r="EP99" i="1"/>
  <c r="ER99" i="1"/>
  <c r="EP143" i="1"/>
  <c r="ER143" i="1"/>
  <c r="EP159" i="1"/>
  <c r="ER159" i="1"/>
  <c r="ER35" i="1"/>
  <c r="EP35" i="1"/>
  <c r="ER135" i="1"/>
  <c r="EP135" i="1"/>
  <c r="EP81" i="1"/>
  <c r="ER81" i="1"/>
  <c r="ER172" i="1"/>
  <c r="EP172" i="1"/>
  <c r="EP71" i="1"/>
  <c r="ER71" i="1"/>
  <c r="ER170" i="1"/>
  <c r="EP170" i="1"/>
  <c r="ER70" i="1"/>
  <c r="EP70" i="1"/>
  <c r="ER118" i="1"/>
  <c r="EP118" i="1"/>
  <c r="ER157" i="1"/>
  <c r="EP157" i="1"/>
  <c r="EP54" i="1"/>
  <c r="ER54" i="1"/>
  <c r="EP83" i="1"/>
  <c r="ER83" i="1"/>
  <c r="EP92" i="1"/>
  <c r="ER92" i="1"/>
  <c r="ER26" i="1"/>
  <c r="EP26" i="1"/>
  <c r="ER27" i="1"/>
  <c r="EP27" i="1"/>
  <c r="EP76" i="1"/>
  <c r="ER76" i="1"/>
  <c r="ER64" i="1"/>
  <c r="EP64" i="1"/>
  <c r="ER117" i="1"/>
  <c r="EP117" i="1"/>
  <c r="ER61" i="1"/>
  <c r="EP61" i="1"/>
  <c r="ER98" i="1"/>
  <c r="EP98" i="1"/>
  <c r="EP91" i="1"/>
  <c r="ER91" i="1"/>
  <c r="ER186" i="1"/>
  <c r="EP186" i="1"/>
  <c r="ER106" i="1"/>
  <c r="EP106" i="1"/>
  <c r="EP85" i="1"/>
  <c r="ER85" i="1"/>
  <c r="ER200" i="1"/>
  <c r="EP200" i="1"/>
  <c r="ER130" i="1"/>
  <c r="EP130" i="1"/>
  <c r="EP180" i="1"/>
  <c r="ER180" i="1"/>
  <c r="EP195" i="1"/>
  <c r="ER195" i="1"/>
  <c r="EP142" i="1"/>
  <c r="ER142" i="1"/>
  <c r="EQ186" i="1"/>
  <c r="EP97" i="1"/>
  <c r="ER97" i="1"/>
  <c r="EQ106" i="1"/>
  <c r="EP111" i="1"/>
  <c r="ER111" i="1"/>
  <c r="EQ142" i="1"/>
  <c r="EQ85" i="1"/>
  <c r="ER25" i="1"/>
  <c r="EP25" i="1"/>
  <c r="EQ200" i="1"/>
  <c r="EQ130" i="1"/>
  <c r="ER57" i="1"/>
  <c r="EP57" i="1"/>
  <c r="EP63" i="1"/>
  <c r="ER63" i="1"/>
  <c r="ER147" i="1"/>
  <c r="EP147" i="1"/>
  <c r="EP145" i="1"/>
  <c r="ER145" i="1"/>
  <c r="EQ180" i="1"/>
  <c r="EP177" i="1"/>
  <c r="ER177" i="1"/>
  <c r="ER12" i="1"/>
  <c r="EP12" i="1"/>
  <c r="ER19" i="1"/>
  <c r="EP19" i="1"/>
  <c r="EP109" i="1"/>
  <c r="ER109" i="1"/>
  <c r="ER138" i="1"/>
  <c r="EP138" i="1"/>
  <c r="EQ10" i="1"/>
  <c r="ER10" i="1"/>
  <c r="EP113" i="1"/>
  <c r="ER113" i="1"/>
  <c r="ER80" i="1"/>
  <c r="EP80" i="1"/>
  <c r="ER42" i="1"/>
  <c r="EP42" i="1"/>
  <c r="EP156" i="1"/>
  <c r="ER156" i="1"/>
  <c r="ER197" i="1"/>
  <c r="EP197" i="1"/>
  <c r="ER107" i="1"/>
  <c r="EP107" i="1"/>
  <c r="ER20" i="1"/>
  <c r="EP20" i="1"/>
  <c r="EP165" i="1"/>
  <c r="ER165" i="1"/>
  <c r="EP155" i="1"/>
  <c r="ER155" i="1"/>
  <c r="ER86" i="1"/>
  <c r="EP86" i="1"/>
  <c r="ER160" i="1"/>
  <c r="EP160" i="1"/>
  <c r="EP187" i="1"/>
  <c r="ER187" i="1"/>
  <c r="EP37" i="1"/>
  <c r="ER37" i="1"/>
  <c r="ER48" i="1"/>
  <c r="EP48" i="1"/>
  <c r="ER132" i="1"/>
  <c r="EP132" i="1"/>
  <c r="ER11" i="1"/>
  <c r="EP11" i="1"/>
  <c r="EP116" i="1"/>
  <c r="ER116" i="1"/>
  <c r="EP164" i="1"/>
  <c r="ER164" i="1"/>
  <c r="EP44" i="1"/>
  <c r="ER44" i="1"/>
  <c r="EP18" i="1"/>
  <c r="ER18" i="1"/>
  <c r="ER59" i="1"/>
  <c r="EP59" i="1"/>
  <c r="EP100" i="1"/>
  <c r="ER100" i="1"/>
  <c r="EP105" i="1"/>
  <c r="ER105" i="1"/>
  <c r="ER62" i="1"/>
  <c r="EP62" i="1"/>
  <c r="ER56" i="1"/>
  <c r="EP56" i="1"/>
  <c r="ER16" i="1"/>
  <c r="EP16" i="1"/>
  <c r="ER136" i="1"/>
  <c r="EP136" i="1"/>
  <c r="EP161" i="1"/>
  <c r="ER161" i="1"/>
  <c r="EP196" i="1"/>
  <c r="ER196" i="1"/>
  <c r="ER72" i="1"/>
  <c r="EP72" i="1"/>
  <c r="ER112" i="1"/>
  <c r="EP112" i="1"/>
  <c r="ER126" i="1"/>
  <c r="EP126" i="1"/>
  <c r="ER45" i="1"/>
  <c r="EP45" i="1"/>
  <c r="ER178" i="1"/>
  <c r="EP178" i="1"/>
  <c r="EP78" i="1"/>
  <c r="ER78" i="1"/>
  <c r="EP203" i="1"/>
  <c r="ER203" i="1"/>
  <c r="ER149" i="1"/>
  <c r="EP149" i="1"/>
  <c r="ER133" i="1"/>
  <c r="EP133" i="1"/>
  <c r="EP166" i="1"/>
  <c r="ER166" i="1"/>
  <c r="EP36" i="1"/>
  <c r="ER36" i="1"/>
  <c r="ER69" i="1"/>
  <c r="EP69" i="1"/>
  <c r="ER123" i="1"/>
  <c r="EP123" i="1"/>
  <c r="EP101" i="1"/>
  <c r="ER101" i="1"/>
  <c r="ER38" i="1"/>
  <c r="EP38" i="1"/>
  <c r="EP201" i="1"/>
  <c r="ER201" i="1"/>
  <c r="EP84" i="1"/>
  <c r="ER84" i="1"/>
  <c r="EP94" i="1"/>
  <c r="ER94" i="1"/>
  <c r="EQ177" i="1"/>
  <c r="EQ12" i="1"/>
  <c r="EQ19" i="1"/>
  <c r="EQ109" i="1"/>
  <c r="EQ138" i="1"/>
  <c r="EP10" i="1"/>
  <c r="EQ113" i="1"/>
  <c r="EQ80" i="1"/>
  <c r="EQ42" i="1"/>
  <c r="EQ156" i="1"/>
  <c r="EQ197" i="1"/>
  <c r="EP30" i="1"/>
  <c r="ER30" i="1"/>
  <c r="EQ107" i="1"/>
  <c r="EQ20" i="1"/>
  <c r="EQ165" i="1"/>
  <c r="EP17" i="1"/>
  <c r="ER17" i="1"/>
  <c r="EP169" i="1"/>
  <c r="ER169" i="1"/>
  <c r="EP87" i="1"/>
  <c r="ER87" i="1"/>
  <c r="EP22" i="1"/>
  <c r="ER22" i="1"/>
  <c r="EP119" i="1"/>
  <c r="ER119" i="1"/>
  <c r="EP103" i="1"/>
  <c r="ER103" i="1"/>
  <c r="EP141" i="1"/>
  <c r="ER141" i="1"/>
  <c r="EP108" i="1"/>
  <c r="ER108" i="1"/>
  <c r="ER77" i="1"/>
  <c r="EP77" i="1"/>
  <c r="ER125" i="1"/>
  <c r="EP125" i="1"/>
  <c r="EP190" i="1"/>
  <c r="ER190" i="1"/>
  <c r="ER148" i="1"/>
  <c r="EP148" i="1"/>
  <c r="ER194" i="1"/>
  <c r="EP194" i="1"/>
  <c r="ER96" i="1"/>
  <c r="EP96" i="1"/>
  <c r="ER93" i="1"/>
  <c r="EP93" i="1"/>
  <c r="ER32" i="1"/>
  <c r="EP32" i="1"/>
  <c r="ER176" i="1"/>
  <c r="EP176" i="1"/>
  <c r="EP179" i="1"/>
  <c r="ER179" i="1"/>
  <c r="EP102" i="1"/>
  <c r="ER102" i="1"/>
  <c r="EP74" i="1"/>
  <c r="ER74" i="1"/>
  <c r="EP137" i="1"/>
  <c r="ER137" i="1"/>
  <c r="ER206" i="1"/>
  <c r="EP206" i="1"/>
  <c r="ER146" i="1"/>
  <c r="EP146" i="1"/>
  <c r="EP58" i="1"/>
  <c r="ER58" i="1"/>
  <c r="ER154" i="1"/>
  <c r="EP154" i="1"/>
  <c r="ER40" i="1"/>
  <c r="EP40" i="1"/>
  <c r="EQ207" i="1"/>
  <c r="EP90" i="1"/>
  <c r="ER90" i="1"/>
  <c r="ER189" i="1"/>
  <c r="EP189" i="1"/>
  <c r="EP23" i="1"/>
  <c r="ER23" i="1"/>
  <c r="EQ67" i="1"/>
  <c r="ER75" i="1"/>
  <c r="EP75" i="1"/>
  <c r="EQ73" i="1"/>
  <c r="EQ41" i="1"/>
  <c r="ER55" i="1"/>
  <c r="EP55" i="1"/>
  <c r="ER152" i="1"/>
  <c r="EP152" i="1"/>
  <c r="ER120" i="1"/>
  <c r="EP120" i="1"/>
  <c r="ER204" i="1"/>
  <c r="EP204" i="1"/>
  <c r="ER88" i="1"/>
  <c r="EP88" i="1"/>
  <c r="ER205" i="1"/>
  <c r="EP205" i="1"/>
  <c r="ER134" i="1"/>
  <c r="EP134" i="1"/>
  <c r="ER188" i="1"/>
  <c r="EP188" i="1"/>
  <c r="ER162" i="1"/>
  <c r="EP162" i="1"/>
  <c r="EP114" i="1"/>
  <c r="ER114" i="1"/>
  <c r="EQ167" i="1"/>
  <c r="EQ21" i="1"/>
  <c r="ER15" i="1"/>
  <c r="EP15" i="1"/>
  <c r="EQ151" i="1"/>
  <c r="EQ153" i="1"/>
  <c r="ER29" i="1"/>
  <c r="EP29" i="1"/>
  <c r="EP39" i="1"/>
  <c r="ER39" i="1"/>
  <c r="EP191" i="1"/>
  <c r="ER191" i="1"/>
  <c r="EP121" i="1"/>
  <c r="ER121" i="1"/>
  <c r="EP47" i="1"/>
  <c r="ER47" i="1"/>
  <c r="CX13" i="1" l="1"/>
  <c r="CX11" i="1"/>
  <c r="CX12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10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" i="1"/>
  <c r="I4" i="1"/>
  <c r="I5" i="1"/>
  <c r="I6" i="1"/>
  <c r="I7" i="1"/>
  <c r="I8" i="1"/>
  <c r="I9" i="1"/>
  <c r="I10" i="1"/>
  <c r="I11" i="1"/>
  <c r="I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</calcChain>
</file>

<file path=xl/sharedStrings.xml><?xml version="1.0" encoding="utf-8"?>
<sst xmlns="http://schemas.openxmlformats.org/spreadsheetml/2006/main" count="11501" uniqueCount="1591">
  <si>
    <t>sample_nr</t>
  </si>
  <si>
    <t>obs_well</t>
  </si>
  <si>
    <t>date</t>
  </si>
  <si>
    <t>DOC</t>
  </si>
  <si>
    <t>TOC</t>
  </si>
  <si>
    <t>cyanide_total</t>
  </si>
  <si>
    <t>phosphorus_total</t>
  </si>
  <si>
    <t>phenol</t>
  </si>
  <si>
    <t>m_cresol</t>
  </si>
  <si>
    <t>o_cresol</t>
  </si>
  <si>
    <t>p_cresol</t>
  </si>
  <si>
    <t>cresol</t>
  </si>
  <si>
    <t>2_ethylphenol</t>
  </si>
  <si>
    <t>3_ethylphenol</t>
  </si>
  <si>
    <t>24_dimethylphenol</t>
  </si>
  <si>
    <t>25_dimethylphenol</t>
  </si>
  <si>
    <t>3,5+2,3-dimethylphenol+4-ethylphenol</t>
  </si>
  <si>
    <t>26_dimethylphenol</t>
  </si>
  <si>
    <t>34_dimethylphenol</t>
  </si>
  <si>
    <t>c2_alkylphenols_total</t>
  </si>
  <si>
    <t>235_trimethylphenol</t>
  </si>
  <si>
    <t>345_trimethylphenol</t>
  </si>
  <si>
    <t>2_isopropylphenol</t>
  </si>
  <si>
    <t>c3_alkylphenols_total</t>
  </si>
  <si>
    <t>thymol</t>
  </si>
  <si>
    <t>p_[tert]butylphenol</t>
  </si>
  <si>
    <t>c4_alkylphenols_total</t>
  </si>
  <si>
    <t>benzo[a]anthracene</t>
  </si>
  <si>
    <t>chrysene</t>
  </si>
  <si>
    <t>benzo[b]fluoranthene</t>
  </si>
  <si>
    <t>benzo[k]fluoranthene</t>
  </si>
  <si>
    <t>benzo[a]pyrene</t>
  </si>
  <si>
    <t>dibenz[a,h]anthracene</t>
  </si>
  <si>
    <t>benzo[ghi]perylene</t>
  </si>
  <si>
    <t>indeno[1,2,3-cd]pyrene</t>
  </si>
  <si>
    <t>fraction_C10-C12</t>
  </si>
  <si>
    <t>fraction_C12-C22</t>
  </si>
  <si>
    <t>fraction_C22-C30</t>
  </si>
  <si>
    <t>fraction_C30-C40</t>
  </si>
  <si>
    <t>total_C10-C40</t>
  </si>
  <si>
    <t>oxygen</t>
  </si>
  <si>
    <t>temperature</t>
  </si>
  <si>
    <t>redoxpot</t>
  </si>
  <si>
    <t>pH</t>
  </si>
  <si>
    <t>EGV3</t>
  </si>
  <si>
    <t>Frontpump_flowrate</t>
  </si>
  <si>
    <t>14135850-001</t>
  </si>
  <si>
    <t>CW1_OUT</t>
  </si>
  <si>
    <t>5.3</t>
  </si>
  <si>
    <t>3.8</t>
  </si>
  <si>
    <t>0.93</t>
  </si>
  <si>
    <t>5.2</t>
  </si>
  <si>
    <t>0.25</t>
  </si>
  <si>
    <t>0.43</t>
  </si>
  <si>
    <t>0.42</t>
  </si>
  <si>
    <t>1.1</t>
  </si>
  <si>
    <t>0.45</t>
  </si>
  <si>
    <t>0.31</t>
  </si>
  <si>
    <t>0.58</t>
  </si>
  <si>
    <t>8.4</t>
  </si>
  <si>
    <t>0.95</t>
  </si>
  <si>
    <t>0.24</t>
  </si>
  <si>
    <t>0.03</t>
  </si>
  <si>
    <t>1.6</t>
  </si>
  <si>
    <t>6.1</t>
  </si>
  <si>
    <t>1.3</t>
  </si>
  <si>
    <t>0.73</t>
  </si>
  <si>
    <t>0.08</t>
  </si>
  <si>
    <t>0.04</t>
  </si>
  <si>
    <t>2.5</t>
  </si>
  <si>
    <t>0.017</t>
  </si>
  <si>
    <t>4.02</t>
  </si>
  <si>
    <t>0.1</t>
  </si>
  <si>
    <t>14135850-002</t>
  </si>
  <si>
    <t>CW1_MF09</t>
  </si>
  <si>
    <t>3.7</t>
  </si>
  <si>
    <t>2.4</t>
  </si>
  <si>
    <t>2.1</t>
  </si>
  <si>
    <t>2.6</t>
  </si>
  <si>
    <t>0.44</t>
  </si>
  <si>
    <t>1.4</t>
  </si>
  <si>
    <t>0.69</t>
  </si>
  <si>
    <t>0.62</t>
  </si>
  <si>
    <t>0.79</t>
  </si>
  <si>
    <t>0.6</t>
  </si>
  <si>
    <t>6.4</t>
  </si>
  <si>
    <t>0.27</t>
  </si>
  <si>
    <t>0.02</t>
  </si>
  <si>
    <t>0.01</t>
  </si>
  <si>
    <t>0.042</t>
  </si>
  <si>
    <t>0.5</t>
  </si>
  <si>
    <t>1.08</t>
  </si>
  <si>
    <t>22.9</t>
  </si>
  <si>
    <t>7.19</t>
  </si>
  <si>
    <t>14135850-003</t>
  </si>
  <si>
    <t>CW1_MF10</t>
  </si>
  <si>
    <t>4.8</t>
  </si>
  <si>
    <t>3.2</t>
  </si>
  <si>
    <t>0.94</t>
  </si>
  <si>
    <t>0.97</t>
  </si>
  <si>
    <t>1.5</t>
  </si>
  <si>
    <t>0.74</t>
  </si>
  <si>
    <t>3.6</t>
  </si>
  <si>
    <t>8.8</t>
  </si>
  <si>
    <t>1.7</t>
  </si>
  <si>
    <t>0.067</t>
  </si>
  <si>
    <t>0.021</t>
  </si>
  <si>
    <t>4.3</t>
  </si>
  <si>
    <t>0.3</t>
  </si>
  <si>
    <t>0.4</t>
  </si>
  <si>
    <t>22.8</t>
  </si>
  <si>
    <t>-132.5</t>
  </si>
  <si>
    <t>7.01</t>
  </si>
  <si>
    <t>0.2</t>
  </si>
  <si>
    <t>14137094-001</t>
  </si>
  <si>
    <t>CW1_MF06</t>
  </si>
  <si>
    <t>3.9</t>
  </si>
  <si>
    <t>6.3</t>
  </si>
  <si>
    <t>0.11</t>
  </si>
  <si>
    <t>0.19</t>
  </si>
  <si>
    <t>1.9</t>
  </si>
  <si>
    <t>1.2</t>
  </si>
  <si>
    <t>0.75</t>
  </si>
  <si>
    <t>2.2</t>
  </si>
  <si>
    <t>0.59</t>
  </si>
  <si>
    <t>0.22</t>
  </si>
  <si>
    <t>0.37</t>
  </si>
  <si>
    <t>23.8</t>
  </si>
  <si>
    <t>7.05</t>
  </si>
  <si>
    <t>14137094-002</t>
  </si>
  <si>
    <t>INFLOW</t>
  </si>
  <si>
    <t>0.9</t>
  </si>
  <si>
    <t>0.78</t>
  </si>
  <si>
    <t>5.5</t>
  </si>
  <si>
    <t>0.68</t>
  </si>
  <si>
    <t>0.81</t>
  </si>
  <si>
    <t>14137094-003</t>
  </si>
  <si>
    <t>CW1_MF01</t>
  </si>
  <si>
    <t>2.7</t>
  </si>
  <si>
    <t>0.91</t>
  </si>
  <si>
    <t>1.8</t>
  </si>
  <si>
    <t>0.82</t>
  </si>
  <si>
    <t>0.36</t>
  </si>
  <si>
    <t>0.67</t>
  </si>
  <si>
    <t>3.3</t>
  </si>
  <si>
    <t>0.47</t>
  </si>
  <si>
    <t>0.71</t>
  </si>
  <si>
    <t>7.8</t>
  </si>
  <si>
    <t>0.7</t>
  </si>
  <si>
    <t>0.46</t>
  </si>
  <si>
    <t>24.5</t>
  </si>
  <si>
    <t>6.8</t>
  </si>
  <si>
    <t>14137094-004</t>
  </si>
  <si>
    <t>CW1_MF02</t>
  </si>
  <si>
    <t>0.83</t>
  </si>
  <si>
    <t>8.2</t>
  </si>
  <si>
    <t>0.89</t>
  </si>
  <si>
    <t>2.9</t>
  </si>
  <si>
    <t>4.6</t>
  </si>
  <si>
    <t>2.8</t>
  </si>
  <si>
    <t>7.6</t>
  </si>
  <si>
    <t>0.031</t>
  </si>
  <si>
    <t>0.55</t>
  </si>
  <si>
    <t>0.26</t>
  </si>
  <si>
    <t>23.1</t>
  </si>
  <si>
    <t>7.1</t>
  </si>
  <si>
    <t>14137094-005</t>
  </si>
  <si>
    <t>CW1_MF05</t>
  </si>
  <si>
    <t>5.1</t>
  </si>
  <si>
    <t>0.05</t>
  </si>
  <si>
    <t>9.1</t>
  </si>
  <si>
    <t>0.17</t>
  </si>
  <si>
    <t>9.6</t>
  </si>
  <si>
    <t>24.8</t>
  </si>
  <si>
    <t>7.02</t>
  </si>
  <si>
    <t>14137094-006</t>
  </si>
  <si>
    <t>CW2_MF05</t>
  </si>
  <si>
    <t>3.1</t>
  </si>
  <si>
    <t>0.85</t>
  </si>
  <si>
    <t>5.7</t>
  </si>
  <si>
    <t>0.025</t>
  </si>
  <si>
    <t>0.016</t>
  </si>
  <si>
    <t>23.4</t>
  </si>
  <si>
    <t>-183.2</t>
  </si>
  <si>
    <t>7.12</t>
  </si>
  <si>
    <t>14137094-007</t>
  </si>
  <si>
    <t>CW2_MF06</t>
  </si>
  <si>
    <t>4.9</t>
  </si>
  <si>
    <t>0.87</t>
  </si>
  <si>
    <t>4.1</t>
  </si>
  <si>
    <t>0.049</t>
  </si>
  <si>
    <t>0.41</t>
  </si>
  <si>
    <t>0.23</t>
  </si>
  <si>
    <t>24.1</t>
  </si>
  <si>
    <t>6.92</t>
  </si>
  <si>
    <t>14137094-008</t>
  </si>
  <si>
    <t>CW2_OUT</t>
  </si>
  <si>
    <t>0.84</t>
  </si>
  <si>
    <t>3.4</t>
  </si>
  <si>
    <t>4.5</t>
  </si>
  <si>
    <t>7.7</t>
  </si>
  <si>
    <t>0.024</t>
  </si>
  <si>
    <t>6.88</t>
  </si>
  <si>
    <t>14137094-009</t>
  </si>
  <si>
    <t>CW2_MF01</t>
  </si>
  <si>
    <t>0.86</t>
  </si>
  <si>
    <t>6.5</t>
  </si>
  <si>
    <t>0.88</t>
  </si>
  <si>
    <t>23.9</t>
  </si>
  <si>
    <t>6.9</t>
  </si>
  <si>
    <t>14137094-010</t>
  </si>
  <si>
    <t>CW2_MF02</t>
  </si>
  <si>
    <t>7.5</t>
  </si>
  <si>
    <t>2.3</t>
  </si>
  <si>
    <t>3.5</t>
  </si>
  <si>
    <t>0.54</t>
  </si>
  <si>
    <t>0.16</t>
  </si>
  <si>
    <t>7.09</t>
  </si>
  <si>
    <t>14137094-011</t>
  </si>
  <si>
    <t>CW2_MF09</t>
  </si>
  <si>
    <t>4.4</t>
  </si>
  <si>
    <t>0.15</t>
  </si>
  <si>
    <t>0.21</t>
  </si>
  <si>
    <t>0.18</t>
  </si>
  <si>
    <t>0.61</t>
  </si>
  <si>
    <t>9.8</t>
  </si>
  <si>
    <t>24.2</t>
  </si>
  <si>
    <t>14137094-012</t>
  </si>
  <si>
    <t>CW2_MF10</t>
  </si>
  <si>
    <t>0.77</t>
  </si>
  <si>
    <t>0.52</t>
  </si>
  <si>
    <t>5.8</t>
  </si>
  <si>
    <t>0.061</t>
  </si>
  <si>
    <t>0.34</t>
  </si>
  <si>
    <t>6.91</t>
  </si>
  <si>
    <t>14137171-001</t>
  </si>
  <si>
    <t>CW3_OUT</t>
  </si>
  <si>
    <t>4.2</t>
  </si>
  <si>
    <t>0.98</t>
  </si>
  <si>
    <t>0.48</t>
  </si>
  <si>
    <t>14137171-002</t>
  </si>
  <si>
    <t>CW3_MF01</t>
  </si>
  <si>
    <t>0.32</t>
  </si>
  <si>
    <t>0.92</t>
  </si>
  <si>
    <t>14137171-003</t>
  </si>
  <si>
    <t>CW3_MF02</t>
  </si>
  <si>
    <t>7.3</t>
  </si>
  <si>
    <t>0.38</t>
  </si>
  <si>
    <t>0.28</t>
  </si>
  <si>
    <t>14137171-004</t>
  </si>
  <si>
    <t>CW3_MF05</t>
  </si>
  <si>
    <t>0.65</t>
  </si>
  <si>
    <t>4.7</t>
  </si>
  <si>
    <t>7.08</t>
  </si>
  <si>
    <t>14137171-005</t>
  </si>
  <si>
    <t>CW3_MF06</t>
  </si>
  <si>
    <t>9.5</t>
  </si>
  <si>
    <t>0.8</t>
  </si>
  <si>
    <t>0.036</t>
  </si>
  <si>
    <t>7.11</t>
  </si>
  <si>
    <t>14137171-006</t>
  </si>
  <si>
    <t>CW3_MF09</t>
  </si>
  <si>
    <t>8.3</t>
  </si>
  <si>
    <t>14137171-007</t>
  </si>
  <si>
    <t>CW3_MF10</t>
  </si>
  <si>
    <t>9.2</t>
  </si>
  <si>
    <t>23.5</t>
  </si>
  <si>
    <t>SampleID</t>
  </si>
  <si>
    <t>CW_9</t>
  </si>
  <si>
    <t>CW_10</t>
  </si>
  <si>
    <t>CW_11</t>
  </si>
  <si>
    <t>CW_12</t>
  </si>
  <si>
    <t>CW_13</t>
  </si>
  <si>
    <t>CW_14</t>
  </si>
  <si>
    <t>CW_15</t>
  </si>
  <si>
    <t>CW_16</t>
  </si>
  <si>
    <t>CW_17</t>
  </si>
  <si>
    <t>CW_18</t>
  </si>
  <si>
    <t>CW_19</t>
  </si>
  <si>
    <t>CW_20</t>
  </si>
  <si>
    <t>CW_21</t>
  </si>
  <si>
    <t>CW_22</t>
  </si>
  <si>
    <t>CW_23</t>
  </si>
  <si>
    <t>CW_24</t>
  </si>
  <si>
    <t>CW_25</t>
  </si>
  <si>
    <t>CW_26</t>
  </si>
  <si>
    <t>CW_27</t>
  </si>
  <si>
    <t>CW_28</t>
  </si>
  <si>
    <t>CW_29</t>
  </si>
  <si>
    <t>CW_30</t>
  </si>
  <si>
    <t>CW_31</t>
  </si>
  <si>
    <t>CW_32</t>
  </si>
  <si>
    <t>CW_33</t>
  </si>
  <si>
    <t>CW_34</t>
  </si>
  <si>
    <t>CW_35</t>
  </si>
  <si>
    <t>CW_36</t>
  </si>
  <si>
    <t>CW_37</t>
  </si>
  <si>
    <t>CW_38</t>
  </si>
  <si>
    <t>CW_39</t>
  </si>
  <si>
    <t>CW_40</t>
  </si>
  <si>
    <t>CW_41</t>
  </si>
  <si>
    <t>CW_42</t>
  </si>
  <si>
    <t>CW_43</t>
  </si>
  <si>
    <t>CW_44</t>
  </si>
  <si>
    <t>CW_45</t>
  </si>
  <si>
    <t>CW_46</t>
  </si>
  <si>
    <t>CW_47</t>
  </si>
  <si>
    <t>CW_48</t>
  </si>
  <si>
    <t>CW_49</t>
  </si>
  <si>
    <t>CW_50</t>
  </si>
  <si>
    <t>CW_51</t>
  </si>
  <si>
    <t>CW_52</t>
  </si>
  <si>
    <t>CW_53</t>
  </si>
  <si>
    <t>CW_54</t>
  </si>
  <si>
    <t>CW_55</t>
  </si>
  <si>
    <t>CW_56</t>
  </si>
  <si>
    <t>CW_57</t>
  </si>
  <si>
    <t>CW_58</t>
  </si>
  <si>
    <t>CW_59</t>
  </si>
  <si>
    <t>CW_60</t>
  </si>
  <si>
    <t>CW_61</t>
  </si>
  <si>
    <t>CW_62</t>
  </si>
  <si>
    <t>CW_63</t>
  </si>
  <si>
    <t>CW_64</t>
  </si>
  <si>
    <t>CW_65</t>
  </si>
  <si>
    <t>CW_66</t>
  </si>
  <si>
    <t>CW_67</t>
  </si>
  <si>
    <t>CW_68</t>
  </si>
  <si>
    <t>CW_69</t>
  </si>
  <si>
    <t>CW_70</t>
  </si>
  <si>
    <t>CW_71</t>
  </si>
  <si>
    <t>CW_72</t>
  </si>
  <si>
    <t>CW_73</t>
  </si>
  <si>
    <t>CW_74</t>
  </si>
  <si>
    <t>CW_75</t>
  </si>
  <si>
    <t>CW_76</t>
  </si>
  <si>
    <t>CW_77</t>
  </si>
  <si>
    <t>CW_78</t>
  </si>
  <si>
    <t>CW_79</t>
  </si>
  <si>
    <t>CW_80</t>
  </si>
  <si>
    <t>CW_81</t>
  </si>
  <si>
    <t>CW_82</t>
  </si>
  <si>
    <t>CW_83</t>
  </si>
  <si>
    <t>CW_84</t>
  </si>
  <si>
    <t>CW_85</t>
  </si>
  <si>
    <t>CW_86</t>
  </si>
  <si>
    <t>CW_87</t>
  </si>
  <si>
    <t>CW_88</t>
  </si>
  <si>
    <t>CW_89</t>
  </si>
  <si>
    <t>CW_90</t>
  </si>
  <si>
    <t>CW_91</t>
  </si>
  <si>
    <t>CW_92</t>
  </si>
  <si>
    <t>CW_93</t>
  </si>
  <si>
    <t>CW_94</t>
  </si>
  <si>
    <t>CW_95</t>
  </si>
  <si>
    <t>CW_96</t>
  </si>
  <si>
    <t>CW_97</t>
  </si>
  <si>
    <t>CW_98</t>
  </si>
  <si>
    <t>CW_99</t>
  </si>
  <si>
    <t>CW_100</t>
  </si>
  <si>
    <t>CW_101</t>
  </si>
  <si>
    <t>CW_102</t>
  </si>
  <si>
    <t>CW_103</t>
  </si>
  <si>
    <t>CW_104</t>
  </si>
  <si>
    <t>CW_105</t>
  </si>
  <si>
    <t>CW_106</t>
  </si>
  <si>
    <t>CW_107</t>
  </si>
  <si>
    <t>CW_108</t>
  </si>
  <si>
    <t>CW_109</t>
  </si>
  <si>
    <t>CW_110</t>
  </si>
  <si>
    <t>CW_111</t>
  </si>
  <si>
    <t>CW_112</t>
  </si>
  <si>
    <t>CW_113</t>
  </si>
  <si>
    <t>CW_114</t>
  </si>
  <si>
    <t>CW_115</t>
  </si>
  <si>
    <t>CW_116</t>
  </si>
  <si>
    <t>CW_117</t>
  </si>
  <si>
    <t>CW_118</t>
  </si>
  <si>
    <t>CW_119</t>
  </si>
  <si>
    <t>CW_120</t>
  </si>
  <si>
    <t>CW_121</t>
  </si>
  <si>
    <t>CW_122</t>
  </si>
  <si>
    <t>CW_123</t>
  </si>
  <si>
    <t>CW_124</t>
  </si>
  <si>
    <t>CW_125</t>
  </si>
  <si>
    <t>CW_126</t>
  </si>
  <si>
    <t>CW_127</t>
  </si>
  <si>
    <t>CW_128</t>
  </si>
  <si>
    <t>CW_129</t>
  </si>
  <si>
    <t>CW_130</t>
  </si>
  <si>
    <t>CW_131</t>
  </si>
  <si>
    <t>CW_132</t>
  </si>
  <si>
    <t>CW_133</t>
  </si>
  <si>
    <t>CW_134</t>
  </si>
  <si>
    <t>CW_135</t>
  </si>
  <si>
    <t>CW_136</t>
  </si>
  <si>
    <t>CW_137</t>
  </si>
  <si>
    <t>CW_138</t>
  </si>
  <si>
    <t>CW_139</t>
  </si>
  <si>
    <t>CW_140</t>
  </si>
  <si>
    <t>CW_141</t>
  </si>
  <si>
    <t>CW_142</t>
  </si>
  <si>
    <t>CW_143</t>
  </si>
  <si>
    <t>CW_144</t>
  </si>
  <si>
    <t>CW_145</t>
  </si>
  <si>
    <t>CW_146</t>
  </si>
  <si>
    <t>CW_147</t>
  </si>
  <si>
    <t>CW_148</t>
  </si>
  <si>
    <t>CW_149</t>
  </si>
  <si>
    <t>CW_150</t>
  </si>
  <si>
    <t>CW_151</t>
  </si>
  <si>
    <t>CW_152</t>
  </si>
  <si>
    <t>CW_153</t>
  </si>
  <si>
    <t>CW_154</t>
  </si>
  <si>
    <t>CW_155</t>
  </si>
  <si>
    <t>CW_156</t>
  </si>
  <si>
    <t>CW_157</t>
  </si>
  <si>
    <t>CW_158</t>
  </si>
  <si>
    <t>CW_160</t>
  </si>
  <si>
    <t>CW_161</t>
  </si>
  <si>
    <t>CW_162</t>
  </si>
  <si>
    <t>CW_163</t>
  </si>
  <si>
    <t>CW_164</t>
  </si>
  <si>
    <t>CW_165</t>
  </si>
  <si>
    <t>CW_166</t>
  </si>
  <si>
    <t>CW_167</t>
  </si>
  <si>
    <t>CW_168</t>
  </si>
  <si>
    <t>CW_169</t>
  </si>
  <si>
    <t>CW_170</t>
  </si>
  <si>
    <t>CW_171</t>
  </si>
  <si>
    <t>CW_172</t>
  </si>
  <si>
    <t>CW_173</t>
  </si>
  <si>
    <t>CW_174</t>
  </si>
  <si>
    <t>CW_175</t>
  </si>
  <si>
    <t>CW_176</t>
  </si>
  <si>
    <t>CW_177</t>
  </si>
  <si>
    <t>CW_178</t>
  </si>
  <si>
    <t>CW_179</t>
  </si>
  <si>
    <t>CW_180</t>
  </si>
  <si>
    <t>CW_181</t>
  </si>
  <si>
    <t>CW_182</t>
  </si>
  <si>
    <t>CW_183</t>
  </si>
  <si>
    <t>CW_184</t>
  </si>
  <si>
    <t>CW_185</t>
  </si>
  <si>
    <t>CW_186</t>
  </si>
  <si>
    <t>CW_187</t>
  </si>
  <si>
    <t>CW_188</t>
  </si>
  <si>
    <t>CW_189</t>
  </si>
  <si>
    <t>CW_190</t>
  </si>
  <si>
    <t>CW_191</t>
  </si>
  <si>
    <t>CW_192</t>
  </si>
  <si>
    <t>CW_193</t>
  </si>
  <si>
    <t>CW_194</t>
  </si>
  <si>
    <t>CW_195</t>
  </si>
  <si>
    <t>CW_196</t>
  </si>
  <si>
    <t>CW_197</t>
  </si>
  <si>
    <t>CW_198</t>
  </si>
  <si>
    <t>CW_199</t>
  </si>
  <si>
    <t>CW_200</t>
  </si>
  <si>
    <t>CW_201</t>
  </si>
  <si>
    <t>CW_202</t>
  </si>
  <si>
    <t>CW_203</t>
  </si>
  <si>
    <t>CW_204</t>
  </si>
  <si>
    <t>CW_205</t>
  </si>
  <si>
    <t>CW_206</t>
  </si>
  <si>
    <t>14171533-001</t>
  </si>
  <si>
    <t>13.1</t>
  </si>
  <si>
    <t>14171533-002</t>
  </si>
  <si>
    <t>0.57</t>
  </si>
  <si>
    <t>14171533-003</t>
  </si>
  <si>
    <t>0.49</t>
  </si>
  <si>
    <t>12.8</t>
  </si>
  <si>
    <t>14171533-004</t>
  </si>
  <si>
    <t>14171535-001</t>
  </si>
  <si>
    <t>13.2</t>
  </si>
  <si>
    <t>14171535-002</t>
  </si>
  <si>
    <t>14171535-003</t>
  </si>
  <si>
    <t>0.33</t>
  </si>
  <si>
    <t>14171535-004</t>
  </si>
  <si>
    <t>14172407-001</t>
  </si>
  <si>
    <t>6.82</t>
  </si>
  <si>
    <t>14172407-002</t>
  </si>
  <si>
    <t>6.98</t>
  </si>
  <si>
    <t>14172407-003</t>
  </si>
  <si>
    <t>4.25</t>
  </si>
  <si>
    <t>14172407-004</t>
  </si>
  <si>
    <t>12.5</t>
  </si>
  <si>
    <t>14172407-005</t>
  </si>
  <si>
    <t>12.9</t>
  </si>
  <si>
    <t>7.44</t>
  </si>
  <si>
    <t>14172407-006</t>
  </si>
  <si>
    <t>8.7</t>
  </si>
  <si>
    <t>13.8</t>
  </si>
  <si>
    <t>14172407-007</t>
  </si>
  <si>
    <t>5.25</t>
  </si>
  <si>
    <t>14172407-008</t>
  </si>
  <si>
    <t>11.9</t>
  </si>
  <si>
    <t>14172407-009</t>
  </si>
  <si>
    <t>0.76</t>
  </si>
  <si>
    <t>0.51</t>
  </si>
  <si>
    <t>14173590-001</t>
  </si>
  <si>
    <t>0.66</t>
  </si>
  <si>
    <t>7.48</t>
  </si>
  <si>
    <t>6.99</t>
  </si>
  <si>
    <t>14173590-002</t>
  </si>
  <si>
    <t>8.81</t>
  </si>
  <si>
    <t>14173590-003</t>
  </si>
  <si>
    <t>14173590-004</t>
  </si>
  <si>
    <t>9.4</t>
  </si>
  <si>
    <t>14173590-005</t>
  </si>
  <si>
    <t>0.53</t>
  </si>
  <si>
    <t>7.21</t>
  </si>
  <si>
    <t>14212205-001</t>
  </si>
  <si>
    <t>0.09</t>
  </si>
  <si>
    <t>6.95</t>
  </si>
  <si>
    <t>14212205-002</t>
  </si>
  <si>
    <t>0.39</t>
  </si>
  <si>
    <t>14212205-003</t>
  </si>
  <si>
    <t>14212205-004</t>
  </si>
  <si>
    <t>0.63</t>
  </si>
  <si>
    <t>14212205-005</t>
  </si>
  <si>
    <t>3.08</t>
  </si>
  <si>
    <t>14212205-006</t>
  </si>
  <si>
    <t>7.18</t>
  </si>
  <si>
    <t>14212206-001</t>
  </si>
  <si>
    <t>7.9</t>
  </si>
  <si>
    <t>14212206-002</t>
  </si>
  <si>
    <t>0.35</t>
  </si>
  <si>
    <t>14213114-001</t>
  </si>
  <si>
    <t>3.51</t>
  </si>
  <si>
    <t>14213114-002</t>
  </si>
  <si>
    <t>-1.35</t>
  </si>
  <si>
    <t>14213114-003</t>
  </si>
  <si>
    <t>21.7</t>
  </si>
  <si>
    <t>7.33</t>
  </si>
  <si>
    <t>14213114-004</t>
  </si>
  <si>
    <t>14213114-005</t>
  </si>
  <si>
    <t>14213114-006</t>
  </si>
  <si>
    <t>14213115-001</t>
  </si>
  <si>
    <t>14213115-002</t>
  </si>
  <si>
    <t>14214080-001</t>
  </si>
  <si>
    <t>14214080-002</t>
  </si>
  <si>
    <t>14214080-003</t>
  </si>
  <si>
    <t>8.6</t>
  </si>
  <si>
    <t>14214080-004</t>
  </si>
  <si>
    <t>7.06</t>
  </si>
  <si>
    <t>14214080-005</t>
  </si>
  <si>
    <t>8.9</t>
  </si>
  <si>
    <t>14214080-006</t>
  </si>
  <si>
    <t>0.99</t>
  </si>
  <si>
    <t>14243903-001</t>
  </si>
  <si>
    <t>7.2</t>
  </si>
  <si>
    <t>1.65</t>
  </si>
  <si>
    <t>8.1</t>
  </si>
  <si>
    <t>7.16</t>
  </si>
  <si>
    <t>14243903-002</t>
  </si>
  <si>
    <t>0.29</t>
  </si>
  <si>
    <t>14243904-001</t>
  </si>
  <si>
    <t>7.4</t>
  </si>
  <si>
    <t>14243904-002</t>
  </si>
  <si>
    <t>14243904-003</t>
  </si>
  <si>
    <t>14243904-004</t>
  </si>
  <si>
    <t>7.22</t>
  </si>
  <si>
    <t>14243904-005</t>
  </si>
  <si>
    <t>14244713-001</t>
  </si>
  <si>
    <t>6.58</t>
  </si>
  <si>
    <t>14244713-002</t>
  </si>
  <si>
    <t>14244713-003</t>
  </si>
  <si>
    <t>14244713-004</t>
  </si>
  <si>
    <t>14244713-005</t>
  </si>
  <si>
    <t>14244713-006</t>
  </si>
  <si>
    <t>4.99</t>
  </si>
  <si>
    <t>14244713-007</t>
  </si>
  <si>
    <t>14244714-001</t>
  </si>
  <si>
    <t>0.72</t>
  </si>
  <si>
    <t>14245611-001</t>
  </si>
  <si>
    <t>5.11</t>
  </si>
  <si>
    <t>14245611-002</t>
  </si>
  <si>
    <t>14245611-003</t>
  </si>
  <si>
    <t>14245611-004</t>
  </si>
  <si>
    <t>14245611-005</t>
  </si>
  <si>
    <t>5.86</t>
  </si>
  <si>
    <t>14245611-006</t>
  </si>
  <si>
    <t>14245613-001</t>
  </si>
  <si>
    <t>14280168-001</t>
  </si>
  <si>
    <t>1.89</t>
  </si>
  <si>
    <t>14.1</t>
  </si>
  <si>
    <t>14280168-002</t>
  </si>
  <si>
    <t>14280168-003</t>
  </si>
  <si>
    <t>14.2</t>
  </si>
  <si>
    <t>14280168-004</t>
  </si>
  <si>
    <t>13.9</t>
  </si>
  <si>
    <t>14280168-005</t>
  </si>
  <si>
    <t>0.56</t>
  </si>
  <si>
    <t>7.29</t>
  </si>
  <si>
    <t>14280168-006</t>
  </si>
  <si>
    <t>4.63</t>
  </si>
  <si>
    <t>14280168-007</t>
  </si>
  <si>
    <t>14280168-008</t>
  </si>
  <si>
    <t>14280780-001</t>
  </si>
  <si>
    <t>14280780-002</t>
  </si>
  <si>
    <t>4.44</t>
  </si>
  <si>
    <t>14280780-003</t>
  </si>
  <si>
    <t>14280780-004</t>
  </si>
  <si>
    <t>5.88</t>
  </si>
  <si>
    <t>14280780-005</t>
  </si>
  <si>
    <t>14280780-006</t>
  </si>
  <si>
    <t>6.52</t>
  </si>
  <si>
    <t>14280780-007</t>
  </si>
  <si>
    <t>1.36</t>
  </si>
  <si>
    <t>14281821-001</t>
  </si>
  <si>
    <t>14281821-002</t>
  </si>
  <si>
    <t>1.06</t>
  </si>
  <si>
    <t>14281821-003</t>
  </si>
  <si>
    <t>14281821-004</t>
  </si>
  <si>
    <t>0.015</t>
  </si>
  <si>
    <t>2.11</t>
  </si>
  <si>
    <t>-3.8</t>
  </si>
  <si>
    <t>6.81</t>
  </si>
  <si>
    <t>14281821-005</t>
  </si>
  <si>
    <t>14281821-006</t>
  </si>
  <si>
    <t>2.32</t>
  </si>
  <si>
    <t>14281821-007</t>
  </si>
  <si>
    <t>14316878-001</t>
  </si>
  <si>
    <t>14316880-001</t>
  </si>
  <si>
    <t>22.1</t>
  </si>
  <si>
    <t>14316880-002</t>
  </si>
  <si>
    <t>20.9</t>
  </si>
  <si>
    <t>14316880-003</t>
  </si>
  <si>
    <t>21.8</t>
  </si>
  <si>
    <t>14316880-004</t>
  </si>
  <si>
    <t>0.96</t>
  </si>
  <si>
    <t>-5.9</t>
  </si>
  <si>
    <t>7.15</t>
  </si>
  <si>
    <t>14316880-005</t>
  </si>
  <si>
    <t>2.09</t>
  </si>
  <si>
    <t>21.6</t>
  </si>
  <si>
    <t>-1.7</t>
  </si>
  <si>
    <t>14316880-006</t>
  </si>
  <si>
    <t>14317805-001</t>
  </si>
  <si>
    <t>14317805-002</t>
  </si>
  <si>
    <t>21.5</t>
  </si>
  <si>
    <t>14317805-003</t>
  </si>
  <si>
    <t>7.28</t>
  </si>
  <si>
    <t>14317805-004</t>
  </si>
  <si>
    <t>7.14</t>
  </si>
  <si>
    <t>14317805-005</t>
  </si>
  <si>
    <t>3.88</t>
  </si>
  <si>
    <t>14317805-006</t>
  </si>
  <si>
    <t>7.13</t>
  </si>
  <si>
    <t>14317805-007</t>
  </si>
  <si>
    <t>4.15</t>
  </si>
  <si>
    <t>21.9</t>
  </si>
  <si>
    <t>14317805-008</t>
  </si>
  <si>
    <t>14318701-001</t>
  </si>
  <si>
    <t>14318701-002</t>
  </si>
  <si>
    <t>2.89</t>
  </si>
  <si>
    <t>21.1</t>
  </si>
  <si>
    <t>14318701-003</t>
  </si>
  <si>
    <t>14318701-004</t>
  </si>
  <si>
    <t>3.77</t>
  </si>
  <si>
    <t>-2.8</t>
  </si>
  <si>
    <t>14318701-005</t>
  </si>
  <si>
    <t>14318701-006</t>
  </si>
  <si>
    <t>5.21</t>
  </si>
  <si>
    <t>20.8</t>
  </si>
  <si>
    <t>14318701-007</t>
  </si>
  <si>
    <t>14349443-001</t>
  </si>
  <si>
    <t>14349444-001</t>
  </si>
  <si>
    <t>14349444-002</t>
  </si>
  <si>
    <t>14349444-003</t>
  </si>
  <si>
    <t>20.2</t>
  </si>
  <si>
    <t>14349444-004</t>
  </si>
  <si>
    <t>7.31</t>
  </si>
  <si>
    <t>14349444-005</t>
  </si>
  <si>
    <t>14349444-006</t>
  </si>
  <si>
    <t>14349444-007</t>
  </si>
  <si>
    <t>22.5</t>
  </si>
  <si>
    <t>14350115-001</t>
  </si>
  <si>
    <t>1.16</t>
  </si>
  <si>
    <t>22.4</t>
  </si>
  <si>
    <t>14350115-002</t>
  </si>
  <si>
    <t>1.66</t>
  </si>
  <si>
    <t>14350115-003</t>
  </si>
  <si>
    <t>22.7</t>
  </si>
  <si>
    <t>-0.82</t>
  </si>
  <si>
    <t>14350115-004</t>
  </si>
  <si>
    <t>1.33</t>
  </si>
  <si>
    <t>14350115-005</t>
  </si>
  <si>
    <t>14350115-006</t>
  </si>
  <si>
    <t>2.33</t>
  </si>
  <si>
    <t>14350115-007</t>
  </si>
  <si>
    <t>14350115-008</t>
  </si>
  <si>
    <t>3.89</t>
  </si>
  <si>
    <t>14350727-001</t>
  </si>
  <si>
    <t>1.27</t>
  </si>
  <si>
    <t>14350727-002</t>
  </si>
  <si>
    <t>14350727-003</t>
  </si>
  <si>
    <t>7.41</t>
  </si>
  <si>
    <t>14350727-004</t>
  </si>
  <si>
    <t>14350727-005</t>
  </si>
  <si>
    <t>14392159-001</t>
  </si>
  <si>
    <t>14392180-001</t>
  </si>
  <si>
    <t>3.17</t>
  </si>
  <si>
    <t>14392180-002</t>
  </si>
  <si>
    <t>14392180-003</t>
  </si>
  <si>
    <t>14392180-004</t>
  </si>
  <si>
    <t>14392180-005</t>
  </si>
  <si>
    <t>5.35</t>
  </si>
  <si>
    <t>14392180-006</t>
  </si>
  <si>
    <t>1.13</t>
  </si>
  <si>
    <t>14392839-001</t>
  </si>
  <si>
    <t>2.56</t>
  </si>
  <si>
    <t>14392839-002</t>
  </si>
  <si>
    <t>1.41</t>
  </si>
  <si>
    <t>14392839-003</t>
  </si>
  <si>
    <t>1.99</t>
  </si>
  <si>
    <t>14392839-004</t>
  </si>
  <si>
    <t>14392839-005</t>
  </si>
  <si>
    <t>2.45</t>
  </si>
  <si>
    <t>14392839-006</t>
  </si>
  <si>
    <t>14392839-007</t>
  </si>
  <si>
    <t>2.54</t>
  </si>
  <si>
    <t>14392839-008</t>
  </si>
  <si>
    <t>14393656-001</t>
  </si>
  <si>
    <t>4.28</t>
  </si>
  <si>
    <t>14393656-002</t>
  </si>
  <si>
    <t>6.22</t>
  </si>
  <si>
    <t>14393656-003</t>
  </si>
  <si>
    <t>14393656-004</t>
  </si>
  <si>
    <t>2.14</t>
  </si>
  <si>
    <t>14393656-005</t>
  </si>
  <si>
    <t>14393656-006</t>
  </si>
  <si>
    <t>6.09</t>
  </si>
  <si>
    <t>14393656-007</t>
  </si>
  <si>
    <t>14424768-001</t>
  </si>
  <si>
    <t>14424776-001</t>
  </si>
  <si>
    <t>1.05</t>
  </si>
  <si>
    <t>14424776-002</t>
  </si>
  <si>
    <t>14424776-003</t>
  </si>
  <si>
    <t>1.19</t>
  </si>
  <si>
    <t>14424776-004</t>
  </si>
  <si>
    <t>14424776-005</t>
  </si>
  <si>
    <t>14424776-006</t>
  </si>
  <si>
    <t>5.22</t>
  </si>
  <si>
    <t>15.9</t>
  </si>
  <si>
    <t>14424776-007</t>
  </si>
  <si>
    <t>14424776-008</t>
  </si>
  <si>
    <t>3.46</t>
  </si>
  <si>
    <t>14424776-009</t>
  </si>
  <si>
    <t>14424776-010</t>
  </si>
  <si>
    <t>14425465-001</t>
  </si>
  <si>
    <t>7.91</t>
  </si>
  <si>
    <t>14425465-002</t>
  </si>
  <si>
    <t>2.61</t>
  </si>
  <si>
    <t>14425465-003</t>
  </si>
  <si>
    <t>7.62</t>
  </si>
  <si>
    <t>14425465-004</t>
  </si>
  <si>
    <t>14425465-005</t>
  </si>
  <si>
    <t>6.01</t>
  </si>
  <si>
    <t>14425465-006</t>
  </si>
  <si>
    <t>2.22</t>
  </si>
  <si>
    <t>14425465-007</t>
  </si>
  <si>
    <t>1.69</t>
  </si>
  <si>
    <t>14425465-008</t>
  </si>
  <si>
    <t>3.32</t>
  </si>
  <si>
    <t>14426548-001</t>
  </si>
  <si>
    <t>3.99</t>
  </si>
  <si>
    <t>14426548-002</t>
  </si>
  <si>
    <t>5.78</t>
  </si>
  <si>
    <t>14426548-003</t>
  </si>
  <si>
    <t>1.39</t>
  </si>
  <si>
    <t>CW_1</t>
  </si>
  <si>
    <t>CW_2</t>
  </si>
  <si>
    <t>CW_3</t>
  </si>
  <si>
    <t>CW_4</t>
  </si>
  <si>
    <t>CW_5</t>
  </si>
  <si>
    <t>CW_6</t>
  </si>
  <si>
    <t>CW_7</t>
  </si>
  <si>
    <t>CW_8</t>
  </si>
  <si>
    <t>NA</t>
  </si>
  <si>
    <t>0.053</t>
  </si>
  <si>
    <t>0.075</t>
  </si>
  <si>
    <t>0.014</t>
  </si>
  <si>
    <t>0.022</t>
  </si>
  <si>
    <t>0.054</t>
  </si>
  <si>
    <t>0.026</t>
  </si>
  <si>
    <t>0.051</t>
  </si>
  <si>
    <t>0.023</t>
  </si>
  <si>
    <t>0.019</t>
  </si>
  <si>
    <t>Sample_Names</t>
  </si>
  <si>
    <t>CW1MF01_P0_May_2024</t>
  </si>
  <si>
    <t>CW1MF02_P0_May_2024</t>
  </si>
  <si>
    <t>CW1MF03_P0_May_2024</t>
  </si>
  <si>
    <t>CW1MF04_P0_May_2024</t>
  </si>
  <si>
    <t>CW1MF09_P0_May_2024</t>
  </si>
  <si>
    <t>CW1MF10_P0_May_2024</t>
  </si>
  <si>
    <t>CW1MF11_P0_May_2024</t>
  </si>
  <si>
    <t>CW1MF12_P0_May_2024</t>
  </si>
  <si>
    <t>CWinf_0_August_2024</t>
  </si>
  <si>
    <t>CW1eff_0_August_2024</t>
  </si>
  <si>
    <t>CW2eff_0_August_2024</t>
  </si>
  <si>
    <t>CW3eff_0_August_2024</t>
  </si>
  <si>
    <t>CW1MF01_0_August_2024</t>
  </si>
  <si>
    <t>CW1MF02_0_August_2024</t>
  </si>
  <si>
    <t>CW1MF05_0_August_2024</t>
  </si>
  <si>
    <t>CW1MF06_0_August_2024</t>
  </si>
  <si>
    <t>CW1MF09_0_August_2024</t>
  </si>
  <si>
    <t>CW1MF10_0_August_2024</t>
  </si>
  <si>
    <t>CW2MF01_0_August_2024</t>
  </si>
  <si>
    <t>CW2MF02_0_August_2024</t>
  </si>
  <si>
    <t>CW2MF05_0_August_2024</t>
  </si>
  <si>
    <t>CW2MF06_0_August_2024</t>
  </si>
  <si>
    <t>CW2MF09_0_August_2024</t>
  </si>
  <si>
    <t>CW2MF10_0_August_2024</t>
  </si>
  <si>
    <t>CW3MF01_0_August_2024</t>
  </si>
  <si>
    <t>CW3MF02_0_August_2024</t>
  </si>
  <si>
    <t>CW3MF05_0_August_2024</t>
  </si>
  <si>
    <t>CW3MF06_0_August_2024</t>
  </si>
  <si>
    <t>CW3MF09_0_August_2024</t>
  </si>
  <si>
    <t>CW3MF10_0_August_2024</t>
  </si>
  <si>
    <t>CWinf_1_October_2024</t>
  </si>
  <si>
    <t>CW1eff_1_October_2024</t>
  </si>
  <si>
    <t>CW2eff_1_October_2024</t>
  </si>
  <si>
    <t>CW3eff_1_October_2024</t>
  </si>
  <si>
    <t>CW1MF01_1_October_2024</t>
  </si>
  <si>
    <t>CW1MF02_1_October_2024</t>
  </si>
  <si>
    <t>CW1MF05_1_October_2024</t>
  </si>
  <si>
    <t>CW1MF06_1_October_2024</t>
  </si>
  <si>
    <t>CW1MF09_1_October_2024</t>
  </si>
  <si>
    <t>CW1MF10_1_October_2024</t>
  </si>
  <si>
    <t>CW2MF01_1_October_2024</t>
  </si>
  <si>
    <t>CW2MF02_1_October_2024</t>
  </si>
  <si>
    <t>CW2MF05_1_October_2024</t>
  </si>
  <si>
    <t>CW2MF06_1_October_2024</t>
  </si>
  <si>
    <t>CW2MF09_1_October_2024</t>
  </si>
  <si>
    <t>CW2MF10_1_October_2024</t>
  </si>
  <si>
    <t>CW3MF01_1_October_2024</t>
  </si>
  <si>
    <t>CW3MF02_1_October_2024</t>
  </si>
  <si>
    <t>CW3MF05_1_October_2024</t>
  </si>
  <si>
    <t>CW3MF06_1_October_2024</t>
  </si>
  <si>
    <t>CW3MF09_1_October_2024</t>
  </si>
  <si>
    <t>CW3MF10_1_October_2024</t>
  </si>
  <si>
    <t>CWinf_2_December_2024</t>
  </si>
  <si>
    <t>CW1eff_2_December_2024</t>
  </si>
  <si>
    <t>CW2eff_2_December_2024</t>
  </si>
  <si>
    <t>CW3eff_2_December_2024</t>
  </si>
  <si>
    <t>CW1MF01_2_December_2024</t>
  </si>
  <si>
    <t>CW1MF02_2_December_2024</t>
  </si>
  <si>
    <t>CW1MF05_2_December_2024</t>
  </si>
  <si>
    <t>CW1MF06_2_December_2024</t>
  </si>
  <si>
    <t>CW1MF09_2_December_2024</t>
  </si>
  <si>
    <t>CW1MF10_2_December_2024</t>
  </si>
  <si>
    <t>CW2MF01_2_December_2024</t>
  </si>
  <si>
    <t>CW2MF02_2_December_2024</t>
  </si>
  <si>
    <t>CW2MF05_2_December_2024</t>
  </si>
  <si>
    <t>CW2MF06_2_December_2024</t>
  </si>
  <si>
    <t>CW2MF09_2_December_2024</t>
  </si>
  <si>
    <t>CW2MF10_2_December_2024</t>
  </si>
  <si>
    <t>CW3MF01_2_December_2024</t>
  </si>
  <si>
    <t>CW3MF02_2_December_2024</t>
  </si>
  <si>
    <t>CW3MF05_2_December_2024</t>
  </si>
  <si>
    <t>CW3MF06_2_December_2024</t>
  </si>
  <si>
    <t>CW3MF09_2_December_2024</t>
  </si>
  <si>
    <t>CW3MF10_2_December_2024</t>
  </si>
  <si>
    <t>CWinf_3_February_2025</t>
  </si>
  <si>
    <t>CW1eff_3_February_2025</t>
  </si>
  <si>
    <t>CW2eff_3_February_2025</t>
  </si>
  <si>
    <t>CW3eff_3_February_2025</t>
  </si>
  <si>
    <t>CW1MF01_3_February_2025</t>
  </si>
  <si>
    <t>CW1MF02_3_February_2025</t>
  </si>
  <si>
    <t>CW1MF05_3_February_2025</t>
  </si>
  <si>
    <t>CW1MF06_3_February_2025</t>
  </si>
  <si>
    <t>CW1MF09_3_February_2025</t>
  </si>
  <si>
    <t>CW1MF10_3_February_2025</t>
  </si>
  <si>
    <t>CW2MF01_3_February_2025</t>
  </si>
  <si>
    <t>CW2MF02_3_February_2025</t>
  </si>
  <si>
    <t>CW2MF05_3_February_2025</t>
  </si>
  <si>
    <t>CW2MF06_3_February_2025</t>
  </si>
  <si>
    <t>CW2MF09_3_February_2025</t>
  </si>
  <si>
    <t>CW2MF10_3_February_2025</t>
  </si>
  <si>
    <t>CW3MF01_3_February_2025</t>
  </si>
  <si>
    <t>CW3MF02_3_February_2025</t>
  </si>
  <si>
    <t>CW3MF05_3_February_2025</t>
  </si>
  <si>
    <t>CW3MF06_3_February_2025</t>
  </si>
  <si>
    <t>CW3MF09_3_February_2025</t>
  </si>
  <si>
    <t>CW3MF10_3_February_2025</t>
  </si>
  <si>
    <t>CWinf_4_April_2025</t>
  </si>
  <si>
    <t>CW1eff_4_April_2025</t>
  </si>
  <si>
    <t>CW2eff_4_April_2025</t>
  </si>
  <si>
    <t>CW3eff_4_April_2025</t>
  </si>
  <si>
    <t>CW1MF01_4_April_2025</t>
  </si>
  <si>
    <t>CW1MF02_4_April_2025</t>
  </si>
  <si>
    <t>CW1MF05_4_April_2025</t>
  </si>
  <si>
    <t>CW1MF06_4_April_2025</t>
  </si>
  <si>
    <t>CW1MF09_4_April_2025</t>
  </si>
  <si>
    <t>CW1MF10_4_April_2025</t>
  </si>
  <si>
    <t>CW2MF01_4_April_2025</t>
  </si>
  <si>
    <t>CW2MF02_4_April_2025</t>
  </si>
  <si>
    <t>CW2MF05_4_April_2025</t>
  </si>
  <si>
    <t>CW2MF06_4_April_2025</t>
  </si>
  <si>
    <t>CW2MF09_4_April_2025</t>
  </si>
  <si>
    <t>CW2MF10_4_April_2025</t>
  </si>
  <si>
    <t>CW3MF01_4_April_2025</t>
  </si>
  <si>
    <t>CW3MF02_4_April_2025</t>
  </si>
  <si>
    <t>CW3MF05_4_April_2025</t>
  </si>
  <si>
    <t>CW3MF06_4_April_2025</t>
  </si>
  <si>
    <t>CW3MF09_4_April_2025</t>
  </si>
  <si>
    <t>CW3MF10_4_April_2025</t>
  </si>
  <si>
    <t>CWinf_5_June_2025</t>
  </si>
  <si>
    <t>CW1eff_5_June_2025</t>
  </si>
  <si>
    <t>CW2eff_5_June_2025</t>
  </si>
  <si>
    <t>CW3eff_5_June_2025</t>
  </si>
  <si>
    <t>CW1MF01_5_June_2025</t>
  </si>
  <si>
    <t>CW1MF02_5_June_2025</t>
  </si>
  <si>
    <t>CW1MF05_5_June_2025</t>
  </si>
  <si>
    <t>CW1MF06_5_June_2025</t>
  </si>
  <si>
    <t>CW1MF09_5_June_2025</t>
  </si>
  <si>
    <t>CW1MF10_5_June_2025</t>
  </si>
  <si>
    <t>CW2MF01_5_June_2025</t>
  </si>
  <si>
    <t>CW2MF02_5_June_2025</t>
  </si>
  <si>
    <t>CW2MF05_5_June_2025</t>
  </si>
  <si>
    <t>CW2MF06_5_June_2025</t>
  </si>
  <si>
    <t>CW2MF09_5_June_2025</t>
  </si>
  <si>
    <t>CW2MF10_5_June_2025</t>
  </si>
  <si>
    <t>CW3MF01_5_June_2025</t>
  </si>
  <si>
    <t>CW3MF02_5_June_2025</t>
  </si>
  <si>
    <t>CW3MF05_5_June_2025</t>
  </si>
  <si>
    <t>CW3MF06_5_June_2025</t>
  </si>
  <si>
    <t>CW3MF09_5_June_2025</t>
  </si>
  <si>
    <t>CW3MF10_5_June_2025</t>
  </si>
  <si>
    <t>CWinf_6_August_2025</t>
  </si>
  <si>
    <t>CW1eff_6_August_2025</t>
  </si>
  <si>
    <t>CW2eff_6_August_2025</t>
  </si>
  <si>
    <t>CW3eff_6_August_2025</t>
  </si>
  <si>
    <t>CW1MF01_6_August_2025</t>
  </si>
  <si>
    <t>CW1MF02_6_August_2025</t>
  </si>
  <si>
    <t>CW1MF05_6_August_2025</t>
  </si>
  <si>
    <t>CW1MF06_6_August_2025</t>
  </si>
  <si>
    <t>CW1MF09_6_August_2025</t>
  </si>
  <si>
    <t>CW1MF10_6_August_2025</t>
  </si>
  <si>
    <t>CW2MF01_6_August_2025</t>
  </si>
  <si>
    <t>CW2MF02_6_August_2025</t>
  </si>
  <si>
    <t>CW2MF05_6_August_2025</t>
  </si>
  <si>
    <t>CW2MF06_6_August_2025</t>
  </si>
  <si>
    <t>CW2MF09_6_August_2025</t>
  </si>
  <si>
    <t>CW2MF10_6_August_2025</t>
  </si>
  <si>
    <t>CW3MF01_6_August_2025</t>
  </si>
  <si>
    <t>CW3MF02_6_August_2025</t>
  </si>
  <si>
    <t>CW3MF05_6_August_2025</t>
  </si>
  <si>
    <t>CW3MF06_6_August_2025</t>
  </si>
  <si>
    <t>CW3MF09_6_August_2025</t>
  </si>
  <si>
    <t>CW3MF10_6_August_2025</t>
  </si>
  <si>
    <t>CWinf_7_October_2025</t>
  </si>
  <si>
    <t>CW1eff_7_October_2025</t>
  </si>
  <si>
    <t>CW2eff_7_October_2025</t>
  </si>
  <si>
    <t>CW3eff_7_October_2025</t>
  </si>
  <si>
    <t>CW1MF01_7_October_2025</t>
  </si>
  <si>
    <t>CW1MF02_7_October_2025</t>
  </si>
  <si>
    <t>CW1MF05_7_October_2025</t>
  </si>
  <si>
    <t>CW1MF06_7_October_2025</t>
  </si>
  <si>
    <t>CW1MF09_7_October_2025</t>
  </si>
  <si>
    <t>CW1MF10_7_October_2025</t>
  </si>
  <si>
    <t>CW2MF01_7_October_2025</t>
  </si>
  <si>
    <t>CW2MF02_7_October_2025</t>
  </si>
  <si>
    <t>CW2MF05_7_October_2025</t>
  </si>
  <si>
    <t>CW2MF06_7_October_2025</t>
  </si>
  <si>
    <t>CW2MF09_7_October_2025</t>
  </si>
  <si>
    <t>CW2MF10_7_October_2025</t>
  </si>
  <si>
    <t>CW3MF01_7_October_2025</t>
  </si>
  <si>
    <t>CW3MF02_7_October_2025</t>
  </si>
  <si>
    <t>CW3MF05_7_October_2025</t>
  </si>
  <si>
    <t>CW3MF06_7_October_2025</t>
  </si>
  <si>
    <t>CW3MF09_7_October_2025</t>
  </si>
  <si>
    <t>CW3MF10_7_October_2025</t>
  </si>
  <si>
    <t>CWinf_8_December_2025</t>
  </si>
  <si>
    <t>CW1eff_8_December_2025</t>
  </si>
  <si>
    <t>CW2eff_8_December_2025</t>
  </si>
  <si>
    <t>CW3eff_8_December_2025</t>
  </si>
  <si>
    <t>CW1MF01_8_December_2025</t>
  </si>
  <si>
    <t>CW1MF02_8_December_2025</t>
  </si>
  <si>
    <t>CW1MF05_8_December_2025</t>
  </si>
  <si>
    <t>CW1MF06_8_December_2025</t>
  </si>
  <si>
    <t>CW1MF09_8_December_2025</t>
  </si>
  <si>
    <t>CW1MF10_8_December_2025</t>
  </si>
  <si>
    <t>CW2MF01_8_December_2025</t>
  </si>
  <si>
    <t>CW2MF02_8_December_2025</t>
  </si>
  <si>
    <t>CW2MF05_8_December_2025</t>
  </si>
  <si>
    <t>CW2MF06_8_December_2025</t>
  </si>
  <si>
    <t>CW2MF09_8_December_2025</t>
  </si>
  <si>
    <t>CW2MF10_8_December_2025</t>
  </si>
  <si>
    <t>CW3MF01_8_December_2025</t>
  </si>
  <si>
    <t>CW3MF02_8_December_2025</t>
  </si>
  <si>
    <t>CW3MF05_8_December_2025</t>
  </si>
  <si>
    <t>CW3MF06_8_December_2025</t>
  </si>
  <si>
    <t>CW3MF09_8_December_2025</t>
  </si>
  <si>
    <t>CW3MF10_8_December_2025</t>
  </si>
  <si>
    <t>CW_159</t>
  </si>
  <si>
    <t>Orvion_Sample_Names</t>
  </si>
  <si>
    <t>CW_Section</t>
  </si>
  <si>
    <t>CW_Number</t>
  </si>
  <si>
    <t>Linked_redox_Sensor</t>
  </si>
  <si>
    <t>Sample_depth</t>
  </si>
  <si>
    <t>Primerpairname</t>
  </si>
  <si>
    <t>Short_Name</t>
  </si>
  <si>
    <t>Sample_or_Control</t>
  </si>
  <si>
    <t>Timepoint</t>
  </si>
  <si>
    <t>Sampling_Date</t>
  </si>
  <si>
    <t>Season_Meterological</t>
  </si>
  <si>
    <t>Filtration_Volume_ml</t>
  </si>
  <si>
    <t>DNA_concentration</t>
  </si>
  <si>
    <t>Order_Treatment</t>
  </si>
  <si>
    <t>S7472</t>
  </si>
  <si>
    <t>Section_1</t>
  </si>
  <si>
    <t>CW1S1-1</t>
  </si>
  <si>
    <t>0.15-0.30</t>
  </si>
  <si>
    <t>515F806R</t>
  </si>
  <si>
    <t>CW1MF01_P0</t>
  </si>
  <si>
    <t>True Sample</t>
  </si>
  <si>
    <t>P0</t>
  </si>
  <si>
    <t>2024-05-27</t>
  </si>
  <si>
    <t>Spring</t>
  </si>
  <si>
    <t>S7473</t>
  </si>
  <si>
    <t>CW1S1-3-4</t>
  </si>
  <si>
    <t>0.60-0.80</t>
  </si>
  <si>
    <t>CW1MF02_P0</t>
  </si>
  <si>
    <t>S7474</t>
  </si>
  <si>
    <t>Section_2</t>
  </si>
  <si>
    <t>CW1S2-1</t>
  </si>
  <si>
    <t>CW1MF03_P0</t>
  </si>
  <si>
    <t>S7475</t>
  </si>
  <si>
    <t>CW1S2-3-4</t>
  </si>
  <si>
    <t>CW1MF04_P0</t>
  </si>
  <si>
    <t>S7476</t>
  </si>
  <si>
    <t>Section_3</t>
  </si>
  <si>
    <t>CW1S3-1</t>
  </si>
  <si>
    <t>CW1MF09_P0</t>
  </si>
  <si>
    <t>S7477</t>
  </si>
  <si>
    <t>CW1S3-3-4</t>
  </si>
  <si>
    <t>CW1MF10_P0</t>
  </si>
  <si>
    <t>S7478</t>
  </si>
  <si>
    <t>Section_4</t>
  </si>
  <si>
    <t>CW1S4-1</t>
  </si>
  <si>
    <t>CW1MF11_P0</t>
  </si>
  <si>
    <t>S7479</t>
  </si>
  <si>
    <t>CW1S4-3-4</t>
  </si>
  <si>
    <t>CW1MF12_P0</t>
  </si>
  <si>
    <t>S7660</t>
  </si>
  <si>
    <t>Section_0</t>
  </si>
  <si>
    <t>CW_0</t>
  </si>
  <si>
    <t>CWinf_0</t>
  </si>
  <si>
    <t>T0</t>
  </si>
  <si>
    <t>2024-08-12</t>
  </si>
  <si>
    <t>Summer</t>
  </si>
  <si>
    <t>S7661</t>
  </si>
  <si>
    <t>Section_5</t>
  </si>
  <si>
    <t>CW1eff_0</t>
  </si>
  <si>
    <t>S7662</t>
  </si>
  <si>
    <t>CW2eff_0</t>
  </si>
  <si>
    <t>S7663</t>
  </si>
  <si>
    <t>CW3eff_0</t>
  </si>
  <si>
    <t>S7664</t>
  </si>
  <si>
    <t>CW1MF01_0</t>
  </si>
  <si>
    <t>S7665</t>
  </si>
  <si>
    <t>CW1MF02_0</t>
  </si>
  <si>
    <t>S7666</t>
  </si>
  <si>
    <t>CW1MF05_0</t>
  </si>
  <si>
    <t>S7667</t>
  </si>
  <si>
    <t>CW1MF06_0</t>
  </si>
  <si>
    <t>S7668</t>
  </si>
  <si>
    <t>CW1MF09_0</t>
  </si>
  <si>
    <t>S7669</t>
  </si>
  <si>
    <t>CW1MF10_0</t>
  </si>
  <si>
    <t>S7670</t>
  </si>
  <si>
    <t>CW2S1-1</t>
  </si>
  <si>
    <t>CW2MF01_0</t>
  </si>
  <si>
    <t>S7671</t>
  </si>
  <si>
    <t>CW2S1-3-4</t>
  </si>
  <si>
    <t>CW2MF02_0</t>
  </si>
  <si>
    <t>S7672</t>
  </si>
  <si>
    <t>CW2S2-1</t>
  </si>
  <si>
    <t>CW2MF05_0</t>
  </si>
  <si>
    <t>S7673</t>
  </si>
  <si>
    <t>CW2S2-3-4</t>
  </si>
  <si>
    <t>CW2MF06_0</t>
  </si>
  <si>
    <t>S7674</t>
  </si>
  <si>
    <t>CW2S3-1</t>
  </si>
  <si>
    <t>CW2MF09_0</t>
  </si>
  <si>
    <t>S7675</t>
  </si>
  <si>
    <t>CW2S3-3-4</t>
  </si>
  <si>
    <t>CW2MF10_0</t>
  </si>
  <si>
    <t>S7676</t>
  </si>
  <si>
    <t>CW3S1-1</t>
  </si>
  <si>
    <t>CW3MF01_0</t>
  </si>
  <si>
    <t>S7677</t>
  </si>
  <si>
    <t>CW3S1-3-4</t>
  </si>
  <si>
    <t>CW3MF02_0</t>
  </si>
  <si>
    <t>S7678</t>
  </si>
  <si>
    <t>CW3S2-1</t>
  </si>
  <si>
    <t>CW3MF05_0</t>
  </si>
  <si>
    <t>S7679</t>
  </si>
  <si>
    <t>CW3S2-3-4</t>
  </si>
  <si>
    <t>CW3MF06_0</t>
  </si>
  <si>
    <t>S7680</t>
  </si>
  <si>
    <t>CW3S3-1</t>
  </si>
  <si>
    <t>CW3MF09_0</t>
  </si>
  <si>
    <t>S7681</t>
  </si>
  <si>
    <t>CW3S3-3-4</t>
  </si>
  <si>
    <t>CW3MF10_0</t>
  </si>
  <si>
    <t>S7816</t>
  </si>
  <si>
    <t>CWinf_1</t>
  </si>
  <si>
    <t>T1</t>
  </si>
  <si>
    <t>2024-10-15</t>
  </si>
  <si>
    <t>Autumn</t>
  </si>
  <si>
    <t>S7817</t>
  </si>
  <si>
    <t>CW1eff_1</t>
  </si>
  <si>
    <t>S7818</t>
  </si>
  <si>
    <t>CW2eff_1</t>
  </si>
  <si>
    <t>S7819</t>
  </si>
  <si>
    <t>CW3eff_1</t>
  </si>
  <si>
    <t>S7820</t>
  </si>
  <si>
    <t>CW1MF01_1</t>
  </si>
  <si>
    <t>S7821</t>
  </si>
  <si>
    <t>CW1MF02_1</t>
  </si>
  <si>
    <t>S7822</t>
  </si>
  <si>
    <t>CW1MF05_1</t>
  </si>
  <si>
    <t>S7823</t>
  </si>
  <si>
    <t>CW1MF06_1</t>
  </si>
  <si>
    <t>S7824</t>
  </si>
  <si>
    <t>CW1MF09_1</t>
  </si>
  <si>
    <t>S7825</t>
  </si>
  <si>
    <t>CW1MF10_1</t>
  </si>
  <si>
    <t>S7826</t>
  </si>
  <si>
    <t>CW2MF01_1</t>
  </si>
  <si>
    <t>S7827</t>
  </si>
  <si>
    <t>CW2MF02_1</t>
  </si>
  <si>
    <t>S7828</t>
  </si>
  <si>
    <t>CW2MF05_1</t>
  </si>
  <si>
    <t>S7829</t>
  </si>
  <si>
    <t>CW2MF06_1</t>
  </si>
  <si>
    <t>S7830</t>
  </si>
  <si>
    <t>CW2MF09_1</t>
  </si>
  <si>
    <t>S7831</t>
  </si>
  <si>
    <t>CW2MF10_1</t>
  </si>
  <si>
    <t>S7832</t>
  </si>
  <si>
    <t>CW3MF01_1</t>
  </si>
  <si>
    <t>S7833</t>
  </si>
  <si>
    <t>CW3MF02_1</t>
  </si>
  <si>
    <t>S7834</t>
  </si>
  <si>
    <t>CW3MF05_1</t>
  </si>
  <si>
    <t>S7835</t>
  </si>
  <si>
    <t>CW3MF06_1</t>
  </si>
  <si>
    <t>S7836</t>
  </si>
  <si>
    <t>CW3MF09_1</t>
  </si>
  <si>
    <t>S7837</t>
  </si>
  <si>
    <t>CW3MF10_1</t>
  </si>
  <si>
    <t>S8056</t>
  </si>
  <si>
    <t>CWinf_2</t>
  </si>
  <si>
    <t>T2</t>
  </si>
  <si>
    <t>2024-12-17</t>
  </si>
  <si>
    <t>Winter</t>
  </si>
  <si>
    <t>S8057</t>
  </si>
  <si>
    <t>CW1eff_2</t>
  </si>
  <si>
    <t>S8058</t>
  </si>
  <si>
    <t>CW2eff_2</t>
  </si>
  <si>
    <t>S8059</t>
  </si>
  <si>
    <t>CW3eff_2</t>
  </si>
  <si>
    <t>S8060</t>
  </si>
  <si>
    <t>CW1MF01_2</t>
  </si>
  <si>
    <t>S8061</t>
  </si>
  <si>
    <t>CW1MF02_2</t>
  </si>
  <si>
    <t>S8062</t>
  </si>
  <si>
    <t>CW1MF05_2</t>
  </si>
  <si>
    <t>S8063</t>
  </si>
  <si>
    <t>CW1MF06_2</t>
  </si>
  <si>
    <t>S8064</t>
  </si>
  <si>
    <t>CW1MF09_2</t>
  </si>
  <si>
    <t>S8065</t>
  </si>
  <si>
    <t>CW1MF10_2</t>
  </si>
  <si>
    <t>S8066</t>
  </si>
  <si>
    <t>CW2MF01_2</t>
  </si>
  <si>
    <t>S8067</t>
  </si>
  <si>
    <t>CW2MF02_2</t>
  </si>
  <si>
    <t>S8068</t>
  </si>
  <si>
    <t>CW2MF05_2</t>
  </si>
  <si>
    <t>S8069</t>
  </si>
  <si>
    <t>CW2MF06_2</t>
  </si>
  <si>
    <t>S8070</t>
  </si>
  <si>
    <t>CW2MF09_2</t>
  </si>
  <si>
    <t>S8071</t>
  </si>
  <si>
    <t>CW2MF10_2</t>
  </si>
  <si>
    <t>S8072</t>
  </si>
  <si>
    <t>CW3MF01_2</t>
  </si>
  <si>
    <t>S8073</t>
  </si>
  <si>
    <t>CW3MF02_2</t>
  </si>
  <si>
    <t>S8074</t>
  </si>
  <si>
    <t>CW3MF05_2</t>
  </si>
  <si>
    <t>S8075</t>
  </si>
  <si>
    <t>CW3MF06_2</t>
  </si>
  <si>
    <t>S8076</t>
  </si>
  <si>
    <t>CW3MF09_2</t>
  </si>
  <si>
    <t>S8077</t>
  </si>
  <si>
    <t>CW3MF10_2</t>
  </si>
  <si>
    <t>S8395</t>
  </si>
  <si>
    <t>CWinf_3</t>
  </si>
  <si>
    <t>T3</t>
  </si>
  <si>
    <t>2025-02-17</t>
  </si>
  <si>
    <t>S8396</t>
  </si>
  <si>
    <t>CW1eff_3</t>
  </si>
  <si>
    <t>S8397</t>
  </si>
  <si>
    <t>CW2eff_3</t>
  </si>
  <si>
    <t>S8398</t>
  </si>
  <si>
    <t>CW3eff_3</t>
  </si>
  <si>
    <t>S8399</t>
  </si>
  <si>
    <t>CW1MF01_3</t>
  </si>
  <si>
    <t>S8400</t>
  </si>
  <si>
    <t>CW1MF02_3</t>
  </si>
  <si>
    <t>S8401</t>
  </si>
  <si>
    <t>CW1MF05_3</t>
  </si>
  <si>
    <t>S8402</t>
  </si>
  <si>
    <t>CW1MF06_3</t>
  </si>
  <si>
    <t>S8403</t>
  </si>
  <si>
    <t>CW1MF09_3</t>
  </si>
  <si>
    <t>S8404</t>
  </si>
  <si>
    <t>CW1MF10_3</t>
  </si>
  <si>
    <t>S8405</t>
  </si>
  <si>
    <t>CW2MF01_3</t>
  </si>
  <si>
    <t>S8406</t>
  </si>
  <si>
    <t>CW2MF02_3</t>
  </si>
  <si>
    <t>S8407</t>
  </si>
  <si>
    <t>CW2MF05_3</t>
  </si>
  <si>
    <t>S8408</t>
  </si>
  <si>
    <t>CW2MF06_3</t>
  </si>
  <si>
    <t>S8409</t>
  </si>
  <si>
    <t>CW2MF09_3</t>
  </si>
  <si>
    <t>S8410</t>
  </si>
  <si>
    <t>CW2MF10_3</t>
  </si>
  <si>
    <t>S8411</t>
  </si>
  <si>
    <t>CW3MF01_3</t>
  </si>
  <si>
    <t>S8412</t>
  </si>
  <si>
    <t>CW3MF02_3</t>
  </si>
  <si>
    <t>S8413</t>
  </si>
  <si>
    <t>CW3MF05_3</t>
  </si>
  <si>
    <t>S8414</t>
  </si>
  <si>
    <t>CW3MF06_3</t>
  </si>
  <si>
    <t>S8415</t>
  </si>
  <si>
    <t>CW3MF09_3</t>
  </si>
  <si>
    <t>S8416</t>
  </si>
  <si>
    <t>CW3MF10_3</t>
  </si>
  <si>
    <t>S8697</t>
  </si>
  <si>
    <t>CWinf_4</t>
  </si>
  <si>
    <t>T4</t>
  </si>
  <si>
    <t>2025-04-15</t>
  </si>
  <si>
    <t>S8698</t>
  </si>
  <si>
    <t>CW1eff_4</t>
  </si>
  <si>
    <t>S8699</t>
  </si>
  <si>
    <t>CW2eff_4</t>
  </si>
  <si>
    <t>S8700</t>
  </si>
  <si>
    <t>CW3eff_4</t>
  </si>
  <si>
    <t>S8701</t>
  </si>
  <si>
    <t>CW1MF01_4</t>
  </si>
  <si>
    <t>S8702</t>
  </si>
  <si>
    <t>CW1MF02_4</t>
  </si>
  <si>
    <t>S8703</t>
  </si>
  <si>
    <t>CW1MF05_4</t>
  </si>
  <si>
    <t>S8704</t>
  </si>
  <si>
    <t>CW1MF06_4</t>
  </si>
  <si>
    <t>S8705</t>
  </si>
  <si>
    <t>CW1MF09_4</t>
  </si>
  <si>
    <t>S8706</t>
  </si>
  <si>
    <t>CW1MF10_4</t>
  </si>
  <si>
    <t>S8707</t>
  </si>
  <si>
    <t>CW2MF01_4</t>
  </si>
  <si>
    <t>S8708</t>
  </si>
  <si>
    <t>CW2MF02_4</t>
  </si>
  <si>
    <t>S8709</t>
  </si>
  <si>
    <t>CW2MF05_4</t>
  </si>
  <si>
    <t>S8710</t>
  </si>
  <si>
    <t>CW2MF06_4</t>
  </si>
  <si>
    <t>S8711</t>
  </si>
  <si>
    <t>CW2MF09_4</t>
  </si>
  <si>
    <t>S8712</t>
  </si>
  <si>
    <t>CW2MF10_4</t>
  </si>
  <si>
    <t>S8713</t>
  </si>
  <si>
    <t>CW3MF01_4</t>
  </si>
  <si>
    <t>S8714</t>
  </si>
  <si>
    <t>CW3MF02_4</t>
  </si>
  <si>
    <t>S8715</t>
  </si>
  <si>
    <t>CW3MF05_4</t>
  </si>
  <si>
    <t>S8716</t>
  </si>
  <si>
    <t>CW3MF06_4</t>
  </si>
  <si>
    <t>S8717</t>
  </si>
  <si>
    <t>CW3MF09_4</t>
  </si>
  <si>
    <t>S8718</t>
  </si>
  <si>
    <t>CW3MF10_4</t>
  </si>
  <si>
    <t>S9050</t>
  </si>
  <si>
    <t>CWinf_5</t>
  </si>
  <si>
    <t>T5</t>
  </si>
  <si>
    <t>2025-06-16</t>
  </si>
  <si>
    <t>S9051</t>
  </si>
  <si>
    <t>CW1eff_5</t>
  </si>
  <si>
    <t>S9052</t>
  </si>
  <si>
    <t>CW2eff_5</t>
  </si>
  <si>
    <t>S9053</t>
  </si>
  <si>
    <t>CW3eff_5</t>
  </si>
  <si>
    <t>S9054</t>
  </si>
  <si>
    <t>CW1MF01_5</t>
  </si>
  <si>
    <t>S9055</t>
  </si>
  <si>
    <t>CW1MF02_5</t>
  </si>
  <si>
    <t>S9056</t>
  </si>
  <si>
    <t>CW1MF05_5</t>
  </si>
  <si>
    <t>S9057</t>
  </si>
  <si>
    <t>CW1MF06_5</t>
  </si>
  <si>
    <t>S9058</t>
  </si>
  <si>
    <t>CW1MF09_5</t>
  </si>
  <si>
    <t>S9059</t>
  </si>
  <si>
    <t>CW1MF10_5</t>
  </si>
  <si>
    <t>S9060</t>
  </si>
  <si>
    <t>CW2MF01_5</t>
  </si>
  <si>
    <t>S9061</t>
  </si>
  <si>
    <t>CW2MF02_5</t>
  </si>
  <si>
    <t>S9062</t>
  </si>
  <si>
    <t>CW2MF05_5</t>
  </si>
  <si>
    <t>S9063</t>
  </si>
  <si>
    <t>CW2MF06_5</t>
  </si>
  <si>
    <t>S9064</t>
  </si>
  <si>
    <t>CW2MF09_5</t>
  </si>
  <si>
    <t>S9065</t>
  </si>
  <si>
    <t>CW2MF10_5</t>
  </si>
  <si>
    <t>S9066</t>
  </si>
  <si>
    <t>CW3MF01_5</t>
  </si>
  <si>
    <t>S9067</t>
  </si>
  <si>
    <t>CW3MF02_5</t>
  </si>
  <si>
    <t>S9068</t>
  </si>
  <si>
    <t>CW3MF05_5</t>
  </si>
  <si>
    <t>S9069</t>
  </si>
  <si>
    <t>CW3MF06_5</t>
  </si>
  <si>
    <t>S9070</t>
  </si>
  <si>
    <t>CW3MF09_5</t>
  </si>
  <si>
    <t>S9071</t>
  </si>
  <si>
    <t>CW3MF10_5</t>
  </si>
  <si>
    <t>S9270</t>
  </si>
  <si>
    <t>CWinf_6</t>
  </si>
  <si>
    <t>T6</t>
  </si>
  <si>
    <t>2025-08-13</t>
  </si>
  <si>
    <t>S9271</t>
  </si>
  <si>
    <t>CW1eff_6</t>
  </si>
  <si>
    <t>S9272</t>
  </si>
  <si>
    <t>CW2eff_6</t>
  </si>
  <si>
    <t>S9273</t>
  </si>
  <si>
    <t>CW3eff_6</t>
  </si>
  <si>
    <t>S9274</t>
  </si>
  <si>
    <t>CW1MF01_6</t>
  </si>
  <si>
    <t>S9275</t>
  </si>
  <si>
    <t>CW1MF02_6</t>
  </si>
  <si>
    <t>S9276</t>
  </si>
  <si>
    <t>CW1MF05_6</t>
  </si>
  <si>
    <t>S9277</t>
  </si>
  <si>
    <t>CW1MF06_6</t>
  </si>
  <si>
    <t>S9278</t>
  </si>
  <si>
    <t>CW1MF09_6</t>
  </si>
  <si>
    <t>S9279</t>
  </si>
  <si>
    <t>CW1MF10_6</t>
  </si>
  <si>
    <t>S9280</t>
  </si>
  <si>
    <t>CW2MF01_6</t>
  </si>
  <si>
    <t>S9281</t>
  </si>
  <si>
    <t>CW2MF02_6</t>
  </si>
  <si>
    <t>S9282</t>
  </si>
  <si>
    <t>CW2MF05_6</t>
  </si>
  <si>
    <t>S9283</t>
  </si>
  <si>
    <t>CW2MF06_6</t>
  </si>
  <si>
    <t>S9284</t>
  </si>
  <si>
    <t>CW2MF09_6</t>
  </si>
  <si>
    <t>S9285</t>
  </si>
  <si>
    <t>CW2MF10_6</t>
  </si>
  <si>
    <t>S9286</t>
  </si>
  <si>
    <t>CW3MF01_6</t>
  </si>
  <si>
    <t>S9287</t>
  </si>
  <si>
    <t>CW3MF02_6</t>
  </si>
  <si>
    <t>S9288</t>
  </si>
  <si>
    <t>CW3MF05_6</t>
  </si>
  <si>
    <t>S9289</t>
  </si>
  <si>
    <t>CW3MF06_6</t>
  </si>
  <si>
    <t>S9290</t>
  </si>
  <si>
    <t>CW3MF09_6</t>
  </si>
  <si>
    <t>S9291</t>
  </si>
  <si>
    <t>CW3MF10_6</t>
  </si>
  <si>
    <t>S9456</t>
  </si>
  <si>
    <t>CWinf_7</t>
  </si>
  <si>
    <t>T7</t>
  </si>
  <si>
    <t>2025-10-27</t>
  </si>
  <si>
    <t>S9457</t>
  </si>
  <si>
    <t>CW1eff_7</t>
  </si>
  <si>
    <t>S9458</t>
  </si>
  <si>
    <t>CW2eff_7</t>
  </si>
  <si>
    <t>S9459</t>
  </si>
  <si>
    <t>CW3eff_7</t>
  </si>
  <si>
    <t>S9460</t>
  </si>
  <si>
    <t>CW1MF01_7</t>
  </si>
  <si>
    <t>S9461</t>
  </si>
  <si>
    <t>CW1MF02_7</t>
  </si>
  <si>
    <t>S9462</t>
  </si>
  <si>
    <t>CW1MF05_7</t>
  </si>
  <si>
    <t>S9463</t>
  </si>
  <si>
    <t>CW1MF06_7</t>
  </si>
  <si>
    <t>S9464</t>
  </si>
  <si>
    <t>CW1MF09_7</t>
  </si>
  <si>
    <t>S9465</t>
  </si>
  <si>
    <t>CW1MF10_7</t>
  </si>
  <si>
    <t>S9466</t>
  </si>
  <si>
    <t>CW2MF01_7</t>
  </si>
  <si>
    <t>S9467</t>
  </si>
  <si>
    <t>CW2MF02_7</t>
  </si>
  <si>
    <t>S9468</t>
  </si>
  <si>
    <t>CW2MF05_7</t>
  </si>
  <si>
    <t>S9469</t>
  </si>
  <si>
    <t>CW2MF06_7</t>
  </si>
  <si>
    <t>S9470</t>
  </si>
  <si>
    <t>CW2MF09_7</t>
  </si>
  <si>
    <t>S9471</t>
  </si>
  <si>
    <t>CW2MF10_7</t>
  </si>
  <si>
    <t>S9472</t>
  </si>
  <si>
    <t>CW3MF01_7</t>
  </si>
  <si>
    <t>S9473</t>
  </si>
  <si>
    <t>CW3MF02_7</t>
  </si>
  <si>
    <t>S9474</t>
  </si>
  <si>
    <t>CW3MF05_7</t>
  </si>
  <si>
    <t>S9475</t>
  </si>
  <si>
    <t>CW3MF06_7</t>
  </si>
  <si>
    <t>S9476</t>
  </si>
  <si>
    <t>CW3MF09_7</t>
  </si>
  <si>
    <t>S9477</t>
  </si>
  <si>
    <t>CW3MF10_7</t>
  </si>
  <si>
    <t>S9822</t>
  </si>
  <si>
    <t>CWinf_8</t>
  </si>
  <si>
    <t>T8</t>
  </si>
  <si>
    <t>2025-12-16</t>
  </si>
  <si>
    <t>S9823</t>
  </si>
  <si>
    <t>CW1eff_8</t>
  </si>
  <si>
    <t>S9824</t>
  </si>
  <si>
    <t>CW2eff_8</t>
  </si>
  <si>
    <t>S9825</t>
  </si>
  <si>
    <t>CW3eff_8</t>
  </si>
  <si>
    <t>S9826</t>
  </si>
  <si>
    <t>CW1MF01_8</t>
  </si>
  <si>
    <t>S9827</t>
  </si>
  <si>
    <t>CW1MF02_8</t>
  </si>
  <si>
    <t>S9828</t>
  </si>
  <si>
    <t>CW1MF05_8</t>
  </si>
  <si>
    <t>S9829</t>
  </si>
  <si>
    <t>CW1MF06_8</t>
  </si>
  <si>
    <t>S9830</t>
  </si>
  <si>
    <t>CW1MF09_8</t>
  </si>
  <si>
    <t>S9831</t>
  </si>
  <si>
    <t>CW1MF10_8</t>
  </si>
  <si>
    <t>S9832</t>
  </si>
  <si>
    <t>CW2MF01_8</t>
  </si>
  <si>
    <t>S9833</t>
  </si>
  <si>
    <t>CW2MF02_8</t>
  </si>
  <si>
    <t>S9834</t>
  </si>
  <si>
    <t>CW2MF05_8</t>
  </si>
  <si>
    <t>S9835</t>
  </si>
  <si>
    <t>CW2MF06_8</t>
  </si>
  <si>
    <t>S9836</t>
  </si>
  <si>
    <t>CW2MF09_8</t>
  </si>
  <si>
    <t>S9837</t>
  </si>
  <si>
    <t>CW2MF10_8</t>
  </si>
  <si>
    <t>S9838</t>
  </si>
  <si>
    <t>CW3MF01_8</t>
  </si>
  <si>
    <t>S9839</t>
  </si>
  <si>
    <t>CW3MF02_8</t>
  </si>
  <si>
    <t>S9840</t>
  </si>
  <si>
    <t>CW3MF05_8</t>
  </si>
  <si>
    <t>S9841</t>
  </si>
  <si>
    <t>CW3MF06_8</t>
  </si>
  <si>
    <t>S9842</t>
  </si>
  <si>
    <t>CW3MF09_8</t>
  </si>
  <si>
    <t>S9843</t>
  </si>
  <si>
    <t>CW3MF10_8</t>
  </si>
  <si>
    <t>Elution_Volume_ul</t>
  </si>
  <si>
    <t>Sample_depth_information</t>
  </si>
  <si>
    <t>INF</t>
  </si>
  <si>
    <t>EFF</t>
  </si>
  <si>
    <t>Wetland_Sample</t>
  </si>
  <si>
    <t>Wetland</t>
  </si>
  <si>
    <t>Sample_ID</t>
  </si>
  <si>
    <t>CW_Number_Section</t>
  </si>
  <si>
    <t>MF_number</t>
  </si>
  <si>
    <t>MF01</t>
  </si>
  <si>
    <t>MF02</t>
  </si>
  <si>
    <t>MF03</t>
  </si>
  <si>
    <t>MF04</t>
  </si>
  <si>
    <t>MF09</t>
  </si>
  <si>
    <t>MF10</t>
  </si>
  <si>
    <t>MF11</t>
  </si>
  <si>
    <t>MF12</t>
  </si>
  <si>
    <t>MF05</t>
  </si>
  <si>
    <t>MF06</t>
  </si>
  <si>
    <t>Timepoint_Sample_depth_information</t>
  </si>
  <si>
    <t>CW_Number_MF_number</t>
  </si>
  <si>
    <t>Electron_Donor_Load</t>
  </si>
  <si>
    <t>PAH_total_16_ug</t>
  </si>
  <si>
    <t>sulfate_mg_l</t>
  </si>
  <si>
    <t>nitrate_mg_l</t>
  </si>
  <si>
    <t>nitrate_N_mg_l</t>
  </si>
  <si>
    <t>nitrite_N_mg_l</t>
  </si>
  <si>
    <t>nitrite_mg_l</t>
  </si>
  <si>
    <t>chloride_mg_l</t>
  </si>
  <si>
    <t>iron2_mg_l</t>
  </si>
  <si>
    <t>manganese2_mg_l</t>
  </si>
  <si>
    <t>14373702-001</t>
  </si>
  <si>
    <t>CW3MF05</t>
  </si>
  <si>
    <t>manganese2_mmoles_l</t>
  </si>
  <si>
    <t>sulfate_mmoles_l</t>
  </si>
  <si>
    <t>nitrate_mmoles_l</t>
  </si>
  <si>
    <t>Total_Electron_Acceptor_Capacity</t>
  </si>
  <si>
    <t>nitrate_electron_acceptor_capacity_mmol_e</t>
  </si>
  <si>
    <t>sulfate_electron_acceptor_capacity_mmol_e</t>
  </si>
  <si>
    <t>combined_remaining_soluble_electron_acceptor_capacity</t>
  </si>
  <si>
    <t>nitrate_consumption_relative_to_influent</t>
  </si>
  <si>
    <t>iron2_measured_mmoles_l</t>
  </si>
  <si>
    <t>iron2_measured_electron_acceptor_capacity_mmol_e</t>
  </si>
  <si>
    <t>manganese2_electron_acceptor_capacity_mmol_e_l</t>
  </si>
  <si>
    <t>Ratio_iron_manganese2_in_mmoles_l</t>
  </si>
  <si>
    <t>Ratio_iron2_to_manganese2_in_mmoles_e_l</t>
  </si>
  <si>
    <t>combined_total_reduced_metals_mg_l</t>
  </si>
  <si>
    <t>combined_total_reduced_metals_mmol_e_l</t>
  </si>
  <si>
    <t>sulfate_consumption_relative_to_influent</t>
  </si>
  <si>
    <t>sulfate_consumption_percentage_relative_to_influent</t>
  </si>
  <si>
    <t>sulfate_consumption_1D_flow_mmols_e_l</t>
  </si>
  <si>
    <t>sulfate_consumption_relative_to_influent_mmols_e_l</t>
  </si>
  <si>
    <t>sulfate_consumption_percentage_1D_flow_relative_to_previous_sample</t>
  </si>
  <si>
    <t>sulfate_consumption_1D_flow_mg_l</t>
  </si>
  <si>
    <t>electron_acceptor_relative_contribution_manganse_Sulfate_relative_To_Influent</t>
  </si>
  <si>
    <t>electron_acceptor_relative_contribution_iron_Sulfate_relative_To_Influent</t>
  </si>
  <si>
    <t>electron_acceptor_relative_contribution_sulfate_Sulfate_relative_To_Influent</t>
  </si>
  <si>
    <r>
      <t>total_electron_acceptor_capacity_</t>
    </r>
    <r>
      <rPr>
        <b/>
        <sz val="11"/>
        <color theme="1"/>
        <rFont val="Aptos Narrow"/>
        <family val="2"/>
        <scheme val="minor"/>
      </rPr>
      <t>consumed</t>
    </r>
    <r>
      <rPr>
        <sz val="11"/>
        <color theme="1"/>
        <rFont val="Aptos Narrow"/>
        <family val="2"/>
        <scheme val="minor"/>
      </rPr>
      <t>_mmols_e_l_Sulfate_relative_To_1D_Flow</t>
    </r>
  </si>
  <si>
    <t>electron_acceptor_relative_contribution_manganse_Sulfate_relative_To_1D_Flow</t>
  </si>
  <si>
    <t>electron_acceptor_relative_contribution_iron_Sulfate_relative_To_1D_Flow</t>
  </si>
  <si>
    <t>electron_acceptor_relative_contribution_sulfate_Sulfate_relative_To_1D_Flow</t>
  </si>
  <si>
    <t>iron2_precipated_due_to_sulfate_reduction_mg_l_Sulfate_relative_To_Influent</t>
  </si>
  <si>
    <t>iron2_precipated_due_to_sulfate_reduction_no_negative_values_mg_l_Sulfate_relative_To_Influent</t>
  </si>
  <si>
    <t>total_iron2_mg_l_Sulfate_relative_To_Influent</t>
  </si>
  <si>
    <t>iron2_total_mmoles_l__Sulfate_relative_To_Influent</t>
  </si>
  <si>
    <t>iron2_total_electron_acceptor_capacity_mmol_e__Sulfate_relative_To_Influent</t>
  </si>
  <si>
    <t>total_iron2_mg_l_Sulfate_relative_To_1D_Flow</t>
  </si>
  <si>
    <t>iron2_total_mmoles_l__Sulfate_relative_To_1D_Flow</t>
  </si>
  <si>
    <t>iron2_total_electron_acceptor_capacity_mmol_e__Sulfate_relative_To_1D_Flow</t>
  </si>
  <si>
    <t>iron2_precipated_due_to_sulfate_reduction_mg_l_Sulfate_relative_To_1D_Flow</t>
  </si>
  <si>
    <t>iron2_precipated_due_to_sulfate_reduction_no_negative_values_mg_l_Sulfate_relative_To_1D_Flow</t>
  </si>
  <si>
    <t>sulfate_consumption_1D_flow_mmols_e_l_no_negatives</t>
  </si>
  <si>
    <t>benzene_ug_l</t>
  </si>
  <si>
    <t>toluene_ug_l</t>
  </si>
  <si>
    <t>ethylbenzene_ug_l</t>
  </si>
  <si>
    <t>o_xylene_ug_l</t>
  </si>
  <si>
    <t>pm_xylene_ug_l</t>
  </si>
  <si>
    <t>xylene_ug_l</t>
  </si>
  <si>
    <t>concentration_BTEX_ug_l</t>
  </si>
  <si>
    <t>naphthalene_VOC_ug_l</t>
  </si>
  <si>
    <t>benzene_mmol_e_l</t>
  </si>
  <si>
    <t>toluene_mmol_e_l</t>
  </si>
  <si>
    <t>ethylbenzene_mmol_e_l</t>
  </si>
  <si>
    <t>o_xylene_mmol_e_l</t>
  </si>
  <si>
    <t>pm_xylene_mmol_e_l</t>
  </si>
  <si>
    <t>xylene_mmol_e_l</t>
  </si>
  <si>
    <t>concentration_BTEX_mmol_e_l</t>
  </si>
  <si>
    <t>naphthalene_VOC_mmol_e_l</t>
  </si>
  <si>
    <t>naphthalene_PAH_ug_l</t>
  </si>
  <si>
    <t>acenaphthylene_ug_l</t>
  </si>
  <si>
    <t>acenaphthene_ug_l</t>
  </si>
  <si>
    <t>fluorene_ug_l</t>
  </si>
  <si>
    <t>phenanthrene_ug_l</t>
  </si>
  <si>
    <t>anthracene_ug_l</t>
  </si>
  <si>
    <t>fluoranthene_ug_l</t>
  </si>
  <si>
    <t>pyrene_ug_l</t>
  </si>
  <si>
    <t>naphthalene_PAH_mmol_e_l</t>
  </si>
  <si>
    <t>acenaphthylene_mmol_e_l</t>
  </si>
  <si>
    <t>acenaphthene_mmol_e_l</t>
  </si>
  <si>
    <t>fluorene_mmol_e_l</t>
  </si>
  <si>
    <t>phenanthrene_mmol_e_l</t>
  </si>
  <si>
    <t>anthracene_mmol_e_l</t>
  </si>
  <si>
    <t>fluoranthene_mmol_e_l</t>
  </si>
  <si>
    <t>pyrene_mmol_e_l</t>
  </si>
  <si>
    <t>Sum_water_soluble_PAHs_ug_l</t>
  </si>
  <si>
    <t>Sum_water_soluble_PAHs_mmol_e_l</t>
  </si>
  <si>
    <t>electron_acceptor_donor_balance_BTXN_PAH_e_acceptors_consumed_relative_to_influent</t>
  </si>
  <si>
    <t>electron_acceptor_donor_balance_BTEXN_minus_total_e_acceptors_consumed_relative_to_influent</t>
  </si>
  <si>
    <t>electron_acceptor_donor_balance_BTXN_PAH_e_acceptors_consumed_relative_to_1D_flow</t>
  </si>
  <si>
    <t>Sum_water_soluble_PAHs_no_napthalene_mmol_e_l</t>
  </si>
  <si>
    <t>Sum_water_soluble_PAHs_no_napthalene_ug_l</t>
  </si>
  <si>
    <r>
      <t>total_electron_acceptor_capacity_</t>
    </r>
    <r>
      <rPr>
        <b/>
        <sz val="11"/>
        <color theme="1"/>
        <rFont val="Aptos Narrow"/>
        <family val="2"/>
        <scheme val="minor"/>
      </rPr>
      <t>consumed</t>
    </r>
    <r>
      <rPr>
        <sz val="11"/>
        <color theme="1"/>
        <rFont val="Aptos Narrow"/>
        <family val="2"/>
        <scheme val="minor"/>
      </rPr>
      <t>_mmol_e_l_relative_To_Influent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</si>
</sst>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1" xfId="0" applyFont="1" applyBorder="1"/>
    <xf numFmtId="14" fontId="1" fillId="0" borderId="0" xfId="0" applyNumberFormat="1" applyFont="1"/>
    <xf numFmtId="0" fontId="2" fillId="0" borderId="0" xfId="0" applyFont="1"/>
    <xf numFmtId="14" fontId="1" fillId="0" borderId="0" xfId="0" quotePrefix="1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1" fillId="7" borderId="0" xfId="0" applyNumberFormat="1" applyFont="1" applyFill="1"/>
    <xf numFmtId="0" fontId="2" fillId="7" borderId="0" xfId="0" applyFont="1" applyFill="1"/>
    <xf numFmtId="14" fontId="1" fillId="7" borderId="0" xfId="0" quotePrefix="1" applyNumberFormat="1" applyFont="1" applyFill="1"/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7" borderId="0" xfId="0" applyFill="1"/>
    <xf numFmtId="14" fontId="0" fillId="7" borderId="0" xfId="0" applyNumberFormat="1" applyFill="1"/>
    <xf numFmtId="3" fontId="0" fillId="7" borderId="0" xfId="0" applyNumberFormat="1" applyFill="1"/>
    <xf numFmtId="0" fontId="0" fillId="7" borderId="0" xfId="0" applyFill="1" applyAlignment="1">
      <alignment horizontal="right" vertical="top"/>
    </xf>
    <xf numFmtId="2" fontId="0" fillId="2" borderId="0" xfId="0" applyNumberForma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2" fontId="0" fillId="10" borderId="0" xfId="0" applyNumberFormat="1" applyFill="1"/>
    <xf numFmtId="0" fontId="1" fillId="11" borderId="0" xfId="0" applyFont="1" applyFill="1"/>
    <xf numFmtId="0" fontId="2" fillId="11" borderId="0" xfId="0" applyFont="1" applyFill="1"/>
    <xf numFmtId="14" fontId="1" fillId="11" borderId="0" xfId="0" quotePrefix="1" applyNumberFormat="1" applyFont="1" applyFill="1"/>
    <xf numFmtId="0" fontId="0" fillId="11" borderId="0" xfId="0" applyFill="1"/>
    <xf numFmtId="14" fontId="0" fillId="11" borderId="0" xfId="0" applyNumberFormat="1" applyFill="1"/>
    <xf numFmtId="2" fontId="0" fillId="11" borderId="0" xfId="0" applyNumberFormat="1" applyFill="1"/>
    <xf numFmtId="3" fontId="0" fillId="11" borderId="0" xfId="0" applyNumberFormat="1" applyFill="1"/>
    <xf numFmtId="2" fontId="3" fillId="11" borderId="0" xfId="0" applyNumberFormat="1" applyFont="1" applyFill="1"/>
    <xf numFmtId="2" fontId="3" fillId="11" borderId="0" xfId="0" applyNumberFormat="1" applyFont="1" applyFill="1" applyAlignment="1">
      <alignment horizontal="right"/>
    </xf>
    <xf numFmtId="0" fontId="4" fillId="11" borderId="0" xfId="0" applyFont="1" applyFill="1" applyAlignment="1">
      <alignment horizontal="right" vertical="center"/>
    </xf>
    <xf numFmtId="0" fontId="5" fillId="11" borderId="0" xfId="0" applyFont="1" applyFill="1" applyAlignment="1">
      <alignment horizontal="left" wrapText="1"/>
    </xf>
    <xf numFmtId="164" fontId="0" fillId="2" borderId="0" xfId="0" applyNumberFormat="1" applyFill="1"/>
    <xf numFmtId="0" fontId="0" fillId="12" borderId="0" xfId="0" applyFill="1"/>
    <xf numFmtId="14" fontId="1" fillId="11" borderId="0" xfId="0" applyNumberFormat="1" applyFont="1" applyFill="1"/>
    <xf numFmtId="0" fontId="1" fillId="8" borderId="0" xfId="0" applyFont="1" applyFill="1"/>
    <xf numFmtId="14" fontId="1" fillId="8" borderId="0" xfId="0" applyNumberFormat="1" applyFont="1" applyFill="1"/>
    <xf numFmtId="0" fontId="2" fillId="8" borderId="0" xfId="0" applyFont="1" applyFill="1"/>
    <xf numFmtId="14" fontId="1" fillId="8" borderId="0" xfId="0" quotePrefix="1" applyNumberFormat="1" applyFont="1" applyFill="1"/>
    <xf numFmtId="14" fontId="0" fillId="8" borderId="0" xfId="0" applyNumberFormat="1" applyFill="1"/>
    <xf numFmtId="2" fontId="0" fillId="8" borderId="0" xfId="0" applyNumberFormat="1" applyFill="1"/>
    <xf numFmtId="3" fontId="0" fillId="8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13" borderId="0" xfId="0" applyFill="1"/>
    <xf numFmtId="0" fontId="0" fillId="14" borderId="0" xfId="0" applyFill="1"/>
    <xf numFmtId="2" fontId="0" fillId="13" borderId="0" xfId="0" applyNumberFormat="1" applyFill="1"/>
    <xf numFmtId="0" fontId="1" fillId="13" borderId="0" xfId="0" applyFont="1" applyFill="1"/>
    <xf numFmtId="0" fontId="2" fillId="13" borderId="0" xfId="0" applyFont="1" applyFill="1"/>
    <xf numFmtId="14" fontId="1" fillId="13" borderId="0" xfId="0" quotePrefix="1" applyNumberFormat="1" applyFont="1" applyFill="1"/>
    <xf numFmtId="14" fontId="0" fillId="13" borderId="0" xfId="0" applyNumberFormat="1" applyFill="1"/>
    <xf numFmtId="3" fontId="0" fillId="13" borderId="0" xfId="0" applyNumberFormat="1" applyFill="1"/>
    <xf numFmtId="14" fontId="1" fillId="1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154-D316-4A5F-8438-90CE3CDA3492}">
  <dimension ref="A1:FG208"/>
  <sheetViews>
    <sheetView tabSelected="1" topLeftCell="C137" zoomScaleNormal="100" workbookViewId="0">
      <pane xSplit="1" topLeftCell="EH1" activePane="topRight" state="frozen"/>
      <selection activeCell="C1" sqref="C1"/>
      <selection pane="topRight" activeCell="EK1" sqref="EK1:EK142"/>
    </sheetView>
  </sheetViews>
  <sheetFormatPr defaultRowHeight="15" x14ac:dyDescent="0.25"/>
  <cols>
    <col min="1" max="2" width="25.42578125" customWidth="1"/>
    <col min="3" max="3" width="29.7109375" bestFit="1" customWidth="1"/>
    <col min="4" max="4" width="26.140625" bestFit="1" customWidth="1"/>
    <col min="5" max="5" width="14.140625" customWidth="1"/>
    <col min="6" max="6" width="12.42578125" bestFit="1" customWidth="1"/>
    <col min="7" max="7" width="13.42578125" bestFit="1" customWidth="1"/>
    <col min="8" max="10" width="26.85546875" customWidth="1"/>
    <col min="11" max="11" width="16.85546875" bestFit="1" customWidth="1"/>
    <col min="12" max="12" width="20.85546875" bestFit="1" customWidth="1"/>
    <col min="13" max="13" width="14.28515625" bestFit="1" customWidth="1"/>
    <col min="14" max="14" width="26.5703125" bestFit="1" customWidth="1"/>
    <col min="15" max="15" width="15.5703125" bestFit="1" customWidth="1"/>
    <col min="16" max="16" width="13.28515625" bestFit="1" customWidth="1"/>
    <col min="17" max="17" width="18.28515625" bestFit="1" customWidth="1"/>
    <col min="18" max="18" width="10.140625" bestFit="1" customWidth="1"/>
    <col min="19" max="19" width="25.140625" customWidth="1"/>
    <col min="20" max="20" width="15.7109375" customWidth="1"/>
    <col min="21" max="21" width="20.85546875" bestFit="1" customWidth="1"/>
    <col min="22" max="22" width="21.7109375" bestFit="1" customWidth="1"/>
    <col min="23" max="23" width="19.140625" bestFit="1" customWidth="1"/>
    <col min="24" max="24" width="19.85546875" bestFit="1" customWidth="1"/>
    <col min="25" max="25" width="16.5703125" bestFit="1" customWidth="1"/>
    <col min="26" max="26" width="14" bestFit="1" customWidth="1"/>
    <col min="27" max="27" width="11" bestFit="1" customWidth="1"/>
    <col min="28" max="28" width="11.28515625" bestFit="1" customWidth="1"/>
    <col min="30" max="30" width="5.140625" customWidth="1"/>
    <col min="31" max="31" width="22.28515625" customWidth="1"/>
    <col min="32" max="32" width="21.7109375" customWidth="1"/>
    <col min="33" max="33" width="12.28515625" customWidth="1"/>
    <col min="34" max="34" width="13" customWidth="1"/>
    <col min="35" max="35" width="15" customWidth="1"/>
    <col min="36" max="36" width="12.42578125" customWidth="1"/>
    <col min="37" max="37" width="8.42578125" bestFit="1" customWidth="1"/>
    <col min="38" max="38" width="13.140625" bestFit="1" customWidth="1"/>
    <col min="39" max="39" width="10.140625" bestFit="1" customWidth="1"/>
    <col min="40" max="40" width="10.140625" customWidth="1"/>
    <col min="41" max="41" width="6.42578125" bestFit="1" customWidth="1"/>
    <col min="42" max="42" width="11.140625" customWidth="1"/>
    <col min="43" max="43" width="23.28515625" style="59" bestFit="1" customWidth="1"/>
    <col min="44" max="44" width="28.28515625" style="59" bestFit="1" customWidth="1"/>
    <col min="45" max="45" width="16.85546875" bestFit="1" customWidth="1"/>
    <col min="46" max="46" width="26.5703125" bestFit="1" customWidth="1"/>
    <col min="47" max="47" width="9.7109375" customWidth="1"/>
    <col min="65" max="65" width="8.85546875" customWidth="1"/>
    <col min="67" max="67" width="16.7109375" style="58" bestFit="1" customWidth="1"/>
    <col min="68" max="68" width="15.140625" style="58" bestFit="1" customWidth="1"/>
    <col min="69" max="74" width="9.140625" style="58"/>
    <col min="75" max="75" width="26.42578125" style="31" bestFit="1" customWidth="1"/>
    <col min="76" max="76" width="24.7109375" style="31" bestFit="1" customWidth="1"/>
    <col min="77" max="81" width="9.140625" style="31"/>
    <col min="82" max="82" width="16.28515625" style="31" bestFit="1" customWidth="1"/>
    <col min="92" max="92" width="28.42578125" style="58" bestFit="1" customWidth="1"/>
    <col min="93" max="93" width="39.5703125" style="58" customWidth="1"/>
    <col min="94" max="95" width="31.5703125" style="31" bestFit="1" customWidth="1"/>
    <col min="96" max="96" width="15.7109375" bestFit="1" customWidth="1"/>
    <col min="97" max="100" width="16.5703125" bestFit="1" customWidth="1"/>
    <col min="101" max="101" width="13.7109375" bestFit="1" customWidth="1"/>
    <col min="102" max="102" width="20.85546875" customWidth="1"/>
    <col min="103" max="103" width="28.42578125" customWidth="1"/>
    <col min="104" max="104" width="13.42578125" bestFit="1" customWidth="1"/>
    <col min="105" max="105" width="13.5703125" customWidth="1"/>
    <col min="106" max="106" width="13.5703125" bestFit="1" customWidth="1"/>
    <col min="107" max="107" width="11.7109375" bestFit="1" customWidth="1"/>
    <col min="108" max="108" width="70.42578125" style="28" bestFit="1" customWidth="1"/>
    <col min="109" max="109" width="89" style="28" bestFit="1" customWidth="1"/>
    <col min="110" max="110" width="13.85546875" style="27" customWidth="1"/>
    <col min="111" max="111" width="25.140625" style="28" bestFit="1" customWidth="1"/>
    <col min="112" max="112" width="49.28515625" style="28" bestFit="1" customWidth="1"/>
    <col min="113" max="113" width="41.140625" style="27" bestFit="1" customWidth="1"/>
    <col min="114" max="114" width="46.7109375" style="45" bestFit="1" customWidth="1"/>
    <col min="115" max="115" width="70.7109375" style="45" bestFit="1" customWidth="1"/>
    <col min="116" max="116" width="70.42578125" style="55" bestFit="1" customWidth="1"/>
    <col min="117" max="117" width="89" style="55" bestFit="1" customWidth="1"/>
    <col min="118" max="120" width="70.7109375" style="56" customWidth="1"/>
    <col min="121" max="121" width="17.5703125" style="29" bestFit="1" customWidth="1"/>
    <col min="122" max="122" width="22.140625" style="29" bestFit="1" customWidth="1"/>
    <col min="123" max="123" width="47.7109375" style="29" bestFit="1" customWidth="1"/>
    <col min="124" max="124" width="47.5703125" style="29" bestFit="1" customWidth="1"/>
    <col min="125" max="125" width="50.7109375" style="29" bestFit="1" customWidth="1"/>
    <col min="126" max="126" width="45" style="29" bestFit="1" customWidth="1"/>
    <col min="127" max="127" width="48" style="31" bestFit="1" customWidth="1"/>
    <col min="128" max="128" width="12.7109375" bestFit="1" customWidth="1"/>
    <col min="129" max="129" width="16.7109375" bestFit="1" customWidth="1"/>
    <col min="130" max="130" width="37.5703125" bestFit="1" customWidth="1"/>
    <col min="131" max="131" width="14.140625" style="30" bestFit="1" customWidth="1"/>
    <col min="132" max="132" width="16.28515625" style="30" bestFit="1" customWidth="1"/>
    <col min="133" max="133" width="21.7109375" style="30" customWidth="1"/>
    <col min="134" max="134" width="38" style="31" bestFit="1" customWidth="1"/>
    <col min="135" max="135" width="48.85546875" style="31" bestFit="1" customWidth="1"/>
    <col min="136" max="136" width="48.5703125" style="31" bestFit="1" customWidth="1"/>
    <col min="137" max="137" width="31.5703125" style="46" bestFit="1" customWidth="1"/>
    <col min="138" max="138" width="65.42578125" style="46" bestFit="1" customWidth="1"/>
    <col min="139" max="139" width="42" style="46" bestFit="1" customWidth="1"/>
    <col min="140" max="140" width="56.42578125" style="46" bestFit="1" customWidth="1"/>
    <col min="141" max="141" width="12" style="31" bestFit="1" customWidth="1"/>
    <col min="142" max="142" width="16.5703125" style="31" bestFit="1" customWidth="1"/>
    <col min="143" max="143" width="40.7109375" style="31" bestFit="1" customWidth="1"/>
    <col min="144" max="144" width="74.140625" style="32" bestFit="1" customWidth="1"/>
    <col min="145" max="145" width="77.42578125" bestFit="1" customWidth="1"/>
    <col min="146" max="146" width="72.7109375" bestFit="1" customWidth="1"/>
    <col min="147" max="147" width="66.7109375" bestFit="1" customWidth="1"/>
    <col min="148" max="148" width="69.28515625" bestFit="1" customWidth="1"/>
    <col min="149" max="149" width="78" style="55" bestFit="1" customWidth="1"/>
    <col min="150" max="150" width="73.28515625" style="55" bestFit="1" customWidth="1"/>
    <col min="151" max="151" width="67.42578125" style="55" bestFit="1" customWidth="1"/>
    <col min="152" max="152" width="69.85546875" style="55" bestFit="1" customWidth="1"/>
    <col min="153" max="153" width="13" customWidth="1"/>
    <col min="154" max="154" width="11.7109375" bestFit="1" customWidth="1"/>
    <col min="156" max="156" width="5" bestFit="1" customWidth="1"/>
    <col min="157" max="157" width="11" customWidth="1"/>
    <col min="160" max="160" width="85.85546875" bestFit="1" customWidth="1"/>
    <col min="161" max="161" width="82.28515625" bestFit="1" customWidth="1"/>
    <col min="162" max="163" width="71.85546875" bestFit="1" customWidth="1"/>
  </cols>
  <sheetData>
    <row r="1" spans="1:163" ht="15.75" x14ac:dyDescent="0.25">
      <c r="A1" s="3" t="s">
        <v>267</v>
      </c>
      <c r="B1" s="3" t="s">
        <v>1485</v>
      </c>
      <c r="C1" s="3" t="s">
        <v>790</v>
      </c>
      <c r="D1" s="3" t="s">
        <v>790</v>
      </c>
      <c r="E1" s="3" t="s">
        <v>998</v>
      </c>
      <c r="F1" s="3" t="s">
        <v>999</v>
      </c>
      <c r="G1" s="3" t="s">
        <v>1000</v>
      </c>
      <c r="H1" s="3" t="s">
        <v>1486</v>
      </c>
      <c r="I1" s="3" t="s">
        <v>1499</v>
      </c>
      <c r="J1" s="3" t="s">
        <v>1487</v>
      </c>
      <c r="K1" s="3" t="s">
        <v>1483</v>
      </c>
      <c r="L1" s="3" t="s">
        <v>1001</v>
      </c>
      <c r="M1" s="3" t="s">
        <v>1002</v>
      </c>
      <c r="N1" s="3" t="s">
        <v>1480</v>
      </c>
      <c r="O1" s="3" t="s">
        <v>1003</v>
      </c>
      <c r="P1" s="3" t="s">
        <v>1004</v>
      </c>
      <c r="Q1" s="3" t="s">
        <v>1005</v>
      </c>
      <c r="R1" s="3" t="s">
        <v>1006</v>
      </c>
      <c r="S1" s="3" t="s">
        <v>1498</v>
      </c>
      <c r="T1" s="3" t="s">
        <v>1007</v>
      </c>
      <c r="U1" s="3" t="s">
        <v>1008</v>
      </c>
      <c r="V1" s="10" t="s">
        <v>1009</v>
      </c>
      <c r="W1" s="10" t="s">
        <v>1479</v>
      </c>
      <c r="X1" s="10" t="s">
        <v>1010</v>
      </c>
      <c r="Y1" s="3" t="s">
        <v>1011</v>
      </c>
      <c r="Z1" t="s">
        <v>0</v>
      </c>
      <c r="AA1" t="s">
        <v>1</v>
      </c>
      <c r="AB1" t="s">
        <v>2</v>
      </c>
      <c r="AC1" t="s">
        <v>3</v>
      </c>
      <c r="AD1" t="s">
        <v>4</v>
      </c>
      <c r="AE1" t="s">
        <v>1551</v>
      </c>
      <c r="AF1" t="s">
        <v>1559</v>
      </c>
      <c r="AG1" t="s">
        <v>1552</v>
      </c>
      <c r="AH1" t="s">
        <v>1560</v>
      </c>
      <c r="AI1" t="s">
        <v>1553</v>
      </c>
      <c r="AJ1" t="s">
        <v>1561</v>
      </c>
      <c r="AK1" t="s">
        <v>1554</v>
      </c>
      <c r="AL1" t="s">
        <v>1562</v>
      </c>
      <c r="AM1" t="s">
        <v>1555</v>
      </c>
      <c r="AN1" t="s">
        <v>1563</v>
      </c>
      <c r="AO1" t="s">
        <v>1556</v>
      </c>
      <c r="AP1" t="s">
        <v>1564</v>
      </c>
      <c r="AQ1" s="59" t="s">
        <v>1557</v>
      </c>
      <c r="AR1" s="59" t="s">
        <v>1565</v>
      </c>
      <c r="AS1" t="s">
        <v>1558</v>
      </c>
      <c r="AT1" t="s">
        <v>1566</v>
      </c>
      <c r="AU1" t="s">
        <v>7</v>
      </c>
      <c r="AV1" t="s">
        <v>8</v>
      </c>
      <c r="AW1" t="s">
        <v>9</v>
      </c>
      <c r="AX1" t="s">
        <v>10</v>
      </c>
      <c r="AY1" t="s">
        <v>11</v>
      </c>
      <c r="AZ1" t="s">
        <v>12</v>
      </c>
      <c r="BA1" t="s">
        <v>13</v>
      </c>
      <c r="BB1" t="s">
        <v>14</v>
      </c>
      <c r="BC1" t="s">
        <v>15</v>
      </c>
      <c r="BD1" t="s">
        <v>16</v>
      </c>
      <c r="BE1" t="s">
        <v>17</v>
      </c>
      <c r="BF1" t="s">
        <v>18</v>
      </c>
      <c r="BG1" t="s">
        <v>19</v>
      </c>
      <c r="BH1" t="s">
        <v>20</v>
      </c>
      <c r="BI1" t="s">
        <v>21</v>
      </c>
      <c r="BJ1" t="s">
        <v>22</v>
      </c>
      <c r="BK1" t="s">
        <v>23</v>
      </c>
      <c r="BL1" t="s">
        <v>24</v>
      </c>
      <c r="BM1" t="s">
        <v>25</v>
      </c>
      <c r="BN1" t="s">
        <v>26</v>
      </c>
      <c r="BO1" s="58" t="s">
        <v>1567</v>
      </c>
      <c r="BP1" s="58" t="s">
        <v>1568</v>
      </c>
      <c r="BQ1" s="58" t="s">
        <v>1569</v>
      </c>
      <c r="BR1" s="58" t="s">
        <v>1570</v>
      </c>
      <c r="BS1" s="58" t="s">
        <v>1571</v>
      </c>
      <c r="BT1" s="58" t="s">
        <v>1572</v>
      </c>
      <c r="BU1" s="58" t="s">
        <v>1573</v>
      </c>
      <c r="BV1" s="58" t="s">
        <v>1574</v>
      </c>
      <c r="BW1" s="31" t="s">
        <v>1575</v>
      </c>
      <c r="BX1" s="31" t="s">
        <v>1576</v>
      </c>
      <c r="BY1" s="31" t="s">
        <v>1577</v>
      </c>
      <c r="BZ1" s="31" t="s">
        <v>1578</v>
      </c>
      <c r="CA1" s="31" t="s">
        <v>1579</v>
      </c>
      <c r="CB1" s="31" t="s">
        <v>1580</v>
      </c>
      <c r="CC1" s="31" t="s">
        <v>1581</v>
      </c>
      <c r="CD1" s="31" t="s">
        <v>1582</v>
      </c>
      <c r="CE1" t="s">
        <v>27</v>
      </c>
      <c r="CF1" t="s">
        <v>28</v>
      </c>
      <c r="CG1" t="s">
        <v>29</v>
      </c>
      <c r="CH1" t="s">
        <v>30</v>
      </c>
      <c r="CI1" t="s">
        <v>31</v>
      </c>
      <c r="CK1" t="s">
        <v>32</v>
      </c>
      <c r="CL1" t="s">
        <v>33</v>
      </c>
      <c r="CM1" t="s">
        <v>34</v>
      </c>
      <c r="CN1" s="58" t="s">
        <v>1583</v>
      </c>
      <c r="CO1" s="58" t="s">
        <v>1589</v>
      </c>
      <c r="CP1" s="31" t="s">
        <v>1584</v>
      </c>
      <c r="CQ1" s="31" t="s">
        <v>1588</v>
      </c>
      <c r="CR1" t="s">
        <v>1501</v>
      </c>
      <c r="CS1" t="s">
        <v>35</v>
      </c>
      <c r="CT1" t="s">
        <v>36</v>
      </c>
      <c r="CU1" t="s">
        <v>37</v>
      </c>
      <c r="CV1" t="s">
        <v>38</v>
      </c>
      <c r="CW1" t="s">
        <v>39</v>
      </c>
      <c r="CX1" t="s">
        <v>1500</v>
      </c>
      <c r="CY1" t="s">
        <v>1515</v>
      </c>
      <c r="CZ1" t="s">
        <v>1507</v>
      </c>
      <c r="DA1" t="s">
        <v>1506</v>
      </c>
      <c r="DB1" t="s">
        <v>1505</v>
      </c>
      <c r="DC1" t="s">
        <v>1503</v>
      </c>
      <c r="DD1" s="28" t="s">
        <v>1540</v>
      </c>
      <c r="DE1" s="28" t="s">
        <v>1541</v>
      </c>
      <c r="DF1" s="27" t="s">
        <v>1508</v>
      </c>
      <c r="DG1" s="28" t="s">
        <v>1520</v>
      </c>
      <c r="DH1" s="28" t="s">
        <v>1521</v>
      </c>
      <c r="DI1" s="27" t="s">
        <v>1542</v>
      </c>
      <c r="DJ1" s="45" t="s">
        <v>1543</v>
      </c>
      <c r="DK1" s="45" t="s">
        <v>1544</v>
      </c>
      <c r="DL1" s="55" t="s">
        <v>1548</v>
      </c>
      <c r="DM1" s="55" t="s">
        <v>1549</v>
      </c>
      <c r="DN1" s="56" t="s">
        <v>1545</v>
      </c>
      <c r="DO1" s="56" t="s">
        <v>1546</v>
      </c>
      <c r="DP1" s="56" t="s">
        <v>1547</v>
      </c>
      <c r="DQ1" s="29" t="s">
        <v>1509</v>
      </c>
      <c r="DR1" s="29" t="s">
        <v>1512</v>
      </c>
      <c r="DS1" s="29" t="s">
        <v>1522</v>
      </c>
      <c r="DT1" s="29" t="s">
        <v>1523</v>
      </c>
      <c r="DU1" s="29" t="s">
        <v>1524</v>
      </c>
      <c r="DV1" s="31" t="s">
        <v>1525</v>
      </c>
      <c r="DW1" s="31" t="s">
        <v>1526</v>
      </c>
      <c r="DX1" t="s">
        <v>5</v>
      </c>
      <c r="DY1" t="s">
        <v>6</v>
      </c>
      <c r="DZ1" t="s">
        <v>1519</v>
      </c>
      <c r="EA1" s="30" t="s">
        <v>1504</v>
      </c>
      <c r="EB1" s="30" t="s">
        <v>1514</v>
      </c>
      <c r="EC1" s="30" t="s">
        <v>1516</v>
      </c>
      <c r="ED1" s="31" t="s">
        <v>1527</v>
      </c>
      <c r="EE1" s="31" t="s">
        <v>1528</v>
      </c>
      <c r="EF1" s="31" t="s">
        <v>1530</v>
      </c>
      <c r="EG1" s="46" t="s">
        <v>1532</v>
      </c>
      <c r="EH1" s="46" t="s">
        <v>1531</v>
      </c>
      <c r="EI1" s="46" t="s">
        <v>1529</v>
      </c>
      <c r="EJ1" s="46" t="s">
        <v>1550</v>
      </c>
      <c r="EK1" s="31" t="s">
        <v>1502</v>
      </c>
      <c r="EL1" s="31" t="s">
        <v>1513</v>
      </c>
      <c r="EM1" s="31" t="s">
        <v>1517</v>
      </c>
      <c r="EN1" s="32" t="s">
        <v>1518</v>
      </c>
      <c r="EO1" t="s">
        <v>1590</v>
      </c>
      <c r="EP1" s="31" t="s">
        <v>1533</v>
      </c>
      <c r="EQ1" s="31" t="s">
        <v>1534</v>
      </c>
      <c r="ER1" s="31" t="s">
        <v>1535</v>
      </c>
      <c r="ES1" s="55" t="s">
        <v>1536</v>
      </c>
      <c r="ET1" s="55" t="s">
        <v>1537</v>
      </c>
      <c r="EU1" s="55" t="s">
        <v>1538</v>
      </c>
      <c r="EV1" s="55" t="s">
        <v>1539</v>
      </c>
      <c r="EW1" t="s">
        <v>40</v>
      </c>
      <c r="EX1" t="s">
        <v>41</v>
      </c>
      <c r="EY1" t="s">
        <v>42</v>
      </c>
      <c r="EZ1" t="s">
        <v>43</v>
      </c>
      <c r="FA1" t="s">
        <v>44</v>
      </c>
      <c r="FB1" t="s">
        <v>45</v>
      </c>
      <c r="FD1" t="s">
        <v>1586</v>
      </c>
      <c r="FE1" t="s">
        <v>1585</v>
      </c>
      <c r="FF1" t="s">
        <v>1587</v>
      </c>
      <c r="FG1" t="s">
        <v>1587</v>
      </c>
    </row>
    <row r="2" spans="1:163" ht="15.75" x14ac:dyDescent="0.25">
      <c r="A2" s="3" t="s">
        <v>772</v>
      </c>
      <c r="B2" s="3" t="s">
        <v>772</v>
      </c>
      <c r="C2" s="3" t="s">
        <v>791</v>
      </c>
      <c r="D2" s="3" t="s">
        <v>791</v>
      </c>
      <c r="E2" s="3" t="s">
        <v>1012</v>
      </c>
      <c r="F2" s="3" t="s">
        <v>1013</v>
      </c>
      <c r="G2" s="3" t="s">
        <v>772</v>
      </c>
      <c r="H2" s="3" t="str">
        <f>G2&amp;"_"&amp;F2</f>
        <v>CW_1_Section_1</v>
      </c>
      <c r="I2" s="3" t="str">
        <f>G2&amp;"_"&amp;J2</f>
        <v>CW_1_MF01</v>
      </c>
      <c r="J2" s="3" t="s">
        <v>1488</v>
      </c>
      <c r="K2" s="3" t="s">
        <v>1484</v>
      </c>
      <c r="L2" s="11" t="s">
        <v>1014</v>
      </c>
      <c r="M2" s="3" t="s">
        <v>1015</v>
      </c>
      <c r="N2" s="3" t="s">
        <v>1015</v>
      </c>
      <c r="O2" s="12" t="s">
        <v>1016</v>
      </c>
      <c r="P2" s="3" t="s">
        <v>1017</v>
      </c>
      <c r="Q2" s="3" t="s">
        <v>1018</v>
      </c>
      <c r="R2" s="3" t="s">
        <v>1019</v>
      </c>
      <c r="S2" s="3" t="str">
        <f>R2&amp;"_"&amp;N2</f>
        <v>P0_0.15-0.30</v>
      </c>
      <c r="T2" s="13" t="s">
        <v>1020</v>
      </c>
      <c r="U2" s="3" t="s">
        <v>1021</v>
      </c>
      <c r="V2" s="3">
        <v>150</v>
      </c>
      <c r="W2" s="3">
        <v>65</v>
      </c>
      <c r="X2" s="3">
        <v>19.100000000000001</v>
      </c>
      <c r="Y2" s="3">
        <v>1</v>
      </c>
      <c r="AC2" t="s">
        <v>780</v>
      </c>
      <c r="AD2" t="s">
        <v>780</v>
      </c>
      <c r="AE2" t="s">
        <v>780</v>
      </c>
      <c r="AF2" t="s">
        <v>780</v>
      </c>
      <c r="AG2" t="s">
        <v>780</v>
      </c>
      <c r="AH2" t="s">
        <v>780</v>
      </c>
      <c r="AI2" t="s">
        <v>780</v>
      </c>
      <c r="AJ2" t="s">
        <v>780</v>
      </c>
      <c r="AK2" t="s">
        <v>780</v>
      </c>
      <c r="AL2" t="s">
        <v>780</v>
      </c>
      <c r="AM2" t="s">
        <v>780</v>
      </c>
      <c r="AN2" t="s">
        <v>780</v>
      </c>
      <c r="AO2" t="s">
        <v>780</v>
      </c>
      <c r="AP2" t="s">
        <v>780</v>
      </c>
      <c r="AQ2" s="57" t="s">
        <v>780</v>
      </c>
      <c r="AR2" s="57" t="s">
        <v>780</v>
      </c>
      <c r="AS2" t="s">
        <v>780</v>
      </c>
      <c r="AT2" t="s">
        <v>780</v>
      </c>
      <c r="AU2" t="s">
        <v>780</v>
      </c>
      <c r="AV2" t="s">
        <v>780</v>
      </c>
      <c r="AW2" t="s">
        <v>780</v>
      </c>
      <c r="AX2" t="s">
        <v>780</v>
      </c>
      <c r="AY2" t="s">
        <v>780</v>
      </c>
      <c r="AZ2" t="s">
        <v>780</v>
      </c>
      <c r="BA2" t="s">
        <v>780</v>
      </c>
      <c r="BB2" t="s">
        <v>780</v>
      </c>
      <c r="BC2" t="s">
        <v>780</v>
      </c>
      <c r="BD2" t="s">
        <v>780</v>
      </c>
      <c r="BE2" t="s">
        <v>780</v>
      </c>
      <c r="BF2" t="s">
        <v>780</v>
      </c>
      <c r="BG2" t="s">
        <v>780</v>
      </c>
      <c r="BH2" t="s">
        <v>780</v>
      </c>
      <c r="BI2" t="s">
        <v>780</v>
      </c>
      <c r="BJ2" t="s">
        <v>780</v>
      </c>
      <c r="BK2" t="s">
        <v>780</v>
      </c>
      <c r="BL2" t="s">
        <v>780</v>
      </c>
      <c r="BM2" t="s">
        <v>780</v>
      </c>
      <c r="BN2" t="s">
        <v>780</v>
      </c>
      <c r="BO2" s="58" t="s">
        <v>780</v>
      </c>
      <c r="BP2" s="58" t="s">
        <v>780</v>
      </c>
      <c r="BQ2" s="58" t="s">
        <v>780</v>
      </c>
      <c r="BR2" s="58" t="s">
        <v>780</v>
      </c>
      <c r="BS2" s="58" t="s">
        <v>780</v>
      </c>
      <c r="BT2" s="58" t="s">
        <v>780</v>
      </c>
      <c r="BU2" s="58" t="s">
        <v>780</v>
      </c>
      <c r="BV2" s="58" t="s">
        <v>780</v>
      </c>
      <c r="BW2" t="s">
        <v>780</v>
      </c>
      <c r="BX2" t="s">
        <v>780</v>
      </c>
      <c r="BY2" t="s">
        <v>780</v>
      </c>
      <c r="BZ2" t="s">
        <v>780</v>
      </c>
      <c r="CA2" t="s">
        <v>780</v>
      </c>
      <c r="CB2" t="s">
        <v>780</v>
      </c>
      <c r="CC2" t="s">
        <v>780</v>
      </c>
      <c r="CD2" t="s">
        <v>780</v>
      </c>
      <c r="CE2" t="s">
        <v>780</v>
      </c>
      <c r="CF2" t="s">
        <v>780</v>
      </c>
      <c r="CG2" t="s">
        <v>780</v>
      </c>
      <c r="CH2" t="s">
        <v>780</v>
      </c>
      <c r="CI2" t="s">
        <v>780</v>
      </c>
      <c r="CK2" t="s">
        <v>780</v>
      </c>
      <c r="CL2" t="s">
        <v>780</v>
      </c>
      <c r="CM2" t="s">
        <v>780</v>
      </c>
      <c r="CN2" s="58" t="s">
        <v>780</v>
      </c>
      <c r="CO2" s="58" t="s">
        <v>780</v>
      </c>
      <c r="CP2" s="31" t="s">
        <v>780</v>
      </c>
      <c r="CQ2" s="31" t="s">
        <v>780</v>
      </c>
      <c r="CR2" t="s">
        <v>780</v>
      </c>
      <c r="CS2" t="s">
        <v>780</v>
      </c>
      <c r="CT2" t="s">
        <v>780</v>
      </c>
      <c r="CU2" t="s">
        <v>780</v>
      </c>
      <c r="CV2" t="s">
        <v>780</v>
      </c>
      <c r="CW2" t="s">
        <v>780</v>
      </c>
      <c r="CX2" t="s">
        <v>780</v>
      </c>
      <c r="CZ2" t="s">
        <v>780</v>
      </c>
      <c r="DA2" t="s">
        <v>780</v>
      </c>
      <c r="DB2" t="s">
        <v>780</v>
      </c>
      <c r="DC2" t="s">
        <v>780</v>
      </c>
      <c r="DD2" t="s">
        <v>780</v>
      </c>
      <c r="DE2" t="s">
        <v>780</v>
      </c>
      <c r="DF2" s="27" t="s">
        <v>780</v>
      </c>
      <c r="DG2" s="27" t="s">
        <v>780</v>
      </c>
      <c r="DH2" s="27" t="s">
        <v>780</v>
      </c>
      <c r="DI2" s="27" t="s">
        <v>780</v>
      </c>
      <c r="DJ2" s="45" t="s">
        <v>780</v>
      </c>
      <c r="DK2" s="45" t="s">
        <v>780</v>
      </c>
      <c r="DL2" s="55" t="s">
        <v>780</v>
      </c>
      <c r="DM2" s="55" t="s">
        <v>780</v>
      </c>
      <c r="DN2" s="29" t="s">
        <v>780</v>
      </c>
      <c r="DO2" s="29" t="s">
        <v>780</v>
      </c>
      <c r="DP2" s="29" t="s">
        <v>780</v>
      </c>
      <c r="DQ2" s="29" t="s">
        <v>780</v>
      </c>
      <c r="DR2" s="29" t="s">
        <v>780</v>
      </c>
      <c r="DS2" s="29" t="s">
        <v>780</v>
      </c>
      <c r="DT2" s="29" t="s">
        <v>780</v>
      </c>
      <c r="DU2" s="29" t="s">
        <v>780</v>
      </c>
      <c r="DV2" s="31" t="s">
        <v>780</v>
      </c>
      <c r="DW2" s="31" t="s">
        <v>780</v>
      </c>
      <c r="DX2" t="s">
        <v>780</v>
      </c>
      <c r="DY2" t="s">
        <v>780</v>
      </c>
      <c r="DZ2" t="s">
        <v>780</v>
      </c>
      <c r="EA2" t="s">
        <v>780</v>
      </c>
      <c r="EB2" t="s">
        <v>780</v>
      </c>
      <c r="EC2" t="s">
        <v>780</v>
      </c>
      <c r="ED2" t="s">
        <v>780</v>
      </c>
      <c r="EE2" t="s">
        <v>780</v>
      </c>
      <c r="EF2" t="s">
        <v>780</v>
      </c>
      <c r="EG2" s="46" t="s">
        <v>780</v>
      </c>
      <c r="EH2" s="46" t="s">
        <v>780</v>
      </c>
      <c r="EI2" s="46" t="s">
        <v>780</v>
      </c>
      <c r="EJ2" s="46" t="s">
        <v>780</v>
      </c>
      <c r="EK2" t="s">
        <v>780</v>
      </c>
      <c r="EL2" t="s">
        <v>780</v>
      </c>
      <c r="EM2" t="s">
        <v>780</v>
      </c>
      <c r="EN2" t="s">
        <v>780</v>
      </c>
      <c r="EO2" t="s">
        <v>780</v>
      </c>
      <c r="EP2" t="s">
        <v>780</v>
      </c>
      <c r="EQ2" t="s">
        <v>780</v>
      </c>
      <c r="ER2" t="s">
        <v>780</v>
      </c>
      <c r="ES2" s="55" t="s">
        <v>780</v>
      </c>
      <c r="ET2" s="55" t="s">
        <v>780</v>
      </c>
      <c r="EU2" s="55" t="s">
        <v>780</v>
      </c>
      <c r="EV2" s="55" t="s">
        <v>780</v>
      </c>
      <c r="EW2" t="s">
        <v>780</v>
      </c>
      <c r="EX2" t="s">
        <v>780</v>
      </c>
      <c r="EY2" t="s">
        <v>780</v>
      </c>
      <c r="EZ2" t="s">
        <v>780</v>
      </c>
      <c r="FA2" t="s">
        <v>780</v>
      </c>
      <c r="FB2" t="s">
        <v>780</v>
      </c>
      <c r="FC2" t="s">
        <v>780</v>
      </c>
      <c r="FD2" t="s">
        <v>780</v>
      </c>
      <c r="FE2" t="s">
        <v>780</v>
      </c>
      <c r="FF2" t="s">
        <v>780</v>
      </c>
      <c r="FG2" t="s">
        <v>780</v>
      </c>
    </row>
    <row r="3" spans="1:163" ht="15.75" x14ac:dyDescent="0.25">
      <c r="A3" s="3" t="s">
        <v>773</v>
      </c>
      <c r="B3" s="3" t="s">
        <v>773</v>
      </c>
      <c r="C3" s="3" t="s">
        <v>792</v>
      </c>
      <c r="D3" s="3" t="s">
        <v>792</v>
      </c>
      <c r="E3" s="3" t="s">
        <v>1022</v>
      </c>
      <c r="F3" s="3" t="s">
        <v>1013</v>
      </c>
      <c r="G3" s="3" t="s">
        <v>772</v>
      </c>
      <c r="H3" s="3" t="str">
        <f t="shared" ref="H3:H66" si="0">G3&amp;"_"&amp;F3</f>
        <v>CW_1_Section_1</v>
      </c>
      <c r="I3" s="3" t="str">
        <f t="shared" ref="I3:I66" si="1">G3&amp;"_"&amp;J3</f>
        <v>CW_1_MF02</v>
      </c>
      <c r="J3" s="3" t="s">
        <v>1489</v>
      </c>
      <c r="K3" s="3" t="s">
        <v>1484</v>
      </c>
      <c r="L3" s="11" t="s">
        <v>1023</v>
      </c>
      <c r="M3" s="3" t="s">
        <v>1024</v>
      </c>
      <c r="N3" s="3" t="s">
        <v>1024</v>
      </c>
      <c r="O3" s="12" t="s">
        <v>1016</v>
      </c>
      <c r="P3" s="3" t="s">
        <v>1025</v>
      </c>
      <c r="Q3" s="3" t="s">
        <v>1018</v>
      </c>
      <c r="R3" s="3" t="s">
        <v>1019</v>
      </c>
      <c r="S3" s="3" t="str">
        <f t="shared" ref="S3:S66" si="2">R3&amp;"_"&amp;N3</f>
        <v>P0_0.60-0.80</v>
      </c>
      <c r="T3" s="13" t="s">
        <v>1020</v>
      </c>
      <c r="U3" s="3" t="s">
        <v>1021</v>
      </c>
      <c r="V3" s="3">
        <v>150</v>
      </c>
      <c r="W3" s="3">
        <v>65</v>
      </c>
      <c r="X3" s="3">
        <v>13.3</v>
      </c>
      <c r="Y3" s="3">
        <v>2</v>
      </c>
      <c r="AC3" t="s">
        <v>780</v>
      </c>
      <c r="AD3" t="s">
        <v>780</v>
      </c>
      <c r="AE3" t="s">
        <v>780</v>
      </c>
      <c r="AF3" t="s">
        <v>780</v>
      </c>
      <c r="AG3" t="s">
        <v>780</v>
      </c>
      <c r="AH3" t="s">
        <v>780</v>
      </c>
      <c r="AI3" t="s">
        <v>780</v>
      </c>
      <c r="AJ3" t="s">
        <v>780</v>
      </c>
      <c r="AK3" t="s">
        <v>780</v>
      </c>
      <c r="AL3" t="s">
        <v>780</v>
      </c>
      <c r="AM3" t="s">
        <v>780</v>
      </c>
      <c r="AN3" t="s">
        <v>780</v>
      </c>
      <c r="AO3" t="s">
        <v>780</v>
      </c>
      <c r="AP3" t="s">
        <v>780</v>
      </c>
      <c r="AQ3" s="57" t="s">
        <v>780</v>
      </c>
      <c r="AR3" s="57" t="s">
        <v>780</v>
      </c>
      <c r="AS3" t="s">
        <v>780</v>
      </c>
      <c r="AT3" t="s">
        <v>780</v>
      </c>
      <c r="AU3" t="s">
        <v>780</v>
      </c>
      <c r="AV3" t="s">
        <v>780</v>
      </c>
      <c r="AW3" t="s">
        <v>780</v>
      </c>
      <c r="AX3" t="s">
        <v>780</v>
      </c>
      <c r="AY3" t="s">
        <v>780</v>
      </c>
      <c r="AZ3" t="s">
        <v>780</v>
      </c>
      <c r="BA3" t="s">
        <v>780</v>
      </c>
      <c r="BB3" t="s">
        <v>780</v>
      </c>
      <c r="BC3" t="s">
        <v>780</v>
      </c>
      <c r="BD3" t="s">
        <v>780</v>
      </c>
      <c r="BE3" t="s">
        <v>780</v>
      </c>
      <c r="BF3" t="s">
        <v>780</v>
      </c>
      <c r="BG3" t="s">
        <v>780</v>
      </c>
      <c r="BH3" t="s">
        <v>780</v>
      </c>
      <c r="BI3" t="s">
        <v>780</v>
      </c>
      <c r="BJ3" t="s">
        <v>780</v>
      </c>
      <c r="BK3" t="s">
        <v>780</v>
      </c>
      <c r="BL3" t="s">
        <v>780</v>
      </c>
      <c r="BM3" t="s">
        <v>780</v>
      </c>
      <c r="BN3" t="s">
        <v>780</v>
      </c>
      <c r="BO3" s="58" t="s">
        <v>780</v>
      </c>
      <c r="BP3" s="58" t="s">
        <v>780</v>
      </c>
      <c r="BQ3" s="58" t="s">
        <v>780</v>
      </c>
      <c r="BR3" s="58" t="s">
        <v>780</v>
      </c>
      <c r="BS3" s="58" t="s">
        <v>780</v>
      </c>
      <c r="BT3" s="58" t="s">
        <v>780</v>
      </c>
      <c r="BU3" s="58" t="s">
        <v>780</v>
      </c>
      <c r="BV3" s="58" t="s">
        <v>780</v>
      </c>
      <c r="BW3" t="s">
        <v>780</v>
      </c>
      <c r="BX3" t="s">
        <v>780</v>
      </c>
      <c r="BY3" t="s">
        <v>780</v>
      </c>
      <c r="BZ3" t="s">
        <v>780</v>
      </c>
      <c r="CA3" t="s">
        <v>780</v>
      </c>
      <c r="CB3" t="s">
        <v>780</v>
      </c>
      <c r="CC3" t="s">
        <v>780</v>
      </c>
      <c r="CD3" t="s">
        <v>780</v>
      </c>
      <c r="CE3" t="s">
        <v>780</v>
      </c>
      <c r="CF3" t="s">
        <v>780</v>
      </c>
      <c r="CG3" t="s">
        <v>780</v>
      </c>
      <c r="CH3" t="s">
        <v>780</v>
      </c>
      <c r="CI3" t="s">
        <v>780</v>
      </c>
      <c r="CK3" t="s">
        <v>780</v>
      </c>
      <c r="CL3" t="s">
        <v>780</v>
      </c>
      <c r="CM3" t="s">
        <v>780</v>
      </c>
      <c r="CN3" s="58" t="s">
        <v>780</v>
      </c>
      <c r="CO3" s="58" t="s">
        <v>780</v>
      </c>
      <c r="CP3" s="31" t="s">
        <v>780</v>
      </c>
      <c r="CQ3" s="31" t="s">
        <v>780</v>
      </c>
      <c r="CR3" t="s">
        <v>780</v>
      </c>
      <c r="CS3" t="s">
        <v>780</v>
      </c>
      <c r="CT3" t="s">
        <v>780</v>
      </c>
      <c r="CU3" t="s">
        <v>780</v>
      </c>
      <c r="CV3" t="s">
        <v>780</v>
      </c>
      <c r="CW3" t="s">
        <v>780</v>
      </c>
      <c r="CX3" t="s">
        <v>780</v>
      </c>
      <c r="CZ3" t="s">
        <v>780</v>
      </c>
      <c r="DA3" t="s">
        <v>780</v>
      </c>
      <c r="DB3" t="s">
        <v>780</v>
      </c>
      <c r="DC3" t="s">
        <v>780</v>
      </c>
      <c r="DD3" t="s">
        <v>780</v>
      </c>
      <c r="DE3" t="s">
        <v>780</v>
      </c>
      <c r="DF3" s="27" t="s">
        <v>780</v>
      </c>
      <c r="DG3" s="27" t="s">
        <v>780</v>
      </c>
      <c r="DH3" s="27" t="s">
        <v>780</v>
      </c>
      <c r="DI3" s="27" t="s">
        <v>780</v>
      </c>
      <c r="DJ3" s="45" t="s">
        <v>780</v>
      </c>
      <c r="DK3" s="45" t="s">
        <v>780</v>
      </c>
      <c r="DL3" s="55" t="s">
        <v>780</v>
      </c>
      <c r="DM3" s="55" t="s">
        <v>780</v>
      </c>
      <c r="DN3" s="29" t="s">
        <v>780</v>
      </c>
      <c r="DO3" s="29" t="s">
        <v>780</v>
      </c>
      <c r="DP3" s="29" t="s">
        <v>780</v>
      </c>
      <c r="DQ3" s="29" t="s">
        <v>780</v>
      </c>
      <c r="DR3" s="29" t="s">
        <v>780</v>
      </c>
      <c r="DS3" s="29" t="s">
        <v>780</v>
      </c>
      <c r="DT3" s="29" t="s">
        <v>780</v>
      </c>
      <c r="DU3" s="29" t="s">
        <v>780</v>
      </c>
      <c r="DV3" s="31" t="s">
        <v>780</v>
      </c>
      <c r="DW3" s="31" t="s">
        <v>780</v>
      </c>
      <c r="DX3" t="s">
        <v>780</v>
      </c>
      <c r="DY3" t="s">
        <v>780</v>
      </c>
      <c r="DZ3" t="s">
        <v>780</v>
      </c>
      <c r="EA3" t="s">
        <v>780</v>
      </c>
      <c r="EB3" t="s">
        <v>780</v>
      </c>
      <c r="EC3" t="s">
        <v>780</v>
      </c>
      <c r="ED3" t="s">
        <v>780</v>
      </c>
      <c r="EE3" t="s">
        <v>780</v>
      </c>
      <c r="EF3" t="s">
        <v>780</v>
      </c>
      <c r="EG3" s="46" t="s">
        <v>780</v>
      </c>
      <c r="EH3" s="46" t="s">
        <v>780</v>
      </c>
      <c r="EI3" s="46" t="s">
        <v>780</v>
      </c>
      <c r="EJ3" s="46" t="s">
        <v>780</v>
      </c>
      <c r="EK3" t="s">
        <v>780</v>
      </c>
      <c r="EL3" t="s">
        <v>780</v>
      </c>
      <c r="EM3" t="s">
        <v>780</v>
      </c>
      <c r="EN3" t="s">
        <v>780</v>
      </c>
      <c r="EO3" t="s">
        <v>780</v>
      </c>
      <c r="EP3" t="s">
        <v>780</v>
      </c>
      <c r="EQ3" t="s">
        <v>780</v>
      </c>
      <c r="ER3" t="s">
        <v>780</v>
      </c>
      <c r="ES3" s="55" t="s">
        <v>780</v>
      </c>
      <c r="ET3" s="55" t="s">
        <v>780</v>
      </c>
      <c r="EU3" s="55" t="s">
        <v>780</v>
      </c>
      <c r="EV3" s="55" t="s">
        <v>780</v>
      </c>
      <c r="EW3" t="s">
        <v>780</v>
      </c>
      <c r="EX3" t="s">
        <v>780</v>
      </c>
      <c r="EY3" t="s">
        <v>780</v>
      </c>
      <c r="EZ3" t="s">
        <v>780</v>
      </c>
      <c r="FA3" t="s">
        <v>780</v>
      </c>
      <c r="FB3" t="s">
        <v>780</v>
      </c>
      <c r="FC3" t="s">
        <v>780</v>
      </c>
      <c r="FD3" t="s">
        <v>780</v>
      </c>
      <c r="FE3" t="s">
        <v>780</v>
      </c>
      <c r="FF3" t="s">
        <v>780</v>
      </c>
      <c r="FG3" t="s">
        <v>780</v>
      </c>
    </row>
    <row r="4" spans="1:163" ht="15.75" x14ac:dyDescent="0.25">
      <c r="A4" s="3" t="s">
        <v>774</v>
      </c>
      <c r="B4" s="3" t="s">
        <v>774</v>
      </c>
      <c r="C4" s="3" t="s">
        <v>793</v>
      </c>
      <c r="D4" s="3" t="s">
        <v>793</v>
      </c>
      <c r="E4" s="3" t="s">
        <v>1026</v>
      </c>
      <c r="F4" s="3" t="s">
        <v>1027</v>
      </c>
      <c r="G4" s="3" t="s">
        <v>772</v>
      </c>
      <c r="H4" s="3" t="str">
        <f t="shared" si="0"/>
        <v>CW_1_Section_2</v>
      </c>
      <c r="I4" s="3" t="str">
        <f t="shared" si="1"/>
        <v>CW_1_MF03</v>
      </c>
      <c r="J4" s="3" t="s">
        <v>1490</v>
      </c>
      <c r="K4" s="3" t="s">
        <v>1484</v>
      </c>
      <c r="L4" s="11" t="s">
        <v>1028</v>
      </c>
      <c r="M4" s="3" t="s">
        <v>1015</v>
      </c>
      <c r="N4" s="3" t="s">
        <v>1015</v>
      </c>
      <c r="O4" s="12" t="s">
        <v>1016</v>
      </c>
      <c r="P4" s="3" t="s">
        <v>1029</v>
      </c>
      <c r="Q4" s="3" t="s">
        <v>1018</v>
      </c>
      <c r="R4" s="3" t="s">
        <v>1019</v>
      </c>
      <c r="S4" s="3" t="str">
        <f t="shared" si="2"/>
        <v>P0_0.15-0.30</v>
      </c>
      <c r="T4" s="13" t="s">
        <v>1020</v>
      </c>
      <c r="U4" s="3" t="s">
        <v>1021</v>
      </c>
      <c r="V4" s="3">
        <v>150</v>
      </c>
      <c r="W4" s="3">
        <v>65</v>
      </c>
      <c r="X4" s="3">
        <v>14.95</v>
      </c>
      <c r="Y4" s="3">
        <v>3</v>
      </c>
      <c r="AC4" t="s">
        <v>780</v>
      </c>
      <c r="AD4" t="s">
        <v>780</v>
      </c>
      <c r="AE4" t="s">
        <v>780</v>
      </c>
      <c r="AF4" t="s">
        <v>780</v>
      </c>
      <c r="AG4" t="s">
        <v>780</v>
      </c>
      <c r="AH4" t="s">
        <v>780</v>
      </c>
      <c r="AI4" t="s">
        <v>780</v>
      </c>
      <c r="AJ4" t="s">
        <v>780</v>
      </c>
      <c r="AK4" t="s">
        <v>780</v>
      </c>
      <c r="AL4" t="s">
        <v>780</v>
      </c>
      <c r="AM4" t="s">
        <v>780</v>
      </c>
      <c r="AN4" t="s">
        <v>780</v>
      </c>
      <c r="AO4" t="s">
        <v>780</v>
      </c>
      <c r="AP4" t="s">
        <v>780</v>
      </c>
      <c r="AQ4" s="57" t="s">
        <v>780</v>
      </c>
      <c r="AR4" s="57" t="s">
        <v>780</v>
      </c>
      <c r="AS4" t="s">
        <v>780</v>
      </c>
      <c r="AT4" t="s">
        <v>780</v>
      </c>
      <c r="AU4" t="s">
        <v>780</v>
      </c>
      <c r="AV4" t="s">
        <v>780</v>
      </c>
      <c r="AW4" t="s">
        <v>780</v>
      </c>
      <c r="AX4" t="s">
        <v>780</v>
      </c>
      <c r="AY4" t="s">
        <v>780</v>
      </c>
      <c r="AZ4" t="s">
        <v>780</v>
      </c>
      <c r="BA4" t="s">
        <v>780</v>
      </c>
      <c r="BB4" t="s">
        <v>780</v>
      </c>
      <c r="BC4" t="s">
        <v>780</v>
      </c>
      <c r="BD4" t="s">
        <v>780</v>
      </c>
      <c r="BE4" t="s">
        <v>780</v>
      </c>
      <c r="BF4" t="s">
        <v>780</v>
      </c>
      <c r="BG4" t="s">
        <v>780</v>
      </c>
      <c r="BH4" t="s">
        <v>780</v>
      </c>
      <c r="BI4" t="s">
        <v>780</v>
      </c>
      <c r="BJ4" t="s">
        <v>780</v>
      </c>
      <c r="BK4" t="s">
        <v>780</v>
      </c>
      <c r="BL4" t="s">
        <v>780</v>
      </c>
      <c r="BM4" t="s">
        <v>780</v>
      </c>
      <c r="BN4" t="s">
        <v>780</v>
      </c>
      <c r="BO4" s="58" t="s">
        <v>780</v>
      </c>
      <c r="BP4" s="58" t="s">
        <v>780</v>
      </c>
      <c r="BQ4" s="58" t="s">
        <v>780</v>
      </c>
      <c r="BR4" s="58" t="s">
        <v>780</v>
      </c>
      <c r="BS4" s="58" t="s">
        <v>780</v>
      </c>
      <c r="BT4" s="58" t="s">
        <v>780</v>
      </c>
      <c r="BU4" s="58" t="s">
        <v>780</v>
      </c>
      <c r="BV4" s="58" t="s">
        <v>780</v>
      </c>
      <c r="BW4" t="s">
        <v>780</v>
      </c>
      <c r="BX4" t="s">
        <v>780</v>
      </c>
      <c r="BY4" t="s">
        <v>780</v>
      </c>
      <c r="BZ4" t="s">
        <v>780</v>
      </c>
      <c r="CA4" t="s">
        <v>780</v>
      </c>
      <c r="CB4" t="s">
        <v>780</v>
      </c>
      <c r="CC4" t="s">
        <v>780</v>
      </c>
      <c r="CD4" t="s">
        <v>780</v>
      </c>
      <c r="CE4" t="s">
        <v>780</v>
      </c>
      <c r="CF4" t="s">
        <v>780</v>
      </c>
      <c r="CG4" t="s">
        <v>780</v>
      </c>
      <c r="CH4" t="s">
        <v>780</v>
      </c>
      <c r="CI4" t="s">
        <v>780</v>
      </c>
      <c r="CK4" t="s">
        <v>780</v>
      </c>
      <c r="CL4" t="s">
        <v>780</v>
      </c>
      <c r="CM4" t="s">
        <v>780</v>
      </c>
      <c r="CN4" s="58" t="s">
        <v>780</v>
      </c>
      <c r="CO4" s="58" t="s">
        <v>780</v>
      </c>
      <c r="CP4" s="31" t="s">
        <v>780</v>
      </c>
      <c r="CQ4" s="31" t="s">
        <v>780</v>
      </c>
      <c r="CR4" t="s">
        <v>780</v>
      </c>
      <c r="CS4" t="s">
        <v>780</v>
      </c>
      <c r="CT4" t="s">
        <v>780</v>
      </c>
      <c r="CU4" t="s">
        <v>780</v>
      </c>
      <c r="CV4" t="s">
        <v>780</v>
      </c>
      <c r="CW4" t="s">
        <v>780</v>
      </c>
      <c r="CX4" t="s">
        <v>780</v>
      </c>
      <c r="CZ4" t="s">
        <v>780</v>
      </c>
      <c r="DA4" t="s">
        <v>780</v>
      </c>
      <c r="DB4" t="s">
        <v>780</v>
      </c>
      <c r="DC4" t="s">
        <v>780</v>
      </c>
      <c r="DD4" t="s">
        <v>780</v>
      </c>
      <c r="DE4" t="s">
        <v>780</v>
      </c>
      <c r="DF4" s="27" t="s">
        <v>780</v>
      </c>
      <c r="DG4" s="27" t="s">
        <v>780</v>
      </c>
      <c r="DH4" s="27" t="s">
        <v>780</v>
      </c>
      <c r="DI4" s="27" t="s">
        <v>780</v>
      </c>
      <c r="DJ4" s="45" t="s">
        <v>780</v>
      </c>
      <c r="DK4" s="45" t="s">
        <v>780</v>
      </c>
      <c r="DL4" s="55" t="s">
        <v>780</v>
      </c>
      <c r="DM4" s="55" t="s">
        <v>780</v>
      </c>
      <c r="DN4" s="29" t="s">
        <v>780</v>
      </c>
      <c r="DO4" s="29" t="s">
        <v>780</v>
      </c>
      <c r="DP4" s="29" t="s">
        <v>780</v>
      </c>
      <c r="DQ4" s="29" t="s">
        <v>780</v>
      </c>
      <c r="DR4" s="29" t="s">
        <v>780</v>
      </c>
      <c r="DS4" s="29" t="s">
        <v>780</v>
      </c>
      <c r="DT4" s="29" t="s">
        <v>780</v>
      </c>
      <c r="DU4" s="29" t="s">
        <v>780</v>
      </c>
      <c r="DV4" s="31" t="s">
        <v>780</v>
      </c>
      <c r="DW4" s="31" t="s">
        <v>780</v>
      </c>
      <c r="DX4" t="s">
        <v>780</v>
      </c>
      <c r="DY4" t="s">
        <v>780</v>
      </c>
      <c r="DZ4" t="s">
        <v>780</v>
      </c>
      <c r="EA4" t="s">
        <v>780</v>
      </c>
      <c r="EB4" t="s">
        <v>780</v>
      </c>
      <c r="EC4" t="s">
        <v>780</v>
      </c>
      <c r="ED4" t="s">
        <v>780</v>
      </c>
      <c r="EE4" t="s">
        <v>780</v>
      </c>
      <c r="EF4" t="s">
        <v>780</v>
      </c>
      <c r="EG4" s="46" t="s">
        <v>780</v>
      </c>
      <c r="EH4" s="46" t="s">
        <v>780</v>
      </c>
      <c r="EI4" s="46" t="s">
        <v>780</v>
      </c>
      <c r="EJ4" s="46" t="s">
        <v>780</v>
      </c>
      <c r="EK4" t="s">
        <v>780</v>
      </c>
      <c r="EL4" t="s">
        <v>780</v>
      </c>
      <c r="EM4" t="s">
        <v>780</v>
      </c>
      <c r="EN4" t="s">
        <v>780</v>
      </c>
      <c r="EO4" t="s">
        <v>780</v>
      </c>
      <c r="EP4" t="s">
        <v>780</v>
      </c>
      <c r="EQ4" t="s">
        <v>780</v>
      </c>
      <c r="ER4" t="s">
        <v>780</v>
      </c>
      <c r="ES4" s="55" t="s">
        <v>780</v>
      </c>
      <c r="ET4" s="55" t="s">
        <v>780</v>
      </c>
      <c r="EU4" s="55" t="s">
        <v>780</v>
      </c>
      <c r="EV4" s="55" t="s">
        <v>780</v>
      </c>
      <c r="EW4" t="s">
        <v>780</v>
      </c>
      <c r="EX4" t="s">
        <v>780</v>
      </c>
      <c r="EY4" t="s">
        <v>780</v>
      </c>
      <c r="EZ4" t="s">
        <v>780</v>
      </c>
      <c r="FA4" t="s">
        <v>780</v>
      </c>
      <c r="FB4" t="s">
        <v>780</v>
      </c>
      <c r="FC4" t="s">
        <v>780</v>
      </c>
      <c r="FD4" t="s">
        <v>780</v>
      </c>
      <c r="FE4" t="s">
        <v>780</v>
      </c>
      <c r="FF4" t="s">
        <v>780</v>
      </c>
      <c r="FG4" t="s">
        <v>780</v>
      </c>
    </row>
    <row r="5" spans="1:163" ht="15.75" x14ac:dyDescent="0.25">
      <c r="A5" s="3" t="s">
        <v>775</v>
      </c>
      <c r="B5" s="3" t="s">
        <v>775</v>
      </c>
      <c r="C5" s="3" t="s">
        <v>794</v>
      </c>
      <c r="D5" s="3" t="s">
        <v>794</v>
      </c>
      <c r="E5" s="3" t="s">
        <v>1030</v>
      </c>
      <c r="F5" s="3" t="s">
        <v>1027</v>
      </c>
      <c r="G5" s="3" t="s">
        <v>772</v>
      </c>
      <c r="H5" s="3" t="str">
        <f t="shared" si="0"/>
        <v>CW_1_Section_2</v>
      </c>
      <c r="I5" s="3" t="str">
        <f t="shared" si="1"/>
        <v>CW_1_MF04</v>
      </c>
      <c r="J5" s="3" t="s">
        <v>1491</v>
      </c>
      <c r="K5" s="3" t="s">
        <v>1484</v>
      </c>
      <c r="L5" s="11" t="s">
        <v>1031</v>
      </c>
      <c r="M5" s="3" t="s">
        <v>1024</v>
      </c>
      <c r="N5" s="3" t="s">
        <v>1024</v>
      </c>
      <c r="O5" s="12" t="s">
        <v>1016</v>
      </c>
      <c r="P5" s="3" t="s">
        <v>1032</v>
      </c>
      <c r="Q5" s="3" t="s">
        <v>1018</v>
      </c>
      <c r="R5" s="3" t="s">
        <v>1019</v>
      </c>
      <c r="S5" s="3" t="str">
        <f t="shared" si="2"/>
        <v>P0_0.60-0.80</v>
      </c>
      <c r="T5" s="13" t="s">
        <v>1020</v>
      </c>
      <c r="U5" s="3" t="s">
        <v>1021</v>
      </c>
      <c r="V5" s="3">
        <v>150</v>
      </c>
      <c r="W5" s="3">
        <v>65</v>
      </c>
      <c r="X5" s="3">
        <v>13.65</v>
      </c>
      <c r="Y5" s="3">
        <v>4</v>
      </c>
      <c r="AC5" t="s">
        <v>780</v>
      </c>
      <c r="AD5" t="s">
        <v>780</v>
      </c>
      <c r="AE5" t="s">
        <v>780</v>
      </c>
      <c r="AF5" t="s">
        <v>780</v>
      </c>
      <c r="AG5" t="s">
        <v>780</v>
      </c>
      <c r="AH5" t="s">
        <v>780</v>
      </c>
      <c r="AI5" t="s">
        <v>780</v>
      </c>
      <c r="AJ5" t="s">
        <v>780</v>
      </c>
      <c r="AK5" t="s">
        <v>780</v>
      </c>
      <c r="AL5" t="s">
        <v>780</v>
      </c>
      <c r="AM5" t="s">
        <v>780</v>
      </c>
      <c r="AN5" t="s">
        <v>780</v>
      </c>
      <c r="AO5" t="s">
        <v>780</v>
      </c>
      <c r="AP5" t="s">
        <v>780</v>
      </c>
      <c r="AQ5" s="57" t="s">
        <v>780</v>
      </c>
      <c r="AR5" s="57" t="s">
        <v>780</v>
      </c>
      <c r="AS5" t="s">
        <v>780</v>
      </c>
      <c r="AT5" t="s">
        <v>780</v>
      </c>
      <c r="AU5" t="s">
        <v>780</v>
      </c>
      <c r="AV5" t="s">
        <v>780</v>
      </c>
      <c r="AW5" t="s">
        <v>780</v>
      </c>
      <c r="AX5" t="s">
        <v>780</v>
      </c>
      <c r="AY5" t="s">
        <v>780</v>
      </c>
      <c r="AZ5" t="s">
        <v>780</v>
      </c>
      <c r="BA5" t="s">
        <v>780</v>
      </c>
      <c r="BB5" t="s">
        <v>780</v>
      </c>
      <c r="BC5" t="s">
        <v>780</v>
      </c>
      <c r="BD5" t="s">
        <v>780</v>
      </c>
      <c r="BE5" t="s">
        <v>780</v>
      </c>
      <c r="BF5" t="s">
        <v>780</v>
      </c>
      <c r="BG5" t="s">
        <v>780</v>
      </c>
      <c r="BH5" t="s">
        <v>780</v>
      </c>
      <c r="BI5" t="s">
        <v>780</v>
      </c>
      <c r="BJ5" t="s">
        <v>780</v>
      </c>
      <c r="BK5" t="s">
        <v>780</v>
      </c>
      <c r="BL5" t="s">
        <v>780</v>
      </c>
      <c r="BM5" t="s">
        <v>780</v>
      </c>
      <c r="BN5" t="s">
        <v>780</v>
      </c>
      <c r="BO5" s="58" t="s">
        <v>780</v>
      </c>
      <c r="BP5" s="58" t="s">
        <v>780</v>
      </c>
      <c r="BQ5" s="58" t="s">
        <v>780</v>
      </c>
      <c r="BR5" s="58" t="s">
        <v>780</v>
      </c>
      <c r="BS5" s="58" t="s">
        <v>780</v>
      </c>
      <c r="BT5" s="58" t="s">
        <v>780</v>
      </c>
      <c r="BU5" s="58" t="s">
        <v>780</v>
      </c>
      <c r="BV5" s="58" t="s">
        <v>780</v>
      </c>
      <c r="BW5" t="s">
        <v>780</v>
      </c>
      <c r="BX5" t="s">
        <v>780</v>
      </c>
      <c r="BY5" t="s">
        <v>780</v>
      </c>
      <c r="BZ5" t="s">
        <v>780</v>
      </c>
      <c r="CA5" t="s">
        <v>780</v>
      </c>
      <c r="CB5" t="s">
        <v>780</v>
      </c>
      <c r="CC5" t="s">
        <v>780</v>
      </c>
      <c r="CD5" t="s">
        <v>780</v>
      </c>
      <c r="CE5" t="s">
        <v>780</v>
      </c>
      <c r="CF5" t="s">
        <v>780</v>
      </c>
      <c r="CG5" t="s">
        <v>780</v>
      </c>
      <c r="CH5" t="s">
        <v>780</v>
      </c>
      <c r="CI5" t="s">
        <v>780</v>
      </c>
      <c r="CK5" t="s">
        <v>780</v>
      </c>
      <c r="CL5" t="s">
        <v>780</v>
      </c>
      <c r="CM5" t="s">
        <v>780</v>
      </c>
      <c r="CN5" s="58" t="s">
        <v>780</v>
      </c>
      <c r="CO5" s="58" t="s">
        <v>780</v>
      </c>
      <c r="CP5" s="31" t="s">
        <v>780</v>
      </c>
      <c r="CQ5" s="31" t="s">
        <v>780</v>
      </c>
      <c r="CR5" t="s">
        <v>780</v>
      </c>
      <c r="CS5" t="s">
        <v>780</v>
      </c>
      <c r="CT5" t="s">
        <v>780</v>
      </c>
      <c r="CU5" t="s">
        <v>780</v>
      </c>
      <c r="CV5" t="s">
        <v>780</v>
      </c>
      <c r="CW5" t="s">
        <v>780</v>
      </c>
      <c r="CX5" t="s">
        <v>780</v>
      </c>
      <c r="CZ5" t="s">
        <v>780</v>
      </c>
      <c r="DA5" t="s">
        <v>780</v>
      </c>
      <c r="DB5" t="s">
        <v>780</v>
      </c>
      <c r="DC5" t="s">
        <v>780</v>
      </c>
      <c r="DD5" t="s">
        <v>780</v>
      </c>
      <c r="DE5" t="s">
        <v>780</v>
      </c>
      <c r="DF5" s="27" t="s">
        <v>780</v>
      </c>
      <c r="DG5" s="27" t="s">
        <v>780</v>
      </c>
      <c r="DH5" s="27" t="s">
        <v>780</v>
      </c>
      <c r="DI5" s="27" t="s">
        <v>780</v>
      </c>
      <c r="DJ5" s="45" t="s">
        <v>780</v>
      </c>
      <c r="DK5" s="45" t="s">
        <v>780</v>
      </c>
      <c r="DL5" s="55" t="s">
        <v>780</v>
      </c>
      <c r="DM5" s="55" t="s">
        <v>780</v>
      </c>
      <c r="DN5" s="29" t="s">
        <v>780</v>
      </c>
      <c r="DO5" s="29" t="s">
        <v>780</v>
      </c>
      <c r="DP5" s="29" t="s">
        <v>780</v>
      </c>
      <c r="DQ5" s="29" t="s">
        <v>780</v>
      </c>
      <c r="DR5" s="29" t="s">
        <v>780</v>
      </c>
      <c r="DS5" s="29" t="s">
        <v>780</v>
      </c>
      <c r="DT5" s="29" t="s">
        <v>780</v>
      </c>
      <c r="DU5" s="29" t="s">
        <v>780</v>
      </c>
      <c r="DV5" s="31" t="s">
        <v>780</v>
      </c>
      <c r="DW5" s="31" t="s">
        <v>780</v>
      </c>
      <c r="DX5" t="s">
        <v>780</v>
      </c>
      <c r="DY5" t="s">
        <v>780</v>
      </c>
      <c r="DZ5" t="s">
        <v>780</v>
      </c>
      <c r="EA5" t="s">
        <v>780</v>
      </c>
      <c r="EB5" t="s">
        <v>780</v>
      </c>
      <c r="EC5" t="s">
        <v>780</v>
      </c>
      <c r="ED5" t="s">
        <v>780</v>
      </c>
      <c r="EE5" t="s">
        <v>780</v>
      </c>
      <c r="EF5" t="s">
        <v>780</v>
      </c>
      <c r="EG5" s="46" t="s">
        <v>780</v>
      </c>
      <c r="EH5" s="46" t="s">
        <v>780</v>
      </c>
      <c r="EI5" s="46" t="s">
        <v>780</v>
      </c>
      <c r="EJ5" s="46" t="s">
        <v>780</v>
      </c>
      <c r="EK5" t="s">
        <v>780</v>
      </c>
      <c r="EL5" t="s">
        <v>780</v>
      </c>
      <c r="EM5" t="s">
        <v>780</v>
      </c>
      <c r="EN5" t="s">
        <v>780</v>
      </c>
      <c r="EO5" t="s">
        <v>780</v>
      </c>
      <c r="EP5" t="s">
        <v>780</v>
      </c>
      <c r="EQ5" t="s">
        <v>780</v>
      </c>
      <c r="ER5" t="s">
        <v>780</v>
      </c>
      <c r="ES5" s="55" t="s">
        <v>780</v>
      </c>
      <c r="ET5" s="55" t="s">
        <v>780</v>
      </c>
      <c r="EU5" s="55" t="s">
        <v>780</v>
      </c>
      <c r="EV5" s="55" t="s">
        <v>780</v>
      </c>
      <c r="EW5" t="s">
        <v>780</v>
      </c>
      <c r="EX5" t="s">
        <v>780</v>
      </c>
      <c r="EY5" t="s">
        <v>780</v>
      </c>
      <c r="EZ5" t="s">
        <v>780</v>
      </c>
      <c r="FA5" t="s">
        <v>780</v>
      </c>
      <c r="FB5" t="s">
        <v>780</v>
      </c>
      <c r="FC5" t="s">
        <v>780</v>
      </c>
      <c r="FD5" t="s">
        <v>780</v>
      </c>
      <c r="FE5" t="s">
        <v>780</v>
      </c>
      <c r="FF5" t="s">
        <v>780</v>
      </c>
      <c r="FG5" t="s">
        <v>780</v>
      </c>
    </row>
    <row r="6" spans="1:163" ht="15.75" x14ac:dyDescent="0.25">
      <c r="A6" s="3" t="s">
        <v>776</v>
      </c>
      <c r="B6" s="3" t="s">
        <v>776</v>
      </c>
      <c r="C6" s="3" t="s">
        <v>795</v>
      </c>
      <c r="D6" s="3" t="s">
        <v>795</v>
      </c>
      <c r="E6" s="3" t="s">
        <v>1033</v>
      </c>
      <c r="F6" s="3" t="s">
        <v>1034</v>
      </c>
      <c r="G6" s="3" t="s">
        <v>772</v>
      </c>
      <c r="H6" s="3" t="str">
        <f t="shared" si="0"/>
        <v>CW_1_Section_3</v>
      </c>
      <c r="I6" s="3" t="str">
        <f t="shared" si="1"/>
        <v>CW_1_MF09</v>
      </c>
      <c r="J6" s="3" t="s">
        <v>1492</v>
      </c>
      <c r="K6" s="3" t="s">
        <v>1484</v>
      </c>
      <c r="L6" s="11" t="s">
        <v>1035</v>
      </c>
      <c r="M6" s="3" t="s">
        <v>1015</v>
      </c>
      <c r="N6" s="3" t="s">
        <v>1015</v>
      </c>
      <c r="O6" s="12" t="s">
        <v>1016</v>
      </c>
      <c r="P6" s="3" t="s">
        <v>1036</v>
      </c>
      <c r="Q6" s="3" t="s">
        <v>1018</v>
      </c>
      <c r="R6" s="3" t="s">
        <v>1019</v>
      </c>
      <c r="S6" s="3" t="str">
        <f t="shared" si="2"/>
        <v>P0_0.15-0.30</v>
      </c>
      <c r="T6" s="13" t="s">
        <v>1020</v>
      </c>
      <c r="U6" s="3" t="s">
        <v>1021</v>
      </c>
      <c r="V6" s="3">
        <v>150</v>
      </c>
      <c r="W6" s="3">
        <v>65</v>
      </c>
      <c r="X6" s="3">
        <v>11.85</v>
      </c>
      <c r="Y6" s="3">
        <v>5</v>
      </c>
      <c r="AC6" t="s">
        <v>780</v>
      </c>
      <c r="AD6" t="s">
        <v>780</v>
      </c>
      <c r="AE6" t="s">
        <v>780</v>
      </c>
      <c r="AF6" t="s">
        <v>780</v>
      </c>
      <c r="AG6" t="s">
        <v>780</v>
      </c>
      <c r="AH6" t="s">
        <v>780</v>
      </c>
      <c r="AI6" t="s">
        <v>780</v>
      </c>
      <c r="AJ6" t="s">
        <v>780</v>
      </c>
      <c r="AK6" t="s">
        <v>780</v>
      </c>
      <c r="AL6" t="s">
        <v>780</v>
      </c>
      <c r="AM6" t="s">
        <v>780</v>
      </c>
      <c r="AN6" t="s">
        <v>780</v>
      </c>
      <c r="AO6" t="s">
        <v>780</v>
      </c>
      <c r="AP6" t="s">
        <v>780</v>
      </c>
      <c r="AQ6" s="57" t="s">
        <v>780</v>
      </c>
      <c r="AR6" s="57" t="s">
        <v>780</v>
      </c>
      <c r="AS6" t="s">
        <v>780</v>
      </c>
      <c r="AT6" t="s">
        <v>780</v>
      </c>
      <c r="AU6" t="s">
        <v>780</v>
      </c>
      <c r="AV6" t="s">
        <v>780</v>
      </c>
      <c r="AW6" t="s">
        <v>780</v>
      </c>
      <c r="AX6" t="s">
        <v>780</v>
      </c>
      <c r="AY6" t="s">
        <v>780</v>
      </c>
      <c r="AZ6" t="s">
        <v>780</v>
      </c>
      <c r="BA6" t="s">
        <v>780</v>
      </c>
      <c r="BB6" t="s">
        <v>780</v>
      </c>
      <c r="BC6" t="s">
        <v>780</v>
      </c>
      <c r="BD6" t="s">
        <v>780</v>
      </c>
      <c r="BE6" t="s">
        <v>780</v>
      </c>
      <c r="BF6" t="s">
        <v>780</v>
      </c>
      <c r="BG6" t="s">
        <v>780</v>
      </c>
      <c r="BH6" t="s">
        <v>780</v>
      </c>
      <c r="BI6" t="s">
        <v>780</v>
      </c>
      <c r="BJ6" t="s">
        <v>780</v>
      </c>
      <c r="BK6" t="s">
        <v>780</v>
      </c>
      <c r="BL6" t="s">
        <v>780</v>
      </c>
      <c r="BM6" t="s">
        <v>780</v>
      </c>
      <c r="BN6" t="s">
        <v>780</v>
      </c>
      <c r="BO6" s="58" t="s">
        <v>780</v>
      </c>
      <c r="BP6" s="58" t="s">
        <v>780</v>
      </c>
      <c r="BQ6" s="58" t="s">
        <v>780</v>
      </c>
      <c r="BR6" s="58" t="s">
        <v>780</v>
      </c>
      <c r="BS6" s="58" t="s">
        <v>780</v>
      </c>
      <c r="BT6" s="58" t="s">
        <v>780</v>
      </c>
      <c r="BU6" s="58" t="s">
        <v>780</v>
      </c>
      <c r="BV6" s="58" t="s">
        <v>780</v>
      </c>
      <c r="BW6" t="s">
        <v>780</v>
      </c>
      <c r="BX6" t="s">
        <v>780</v>
      </c>
      <c r="BY6" t="s">
        <v>780</v>
      </c>
      <c r="BZ6" t="s">
        <v>780</v>
      </c>
      <c r="CA6" t="s">
        <v>780</v>
      </c>
      <c r="CB6" t="s">
        <v>780</v>
      </c>
      <c r="CC6" t="s">
        <v>780</v>
      </c>
      <c r="CD6" t="s">
        <v>780</v>
      </c>
      <c r="CE6" t="s">
        <v>780</v>
      </c>
      <c r="CF6" t="s">
        <v>780</v>
      </c>
      <c r="CG6" t="s">
        <v>780</v>
      </c>
      <c r="CH6" t="s">
        <v>780</v>
      </c>
      <c r="CI6" t="s">
        <v>780</v>
      </c>
      <c r="CK6" t="s">
        <v>780</v>
      </c>
      <c r="CL6" t="s">
        <v>780</v>
      </c>
      <c r="CM6" t="s">
        <v>780</v>
      </c>
      <c r="CN6" s="58" t="s">
        <v>780</v>
      </c>
      <c r="CO6" s="58" t="s">
        <v>780</v>
      </c>
      <c r="CP6" s="31" t="s">
        <v>780</v>
      </c>
      <c r="CQ6" s="31" t="s">
        <v>780</v>
      </c>
      <c r="CR6" t="s">
        <v>780</v>
      </c>
      <c r="CS6" t="s">
        <v>780</v>
      </c>
      <c r="CT6" t="s">
        <v>780</v>
      </c>
      <c r="CU6" t="s">
        <v>780</v>
      </c>
      <c r="CV6" t="s">
        <v>780</v>
      </c>
      <c r="CW6" t="s">
        <v>780</v>
      </c>
      <c r="CX6" t="s">
        <v>780</v>
      </c>
      <c r="CZ6" t="s">
        <v>780</v>
      </c>
      <c r="DA6" t="s">
        <v>780</v>
      </c>
      <c r="DB6" t="s">
        <v>780</v>
      </c>
      <c r="DC6" t="s">
        <v>780</v>
      </c>
      <c r="DD6" t="s">
        <v>780</v>
      </c>
      <c r="DE6" t="s">
        <v>780</v>
      </c>
      <c r="DF6" s="27" t="s">
        <v>780</v>
      </c>
      <c r="DG6" s="27" t="s">
        <v>780</v>
      </c>
      <c r="DH6" s="27" t="s">
        <v>780</v>
      </c>
      <c r="DI6" s="27" t="s">
        <v>780</v>
      </c>
      <c r="DJ6" s="45" t="s">
        <v>780</v>
      </c>
      <c r="DK6" s="45" t="s">
        <v>780</v>
      </c>
      <c r="DL6" s="55" t="s">
        <v>780</v>
      </c>
      <c r="DM6" s="55" t="s">
        <v>780</v>
      </c>
      <c r="DN6" s="29" t="s">
        <v>780</v>
      </c>
      <c r="DO6" s="29" t="s">
        <v>780</v>
      </c>
      <c r="DP6" s="29" t="s">
        <v>780</v>
      </c>
      <c r="DQ6" s="29" t="s">
        <v>780</v>
      </c>
      <c r="DR6" s="29" t="s">
        <v>780</v>
      </c>
      <c r="DS6" s="29" t="s">
        <v>780</v>
      </c>
      <c r="DT6" s="29" t="s">
        <v>780</v>
      </c>
      <c r="DU6" s="29" t="s">
        <v>780</v>
      </c>
      <c r="DV6" s="31" t="s">
        <v>780</v>
      </c>
      <c r="DW6" s="31" t="s">
        <v>780</v>
      </c>
      <c r="DX6" t="s">
        <v>780</v>
      </c>
      <c r="DY6" t="s">
        <v>780</v>
      </c>
      <c r="DZ6" t="s">
        <v>780</v>
      </c>
      <c r="EA6" t="s">
        <v>780</v>
      </c>
      <c r="EB6" t="s">
        <v>780</v>
      </c>
      <c r="EC6" t="s">
        <v>780</v>
      </c>
      <c r="ED6" t="s">
        <v>780</v>
      </c>
      <c r="EE6" t="s">
        <v>780</v>
      </c>
      <c r="EF6" t="s">
        <v>780</v>
      </c>
      <c r="EG6" s="46" t="s">
        <v>780</v>
      </c>
      <c r="EH6" s="46" t="s">
        <v>780</v>
      </c>
      <c r="EI6" s="46" t="s">
        <v>780</v>
      </c>
      <c r="EJ6" s="46" t="s">
        <v>780</v>
      </c>
      <c r="EK6" t="s">
        <v>780</v>
      </c>
      <c r="EL6" t="s">
        <v>780</v>
      </c>
      <c r="EM6" t="s">
        <v>780</v>
      </c>
      <c r="EN6" t="s">
        <v>780</v>
      </c>
      <c r="EO6" t="s">
        <v>780</v>
      </c>
      <c r="EP6" t="s">
        <v>780</v>
      </c>
      <c r="EQ6" t="s">
        <v>780</v>
      </c>
      <c r="ER6" t="s">
        <v>780</v>
      </c>
      <c r="ES6" s="55" t="s">
        <v>780</v>
      </c>
      <c r="ET6" s="55" t="s">
        <v>780</v>
      </c>
      <c r="EU6" s="55" t="s">
        <v>780</v>
      </c>
      <c r="EV6" s="55" t="s">
        <v>780</v>
      </c>
      <c r="EW6" t="s">
        <v>780</v>
      </c>
      <c r="EX6" t="s">
        <v>780</v>
      </c>
      <c r="EY6" t="s">
        <v>780</v>
      </c>
      <c r="EZ6" t="s">
        <v>780</v>
      </c>
      <c r="FA6" t="s">
        <v>780</v>
      </c>
      <c r="FB6" t="s">
        <v>780</v>
      </c>
      <c r="FC6" t="s">
        <v>780</v>
      </c>
      <c r="FD6" t="s">
        <v>780</v>
      </c>
      <c r="FE6" t="s">
        <v>780</v>
      </c>
      <c r="FF6" t="s">
        <v>780</v>
      </c>
      <c r="FG6" t="s">
        <v>780</v>
      </c>
    </row>
    <row r="7" spans="1:163" ht="15.75" x14ac:dyDescent="0.25">
      <c r="A7" s="3" t="s">
        <v>777</v>
      </c>
      <c r="B7" s="3" t="s">
        <v>777</v>
      </c>
      <c r="C7" s="3" t="s">
        <v>796</v>
      </c>
      <c r="D7" s="3" t="s">
        <v>796</v>
      </c>
      <c r="E7" s="3" t="s">
        <v>1037</v>
      </c>
      <c r="F7" s="3" t="s">
        <v>1034</v>
      </c>
      <c r="G7" s="3" t="s">
        <v>772</v>
      </c>
      <c r="H7" s="3" t="str">
        <f t="shared" si="0"/>
        <v>CW_1_Section_3</v>
      </c>
      <c r="I7" s="3" t="str">
        <f t="shared" si="1"/>
        <v>CW_1_MF10</v>
      </c>
      <c r="J7" s="3" t="s">
        <v>1493</v>
      </c>
      <c r="K7" s="3" t="s">
        <v>1484</v>
      </c>
      <c r="L7" s="11" t="s">
        <v>1038</v>
      </c>
      <c r="M7" s="3" t="s">
        <v>1024</v>
      </c>
      <c r="N7" s="3" t="s">
        <v>1024</v>
      </c>
      <c r="O7" s="12" t="s">
        <v>1016</v>
      </c>
      <c r="P7" s="3" t="s">
        <v>1039</v>
      </c>
      <c r="Q7" s="3" t="s">
        <v>1018</v>
      </c>
      <c r="R7" s="3" t="s">
        <v>1019</v>
      </c>
      <c r="S7" s="3" t="str">
        <f t="shared" si="2"/>
        <v>P0_0.60-0.80</v>
      </c>
      <c r="T7" s="13" t="s">
        <v>1020</v>
      </c>
      <c r="U7" s="3" t="s">
        <v>1021</v>
      </c>
      <c r="V7" s="3">
        <v>150</v>
      </c>
      <c r="W7" s="3">
        <v>65</v>
      </c>
      <c r="X7" s="3">
        <v>12</v>
      </c>
      <c r="Y7" s="3">
        <v>6</v>
      </c>
      <c r="AC7" t="s">
        <v>780</v>
      </c>
      <c r="AD7" t="s">
        <v>780</v>
      </c>
      <c r="AE7" t="s">
        <v>780</v>
      </c>
      <c r="AF7" t="s">
        <v>780</v>
      </c>
      <c r="AG7" t="s">
        <v>780</v>
      </c>
      <c r="AH7" t="s">
        <v>780</v>
      </c>
      <c r="AI7" t="s">
        <v>780</v>
      </c>
      <c r="AJ7" t="s">
        <v>780</v>
      </c>
      <c r="AK7" t="s">
        <v>780</v>
      </c>
      <c r="AL7" t="s">
        <v>780</v>
      </c>
      <c r="AM7" t="s">
        <v>780</v>
      </c>
      <c r="AN7" t="s">
        <v>780</v>
      </c>
      <c r="AO7" t="s">
        <v>780</v>
      </c>
      <c r="AP7" t="s">
        <v>780</v>
      </c>
      <c r="AQ7" s="57" t="s">
        <v>780</v>
      </c>
      <c r="AR7" s="57" t="s">
        <v>780</v>
      </c>
      <c r="AS7" t="s">
        <v>780</v>
      </c>
      <c r="AT7" t="s">
        <v>780</v>
      </c>
      <c r="AU7" t="s">
        <v>780</v>
      </c>
      <c r="AV7" t="s">
        <v>780</v>
      </c>
      <c r="AW7" t="s">
        <v>780</v>
      </c>
      <c r="AX7" t="s">
        <v>780</v>
      </c>
      <c r="AY7" t="s">
        <v>780</v>
      </c>
      <c r="AZ7" t="s">
        <v>780</v>
      </c>
      <c r="BA7" t="s">
        <v>780</v>
      </c>
      <c r="BB7" t="s">
        <v>780</v>
      </c>
      <c r="BC7" t="s">
        <v>780</v>
      </c>
      <c r="BD7" t="s">
        <v>780</v>
      </c>
      <c r="BE7" t="s">
        <v>780</v>
      </c>
      <c r="BF7" t="s">
        <v>780</v>
      </c>
      <c r="BG7" t="s">
        <v>780</v>
      </c>
      <c r="BH7" t="s">
        <v>780</v>
      </c>
      <c r="BI7" t="s">
        <v>780</v>
      </c>
      <c r="BJ7" t="s">
        <v>780</v>
      </c>
      <c r="BK7" t="s">
        <v>780</v>
      </c>
      <c r="BL7" t="s">
        <v>780</v>
      </c>
      <c r="BM7" t="s">
        <v>780</v>
      </c>
      <c r="BN7" t="s">
        <v>780</v>
      </c>
      <c r="BO7" s="58" t="s">
        <v>780</v>
      </c>
      <c r="BP7" s="58" t="s">
        <v>780</v>
      </c>
      <c r="BQ7" s="58" t="s">
        <v>780</v>
      </c>
      <c r="BR7" s="58" t="s">
        <v>780</v>
      </c>
      <c r="BS7" s="58" t="s">
        <v>780</v>
      </c>
      <c r="BT7" s="58" t="s">
        <v>780</v>
      </c>
      <c r="BU7" s="58" t="s">
        <v>780</v>
      </c>
      <c r="BV7" s="58" t="s">
        <v>780</v>
      </c>
      <c r="BW7" t="s">
        <v>780</v>
      </c>
      <c r="BX7" t="s">
        <v>780</v>
      </c>
      <c r="BY7" t="s">
        <v>780</v>
      </c>
      <c r="BZ7" t="s">
        <v>780</v>
      </c>
      <c r="CA7" t="s">
        <v>780</v>
      </c>
      <c r="CB7" t="s">
        <v>780</v>
      </c>
      <c r="CC7" t="s">
        <v>780</v>
      </c>
      <c r="CD7" t="s">
        <v>780</v>
      </c>
      <c r="CE7" t="s">
        <v>780</v>
      </c>
      <c r="CF7" t="s">
        <v>780</v>
      </c>
      <c r="CG7" t="s">
        <v>780</v>
      </c>
      <c r="CH7" t="s">
        <v>780</v>
      </c>
      <c r="CI7" t="s">
        <v>780</v>
      </c>
      <c r="CK7" t="s">
        <v>780</v>
      </c>
      <c r="CL7" t="s">
        <v>780</v>
      </c>
      <c r="CM7" t="s">
        <v>780</v>
      </c>
      <c r="CN7" s="58" t="s">
        <v>780</v>
      </c>
      <c r="CO7" s="58" t="s">
        <v>780</v>
      </c>
      <c r="CP7" s="31" t="s">
        <v>780</v>
      </c>
      <c r="CQ7" s="31" t="s">
        <v>780</v>
      </c>
      <c r="CR7" t="s">
        <v>780</v>
      </c>
      <c r="CS7" t="s">
        <v>780</v>
      </c>
      <c r="CT7" t="s">
        <v>780</v>
      </c>
      <c r="CU7" t="s">
        <v>780</v>
      </c>
      <c r="CV7" t="s">
        <v>780</v>
      </c>
      <c r="CW7" t="s">
        <v>780</v>
      </c>
      <c r="CX7" t="s">
        <v>780</v>
      </c>
      <c r="CZ7" t="s">
        <v>780</v>
      </c>
      <c r="DA7" t="s">
        <v>780</v>
      </c>
      <c r="DB7" t="s">
        <v>780</v>
      </c>
      <c r="DC7" t="s">
        <v>780</v>
      </c>
      <c r="DD7" t="s">
        <v>780</v>
      </c>
      <c r="DE7" t="s">
        <v>780</v>
      </c>
      <c r="DF7" s="27" t="s">
        <v>780</v>
      </c>
      <c r="DG7" s="27" t="s">
        <v>780</v>
      </c>
      <c r="DH7" s="27" t="s">
        <v>780</v>
      </c>
      <c r="DI7" s="27" t="s">
        <v>780</v>
      </c>
      <c r="DJ7" s="45" t="s">
        <v>780</v>
      </c>
      <c r="DK7" s="45" t="s">
        <v>780</v>
      </c>
      <c r="DL7" s="55" t="s">
        <v>780</v>
      </c>
      <c r="DM7" s="55" t="s">
        <v>780</v>
      </c>
      <c r="DN7" s="29" t="s">
        <v>780</v>
      </c>
      <c r="DO7" s="29" t="s">
        <v>780</v>
      </c>
      <c r="DP7" s="29" t="s">
        <v>780</v>
      </c>
      <c r="DQ7" s="29" t="s">
        <v>780</v>
      </c>
      <c r="DR7" s="29" t="s">
        <v>780</v>
      </c>
      <c r="DS7" s="29" t="s">
        <v>780</v>
      </c>
      <c r="DT7" s="29" t="s">
        <v>780</v>
      </c>
      <c r="DU7" s="29" t="s">
        <v>780</v>
      </c>
      <c r="DV7" s="31" t="s">
        <v>780</v>
      </c>
      <c r="DW7" s="31" t="s">
        <v>780</v>
      </c>
      <c r="DX7" t="s">
        <v>780</v>
      </c>
      <c r="DY7" t="s">
        <v>780</v>
      </c>
      <c r="DZ7" t="s">
        <v>780</v>
      </c>
      <c r="EA7" t="s">
        <v>780</v>
      </c>
      <c r="EB7" t="s">
        <v>780</v>
      </c>
      <c r="EC7" t="s">
        <v>780</v>
      </c>
      <c r="ED7" t="s">
        <v>780</v>
      </c>
      <c r="EE7" t="s">
        <v>780</v>
      </c>
      <c r="EF7" t="s">
        <v>780</v>
      </c>
      <c r="EG7" s="46" t="s">
        <v>780</v>
      </c>
      <c r="EH7" s="46" t="s">
        <v>780</v>
      </c>
      <c r="EI7" s="46" t="s">
        <v>780</v>
      </c>
      <c r="EJ7" s="46" t="s">
        <v>780</v>
      </c>
      <c r="EK7" t="s">
        <v>780</v>
      </c>
      <c r="EL7" t="s">
        <v>780</v>
      </c>
      <c r="EM7" t="s">
        <v>780</v>
      </c>
      <c r="EN7" t="s">
        <v>780</v>
      </c>
      <c r="EO7" t="s">
        <v>780</v>
      </c>
      <c r="EP7" t="s">
        <v>780</v>
      </c>
      <c r="EQ7" t="s">
        <v>780</v>
      </c>
      <c r="ER7" t="s">
        <v>780</v>
      </c>
      <c r="ES7" s="55" t="s">
        <v>780</v>
      </c>
      <c r="ET7" s="55" t="s">
        <v>780</v>
      </c>
      <c r="EU7" s="55" t="s">
        <v>780</v>
      </c>
      <c r="EV7" s="55" t="s">
        <v>780</v>
      </c>
      <c r="EW7" t="s">
        <v>780</v>
      </c>
      <c r="EX7" t="s">
        <v>780</v>
      </c>
      <c r="EY7" t="s">
        <v>780</v>
      </c>
      <c r="EZ7" t="s">
        <v>780</v>
      </c>
      <c r="FA7" t="s">
        <v>780</v>
      </c>
      <c r="FB7" t="s">
        <v>780</v>
      </c>
      <c r="FC7" t="s">
        <v>780</v>
      </c>
      <c r="FD7" t="s">
        <v>780</v>
      </c>
      <c r="FE7" t="s">
        <v>780</v>
      </c>
      <c r="FF7" t="s">
        <v>780</v>
      </c>
      <c r="FG7" t="s">
        <v>780</v>
      </c>
    </row>
    <row r="8" spans="1:163" ht="15.75" x14ac:dyDescent="0.25">
      <c r="A8" s="3" t="s">
        <v>778</v>
      </c>
      <c r="B8" s="3" t="s">
        <v>778</v>
      </c>
      <c r="C8" s="3" t="s">
        <v>797</v>
      </c>
      <c r="D8" s="3" t="s">
        <v>797</v>
      </c>
      <c r="E8" s="3" t="s">
        <v>1040</v>
      </c>
      <c r="F8" s="3" t="s">
        <v>1041</v>
      </c>
      <c r="G8" s="3" t="s">
        <v>772</v>
      </c>
      <c r="H8" s="3" t="str">
        <f t="shared" si="0"/>
        <v>CW_1_Section_4</v>
      </c>
      <c r="I8" s="3" t="str">
        <f t="shared" si="1"/>
        <v>CW_1_MF11</v>
      </c>
      <c r="J8" s="3" t="s">
        <v>1494</v>
      </c>
      <c r="K8" s="3" t="s">
        <v>1484</v>
      </c>
      <c r="L8" s="11" t="s">
        <v>1042</v>
      </c>
      <c r="M8" s="3" t="s">
        <v>1015</v>
      </c>
      <c r="N8" s="3" t="s">
        <v>1015</v>
      </c>
      <c r="O8" s="12" t="s">
        <v>1016</v>
      </c>
      <c r="P8" s="3" t="s">
        <v>1043</v>
      </c>
      <c r="Q8" s="3" t="s">
        <v>1018</v>
      </c>
      <c r="R8" s="3" t="s">
        <v>1019</v>
      </c>
      <c r="S8" s="3" t="str">
        <f t="shared" si="2"/>
        <v>P0_0.15-0.30</v>
      </c>
      <c r="T8" s="13" t="s">
        <v>1020</v>
      </c>
      <c r="U8" s="3" t="s">
        <v>1021</v>
      </c>
      <c r="V8" s="3">
        <v>150</v>
      </c>
      <c r="W8" s="3">
        <v>65</v>
      </c>
      <c r="X8" s="3">
        <v>11.05</v>
      </c>
      <c r="Y8" s="3">
        <v>7</v>
      </c>
      <c r="AC8" t="s">
        <v>780</v>
      </c>
      <c r="AD8" t="s">
        <v>780</v>
      </c>
      <c r="AE8" t="s">
        <v>780</v>
      </c>
      <c r="AF8" t="s">
        <v>780</v>
      </c>
      <c r="AG8" t="s">
        <v>780</v>
      </c>
      <c r="AH8" t="s">
        <v>780</v>
      </c>
      <c r="AI8" t="s">
        <v>780</v>
      </c>
      <c r="AJ8" t="s">
        <v>780</v>
      </c>
      <c r="AK8" t="s">
        <v>780</v>
      </c>
      <c r="AL8" t="s">
        <v>780</v>
      </c>
      <c r="AM8" t="s">
        <v>780</v>
      </c>
      <c r="AN8" t="s">
        <v>780</v>
      </c>
      <c r="AO8" t="s">
        <v>780</v>
      </c>
      <c r="AP8" t="s">
        <v>780</v>
      </c>
      <c r="AQ8" s="57" t="s">
        <v>780</v>
      </c>
      <c r="AR8" s="57" t="s">
        <v>780</v>
      </c>
      <c r="AS8" t="s">
        <v>780</v>
      </c>
      <c r="AT8" t="s">
        <v>780</v>
      </c>
      <c r="AU8" t="s">
        <v>780</v>
      </c>
      <c r="AV8" t="s">
        <v>780</v>
      </c>
      <c r="AW8" t="s">
        <v>780</v>
      </c>
      <c r="AX8" t="s">
        <v>780</v>
      </c>
      <c r="AY8" t="s">
        <v>780</v>
      </c>
      <c r="AZ8" t="s">
        <v>780</v>
      </c>
      <c r="BA8" t="s">
        <v>780</v>
      </c>
      <c r="BB8" t="s">
        <v>780</v>
      </c>
      <c r="BC8" t="s">
        <v>780</v>
      </c>
      <c r="BD8" t="s">
        <v>780</v>
      </c>
      <c r="BE8" t="s">
        <v>780</v>
      </c>
      <c r="BF8" t="s">
        <v>780</v>
      </c>
      <c r="BG8" t="s">
        <v>780</v>
      </c>
      <c r="BH8" t="s">
        <v>780</v>
      </c>
      <c r="BI8" t="s">
        <v>780</v>
      </c>
      <c r="BJ8" t="s">
        <v>780</v>
      </c>
      <c r="BK8" t="s">
        <v>780</v>
      </c>
      <c r="BL8" t="s">
        <v>780</v>
      </c>
      <c r="BM8" t="s">
        <v>780</v>
      </c>
      <c r="BN8" t="s">
        <v>780</v>
      </c>
      <c r="BO8" s="58" t="s">
        <v>780</v>
      </c>
      <c r="BP8" s="58" t="s">
        <v>780</v>
      </c>
      <c r="BQ8" s="58" t="s">
        <v>780</v>
      </c>
      <c r="BR8" s="58" t="s">
        <v>780</v>
      </c>
      <c r="BS8" s="58" t="s">
        <v>780</v>
      </c>
      <c r="BT8" s="58" t="s">
        <v>780</v>
      </c>
      <c r="BU8" s="58" t="s">
        <v>780</v>
      </c>
      <c r="BV8" s="58" t="s">
        <v>780</v>
      </c>
      <c r="BW8" t="s">
        <v>780</v>
      </c>
      <c r="BX8" t="s">
        <v>780</v>
      </c>
      <c r="BY8" t="s">
        <v>780</v>
      </c>
      <c r="BZ8" t="s">
        <v>780</v>
      </c>
      <c r="CA8" t="s">
        <v>780</v>
      </c>
      <c r="CB8" t="s">
        <v>780</v>
      </c>
      <c r="CC8" t="s">
        <v>780</v>
      </c>
      <c r="CD8" t="s">
        <v>780</v>
      </c>
      <c r="CE8" t="s">
        <v>780</v>
      </c>
      <c r="CF8" t="s">
        <v>780</v>
      </c>
      <c r="CG8" t="s">
        <v>780</v>
      </c>
      <c r="CH8" t="s">
        <v>780</v>
      </c>
      <c r="CI8" t="s">
        <v>780</v>
      </c>
      <c r="CK8" t="s">
        <v>780</v>
      </c>
      <c r="CL8" t="s">
        <v>780</v>
      </c>
      <c r="CM8" t="s">
        <v>780</v>
      </c>
      <c r="CN8" s="58" t="s">
        <v>780</v>
      </c>
      <c r="CO8" s="58" t="s">
        <v>780</v>
      </c>
      <c r="CP8" s="31" t="s">
        <v>780</v>
      </c>
      <c r="CQ8" s="31" t="s">
        <v>780</v>
      </c>
      <c r="CR8" t="s">
        <v>780</v>
      </c>
      <c r="CS8" t="s">
        <v>780</v>
      </c>
      <c r="CT8" t="s">
        <v>780</v>
      </c>
      <c r="CU8" t="s">
        <v>780</v>
      </c>
      <c r="CV8" t="s">
        <v>780</v>
      </c>
      <c r="CW8" t="s">
        <v>780</v>
      </c>
      <c r="CX8" t="s">
        <v>780</v>
      </c>
      <c r="CZ8" t="s">
        <v>780</v>
      </c>
      <c r="DA8" t="s">
        <v>780</v>
      </c>
      <c r="DB8" t="s">
        <v>780</v>
      </c>
      <c r="DC8" t="s">
        <v>780</v>
      </c>
      <c r="DD8" t="s">
        <v>780</v>
      </c>
      <c r="DE8" t="s">
        <v>780</v>
      </c>
      <c r="DF8" s="27" t="s">
        <v>780</v>
      </c>
      <c r="DG8" s="27" t="s">
        <v>780</v>
      </c>
      <c r="DH8" s="27" t="s">
        <v>780</v>
      </c>
      <c r="DI8" s="27" t="s">
        <v>780</v>
      </c>
      <c r="DJ8" s="45" t="s">
        <v>780</v>
      </c>
      <c r="DK8" s="45" t="s">
        <v>780</v>
      </c>
      <c r="DL8" s="55" t="s">
        <v>780</v>
      </c>
      <c r="DM8" s="55" t="s">
        <v>780</v>
      </c>
      <c r="DN8" s="29" t="s">
        <v>780</v>
      </c>
      <c r="DO8" s="29" t="s">
        <v>780</v>
      </c>
      <c r="DP8" s="29" t="s">
        <v>780</v>
      </c>
      <c r="DQ8" s="29" t="s">
        <v>780</v>
      </c>
      <c r="DR8" s="29" t="s">
        <v>780</v>
      </c>
      <c r="DS8" s="29" t="s">
        <v>780</v>
      </c>
      <c r="DT8" s="29" t="s">
        <v>780</v>
      </c>
      <c r="DU8" s="29" t="s">
        <v>780</v>
      </c>
      <c r="DV8" s="31" t="s">
        <v>780</v>
      </c>
      <c r="DW8" s="31" t="s">
        <v>780</v>
      </c>
      <c r="DX8" t="s">
        <v>780</v>
      </c>
      <c r="DY8" t="s">
        <v>780</v>
      </c>
      <c r="DZ8" t="s">
        <v>780</v>
      </c>
      <c r="EA8" t="s">
        <v>780</v>
      </c>
      <c r="EB8" t="s">
        <v>780</v>
      </c>
      <c r="EC8" t="s">
        <v>780</v>
      </c>
      <c r="ED8" t="s">
        <v>780</v>
      </c>
      <c r="EE8" t="s">
        <v>780</v>
      </c>
      <c r="EF8" t="s">
        <v>780</v>
      </c>
      <c r="EG8" s="46" t="s">
        <v>780</v>
      </c>
      <c r="EH8" s="46" t="s">
        <v>780</v>
      </c>
      <c r="EI8" s="46" t="s">
        <v>780</v>
      </c>
      <c r="EJ8" s="46" t="s">
        <v>780</v>
      </c>
      <c r="EK8" t="s">
        <v>780</v>
      </c>
      <c r="EL8" t="s">
        <v>780</v>
      </c>
      <c r="EM8" t="s">
        <v>780</v>
      </c>
      <c r="EN8" t="s">
        <v>780</v>
      </c>
      <c r="EO8" t="s">
        <v>780</v>
      </c>
      <c r="EP8" t="s">
        <v>780</v>
      </c>
      <c r="EQ8" t="s">
        <v>780</v>
      </c>
      <c r="ER8" t="s">
        <v>780</v>
      </c>
      <c r="ES8" s="55" t="s">
        <v>780</v>
      </c>
      <c r="ET8" s="55" t="s">
        <v>780</v>
      </c>
      <c r="EU8" s="55" t="s">
        <v>780</v>
      </c>
      <c r="EV8" s="55" t="s">
        <v>780</v>
      </c>
      <c r="EW8" t="s">
        <v>780</v>
      </c>
      <c r="EX8" t="s">
        <v>780</v>
      </c>
      <c r="EY8" t="s">
        <v>780</v>
      </c>
      <c r="EZ8" t="s">
        <v>780</v>
      </c>
      <c r="FA8" t="s">
        <v>780</v>
      </c>
      <c r="FB8" t="s">
        <v>780</v>
      </c>
      <c r="FC8" t="s">
        <v>780</v>
      </c>
      <c r="FD8" t="s">
        <v>780</v>
      </c>
      <c r="FE8" t="s">
        <v>780</v>
      </c>
      <c r="FF8" t="s">
        <v>780</v>
      </c>
      <c r="FG8" t="s">
        <v>780</v>
      </c>
    </row>
    <row r="9" spans="1:163" ht="15.75" x14ac:dyDescent="0.25">
      <c r="A9" s="3" t="s">
        <v>779</v>
      </c>
      <c r="B9" s="3" t="s">
        <v>779</v>
      </c>
      <c r="C9" s="3" t="s">
        <v>798</v>
      </c>
      <c r="D9" s="3" t="s">
        <v>798</v>
      </c>
      <c r="E9" s="3" t="s">
        <v>1044</v>
      </c>
      <c r="F9" s="3" t="s">
        <v>1041</v>
      </c>
      <c r="G9" s="3" t="s">
        <v>772</v>
      </c>
      <c r="H9" s="3" t="str">
        <f t="shared" si="0"/>
        <v>CW_1_Section_4</v>
      </c>
      <c r="I9" s="3" t="str">
        <f t="shared" si="1"/>
        <v>CW_1_MF12</v>
      </c>
      <c r="J9" s="3" t="s">
        <v>1495</v>
      </c>
      <c r="K9" s="3" t="s">
        <v>1484</v>
      </c>
      <c r="L9" s="11" t="s">
        <v>1045</v>
      </c>
      <c r="M9" s="3" t="s">
        <v>1024</v>
      </c>
      <c r="N9" s="3" t="s">
        <v>1024</v>
      </c>
      <c r="O9" s="12" t="s">
        <v>1016</v>
      </c>
      <c r="P9" s="3" t="s">
        <v>1046</v>
      </c>
      <c r="Q9" s="3" t="s">
        <v>1018</v>
      </c>
      <c r="R9" s="3" t="s">
        <v>1019</v>
      </c>
      <c r="S9" s="3" t="str">
        <f t="shared" si="2"/>
        <v>P0_0.60-0.80</v>
      </c>
      <c r="T9" s="13" t="s">
        <v>1020</v>
      </c>
      <c r="U9" s="3" t="s">
        <v>1021</v>
      </c>
      <c r="V9" s="3">
        <v>150</v>
      </c>
      <c r="W9" s="3">
        <v>65</v>
      </c>
      <c r="X9" s="3">
        <v>10.65</v>
      </c>
      <c r="Y9" s="3">
        <v>8</v>
      </c>
      <c r="AC9" t="s">
        <v>780</v>
      </c>
      <c r="AD9" t="s">
        <v>780</v>
      </c>
      <c r="AE9" t="s">
        <v>780</v>
      </c>
      <c r="AF9" t="s">
        <v>780</v>
      </c>
      <c r="AG9" t="s">
        <v>780</v>
      </c>
      <c r="AH9" t="s">
        <v>780</v>
      </c>
      <c r="AI9" t="s">
        <v>780</v>
      </c>
      <c r="AJ9" t="s">
        <v>780</v>
      </c>
      <c r="AK9" t="s">
        <v>780</v>
      </c>
      <c r="AL9" t="s">
        <v>780</v>
      </c>
      <c r="AM9" t="s">
        <v>780</v>
      </c>
      <c r="AN9" t="s">
        <v>780</v>
      </c>
      <c r="AO9" t="s">
        <v>780</v>
      </c>
      <c r="AP9" t="s">
        <v>780</v>
      </c>
      <c r="AQ9" s="57" t="s">
        <v>780</v>
      </c>
      <c r="AR9" s="57" t="s">
        <v>780</v>
      </c>
      <c r="AS9" t="s">
        <v>780</v>
      </c>
      <c r="AT9" t="s">
        <v>780</v>
      </c>
      <c r="AU9" t="s">
        <v>780</v>
      </c>
      <c r="AV9" t="s">
        <v>780</v>
      </c>
      <c r="AW9" t="s">
        <v>780</v>
      </c>
      <c r="AX9" t="s">
        <v>780</v>
      </c>
      <c r="AY9" t="s">
        <v>780</v>
      </c>
      <c r="AZ9" t="s">
        <v>780</v>
      </c>
      <c r="BA9" t="s">
        <v>780</v>
      </c>
      <c r="BB9" t="s">
        <v>780</v>
      </c>
      <c r="BC9" t="s">
        <v>780</v>
      </c>
      <c r="BD9" t="s">
        <v>780</v>
      </c>
      <c r="BE9" t="s">
        <v>780</v>
      </c>
      <c r="BF9" t="s">
        <v>780</v>
      </c>
      <c r="BG9" t="s">
        <v>780</v>
      </c>
      <c r="BH9" t="s">
        <v>780</v>
      </c>
      <c r="BI9" t="s">
        <v>780</v>
      </c>
      <c r="BJ9" t="s">
        <v>780</v>
      </c>
      <c r="BK9" t="s">
        <v>780</v>
      </c>
      <c r="BL9" t="s">
        <v>780</v>
      </c>
      <c r="BM9" t="s">
        <v>780</v>
      </c>
      <c r="BN9" t="s">
        <v>780</v>
      </c>
      <c r="BO9" s="58" t="s">
        <v>780</v>
      </c>
      <c r="BP9" s="58" t="s">
        <v>780</v>
      </c>
      <c r="BQ9" s="58" t="s">
        <v>780</v>
      </c>
      <c r="BR9" s="58" t="s">
        <v>780</v>
      </c>
      <c r="BS9" s="58" t="s">
        <v>780</v>
      </c>
      <c r="BT9" s="58" t="s">
        <v>780</v>
      </c>
      <c r="BU9" s="58" t="s">
        <v>780</v>
      </c>
      <c r="BV9" s="58" t="s">
        <v>780</v>
      </c>
      <c r="BW9" t="s">
        <v>780</v>
      </c>
      <c r="BX9" t="s">
        <v>780</v>
      </c>
      <c r="BY9" t="s">
        <v>780</v>
      </c>
      <c r="BZ9" t="s">
        <v>780</v>
      </c>
      <c r="CA9" t="s">
        <v>780</v>
      </c>
      <c r="CB9" t="s">
        <v>780</v>
      </c>
      <c r="CC9" t="s">
        <v>780</v>
      </c>
      <c r="CD9" t="s">
        <v>780</v>
      </c>
      <c r="CE9" t="s">
        <v>780</v>
      </c>
      <c r="CF9" t="s">
        <v>780</v>
      </c>
      <c r="CG9" t="s">
        <v>780</v>
      </c>
      <c r="CH9" t="s">
        <v>780</v>
      </c>
      <c r="CI9" t="s">
        <v>780</v>
      </c>
      <c r="CK9" t="s">
        <v>780</v>
      </c>
      <c r="CL9" t="s">
        <v>780</v>
      </c>
      <c r="CM9" t="s">
        <v>780</v>
      </c>
      <c r="CN9" s="58" t="s">
        <v>780</v>
      </c>
      <c r="CO9" s="58" t="s">
        <v>780</v>
      </c>
      <c r="CP9" s="31" t="s">
        <v>780</v>
      </c>
      <c r="CQ9" s="31" t="s">
        <v>780</v>
      </c>
      <c r="CR9" t="s">
        <v>780</v>
      </c>
      <c r="CS9" t="s">
        <v>780</v>
      </c>
      <c r="CT9" t="s">
        <v>780</v>
      </c>
      <c r="CU9" t="s">
        <v>780</v>
      </c>
      <c r="CV9" t="s">
        <v>780</v>
      </c>
      <c r="CW9" t="s">
        <v>780</v>
      </c>
      <c r="CX9" t="s">
        <v>780</v>
      </c>
      <c r="CZ9" t="s">
        <v>780</v>
      </c>
      <c r="DA9" t="s">
        <v>780</v>
      </c>
      <c r="DB9" t="s">
        <v>780</v>
      </c>
      <c r="DC9" t="s">
        <v>780</v>
      </c>
      <c r="DD9" t="s">
        <v>780</v>
      </c>
      <c r="DE9" t="s">
        <v>780</v>
      </c>
      <c r="DF9" s="27" t="s">
        <v>780</v>
      </c>
      <c r="DG9" s="27" t="s">
        <v>780</v>
      </c>
      <c r="DH9" s="27" t="s">
        <v>780</v>
      </c>
      <c r="DI9" s="27" t="s">
        <v>780</v>
      </c>
      <c r="DJ9" s="45" t="s">
        <v>780</v>
      </c>
      <c r="DK9" s="45" t="s">
        <v>780</v>
      </c>
      <c r="DL9" s="55" t="s">
        <v>780</v>
      </c>
      <c r="DM9" s="55" t="s">
        <v>780</v>
      </c>
      <c r="DN9" s="29" t="s">
        <v>780</v>
      </c>
      <c r="DO9" s="29" t="s">
        <v>780</v>
      </c>
      <c r="DP9" s="29" t="s">
        <v>780</v>
      </c>
      <c r="DQ9" s="29" t="s">
        <v>780</v>
      </c>
      <c r="DR9" s="29" t="s">
        <v>780</v>
      </c>
      <c r="DS9" s="29" t="s">
        <v>780</v>
      </c>
      <c r="DT9" s="29" t="s">
        <v>780</v>
      </c>
      <c r="DU9" s="29" t="s">
        <v>780</v>
      </c>
      <c r="DV9" s="31" t="s">
        <v>780</v>
      </c>
      <c r="DW9" s="31" t="s">
        <v>780</v>
      </c>
      <c r="DX9" t="s">
        <v>780</v>
      </c>
      <c r="DY9" t="s">
        <v>780</v>
      </c>
      <c r="DZ9" t="s">
        <v>780</v>
      </c>
      <c r="EA9" t="s">
        <v>780</v>
      </c>
      <c r="EB9" t="s">
        <v>780</v>
      </c>
      <c r="EC9" t="s">
        <v>780</v>
      </c>
      <c r="ED9" t="s">
        <v>780</v>
      </c>
      <c r="EE9" t="s">
        <v>780</v>
      </c>
      <c r="EF9" t="s">
        <v>780</v>
      </c>
      <c r="EG9" s="46" t="s">
        <v>780</v>
      </c>
      <c r="EH9" s="46" t="s">
        <v>780</v>
      </c>
      <c r="EI9" s="46" t="s">
        <v>780</v>
      </c>
      <c r="EJ9" s="46" t="s">
        <v>780</v>
      </c>
      <c r="EK9" t="s">
        <v>780</v>
      </c>
      <c r="EL9" t="s">
        <v>780</v>
      </c>
      <c r="EM9" t="s">
        <v>780</v>
      </c>
      <c r="EN9" t="s">
        <v>780</v>
      </c>
      <c r="EO9" t="s">
        <v>780</v>
      </c>
      <c r="EP9" t="s">
        <v>780</v>
      </c>
      <c r="EQ9" t="s">
        <v>780</v>
      </c>
      <c r="ER9" t="s">
        <v>780</v>
      </c>
      <c r="ES9" s="55" t="s">
        <v>780</v>
      </c>
      <c r="ET9" s="55" t="s">
        <v>780</v>
      </c>
      <c r="EU9" s="55" t="s">
        <v>780</v>
      </c>
      <c r="EV9" s="55" t="s">
        <v>780</v>
      </c>
      <c r="EW9" t="s">
        <v>780</v>
      </c>
      <c r="EX9" t="s">
        <v>780</v>
      </c>
      <c r="EY9" t="s">
        <v>780</v>
      </c>
      <c r="EZ9" t="s">
        <v>780</v>
      </c>
      <c r="FA9" t="s">
        <v>780</v>
      </c>
      <c r="FB9" t="s">
        <v>780</v>
      </c>
      <c r="FC9" t="s">
        <v>780</v>
      </c>
      <c r="FD9" t="s">
        <v>780</v>
      </c>
      <c r="FE9" t="s">
        <v>780</v>
      </c>
      <c r="FF9" t="s">
        <v>780</v>
      </c>
      <c r="FG9" t="s">
        <v>780</v>
      </c>
    </row>
    <row r="10" spans="1:163" s="37" customFormat="1" ht="15.75" x14ac:dyDescent="0.25">
      <c r="A10" s="34" t="s">
        <v>268</v>
      </c>
      <c r="B10" s="34" t="s">
        <v>268</v>
      </c>
      <c r="C10" s="34" t="s">
        <v>799</v>
      </c>
      <c r="D10" s="34" t="s">
        <v>799</v>
      </c>
      <c r="E10" s="34" t="s">
        <v>1047</v>
      </c>
      <c r="F10" s="34" t="s">
        <v>1048</v>
      </c>
      <c r="G10" s="34" t="s">
        <v>1049</v>
      </c>
      <c r="H10" s="34" t="str">
        <f t="shared" si="0"/>
        <v>CW_0_Section_0</v>
      </c>
      <c r="I10" s="34" t="str">
        <f t="shared" si="1"/>
        <v>CW_0_INF</v>
      </c>
      <c r="J10" s="34" t="s">
        <v>1481</v>
      </c>
      <c r="K10" s="34" t="s">
        <v>1481</v>
      </c>
      <c r="L10" s="34" t="s">
        <v>780</v>
      </c>
      <c r="M10" s="34" t="s">
        <v>780</v>
      </c>
      <c r="N10" s="34" t="s">
        <v>1481</v>
      </c>
      <c r="O10" s="35" t="s">
        <v>1016</v>
      </c>
      <c r="P10" s="34" t="s">
        <v>1050</v>
      </c>
      <c r="Q10" s="34" t="s">
        <v>1018</v>
      </c>
      <c r="R10" s="34" t="s">
        <v>1051</v>
      </c>
      <c r="S10" s="34" t="str">
        <f t="shared" si="2"/>
        <v>T0_INF</v>
      </c>
      <c r="T10" s="36" t="s">
        <v>1052</v>
      </c>
      <c r="U10" s="34" t="s">
        <v>1053</v>
      </c>
      <c r="V10" s="34">
        <v>150</v>
      </c>
      <c r="W10" s="34">
        <v>65</v>
      </c>
      <c r="X10" s="34">
        <v>5.95</v>
      </c>
      <c r="Y10" s="34">
        <v>9</v>
      </c>
      <c r="Z10" s="37" t="s">
        <v>129</v>
      </c>
      <c r="AA10" s="37" t="s">
        <v>130</v>
      </c>
      <c r="AB10" s="38">
        <v>45518</v>
      </c>
      <c r="AC10" s="37">
        <v>14</v>
      </c>
      <c r="AD10" s="37">
        <v>15</v>
      </c>
      <c r="AE10" s="37">
        <v>690</v>
      </c>
      <c r="AF10" s="37">
        <f>($AE10/78110)*30</f>
        <v>0.26501088208936113</v>
      </c>
      <c r="AG10" s="37">
        <v>190</v>
      </c>
      <c r="AH10" s="37">
        <f>($AG10/92140)*36</f>
        <v>7.4234859995658792E-2</v>
      </c>
      <c r="AI10" s="37">
        <v>910</v>
      </c>
      <c r="AJ10" s="37">
        <f>($AI10/106170)*42</f>
        <v>0.35998869737213901</v>
      </c>
      <c r="AK10" s="37">
        <v>330</v>
      </c>
      <c r="AL10" s="37">
        <f>($AK10/106170)*42</f>
        <v>0.13054535179429219</v>
      </c>
      <c r="AM10" s="37">
        <v>590</v>
      </c>
      <c r="AN10" s="37">
        <f>($AM10/106170)*42</f>
        <v>0.23339926532918903</v>
      </c>
      <c r="AO10" s="37">
        <v>920</v>
      </c>
      <c r="AP10" s="37">
        <f>($AO10/106170)*42</f>
        <v>0.3639446171234812</v>
      </c>
      <c r="AQ10" s="59">
        <v>2710</v>
      </c>
      <c r="AR10" s="59">
        <f>$AF10+$AH10+$AJ10+$AP10</f>
        <v>1.06317905658064</v>
      </c>
      <c r="AS10" s="37">
        <v>5600</v>
      </c>
      <c r="AT10" s="37">
        <f>($AS10/128170)*48</f>
        <v>2.0972146368104863</v>
      </c>
      <c r="AU10" s="37" t="s">
        <v>133</v>
      </c>
      <c r="AV10" s="37" t="s">
        <v>134</v>
      </c>
      <c r="AW10" s="37" t="s">
        <v>131</v>
      </c>
      <c r="AX10" s="37" t="s">
        <v>135</v>
      </c>
      <c r="AY10" s="37" t="s">
        <v>76</v>
      </c>
      <c r="AZ10" s="37">
        <v>2</v>
      </c>
      <c r="BA10" s="37">
        <v>2</v>
      </c>
      <c r="BB10" s="37" t="s">
        <v>85</v>
      </c>
      <c r="BC10" s="37" t="s">
        <v>100</v>
      </c>
      <c r="BD10" s="37">
        <v>11</v>
      </c>
      <c r="BE10" s="37" t="s">
        <v>55</v>
      </c>
      <c r="BF10" s="37" t="s">
        <v>120</v>
      </c>
      <c r="BG10" s="37">
        <v>26</v>
      </c>
      <c r="BH10" s="37" t="s">
        <v>96</v>
      </c>
      <c r="BI10" s="37" t="s">
        <v>781</v>
      </c>
      <c r="BJ10" s="37" t="s">
        <v>87</v>
      </c>
      <c r="BK10" s="37" t="s">
        <v>96</v>
      </c>
      <c r="BL10" s="37" t="s">
        <v>87</v>
      </c>
      <c r="BM10" s="37" t="s">
        <v>63</v>
      </c>
      <c r="BN10" s="37" t="s">
        <v>63</v>
      </c>
      <c r="BO10" s="58">
        <v>4900</v>
      </c>
      <c r="BP10" s="58">
        <v>1900</v>
      </c>
      <c r="BQ10" s="58">
        <v>2400</v>
      </c>
      <c r="BR10" s="58">
        <v>2600</v>
      </c>
      <c r="BS10" s="58">
        <v>5100</v>
      </c>
      <c r="BT10" s="58">
        <v>2300</v>
      </c>
      <c r="BU10" s="58">
        <v>2200</v>
      </c>
      <c r="BV10" s="58">
        <v>2800</v>
      </c>
      <c r="BW10" s="31">
        <f>($BO10/128170)*48</f>
        <v>1.8350628072091753</v>
      </c>
      <c r="BX10" s="31">
        <f>($BP10/152190)*56</f>
        <v>0.69912609238451928</v>
      </c>
      <c r="BY10" s="31">
        <f>($BQ10/154210)*58</f>
        <v>0.90266519680954549</v>
      </c>
      <c r="BZ10" s="31">
        <f>($BR10/166220)*62</f>
        <v>0.96979906148477935</v>
      </c>
      <c r="CA10" s="31">
        <f>($BS10/178230)*66</f>
        <v>1.8885709476519106</v>
      </c>
      <c r="CB10" s="31">
        <f>($BT10/178230)*66</f>
        <v>0.8517084665881165</v>
      </c>
      <c r="CC10" s="31">
        <f>($BU10/202250)*74</f>
        <v>0.80494437577255873</v>
      </c>
      <c r="CD10" s="31">
        <f>($BV10/202250)*74</f>
        <v>1.0244746600741657</v>
      </c>
      <c r="CE10" s="37">
        <v>1100</v>
      </c>
      <c r="CF10" s="37">
        <v>960</v>
      </c>
      <c r="CG10" s="37">
        <v>710</v>
      </c>
      <c r="CH10" s="37">
        <v>310</v>
      </c>
      <c r="CI10" s="37">
        <v>1000</v>
      </c>
      <c r="CK10" s="37">
        <v>87</v>
      </c>
      <c r="CL10" s="37">
        <v>350</v>
      </c>
      <c r="CM10" s="37">
        <v>430</v>
      </c>
      <c r="CN10" s="58">
        <f>$BO10+$BP10+$BQ10+$BR10+$BS10+$BT10+$BU10+$BV10</f>
        <v>24200</v>
      </c>
      <c r="CO10" s="58">
        <f>$BP10+$BQ10+$BR10+$BS10+$BT10+$BU10+$BV10</f>
        <v>19300</v>
      </c>
      <c r="CP10" s="31">
        <f>$BW10+$BX10+$BY10+$BZ10+$CA10+$CB10+$CC10+$CD10</f>
        <v>8.9763516079747703</v>
      </c>
      <c r="CQ10" s="31">
        <f>$BX10+$BY10+$BZ10+$CA10+$CB10+$CC10+$CD10</f>
        <v>7.1412888007655955</v>
      </c>
      <c r="CR10" s="37">
        <v>29000</v>
      </c>
      <c r="CS10" s="37">
        <v>8600</v>
      </c>
      <c r="CT10" s="37">
        <v>4600</v>
      </c>
      <c r="CU10" s="37" t="s">
        <v>69</v>
      </c>
      <c r="CV10" s="37" t="s">
        <v>69</v>
      </c>
      <c r="CW10" s="37">
        <v>13000</v>
      </c>
      <c r="CX10" s="40">
        <f t="shared" ref="CX10:CX41" si="3">SUM(AQ10+CR10)</f>
        <v>31710</v>
      </c>
      <c r="CZ10" s="37">
        <v>65</v>
      </c>
      <c r="DA10" s="37" t="s">
        <v>62</v>
      </c>
      <c r="DB10" s="37" t="s">
        <v>88</v>
      </c>
      <c r="DC10" s="37" t="s">
        <v>782</v>
      </c>
      <c r="DD10" s="37">
        <f t="shared" ref="DD10:DD41" si="4">$ED10*(55.84/96.06)</f>
        <v>0</v>
      </c>
      <c r="DF10" s="37">
        <v>0.3</v>
      </c>
      <c r="DG10" s="37">
        <f t="shared" ref="DG10:DG41" si="5">DF10/55.85</f>
        <v>5.3715308863025958E-3</v>
      </c>
      <c r="DH10" s="37">
        <f>DG10*1</f>
        <v>5.3715308863025958E-3</v>
      </c>
      <c r="DI10" s="37">
        <f t="shared" ref="DI10:DI41" si="6">DE10+DF10</f>
        <v>0.3</v>
      </c>
      <c r="DJ10" s="37">
        <f>DI10/55.85</f>
        <v>5.3715308863025958E-3</v>
      </c>
      <c r="DK10" s="37">
        <f>DJ10*1</f>
        <v>5.3715308863025958E-3</v>
      </c>
      <c r="DL10" s="55">
        <f>$EG10*(55.84/96.06)</f>
        <v>0</v>
      </c>
      <c r="DM10" s="55">
        <f>$EG10*(55.84/96.06)</f>
        <v>0</v>
      </c>
      <c r="DN10" s="37">
        <f>DM10+DF10</f>
        <v>0.3</v>
      </c>
      <c r="DO10" s="55">
        <f>DN10/55.85</f>
        <v>5.3715308863025958E-3</v>
      </c>
      <c r="DP10" s="55">
        <f>DO10*1</f>
        <v>5.3715308863025958E-3</v>
      </c>
      <c r="DQ10" s="37">
        <v>0.9</v>
      </c>
      <c r="DR10" s="37">
        <f>DQ10/54.93</f>
        <v>1.6384489350081924E-2</v>
      </c>
      <c r="DS10" s="37">
        <f>DR10*2</f>
        <v>3.2768978700163848E-2</v>
      </c>
      <c r="DT10" s="37">
        <f t="shared" ref="DT10:DT41" si="7">DJ10/DR10</f>
        <v>0.32784243509400174</v>
      </c>
      <c r="DU10" s="37">
        <f t="shared" ref="DU10:DU41" si="8">DK10/DS10</f>
        <v>0.16392121754700087</v>
      </c>
      <c r="DV10" s="37">
        <f>DI10+DQ10</f>
        <v>1.2</v>
      </c>
      <c r="DW10" s="37">
        <f t="shared" ref="DW10:DW41" si="9">SUM(DK10+DS10)</f>
        <v>3.8140509586466441E-2</v>
      </c>
      <c r="DX10" s="37">
        <v>26</v>
      </c>
      <c r="DY10" s="37" t="s">
        <v>132</v>
      </c>
      <c r="DZ10" s="37">
        <f>EA10/$EA$10</f>
        <v>1</v>
      </c>
      <c r="EA10" s="37">
        <v>1.7000000000000001E-2</v>
      </c>
      <c r="EB10" s="37">
        <f>EA10/62</f>
        <v>2.741935483870968E-4</v>
      </c>
      <c r="EC10" s="37">
        <f>EB10*5</f>
        <v>1.370967741935484E-3</v>
      </c>
      <c r="ED10" s="37">
        <f t="shared" ref="ED10:ED31" si="10">$EK$10-EK10</f>
        <v>0</v>
      </c>
      <c r="EE10" s="39">
        <f>ED10/EK10</f>
        <v>0</v>
      </c>
      <c r="EF10" s="37">
        <f t="shared" ref="EF10:EF41" si="11">(ED10/96.06)*8</f>
        <v>0</v>
      </c>
      <c r="EG10" s="37">
        <f>$EK10-EK10</f>
        <v>0</v>
      </c>
      <c r="EH10" s="33">
        <f>(EG10/$EK10)*100</f>
        <v>0</v>
      </c>
      <c r="EI10" s="37">
        <f t="shared" ref="EI10:EJ18" si="12">($EG10/96.06)*8</f>
        <v>0</v>
      </c>
      <c r="EJ10" s="37">
        <f t="shared" si="12"/>
        <v>0</v>
      </c>
      <c r="EK10" s="37">
        <v>73</v>
      </c>
      <c r="EL10" s="37">
        <f>EK10/96.06</f>
        <v>0.75994170310222775</v>
      </c>
      <c r="EM10" s="37">
        <f>EL10*8</f>
        <v>6.079533624817822</v>
      </c>
      <c r="EN10" s="37">
        <f t="shared" ref="EN10:EN41" si="13">SUM(EC10+EM10)</f>
        <v>6.0809045925597571</v>
      </c>
      <c r="EO10" s="39">
        <f>$DK10+$DS10+$EF10</f>
        <v>3.8140509586466441E-2</v>
      </c>
      <c r="EP10" s="37">
        <f t="shared" ref="EP10:EP41" si="14">DS10/EO10</f>
        <v>0.85916467964002774</v>
      </c>
      <c r="EQ10" s="37">
        <f t="shared" ref="EQ10:EQ41" si="15">DK10/EO10</f>
        <v>0.14083532035997229</v>
      </c>
      <c r="ER10" s="37">
        <f t="shared" ref="ER10:ER41" si="16">EF10/EO10</f>
        <v>0</v>
      </c>
      <c r="ES10" s="39">
        <f>$DP10+$DS10+$EJ10</f>
        <v>3.8140509586466441E-2</v>
      </c>
      <c r="ET10" s="55">
        <f>($DP10/$ES10)*100</f>
        <v>14.083532035997228</v>
      </c>
      <c r="EU10" s="55">
        <f>($DS10/$ES10)*100</f>
        <v>85.916467964002777</v>
      </c>
      <c r="EV10" s="55">
        <f>($EJ10/$ES10)*100</f>
        <v>0</v>
      </c>
      <c r="EW10" s="37" t="s">
        <v>780</v>
      </c>
      <c r="EX10" s="37" t="s">
        <v>780</v>
      </c>
      <c r="EY10" s="37" t="s">
        <v>780</v>
      </c>
      <c r="EZ10" s="37" t="s">
        <v>780</v>
      </c>
      <c r="FA10" s="37" t="s">
        <v>780</v>
      </c>
      <c r="FB10" s="37" t="s">
        <v>113</v>
      </c>
      <c r="FC10" s="37" t="s">
        <v>780</v>
      </c>
      <c r="FD10" s="39">
        <f>$AR10+$AT10-$EO10</f>
        <v>3.1222531838046597</v>
      </c>
      <c r="FE10" s="39">
        <f>$AR10+$AT10+$CQ10-$EO10</f>
        <v>10.263541984570256</v>
      </c>
      <c r="FF10" s="39">
        <f>$AR10+$AT10-$ES10</f>
        <v>3.1222531838046597</v>
      </c>
      <c r="FG10" s="39">
        <f>$AR10+$AT10+$CQ10-$ES10</f>
        <v>10.263541984570256</v>
      </c>
    </row>
    <row r="11" spans="1:163" ht="15.75" x14ac:dyDescent="0.25">
      <c r="A11" s="3" t="s">
        <v>269</v>
      </c>
      <c r="B11" s="3" t="s">
        <v>269</v>
      </c>
      <c r="C11" s="3" t="s">
        <v>800</v>
      </c>
      <c r="D11" s="3" t="s">
        <v>800</v>
      </c>
      <c r="E11" s="3" t="s">
        <v>1054</v>
      </c>
      <c r="F11" s="3" t="s">
        <v>1055</v>
      </c>
      <c r="G11" s="3" t="s">
        <v>772</v>
      </c>
      <c r="H11" s="3" t="str">
        <f t="shared" si="0"/>
        <v>CW_1_Section_5</v>
      </c>
      <c r="I11" s="3" t="str">
        <f t="shared" si="1"/>
        <v>CW_1_EFF</v>
      </c>
      <c r="J11" s="3" t="s">
        <v>1482</v>
      </c>
      <c r="K11" s="3" t="s">
        <v>1482</v>
      </c>
      <c r="L11" s="3" t="s">
        <v>780</v>
      </c>
      <c r="M11" s="3" t="s">
        <v>780</v>
      </c>
      <c r="N11" s="3" t="s">
        <v>1482</v>
      </c>
      <c r="O11" s="12" t="s">
        <v>1016</v>
      </c>
      <c r="P11" s="3" t="s">
        <v>1056</v>
      </c>
      <c r="Q11" s="3" t="s">
        <v>1018</v>
      </c>
      <c r="R11" s="3" t="s">
        <v>1051</v>
      </c>
      <c r="S11" s="3" t="str">
        <f t="shared" si="2"/>
        <v>T0_EFF</v>
      </c>
      <c r="T11" s="13" t="s">
        <v>1052</v>
      </c>
      <c r="U11" s="3" t="s">
        <v>1053</v>
      </c>
      <c r="V11" s="3">
        <v>150</v>
      </c>
      <c r="W11" s="3">
        <v>65</v>
      </c>
      <c r="X11" s="3">
        <v>5.5</v>
      </c>
      <c r="Y11" s="3">
        <v>10</v>
      </c>
      <c r="Z11" t="s">
        <v>46</v>
      </c>
      <c r="AA11" t="s">
        <v>47</v>
      </c>
      <c r="AB11" s="1">
        <v>45516</v>
      </c>
      <c r="AC11">
        <v>17</v>
      </c>
      <c r="AD11">
        <v>17</v>
      </c>
      <c r="AE11">
        <v>150</v>
      </c>
      <c r="AF11" s="37">
        <f t="shared" ref="AF11:AF74" si="17">($AE11/78110)*30</f>
        <v>5.7611061323774165E-2</v>
      </c>
      <c r="AG11">
        <v>21</v>
      </c>
      <c r="AH11" s="37">
        <f t="shared" ref="AH11:AH74" si="18">($AG11/92140)*36</f>
        <v>8.2049055784675501E-3</v>
      </c>
      <c r="AI11">
        <v>110</v>
      </c>
      <c r="AJ11" s="37">
        <f t="shared" ref="AJ11:AJ74" si="19">($AI11/106170)*42</f>
        <v>4.3515117264764057E-2</v>
      </c>
      <c r="AK11">
        <v>43</v>
      </c>
      <c r="AL11" s="37">
        <f t="shared" ref="AL11:AL74" si="20">($AK11/106170)*42</f>
        <v>1.7010454930771402E-2</v>
      </c>
      <c r="AM11">
        <v>35</v>
      </c>
      <c r="AN11" s="37">
        <f t="shared" ref="AN11:AN74" si="21">($AM11/106170)*42</f>
        <v>1.3845719129697655E-2</v>
      </c>
      <c r="AO11">
        <v>78</v>
      </c>
      <c r="AQ11" s="59">
        <v>359</v>
      </c>
      <c r="AR11" s="59">
        <f t="shared" ref="AR11:AR74" si="22">$AF11+$AH11+$AJ11+$AP11</f>
        <v>0.10933108416700577</v>
      </c>
      <c r="AS11">
        <v>410</v>
      </c>
      <c r="AT11" s="37">
        <f t="shared" ref="AT11:AT74" si="23">($AS11/128170)*48</f>
        <v>0.15354607162362488</v>
      </c>
      <c r="AU11" t="s">
        <v>51</v>
      </c>
      <c r="AV11" t="s">
        <v>52</v>
      </c>
      <c r="AW11" t="s">
        <v>53</v>
      </c>
      <c r="AX11" t="s">
        <v>54</v>
      </c>
      <c r="AY11" t="s">
        <v>55</v>
      </c>
      <c r="AZ11">
        <v>1</v>
      </c>
      <c r="BA11">
        <v>2</v>
      </c>
      <c r="BB11" t="s">
        <v>55</v>
      </c>
      <c r="BC11" t="s">
        <v>56</v>
      </c>
      <c r="BD11">
        <v>3</v>
      </c>
      <c r="BE11" t="s">
        <v>57</v>
      </c>
      <c r="BF11" t="s">
        <v>58</v>
      </c>
      <c r="BG11" t="s">
        <v>59</v>
      </c>
      <c r="BH11" t="s">
        <v>60</v>
      </c>
      <c r="BI11" t="s">
        <v>87</v>
      </c>
      <c r="BJ11" t="s">
        <v>88</v>
      </c>
      <c r="BK11" t="s">
        <v>60</v>
      </c>
      <c r="BL11" t="s">
        <v>88</v>
      </c>
      <c r="BM11" t="s">
        <v>61</v>
      </c>
      <c r="BN11" t="s">
        <v>62</v>
      </c>
      <c r="BO11" s="58">
        <v>160</v>
      </c>
      <c r="BP11" s="58">
        <v>1.6</v>
      </c>
      <c r="BQ11" s="58">
        <v>6.1</v>
      </c>
      <c r="BR11" s="58">
        <v>1.3</v>
      </c>
      <c r="BS11" s="58">
        <v>0.73</v>
      </c>
      <c r="BT11" s="58">
        <v>0.08</v>
      </c>
      <c r="BU11" s="58">
        <v>0.04</v>
      </c>
      <c r="BV11" s="58">
        <v>0.03</v>
      </c>
      <c r="BW11" s="31">
        <f t="shared" ref="BW11:BW74" si="24">($BO11/128170)*48</f>
        <v>5.9920418194585309E-2</v>
      </c>
      <c r="BX11" s="31">
        <f t="shared" ref="BX11:BX74" si="25">($BP11/152190)*56</f>
        <v>5.8873776200801635E-4</v>
      </c>
      <c r="BY11" s="31">
        <f t="shared" ref="BY11:BY74" si="26">($BQ11/154210)*58</f>
        <v>2.294274041890928E-3</v>
      </c>
      <c r="BZ11" s="31">
        <f t="shared" ref="BZ11:BZ74" si="27">($BR11/166220)*62</f>
        <v>4.8489953074238966E-4</v>
      </c>
      <c r="CA11" s="31">
        <f t="shared" ref="CA11:CA74" si="28">($BS11/178230)*66</f>
        <v>2.7032486113448914E-4</v>
      </c>
      <c r="CB11" s="31">
        <f t="shared" ref="CB11:CB74" si="29">($BT11/178230)*66</f>
        <v>2.9624642316108399E-5</v>
      </c>
      <c r="CC11" s="31">
        <f t="shared" ref="CC11:CC74" si="30">($BU11/202250)*74</f>
        <v>1.4635352286773795E-5</v>
      </c>
      <c r="CD11" s="31">
        <f t="shared" ref="CD11:CD74" si="31">($BV11/202250)*74</f>
        <v>1.0976514215080345E-5</v>
      </c>
      <c r="CE11">
        <v>1E-3</v>
      </c>
      <c r="CF11">
        <v>1E-3</v>
      </c>
      <c r="CG11">
        <v>2E-3</v>
      </c>
      <c r="CH11">
        <v>1E-3</v>
      </c>
      <c r="CI11">
        <v>1E-3</v>
      </c>
      <c r="CK11">
        <v>2E-3</v>
      </c>
      <c r="CL11">
        <v>1E-3</v>
      </c>
      <c r="CM11">
        <v>1E-3</v>
      </c>
      <c r="CN11" s="58">
        <f>$BO11+$BP11+$BQ11+$BR11+$BS11+$BT11+$BU11+$BV11</f>
        <v>169.88</v>
      </c>
      <c r="CO11" s="58">
        <f t="shared" ref="CO11:CO74" si="32">$BP11+$BQ11+$BR11+$BS11+$BT11+$BU11+$BV11</f>
        <v>9.879999999999999</v>
      </c>
      <c r="CP11" s="31">
        <f t="shared" ref="CP11:CP74" si="33">$BW11+$BX11+$BY11+$BZ11+$CA11+$CB11+$CC11+$CD11</f>
        <v>6.3613890899179099E-2</v>
      </c>
      <c r="CQ11" s="31">
        <f t="shared" ref="CQ11:CQ74" si="34">$BX11+$BY11+$BZ11+$CA11+$CB11+$CC11+$CD11</f>
        <v>3.6934727045937858E-3</v>
      </c>
      <c r="CR11">
        <v>170</v>
      </c>
      <c r="CS11">
        <v>430</v>
      </c>
      <c r="CT11">
        <v>50</v>
      </c>
      <c r="CU11" t="s">
        <v>69</v>
      </c>
      <c r="CV11" t="s">
        <v>69</v>
      </c>
      <c r="CW11">
        <v>480</v>
      </c>
      <c r="CX11" s="2">
        <f t="shared" si="3"/>
        <v>529</v>
      </c>
      <c r="CZ11">
        <v>44</v>
      </c>
      <c r="DA11" t="s">
        <v>62</v>
      </c>
      <c r="DB11" t="s">
        <v>88</v>
      </c>
      <c r="DC11" t="s">
        <v>782</v>
      </c>
      <c r="DD11" s="37">
        <f t="shared" si="4"/>
        <v>21.508224026650009</v>
      </c>
      <c r="DE11" s="37">
        <f t="shared" ref="DE11:DE27" si="35">$ED11*(55.84/96.06)</f>
        <v>21.508224026650009</v>
      </c>
      <c r="DF11" s="37">
        <v>5.3</v>
      </c>
      <c r="DG11" s="37">
        <f t="shared" si="5"/>
        <v>9.4897045658012533E-2</v>
      </c>
      <c r="DH11" s="37">
        <f t="shared" ref="DH11:DH74" si="36">DG11*1</f>
        <v>9.4897045658012533E-2</v>
      </c>
      <c r="DI11" s="37">
        <f t="shared" si="6"/>
        <v>26.808224026650009</v>
      </c>
      <c r="DJ11" s="37">
        <f t="shared" ref="DJ11:DJ74" si="37">DI11/55.85</f>
        <v>0.4800040112202329</v>
      </c>
      <c r="DK11" s="37">
        <f t="shared" ref="DK11:DK74" si="38">DJ11*1</f>
        <v>0.4800040112202329</v>
      </c>
      <c r="DL11" s="55">
        <f t="shared" ref="DL11:DM74" si="39">$EG11*(55.84/96.06)</f>
        <v>1.7439100562148657</v>
      </c>
      <c r="DM11" s="55">
        <f t="shared" si="39"/>
        <v>1.7439100562148657</v>
      </c>
      <c r="DN11" s="37">
        <f t="shared" ref="DN11:DN74" si="40">DM11+DF11</f>
        <v>7.043910056214866</v>
      </c>
      <c r="DO11" s="55">
        <f t="shared" ref="DO11:DO74" si="41">DN11/55.85</f>
        <v>0.12612193475765202</v>
      </c>
      <c r="DP11" s="55">
        <f t="shared" ref="DP11:DP74" si="42">DO11*1</f>
        <v>0.12612193475765202</v>
      </c>
      <c r="DQ11" s="37">
        <v>3.8</v>
      </c>
      <c r="DR11" s="37">
        <f t="shared" ref="DR11:DR74" si="43">DQ11/54.93</f>
        <v>6.9178955033679226E-2</v>
      </c>
      <c r="DS11" s="37">
        <f t="shared" ref="DS11:DS74" si="44">DR11*2</f>
        <v>0.13835791006735845</v>
      </c>
      <c r="DT11" s="37">
        <f t="shared" si="7"/>
        <v>6.9385842990335247</v>
      </c>
      <c r="DU11" s="37">
        <f t="shared" si="8"/>
        <v>3.4692921495167623</v>
      </c>
      <c r="DV11" s="37">
        <f t="shared" ref="DV11:DV41" si="45">DI11+DQ11</f>
        <v>30.60822402665001</v>
      </c>
      <c r="DW11" s="37">
        <f t="shared" si="9"/>
        <v>0.61836192128759138</v>
      </c>
      <c r="DX11">
        <v>12</v>
      </c>
      <c r="DY11" t="s">
        <v>50</v>
      </c>
      <c r="DZ11" s="29">
        <f t="shared" ref="DZ11:DZ31" si="46">EA11/$EA$10</f>
        <v>1</v>
      </c>
      <c r="EA11" s="30">
        <v>1.7000000000000001E-2</v>
      </c>
      <c r="EB11" s="30">
        <f t="shared" ref="EB11:EB74" si="47">EA11/62</f>
        <v>2.741935483870968E-4</v>
      </c>
      <c r="EC11" s="30">
        <f t="shared" ref="EC11:EC74" si="48">EB11*5</f>
        <v>1.370967741935484E-3</v>
      </c>
      <c r="ED11" s="31">
        <f t="shared" si="10"/>
        <v>37</v>
      </c>
      <c r="EE11" s="33">
        <f t="shared" ref="EE11:EE31" si="49">(ED11/$EK$10)*100</f>
        <v>50.684931506849317</v>
      </c>
      <c r="EF11" s="37">
        <f t="shared" si="11"/>
        <v>3.0814074536747866</v>
      </c>
      <c r="EG11" s="37">
        <f>$EK19-EK11</f>
        <v>3</v>
      </c>
      <c r="EH11" s="33">
        <f>(EG11/EK19)*100</f>
        <v>7.6923076923076925</v>
      </c>
      <c r="EI11" s="37">
        <f t="shared" si="12"/>
        <v>0.24984384759525297</v>
      </c>
      <c r="EJ11" s="37">
        <f t="shared" si="12"/>
        <v>0.24984384759525297</v>
      </c>
      <c r="EK11" s="31">
        <v>36</v>
      </c>
      <c r="EL11" s="31">
        <f t="shared" ref="EL11:EL74" si="50">EK11/96.06</f>
        <v>0.37476577139287942</v>
      </c>
      <c r="EM11" s="31">
        <f t="shared" ref="EM11:EM74" si="51">EL11*8</f>
        <v>2.9981261711430354</v>
      </c>
      <c r="EN11" s="32">
        <f>SUM(EC11+EM11)</f>
        <v>2.9994971388849709</v>
      </c>
      <c r="EO11" s="39">
        <f t="shared" ref="EO11:EO42" si="52">DK11+DS11+EF11</f>
        <v>3.6997693749623779</v>
      </c>
      <c r="EP11" s="37">
        <f t="shared" si="14"/>
        <v>3.7396360703906138E-2</v>
      </c>
      <c r="EQ11" s="37">
        <f t="shared" si="15"/>
        <v>0.12973890061055871</v>
      </c>
      <c r="ER11" s="37">
        <f t="shared" si="16"/>
        <v>0.83286473868553512</v>
      </c>
      <c r="ES11" s="39">
        <f t="shared" ref="ES11:ES74" si="53">$DP11+$DS11+$EJ11</f>
        <v>0.51432369242026343</v>
      </c>
      <c r="ET11" s="55">
        <f t="shared" ref="ET11:ET74" si="54">($DP11/$ES11)*100</f>
        <v>24.521898682939817</v>
      </c>
      <c r="EU11" s="55">
        <f t="shared" ref="EU11:EU74" si="55">($DS11/$ES11)*100</f>
        <v>26.900940420668711</v>
      </c>
      <c r="EV11" s="55">
        <f t="shared" ref="EV11:EV74" si="56">($EJ11/$ES11)*100</f>
        <v>48.577160896391476</v>
      </c>
      <c r="EW11" t="s">
        <v>71</v>
      </c>
      <c r="EX11">
        <v>23</v>
      </c>
      <c r="EY11">
        <v>-83</v>
      </c>
      <c r="EZ11">
        <v>7</v>
      </c>
      <c r="FA11">
        <v>785</v>
      </c>
      <c r="FB11" t="s">
        <v>72</v>
      </c>
      <c r="FC11" t="s">
        <v>780</v>
      </c>
      <c r="FD11" s="39">
        <f t="shared" ref="FD11:FD74" si="57">$AR11+$AT11-$EO11</f>
        <v>-3.4368922191717473</v>
      </c>
      <c r="FE11" s="39">
        <f>$AR11+$AT11+$CQ11-$EO11</f>
        <v>-3.4331987464671534</v>
      </c>
      <c r="FF11" s="39">
        <f t="shared" ref="FF11:FF74" si="58">$AR11+$AT11-$ES11</f>
        <v>-0.25144653662963279</v>
      </c>
      <c r="FG11" s="39">
        <f t="shared" ref="FG11:FG74" si="59">$AR11+$AT11+$CQ11-$ES11</f>
        <v>-0.24775306392503899</v>
      </c>
    </row>
    <row r="12" spans="1:163" ht="15.75" x14ac:dyDescent="0.25">
      <c r="A12" s="3" t="s">
        <v>270</v>
      </c>
      <c r="B12" s="3" t="s">
        <v>270</v>
      </c>
      <c r="C12" s="3" t="s">
        <v>801</v>
      </c>
      <c r="D12" s="3" t="s">
        <v>801</v>
      </c>
      <c r="E12" s="3" t="s">
        <v>1057</v>
      </c>
      <c r="F12" s="3" t="s">
        <v>1055</v>
      </c>
      <c r="G12" s="3" t="s">
        <v>773</v>
      </c>
      <c r="H12" s="3" t="str">
        <f t="shared" si="0"/>
        <v>CW_2_Section_5</v>
      </c>
      <c r="I12" s="3" t="str">
        <f t="shared" si="1"/>
        <v>CW_2_EFF</v>
      </c>
      <c r="J12" s="3" t="s">
        <v>1482</v>
      </c>
      <c r="K12" s="3" t="s">
        <v>1482</v>
      </c>
      <c r="L12" s="3" t="s">
        <v>780</v>
      </c>
      <c r="M12" s="3" t="s">
        <v>780</v>
      </c>
      <c r="N12" s="3" t="s">
        <v>1482</v>
      </c>
      <c r="O12" s="12" t="s">
        <v>1016</v>
      </c>
      <c r="P12" s="3" t="s">
        <v>1058</v>
      </c>
      <c r="Q12" s="3" t="s">
        <v>1018</v>
      </c>
      <c r="R12" s="3" t="s">
        <v>1051</v>
      </c>
      <c r="S12" s="3" t="str">
        <f t="shared" si="2"/>
        <v>T0_EFF</v>
      </c>
      <c r="T12" s="13" t="s">
        <v>1052</v>
      </c>
      <c r="U12" s="3" t="s">
        <v>1053</v>
      </c>
      <c r="V12" s="3">
        <v>150</v>
      </c>
      <c r="W12" s="3">
        <v>65</v>
      </c>
      <c r="X12" s="3">
        <v>16.05</v>
      </c>
      <c r="Y12" s="3">
        <v>11</v>
      </c>
      <c r="Z12" t="s">
        <v>195</v>
      </c>
      <c r="AA12" t="s">
        <v>196</v>
      </c>
      <c r="AB12" s="1">
        <v>45518</v>
      </c>
      <c r="AC12">
        <v>13</v>
      </c>
      <c r="AD12">
        <v>13</v>
      </c>
      <c r="AE12">
        <v>680</v>
      </c>
      <c r="AF12" s="37">
        <f t="shared" si="17"/>
        <v>0.26117014466777622</v>
      </c>
      <c r="AG12">
        <v>63</v>
      </c>
      <c r="AH12" s="37">
        <f t="shared" si="18"/>
        <v>2.4614716735402647E-2</v>
      </c>
      <c r="AI12">
        <v>370</v>
      </c>
      <c r="AJ12" s="37">
        <f t="shared" si="19"/>
        <v>0.14636903079966093</v>
      </c>
      <c r="AK12">
        <v>150</v>
      </c>
      <c r="AL12" s="37">
        <f t="shared" si="20"/>
        <v>5.9338796270132804E-2</v>
      </c>
      <c r="AM12">
        <v>200</v>
      </c>
      <c r="AN12" s="37">
        <f t="shared" si="21"/>
        <v>7.9118395026843744E-2</v>
      </c>
      <c r="AO12">
        <v>350</v>
      </c>
      <c r="AQ12" s="59">
        <v>1463</v>
      </c>
      <c r="AR12" s="59">
        <f t="shared" si="22"/>
        <v>0.43215389220283984</v>
      </c>
      <c r="AS12">
        <v>1400</v>
      </c>
      <c r="AT12" s="37">
        <f t="shared" si="23"/>
        <v>0.52430365920262156</v>
      </c>
      <c r="AU12">
        <v>21</v>
      </c>
      <c r="AV12" t="s">
        <v>154</v>
      </c>
      <c r="AW12" t="s">
        <v>65</v>
      </c>
      <c r="AX12" t="s">
        <v>65</v>
      </c>
      <c r="AY12" t="s">
        <v>198</v>
      </c>
      <c r="AZ12" t="s">
        <v>199</v>
      </c>
      <c r="BA12" t="s">
        <v>49</v>
      </c>
      <c r="BB12" t="s">
        <v>200</v>
      </c>
      <c r="BC12" t="s">
        <v>77</v>
      </c>
      <c r="BD12">
        <v>14</v>
      </c>
      <c r="BE12" t="s">
        <v>100</v>
      </c>
      <c r="BF12" t="s">
        <v>157</v>
      </c>
      <c r="BG12">
        <v>37</v>
      </c>
      <c r="BH12" t="s">
        <v>168</v>
      </c>
      <c r="BI12" t="s">
        <v>89</v>
      </c>
      <c r="BJ12" t="s">
        <v>201</v>
      </c>
      <c r="BK12" t="s">
        <v>168</v>
      </c>
      <c r="BL12" t="s">
        <v>783</v>
      </c>
      <c r="BM12" t="s">
        <v>63</v>
      </c>
      <c r="BN12" t="s">
        <v>63</v>
      </c>
      <c r="BO12" s="58">
        <v>510</v>
      </c>
      <c r="BP12" s="58">
        <v>4</v>
      </c>
      <c r="BQ12" s="58">
        <v>4</v>
      </c>
      <c r="BR12" s="58">
        <v>1.6</v>
      </c>
      <c r="BS12" s="58">
        <v>0.13</v>
      </c>
      <c r="BT12" s="58">
        <v>0.02</v>
      </c>
      <c r="BU12" s="58">
        <v>0.04</v>
      </c>
      <c r="BV12" s="58">
        <v>2E-3</v>
      </c>
      <c r="BW12" s="31">
        <f t="shared" si="24"/>
        <v>0.19099633299524069</v>
      </c>
      <c r="BX12" s="31">
        <f t="shared" si="25"/>
        <v>1.4718444050200407E-3</v>
      </c>
      <c r="BY12" s="31">
        <f t="shared" si="26"/>
        <v>1.5044419946825757E-3</v>
      </c>
      <c r="BZ12" s="31">
        <f t="shared" si="27"/>
        <v>5.9679942245217184E-4</v>
      </c>
      <c r="CA12" s="31">
        <f t="shared" si="28"/>
        <v>4.8140043763676151E-5</v>
      </c>
      <c r="CB12" s="31">
        <f t="shared" si="29"/>
        <v>7.4061605790270997E-6</v>
      </c>
      <c r="CC12" s="31">
        <f t="shared" si="30"/>
        <v>1.4635352286773795E-5</v>
      </c>
      <c r="CD12" s="31">
        <f t="shared" si="31"/>
        <v>7.3176761433868969E-7</v>
      </c>
      <c r="CE12">
        <v>1E-3</v>
      </c>
      <c r="CF12">
        <v>1E-3</v>
      </c>
      <c r="CG12">
        <v>2E-3</v>
      </c>
      <c r="CH12">
        <v>1E-3</v>
      </c>
      <c r="CI12">
        <v>1E-3</v>
      </c>
      <c r="CK12">
        <v>2E-3</v>
      </c>
      <c r="CL12">
        <v>1E-3</v>
      </c>
      <c r="CM12">
        <v>1E-3</v>
      </c>
      <c r="CN12" s="58">
        <f t="shared" ref="CN12:CN75" si="60">$BO12+$BP12+$BQ12+$BR12+$BS12+$BT12+$BU12+$BV12</f>
        <v>519.79199999999992</v>
      </c>
      <c r="CO12" s="58">
        <f t="shared" si="32"/>
        <v>9.7919999999999998</v>
      </c>
      <c r="CP12" s="31">
        <f t="shared" si="33"/>
        <v>0.19464033214163931</v>
      </c>
      <c r="CQ12" s="31">
        <f t="shared" si="34"/>
        <v>3.6439991463986039E-3</v>
      </c>
      <c r="CR12">
        <v>510</v>
      </c>
      <c r="CS12">
        <v>2000</v>
      </c>
      <c r="CT12">
        <v>220</v>
      </c>
      <c r="CU12" t="s">
        <v>69</v>
      </c>
      <c r="CV12" t="s">
        <v>69</v>
      </c>
      <c r="CW12">
        <v>2200</v>
      </c>
      <c r="CX12" s="2">
        <f t="shared" si="3"/>
        <v>1973</v>
      </c>
      <c r="CZ12">
        <v>62</v>
      </c>
      <c r="DA12" t="s">
        <v>62</v>
      </c>
      <c r="DB12" t="s">
        <v>88</v>
      </c>
      <c r="DC12" t="s">
        <v>782</v>
      </c>
      <c r="DD12" s="37">
        <f t="shared" si="4"/>
        <v>20.926920674578387</v>
      </c>
      <c r="DE12" s="37">
        <f t="shared" si="35"/>
        <v>20.926920674578387</v>
      </c>
      <c r="DF12" s="37">
        <v>6.3</v>
      </c>
      <c r="DG12" s="37">
        <f t="shared" si="5"/>
        <v>0.11280214861235452</v>
      </c>
      <c r="DH12" s="37">
        <f t="shared" si="36"/>
        <v>0.11280214861235452</v>
      </c>
      <c r="DI12" s="37">
        <f t="shared" si="6"/>
        <v>27.226920674578388</v>
      </c>
      <c r="DJ12" s="37">
        <f t="shared" si="37"/>
        <v>0.4875008178080284</v>
      </c>
      <c r="DK12" s="37">
        <f t="shared" si="38"/>
        <v>0.4875008178080284</v>
      </c>
      <c r="DL12" s="55">
        <f>$EG12*(55.84/96.06)</f>
        <v>4.650426816572975</v>
      </c>
      <c r="DM12" s="55">
        <f t="shared" si="39"/>
        <v>4.650426816572975</v>
      </c>
      <c r="DN12" s="37">
        <f t="shared" si="40"/>
        <v>10.950426816572975</v>
      </c>
      <c r="DO12" s="55">
        <f t="shared" si="41"/>
        <v>0.19606851954472648</v>
      </c>
      <c r="DP12" s="55">
        <f t="shared" si="42"/>
        <v>0.19606851954472648</v>
      </c>
      <c r="DQ12" s="37">
        <v>3.7</v>
      </c>
      <c r="DR12" s="37">
        <f t="shared" si="43"/>
        <v>6.7358456217003468E-2</v>
      </c>
      <c r="DS12" s="37">
        <f t="shared" si="44"/>
        <v>0.13471691243400694</v>
      </c>
      <c r="DT12" s="37">
        <f t="shared" si="7"/>
        <v>7.2374107897824311</v>
      </c>
      <c r="DU12" s="37">
        <f t="shared" si="8"/>
        <v>3.6187053948912156</v>
      </c>
      <c r="DV12" s="37">
        <f t="shared" si="45"/>
        <v>30.926920674578387</v>
      </c>
      <c r="DW12" s="37">
        <f t="shared" si="9"/>
        <v>0.62221773024203531</v>
      </c>
      <c r="DX12">
        <v>22</v>
      </c>
      <c r="DY12" t="s">
        <v>197</v>
      </c>
      <c r="DZ12" s="29">
        <f t="shared" si="46"/>
        <v>1</v>
      </c>
      <c r="EA12" s="30">
        <v>1.7000000000000001E-2</v>
      </c>
      <c r="EB12" s="30">
        <f t="shared" si="47"/>
        <v>2.741935483870968E-4</v>
      </c>
      <c r="EC12" s="30">
        <f t="shared" si="48"/>
        <v>1.370967741935484E-3</v>
      </c>
      <c r="ED12" s="31">
        <f t="shared" si="10"/>
        <v>36</v>
      </c>
      <c r="EE12" s="33">
        <f t="shared" si="49"/>
        <v>49.315068493150683</v>
      </c>
      <c r="EF12" s="37">
        <f t="shared" si="11"/>
        <v>2.9981261711430354</v>
      </c>
      <c r="EG12" s="37">
        <f>$EK25-EK12</f>
        <v>8</v>
      </c>
      <c r="EH12" s="33">
        <f>(EG12/EK25)*100</f>
        <v>17.777777777777779</v>
      </c>
      <c r="EI12" s="37">
        <f t="shared" si="12"/>
        <v>0.66625026025400791</v>
      </c>
      <c r="EJ12" s="37">
        <f t="shared" si="12"/>
        <v>0.66625026025400791</v>
      </c>
      <c r="EK12" s="31">
        <v>37</v>
      </c>
      <c r="EL12" s="31">
        <f t="shared" si="50"/>
        <v>0.38517593170934833</v>
      </c>
      <c r="EM12" s="31">
        <f t="shared" si="51"/>
        <v>3.0814074536747866</v>
      </c>
      <c r="EN12" s="32">
        <f t="shared" si="13"/>
        <v>3.0827784214167222</v>
      </c>
      <c r="EO12" s="39">
        <f t="shared" si="52"/>
        <v>3.6203439013850707</v>
      </c>
      <c r="EP12" s="37">
        <f t="shared" si="14"/>
        <v>3.7211081627484884E-2</v>
      </c>
      <c r="EQ12" s="37">
        <f t="shared" si="15"/>
        <v>0.13465594183511692</v>
      </c>
      <c r="ER12" s="37">
        <f t="shared" si="16"/>
        <v>0.82813297653739815</v>
      </c>
      <c r="ES12" s="39">
        <f t="shared" si="53"/>
        <v>0.99703569223274136</v>
      </c>
      <c r="ET12" s="55">
        <f t="shared" si="54"/>
        <v>19.665145498016688</v>
      </c>
      <c r="EU12" s="55">
        <f t="shared" si="55"/>
        <v>13.511744211716698</v>
      </c>
      <c r="EV12" s="55">
        <f t="shared" si="56"/>
        <v>66.823110290266612</v>
      </c>
      <c r="EW12" t="s">
        <v>122</v>
      </c>
      <c r="EX12">
        <v>24</v>
      </c>
      <c r="EY12">
        <v>-146</v>
      </c>
      <c r="EZ12" t="s">
        <v>202</v>
      </c>
      <c r="FA12">
        <v>704</v>
      </c>
      <c r="FB12" t="s">
        <v>108</v>
      </c>
      <c r="FC12" t="s">
        <v>780</v>
      </c>
      <c r="FD12" s="39">
        <f t="shared" si="57"/>
        <v>-2.6638863499796095</v>
      </c>
      <c r="FE12" s="39">
        <f t="shared" ref="FE12:FE74" si="61">$AR12+$AT12+$CQ12-$EO12</f>
        <v>-2.6602423508332107</v>
      </c>
      <c r="FF12" s="39">
        <f t="shared" si="58"/>
        <v>-4.0578140827279952E-2</v>
      </c>
      <c r="FG12" s="39">
        <f t="shared" si="59"/>
        <v>-3.6934141680881383E-2</v>
      </c>
    </row>
    <row r="13" spans="1:163" ht="15.75" x14ac:dyDescent="0.25">
      <c r="A13" s="3" t="s">
        <v>271</v>
      </c>
      <c r="B13" s="3" t="s">
        <v>271</v>
      </c>
      <c r="C13" s="3" t="s">
        <v>802</v>
      </c>
      <c r="D13" s="3" t="s">
        <v>802</v>
      </c>
      <c r="E13" s="3" t="s">
        <v>1059</v>
      </c>
      <c r="F13" s="3" t="s">
        <v>1055</v>
      </c>
      <c r="G13" s="3" t="s">
        <v>774</v>
      </c>
      <c r="H13" s="3" t="str">
        <f t="shared" si="0"/>
        <v>CW_3_Section_5</v>
      </c>
      <c r="I13" s="3" t="str">
        <f t="shared" si="1"/>
        <v>CW_3_EFF</v>
      </c>
      <c r="J13" s="3" t="s">
        <v>1482</v>
      </c>
      <c r="K13" s="3" t="s">
        <v>1482</v>
      </c>
      <c r="L13" s="3" t="s">
        <v>780</v>
      </c>
      <c r="M13" s="3" t="s">
        <v>780</v>
      </c>
      <c r="N13" s="3" t="s">
        <v>1482</v>
      </c>
      <c r="O13" s="12" t="s">
        <v>1016</v>
      </c>
      <c r="P13" s="3" t="s">
        <v>1060</v>
      </c>
      <c r="Q13" s="3" t="s">
        <v>1018</v>
      </c>
      <c r="R13" s="3" t="s">
        <v>1051</v>
      </c>
      <c r="S13" s="3" t="str">
        <f t="shared" si="2"/>
        <v>T0_EFF</v>
      </c>
      <c r="T13" s="13" t="s">
        <v>1052</v>
      </c>
      <c r="U13" s="3" t="s">
        <v>1053</v>
      </c>
      <c r="V13" s="3">
        <v>150</v>
      </c>
      <c r="W13" s="3">
        <v>65</v>
      </c>
      <c r="X13" s="3">
        <v>4.2</v>
      </c>
      <c r="Y13" s="3">
        <v>12</v>
      </c>
      <c r="Z13" t="s">
        <v>235</v>
      </c>
      <c r="AA13" t="s">
        <v>236</v>
      </c>
      <c r="AB13" s="1">
        <v>45518</v>
      </c>
      <c r="AC13">
        <v>24</v>
      </c>
      <c r="AD13">
        <v>26</v>
      </c>
      <c r="AE13">
        <v>510</v>
      </c>
      <c r="AF13" s="37">
        <f t="shared" si="17"/>
        <v>0.19587760850083216</v>
      </c>
      <c r="AG13">
        <v>13</v>
      </c>
      <c r="AH13" s="37">
        <f t="shared" si="18"/>
        <v>5.0792272628608645E-3</v>
      </c>
      <c r="AI13">
        <v>260</v>
      </c>
      <c r="AJ13" s="37">
        <f t="shared" si="19"/>
        <v>0.10285391353489687</v>
      </c>
      <c r="AK13">
        <v>90</v>
      </c>
      <c r="AL13" s="37">
        <f t="shared" si="20"/>
        <v>3.560327776207968E-2</v>
      </c>
      <c r="AM13">
        <v>76</v>
      </c>
      <c r="AN13" s="37">
        <f t="shared" si="21"/>
        <v>3.0064990110200623E-2</v>
      </c>
      <c r="AO13">
        <v>166</v>
      </c>
      <c r="AQ13" s="59">
        <v>949</v>
      </c>
      <c r="AR13" s="59">
        <f t="shared" si="22"/>
        <v>0.30381074929858987</v>
      </c>
      <c r="AS13">
        <v>1100</v>
      </c>
      <c r="AT13" s="37">
        <f t="shared" si="23"/>
        <v>0.41195287508777401</v>
      </c>
      <c r="AU13">
        <v>87</v>
      </c>
      <c r="AV13" t="s">
        <v>113</v>
      </c>
      <c r="AW13" t="s">
        <v>113</v>
      </c>
      <c r="AX13">
        <v>230</v>
      </c>
      <c r="AY13">
        <v>230</v>
      </c>
      <c r="AZ13" t="s">
        <v>159</v>
      </c>
      <c r="BA13" t="s">
        <v>108</v>
      </c>
      <c r="BB13" t="s">
        <v>220</v>
      </c>
      <c r="BC13" t="s">
        <v>108</v>
      </c>
      <c r="BD13">
        <v>1</v>
      </c>
      <c r="BE13" t="s">
        <v>108</v>
      </c>
      <c r="BF13" t="s">
        <v>113</v>
      </c>
      <c r="BG13" t="s">
        <v>77</v>
      </c>
      <c r="BH13" t="s">
        <v>177</v>
      </c>
      <c r="BI13" t="s">
        <v>113</v>
      </c>
      <c r="BJ13" t="s">
        <v>113</v>
      </c>
      <c r="BK13" t="s">
        <v>191</v>
      </c>
      <c r="BL13" t="s">
        <v>113</v>
      </c>
      <c r="BM13" t="s">
        <v>147</v>
      </c>
      <c r="BN13" t="s">
        <v>147</v>
      </c>
      <c r="BO13" s="58">
        <v>360</v>
      </c>
      <c r="BP13" s="58">
        <v>2</v>
      </c>
      <c r="BQ13" s="58">
        <v>2</v>
      </c>
      <c r="BR13" s="58">
        <v>2.5</v>
      </c>
      <c r="BS13" s="58">
        <v>0.37</v>
      </c>
      <c r="BT13" s="58">
        <v>0.03</v>
      </c>
      <c r="BU13" s="58">
        <v>0.02</v>
      </c>
      <c r="BV13" s="58">
        <v>2E-3</v>
      </c>
      <c r="BW13" s="31">
        <f t="shared" si="24"/>
        <v>0.13482094093781696</v>
      </c>
      <c r="BX13" s="31">
        <f t="shared" si="25"/>
        <v>7.3592220251002033E-4</v>
      </c>
      <c r="BY13" s="31">
        <f t="shared" si="26"/>
        <v>7.5222099734128785E-4</v>
      </c>
      <c r="BZ13" s="31">
        <f t="shared" si="27"/>
        <v>9.3249909758151843E-4</v>
      </c>
      <c r="CA13" s="31">
        <f t="shared" si="28"/>
        <v>1.3701397071200135E-4</v>
      </c>
      <c r="CB13" s="31">
        <f t="shared" si="29"/>
        <v>1.110924086854065E-5</v>
      </c>
      <c r="CC13" s="31">
        <f t="shared" si="30"/>
        <v>7.3176761433868973E-6</v>
      </c>
      <c r="CD13" s="31">
        <f t="shared" si="31"/>
        <v>7.3176761433868969E-7</v>
      </c>
      <c r="CE13">
        <v>1E-3</v>
      </c>
      <c r="CF13">
        <v>1E-3</v>
      </c>
      <c r="CG13">
        <v>2E-3</v>
      </c>
      <c r="CH13">
        <v>1E-3</v>
      </c>
      <c r="CI13">
        <v>1E-3</v>
      </c>
      <c r="CK13">
        <v>2E-3</v>
      </c>
      <c r="CL13">
        <v>1E-3</v>
      </c>
      <c r="CM13">
        <v>1E-3</v>
      </c>
      <c r="CN13" s="58">
        <f t="shared" si="60"/>
        <v>366.92199999999997</v>
      </c>
      <c r="CO13" s="58">
        <f t="shared" si="32"/>
        <v>6.9219999999999997</v>
      </c>
      <c r="CP13" s="31">
        <f t="shared" si="33"/>
        <v>0.13739775589058806</v>
      </c>
      <c r="CQ13" s="31">
        <f t="shared" si="34"/>
        <v>2.5768149527710944E-3</v>
      </c>
      <c r="CR13">
        <v>360</v>
      </c>
      <c r="CS13">
        <v>1600</v>
      </c>
      <c r="CT13">
        <v>240</v>
      </c>
      <c r="CU13" t="s">
        <v>69</v>
      </c>
      <c r="CV13" t="s">
        <v>69</v>
      </c>
      <c r="CW13">
        <v>1800</v>
      </c>
      <c r="CX13" s="2">
        <f t="shared" si="3"/>
        <v>1309</v>
      </c>
      <c r="CZ13">
        <v>61</v>
      </c>
      <c r="DA13" t="s">
        <v>62</v>
      </c>
      <c r="DB13" t="s">
        <v>88</v>
      </c>
      <c r="DC13" t="s">
        <v>782</v>
      </c>
      <c r="DD13" s="37">
        <f t="shared" si="4"/>
        <v>18.020403914220278</v>
      </c>
      <c r="DE13" s="37">
        <f t="shared" si="35"/>
        <v>18.020403914220278</v>
      </c>
      <c r="DF13" s="37">
        <v>7.6</v>
      </c>
      <c r="DG13" s="37">
        <f t="shared" si="5"/>
        <v>0.13607878245299909</v>
      </c>
      <c r="DH13" s="37">
        <f t="shared" si="36"/>
        <v>0.13607878245299909</v>
      </c>
      <c r="DI13" s="37">
        <f t="shared" si="6"/>
        <v>25.620403914220276</v>
      </c>
      <c r="DJ13" s="37">
        <f t="shared" si="37"/>
        <v>0.45873596981594045</v>
      </c>
      <c r="DK13" s="37">
        <f t="shared" si="38"/>
        <v>0.45873596981594045</v>
      </c>
      <c r="DL13" s="55">
        <f t="shared" si="39"/>
        <v>2.9065167603581092</v>
      </c>
      <c r="DM13" s="55">
        <f t="shared" si="39"/>
        <v>2.9065167603581092</v>
      </c>
      <c r="DN13" s="37">
        <f t="shared" si="40"/>
        <v>10.506516760358108</v>
      </c>
      <c r="DO13" s="55">
        <f t="shared" si="41"/>
        <v>0.18812026428573156</v>
      </c>
      <c r="DP13" s="55">
        <f t="shared" si="42"/>
        <v>0.18812026428573156</v>
      </c>
      <c r="DQ13" s="37">
        <v>4.2</v>
      </c>
      <c r="DR13" s="37">
        <f t="shared" si="43"/>
        <v>7.6460950300382302E-2</v>
      </c>
      <c r="DS13" s="37">
        <f t="shared" si="44"/>
        <v>0.1529219006007646</v>
      </c>
      <c r="DT13" s="37">
        <f t="shared" si="7"/>
        <v>5.9996111480927645</v>
      </c>
      <c r="DU13" s="37">
        <f t="shared" si="8"/>
        <v>2.9998055740463823</v>
      </c>
      <c r="DV13" s="37">
        <f t="shared" si="45"/>
        <v>29.820403914220275</v>
      </c>
      <c r="DW13" s="37">
        <f t="shared" si="9"/>
        <v>0.61165787041670505</v>
      </c>
      <c r="DX13">
        <v>23</v>
      </c>
      <c r="DY13" t="s">
        <v>238</v>
      </c>
      <c r="DZ13" s="29">
        <f t="shared" si="46"/>
        <v>1</v>
      </c>
      <c r="EA13" s="30">
        <v>1.7000000000000001E-2</v>
      </c>
      <c r="EB13" s="30">
        <f t="shared" si="47"/>
        <v>2.741935483870968E-4</v>
      </c>
      <c r="EC13" s="30">
        <f t="shared" si="48"/>
        <v>1.370967741935484E-3</v>
      </c>
      <c r="ED13" s="31">
        <f t="shared" si="10"/>
        <v>31</v>
      </c>
      <c r="EE13" s="33">
        <f t="shared" si="49"/>
        <v>42.465753424657535</v>
      </c>
      <c r="EF13" s="37">
        <f t="shared" si="11"/>
        <v>2.5817197584842808</v>
      </c>
      <c r="EG13" s="37">
        <f>$EK31-EK13</f>
        <v>5</v>
      </c>
      <c r="EH13" s="33">
        <f>(EG13/EK31)*100</f>
        <v>10.638297872340425</v>
      </c>
      <c r="EI13" s="37">
        <f t="shared" si="12"/>
        <v>0.41640641265875494</v>
      </c>
      <c r="EJ13" s="37">
        <f t="shared" si="12"/>
        <v>0.41640641265875494</v>
      </c>
      <c r="EK13" s="31">
        <v>42</v>
      </c>
      <c r="EL13" s="31">
        <f t="shared" si="50"/>
        <v>0.4372267332916927</v>
      </c>
      <c r="EM13" s="31">
        <f t="shared" si="51"/>
        <v>3.4978138663335416</v>
      </c>
      <c r="EN13" s="32">
        <f t="shared" si="13"/>
        <v>3.4991848340754772</v>
      </c>
      <c r="EO13" s="39">
        <f t="shared" si="52"/>
        <v>3.1933776289009859</v>
      </c>
      <c r="EP13" s="37">
        <f t="shared" si="14"/>
        <v>4.7887196057483906E-2</v>
      </c>
      <c r="EQ13" s="37">
        <f t="shared" si="15"/>
        <v>0.14365227765869215</v>
      </c>
      <c r="ER13" s="37">
        <f t="shared" si="16"/>
        <v>0.80846052628382392</v>
      </c>
      <c r="ES13" s="39">
        <f t="shared" si="53"/>
        <v>0.75744857754525108</v>
      </c>
      <c r="ET13" s="55">
        <f t="shared" si="54"/>
        <v>24.836044302227631</v>
      </c>
      <c r="EU13" s="55">
        <f t="shared" si="55"/>
        <v>20.189080174439805</v>
      </c>
      <c r="EV13" s="55">
        <f t="shared" si="56"/>
        <v>54.974875523332564</v>
      </c>
      <c r="EW13" t="s">
        <v>239</v>
      </c>
      <c r="EX13" t="s">
        <v>127</v>
      </c>
      <c r="EY13">
        <v>-141</v>
      </c>
      <c r="EZ13" t="s">
        <v>112</v>
      </c>
      <c r="FA13">
        <v>919</v>
      </c>
      <c r="FB13" t="s">
        <v>108</v>
      </c>
      <c r="FC13" t="s">
        <v>780</v>
      </c>
      <c r="FD13" s="39">
        <f t="shared" si="57"/>
        <v>-2.477614004514622</v>
      </c>
      <c r="FE13" s="39">
        <f t="shared" si="61"/>
        <v>-2.475037189561851</v>
      </c>
      <c r="FF13" s="39">
        <f t="shared" si="58"/>
        <v>-4.1684953158887206E-2</v>
      </c>
      <c r="FG13" s="39">
        <f t="shared" si="59"/>
        <v>-3.9108138206116139E-2</v>
      </c>
    </row>
    <row r="14" spans="1:163" ht="15.75" x14ac:dyDescent="0.25">
      <c r="A14" s="3" t="s">
        <v>272</v>
      </c>
      <c r="B14" s="3" t="s">
        <v>272</v>
      </c>
      <c r="C14" s="3" t="s">
        <v>803</v>
      </c>
      <c r="D14" s="3" t="s">
        <v>803</v>
      </c>
      <c r="E14" s="3" t="s">
        <v>1061</v>
      </c>
      <c r="F14" s="3" t="s">
        <v>1013</v>
      </c>
      <c r="G14" s="3" t="s">
        <v>772</v>
      </c>
      <c r="H14" s="3" t="str">
        <f t="shared" si="0"/>
        <v>CW_1_Section_1</v>
      </c>
      <c r="I14" s="3" t="str">
        <f t="shared" si="1"/>
        <v>CW_1_MF01</v>
      </c>
      <c r="J14" s="3" t="s">
        <v>1488</v>
      </c>
      <c r="K14" s="3" t="s">
        <v>1484</v>
      </c>
      <c r="L14" s="11" t="s">
        <v>1014</v>
      </c>
      <c r="M14" s="3" t="s">
        <v>1015</v>
      </c>
      <c r="N14" s="3" t="s">
        <v>1015</v>
      </c>
      <c r="O14" s="12" t="s">
        <v>1016</v>
      </c>
      <c r="P14" s="3" t="s">
        <v>1062</v>
      </c>
      <c r="Q14" s="3" t="s">
        <v>1018</v>
      </c>
      <c r="R14" s="3" t="s">
        <v>1051</v>
      </c>
      <c r="S14" s="3" t="str">
        <f t="shared" si="2"/>
        <v>T0_0.15-0.30</v>
      </c>
      <c r="T14" s="13" t="s">
        <v>1052</v>
      </c>
      <c r="U14" s="3" t="s">
        <v>1053</v>
      </c>
      <c r="V14" s="3">
        <v>150</v>
      </c>
      <c r="W14" s="3">
        <v>65</v>
      </c>
      <c r="X14" s="3">
        <v>24</v>
      </c>
      <c r="Y14" s="3">
        <v>13</v>
      </c>
      <c r="Z14" t="s">
        <v>136</v>
      </c>
      <c r="AA14" t="s">
        <v>137</v>
      </c>
      <c r="AB14" s="1">
        <v>45518</v>
      </c>
      <c r="AC14">
        <v>17</v>
      </c>
      <c r="AD14">
        <v>18</v>
      </c>
      <c r="AE14">
        <v>320</v>
      </c>
      <c r="AF14" s="37">
        <f t="shared" si="17"/>
        <v>0.12290359749071822</v>
      </c>
      <c r="AG14">
        <v>19</v>
      </c>
      <c r="AH14" s="37">
        <f t="shared" si="18"/>
        <v>7.4234859995658785E-3</v>
      </c>
      <c r="AI14">
        <v>18</v>
      </c>
      <c r="AJ14" s="37">
        <f t="shared" si="19"/>
        <v>7.1206555524159368E-3</v>
      </c>
      <c r="AK14">
        <v>11</v>
      </c>
      <c r="AL14" s="37">
        <f t="shared" si="20"/>
        <v>4.3515117264764057E-3</v>
      </c>
      <c r="AM14">
        <v>4.3</v>
      </c>
      <c r="AN14" s="37">
        <f t="shared" si="21"/>
        <v>1.7010454930771405E-3</v>
      </c>
      <c r="AO14">
        <v>15.3</v>
      </c>
      <c r="AQ14" s="59">
        <v>372.3</v>
      </c>
      <c r="AR14" s="59">
        <f t="shared" si="22"/>
        <v>0.13744773904270005</v>
      </c>
      <c r="AS14">
        <v>4</v>
      </c>
      <c r="AT14" s="37">
        <f t="shared" si="23"/>
        <v>1.4980104548646326E-3</v>
      </c>
      <c r="AU14">
        <v>18</v>
      </c>
      <c r="AV14" t="s">
        <v>52</v>
      </c>
      <c r="AW14" t="s">
        <v>139</v>
      </c>
      <c r="AX14" t="s">
        <v>84</v>
      </c>
      <c r="AY14" t="s">
        <v>140</v>
      </c>
      <c r="AZ14" t="s">
        <v>141</v>
      </c>
      <c r="BA14" t="s">
        <v>142</v>
      </c>
      <c r="BB14" t="s">
        <v>100</v>
      </c>
      <c r="BC14" t="s">
        <v>143</v>
      </c>
      <c r="BD14" t="s">
        <v>144</v>
      </c>
      <c r="BE14" t="s">
        <v>145</v>
      </c>
      <c r="BF14" t="s">
        <v>146</v>
      </c>
      <c r="BG14" t="s">
        <v>147</v>
      </c>
      <c r="BH14" t="s">
        <v>148</v>
      </c>
      <c r="BI14" t="s">
        <v>87</v>
      </c>
      <c r="BJ14" t="s">
        <v>88</v>
      </c>
      <c r="BK14" t="s">
        <v>148</v>
      </c>
      <c r="BL14" t="s">
        <v>88</v>
      </c>
      <c r="BM14" t="s">
        <v>87</v>
      </c>
      <c r="BN14" t="s">
        <v>62</v>
      </c>
      <c r="BO14" s="58">
        <v>3</v>
      </c>
      <c r="BP14" s="58">
        <v>0.01</v>
      </c>
      <c r="BQ14" s="58">
        <v>0.1</v>
      </c>
      <c r="BR14" s="58">
        <v>5.0000000000000001E-3</v>
      </c>
      <c r="BS14" s="58">
        <v>0.04</v>
      </c>
      <c r="BT14" s="58">
        <v>1E-3</v>
      </c>
      <c r="BU14" s="58">
        <v>0.01</v>
      </c>
      <c r="BV14" s="58">
        <v>2E-3</v>
      </c>
      <c r="BW14" s="31">
        <f t="shared" si="24"/>
        <v>1.1235078411484746E-3</v>
      </c>
      <c r="BX14" s="31">
        <f t="shared" si="25"/>
        <v>3.6796110125501018E-6</v>
      </c>
      <c r="BY14" s="31">
        <f t="shared" si="26"/>
        <v>3.7611049867064392E-5</v>
      </c>
      <c r="BZ14" s="31">
        <f t="shared" si="27"/>
        <v>1.8649981951630372E-6</v>
      </c>
      <c r="CA14" s="31">
        <f t="shared" si="28"/>
        <v>1.4812321158054199E-5</v>
      </c>
      <c r="CB14" s="31">
        <f t="shared" si="29"/>
        <v>3.7030802895135499E-7</v>
      </c>
      <c r="CC14" s="31">
        <f t="shared" si="30"/>
        <v>3.6588380716934487E-6</v>
      </c>
      <c r="CD14" s="31">
        <f t="shared" si="31"/>
        <v>7.3176761433868969E-7</v>
      </c>
      <c r="CE14">
        <v>1E-3</v>
      </c>
      <c r="CF14">
        <v>1E-3</v>
      </c>
      <c r="CG14">
        <v>2E-3</v>
      </c>
      <c r="CH14">
        <v>1E-3</v>
      </c>
      <c r="CI14">
        <v>1E-3</v>
      </c>
      <c r="CK14">
        <v>2E-3</v>
      </c>
      <c r="CL14">
        <v>1E-3</v>
      </c>
      <c r="CM14">
        <v>1E-3</v>
      </c>
      <c r="CN14" s="58">
        <f t="shared" si="60"/>
        <v>3.1679999999999993</v>
      </c>
      <c r="CO14" s="58">
        <f t="shared" si="32"/>
        <v>0.16800000000000001</v>
      </c>
      <c r="CP14" s="31">
        <f t="shared" si="33"/>
        <v>1.1862367350962901E-3</v>
      </c>
      <c r="CQ14" s="31">
        <f t="shared" si="34"/>
        <v>6.2728893947815227E-5</v>
      </c>
      <c r="CR14">
        <v>3.2</v>
      </c>
      <c r="CS14" t="s">
        <v>69</v>
      </c>
      <c r="CT14" t="s">
        <v>69</v>
      </c>
      <c r="CU14" t="s">
        <v>69</v>
      </c>
      <c r="CV14" t="s">
        <v>69</v>
      </c>
      <c r="CW14">
        <v>5</v>
      </c>
      <c r="CX14" s="2">
        <f t="shared" si="3"/>
        <v>375.5</v>
      </c>
      <c r="CZ14">
        <v>61</v>
      </c>
      <c r="DA14" t="s">
        <v>62</v>
      </c>
      <c r="DB14" t="s">
        <v>88</v>
      </c>
      <c r="DC14" t="s">
        <v>782</v>
      </c>
      <c r="DD14" s="37">
        <f t="shared" si="4"/>
        <v>42.144493025192588</v>
      </c>
      <c r="DE14" s="37">
        <f t="shared" si="35"/>
        <v>42.144493025192588</v>
      </c>
      <c r="DF14" s="37">
        <v>18</v>
      </c>
      <c r="DG14" s="37">
        <f t="shared" si="5"/>
        <v>0.32229185317815578</v>
      </c>
      <c r="DH14" s="37">
        <f t="shared" si="36"/>
        <v>0.32229185317815578</v>
      </c>
      <c r="DI14" s="37">
        <f t="shared" si="6"/>
        <v>60.144493025192588</v>
      </c>
      <c r="DJ14" s="37">
        <f t="shared" si="37"/>
        <v>1.0768933397527769</v>
      </c>
      <c r="DK14" s="37">
        <f t="shared" si="38"/>
        <v>1.0768933397527769</v>
      </c>
      <c r="DL14" s="55">
        <f t="shared" si="39"/>
        <v>42.144493025192588</v>
      </c>
      <c r="DM14" s="55">
        <f t="shared" si="39"/>
        <v>42.144493025192588</v>
      </c>
      <c r="DN14" s="37">
        <f t="shared" si="40"/>
        <v>60.144493025192588</v>
      </c>
      <c r="DO14" s="55">
        <f t="shared" si="41"/>
        <v>1.0768933397527769</v>
      </c>
      <c r="DP14" s="55">
        <f t="shared" si="42"/>
        <v>1.0768933397527769</v>
      </c>
      <c r="DQ14" s="37">
        <v>4.3</v>
      </c>
      <c r="DR14" s="37">
        <f t="shared" si="43"/>
        <v>7.8281449117058075E-2</v>
      </c>
      <c r="DS14" s="37">
        <f t="shared" si="44"/>
        <v>0.15656289823411615</v>
      </c>
      <c r="DT14" s="37">
        <f t="shared" si="7"/>
        <v>13.756686314562799</v>
      </c>
      <c r="DU14" s="37">
        <f t="shared" si="8"/>
        <v>6.8783431572813996</v>
      </c>
      <c r="DV14" s="37">
        <f t="shared" si="45"/>
        <v>64.444493025192585</v>
      </c>
      <c r="DW14" s="37">
        <f t="shared" si="9"/>
        <v>1.233456237986893</v>
      </c>
      <c r="DX14">
        <v>18</v>
      </c>
      <c r="DY14" t="s">
        <v>138</v>
      </c>
      <c r="DZ14" s="29">
        <f t="shared" si="46"/>
        <v>1</v>
      </c>
      <c r="EA14" s="30">
        <v>1.7000000000000001E-2</v>
      </c>
      <c r="EB14" s="30">
        <f t="shared" si="47"/>
        <v>2.741935483870968E-4</v>
      </c>
      <c r="EC14" s="30">
        <f t="shared" si="48"/>
        <v>1.370967741935484E-3</v>
      </c>
      <c r="ED14" s="31">
        <f t="shared" si="10"/>
        <v>72.5</v>
      </c>
      <c r="EE14" s="33">
        <f t="shared" si="49"/>
        <v>99.315068493150676</v>
      </c>
      <c r="EF14" s="37">
        <f t="shared" si="11"/>
        <v>6.0378929835519468</v>
      </c>
      <c r="EG14" s="37">
        <f>$EK$10-EK14</f>
        <v>72.5</v>
      </c>
      <c r="EH14" s="33">
        <f>(EG14/$EK$10)*100</f>
        <v>99.315068493150676</v>
      </c>
      <c r="EI14" s="37">
        <f t="shared" si="12"/>
        <v>6.0378929835519468</v>
      </c>
      <c r="EJ14" s="37">
        <f t="shared" si="12"/>
        <v>6.0378929835519468</v>
      </c>
      <c r="EK14" s="31">
        <v>0.5</v>
      </c>
      <c r="EL14" s="31">
        <f t="shared" si="50"/>
        <v>5.2050801582344368E-3</v>
      </c>
      <c r="EM14" s="31">
        <f t="shared" si="51"/>
        <v>4.1640641265875494E-2</v>
      </c>
      <c r="EN14" s="32">
        <f t="shared" si="13"/>
        <v>4.301160900781098E-2</v>
      </c>
      <c r="EO14" s="39">
        <f t="shared" si="52"/>
        <v>7.2713492215388396</v>
      </c>
      <c r="EP14" s="37">
        <f t="shared" si="14"/>
        <v>2.1531478335595971E-2</v>
      </c>
      <c r="EQ14" s="37">
        <f t="shared" si="15"/>
        <v>0.14810089667579923</v>
      </c>
      <c r="ER14" s="37">
        <f t="shared" si="16"/>
        <v>0.83036762498860484</v>
      </c>
      <c r="ES14" s="39">
        <f t="shared" si="53"/>
        <v>7.2713492215388396</v>
      </c>
      <c r="ET14" s="55">
        <f t="shared" si="54"/>
        <v>14.810089667579923</v>
      </c>
      <c r="EU14" s="55">
        <f t="shared" si="55"/>
        <v>2.153147833559597</v>
      </c>
      <c r="EV14" s="55">
        <f t="shared" si="56"/>
        <v>83.036762498860483</v>
      </c>
      <c r="EW14" t="s">
        <v>149</v>
      </c>
      <c r="EX14" t="s">
        <v>150</v>
      </c>
      <c r="EY14">
        <v>-166</v>
      </c>
      <c r="EZ14" t="s">
        <v>151</v>
      </c>
      <c r="FA14">
        <v>1060</v>
      </c>
      <c r="FB14" t="s">
        <v>72</v>
      </c>
      <c r="FC14" t="s">
        <v>780</v>
      </c>
      <c r="FD14" s="39">
        <f t="shared" si="57"/>
        <v>-7.1324034720412746</v>
      </c>
      <c r="FE14" s="39">
        <f t="shared" si="61"/>
        <v>-7.1323407431473269</v>
      </c>
      <c r="FF14" s="39">
        <f t="shared" si="58"/>
        <v>-7.1324034720412746</v>
      </c>
      <c r="FG14" s="39">
        <f t="shared" si="59"/>
        <v>-7.1323407431473269</v>
      </c>
    </row>
    <row r="15" spans="1:163" ht="15.75" x14ac:dyDescent="0.25">
      <c r="A15" s="3" t="s">
        <v>273</v>
      </c>
      <c r="B15" s="3" t="s">
        <v>273</v>
      </c>
      <c r="C15" s="3" t="s">
        <v>804</v>
      </c>
      <c r="D15" s="3" t="s">
        <v>804</v>
      </c>
      <c r="E15" s="3" t="s">
        <v>1063</v>
      </c>
      <c r="F15" s="3" t="s">
        <v>1013</v>
      </c>
      <c r="G15" s="3" t="s">
        <v>772</v>
      </c>
      <c r="H15" s="3" t="str">
        <f t="shared" si="0"/>
        <v>CW_1_Section_1</v>
      </c>
      <c r="I15" s="3" t="str">
        <f t="shared" si="1"/>
        <v>CW_1_MF02</v>
      </c>
      <c r="J15" s="3" t="s">
        <v>1489</v>
      </c>
      <c r="K15" s="3" t="s">
        <v>1484</v>
      </c>
      <c r="L15" s="11" t="s">
        <v>1023</v>
      </c>
      <c r="M15" s="3" t="s">
        <v>1024</v>
      </c>
      <c r="N15" s="3" t="s">
        <v>1024</v>
      </c>
      <c r="O15" s="12" t="s">
        <v>1016</v>
      </c>
      <c r="P15" s="3" t="s">
        <v>1064</v>
      </c>
      <c r="Q15" s="3" t="s">
        <v>1018</v>
      </c>
      <c r="R15" s="3" t="s">
        <v>1051</v>
      </c>
      <c r="S15" s="3" t="str">
        <f t="shared" si="2"/>
        <v>T0_0.60-0.80</v>
      </c>
      <c r="T15" s="13" t="s">
        <v>1052</v>
      </c>
      <c r="U15" s="3" t="s">
        <v>1053</v>
      </c>
      <c r="V15" s="3">
        <v>150</v>
      </c>
      <c r="W15" s="3">
        <v>65</v>
      </c>
      <c r="X15" s="3">
        <v>4.0999999999999996</v>
      </c>
      <c r="Y15" s="3">
        <v>14</v>
      </c>
      <c r="Z15" t="s">
        <v>152</v>
      </c>
      <c r="AA15" t="s">
        <v>153</v>
      </c>
      <c r="AB15" s="1">
        <v>45518</v>
      </c>
      <c r="AC15">
        <v>12</v>
      </c>
      <c r="AD15">
        <v>12</v>
      </c>
      <c r="AE15">
        <v>510</v>
      </c>
      <c r="AF15" s="37">
        <f t="shared" si="17"/>
        <v>0.19587760850083216</v>
      </c>
      <c r="AG15">
        <v>120</v>
      </c>
      <c r="AH15" s="37">
        <f t="shared" si="18"/>
        <v>4.6885174734100282E-2</v>
      </c>
      <c r="AI15">
        <v>600</v>
      </c>
      <c r="AJ15" s="37">
        <f t="shared" si="19"/>
        <v>0.23735518508053122</v>
      </c>
      <c r="AK15">
        <v>230</v>
      </c>
      <c r="AL15" s="37">
        <f t="shared" si="20"/>
        <v>9.0986154280870299E-2</v>
      </c>
      <c r="AM15">
        <v>310</v>
      </c>
      <c r="AN15" s="37">
        <f t="shared" si="21"/>
        <v>0.12263351229160781</v>
      </c>
      <c r="AO15">
        <v>540</v>
      </c>
      <c r="AQ15" s="59">
        <v>1770</v>
      </c>
      <c r="AR15" s="59">
        <f t="shared" si="22"/>
        <v>0.48011796831546366</v>
      </c>
      <c r="AS15">
        <v>3600</v>
      </c>
      <c r="AT15" s="37">
        <f t="shared" si="23"/>
        <v>1.3482094093781698</v>
      </c>
      <c r="AU15" t="s">
        <v>155</v>
      </c>
      <c r="AV15" t="s">
        <v>156</v>
      </c>
      <c r="AW15" t="s">
        <v>63</v>
      </c>
      <c r="AX15" t="s">
        <v>53</v>
      </c>
      <c r="AY15" t="s">
        <v>157</v>
      </c>
      <c r="AZ15" t="s">
        <v>158</v>
      </c>
      <c r="BA15">
        <v>4</v>
      </c>
      <c r="BB15">
        <v>12</v>
      </c>
      <c r="BC15" t="s">
        <v>159</v>
      </c>
      <c r="BD15">
        <v>19</v>
      </c>
      <c r="BE15" t="s">
        <v>120</v>
      </c>
      <c r="BF15" t="s">
        <v>49</v>
      </c>
      <c r="BG15">
        <v>48</v>
      </c>
      <c r="BH15" t="s">
        <v>160</v>
      </c>
      <c r="BI15" t="s">
        <v>67</v>
      </c>
      <c r="BJ15" t="s">
        <v>161</v>
      </c>
      <c r="BK15" t="s">
        <v>160</v>
      </c>
      <c r="BL15" t="s">
        <v>784</v>
      </c>
      <c r="BM15" t="s">
        <v>78</v>
      </c>
      <c r="BN15" t="s">
        <v>78</v>
      </c>
      <c r="BO15" s="58">
        <v>1700</v>
      </c>
      <c r="BP15" s="58">
        <v>83</v>
      </c>
      <c r="BQ15" s="58">
        <v>75</v>
      </c>
      <c r="BR15" s="58">
        <v>32</v>
      </c>
      <c r="BS15" s="58">
        <v>21</v>
      </c>
      <c r="BT15" s="58">
        <v>4.3</v>
      </c>
      <c r="BU15" s="58">
        <v>0.7</v>
      </c>
      <c r="BV15" s="58">
        <v>0.55000000000000004</v>
      </c>
      <c r="BW15" s="31">
        <f t="shared" si="24"/>
        <v>0.63665444331746901</v>
      </c>
      <c r="BX15" s="31">
        <f t="shared" si="25"/>
        <v>3.0540771404165848E-2</v>
      </c>
      <c r="BY15" s="31">
        <f t="shared" si="26"/>
        <v>2.8208287400298297E-2</v>
      </c>
      <c r="BZ15" s="31">
        <f t="shared" si="27"/>
        <v>1.1935988449043436E-2</v>
      </c>
      <c r="CA15" s="31">
        <f t="shared" si="28"/>
        <v>7.7764686079784548E-3</v>
      </c>
      <c r="CB15" s="31">
        <f t="shared" si="29"/>
        <v>1.5923245244908264E-3</v>
      </c>
      <c r="CC15" s="31">
        <f t="shared" si="30"/>
        <v>2.5611866501854138E-4</v>
      </c>
      <c r="CD15" s="31">
        <f t="shared" si="31"/>
        <v>2.0123609394313968E-4</v>
      </c>
      <c r="CE15">
        <v>1E-3</v>
      </c>
      <c r="CF15">
        <v>1E-3</v>
      </c>
      <c r="CG15">
        <v>2E-3</v>
      </c>
      <c r="CH15">
        <v>1E-3</v>
      </c>
      <c r="CI15">
        <v>1E-3</v>
      </c>
      <c r="CK15">
        <v>2E-3</v>
      </c>
      <c r="CL15">
        <v>1E-3</v>
      </c>
      <c r="CM15">
        <v>1E-3</v>
      </c>
      <c r="CN15" s="58">
        <f t="shared" si="60"/>
        <v>1916.55</v>
      </c>
      <c r="CO15" s="58">
        <f t="shared" si="32"/>
        <v>216.55</v>
      </c>
      <c r="CP15" s="31">
        <f t="shared" si="33"/>
        <v>0.71716563846240766</v>
      </c>
      <c r="CQ15" s="31">
        <f t="shared" si="34"/>
        <v>8.0511195144938541E-2</v>
      </c>
      <c r="CR15">
        <v>1900</v>
      </c>
      <c r="CS15">
        <v>5900</v>
      </c>
      <c r="CT15">
        <v>1900</v>
      </c>
      <c r="CU15" t="s">
        <v>69</v>
      </c>
      <c r="CV15" t="s">
        <v>69</v>
      </c>
      <c r="CW15">
        <v>7800</v>
      </c>
      <c r="CX15" s="2">
        <f t="shared" si="3"/>
        <v>3670</v>
      </c>
      <c r="CZ15">
        <v>65</v>
      </c>
      <c r="DA15" t="s">
        <v>62</v>
      </c>
      <c r="DB15" t="s">
        <v>88</v>
      </c>
      <c r="DC15" t="s">
        <v>782</v>
      </c>
      <c r="DD15" s="37">
        <f t="shared" si="4"/>
        <v>8.1382469290027064</v>
      </c>
      <c r="DE15" s="37">
        <f t="shared" si="35"/>
        <v>8.1382469290027064</v>
      </c>
      <c r="DF15" s="37">
        <v>1.5</v>
      </c>
      <c r="DG15" s="37">
        <f t="shared" si="5"/>
        <v>2.685765443151298E-2</v>
      </c>
      <c r="DH15" s="37">
        <f t="shared" si="36"/>
        <v>2.685765443151298E-2</v>
      </c>
      <c r="DI15" s="37">
        <f t="shared" si="6"/>
        <v>9.6382469290027064</v>
      </c>
      <c r="DJ15" s="37">
        <f t="shared" si="37"/>
        <v>0.17257380356316393</v>
      </c>
      <c r="DK15" s="37">
        <f t="shared" si="38"/>
        <v>0.17257380356316393</v>
      </c>
      <c r="DL15" s="55">
        <f t="shared" si="39"/>
        <v>8.1382469290027064</v>
      </c>
      <c r="DM15" s="55">
        <f t="shared" si="39"/>
        <v>8.1382469290027064</v>
      </c>
      <c r="DN15" s="37">
        <f t="shared" si="40"/>
        <v>9.6382469290027064</v>
      </c>
      <c r="DO15" s="55">
        <f t="shared" si="41"/>
        <v>0.17257380356316393</v>
      </c>
      <c r="DP15" s="55">
        <f t="shared" si="42"/>
        <v>0.17257380356316393</v>
      </c>
      <c r="DQ15" s="37">
        <v>1.4</v>
      </c>
      <c r="DR15" s="37">
        <f t="shared" si="43"/>
        <v>2.5486983433460765E-2</v>
      </c>
      <c r="DS15" s="37">
        <f t="shared" si="44"/>
        <v>5.097396686692153E-2</v>
      </c>
      <c r="DT15" s="37">
        <f t="shared" si="7"/>
        <v>6.7710564498032824</v>
      </c>
      <c r="DU15" s="37">
        <f t="shared" si="8"/>
        <v>3.3855282249016412</v>
      </c>
      <c r="DV15" s="37">
        <f t="shared" si="45"/>
        <v>11.038246929002707</v>
      </c>
      <c r="DW15" s="37">
        <f t="shared" si="9"/>
        <v>0.22354777043008545</v>
      </c>
      <c r="DX15">
        <v>23</v>
      </c>
      <c r="DY15" t="s">
        <v>154</v>
      </c>
      <c r="DZ15" s="29">
        <f t="shared" si="46"/>
        <v>1</v>
      </c>
      <c r="EA15" s="30">
        <v>1.7000000000000001E-2</v>
      </c>
      <c r="EB15" s="30">
        <f t="shared" si="47"/>
        <v>2.741935483870968E-4</v>
      </c>
      <c r="EC15" s="30">
        <f t="shared" si="48"/>
        <v>1.370967741935484E-3</v>
      </c>
      <c r="ED15" s="31">
        <f t="shared" si="10"/>
        <v>14</v>
      </c>
      <c r="EE15" s="33">
        <f t="shared" si="49"/>
        <v>19.17808219178082</v>
      </c>
      <c r="EF15" s="37">
        <f t="shared" si="11"/>
        <v>1.1659379554445137</v>
      </c>
      <c r="EG15" s="37">
        <f>$EK$10-EK15</f>
        <v>14</v>
      </c>
      <c r="EH15" s="33">
        <f>(EG15/$EK$10)*100</f>
        <v>19.17808219178082</v>
      </c>
      <c r="EI15" s="37">
        <f t="shared" si="12"/>
        <v>1.1659379554445137</v>
      </c>
      <c r="EJ15" s="37">
        <f t="shared" si="12"/>
        <v>1.1659379554445137</v>
      </c>
      <c r="EK15" s="31">
        <v>59</v>
      </c>
      <c r="EL15" s="31">
        <f t="shared" si="50"/>
        <v>0.61419945867166348</v>
      </c>
      <c r="EM15" s="31">
        <f t="shared" si="51"/>
        <v>4.9135956693733078</v>
      </c>
      <c r="EN15" s="32">
        <f t="shared" si="13"/>
        <v>4.914966637115243</v>
      </c>
      <c r="EO15" s="39">
        <f t="shared" si="52"/>
        <v>1.3894857258745992</v>
      </c>
      <c r="EP15" s="37">
        <f t="shared" si="14"/>
        <v>3.668549155827882E-2</v>
      </c>
      <c r="EQ15" s="37">
        <f t="shared" si="15"/>
        <v>0.12419976711494385</v>
      </c>
      <c r="ER15" s="37">
        <f t="shared" si="16"/>
        <v>0.83911474132677732</v>
      </c>
      <c r="ES15" s="39">
        <f t="shared" si="53"/>
        <v>1.3894857258745992</v>
      </c>
      <c r="ET15" s="55">
        <f t="shared" si="54"/>
        <v>12.419976711494385</v>
      </c>
      <c r="EU15" s="55">
        <f t="shared" si="55"/>
        <v>3.6685491558278818</v>
      </c>
      <c r="EV15" s="55">
        <f t="shared" si="56"/>
        <v>83.911474132677739</v>
      </c>
      <c r="EW15" t="s">
        <v>163</v>
      </c>
      <c r="EX15" t="s">
        <v>164</v>
      </c>
      <c r="EY15">
        <v>-192</v>
      </c>
      <c r="EZ15" t="s">
        <v>165</v>
      </c>
      <c r="FA15">
        <v>1118</v>
      </c>
      <c r="FB15" t="s">
        <v>113</v>
      </c>
      <c r="FC15" t="s">
        <v>780</v>
      </c>
      <c r="FD15" s="39">
        <f t="shared" si="57"/>
        <v>0.43884165181903434</v>
      </c>
      <c r="FE15" s="39">
        <f t="shared" si="61"/>
        <v>0.51935284696397277</v>
      </c>
      <c r="FF15" s="39">
        <f t="shared" si="58"/>
        <v>0.43884165181903434</v>
      </c>
      <c r="FG15" s="39">
        <f t="shared" si="59"/>
        <v>0.51935284696397277</v>
      </c>
    </row>
    <row r="16" spans="1:163" ht="15.75" x14ac:dyDescent="0.25">
      <c r="A16" s="3" t="s">
        <v>274</v>
      </c>
      <c r="B16" s="3" t="s">
        <v>274</v>
      </c>
      <c r="C16" s="3" t="s">
        <v>805</v>
      </c>
      <c r="D16" s="3" t="s">
        <v>805</v>
      </c>
      <c r="E16" s="3" t="s">
        <v>1065</v>
      </c>
      <c r="F16" s="3" t="s">
        <v>1027</v>
      </c>
      <c r="G16" s="3" t="s">
        <v>772</v>
      </c>
      <c r="H16" s="3" t="str">
        <f t="shared" si="0"/>
        <v>CW_1_Section_2</v>
      </c>
      <c r="I16" s="3" t="str">
        <f t="shared" si="1"/>
        <v>CW_1_MF05</v>
      </c>
      <c r="J16" s="3" t="s">
        <v>1496</v>
      </c>
      <c r="K16" s="3" t="s">
        <v>1484</v>
      </c>
      <c r="L16" s="11" t="s">
        <v>1028</v>
      </c>
      <c r="M16" s="3" t="s">
        <v>1015</v>
      </c>
      <c r="N16" s="3" t="s">
        <v>1015</v>
      </c>
      <c r="O16" s="12" t="s">
        <v>1016</v>
      </c>
      <c r="P16" s="3" t="s">
        <v>1066</v>
      </c>
      <c r="Q16" s="3" t="s">
        <v>1018</v>
      </c>
      <c r="R16" s="3" t="s">
        <v>1051</v>
      </c>
      <c r="S16" s="3" t="str">
        <f t="shared" si="2"/>
        <v>T0_0.15-0.30</v>
      </c>
      <c r="T16" s="13" t="s">
        <v>1052</v>
      </c>
      <c r="U16" s="3" t="s">
        <v>1053</v>
      </c>
      <c r="V16" s="3">
        <v>150</v>
      </c>
      <c r="W16" s="3">
        <v>65</v>
      </c>
      <c r="X16" s="3">
        <v>8.35</v>
      </c>
      <c r="Y16" s="3">
        <v>15</v>
      </c>
      <c r="Z16" t="s">
        <v>166</v>
      </c>
      <c r="AA16" t="s">
        <v>167</v>
      </c>
      <c r="AB16" s="1">
        <v>45518</v>
      </c>
      <c r="AC16">
        <v>32</v>
      </c>
      <c r="AD16">
        <v>32</v>
      </c>
      <c r="AE16">
        <v>2.6</v>
      </c>
      <c r="AF16" s="37">
        <f t="shared" si="17"/>
        <v>9.9859172961208544E-4</v>
      </c>
      <c r="AG16">
        <v>0.6</v>
      </c>
      <c r="AH16" s="37">
        <f t="shared" si="18"/>
        <v>2.3442587367050142E-4</v>
      </c>
      <c r="AI16">
        <v>1.6</v>
      </c>
      <c r="AJ16" s="37">
        <f t="shared" si="19"/>
        <v>6.3294716021474991E-4</v>
      </c>
      <c r="AK16">
        <v>0.75</v>
      </c>
      <c r="AL16" s="37">
        <f t="shared" si="20"/>
        <v>2.9669398135066403E-4</v>
      </c>
      <c r="AM16">
        <v>0.73</v>
      </c>
      <c r="AN16" s="37">
        <f t="shared" si="21"/>
        <v>2.8878214184797967E-4</v>
      </c>
      <c r="AO16">
        <v>1.48</v>
      </c>
      <c r="AQ16" s="59">
        <v>6.28</v>
      </c>
      <c r="AR16" s="59">
        <f t="shared" si="22"/>
        <v>1.8659647634973369E-3</v>
      </c>
      <c r="AS16">
        <v>18</v>
      </c>
      <c r="AT16" s="37">
        <f t="shared" si="23"/>
        <v>6.7410470468908471E-3</v>
      </c>
      <c r="AU16" t="s">
        <v>169</v>
      </c>
      <c r="AV16" t="s">
        <v>118</v>
      </c>
      <c r="AW16" t="s">
        <v>118</v>
      </c>
      <c r="AX16" t="s">
        <v>88</v>
      </c>
      <c r="AY16" t="s">
        <v>62</v>
      </c>
      <c r="AZ16" t="s">
        <v>88</v>
      </c>
      <c r="BA16" t="s">
        <v>88</v>
      </c>
      <c r="BB16" t="s">
        <v>88</v>
      </c>
      <c r="BC16" t="s">
        <v>88</v>
      </c>
      <c r="BD16" t="s">
        <v>62</v>
      </c>
      <c r="BE16" t="s">
        <v>88</v>
      </c>
      <c r="BF16" t="s">
        <v>88</v>
      </c>
      <c r="BG16" t="s">
        <v>513</v>
      </c>
      <c r="BH16" t="s">
        <v>88</v>
      </c>
      <c r="BI16" t="s">
        <v>87</v>
      </c>
      <c r="BJ16" t="s">
        <v>88</v>
      </c>
      <c r="BK16" t="s">
        <v>68</v>
      </c>
      <c r="BL16" t="s">
        <v>88</v>
      </c>
      <c r="BM16" t="s">
        <v>87</v>
      </c>
      <c r="BN16" t="s">
        <v>62</v>
      </c>
      <c r="BO16" s="58">
        <v>9.1</v>
      </c>
      <c r="BP16" s="58">
        <v>0.31</v>
      </c>
      <c r="BQ16" s="58">
        <v>0.17</v>
      </c>
      <c r="BR16" s="58">
        <v>5.0000000000000001E-3</v>
      </c>
      <c r="BS16" s="58">
        <v>0.04</v>
      </c>
      <c r="BT16" s="58">
        <v>1E-3</v>
      </c>
      <c r="BU16" s="58">
        <v>1E-3</v>
      </c>
      <c r="BV16" s="58">
        <v>2E-3</v>
      </c>
      <c r="BW16" s="31">
        <f t="shared" si="24"/>
        <v>3.4079737848170394E-3</v>
      </c>
      <c r="BX16" s="31">
        <f t="shared" si="25"/>
        <v>1.1406794138905315E-4</v>
      </c>
      <c r="BY16" s="31">
        <f t="shared" si="26"/>
        <v>6.3938784774009473E-5</v>
      </c>
      <c r="BZ16" s="31">
        <f t="shared" si="27"/>
        <v>1.8649981951630372E-6</v>
      </c>
      <c r="CA16" s="31">
        <f t="shared" si="28"/>
        <v>1.4812321158054199E-5</v>
      </c>
      <c r="CB16" s="31">
        <f t="shared" si="29"/>
        <v>3.7030802895135499E-7</v>
      </c>
      <c r="CC16" s="31">
        <f t="shared" si="30"/>
        <v>3.6588380716934485E-7</v>
      </c>
      <c r="CD16" s="31">
        <f t="shared" si="31"/>
        <v>7.3176761433868969E-7</v>
      </c>
      <c r="CE16">
        <v>1E-3</v>
      </c>
      <c r="CF16">
        <v>1E-3</v>
      </c>
      <c r="CG16">
        <v>2E-3</v>
      </c>
      <c r="CH16">
        <v>1E-3</v>
      </c>
      <c r="CI16">
        <v>1E-3</v>
      </c>
      <c r="CK16">
        <v>2E-3</v>
      </c>
      <c r="CL16">
        <v>1E-3</v>
      </c>
      <c r="CM16">
        <v>1E-3</v>
      </c>
      <c r="CN16" s="58">
        <f t="shared" si="60"/>
        <v>9.6289999999999996</v>
      </c>
      <c r="CO16" s="58">
        <f t="shared" si="32"/>
        <v>0.52900000000000003</v>
      </c>
      <c r="CP16" s="31">
        <f t="shared" si="33"/>
        <v>3.6041257897837789E-3</v>
      </c>
      <c r="CQ16" s="31">
        <f t="shared" si="34"/>
        <v>1.9615200496673929E-4</v>
      </c>
      <c r="CR16">
        <v>9.6</v>
      </c>
      <c r="CS16">
        <v>30</v>
      </c>
      <c r="CT16" t="s">
        <v>69</v>
      </c>
      <c r="CU16" t="s">
        <v>69</v>
      </c>
      <c r="CV16" t="s">
        <v>69</v>
      </c>
      <c r="CW16">
        <v>5</v>
      </c>
      <c r="CX16" s="2">
        <f t="shared" si="3"/>
        <v>15.879999999999999</v>
      </c>
      <c r="CZ16">
        <v>13</v>
      </c>
      <c r="DA16" t="s">
        <v>62</v>
      </c>
      <c r="DB16" t="s">
        <v>88</v>
      </c>
      <c r="DC16" t="s">
        <v>782</v>
      </c>
      <c r="DD16" s="37">
        <f t="shared" si="4"/>
        <v>42.144493025192588</v>
      </c>
      <c r="DE16" s="37">
        <f t="shared" si="35"/>
        <v>42.144493025192588</v>
      </c>
      <c r="DF16" s="37">
        <v>4.5999999999999996</v>
      </c>
      <c r="DG16" s="37">
        <f t="shared" si="5"/>
        <v>8.2363473589973132E-2</v>
      </c>
      <c r="DH16" s="37">
        <f t="shared" si="36"/>
        <v>8.2363473589973132E-2</v>
      </c>
      <c r="DI16" s="37">
        <f t="shared" si="6"/>
        <v>46.74449302519259</v>
      </c>
      <c r="DJ16" s="37">
        <f t="shared" si="37"/>
        <v>0.83696496016459421</v>
      </c>
      <c r="DK16" s="37">
        <f t="shared" si="38"/>
        <v>0.83696496016459421</v>
      </c>
      <c r="DL16" s="55">
        <f t="shared" si="39"/>
        <v>0</v>
      </c>
      <c r="DM16" s="55">
        <f t="shared" si="39"/>
        <v>0</v>
      </c>
      <c r="DN16" s="37">
        <f t="shared" si="40"/>
        <v>4.5999999999999996</v>
      </c>
      <c r="DO16" s="55">
        <f t="shared" si="41"/>
        <v>8.2363473589973132E-2</v>
      </c>
      <c r="DP16" s="55">
        <f t="shared" si="42"/>
        <v>8.2363473589973132E-2</v>
      </c>
      <c r="DQ16" s="37">
        <v>5.0999999999999996</v>
      </c>
      <c r="DR16" s="37">
        <f t="shared" si="43"/>
        <v>9.2845439650464226E-2</v>
      </c>
      <c r="DS16" s="37">
        <f t="shared" si="44"/>
        <v>0.18569087930092845</v>
      </c>
      <c r="DT16" s="37">
        <f t="shared" si="7"/>
        <v>9.0146049533021877</v>
      </c>
      <c r="DU16" s="37">
        <f t="shared" si="8"/>
        <v>4.5073024766510938</v>
      </c>
      <c r="DV16" s="37">
        <f t="shared" si="45"/>
        <v>51.844493025192591</v>
      </c>
      <c r="DW16" s="37">
        <f t="shared" si="9"/>
        <v>1.0226558394655227</v>
      </c>
      <c r="DX16" t="s">
        <v>75</v>
      </c>
      <c r="DY16">
        <v>2</v>
      </c>
      <c r="DZ16" s="29">
        <f t="shared" si="46"/>
        <v>1</v>
      </c>
      <c r="EA16" s="30">
        <v>1.7000000000000001E-2</v>
      </c>
      <c r="EB16" s="30">
        <f t="shared" si="47"/>
        <v>2.741935483870968E-4</v>
      </c>
      <c r="EC16" s="30">
        <f t="shared" si="48"/>
        <v>1.370967741935484E-3</v>
      </c>
      <c r="ED16" s="31">
        <f t="shared" si="10"/>
        <v>72.5</v>
      </c>
      <c r="EE16" s="33">
        <f t="shared" si="49"/>
        <v>99.315068493150676</v>
      </c>
      <c r="EF16" s="37">
        <f t="shared" si="11"/>
        <v>6.0378929835519468</v>
      </c>
      <c r="EG16" s="37">
        <f>$EK14-EK16</f>
        <v>0</v>
      </c>
      <c r="EH16" s="33">
        <f>(EG16/$EK14)*100</f>
        <v>0</v>
      </c>
      <c r="EI16" s="37">
        <f t="shared" si="12"/>
        <v>0</v>
      </c>
      <c r="EJ16" s="37">
        <f t="shared" si="12"/>
        <v>0</v>
      </c>
      <c r="EK16" s="31">
        <v>0.5</v>
      </c>
      <c r="EL16" s="31">
        <f t="shared" si="50"/>
        <v>5.2050801582344368E-3</v>
      </c>
      <c r="EM16" s="31">
        <f t="shared" si="51"/>
        <v>4.1640641265875494E-2</v>
      </c>
      <c r="EN16" s="32">
        <f t="shared" si="13"/>
        <v>4.301160900781098E-2</v>
      </c>
      <c r="EO16" s="39">
        <f t="shared" si="52"/>
        <v>7.06054882301747</v>
      </c>
      <c r="EP16" s="37">
        <f t="shared" si="14"/>
        <v>2.6299779798359874E-2</v>
      </c>
      <c r="EQ16" s="37">
        <f t="shared" si="15"/>
        <v>0.11854106262052588</v>
      </c>
      <c r="ER16" s="37">
        <f t="shared" si="16"/>
        <v>0.85515915758111416</v>
      </c>
      <c r="ES16" s="39">
        <f t="shared" si="53"/>
        <v>0.26805435289090157</v>
      </c>
      <c r="ET16" s="55">
        <f t="shared" si="54"/>
        <v>30.726407798158444</v>
      </c>
      <c r="EU16" s="55">
        <f t="shared" si="55"/>
        <v>69.273592201841566</v>
      </c>
      <c r="EV16" s="55">
        <f t="shared" si="56"/>
        <v>0</v>
      </c>
      <c r="EW16" t="s">
        <v>142</v>
      </c>
      <c r="EX16" t="s">
        <v>173</v>
      </c>
      <c r="EY16">
        <v>-133</v>
      </c>
      <c r="EZ16" t="s">
        <v>174</v>
      </c>
      <c r="FA16">
        <v>755</v>
      </c>
      <c r="FB16" t="s">
        <v>72</v>
      </c>
      <c r="FC16" t="s">
        <v>780</v>
      </c>
      <c r="FD16" s="39">
        <f t="shared" si="57"/>
        <v>-7.0519418112070822</v>
      </c>
      <c r="FE16" s="39">
        <f t="shared" si="61"/>
        <v>-7.0517456592021155</v>
      </c>
      <c r="FF16" s="39">
        <f t="shared" si="58"/>
        <v>-0.25944734108051337</v>
      </c>
      <c r="FG16" s="39">
        <f t="shared" si="59"/>
        <v>-0.25925118907554667</v>
      </c>
    </row>
    <row r="17" spans="1:163" ht="15.75" x14ac:dyDescent="0.25">
      <c r="A17" s="3" t="s">
        <v>275</v>
      </c>
      <c r="B17" s="3" t="s">
        <v>275</v>
      </c>
      <c r="C17" s="3" t="s">
        <v>806</v>
      </c>
      <c r="D17" s="3" t="s">
        <v>806</v>
      </c>
      <c r="E17" s="3" t="s">
        <v>1067</v>
      </c>
      <c r="F17" s="3" t="s">
        <v>1027</v>
      </c>
      <c r="G17" s="3" t="s">
        <v>772</v>
      </c>
      <c r="H17" s="3" t="str">
        <f t="shared" si="0"/>
        <v>CW_1_Section_2</v>
      </c>
      <c r="I17" s="3" t="str">
        <f t="shared" si="1"/>
        <v>CW_1_MF06</v>
      </c>
      <c r="J17" s="3" t="s">
        <v>1497</v>
      </c>
      <c r="K17" s="3" t="s">
        <v>1484</v>
      </c>
      <c r="L17" s="11" t="s">
        <v>1031</v>
      </c>
      <c r="M17" s="3" t="s">
        <v>1024</v>
      </c>
      <c r="N17" s="3" t="s">
        <v>1024</v>
      </c>
      <c r="O17" s="12" t="s">
        <v>1016</v>
      </c>
      <c r="P17" s="3" t="s">
        <v>1068</v>
      </c>
      <c r="Q17" s="3" t="s">
        <v>1018</v>
      </c>
      <c r="R17" s="3" t="s">
        <v>1051</v>
      </c>
      <c r="S17" s="3" t="str">
        <f t="shared" si="2"/>
        <v>T0_0.60-0.80</v>
      </c>
      <c r="T17" s="13" t="s">
        <v>1052</v>
      </c>
      <c r="U17" s="3" t="s">
        <v>1053</v>
      </c>
      <c r="V17" s="3">
        <v>150</v>
      </c>
      <c r="W17" s="3">
        <v>65</v>
      </c>
      <c r="X17" s="3">
        <v>20.350000000000001</v>
      </c>
      <c r="Y17" s="3">
        <v>16</v>
      </c>
      <c r="Z17" t="s">
        <v>114</v>
      </c>
      <c r="AA17" t="s">
        <v>115</v>
      </c>
      <c r="AB17" s="1">
        <v>45518</v>
      </c>
      <c r="AC17">
        <v>23</v>
      </c>
      <c r="AD17">
        <v>18</v>
      </c>
      <c r="AE17">
        <v>310</v>
      </c>
      <c r="AF17" s="37">
        <f t="shared" si="17"/>
        <v>0.11906286006913326</v>
      </c>
      <c r="AG17">
        <v>18</v>
      </c>
      <c r="AH17" s="37">
        <f t="shared" si="18"/>
        <v>7.0327762101150427E-3</v>
      </c>
      <c r="AI17">
        <v>28</v>
      </c>
      <c r="AJ17" s="37">
        <f t="shared" si="19"/>
        <v>1.1076575303758125E-2</v>
      </c>
      <c r="AK17">
        <v>14</v>
      </c>
      <c r="AL17" s="37">
        <f t="shared" si="20"/>
        <v>5.5382876518790623E-3</v>
      </c>
      <c r="AM17">
        <v>6.3</v>
      </c>
      <c r="AN17" s="37">
        <f t="shared" si="21"/>
        <v>2.4922294433455776E-3</v>
      </c>
      <c r="AO17">
        <v>20.3</v>
      </c>
      <c r="AQ17" s="59">
        <v>376.3</v>
      </c>
      <c r="AR17" s="59">
        <f t="shared" si="22"/>
        <v>0.13717221158300644</v>
      </c>
      <c r="AS17">
        <v>5.6</v>
      </c>
      <c r="AT17" s="37">
        <f t="shared" si="23"/>
        <v>2.0972146368104859E-3</v>
      </c>
      <c r="AU17">
        <v>11</v>
      </c>
      <c r="AV17" t="s">
        <v>118</v>
      </c>
      <c r="AW17" t="s">
        <v>63</v>
      </c>
      <c r="AX17" t="s">
        <v>119</v>
      </c>
      <c r="AY17" t="s">
        <v>120</v>
      </c>
      <c r="AZ17" t="s">
        <v>121</v>
      </c>
      <c r="BA17" t="s">
        <v>61</v>
      </c>
      <c r="BB17" t="s">
        <v>65</v>
      </c>
      <c r="BC17" t="s">
        <v>122</v>
      </c>
      <c r="BD17" t="s">
        <v>123</v>
      </c>
      <c r="BE17" t="s">
        <v>54</v>
      </c>
      <c r="BF17" t="s">
        <v>86</v>
      </c>
      <c r="BG17" t="s">
        <v>85</v>
      </c>
      <c r="BH17" t="s">
        <v>124</v>
      </c>
      <c r="BI17" t="s">
        <v>87</v>
      </c>
      <c r="BJ17" t="s">
        <v>88</v>
      </c>
      <c r="BK17" t="s">
        <v>124</v>
      </c>
      <c r="BL17" t="s">
        <v>88</v>
      </c>
      <c r="BM17" t="s">
        <v>125</v>
      </c>
      <c r="BN17" t="s">
        <v>62</v>
      </c>
      <c r="BO17" s="58">
        <v>2.2000000000000002</v>
      </c>
      <c r="BP17" s="58">
        <v>0.01</v>
      </c>
      <c r="BQ17" s="58">
        <v>0.01</v>
      </c>
      <c r="BR17" s="58">
        <v>5.0000000000000001E-3</v>
      </c>
      <c r="BS17" s="58">
        <v>1E-3</v>
      </c>
      <c r="BT17" s="58">
        <v>1E-3</v>
      </c>
      <c r="BU17" s="58">
        <v>1E-3</v>
      </c>
      <c r="BV17" s="58">
        <v>2E-3</v>
      </c>
      <c r="BW17" s="31">
        <f t="shared" si="24"/>
        <v>8.2390575017554819E-4</v>
      </c>
      <c r="BX17" s="31">
        <f t="shared" si="25"/>
        <v>3.6796110125501018E-6</v>
      </c>
      <c r="BY17" s="31">
        <f t="shared" si="26"/>
        <v>3.7611049867064394E-6</v>
      </c>
      <c r="BZ17" s="31">
        <f t="shared" si="27"/>
        <v>1.8649981951630372E-6</v>
      </c>
      <c r="CA17" s="31">
        <f t="shared" si="28"/>
        <v>3.7030802895135499E-7</v>
      </c>
      <c r="CB17" s="31">
        <f t="shared" si="29"/>
        <v>3.7030802895135499E-7</v>
      </c>
      <c r="CC17" s="31">
        <f t="shared" si="30"/>
        <v>3.6588380716934485E-7</v>
      </c>
      <c r="CD17" s="31">
        <f t="shared" si="31"/>
        <v>7.3176761433868969E-7</v>
      </c>
      <c r="CE17">
        <v>1E-3</v>
      </c>
      <c r="CF17">
        <v>1E-3</v>
      </c>
      <c r="CG17">
        <v>2E-3</v>
      </c>
      <c r="CH17">
        <v>1E-3</v>
      </c>
      <c r="CI17">
        <v>1E-3</v>
      </c>
      <c r="CK17">
        <v>2E-3</v>
      </c>
      <c r="CL17">
        <v>1E-3</v>
      </c>
      <c r="CM17">
        <v>1E-3</v>
      </c>
      <c r="CN17" s="58">
        <f t="shared" si="60"/>
        <v>2.2299999999999991</v>
      </c>
      <c r="CO17" s="58">
        <f t="shared" si="32"/>
        <v>3.0000000000000006E-2</v>
      </c>
      <c r="CP17" s="31">
        <f t="shared" si="33"/>
        <v>8.3504973184937844E-4</v>
      </c>
      <c r="CQ17" s="31">
        <f t="shared" si="34"/>
        <v>1.1143981673830322E-5</v>
      </c>
      <c r="CR17">
        <v>2.2000000000000002</v>
      </c>
      <c r="CS17" t="s">
        <v>69</v>
      </c>
      <c r="CT17" t="s">
        <v>69</v>
      </c>
      <c r="CU17" t="s">
        <v>69</v>
      </c>
      <c r="CV17" t="s">
        <v>69</v>
      </c>
      <c r="CW17">
        <v>5</v>
      </c>
      <c r="CX17" s="2">
        <f t="shared" si="3"/>
        <v>378.5</v>
      </c>
      <c r="CZ17">
        <v>63</v>
      </c>
      <c r="DA17" t="s">
        <v>62</v>
      </c>
      <c r="DB17" t="s">
        <v>88</v>
      </c>
      <c r="DC17" t="s">
        <v>782</v>
      </c>
      <c r="DD17" s="37">
        <f t="shared" si="4"/>
        <v>42.144493025192588</v>
      </c>
      <c r="DE17" s="37">
        <f t="shared" si="35"/>
        <v>42.144493025192588</v>
      </c>
      <c r="DF17" s="37">
        <v>17</v>
      </c>
      <c r="DG17" s="37">
        <f t="shared" si="5"/>
        <v>0.30438675022381378</v>
      </c>
      <c r="DH17" s="37">
        <f t="shared" si="36"/>
        <v>0.30438675022381378</v>
      </c>
      <c r="DI17" s="37">
        <f t="shared" si="6"/>
        <v>59.144493025192588</v>
      </c>
      <c r="DJ17" s="37">
        <f t="shared" si="37"/>
        <v>1.0589882367984349</v>
      </c>
      <c r="DK17" s="37">
        <f t="shared" si="38"/>
        <v>1.0589882367984349</v>
      </c>
      <c r="DL17" s="55">
        <f t="shared" si="39"/>
        <v>34.006246096189876</v>
      </c>
      <c r="DM17" s="55">
        <f t="shared" si="39"/>
        <v>34.006246096189876</v>
      </c>
      <c r="DN17" s="37">
        <f t="shared" si="40"/>
        <v>51.006246096189876</v>
      </c>
      <c r="DO17" s="55">
        <f t="shared" si="41"/>
        <v>0.91327208766678381</v>
      </c>
      <c r="DP17" s="55">
        <f t="shared" si="42"/>
        <v>0.91327208766678381</v>
      </c>
      <c r="DQ17" s="37">
        <v>3.9</v>
      </c>
      <c r="DR17" s="37">
        <f t="shared" si="43"/>
        <v>7.0999453850354999E-2</v>
      </c>
      <c r="DS17" s="37">
        <f t="shared" si="44"/>
        <v>0.14199890770071</v>
      </c>
      <c r="DT17" s="37">
        <f t="shared" si="7"/>
        <v>14.915442012137955</v>
      </c>
      <c r="DU17" s="37">
        <f t="shared" si="8"/>
        <v>7.4577210060689776</v>
      </c>
      <c r="DV17" s="37">
        <f t="shared" si="45"/>
        <v>63.044493025192587</v>
      </c>
      <c r="DW17" s="37">
        <f t="shared" si="9"/>
        <v>1.2009871444991449</v>
      </c>
      <c r="DX17">
        <v>20</v>
      </c>
      <c r="DY17" t="s">
        <v>104</v>
      </c>
      <c r="DZ17" s="29">
        <f t="shared" si="46"/>
        <v>1</v>
      </c>
      <c r="EA17" s="30">
        <v>1.7000000000000001E-2</v>
      </c>
      <c r="EB17" s="30">
        <f t="shared" si="47"/>
        <v>2.741935483870968E-4</v>
      </c>
      <c r="EC17" s="30">
        <f t="shared" si="48"/>
        <v>1.370967741935484E-3</v>
      </c>
      <c r="ED17" s="31">
        <f t="shared" si="10"/>
        <v>72.5</v>
      </c>
      <c r="EE17" s="33">
        <f t="shared" si="49"/>
        <v>99.315068493150676</v>
      </c>
      <c r="EF17" s="37">
        <f t="shared" si="11"/>
        <v>6.0378929835519468</v>
      </c>
      <c r="EG17" s="37">
        <f>$EK15-EK17</f>
        <v>58.5</v>
      </c>
      <c r="EH17" s="33">
        <f>(EG17/$EK15)*100</f>
        <v>99.152542372881356</v>
      </c>
      <c r="EI17" s="37">
        <f t="shared" si="12"/>
        <v>4.8719550281074326</v>
      </c>
      <c r="EJ17" s="37">
        <f t="shared" si="12"/>
        <v>4.8719550281074326</v>
      </c>
      <c r="EK17" s="31">
        <v>0.5</v>
      </c>
      <c r="EL17" s="31">
        <f t="shared" si="50"/>
        <v>5.2050801582344368E-3</v>
      </c>
      <c r="EM17" s="31">
        <f t="shared" si="51"/>
        <v>4.1640641265875494E-2</v>
      </c>
      <c r="EN17" s="32">
        <f t="shared" si="13"/>
        <v>4.301160900781098E-2</v>
      </c>
      <c r="EO17" s="39">
        <f t="shared" si="52"/>
        <v>7.2388801280510915</v>
      </c>
      <c r="EP17" s="37">
        <f t="shared" si="14"/>
        <v>1.9616142992954916E-2</v>
      </c>
      <c r="EQ17" s="37">
        <f t="shared" si="15"/>
        <v>0.14629172165661267</v>
      </c>
      <c r="ER17" s="37">
        <f t="shared" si="16"/>
        <v>0.83409213535043247</v>
      </c>
      <c r="ES17" s="39">
        <f t="shared" si="53"/>
        <v>5.9272260234749261</v>
      </c>
      <c r="ET17" s="55">
        <f t="shared" si="54"/>
        <v>15.408086076855293</v>
      </c>
      <c r="EU17" s="55">
        <f t="shared" si="55"/>
        <v>2.39570597001565</v>
      </c>
      <c r="EV17" s="55">
        <f t="shared" si="56"/>
        <v>82.196207953129061</v>
      </c>
      <c r="EW17" t="s">
        <v>126</v>
      </c>
      <c r="EX17" t="s">
        <v>127</v>
      </c>
      <c r="EY17">
        <v>-134</v>
      </c>
      <c r="EZ17" t="s">
        <v>128</v>
      </c>
      <c r="FA17">
        <v>799</v>
      </c>
      <c r="FB17" t="s">
        <v>108</v>
      </c>
      <c r="FC17" t="s">
        <v>780</v>
      </c>
      <c r="FD17" s="39">
        <f t="shared" si="57"/>
        <v>-7.0996107018312742</v>
      </c>
      <c r="FE17" s="39">
        <f t="shared" si="61"/>
        <v>-7.0995995578496007</v>
      </c>
      <c r="FF17" s="39">
        <f t="shared" si="58"/>
        <v>-5.7879565972551088</v>
      </c>
      <c r="FG17" s="39">
        <f t="shared" si="59"/>
        <v>-5.7879454532734353</v>
      </c>
    </row>
    <row r="18" spans="1:163" s="37" customFormat="1" ht="15.75" x14ac:dyDescent="0.25">
      <c r="A18" s="34" t="s">
        <v>276</v>
      </c>
      <c r="B18" s="34" t="s">
        <v>276</v>
      </c>
      <c r="C18" s="34" t="s">
        <v>807</v>
      </c>
      <c r="D18" s="34" t="s">
        <v>807</v>
      </c>
      <c r="E18" s="34" t="s">
        <v>1069</v>
      </c>
      <c r="F18" s="34" t="s">
        <v>1034</v>
      </c>
      <c r="G18" s="34" t="s">
        <v>772</v>
      </c>
      <c r="H18" s="34" t="str">
        <f t="shared" si="0"/>
        <v>CW_1_Section_3</v>
      </c>
      <c r="I18" s="34" t="str">
        <f t="shared" si="1"/>
        <v>CW_1_MF09</v>
      </c>
      <c r="J18" s="34" t="s">
        <v>1492</v>
      </c>
      <c r="K18" s="34" t="s">
        <v>1484</v>
      </c>
      <c r="L18" s="47" t="s">
        <v>1035</v>
      </c>
      <c r="M18" s="34" t="s">
        <v>1015</v>
      </c>
      <c r="N18" s="34" t="s">
        <v>1015</v>
      </c>
      <c r="O18" s="35" t="s">
        <v>1016</v>
      </c>
      <c r="P18" s="34" t="s">
        <v>1070</v>
      </c>
      <c r="Q18" s="34" t="s">
        <v>1018</v>
      </c>
      <c r="R18" s="34" t="s">
        <v>1051</v>
      </c>
      <c r="S18" s="34" t="str">
        <f t="shared" si="2"/>
        <v>T0_0.15-0.30</v>
      </c>
      <c r="T18" s="36" t="s">
        <v>1052</v>
      </c>
      <c r="U18" s="34" t="s">
        <v>1053</v>
      </c>
      <c r="V18" s="34">
        <v>150</v>
      </c>
      <c r="W18" s="34">
        <v>65</v>
      </c>
      <c r="X18" s="34">
        <v>17.649999999999999</v>
      </c>
      <c r="Y18" s="34">
        <v>17</v>
      </c>
      <c r="Z18" s="37" t="s">
        <v>73</v>
      </c>
      <c r="AA18" s="37" t="s">
        <v>74</v>
      </c>
      <c r="AB18" s="38">
        <v>45516</v>
      </c>
      <c r="AC18" s="37">
        <v>28</v>
      </c>
      <c r="AD18" s="37">
        <v>20</v>
      </c>
      <c r="AE18" s="37">
        <v>110</v>
      </c>
      <c r="AF18" s="37">
        <f t="shared" si="17"/>
        <v>4.2248111637434388E-2</v>
      </c>
      <c r="AG18" s="37">
        <v>2.1</v>
      </c>
      <c r="AH18" s="37">
        <f t="shared" si="18"/>
        <v>8.2049055784675501E-4</v>
      </c>
      <c r="AI18" s="37">
        <v>44</v>
      </c>
      <c r="AJ18" s="37">
        <f t="shared" si="19"/>
        <v>1.7406046905905623E-2</v>
      </c>
      <c r="AK18" s="37">
        <v>31</v>
      </c>
      <c r="AL18" s="37">
        <f t="shared" si="20"/>
        <v>1.2263351229160779E-2</v>
      </c>
      <c r="AM18" s="37">
        <v>14</v>
      </c>
      <c r="AN18" s="37">
        <f t="shared" si="21"/>
        <v>5.5382876518790623E-3</v>
      </c>
      <c r="AO18" s="37">
        <v>45</v>
      </c>
      <c r="AQ18" s="59">
        <v>201.1</v>
      </c>
      <c r="AR18" s="59">
        <f t="shared" si="22"/>
        <v>6.0474649101186766E-2</v>
      </c>
      <c r="AS18" s="37">
        <v>2.5</v>
      </c>
      <c r="AT18" s="37">
        <f t="shared" si="23"/>
        <v>9.3625653429039546E-4</v>
      </c>
      <c r="AU18" s="37" t="s">
        <v>78</v>
      </c>
      <c r="AV18" s="37" t="s">
        <v>88</v>
      </c>
      <c r="AW18" s="37" t="s">
        <v>79</v>
      </c>
      <c r="AX18" s="37" t="s">
        <v>88</v>
      </c>
      <c r="AY18" s="37" t="s">
        <v>79</v>
      </c>
      <c r="AZ18" s="37" t="s">
        <v>80</v>
      </c>
      <c r="BA18" s="37" t="s">
        <v>81</v>
      </c>
      <c r="BB18" s="37" t="s">
        <v>82</v>
      </c>
      <c r="BC18" s="37" t="s">
        <v>83</v>
      </c>
      <c r="BD18" s="37" t="s">
        <v>77</v>
      </c>
      <c r="BE18" s="37" t="s">
        <v>61</v>
      </c>
      <c r="BF18" s="37" t="s">
        <v>84</v>
      </c>
      <c r="BG18" s="37" t="s">
        <v>85</v>
      </c>
      <c r="BH18" s="37" t="s">
        <v>82</v>
      </c>
      <c r="BI18" s="37" t="s">
        <v>87</v>
      </c>
      <c r="BJ18" s="37" t="s">
        <v>88</v>
      </c>
      <c r="BK18" s="37" t="s">
        <v>82</v>
      </c>
      <c r="BL18" s="37" t="s">
        <v>88</v>
      </c>
      <c r="BM18" s="37" t="s">
        <v>86</v>
      </c>
      <c r="BN18" s="37" t="s">
        <v>62</v>
      </c>
      <c r="BO18" s="58">
        <v>2E-3</v>
      </c>
      <c r="BP18" s="58">
        <v>0.01</v>
      </c>
      <c r="BQ18" s="58">
        <v>0.01</v>
      </c>
      <c r="BR18" s="58">
        <v>5.0000000000000001E-3</v>
      </c>
      <c r="BS18" s="58">
        <v>0.02</v>
      </c>
      <c r="BT18" s="58">
        <v>1E-3</v>
      </c>
      <c r="BU18" s="58">
        <v>0.01</v>
      </c>
      <c r="BV18" s="58">
        <v>2E-3</v>
      </c>
      <c r="BW18" s="31">
        <f t="shared" si="24"/>
        <v>7.4900522743231646E-7</v>
      </c>
      <c r="BX18" s="31">
        <f t="shared" si="25"/>
        <v>3.6796110125501018E-6</v>
      </c>
      <c r="BY18" s="31">
        <f t="shared" si="26"/>
        <v>3.7611049867064394E-6</v>
      </c>
      <c r="BZ18" s="31">
        <f t="shared" si="27"/>
        <v>1.8649981951630372E-6</v>
      </c>
      <c r="CA18" s="31">
        <f t="shared" si="28"/>
        <v>7.4061605790270997E-6</v>
      </c>
      <c r="CB18" s="31">
        <f t="shared" si="29"/>
        <v>3.7030802895135499E-7</v>
      </c>
      <c r="CC18" s="31">
        <f t="shared" si="30"/>
        <v>3.6588380716934487E-6</v>
      </c>
      <c r="CD18" s="31">
        <f t="shared" si="31"/>
        <v>7.3176761433868969E-7</v>
      </c>
      <c r="CE18" s="37">
        <v>1E-3</v>
      </c>
      <c r="CF18" s="37">
        <v>1E-3</v>
      </c>
      <c r="CG18" s="37">
        <v>2E-3</v>
      </c>
      <c r="CH18" s="37">
        <v>1E-3</v>
      </c>
      <c r="CI18" s="37">
        <v>1E-3</v>
      </c>
      <c r="CK18" s="37">
        <v>2E-3</v>
      </c>
      <c r="CL18" s="37">
        <v>1E-3</v>
      </c>
      <c r="CM18" s="37">
        <v>1E-3</v>
      </c>
      <c r="CN18" s="58">
        <f t="shared" si="60"/>
        <v>6.0000000000000005E-2</v>
      </c>
      <c r="CO18" s="58">
        <f t="shared" si="32"/>
        <v>5.8000000000000003E-2</v>
      </c>
      <c r="CP18" s="31">
        <f t="shared" si="33"/>
        <v>2.2221793715862488E-5</v>
      </c>
      <c r="CQ18" s="31">
        <f t="shared" si="34"/>
        <v>2.1472788488430171E-5</v>
      </c>
      <c r="CR18" s="37">
        <v>4.2000000000000003E-2</v>
      </c>
      <c r="CS18" s="37" t="s">
        <v>69</v>
      </c>
      <c r="CT18" s="37" t="s">
        <v>69</v>
      </c>
      <c r="CU18" s="37" t="s">
        <v>69</v>
      </c>
      <c r="CV18" s="37" t="s">
        <v>69</v>
      </c>
      <c r="CW18" s="37">
        <v>5</v>
      </c>
      <c r="CX18" s="40">
        <f t="shared" si="3"/>
        <v>201.142</v>
      </c>
      <c r="CZ18" s="37">
        <v>47</v>
      </c>
      <c r="DA18" s="37" t="s">
        <v>62</v>
      </c>
      <c r="DB18" s="37" t="s">
        <v>88</v>
      </c>
      <c r="DC18" s="37" t="s">
        <v>782</v>
      </c>
      <c r="DD18" s="37">
        <f t="shared" si="4"/>
        <v>42.144493025192588</v>
      </c>
      <c r="DE18" s="37">
        <f t="shared" si="35"/>
        <v>42.144493025192588</v>
      </c>
      <c r="DF18" s="37">
        <v>16</v>
      </c>
      <c r="DG18" s="37">
        <f t="shared" si="5"/>
        <v>0.28648164726947178</v>
      </c>
      <c r="DH18" s="37">
        <f t="shared" si="36"/>
        <v>0.28648164726947178</v>
      </c>
      <c r="DI18" s="37">
        <f t="shared" si="6"/>
        <v>58.144493025192588</v>
      </c>
      <c r="DJ18" s="37">
        <f t="shared" si="37"/>
        <v>1.0410831338440929</v>
      </c>
      <c r="DK18" s="37">
        <f t="shared" si="38"/>
        <v>1.0410831338440929</v>
      </c>
      <c r="DL18" s="55">
        <f t="shared" si="39"/>
        <v>0</v>
      </c>
      <c r="DM18" s="55">
        <f t="shared" si="39"/>
        <v>0</v>
      </c>
      <c r="DN18" s="37">
        <f t="shared" si="40"/>
        <v>16</v>
      </c>
      <c r="DO18" s="55">
        <f t="shared" si="41"/>
        <v>0.28648164726947178</v>
      </c>
      <c r="DP18" s="55">
        <f t="shared" si="42"/>
        <v>0.28648164726947178</v>
      </c>
      <c r="DQ18" s="37">
        <v>3.7</v>
      </c>
      <c r="DR18" s="37">
        <f t="shared" si="43"/>
        <v>6.7358456217003468E-2</v>
      </c>
      <c r="DS18" s="37">
        <f t="shared" si="44"/>
        <v>0.13471691243400694</v>
      </c>
      <c r="DT18" s="37">
        <f t="shared" si="7"/>
        <v>15.45586393028541</v>
      </c>
      <c r="DU18" s="37">
        <f t="shared" si="8"/>
        <v>7.7279319651427052</v>
      </c>
      <c r="DV18" s="37">
        <f t="shared" si="45"/>
        <v>61.844493025192591</v>
      </c>
      <c r="DW18" s="37">
        <f t="shared" si="9"/>
        <v>1.1758000462780998</v>
      </c>
      <c r="DX18" s="37">
        <v>17</v>
      </c>
      <c r="DY18" s="37" t="s">
        <v>76</v>
      </c>
      <c r="DZ18" s="37">
        <f t="shared" si="46"/>
        <v>1</v>
      </c>
      <c r="EA18" s="37">
        <v>1.7000000000000001E-2</v>
      </c>
      <c r="EB18" s="37">
        <f t="shared" si="47"/>
        <v>2.741935483870968E-4</v>
      </c>
      <c r="EC18" s="37">
        <f t="shared" si="48"/>
        <v>1.370967741935484E-3</v>
      </c>
      <c r="ED18" s="37">
        <f t="shared" si="10"/>
        <v>72.5</v>
      </c>
      <c r="EE18" s="39">
        <f t="shared" si="49"/>
        <v>99.315068493150676</v>
      </c>
      <c r="EF18" s="37">
        <f t="shared" si="11"/>
        <v>6.0378929835519468</v>
      </c>
      <c r="EG18" s="37">
        <f>$EK16-EK18</f>
        <v>0</v>
      </c>
      <c r="EH18" s="33">
        <f>(EG18/$EK16)*100</f>
        <v>0</v>
      </c>
      <c r="EI18" s="37">
        <f t="shared" si="12"/>
        <v>0</v>
      </c>
      <c r="EJ18" s="37">
        <f t="shared" si="12"/>
        <v>0</v>
      </c>
      <c r="EK18" s="37">
        <v>0.5</v>
      </c>
      <c r="EL18" s="37">
        <f t="shared" si="50"/>
        <v>5.2050801582344368E-3</v>
      </c>
      <c r="EM18" s="37">
        <f t="shared" si="51"/>
        <v>4.1640641265875494E-2</v>
      </c>
      <c r="EN18" s="37">
        <f t="shared" si="13"/>
        <v>4.301160900781098E-2</v>
      </c>
      <c r="EO18" s="39">
        <f t="shared" si="52"/>
        <v>7.213693029830047</v>
      </c>
      <c r="EP18" s="37">
        <f t="shared" si="14"/>
        <v>1.8675165671303985E-2</v>
      </c>
      <c r="EQ18" s="37">
        <f t="shared" si="15"/>
        <v>0.14432040974560578</v>
      </c>
      <c r="ER18" s="37">
        <f t="shared" si="16"/>
        <v>0.83700442458309021</v>
      </c>
      <c r="ES18" s="39">
        <f t="shared" si="53"/>
        <v>0.42119855970347875</v>
      </c>
      <c r="ET18" s="55">
        <f t="shared" si="54"/>
        <v>68.015818352074405</v>
      </c>
      <c r="EU18" s="55">
        <f t="shared" si="55"/>
        <v>31.984181647925585</v>
      </c>
      <c r="EV18" s="55">
        <f t="shared" si="56"/>
        <v>0</v>
      </c>
      <c r="EW18" s="37" t="s">
        <v>91</v>
      </c>
      <c r="EX18" s="37" t="s">
        <v>92</v>
      </c>
      <c r="EY18" s="37">
        <v>-138</v>
      </c>
      <c r="EZ18" s="37" t="s">
        <v>93</v>
      </c>
      <c r="FA18" s="37">
        <v>1210</v>
      </c>
      <c r="FB18" s="37" t="s">
        <v>72</v>
      </c>
      <c r="FC18" s="37" t="s">
        <v>780</v>
      </c>
      <c r="FD18" s="39">
        <f t="shared" si="57"/>
        <v>-7.1522821241945698</v>
      </c>
      <c r="FE18" s="39">
        <f t="shared" si="61"/>
        <v>-7.1522606514060811</v>
      </c>
      <c r="FF18" s="39">
        <f t="shared" si="58"/>
        <v>-0.35978765406800162</v>
      </c>
      <c r="FG18" s="39">
        <f t="shared" si="59"/>
        <v>-0.35976618127951315</v>
      </c>
    </row>
    <row r="19" spans="1:163" s="29" customFormat="1" ht="15.75" x14ac:dyDescent="0.25">
      <c r="A19" s="48" t="s">
        <v>277</v>
      </c>
      <c r="B19" s="48" t="s">
        <v>277</v>
      </c>
      <c r="C19" s="48" t="s">
        <v>808</v>
      </c>
      <c r="D19" s="48" t="s">
        <v>808</v>
      </c>
      <c r="E19" s="48" t="s">
        <v>1071</v>
      </c>
      <c r="F19" s="48" t="s">
        <v>1034</v>
      </c>
      <c r="G19" s="48" t="s">
        <v>772</v>
      </c>
      <c r="H19" s="48" t="str">
        <f t="shared" si="0"/>
        <v>CW_1_Section_3</v>
      </c>
      <c r="I19" s="48" t="str">
        <f t="shared" si="1"/>
        <v>CW_1_MF10</v>
      </c>
      <c r="J19" s="48" t="s">
        <v>1493</v>
      </c>
      <c r="K19" s="48" t="s">
        <v>1484</v>
      </c>
      <c r="L19" s="49" t="s">
        <v>1038</v>
      </c>
      <c r="M19" s="48" t="s">
        <v>1024</v>
      </c>
      <c r="N19" s="48" t="s">
        <v>1024</v>
      </c>
      <c r="O19" s="50" t="s">
        <v>1016</v>
      </c>
      <c r="P19" s="48" t="s">
        <v>1072</v>
      </c>
      <c r="Q19" s="48" t="s">
        <v>1018</v>
      </c>
      <c r="R19" s="48" t="s">
        <v>1051</v>
      </c>
      <c r="S19" s="48" t="str">
        <f t="shared" si="2"/>
        <v>T0_0.60-0.80</v>
      </c>
      <c r="T19" s="51" t="s">
        <v>1052</v>
      </c>
      <c r="U19" s="48" t="s">
        <v>1053</v>
      </c>
      <c r="V19" s="48">
        <v>150</v>
      </c>
      <c r="W19" s="48">
        <v>65</v>
      </c>
      <c r="X19" s="48">
        <v>8</v>
      </c>
      <c r="Y19" s="48">
        <v>18</v>
      </c>
      <c r="Z19" s="29" t="s">
        <v>94</v>
      </c>
      <c r="AA19" s="29" t="s">
        <v>95</v>
      </c>
      <c r="AB19" s="52">
        <v>45516</v>
      </c>
      <c r="AC19" s="29">
        <v>12</v>
      </c>
      <c r="AD19" s="29">
        <v>12</v>
      </c>
      <c r="AE19" s="29">
        <v>650</v>
      </c>
      <c r="AF19" s="37">
        <f t="shared" si="17"/>
        <v>0.24964793240302136</v>
      </c>
      <c r="AG19" s="29">
        <v>88</v>
      </c>
      <c r="AH19" s="37">
        <f t="shared" si="18"/>
        <v>3.4382461471673537E-2</v>
      </c>
      <c r="AI19" s="29">
        <v>380</v>
      </c>
      <c r="AJ19" s="37">
        <f t="shared" si="19"/>
        <v>0.15032495055100309</v>
      </c>
      <c r="AK19" s="29">
        <v>150</v>
      </c>
      <c r="AL19" s="37">
        <f t="shared" si="20"/>
        <v>5.9338796270132804E-2</v>
      </c>
      <c r="AM19" s="29">
        <v>130</v>
      </c>
      <c r="AN19" s="37">
        <f t="shared" si="21"/>
        <v>5.1426956767448434E-2</v>
      </c>
      <c r="AO19" s="29">
        <v>280</v>
      </c>
      <c r="AQ19" s="59">
        <v>1398</v>
      </c>
      <c r="AR19" s="59">
        <f t="shared" si="22"/>
        <v>0.43435534442569795</v>
      </c>
      <c r="AS19" s="29">
        <v>2000</v>
      </c>
      <c r="AT19" s="37">
        <f t="shared" si="23"/>
        <v>0.74900522743231646</v>
      </c>
      <c r="AU19" s="29">
        <v>14</v>
      </c>
      <c r="AV19" s="29" t="s">
        <v>99</v>
      </c>
      <c r="AW19" s="29" t="s">
        <v>100</v>
      </c>
      <c r="AX19" s="29" t="s">
        <v>101</v>
      </c>
      <c r="AY19" s="29" t="s">
        <v>97</v>
      </c>
      <c r="AZ19" s="29" t="s">
        <v>49</v>
      </c>
      <c r="BA19" s="29" t="s">
        <v>102</v>
      </c>
      <c r="BB19" s="29" t="s">
        <v>103</v>
      </c>
      <c r="BC19" s="29" t="s">
        <v>78</v>
      </c>
      <c r="BD19" s="29">
        <v>14</v>
      </c>
      <c r="BE19" s="29" t="s">
        <v>104</v>
      </c>
      <c r="BF19" s="29" t="s">
        <v>97</v>
      </c>
      <c r="BG19" s="29">
        <v>38</v>
      </c>
      <c r="BH19" s="29" t="s">
        <v>64</v>
      </c>
      <c r="BI19" s="29" t="s">
        <v>105</v>
      </c>
      <c r="BJ19" s="29" t="s">
        <v>106</v>
      </c>
      <c r="BK19" s="29" t="s">
        <v>64</v>
      </c>
      <c r="BL19" s="29" t="s">
        <v>70</v>
      </c>
      <c r="BM19" s="29">
        <v>3</v>
      </c>
      <c r="BN19" s="29">
        <v>3</v>
      </c>
      <c r="BO19" s="58">
        <v>730</v>
      </c>
      <c r="BP19" s="58">
        <v>4</v>
      </c>
      <c r="BQ19" s="58">
        <v>4</v>
      </c>
      <c r="BR19" s="58">
        <v>4.3</v>
      </c>
      <c r="BS19" s="58">
        <v>0.3</v>
      </c>
      <c r="BT19" s="58">
        <v>0.03</v>
      </c>
      <c r="BU19" s="58">
        <v>0.04</v>
      </c>
      <c r="BV19" s="58">
        <v>0.03</v>
      </c>
      <c r="BW19" s="31">
        <f t="shared" si="24"/>
        <v>0.27338690801279553</v>
      </c>
      <c r="BX19" s="31">
        <f t="shared" si="25"/>
        <v>1.4718444050200407E-3</v>
      </c>
      <c r="BY19" s="31">
        <f t="shared" si="26"/>
        <v>1.5044419946825757E-3</v>
      </c>
      <c r="BZ19" s="31">
        <f t="shared" si="27"/>
        <v>1.6038984478402116E-3</v>
      </c>
      <c r="CA19" s="31">
        <f t="shared" si="28"/>
        <v>1.1109240868540649E-4</v>
      </c>
      <c r="CB19" s="31">
        <f t="shared" si="29"/>
        <v>1.110924086854065E-5</v>
      </c>
      <c r="CC19" s="31">
        <f t="shared" si="30"/>
        <v>1.4635352286773795E-5</v>
      </c>
      <c r="CD19" s="31">
        <f t="shared" si="31"/>
        <v>1.0976514215080345E-5</v>
      </c>
      <c r="CE19" s="29">
        <v>1E-3</v>
      </c>
      <c r="CF19" s="29">
        <v>1E-3</v>
      </c>
      <c r="CG19" s="29">
        <v>2E-3</v>
      </c>
      <c r="CH19" s="29">
        <v>1E-3</v>
      </c>
      <c r="CI19" s="29">
        <v>1E-3</v>
      </c>
      <c r="CK19" s="29">
        <v>2E-3</v>
      </c>
      <c r="CL19" s="29">
        <v>1E-3</v>
      </c>
      <c r="CM19" s="29">
        <v>1E-3</v>
      </c>
      <c r="CN19" s="58">
        <f t="shared" si="60"/>
        <v>742.69999999999982</v>
      </c>
      <c r="CO19" s="58">
        <f t="shared" si="32"/>
        <v>12.7</v>
      </c>
      <c r="CP19" s="31">
        <f t="shared" si="33"/>
        <v>0.27811490637639413</v>
      </c>
      <c r="CQ19" s="31">
        <f t="shared" si="34"/>
        <v>4.7279983635986301E-3</v>
      </c>
      <c r="CR19" s="29">
        <v>730</v>
      </c>
      <c r="CS19" s="29">
        <v>3100</v>
      </c>
      <c r="CT19" s="29">
        <v>410</v>
      </c>
      <c r="CU19" s="29" t="s">
        <v>69</v>
      </c>
      <c r="CV19" s="29" t="s">
        <v>69</v>
      </c>
      <c r="CW19" s="29">
        <v>3500</v>
      </c>
      <c r="CX19" s="54">
        <f t="shared" si="3"/>
        <v>2128</v>
      </c>
      <c r="CZ19" s="29">
        <v>67</v>
      </c>
      <c r="DA19" s="29" t="s">
        <v>62</v>
      </c>
      <c r="DB19" s="29" t="s">
        <v>88</v>
      </c>
      <c r="DC19" s="29" t="s">
        <v>782</v>
      </c>
      <c r="DD19" s="29">
        <f t="shared" si="4"/>
        <v>19.764313970435143</v>
      </c>
      <c r="DE19" s="29">
        <f t="shared" si="35"/>
        <v>19.764313970435143</v>
      </c>
      <c r="DF19" s="29">
        <v>4.8</v>
      </c>
      <c r="DG19" s="29">
        <f t="shared" si="5"/>
        <v>8.5944494180841532E-2</v>
      </c>
      <c r="DH19" s="29">
        <f t="shared" si="36"/>
        <v>8.5944494180841532E-2</v>
      </c>
      <c r="DI19" s="29">
        <f t="shared" si="6"/>
        <v>24.564313970435144</v>
      </c>
      <c r="DJ19" s="29">
        <f t="shared" si="37"/>
        <v>0.43982657064342245</v>
      </c>
      <c r="DK19" s="29">
        <f t="shared" si="38"/>
        <v>0.43982657064342245</v>
      </c>
      <c r="DL19" s="55">
        <f t="shared" si="39"/>
        <v>-22.380179054757441</v>
      </c>
      <c r="DM19" s="55"/>
      <c r="DN19" s="37">
        <f t="shared" si="40"/>
        <v>4.8</v>
      </c>
      <c r="DO19" s="55">
        <f t="shared" si="41"/>
        <v>8.5944494180841532E-2</v>
      </c>
      <c r="DP19" s="55">
        <f t="shared" si="42"/>
        <v>8.5944494180841532E-2</v>
      </c>
      <c r="DQ19" s="29">
        <v>3.2</v>
      </c>
      <c r="DR19" s="29">
        <f t="shared" si="43"/>
        <v>5.825596213362462E-2</v>
      </c>
      <c r="DS19" s="29">
        <f t="shared" si="44"/>
        <v>0.11651192426724924</v>
      </c>
      <c r="DT19" s="29">
        <f t="shared" si="7"/>
        <v>7.5498979767009979</v>
      </c>
      <c r="DU19" s="29">
        <f t="shared" si="8"/>
        <v>3.774948988350499</v>
      </c>
      <c r="DV19" s="29">
        <f t="shared" si="45"/>
        <v>27.764313970435143</v>
      </c>
      <c r="DW19" s="29">
        <f t="shared" si="9"/>
        <v>0.55633849491067167</v>
      </c>
      <c r="DX19" s="29">
        <v>26</v>
      </c>
      <c r="DY19" s="29" t="s">
        <v>98</v>
      </c>
      <c r="DZ19" s="29">
        <f t="shared" si="46"/>
        <v>1</v>
      </c>
      <c r="EA19" s="29">
        <v>1.7000000000000001E-2</v>
      </c>
      <c r="EB19" s="29">
        <f t="shared" si="47"/>
        <v>2.741935483870968E-4</v>
      </c>
      <c r="EC19" s="29">
        <f t="shared" si="48"/>
        <v>1.370967741935484E-3</v>
      </c>
      <c r="ED19" s="29">
        <f t="shared" si="10"/>
        <v>34</v>
      </c>
      <c r="EE19" s="53">
        <f t="shared" si="49"/>
        <v>46.575342465753423</v>
      </c>
      <c r="EF19" s="29">
        <f t="shared" si="11"/>
        <v>2.8315636060795337</v>
      </c>
      <c r="EG19" s="29">
        <f>$EK17-EK19</f>
        <v>-38.5</v>
      </c>
      <c r="EH19" s="33">
        <f>(EG19/$EK17)*100</f>
        <v>-7700</v>
      </c>
      <c r="EI19" s="37">
        <f t="shared" ref="EI19:EI50" si="62">($EG19/96.06)*8</f>
        <v>-3.2063293774724131</v>
      </c>
      <c r="EJ19" s="37"/>
      <c r="EK19" s="29">
        <v>39</v>
      </c>
      <c r="EL19" s="29">
        <f t="shared" si="50"/>
        <v>0.40599625234228603</v>
      </c>
      <c r="EM19" s="29">
        <f t="shared" si="51"/>
        <v>3.2479700187382883</v>
      </c>
      <c r="EN19" s="29">
        <f t="shared" si="13"/>
        <v>3.2493409864802238</v>
      </c>
      <c r="EO19" s="53">
        <f t="shared" si="52"/>
        <v>3.3879021009902055</v>
      </c>
      <c r="EP19" s="29">
        <f t="shared" si="14"/>
        <v>3.4390581780151051E-2</v>
      </c>
      <c r="EQ19" s="29">
        <f t="shared" si="15"/>
        <v>0.12982269189976633</v>
      </c>
      <c r="ER19" s="29">
        <f t="shared" si="16"/>
        <v>0.83578672632008255</v>
      </c>
      <c r="ES19" s="39">
        <f t="shared" si="53"/>
        <v>0.20245641844809076</v>
      </c>
      <c r="ET19" s="55">
        <f t="shared" si="54"/>
        <v>42.450861691439755</v>
      </c>
      <c r="EU19" s="55">
        <f t="shared" si="55"/>
        <v>57.549138308560252</v>
      </c>
      <c r="EV19" s="55">
        <f t="shared" si="56"/>
        <v>0</v>
      </c>
      <c r="EW19" s="29" t="s">
        <v>109</v>
      </c>
      <c r="EX19" s="29" t="s">
        <v>110</v>
      </c>
      <c r="EY19" s="29" t="s">
        <v>111</v>
      </c>
      <c r="EZ19" s="29" t="s">
        <v>112</v>
      </c>
      <c r="FA19" s="29">
        <v>985</v>
      </c>
      <c r="FB19" s="29" t="s">
        <v>113</v>
      </c>
      <c r="FC19" s="29" t="s">
        <v>780</v>
      </c>
      <c r="FD19" s="39">
        <f t="shared" si="57"/>
        <v>-2.2045415291321913</v>
      </c>
      <c r="FE19" s="39">
        <f t="shared" si="61"/>
        <v>-2.1998135307685924</v>
      </c>
      <c r="FF19" s="39">
        <f t="shared" si="58"/>
        <v>0.98090415340992365</v>
      </c>
      <c r="FG19" s="39">
        <f t="shared" si="59"/>
        <v>0.98563215177352226</v>
      </c>
    </row>
    <row r="20" spans="1:163" ht="15.75" x14ac:dyDescent="0.25">
      <c r="A20" s="3" t="s">
        <v>278</v>
      </c>
      <c r="B20" s="3" t="s">
        <v>278</v>
      </c>
      <c r="C20" s="3" t="s">
        <v>809</v>
      </c>
      <c r="D20" s="3" t="s">
        <v>809</v>
      </c>
      <c r="E20" s="3" t="s">
        <v>1073</v>
      </c>
      <c r="F20" s="3" t="s">
        <v>1013</v>
      </c>
      <c r="G20" s="3" t="s">
        <v>773</v>
      </c>
      <c r="H20" s="3" t="str">
        <f t="shared" si="0"/>
        <v>CW_2_Section_1</v>
      </c>
      <c r="I20" s="3" t="str">
        <f t="shared" si="1"/>
        <v>CW_2_MF01</v>
      </c>
      <c r="J20" s="3" t="s">
        <v>1488</v>
      </c>
      <c r="K20" s="3" t="s">
        <v>1484</v>
      </c>
      <c r="L20" s="11" t="s">
        <v>1074</v>
      </c>
      <c r="M20" s="3" t="s">
        <v>1015</v>
      </c>
      <c r="N20" s="3" t="s">
        <v>1015</v>
      </c>
      <c r="O20" s="12" t="s">
        <v>1016</v>
      </c>
      <c r="P20" s="3" t="s">
        <v>1075</v>
      </c>
      <c r="Q20" s="3" t="s">
        <v>1018</v>
      </c>
      <c r="R20" s="3" t="s">
        <v>1051</v>
      </c>
      <c r="S20" s="3" t="str">
        <f t="shared" si="2"/>
        <v>T0_0.15-0.30</v>
      </c>
      <c r="T20" s="13" t="s">
        <v>1052</v>
      </c>
      <c r="U20" s="3" t="s">
        <v>1053</v>
      </c>
      <c r="V20" s="3">
        <v>150</v>
      </c>
      <c r="W20" s="3">
        <v>65</v>
      </c>
      <c r="X20" s="3">
        <v>14.45</v>
      </c>
      <c r="Y20" s="3">
        <v>19</v>
      </c>
      <c r="Z20" t="s">
        <v>203</v>
      </c>
      <c r="AA20" t="s">
        <v>204</v>
      </c>
      <c r="AB20" s="1">
        <v>45518</v>
      </c>
      <c r="AC20">
        <v>16</v>
      </c>
      <c r="AD20">
        <v>16</v>
      </c>
      <c r="AE20">
        <v>440</v>
      </c>
      <c r="AF20" s="37">
        <f t="shared" si="17"/>
        <v>0.16899244654973755</v>
      </c>
      <c r="AG20">
        <v>30</v>
      </c>
      <c r="AH20" s="37">
        <f t="shared" si="18"/>
        <v>1.1721293683525071E-2</v>
      </c>
      <c r="AI20">
        <v>33</v>
      </c>
      <c r="AJ20" s="37">
        <f t="shared" si="19"/>
        <v>1.3054535179429217E-2</v>
      </c>
      <c r="AK20">
        <v>20</v>
      </c>
      <c r="AL20" s="37">
        <f t="shared" si="20"/>
        <v>7.9118395026843737E-3</v>
      </c>
      <c r="AM20">
        <v>14</v>
      </c>
      <c r="AN20" s="37">
        <f t="shared" si="21"/>
        <v>5.5382876518790623E-3</v>
      </c>
      <c r="AO20">
        <v>34</v>
      </c>
      <c r="AQ20" s="59">
        <v>537</v>
      </c>
      <c r="AR20" s="59">
        <f t="shared" si="22"/>
        <v>0.19376827541269184</v>
      </c>
      <c r="AS20">
        <v>2.1</v>
      </c>
      <c r="AT20" s="37">
        <f t="shared" si="23"/>
        <v>7.8645548880393237E-4</v>
      </c>
      <c r="AU20">
        <v>35</v>
      </c>
      <c r="AV20" t="s">
        <v>205</v>
      </c>
      <c r="AW20" t="s">
        <v>100</v>
      </c>
      <c r="AX20">
        <v>1</v>
      </c>
      <c r="AY20" t="s">
        <v>198</v>
      </c>
      <c r="AZ20" t="s">
        <v>140</v>
      </c>
      <c r="BA20" t="s">
        <v>104</v>
      </c>
      <c r="BB20" t="s">
        <v>97</v>
      </c>
      <c r="BC20" t="s">
        <v>55</v>
      </c>
      <c r="BD20" t="s">
        <v>206</v>
      </c>
      <c r="BE20" t="s">
        <v>141</v>
      </c>
      <c r="BF20" t="s">
        <v>63</v>
      </c>
      <c r="BG20">
        <v>17</v>
      </c>
      <c r="BH20" t="s">
        <v>63</v>
      </c>
      <c r="BI20" t="s">
        <v>87</v>
      </c>
      <c r="BJ20" t="s">
        <v>88</v>
      </c>
      <c r="BK20" t="s">
        <v>63</v>
      </c>
      <c r="BL20" t="s">
        <v>88</v>
      </c>
      <c r="BM20" t="s">
        <v>87</v>
      </c>
      <c r="BN20" t="s">
        <v>62</v>
      </c>
      <c r="BO20" s="58">
        <v>1.2</v>
      </c>
      <c r="BP20" s="58">
        <v>0.01</v>
      </c>
      <c r="BQ20" s="58">
        <v>0.01</v>
      </c>
      <c r="BR20" s="58">
        <v>5.0000000000000001E-3</v>
      </c>
      <c r="BS20" s="58">
        <v>0.02</v>
      </c>
      <c r="BT20" s="58">
        <v>1E-3</v>
      </c>
      <c r="BU20" s="58">
        <v>0.01</v>
      </c>
      <c r="BV20" s="58">
        <v>2E-3</v>
      </c>
      <c r="BW20" s="31">
        <f t="shared" si="24"/>
        <v>4.4940313645938982E-4</v>
      </c>
      <c r="BX20" s="31">
        <f t="shared" si="25"/>
        <v>3.6796110125501018E-6</v>
      </c>
      <c r="BY20" s="31">
        <f t="shared" si="26"/>
        <v>3.7611049867064394E-6</v>
      </c>
      <c r="BZ20" s="31">
        <f t="shared" si="27"/>
        <v>1.8649981951630372E-6</v>
      </c>
      <c r="CA20" s="31">
        <f t="shared" si="28"/>
        <v>7.4061605790270997E-6</v>
      </c>
      <c r="CB20" s="31">
        <f t="shared" si="29"/>
        <v>3.7030802895135499E-7</v>
      </c>
      <c r="CC20" s="31">
        <f t="shared" si="30"/>
        <v>3.6588380716934487E-6</v>
      </c>
      <c r="CD20" s="31">
        <f t="shared" si="31"/>
        <v>7.3176761433868969E-7</v>
      </c>
      <c r="CE20">
        <v>1E-3</v>
      </c>
      <c r="CF20">
        <v>1E-3</v>
      </c>
      <c r="CG20">
        <v>2E-3</v>
      </c>
      <c r="CH20">
        <v>1E-3</v>
      </c>
      <c r="CI20">
        <v>1E-3</v>
      </c>
      <c r="CK20">
        <v>2E-3</v>
      </c>
      <c r="CL20">
        <v>1E-3</v>
      </c>
      <c r="CM20">
        <v>1E-3</v>
      </c>
      <c r="CN20" s="58">
        <f t="shared" si="60"/>
        <v>1.2579999999999998</v>
      </c>
      <c r="CO20" s="58">
        <f t="shared" si="32"/>
        <v>5.8000000000000003E-2</v>
      </c>
      <c r="CP20" s="31">
        <f t="shared" si="33"/>
        <v>4.7087592494781994E-4</v>
      </c>
      <c r="CQ20" s="31">
        <f t="shared" si="34"/>
        <v>2.1472788488430171E-5</v>
      </c>
      <c r="CR20">
        <v>1.2</v>
      </c>
      <c r="CS20" t="s">
        <v>69</v>
      </c>
      <c r="CT20" t="s">
        <v>69</v>
      </c>
      <c r="CU20" t="s">
        <v>69</v>
      </c>
      <c r="CV20" t="s">
        <v>69</v>
      </c>
      <c r="CW20">
        <v>5</v>
      </c>
      <c r="CX20" s="2">
        <f t="shared" si="3"/>
        <v>538.20000000000005</v>
      </c>
      <c r="CZ20">
        <v>62</v>
      </c>
      <c r="DA20" t="s">
        <v>62</v>
      </c>
      <c r="DB20" t="s">
        <v>88</v>
      </c>
      <c r="DC20" t="s">
        <v>782</v>
      </c>
      <c r="DD20" s="37">
        <f t="shared" si="4"/>
        <v>38.714803247970011</v>
      </c>
      <c r="DE20" s="37">
        <f t="shared" si="35"/>
        <v>38.714803247970011</v>
      </c>
      <c r="DF20" s="37">
        <v>15</v>
      </c>
      <c r="DG20" s="37">
        <f t="shared" si="5"/>
        <v>0.26857654431512978</v>
      </c>
      <c r="DH20" s="37">
        <f t="shared" si="36"/>
        <v>0.26857654431512978</v>
      </c>
      <c r="DI20" s="37">
        <f t="shared" si="6"/>
        <v>53.714803247970011</v>
      </c>
      <c r="DJ20" s="37">
        <f t="shared" si="37"/>
        <v>0.96176908232712643</v>
      </c>
      <c r="DK20" s="37">
        <f t="shared" si="38"/>
        <v>0.96176908232712643</v>
      </c>
      <c r="DL20" s="55">
        <f t="shared" si="39"/>
        <v>38.714803247970011</v>
      </c>
      <c r="DM20" s="55">
        <f t="shared" si="39"/>
        <v>38.714803247970011</v>
      </c>
      <c r="DN20" s="37">
        <f t="shared" si="40"/>
        <v>53.714803247970011</v>
      </c>
      <c r="DO20" s="55">
        <f t="shared" si="41"/>
        <v>0.96176908232712643</v>
      </c>
      <c r="DP20" s="55">
        <f t="shared" si="42"/>
        <v>0.96176908232712643</v>
      </c>
      <c r="DQ20" s="37">
        <v>5.3</v>
      </c>
      <c r="DR20" s="37">
        <f t="shared" si="43"/>
        <v>9.6486437283815757E-2</v>
      </c>
      <c r="DS20" s="37">
        <f t="shared" si="44"/>
        <v>0.19297287456763151</v>
      </c>
      <c r="DT20" s="37">
        <f t="shared" si="7"/>
        <v>9.9679199419300115</v>
      </c>
      <c r="DU20" s="37">
        <f t="shared" si="8"/>
        <v>4.9839599709650058</v>
      </c>
      <c r="DV20" s="37">
        <f t="shared" si="45"/>
        <v>59.014803247970008</v>
      </c>
      <c r="DW20" s="37">
        <f t="shared" si="9"/>
        <v>1.1547419568947579</v>
      </c>
      <c r="DX20">
        <v>22</v>
      </c>
      <c r="DY20" t="s">
        <v>76</v>
      </c>
      <c r="DZ20" s="29">
        <f t="shared" si="46"/>
        <v>1</v>
      </c>
      <c r="EA20" s="30">
        <v>1.7000000000000001E-2</v>
      </c>
      <c r="EB20" s="30">
        <f t="shared" si="47"/>
        <v>2.741935483870968E-4</v>
      </c>
      <c r="EC20" s="30">
        <f t="shared" si="48"/>
        <v>1.370967741935484E-3</v>
      </c>
      <c r="ED20" s="31">
        <f t="shared" si="10"/>
        <v>66.599999999999994</v>
      </c>
      <c r="EE20" s="33">
        <f t="shared" si="49"/>
        <v>91.232876712328761</v>
      </c>
      <c r="EF20" s="37">
        <f t="shared" si="11"/>
        <v>5.546533416614615</v>
      </c>
      <c r="EG20" s="37">
        <f>$EK$10-EK20</f>
        <v>66.599999999999994</v>
      </c>
      <c r="EH20" s="33">
        <f>(EG20/$EK$10)*100</f>
        <v>91.232876712328761</v>
      </c>
      <c r="EI20" s="37">
        <f t="shared" si="62"/>
        <v>5.546533416614615</v>
      </c>
      <c r="EJ20" s="37">
        <f>($EG20/96.06)*8</f>
        <v>5.546533416614615</v>
      </c>
      <c r="EK20" s="31">
        <v>6.4</v>
      </c>
      <c r="EL20" s="31">
        <f t="shared" si="50"/>
        <v>6.6625026025400796E-2</v>
      </c>
      <c r="EM20" s="31">
        <f t="shared" si="51"/>
        <v>0.53300020820320637</v>
      </c>
      <c r="EN20" s="32">
        <f t="shared" si="13"/>
        <v>0.53437117594514183</v>
      </c>
      <c r="EO20" s="39">
        <f t="shared" si="52"/>
        <v>6.7012753735093726</v>
      </c>
      <c r="EP20" s="37">
        <f t="shared" si="14"/>
        <v>2.8796440052361864E-2</v>
      </c>
      <c r="EQ20" s="37">
        <f t="shared" si="15"/>
        <v>0.14352030452726497</v>
      </c>
      <c r="ER20" s="37">
        <f t="shared" si="16"/>
        <v>0.82768325542037324</v>
      </c>
      <c r="ES20" s="39">
        <f t="shared" si="53"/>
        <v>6.7012753735093726</v>
      </c>
      <c r="ET20" s="55">
        <f t="shared" si="54"/>
        <v>14.352030452726497</v>
      </c>
      <c r="EU20" s="55">
        <f t="shared" si="55"/>
        <v>2.8796440052361865</v>
      </c>
      <c r="EV20" s="55">
        <f t="shared" si="56"/>
        <v>82.768325542037331</v>
      </c>
      <c r="EW20" t="s">
        <v>207</v>
      </c>
      <c r="EX20" t="s">
        <v>208</v>
      </c>
      <c r="EY20">
        <v>-118</v>
      </c>
      <c r="EZ20" t="s">
        <v>209</v>
      </c>
      <c r="FA20">
        <v>880</v>
      </c>
      <c r="FB20" t="s">
        <v>113</v>
      </c>
      <c r="FC20" t="s">
        <v>780</v>
      </c>
      <c r="FD20" s="39">
        <f t="shared" si="57"/>
        <v>-6.5067206426078767</v>
      </c>
      <c r="FE20" s="39">
        <f t="shared" si="61"/>
        <v>-6.5066991698193881</v>
      </c>
      <c r="FF20" s="39">
        <f t="shared" si="58"/>
        <v>-6.5067206426078767</v>
      </c>
      <c r="FG20" s="39">
        <f t="shared" si="59"/>
        <v>-6.5066991698193881</v>
      </c>
    </row>
    <row r="21" spans="1:163" ht="15.75" x14ac:dyDescent="0.25">
      <c r="A21" s="3" t="s">
        <v>279</v>
      </c>
      <c r="B21" s="3" t="s">
        <v>279</v>
      </c>
      <c r="C21" s="3" t="s">
        <v>810</v>
      </c>
      <c r="D21" s="3" t="s">
        <v>810</v>
      </c>
      <c r="E21" s="3" t="s">
        <v>1076</v>
      </c>
      <c r="F21" s="3" t="s">
        <v>1013</v>
      </c>
      <c r="G21" s="3" t="s">
        <v>773</v>
      </c>
      <c r="H21" s="3" t="str">
        <f t="shared" si="0"/>
        <v>CW_2_Section_1</v>
      </c>
      <c r="I21" s="3" t="str">
        <f t="shared" si="1"/>
        <v>CW_2_MF02</v>
      </c>
      <c r="J21" s="3" t="s">
        <v>1489</v>
      </c>
      <c r="K21" s="3" t="s">
        <v>1484</v>
      </c>
      <c r="L21" s="11" t="s">
        <v>1077</v>
      </c>
      <c r="M21" s="3" t="s">
        <v>1024</v>
      </c>
      <c r="N21" s="3" t="s">
        <v>1024</v>
      </c>
      <c r="O21" s="12" t="s">
        <v>1016</v>
      </c>
      <c r="P21" s="3" t="s">
        <v>1078</v>
      </c>
      <c r="Q21" s="3" t="s">
        <v>1018</v>
      </c>
      <c r="R21" s="3" t="s">
        <v>1051</v>
      </c>
      <c r="S21" s="3" t="str">
        <f t="shared" si="2"/>
        <v>T0_0.60-0.80</v>
      </c>
      <c r="T21" s="13" t="s">
        <v>1052</v>
      </c>
      <c r="U21" s="3" t="s">
        <v>1053</v>
      </c>
      <c r="V21" s="3">
        <v>150</v>
      </c>
      <c r="W21" s="3">
        <v>65</v>
      </c>
      <c r="X21" s="3">
        <v>4</v>
      </c>
      <c r="Y21" s="3">
        <v>20</v>
      </c>
      <c r="Z21" t="s">
        <v>210</v>
      </c>
      <c r="AA21" t="s">
        <v>211</v>
      </c>
      <c r="AB21" s="1">
        <v>45518</v>
      </c>
      <c r="AC21">
        <v>12</v>
      </c>
      <c r="AD21">
        <v>12</v>
      </c>
      <c r="AE21">
        <v>740</v>
      </c>
      <c r="AF21" s="37">
        <f t="shared" si="17"/>
        <v>0.28421456919728588</v>
      </c>
      <c r="AG21">
        <v>140</v>
      </c>
      <c r="AH21" s="37">
        <f t="shared" si="18"/>
        <v>5.4699370523116998E-2</v>
      </c>
      <c r="AI21">
        <v>640</v>
      </c>
      <c r="AJ21" s="37">
        <f t="shared" si="19"/>
        <v>0.25317886408589996</v>
      </c>
      <c r="AK21">
        <v>230</v>
      </c>
      <c r="AL21" s="37">
        <f t="shared" si="20"/>
        <v>9.0986154280870299E-2</v>
      </c>
      <c r="AM21">
        <v>380</v>
      </c>
      <c r="AN21" s="37">
        <f t="shared" si="21"/>
        <v>0.15032495055100309</v>
      </c>
      <c r="AO21">
        <v>610</v>
      </c>
      <c r="AQ21" s="59">
        <v>2130</v>
      </c>
      <c r="AR21" s="59">
        <f t="shared" si="22"/>
        <v>0.59209280380630291</v>
      </c>
      <c r="AS21">
        <v>3800</v>
      </c>
      <c r="AT21" s="37">
        <f t="shared" si="23"/>
        <v>1.4231099321214014</v>
      </c>
      <c r="AU21" t="s">
        <v>212</v>
      </c>
      <c r="AV21" t="s">
        <v>178</v>
      </c>
      <c r="AW21" t="s">
        <v>100</v>
      </c>
      <c r="AX21" t="s">
        <v>139</v>
      </c>
      <c r="AY21" t="s">
        <v>144</v>
      </c>
      <c r="AZ21">
        <v>4</v>
      </c>
      <c r="BA21" t="s">
        <v>102</v>
      </c>
      <c r="BB21">
        <v>11</v>
      </c>
      <c r="BC21" t="s">
        <v>69</v>
      </c>
      <c r="BD21">
        <v>18</v>
      </c>
      <c r="BE21" t="s">
        <v>104</v>
      </c>
      <c r="BF21" t="s">
        <v>198</v>
      </c>
      <c r="BG21">
        <v>44</v>
      </c>
      <c r="BH21" t="s">
        <v>212</v>
      </c>
      <c r="BI21" t="s">
        <v>785</v>
      </c>
      <c r="BJ21" t="s">
        <v>786</v>
      </c>
      <c r="BK21" t="s">
        <v>212</v>
      </c>
      <c r="BL21" t="s">
        <v>106</v>
      </c>
      <c r="BM21" t="s">
        <v>213</v>
      </c>
      <c r="BN21" t="s">
        <v>213</v>
      </c>
      <c r="BO21" s="58">
        <v>1400</v>
      </c>
      <c r="BP21" s="58">
        <v>67</v>
      </c>
      <c r="BQ21" s="58">
        <v>60</v>
      </c>
      <c r="BR21" s="58">
        <v>26</v>
      </c>
      <c r="BS21" s="58">
        <v>16</v>
      </c>
      <c r="BT21" s="58">
        <v>3.5</v>
      </c>
      <c r="BU21" s="58">
        <v>0.54</v>
      </c>
      <c r="BV21" s="58">
        <v>0.44</v>
      </c>
      <c r="BW21" s="31">
        <f t="shared" si="24"/>
        <v>0.52430365920262156</v>
      </c>
      <c r="BX21" s="31">
        <f t="shared" si="25"/>
        <v>2.4653393784085681E-2</v>
      </c>
      <c r="BY21" s="31">
        <f t="shared" si="26"/>
        <v>2.2566629920238637E-2</v>
      </c>
      <c r="BZ21" s="31">
        <f t="shared" si="27"/>
        <v>9.6979906148477926E-3</v>
      </c>
      <c r="CA21" s="31">
        <f t="shared" si="28"/>
        <v>5.9249284632216801E-3</v>
      </c>
      <c r="CB21" s="31">
        <f t="shared" si="29"/>
        <v>1.2960781013297423E-3</v>
      </c>
      <c r="CC21" s="31">
        <f t="shared" si="30"/>
        <v>1.9757725587144623E-4</v>
      </c>
      <c r="CD21" s="31">
        <f t="shared" si="31"/>
        <v>1.6098887515451175E-4</v>
      </c>
      <c r="CE21">
        <v>1E-3</v>
      </c>
      <c r="CF21">
        <v>1E-3</v>
      </c>
      <c r="CG21">
        <v>2E-3</v>
      </c>
      <c r="CH21">
        <v>1E-3</v>
      </c>
      <c r="CI21">
        <v>1E-3</v>
      </c>
      <c r="CK21">
        <v>2E-3</v>
      </c>
      <c r="CL21">
        <v>1E-3</v>
      </c>
      <c r="CM21">
        <v>1E-3</v>
      </c>
      <c r="CN21" s="58">
        <f t="shared" si="60"/>
        <v>1573.48</v>
      </c>
      <c r="CO21" s="58">
        <f t="shared" si="32"/>
        <v>173.48</v>
      </c>
      <c r="CP21" s="31">
        <f t="shared" si="33"/>
        <v>0.58880124621737095</v>
      </c>
      <c r="CQ21" s="31">
        <f t="shared" si="34"/>
        <v>6.4497587014749488E-2</v>
      </c>
      <c r="CR21">
        <v>1600</v>
      </c>
      <c r="CS21">
        <v>5700</v>
      </c>
      <c r="CT21">
        <v>1900</v>
      </c>
      <c r="CU21" t="s">
        <v>69</v>
      </c>
      <c r="CV21" t="s">
        <v>69</v>
      </c>
      <c r="CW21">
        <v>7600</v>
      </c>
      <c r="CX21" s="2">
        <f t="shared" si="3"/>
        <v>3730</v>
      </c>
      <c r="CZ21">
        <v>65</v>
      </c>
      <c r="DA21" t="s">
        <v>62</v>
      </c>
      <c r="DB21" t="s">
        <v>88</v>
      </c>
      <c r="DC21" t="s">
        <v>782</v>
      </c>
      <c r="DD21" s="37">
        <f t="shared" si="4"/>
        <v>8.7195502810743282</v>
      </c>
      <c r="DE21" s="37">
        <f t="shared" si="35"/>
        <v>8.7195502810743282</v>
      </c>
      <c r="DF21" s="37">
        <v>1.2</v>
      </c>
      <c r="DG21" s="37">
        <f t="shared" si="5"/>
        <v>2.1486123545210383E-2</v>
      </c>
      <c r="DH21" s="37">
        <f t="shared" si="36"/>
        <v>2.1486123545210383E-2</v>
      </c>
      <c r="DI21" s="37">
        <f t="shared" si="6"/>
        <v>9.9195502810743275</v>
      </c>
      <c r="DJ21" s="37">
        <f t="shared" si="37"/>
        <v>0.17761056904340783</v>
      </c>
      <c r="DK21" s="37">
        <f t="shared" si="38"/>
        <v>0.17761056904340783</v>
      </c>
      <c r="DL21" s="55">
        <f t="shared" si="39"/>
        <v>8.7195502810743282</v>
      </c>
      <c r="DM21" s="55">
        <f t="shared" si="39"/>
        <v>8.7195502810743282</v>
      </c>
      <c r="DN21" s="37">
        <f t="shared" si="40"/>
        <v>9.9195502810743275</v>
      </c>
      <c r="DO21" s="55">
        <f t="shared" si="41"/>
        <v>0.17761056904340783</v>
      </c>
      <c r="DP21" s="55">
        <f t="shared" si="42"/>
        <v>0.17761056904340783</v>
      </c>
      <c r="DQ21" s="37">
        <v>1.2</v>
      </c>
      <c r="DR21" s="37">
        <f t="shared" si="43"/>
        <v>2.1845985800109231E-2</v>
      </c>
      <c r="DS21" s="37">
        <f t="shared" si="44"/>
        <v>4.3691971600218461E-2</v>
      </c>
      <c r="DT21" s="37">
        <f t="shared" si="7"/>
        <v>8.1301237979619927</v>
      </c>
      <c r="DU21" s="37">
        <f t="shared" si="8"/>
        <v>4.0650618989809963</v>
      </c>
      <c r="DV21" s="37">
        <f t="shared" si="45"/>
        <v>11.119550281074327</v>
      </c>
      <c r="DW21" s="37">
        <f t="shared" si="9"/>
        <v>0.22130254064362628</v>
      </c>
      <c r="DX21">
        <v>22</v>
      </c>
      <c r="DY21" t="s">
        <v>207</v>
      </c>
      <c r="DZ21" s="29">
        <f t="shared" si="46"/>
        <v>1</v>
      </c>
      <c r="EA21" s="30">
        <v>1.7000000000000001E-2</v>
      </c>
      <c r="EB21" s="30">
        <f t="shared" si="47"/>
        <v>2.741935483870968E-4</v>
      </c>
      <c r="EC21" s="30">
        <f t="shared" si="48"/>
        <v>1.370967741935484E-3</v>
      </c>
      <c r="ED21" s="31">
        <f t="shared" si="10"/>
        <v>15</v>
      </c>
      <c r="EE21" s="33">
        <f t="shared" si="49"/>
        <v>20.547945205479451</v>
      </c>
      <c r="EF21" s="37">
        <f t="shared" si="11"/>
        <v>1.2492192379762648</v>
      </c>
      <c r="EG21" s="37">
        <f>$EK$10-EK21</f>
        <v>15</v>
      </c>
      <c r="EH21" s="33">
        <f>(EG21/$EK$10)*100</f>
        <v>20.547945205479451</v>
      </c>
      <c r="EI21" s="37">
        <f t="shared" si="62"/>
        <v>1.2492192379762648</v>
      </c>
      <c r="EJ21" s="37">
        <f>($EG21/96.06)*8</f>
        <v>1.2492192379762648</v>
      </c>
      <c r="EK21" s="31">
        <v>58</v>
      </c>
      <c r="EL21" s="31">
        <f t="shared" si="50"/>
        <v>0.60378929835519468</v>
      </c>
      <c r="EM21" s="31">
        <f t="shared" si="51"/>
        <v>4.8303143868415575</v>
      </c>
      <c r="EN21" s="32">
        <f t="shared" si="13"/>
        <v>4.8316853545834926</v>
      </c>
      <c r="EO21" s="39">
        <f t="shared" si="52"/>
        <v>1.470521778619891</v>
      </c>
      <c r="EP21" s="37">
        <f t="shared" si="14"/>
        <v>2.9711883384157766E-2</v>
      </c>
      <c r="EQ21" s="37">
        <f t="shared" si="15"/>
        <v>0.12078064509190628</v>
      </c>
      <c r="ER21" s="37">
        <f t="shared" si="16"/>
        <v>0.84950747152393602</v>
      </c>
      <c r="ES21" s="39">
        <f t="shared" si="53"/>
        <v>1.470521778619891</v>
      </c>
      <c r="ET21" s="55">
        <f t="shared" si="54"/>
        <v>12.078064509190629</v>
      </c>
      <c r="EU21" s="55">
        <f t="shared" si="55"/>
        <v>2.9711883384157765</v>
      </c>
      <c r="EV21" s="55">
        <f t="shared" si="56"/>
        <v>84.950747152393603</v>
      </c>
      <c r="EW21" t="s">
        <v>216</v>
      </c>
      <c r="EX21" t="s">
        <v>193</v>
      </c>
      <c r="EY21">
        <v>-164</v>
      </c>
      <c r="EZ21" t="s">
        <v>217</v>
      </c>
      <c r="FA21">
        <v>814</v>
      </c>
      <c r="FB21" t="s">
        <v>113</v>
      </c>
      <c r="FC21" t="s">
        <v>780</v>
      </c>
      <c r="FD21" s="39">
        <f t="shared" si="57"/>
        <v>0.54468095730781307</v>
      </c>
      <c r="FE21" s="39">
        <f t="shared" si="61"/>
        <v>0.60917854432256258</v>
      </c>
      <c r="FF21" s="39">
        <f t="shared" si="58"/>
        <v>0.54468095730781307</v>
      </c>
      <c r="FG21" s="39">
        <f t="shared" si="59"/>
        <v>0.60917854432256258</v>
      </c>
    </row>
    <row r="22" spans="1:163" ht="15.75" x14ac:dyDescent="0.25">
      <c r="A22" s="3" t="s">
        <v>280</v>
      </c>
      <c r="B22" s="3" t="s">
        <v>280</v>
      </c>
      <c r="C22" s="3" t="s">
        <v>811</v>
      </c>
      <c r="D22" s="3" t="s">
        <v>811</v>
      </c>
      <c r="E22" s="3" t="s">
        <v>1079</v>
      </c>
      <c r="F22" s="3" t="s">
        <v>1027</v>
      </c>
      <c r="G22" s="3" t="s">
        <v>773</v>
      </c>
      <c r="H22" s="3" t="str">
        <f t="shared" si="0"/>
        <v>CW_2_Section_2</v>
      </c>
      <c r="I22" s="3" t="str">
        <f t="shared" si="1"/>
        <v>CW_2_MF05</v>
      </c>
      <c r="J22" s="3" t="s">
        <v>1496</v>
      </c>
      <c r="K22" s="3" t="s">
        <v>1484</v>
      </c>
      <c r="L22" s="11" t="s">
        <v>1080</v>
      </c>
      <c r="M22" s="3" t="s">
        <v>1015</v>
      </c>
      <c r="N22" s="3" t="s">
        <v>1015</v>
      </c>
      <c r="O22" s="12" t="s">
        <v>1016</v>
      </c>
      <c r="P22" s="3" t="s">
        <v>1081</v>
      </c>
      <c r="Q22" s="3" t="s">
        <v>1018</v>
      </c>
      <c r="R22" s="3" t="s">
        <v>1051</v>
      </c>
      <c r="S22" s="3" t="str">
        <f t="shared" si="2"/>
        <v>T0_0.15-0.30</v>
      </c>
      <c r="T22" s="13" t="s">
        <v>1052</v>
      </c>
      <c r="U22" s="3" t="s">
        <v>1053</v>
      </c>
      <c r="V22" s="3">
        <v>150</v>
      </c>
      <c r="W22" s="3">
        <v>65</v>
      </c>
      <c r="X22" s="3">
        <v>17.55</v>
      </c>
      <c r="Y22" s="3">
        <v>21</v>
      </c>
      <c r="Z22" t="s">
        <v>175</v>
      </c>
      <c r="AA22" t="s">
        <v>176</v>
      </c>
      <c r="AB22" s="1">
        <v>45518</v>
      </c>
      <c r="AC22">
        <v>13</v>
      </c>
      <c r="AD22">
        <v>13</v>
      </c>
      <c r="AE22">
        <v>880</v>
      </c>
      <c r="AF22" s="37">
        <f t="shared" si="17"/>
        <v>0.3379848930994751</v>
      </c>
      <c r="AG22">
        <v>140</v>
      </c>
      <c r="AH22" s="37">
        <f t="shared" si="18"/>
        <v>5.4699370523116998E-2</v>
      </c>
      <c r="AI22">
        <v>620</v>
      </c>
      <c r="AJ22" s="37">
        <f t="shared" si="19"/>
        <v>0.24526702458321561</v>
      </c>
      <c r="AK22">
        <v>230</v>
      </c>
      <c r="AL22" s="37">
        <f t="shared" si="20"/>
        <v>9.0986154280870299E-2</v>
      </c>
      <c r="AM22">
        <v>260</v>
      </c>
      <c r="AN22" s="37">
        <f t="shared" si="21"/>
        <v>0.10285391353489687</v>
      </c>
      <c r="AO22">
        <v>490</v>
      </c>
      <c r="AQ22" s="59">
        <v>2130</v>
      </c>
      <c r="AR22" s="59">
        <f t="shared" si="22"/>
        <v>0.63795128820580771</v>
      </c>
      <c r="AS22">
        <v>3000</v>
      </c>
      <c r="AT22" s="37">
        <f t="shared" si="23"/>
        <v>1.1235078411484747</v>
      </c>
      <c r="AU22">
        <v>18</v>
      </c>
      <c r="AV22" t="s">
        <v>178</v>
      </c>
      <c r="AW22" t="s">
        <v>100</v>
      </c>
      <c r="AX22" t="s">
        <v>121</v>
      </c>
      <c r="AY22" t="s">
        <v>102</v>
      </c>
      <c r="AZ22" t="s">
        <v>96</v>
      </c>
      <c r="BA22">
        <v>4</v>
      </c>
      <c r="BB22" t="s">
        <v>160</v>
      </c>
      <c r="BC22" t="s">
        <v>123</v>
      </c>
      <c r="BD22">
        <v>16</v>
      </c>
      <c r="BE22" t="s">
        <v>80</v>
      </c>
      <c r="BF22" t="s">
        <v>144</v>
      </c>
      <c r="BG22">
        <v>39</v>
      </c>
      <c r="BH22" t="s">
        <v>179</v>
      </c>
      <c r="BI22" t="s">
        <v>787</v>
      </c>
      <c r="BJ22" t="s">
        <v>180</v>
      </c>
      <c r="BK22" t="s">
        <v>179</v>
      </c>
      <c r="BL22" t="s">
        <v>181</v>
      </c>
      <c r="BM22" t="s">
        <v>140</v>
      </c>
      <c r="BN22" t="s">
        <v>140</v>
      </c>
      <c r="BO22" s="58">
        <v>1100</v>
      </c>
      <c r="BP22" s="58">
        <v>4</v>
      </c>
      <c r="BQ22" s="58">
        <v>4</v>
      </c>
      <c r="BR22" s="58">
        <v>2</v>
      </c>
      <c r="BS22" s="58">
        <v>1.4</v>
      </c>
      <c r="BT22" s="58">
        <v>0.14000000000000001</v>
      </c>
      <c r="BU22" s="58">
        <v>0.03</v>
      </c>
      <c r="BV22" s="58">
        <v>2E-3</v>
      </c>
      <c r="BW22" s="31">
        <f t="shared" si="24"/>
        <v>0.41195287508777401</v>
      </c>
      <c r="BX22" s="31">
        <f t="shared" si="25"/>
        <v>1.4718444050200407E-3</v>
      </c>
      <c r="BY22" s="31">
        <f t="shared" si="26"/>
        <v>1.5044419946825757E-3</v>
      </c>
      <c r="BZ22" s="31">
        <f t="shared" si="27"/>
        <v>7.4599927806521475E-4</v>
      </c>
      <c r="CA22" s="31">
        <f t="shared" si="28"/>
        <v>5.1843124053189689E-4</v>
      </c>
      <c r="CB22" s="31">
        <f t="shared" si="29"/>
        <v>5.1843124053189702E-5</v>
      </c>
      <c r="CC22" s="31">
        <f t="shared" si="30"/>
        <v>1.0976514215080345E-5</v>
      </c>
      <c r="CD22" s="31">
        <f t="shared" si="31"/>
        <v>7.3176761433868969E-7</v>
      </c>
      <c r="CE22">
        <v>1E-3</v>
      </c>
      <c r="CF22">
        <v>1E-3</v>
      </c>
      <c r="CG22">
        <v>2E-3</v>
      </c>
      <c r="CH22">
        <v>1E-3</v>
      </c>
      <c r="CI22">
        <v>1E-3</v>
      </c>
      <c r="CK22">
        <v>2E-3</v>
      </c>
      <c r="CL22">
        <v>1E-3</v>
      </c>
      <c r="CM22">
        <v>1E-3</v>
      </c>
      <c r="CN22" s="58">
        <f t="shared" si="60"/>
        <v>1111.5720000000001</v>
      </c>
      <c r="CO22" s="58">
        <f t="shared" si="32"/>
        <v>11.572000000000001</v>
      </c>
      <c r="CP22" s="31">
        <f t="shared" si="33"/>
        <v>0.41625714341195635</v>
      </c>
      <c r="CQ22" s="31">
        <f t="shared" si="34"/>
        <v>4.3042683241823372E-3</v>
      </c>
      <c r="CR22">
        <v>1100</v>
      </c>
      <c r="CS22">
        <v>4200</v>
      </c>
      <c r="CT22">
        <v>720</v>
      </c>
      <c r="CU22" t="s">
        <v>69</v>
      </c>
      <c r="CV22" t="s">
        <v>69</v>
      </c>
      <c r="CW22">
        <v>4900</v>
      </c>
      <c r="CX22" s="2">
        <f t="shared" si="3"/>
        <v>3230</v>
      </c>
      <c r="CZ22">
        <v>65</v>
      </c>
      <c r="DA22" t="s">
        <v>62</v>
      </c>
      <c r="DB22" t="s">
        <v>88</v>
      </c>
      <c r="DC22" t="s">
        <v>782</v>
      </c>
      <c r="DD22" s="37">
        <f t="shared" si="4"/>
        <v>23.252134082864874</v>
      </c>
      <c r="DE22" s="37">
        <f t="shared" si="35"/>
        <v>23.252134082864874</v>
      </c>
      <c r="DF22" s="37">
        <v>5.9</v>
      </c>
      <c r="DG22" s="37">
        <f t="shared" si="5"/>
        <v>0.10564010743061773</v>
      </c>
      <c r="DH22" s="37">
        <f t="shared" si="36"/>
        <v>0.10564010743061773</v>
      </c>
      <c r="DI22" s="37">
        <f t="shared" si="6"/>
        <v>29.152134082864876</v>
      </c>
      <c r="DJ22" s="37">
        <f t="shared" si="37"/>
        <v>0.52197196209247765</v>
      </c>
      <c r="DK22" s="37">
        <f t="shared" si="38"/>
        <v>0.52197196209247765</v>
      </c>
      <c r="DL22" s="55">
        <f t="shared" si="39"/>
        <v>-15.462669165105142</v>
      </c>
      <c r="DN22" s="37">
        <f t="shared" si="40"/>
        <v>5.9</v>
      </c>
      <c r="DO22" s="55">
        <f t="shared" si="41"/>
        <v>0.10564010743061773</v>
      </c>
      <c r="DP22" s="55">
        <f t="shared" si="42"/>
        <v>0.10564010743061773</v>
      </c>
      <c r="DQ22" s="37">
        <v>3.1</v>
      </c>
      <c r="DR22" s="37">
        <f t="shared" si="43"/>
        <v>5.6435463316948847E-2</v>
      </c>
      <c r="DS22" s="37">
        <f t="shared" si="44"/>
        <v>0.11287092663389769</v>
      </c>
      <c r="DT22" s="37">
        <f t="shared" si="7"/>
        <v>9.2490064121741273</v>
      </c>
      <c r="DU22" s="37">
        <f t="shared" si="8"/>
        <v>4.6245032060870637</v>
      </c>
      <c r="DV22" s="37">
        <f t="shared" si="45"/>
        <v>32.252134082864877</v>
      </c>
      <c r="DW22" s="37">
        <f t="shared" si="9"/>
        <v>0.63484288872637529</v>
      </c>
      <c r="DX22">
        <v>24</v>
      </c>
      <c r="DY22" t="s">
        <v>121</v>
      </c>
      <c r="DZ22" s="29">
        <f t="shared" si="46"/>
        <v>1</v>
      </c>
      <c r="EA22" s="30">
        <v>1.7000000000000001E-2</v>
      </c>
      <c r="EB22" s="30">
        <f t="shared" si="47"/>
        <v>2.741935483870968E-4</v>
      </c>
      <c r="EC22" s="30">
        <f t="shared" si="48"/>
        <v>1.370967741935484E-3</v>
      </c>
      <c r="ED22" s="31">
        <f t="shared" si="10"/>
        <v>40</v>
      </c>
      <c r="EE22" s="33">
        <f t="shared" si="49"/>
        <v>54.794520547945204</v>
      </c>
      <c r="EF22" s="37">
        <f t="shared" si="11"/>
        <v>3.3312513012700395</v>
      </c>
      <c r="EG22" s="37">
        <f>$EK20-EK22</f>
        <v>-26.6</v>
      </c>
      <c r="EH22" s="33">
        <f>(EG22/$EK20)*100</f>
        <v>-415.625</v>
      </c>
      <c r="EI22" s="37">
        <f t="shared" si="62"/>
        <v>-2.2152821153445763</v>
      </c>
      <c r="EJ22" s="37"/>
      <c r="EK22" s="31">
        <v>33</v>
      </c>
      <c r="EL22" s="31">
        <f t="shared" si="50"/>
        <v>0.34353529044347281</v>
      </c>
      <c r="EM22" s="31">
        <f t="shared" si="51"/>
        <v>2.7482823235477825</v>
      </c>
      <c r="EN22" s="32">
        <f t="shared" si="13"/>
        <v>2.749653291289718</v>
      </c>
      <c r="EO22" s="39">
        <f t="shared" si="52"/>
        <v>3.9660941899964151</v>
      </c>
      <c r="EP22" s="37">
        <f t="shared" si="14"/>
        <v>2.8458962704060169E-2</v>
      </c>
      <c r="EQ22" s="37">
        <f t="shared" si="15"/>
        <v>0.13160856426683842</v>
      </c>
      <c r="ER22" s="37">
        <f t="shared" si="16"/>
        <v>0.83993247302910135</v>
      </c>
      <c r="ES22" s="39">
        <f t="shared" si="53"/>
        <v>0.21851103406451544</v>
      </c>
      <c r="ET22" s="55">
        <f t="shared" si="54"/>
        <v>48.345433850918241</v>
      </c>
      <c r="EU22" s="55">
        <f t="shared" si="55"/>
        <v>51.654566149081759</v>
      </c>
      <c r="EV22" s="55">
        <f t="shared" si="56"/>
        <v>0</v>
      </c>
      <c r="EW22" t="s">
        <v>90</v>
      </c>
      <c r="EX22" t="s">
        <v>182</v>
      </c>
      <c r="EY22" t="s">
        <v>183</v>
      </c>
      <c r="EZ22" t="s">
        <v>184</v>
      </c>
      <c r="FA22">
        <v>869</v>
      </c>
      <c r="FB22" t="s">
        <v>113</v>
      </c>
      <c r="FC22" t="s">
        <v>780</v>
      </c>
      <c r="FD22" s="39">
        <f t="shared" si="57"/>
        <v>-2.2046350606421328</v>
      </c>
      <c r="FE22" s="39">
        <f t="shared" si="61"/>
        <v>-2.2003307923179505</v>
      </c>
      <c r="FF22" s="39">
        <f t="shared" si="58"/>
        <v>1.5429480952897667</v>
      </c>
      <c r="FG22" s="39">
        <f t="shared" si="59"/>
        <v>1.547252363613949</v>
      </c>
    </row>
    <row r="23" spans="1:163" ht="15.75" x14ac:dyDescent="0.25">
      <c r="A23" s="3" t="s">
        <v>281</v>
      </c>
      <c r="B23" s="3" t="s">
        <v>281</v>
      </c>
      <c r="C23" s="3" t="s">
        <v>812</v>
      </c>
      <c r="D23" s="3" t="s">
        <v>812</v>
      </c>
      <c r="E23" s="3" t="s">
        <v>1082</v>
      </c>
      <c r="F23" s="3" t="s">
        <v>1027</v>
      </c>
      <c r="G23" s="3" t="s">
        <v>773</v>
      </c>
      <c r="H23" s="3" t="str">
        <f t="shared" si="0"/>
        <v>CW_2_Section_2</v>
      </c>
      <c r="I23" s="3" t="str">
        <f t="shared" si="1"/>
        <v>CW_2_MF06</v>
      </c>
      <c r="J23" s="3" t="s">
        <v>1497</v>
      </c>
      <c r="K23" s="3" t="s">
        <v>1484</v>
      </c>
      <c r="L23" s="11" t="s">
        <v>1083</v>
      </c>
      <c r="M23" s="3" t="s">
        <v>1024</v>
      </c>
      <c r="N23" s="3" t="s">
        <v>1024</v>
      </c>
      <c r="O23" s="12" t="s">
        <v>1016</v>
      </c>
      <c r="P23" s="3" t="s">
        <v>1084</v>
      </c>
      <c r="Q23" s="3" t="s">
        <v>1018</v>
      </c>
      <c r="R23" s="3" t="s">
        <v>1051</v>
      </c>
      <c r="S23" s="3" t="str">
        <f t="shared" si="2"/>
        <v>T0_0.60-0.80</v>
      </c>
      <c r="T23" s="13" t="s">
        <v>1052</v>
      </c>
      <c r="U23" s="3" t="s">
        <v>1053</v>
      </c>
      <c r="V23" s="3">
        <v>150</v>
      </c>
      <c r="W23" s="3">
        <v>65</v>
      </c>
      <c r="X23" s="3">
        <v>6.8</v>
      </c>
      <c r="Y23" s="3">
        <v>22</v>
      </c>
      <c r="Z23" t="s">
        <v>185</v>
      </c>
      <c r="AA23" t="s">
        <v>186</v>
      </c>
      <c r="AB23" s="1">
        <v>45518</v>
      </c>
      <c r="AC23">
        <v>12</v>
      </c>
      <c r="AD23">
        <v>13</v>
      </c>
      <c r="AE23">
        <v>770</v>
      </c>
      <c r="AF23" s="37">
        <f t="shared" si="17"/>
        <v>0.29573678146204069</v>
      </c>
      <c r="AG23">
        <v>110</v>
      </c>
      <c r="AH23" s="37">
        <f t="shared" si="18"/>
        <v>4.2978076839591928E-2</v>
      </c>
      <c r="AI23">
        <v>530</v>
      </c>
      <c r="AJ23" s="37">
        <f t="shared" si="19"/>
        <v>0.20966374682113592</v>
      </c>
      <c r="AK23">
        <v>190</v>
      </c>
      <c r="AL23" s="37">
        <f t="shared" si="20"/>
        <v>7.5162475275501545E-2</v>
      </c>
      <c r="AM23">
        <v>290</v>
      </c>
      <c r="AN23" s="37">
        <f t="shared" si="21"/>
        <v>0.11472167278892344</v>
      </c>
      <c r="AO23">
        <v>480</v>
      </c>
      <c r="AQ23" s="59">
        <v>1890</v>
      </c>
      <c r="AR23" s="59">
        <f t="shared" si="22"/>
        <v>0.54837860512276859</v>
      </c>
      <c r="AS23">
        <v>2600</v>
      </c>
      <c r="AT23" s="37">
        <f t="shared" si="23"/>
        <v>0.97370679566201146</v>
      </c>
      <c r="AU23">
        <v>14</v>
      </c>
      <c r="AV23" t="s">
        <v>188</v>
      </c>
      <c r="AW23" t="s">
        <v>65</v>
      </c>
      <c r="AX23" t="s">
        <v>101</v>
      </c>
      <c r="AY23" t="s">
        <v>157</v>
      </c>
      <c r="AZ23" t="s">
        <v>189</v>
      </c>
      <c r="BA23" t="s">
        <v>49</v>
      </c>
      <c r="BB23">
        <v>8</v>
      </c>
      <c r="BC23" t="s">
        <v>77</v>
      </c>
      <c r="BD23">
        <v>15</v>
      </c>
      <c r="BE23" t="s">
        <v>100</v>
      </c>
      <c r="BF23">
        <v>3</v>
      </c>
      <c r="BG23">
        <v>38</v>
      </c>
      <c r="BH23" t="s">
        <v>133</v>
      </c>
      <c r="BI23" t="s">
        <v>190</v>
      </c>
      <c r="BJ23" t="s">
        <v>784</v>
      </c>
      <c r="BK23" t="s">
        <v>133</v>
      </c>
      <c r="BL23" t="s">
        <v>181</v>
      </c>
      <c r="BM23" t="s">
        <v>104</v>
      </c>
      <c r="BN23" t="s">
        <v>104</v>
      </c>
      <c r="BO23" s="58">
        <v>520</v>
      </c>
      <c r="BP23" s="58">
        <v>4</v>
      </c>
      <c r="BQ23" s="58">
        <v>4</v>
      </c>
      <c r="BR23" s="58">
        <v>2</v>
      </c>
      <c r="BS23" s="58">
        <v>3</v>
      </c>
      <c r="BT23" s="58">
        <v>0.41</v>
      </c>
      <c r="BU23" s="58">
        <v>0.04</v>
      </c>
      <c r="BV23" s="58">
        <v>0.02</v>
      </c>
      <c r="BW23" s="31">
        <f t="shared" si="24"/>
        <v>0.19474135913240226</v>
      </c>
      <c r="BX23" s="31">
        <f t="shared" si="25"/>
        <v>1.4718444050200407E-3</v>
      </c>
      <c r="BY23" s="31">
        <f t="shared" si="26"/>
        <v>1.5044419946825757E-3</v>
      </c>
      <c r="BZ23" s="31">
        <f t="shared" si="27"/>
        <v>7.4599927806521475E-4</v>
      </c>
      <c r="CA23" s="31">
        <f t="shared" si="28"/>
        <v>1.1109240868540651E-3</v>
      </c>
      <c r="CB23" s="31">
        <f t="shared" si="29"/>
        <v>1.5182629187005553E-4</v>
      </c>
      <c r="CC23" s="31">
        <f t="shared" si="30"/>
        <v>1.4635352286773795E-5</v>
      </c>
      <c r="CD23" s="31">
        <f t="shared" si="31"/>
        <v>7.3176761433868973E-6</v>
      </c>
      <c r="CE23">
        <v>1E-3</v>
      </c>
      <c r="CF23">
        <v>1E-3</v>
      </c>
      <c r="CG23">
        <v>2E-3</v>
      </c>
      <c r="CH23">
        <v>1E-3</v>
      </c>
      <c r="CI23">
        <v>1E-3</v>
      </c>
      <c r="CK23">
        <v>2E-3</v>
      </c>
      <c r="CL23">
        <v>1E-3</v>
      </c>
      <c r="CM23">
        <v>1E-3</v>
      </c>
      <c r="CN23" s="58">
        <f t="shared" si="60"/>
        <v>533.46999999999991</v>
      </c>
      <c r="CO23" s="58">
        <f t="shared" si="32"/>
        <v>13.469999999999999</v>
      </c>
      <c r="CP23" s="31">
        <f t="shared" si="33"/>
        <v>0.19974834821732437</v>
      </c>
      <c r="CQ23" s="31">
        <f t="shared" si="34"/>
        <v>5.0069890849221126E-3</v>
      </c>
      <c r="CR23">
        <v>520</v>
      </c>
      <c r="CS23">
        <v>3400</v>
      </c>
      <c r="CT23">
        <v>910</v>
      </c>
      <c r="CU23" t="s">
        <v>69</v>
      </c>
      <c r="CV23" t="s">
        <v>69</v>
      </c>
      <c r="CW23">
        <v>4300</v>
      </c>
      <c r="CX23" s="2">
        <f t="shared" si="3"/>
        <v>2410</v>
      </c>
      <c r="CZ23">
        <v>64</v>
      </c>
      <c r="DA23" t="s">
        <v>62</v>
      </c>
      <c r="DB23" t="s">
        <v>88</v>
      </c>
      <c r="DC23" t="s">
        <v>782</v>
      </c>
      <c r="DD23" s="37">
        <f t="shared" si="4"/>
        <v>20.345617322506765</v>
      </c>
      <c r="DE23" s="37">
        <f t="shared" si="35"/>
        <v>20.345617322506765</v>
      </c>
      <c r="DF23" s="37">
        <v>4.9000000000000004</v>
      </c>
      <c r="DG23" s="37">
        <f t="shared" si="5"/>
        <v>8.7735004476275746E-2</v>
      </c>
      <c r="DH23" s="37">
        <f t="shared" si="36"/>
        <v>8.7735004476275746E-2</v>
      </c>
      <c r="DI23" s="37">
        <f t="shared" si="6"/>
        <v>25.245617322506767</v>
      </c>
      <c r="DJ23" s="37">
        <f t="shared" si="37"/>
        <v>0.45202537730540315</v>
      </c>
      <c r="DK23" s="37">
        <f t="shared" si="38"/>
        <v>0.45202537730540315</v>
      </c>
      <c r="DL23" s="55">
        <f t="shared" si="39"/>
        <v>11.626067041432437</v>
      </c>
      <c r="DM23" s="55">
        <f t="shared" si="39"/>
        <v>11.626067041432437</v>
      </c>
      <c r="DN23" s="37">
        <f t="shared" si="40"/>
        <v>16.526067041432437</v>
      </c>
      <c r="DO23" s="55">
        <f t="shared" si="41"/>
        <v>0.29590093180720567</v>
      </c>
      <c r="DP23" s="55">
        <f t="shared" si="42"/>
        <v>0.29590093180720567</v>
      </c>
      <c r="DQ23" s="37">
        <v>2.8</v>
      </c>
      <c r="DR23" s="37">
        <f t="shared" si="43"/>
        <v>5.097396686692153E-2</v>
      </c>
      <c r="DS23" s="37">
        <f t="shared" si="44"/>
        <v>0.10194793373384306</v>
      </c>
      <c r="DT23" s="37">
        <f t="shared" si="7"/>
        <v>8.8677692769235001</v>
      </c>
      <c r="DU23" s="37">
        <f t="shared" si="8"/>
        <v>4.4338846384617501</v>
      </c>
      <c r="DV23" s="37">
        <f t="shared" si="45"/>
        <v>28.045617322506768</v>
      </c>
      <c r="DW23" s="37">
        <f t="shared" si="9"/>
        <v>0.55397331103924619</v>
      </c>
      <c r="DX23">
        <v>23</v>
      </c>
      <c r="DY23" t="s">
        <v>55</v>
      </c>
      <c r="DZ23" s="29">
        <f t="shared" si="46"/>
        <v>1</v>
      </c>
      <c r="EA23" s="30">
        <v>1.7000000000000001E-2</v>
      </c>
      <c r="EB23" s="30">
        <f t="shared" si="47"/>
        <v>2.741935483870968E-4</v>
      </c>
      <c r="EC23" s="30">
        <f t="shared" si="48"/>
        <v>1.370967741935484E-3</v>
      </c>
      <c r="ED23" s="31">
        <f t="shared" si="10"/>
        <v>35</v>
      </c>
      <c r="EE23" s="33">
        <f t="shared" si="49"/>
        <v>47.945205479452049</v>
      </c>
      <c r="EF23" s="37">
        <f t="shared" si="11"/>
        <v>2.9148448886112845</v>
      </c>
      <c r="EG23" s="37">
        <f>$EK21-EK23</f>
        <v>20</v>
      </c>
      <c r="EH23" s="33">
        <f>(EG23/$EK21)*100</f>
        <v>34.482758620689658</v>
      </c>
      <c r="EI23" s="37">
        <f t="shared" si="62"/>
        <v>1.6656256506350198</v>
      </c>
      <c r="EJ23" s="37">
        <f>($EG23/96.06)*8</f>
        <v>1.6656256506350198</v>
      </c>
      <c r="EK23" s="31">
        <v>38</v>
      </c>
      <c r="EL23" s="31">
        <f t="shared" si="50"/>
        <v>0.39558609202581718</v>
      </c>
      <c r="EM23" s="31">
        <f t="shared" si="51"/>
        <v>3.1646887362065375</v>
      </c>
      <c r="EN23" s="32">
        <f t="shared" si="13"/>
        <v>3.166059703948473</v>
      </c>
      <c r="EO23" s="39">
        <f t="shared" si="52"/>
        <v>3.4688181996505305</v>
      </c>
      <c r="EP23" s="37">
        <f t="shared" si="14"/>
        <v>2.938981747273867E-2</v>
      </c>
      <c r="EQ23" s="37">
        <f t="shared" si="15"/>
        <v>0.13031106021957073</v>
      </c>
      <c r="ER23" s="37">
        <f t="shared" si="16"/>
        <v>0.84029912230769066</v>
      </c>
      <c r="ES23" s="39">
        <f t="shared" si="53"/>
        <v>2.0634745161760684</v>
      </c>
      <c r="ET23" s="55">
        <f t="shared" si="54"/>
        <v>14.339936330086356</v>
      </c>
      <c r="EU23" s="55">
        <f t="shared" si="55"/>
        <v>4.9405957250573689</v>
      </c>
      <c r="EV23" s="55">
        <f t="shared" si="56"/>
        <v>80.719467944856277</v>
      </c>
      <c r="EW23" t="s">
        <v>192</v>
      </c>
      <c r="EX23" t="s">
        <v>193</v>
      </c>
      <c r="EY23">
        <v>-132</v>
      </c>
      <c r="EZ23" t="s">
        <v>194</v>
      </c>
      <c r="FA23">
        <v>1150</v>
      </c>
      <c r="FB23" t="s">
        <v>72</v>
      </c>
      <c r="FC23" t="s">
        <v>780</v>
      </c>
      <c r="FD23" s="39">
        <f t="shared" si="57"/>
        <v>-1.9467327988657503</v>
      </c>
      <c r="FE23" s="39">
        <f t="shared" si="61"/>
        <v>-1.9417258097808283</v>
      </c>
      <c r="FF23" s="39">
        <f t="shared" si="58"/>
        <v>-0.5413891153912882</v>
      </c>
      <c r="FG23" s="39">
        <f t="shared" si="59"/>
        <v>-0.53638212630636617</v>
      </c>
    </row>
    <row r="24" spans="1:163" s="37" customFormat="1" ht="15.75" x14ac:dyDescent="0.25">
      <c r="A24" s="34" t="s">
        <v>282</v>
      </c>
      <c r="B24" s="34" t="s">
        <v>282</v>
      </c>
      <c r="C24" s="34" t="s">
        <v>813</v>
      </c>
      <c r="D24" s="34" t="s">
        <v>813</v>
      </c>
      <c r="E24" s="34" t="s">
        <v>1085</v>
      </c>
      <c r="F24" s="34" t="s">
        <v>1034</v>
      </c>
      <c r="G24" s="34" t="s">
        <v>773</v>
      </c>
      <c r="H24" s="34" t="str">
        <f t="shared" si="0"/>
        <v>CW_2_Section_3</v>
      </c>
      <c r="I24" s="34" t="str">
        <f t="shared" si="1"/>
        <v>CW_2_MF09</v>
      </c>
      <c r="J24" s="34" t="s">
        <v>1492</v>
      </c>
      <c r="K24" s="34" t="s">
        <v>1484</v>
      </c>
      <c r="L24" s="47" t="s">
        <v>1086</v>
      </c>
      <c r="M24" s="34" t="s">
        <v>1015</v>
      </c>
      <c r="N24" s="34" t="s">
        <v>1015</v>
      </c>
      <c r="O24" s="35" t="s">
        <v>1016</v>
      </c>
      <c r="P24" s="34" t="s">
        <v>1087</v>
      </c>
      <c r="Q24" s="34" t="s">
        <v>1018</v>
      </c>
      <c r="R24" s="34" t="s">
        <v>1051</v>
      </c>
      <c r="S24" s="34" t="str">
        <f t="shared" si="2"/>
        <v>T0_0.15-0.30</v>
      </c>
      <c r="T24" s="36" t="s">
        <v>1052</v>
      </c>
      <c r="U24" s="34" t="s">
        <v>1053</v>
      </c>
      <c r="V24" s="34">
        <v>150</v>
      </c>
      <c r="W24" s="34">
        <v>65</v>
      </c>
      <c r="X24" s="34">
        <v>20.149999999999999</v>
      </c>
      <c r="Y24" s="34">
        <v>23</v>
      </c>
      <c r="Z24" s="37" t="s">
        <v>218</v>
      </c>
      <c r="AA24" s="37" t="s">
        <v>219</v>
      </c>
      <c r="AB24" s="38">
        <v>45518</v>
      </c>
      <c r="AC24" s="37">
        <v>22</v>
      </c>
      <c r="AD24" s="37">
        <v>23</v>
      </c>
      <c r="AE24" s="37">
        <v>130</v>
      </c>
      <c r="AF24" s="37">
        <f t="shared" si="17"/>
        <v>4.9929586480604277E-2</v>
      </c>
      <c r="AG24" s="37">
        <v>3.1</v>
      </c>
      <c r="AH24" s="37">
        <f t="shared" si="18"/>
        <v>1.2112003472975908E-3</v>
      </c>
      <c r="AI24" s="37">
        <v>5.7</v>
      </c>
      <c r="AJ24" s="37">
        <f t="shared" si="19"/>
        <v>2.254874258265047E-3</v>
      </c>
      <c r="AK24" s="37">
        <v>2</v>
      </c>
      <c r="AL24" s="37">
        <f t="shared" si="20"/>
        <v>7.9118395026843739E-4</v>
      </c>
      <c r="AM24" s="37">
        <v>2.9</v>
      </c>
      <c r="AN24" s="37">
        <f t="shared" si="21"/>
        <v>1.1472167278892343E-3</v>
      </c>
      <c r="AO24" s="37">
        <v>4.9000000000000004</v>
      </c>
      <c r="AQ24" s="59">
        <v>143.69999999999999</v>
      </c>
      <c r="AR24" s="59">
        <f t="shared" si="22"/>
        <v>5.3395661086166911E-2</v>
      </c>
      <c r="AS24" s="37">
        <v>20</v>
      </c>
      <c r="AT24" s="37">
        <f t="shared" si="23"/>
        <v>7.4900522743231637E-3</v>
      </c>
      <c r="AU24" s="37" t="s">
        <v>117</v>
      </c>
      <c r="AV24" s="37" t="s">
        <v>221</v>
      </c>
      <c r="AW24" s="37" t="s">
        <v>192</v>
      </c>
      <c r="AX24" s="37" t="s">
        <v>222</v>
      </c>
      <c r="AY24" s="37" t="s">
        <v>124</v>
      </c>
      <c r="AZ24" s="37" t="s">
        <v>171</v>
      </c>
      <c r="BA24" s="37" t="s">
        <v>216</v>
      </c>
      <c r="BB24" s="37" t="s">
        <v>223</v>
      </c>
      <c r="BC24" s="37" t="s">
        <v>118</v>
      </c>
      <c r="BD24" s="37" t="s">
        <v>224</v>
      </c>
      <c r="BE24" s="37" t="s">
        <v>72</v>
      </c>
      <c r="BF24" s="37" t="s">
        <v>118</v>
      </c>
      <c r="BG24" s="37" t="s">
        <v>80</v>
      </c>
      <c r="BH24" s="37" t="s">
        <v>88</v>
      </c>
      <c r="BI24" s="37" t="s">
        <v>87</v>
      </c>
      <c r="BJ24" s="37" t="s">
        <v>88</v>
      </c>
      <c r="BK24" s="37" t="s">
        <v>68</v>
      </c>
      <c r="BL24" s="37" t="s">
        <v>88</v>
      </c>
      <c r="BM24" s="37" t="s">
        <v>87</v>
      </c>
      <c r="BN24" s="37" t="s">
        <v>62</v>
      </c>
      <c r="BO24" s="58">
        <v>9.8000000000000007</v>
      </c>
      <c r="BP24" s="58">
        <v>0.41</v>
      </c>
      <c r="BQ24" s="58">
        <v>0.21</v>
      </c>
      <c r="BR24" s="58">
        <v>0.08</v>
      </c>
      <c r="BS24" s="58">
        <v>0.04</v>
      </c>
      <c r="BT24" s="58">
        <v>1E-3</v>
      </c>
      <c r="BU24" s="58">
        <v>0.01</v>
      </c>
      <c r="BV24" s="58">
        <v>2E-3</v>
      </c>
      <c r="BW24" s="31">
        <f t="shared" si="24"/>
        <v>3.670125614418351E-3</v>
      </c>
      <c r="BX24" s="31">
        <f t="shared" si="25"/>
        <v>1.5086405151455416E-4</v>
      </c>
      <c r="BY24" s="31">
        <f t="shared" si="26"/>
        <v>7.8983204720835227E-5</v>
      </c>
      <c r="BZ24" s="31">
        <f t="shared" si="27"/>
        <v>2.9839971122608595E-5</v>
      </c>
      <c r="CA24" s="31">
        <f t="shared" si="28"/>
        <v>1.4812321158054199E-5</v>
      </c>
      <c r="CB24" s="31">
        <f t="shared" si="29"/>
        <v>3.7030802895135499E-7</v>
      </c>
      <c r="CC24" s="31">
        <f t="shared" si="30"/>
        <v>3.6588380716934487E-6</v>
      </c>
      <c r="CD24" s="31">
        <f t="shared" si="31"/>
        <v>7.3176761433868969E-7</v>
      </c>
      <c r="CE24" s="37">
        <v>1E-3</v>
      </c>
      <c r="CF24" s="37">
        <v>1E-3</v>
      </c>
      <c r="CG24" s="37">
        <v>2E-3</v>
      </c>
      <c r="CH24" s="37">
        <v>1E-3</v>
      </c>
      <c r="CI24" s="37">
        <v>1E-3</v>
      </c>
      <c r="CK24" s="37">
        <v>2E-3</v>
      </c>
      <c r="CL24" s="37">
        <v>1E-3</v>
      </c>
      <c r="CM24" s="37">
        <v>1E-3</v>
      </c>
      <c r="CN24" s="58">
        <f t="shared" si="60"/>
        <v>10.553000000000001</v>
      </c>
      <c r="CO24" s="58">
        <f t="shared" si="32"/>
        <v>0.753</v>
      </c>
      <c r="CP24" s="31">
        <f t="shared" si="33"/>
        <v>3.9493860766493874E-3</v>
      </c>
      <c r="CQ24" s="31">
        <f t="shared" si="34"/>
        <v>2.7926046223103565E-4</v>
      </c>
      <c r="CR24" s="37">
        <v>11</v>
      </c>
      <c r="CS24" s="37">
        <v>35</v>
      </c>
      <c r="CT24" s="37" t="s">
        <v>69</v>
      </c>
      <c r="CU24" s="37" t="s">
        <v>69</v>
      </c>
      <c r="CV24" s="37" t="s">
        <v>69</v>
      </c>
      <c r="CW24" s="37">
        <v>5</v>
      </c>
      <c r="CX24" s="40">
        <f t="shared" si="3"/>
        <v>154.69999999999999</v>
      </c>
      <c r="CZ24" s="37">
        <v>53</v>
      </c>
      <c r="DA24" s="37" t="s">
        <v>62</v>
      </c>
      <c r="DB24" s="37" t="s">
        <v>88</v>
      </c>
      <c r="DC24" s="37" t="s">
        <v>782</v>
      </c>
      <c r="DD24" s="37">
        <f t="shared" si="4"/>
        <v>42.144493025192588</v>
      </c>
      <c r="DE24" s="37">
        <f t="shared" si="35"/>
        <v>42.144493025192588</v>
      </c>
      <c r="DF24" s="37">
        <v>15</v>
      </c>
      <c r="DG24" s="37">
        <f t="shared" si="5"/>
        <v>0.26857654431512978</v>
      </c>
      <c r="DH24" s="37">
        <f t="shared" si="36"/>
        <v>0.26857654431512978</v>
      </c>
      <c r="DI24" s="37">
        <f t="shared" si="6"/>
        <v>57.144493025192588</v>
      </c>
      <c r="DJ24" s="37">
        <f t="shared" si="37"/>
        <v>1.0231780308897509</v>
      </c>
      <c r="DK24" s="37">
        <f t="shared" si="38"/>
        <v>1.0231780308897509</v>
      </c>
      <c r="DL24" s="55">
        <f t="shared" si="39"/>
        <v>18.892358942327711</v>
      </c>
      <c r="DM24" s="55">
        <f t="shared" si="39"/>
        <v>18.892358942327711</v>
      </c>
      <c r="DN24" s="37">
        <f t="shared" si="40"/>
        <v>33.892358942327711</v>
      </c>
      <c r="DO24" s="55">
        <f t="shared" si="41"/>
        <v>0.60684617622789094</v>
      </c>
      <c r="DP24" s="55">
        <f t="shared" si="42"/>
        <v>0.60684617622789094</v>
      </c>
      <c r="DQ24" s="37">
        <v>4.4000000000000004</v>
      </c>
      <c r="DR24" s="37">
        <f t="shared" si="43"/>
        <v>8.0101947933733847E-2</v>
      </c>
      <c r="DS24" s="37">
        <f t="shared" si="44"/>
        <v>0.16020389586746769</v>
      </c>
      <c r="DT24" s="37">
        <f t="shared" si="7"/>
        <v>12.773447553812275</v>
      </c>
      <c r="DU24" s="37">
        <f t="shared" si="8"/>
        <v>6.3867237769061376</v>
      </c>
      <c r="DV24" s="37">
        <f t="shared" si="45"/>
        <v>61.544493025192587</v>
      </c>
      <c r="DW24" s="37">
        <f t="shared" si="9"/>
        <v>1.1833819267572185</v>
      </c>
      <c r="DX24" s="37">
        <v>16</v>
      </c>
      <c r="DY24" s="37" t="s">
        <v>78</v>
      </c>
      <c r="DZ24" s="37">
        <f t="shared" si="46"/>
        <v>1</v>
      </c>
      <c r="EA24" s="37">
        <v>1.7000000000000001E-2</v>
      </c>
      <c r="EB24" s="37">
        <f t="shared" si="47"/>
        <v>2.741935483870968E-4</v>
      </c>
      <c r="EC24" s="37">
        <f t="shared" si="48"/>
        <v>1.370967741935484E-3</v>
      </c>
      <c r="ED24" s="37">
        <f t="shared" si="10"/>
        <v>72.5</v>
      </c>
      <c r="EE24" s="39">
        <f t="shared" si="49"/>
        <v>99.315068493150676</v>
      </c>
      <c r="EF24" s="37">
        <f t="shared" si="11"/>
        <v>6.0378929835519468</v>
      </c>
      <c r="EG24" s="37">
        <f>$EK22-EK24</f>
        <v>32.5</v>
      </c>
      <c r="EH24" s="33">
        <f>(EG24/$EK22)*100</f>
        <v>98.484848484848484</v>
      </c>
      <c r="EI24" s="37">
        <f t="shared" si="62"/>
        <v>2.7066416822819073</v>
      </c>
      <c r="EJ24" s="37">
        <f>($EG24/96.06)*8</f>
        <v>2.7066416822819073</v>
      </c>
      <c r="EK24" s="37">
        <v>0.5</v>
      </c>
      <c r="EL24" s="37">
        <f t="shared" si="50"/>
        <v>5.2050801582344368E-3</v>
      </c>
      <c r="EM24" s="37">
        <f t="shared" si="51"/>
        <v>4.1640641265875494E-2</v>
      </c>
      <c r="EN24" s="37">
        <f t="shared" si="13"/>
        <v>4.301160900781098E-2</v>
      </c>
      <c r="EO24" s="39">
        <f t="shared" si="52"/>
        <v>7.2212749103091651</v>
      </c>
      <c r="EP24" s="37">
        <f t="shared" si="14"/>
        <v>2.218498781132941E-2</v>
      </c>
      <c r="EQ24" s="37">
        <f t="shared" si="15"/>
        <v>0.14168938914499041</v>
      </c>
      <c r="ER24" s="37">
        <f t="shared" si="16"/>
        <v>0.83612562304368021</v>
      </c>
      <c r="ES24" s="39">
        <f t="shared" si="53"/>
        <v>3.4736917543772661</v>
      </c>
      <c r="ET24" s="55">
        <f t="shared" si="54"/>
        <v>17.469776224766989</v>
      </c>
      <c r="EU24" s="55">
        <f t="shared" si="55"/>
        <v>4.6119203198036116</v>
      </c>
      <c r="EV24" s="55">
        <f t="shared" si="56"/>
        <v>77.918303455429395</v>
      </c>
      <c r="EW24" s="37" t="s">
        <v>132</v>
      </c>
      <c r="EX24" s="37" t="s">
        <v>226</v>
      </c>
      <c r="EY24" s="37">
        <v>-132</v>
      </c>
      <c r="EZ24" s="37" t="s">
        <v>209</v>
      </c>
      <c r="FA24" s="37">
        <v>712</v>
      </c>
      <c r="FB24" s="37" t="s">
        <v>72</v>
      </c>
      <c r="FC24" s="37" t="s">
        <v>780</v>
      </c>
      <c r="FD24" s="39">
        <f t="shared" si="57"/>
        <v>-7.1603891969486755</v>
      </c>
      <c r="FE24" s="39">
        <f t="shared" si="61"/>
        <v>-7.1601099364864442</v>
      </c>
      <c r="FF24" s="39">
        <f t="shared" si="58"/>
        <v>-3.412806041016776</v>
      </c>
      <c r="FG24" s="39">
        <f t="shared" si="59"/>
        <v>-3.4125267805545452</v>
      </c>
    </row>
    <row r="25" spans="1:163" s="29" customFormat="1" ht="15.75" x14ac:dyDescent="0.25">
      <c r="A25" s="48" t="s">
        <v>283</v>
      </c>
      <c r="B25" s="48" t="s">
        <v>283</v>
      </c>
      <c r="C25" s="48" t="s">
        <v>814</v>
      </c>
      <c r="D25" s="48" t="s">
        <v>814</v>
      </c>
      <c r="E25" s="48" t="s">
        <v>1088</v>
      </c>
      <c r="F25" s="48" t="s">
        <v>1034</v>
      </c>
      <c r="G25" s="48" t="s">
        <v>773</v>
      </c>
      <c r="H25" s="48" t="str">
        <f t="shared" si="0"/>
        <v>CW_2_Section_3</v>
      </c>
      <c r="I25" s="48" t="str">
        <f t="shared" si="1"/>
        <v>CW_2_MF10</v>
      </c>
      <c r="J25" s="48" t="s">
        <v>1493</v>
      </c>
      <c r="K25" s="48" t="s">
        <v>1484</v>
      </c>
      <c r="L25" s="49" t="s">
        <v>1089</v>
      </c>
      <c r="M25" s="48" t="s">
        <v>1024</v>
      </c>
      <c r="N25" s="48" t="s">
        <v>1024</v>
      </c>
      <c r="O25" s="50" t="s">
        <v>1016</v>
      </c>
      <c r="P25" s="48" t="s">
        <v>1090</v>
      </c>
      <c r="Q25" s="48" t="s">
        <v>1018</v>
      </c>
      <c r="R25" s="48" t="s">
        <v>1051</v>
      </c>
      <c r="S25" s="48" t="str">
        <f t="shared" si="2"/>
        <v>T0_0.60-0.80</v>
      </c>
      <c r="T25" s="51" t="s">
        <v>1052</v>
      </c>
      <c r="U25" s="48" t="s">
        <v>1053</v>
      </c>
      <c r="V25" s="48">
        <v>150</v>
      </c>
      <c r="W25" s="48">
        <v>65</v>
      </c>
      <c r="X25" s="48">
        <v>7.45</v>
      </c>
      <c r="Y25" s="48">
        <v>24</v>
      </c>
      <c r="Z25" s="29" t="s">
        <v>227</v>
      </c>
      <c r="AA25" s="29" t="s">
        <v>228</v>
      </c>
      <c r="AB25" s="52">
        <v>45518</v>
      </c>
      <c r="AC25" s="29">
        <v>12</v>
      </c>
      <c r="AD25" s="29">
        <v>12</v>
      </c>
      <c r="AE25" s="29">
        <v>730</v>
      </c>
      <c r="AF25" s="37">
        <f t="shared" si="17"/>
        <v>0.28037383177570091</v>
      </c>
      <c r="AG25" s="29">
        <v>100</v>
      </c>
      <c r="AH25" s="37">
        <f t="shared" si="18"/>
        <v>3.9070978945083573E-2</v>
      </c>
      <c r="AI25" s="29">
        <v>490</v>
      </c>
      <c r="AJ25" s="37">
        <f t="shared" si="19"/>
        <v>0.19384006781576718</v>
      </c>
      <c r="AK25" s="29">
        <v>190</v>
      </c>
      <c r="AL25" s="37">
        <f t="shared" si="20"/>
        <v>7.5162475275501545E-2</v>
      </c>
      <c r="AM25" s="29">
        <v>290</v>
      </c>
      <c r="AN25" s="37">
        <f t="shared" si="21"/>
        <v>0.11472167278892344</v>
      </c>
      <c r="AO25" s="29">
        <v>480</v>
      </c>
      <c r="AQ25" s="59">
        <v>1800</v>
      </c>
      <c r="AR25" s="59">
        <f t="shared" si="22"/>
        <v>0.51328487853655158</v>
      </c>
      <c r="AS25" s="29">
        <v>2500</v>
      </c>
      <c r="AT25" s="37">
        <f t="shared" si="23"/>
        <v>0.93625653429039557</v>
      </c>
      <c r="AU25" s="29">
        <v>12</v>
      </c>
      <c r="AV25" s="29" t="s">
        <v>188</v>
      </c>
      <c r="AW25" s="29" t="s">
        <v>65</v>
      </c>
      <c r="AX25" s="29" t="s">
        <v>230</v>
      </c>
      <c r="AY25" s="29" t="s">
        <v>138</v>
      </c>
      <c r="AZ25" s="29" t="s">
        <v>48</v>
      </c>
      <c r="BA25" s="29" t="s">
        <v>49</v>
      </c>
      <c r="BB25" s="29" t="s">
        <v>200</v>
      </c>
      <c r="BC25" s="29" t="s">
        <v>76</v>
      </c>
      <c r="BD25" s="29">
        <v>15</v>
      </c>
      <c r="BE25" s="29" t="s">
        <v>63</v>
      </c>
      <c r="BF25" s="29">
        <v>3</v>
      </c>
      <c r="BG25" s="29">
        <v>39</v>
      </c>
      <c r="BH25" s="29" t="s">
        <v>231</v>
      </c>
      <c r="BI25" s="29" t="s">
        <v>232</v>
      </c>
      <c r="BJ25" s="29" t="s">
        <v>788</v>
      </c>
      <c r="BK25" s="29" t="s">
        <v>231</v>
      </c>
      <c r="BL25" s="29" t="s">
        <v>70</v>
      </c>
      <c r="BM25" s="29" t="s">
        <v>104</v>
      </c>
      <c r="BN25" s="29" t="s">
        <v>104</v>
      </c>
      <c r="BO25" s="58">
        <v>980</v>
      </c>
      <c r="BP25" s="58">
        <v>42</v>
      </c>
      <c r="BQ25" s="58">
        <v>4</v>
      </c>
      <c r="BR25" s="58">
        <v>2</v>
      </c>
      <c r="BS25" s="58">
        <v>1.8</v>
      </c>
      <c r="BT25" s="58">
        <v>0.15</v>
      </c>
      <c r="BU25" s="58">
        <v>7.0000000000000007E-2</v>
      </c>
      <c r="BV25" s="58">
        <v>0.04</v>
      </c>
      <c r="BW25" s="31">
        <f t="shared" si="24"/>
        <v>0.36701256144183508</v>
      </c>
      <c r="BX25" s="31">
        <f t="shared" si="25"/>
        <v>1.545436625271043E-2</v>
      </c>
      <c r="BY25" s="31">
        <f t="shared" si="26"/>
        <v>1.5044419946825757E-3</v>
      </c>
      <c r="BZ25" s="31">
        <f t="shared" si="27"/>
        <v>7.4599927806521475E-4</v>
      </c>
      <c r="CA25" s="31">
        <f t="shared" si="28"/>
        <v>6.6655445211243904E-4</v>
      </c>
      <c r="CB25" s="31">
        <f t="shared" si="29"/>
        <v>5.5546204342703247E-5</v>
      </c>
      <c r="CC25" s="31">
        <f t="shared" si="30"/>
        <v>2.5611866501854141E-5</v>
      </c>
      <c r="CD25" s="31">
        <f t="shared" si="31"/>
        <v>1.4635352286773795E-5</v>
      </c>
      <c r="CE25" s="29">
        <v>1E-3</v>
      </c>
      <c r="CF25" s="29">
        <v>1E-3</v>
      </c>
      <c r="CG25" s="29">
        <v>2E-3</v>
      </c>
      <c r="CH25" s="29">
        <v>1E-3</v>
      </c>
      <c r="CI25" s="29">
        <v>1E-3</v>
      </c>
      <c r="CK25" s="29">
        <v>2E-3</v>
      </c>
      <c r="CL25" s="29">
        <v>1E-3</v>
      </c>
      <c r="CM25" s="29">
        <v>1E-3</v>
      </c>
      <c r="CN25" s="58">
        <f t="shared" si="60"/>
        <v>1030.06</v>
      </c>
      <c r="CO25" s="58">
        <f t="shared" si="32"/>
        <v>50.059999999999995</v>
      </c>
      <c r="CP25" s="31">
        <f t="shared" si="33"/>
        <v>0.38547971684253712</v>
      </c>
      <c r="CQ25" s="31">
        <f t="shared" si="34"/>
        <v>1.8467155400701988E-2</v>
      </c>
      <c r="CR25" s="29">
        <v>1000</v>
      </c>
      <c r="CS25" s="29">
        <v>3400</v>
      </c>
      <c r="CT25" s="29">
        <v>810</v>
      </c>
      <c r="CU25" s="29" t="s">
        <v>69</v>
      </c>
      <c r="CV25" s="29" t="s">
        <v>69</v>
      </c>
      <c r="CW25" s="29">
        <v>4200</v>
      </c>
      <c r="CX25" s="54">
        <f t="shared" si="3"/>
        <v>2800</v>
      </c>
      <c r="CZ25" s="29">
        <v>65</v>
      </c>
      <c r="DA25" s="29" t="s">
        <v>62</v>
      </c>
      <c r="DB25" s="29" t="s">
        <v>88</v>
      </c>
      <c r="DC25" s="29" t="s">
        <v>782</v>
      </c>
      <c r="DD25" s="29">
        <f t="shared" si="4"/>
        <v>16.276493858005413</v>
      </c>
      <c r="DE25" s="29">
        <f t="shared" si="35"/>
        <v>16.276493858005413</v>
      </c>
      <c r="DF25" s="29">
        <v>3.6</v>
      </c>
      <c r="DG25" s="29">
        <f t="shared" si="5"/>
        <v>6.445837063563116E-2</v>
      </c>
      <c r="DH25" s="29">
        <f t="shared" si="36"/>
        <v>6.445837063563116E-2</v>
      </c>
      <c r="DI25" s="29">
        <f t="shared" si="6"/>
        <v>19.876493858005414</v>
      </c>
      <c r="DJ25" s="29">
        <f t="shared" si="37"/>
        <v>0.35589066889893312</v>
      </c>
      <c r="DK25" s="29">
        <f t="shared" si="38"/>
        <v>0.35589066889893312</v>
      </c>
      <c r="DL25" s="55">
        <f t="shared" si="39"/>
        <v>-4.0691234645013532</v>
      </c>
      <c r="DM25" s="55"/>
      <c r="DN25" s="37">
        <f t="shared" si="40"/>
        <v>3.6</v>
      </c>
      <c r="DO25" s="55">
        <f t="shared" si="41"/>
        <v>6.445837063563116E-2</v>
      </c>
      <c r="DP25" s="55">
        <f t="shared" si="42"/>
        <v>6.445837063563116E-2</v>
      </c>
      <c r="DQ25" s="29">
        <v>2.8</v>
      </c>
      <c r="DR25" s="29">
        <f t="shared" si="43"/>
        <v>5.097396686692153E-2</v>
      </c>
      <c r="DS25" s="29">
        <f t="shared" si="44"/>
        <v>0.10194793373384306</v>
      </c>
      <c r="DT25" s="29">
        <f t="shared" si="7"/>
        <v>6.9818123009351423</v>
      </c>
      <c r="DU25" s="29">
        <f t="shared" si="8"/>
        <v>3.4909061504675711</v>
      </c>
      <c r="DV25" s="29">
        <f t="shared" si="45"/>
        <v>22.676493858005415</v>
      </c>
      <c r="DW25" s="29">
        <f t="shared" si="9"/>
        <v>0.4578386026327762</v>
      </c>
      <c r="DX25" s="29">
        <v>24</v>
      </c>
      <c r="DY25" s="29" t="s">
        <v>229</v>
      </c>
      <c r="DZ25" s="29">
        <f t="shared" si="46"/>
        <v>1</v>
      </c>
      <c r="EA25" s="29">
        <v>1.7000000000000001E-2</v>
      </c>
      <c r="EB25" s="29">
        <f t="shared" si="47"/>
        <v>2.741935483870968E-4</v>
      </c>
      <c r="EC25" s="29">
        <f t="shared" si="48"/>
        <v>1.370967741935484E-3</v>
      </c>
      <c r="ED25" s="29">
        <f t="shared" si="10"/>
        <v>28</v>
      </c>
      <c r="EE25" s="53">
        <f t="shared" si="49"/>
        <v>38.356164383561641</v>
      </c>
      <c r="EF25" s="29">
        <f t="shared" si="11"/>
        <v>2.3318759108890275</v>
      </c>
      <c r="EG25" s="29">
        <f>$EK23-EK25</f>
        <v>-7</v>
      </c>
      <c r="EH25" s="33">
        <f>(EG25/$EK23)*100</f>
        <v>-18.421052631578945</v>
      </c>
      <c r="EI25" s="37">
        <f t="shared" si="62"/>
        <v>-0.58296897772225686</v>
      </c>
      <c r="EJ25" s="37"/>
      <c r="EK25" s="29">
        <v>45</v>
      </c>
      <c r="EL25" s="29">
        <f t="shared" si="50"/>
        <v>0.46845721424109932</v>
      </c>
      <c r="EM25" s="29">
        <f t="shared" si="51"/>
        <v>3.7476577139287945</v>
      </c>
      <c r="EN25" s="29">
        <f t="shared" si="13"/>
        <v>3.7490286816707301</v>
      </c>
      <c r="EO25" s="53">
        <f t="shared" si="52"/>
        <v>2.7897145135218038</v>
      </c>
      <c r="EP25" s="29">
        <f t="shared" si="14"/>
        <v>3.6544217424291744E-2</v>
      </c>
      <c r="EQ25" s="29">
        <f t="shared" si="15"/>
        <v>0.12757243337048421</v>
      </c>
      <c r="ER25" s="29">
        <f t="shared" si="16"/>
        <v>0.835883349205224</v>
      </c>
      <c r="ES25" s="39">
        <f t="shared" si="53"/>
        <v>0.16640630436947423</v>
      </c>
      <c r="ET25" s="55">
        <f t="shared" si="54"/>
        <v>38.735534017096697</v>
      </c>
      <c r="EU25" s="55">
        <f t="shared" si="55"/>
        <v>61.264465982903296</v>
      </c>
      <c r="EV25" s="55">
        <f t="shared" si="56"/>
        <v>0</v>
      </c>
      <c r="EW25" s="29" t="s">
        <v>233</v>
      </c>
      <c r="EX25" s="29" t="s">
        <v>226</v>
      </c>
      <c r="EY25" s="29">
        <v>-128</v>
      </c>
      <c r="EZ25" s="29" t="s">
        <v>234</v>
      </c>
      <c r="FA25" s="29">
        <v>676</v>
      </c>
      <c r="FB25" s="29" t="s">
        <v>113</v>
      </c>
      <c r="FC25" s="29" t="s">
        <v>780</v>
      </c>
      <c r="FD25" s="39">
        <f t="shared" si="57"/>
        <v>-1.3401731006948565</v>
      </c>
      <c r="FE25" s="39">
        <f t="shared" si="61"/>
        <v>-1.3217059452941544</v>
      </c>
      <c r="FF25" s="39">
        <f t="shared" si="58"/>
        <v>1.2831351084574729</v>
      </c>
      <c r="FG25" s="39">
        <f t="shared" si="59"/>
        <v>1.3016022638581752</v>
      </c>
    </row>
    <row r="26" spans="1:163" ht="15.75" x14ac:dyDescent="0.25">
      <c r="A26" s="3" t="s">
        <v>284</v>
      </c>
      <c r="B26" s="3" t="s">
        <v>284</v>
      </c>
      <c r="C26" s="3" t="s">
        <v>815</v>
      </c>
      <c r="D26" s="3" t="s">
        <v>815</v>
      </c>
      <c r="E26" s="3" t="s">
        <v>1091</v>
      </c>
      <c r="F26" s="3" t="s">
        <v>1013</v>
      </c>
      <c r="G26" s="3" t="s">
        <v>774</v>
      </c>
      <c r="H26" s="3" t="str">
        <f t="shared" si="0"/>
        <v>CW_3_Section_1</v>
      </c>
      <c r="I26" s="3" t="str">
        <f t="shared" si="1"/>
        <v>CW_3_MF01</v>
      </c>
      <c r="J26" s="3" t="s">
        <v>1488</v>
      </c>
      <c r="K26" s="3" t="s">
        <v>1484</v>
      </c>
      <c r="L26" s="11" t="s">
        <v>1092</v>
      </c>
      <c r="M26" s="3" t="s">
        <v>1015</v>
      </c>
      <c r="N26" s="3" t="s">
        <v>1015</v>
      </c>
      <c r="O26" s="12" t="s">
        <v>1016</v>
      </c>
      <c r="P26" s="3" t="s">
        <v>1093</v>
      </c>
      <c r="Q26" s="3" t="s">
        <v>1018</v>
      </c>
      <c r="R26" s="3" t="s">
        <v>1051</v>
      </c>
      <c r="S26" s="3" t="str">
        <f t="shared" si="2"/>
        <v>T0_0.15-0.30</v>
      </c>
      <c r="T26" s="13" t="s">
        <v>1052</v>
      </c>
      <c r="U26" s="3" t="s">
        <v>1053</v>
      </c>
      <c r="V26" s="3">
        <v>150</v>
      </c>
      <c r="W26" s="3">
        <v>65</v>
      </c>
      <c r="X26" s="3">
        <v>22.8</v>
      </c>
      <c r="Y26" s="3">
        <v>25</v>
      </c>
      <c r="Z26" t="s">
        <v>240</v>
      </c>
      <c r="AA26" t="s">
        <v>241</v>
      </c>
      <c r="AB26" s="1">
        <v>45518</v>
      </c>
      <c r="AC26">
        <v>31</v>
      </c>
      <c r="AD26">
        <v>38</v>
      </c>
      <c r="AE26">
        <v>120</v>
      </c>
      <c r="AF26" s="37">
        <f t="shared" si="17"/>
        <v>4.6088849059019332E-2</v>
      </c>
      <c r="AG26">
        <v>2.2999999999999998</v>
      </c>
      <c r="AH26" s="37">
        <f t="shared" si="18"/>
        <v>8.9863251573692204E-4</v>
      </c>
      <c r="AI26">
        <v>2</v>
      </c>
      <c r="AJ26" s="37">
        <f t="shared" si="19"/>
        <v>7.9118395026843739E-4</v>
      </c>
      <c r="AK26">
        <v>1.3</v>
      </c>
      <c r="AL26" s="37">
        <f t="shared" si="20"/>
        <v>5.1426956767448438E-4</v>
      </c>
      <c r="AM26">
        <v>0.2</v>
      </c>
      <c r="AN26" s="37">
        <f t="shared" si="21"/>
        <v>7.9118395026843739E-5</v>
      </c>
      <c r="AO26">
        <v>2.7</v>
      </c>
      <c r="AQ26" s="59">
        <v>127</v>
      </c>
      <c r="AR26" s="59">
        <f t="shared" si="22"/>
        <v>4.7778665525024688E-2</v>
      </c>
      <c r="AS26">
        <v>6.1</v>
      </c>
      <c r="AT26" s="37">
        <f t="shared" si="23"/>
        <v>2.284465943668565E-3</v>
      </c>
      <c r="AU26" t="s">
        <v>225</v>
      </c>
      <c r="AV26" t="s">
        <v>192</v>
      </c>
      <c r="AW26" t="s">
        <v>126</v>
      </c>
      <c r="AX26" t="s">
        <v>52</v>
      </c>
      <c r="AY26" t="s">
        <v>178</v>
      </c>
      <c r="AZ26" t="s">
        <v>125</v>
      </c>
      <c r="BA26" t="s">
        <v>119</v>
      </c>
      <c r="BB26" t="s">
        <v>242</v>
      </c>
      <c r="BC26" t="s">
        <v>223</v>
      </c>
      <c r="BD26" t="s">
        <v>243</v>
      </c>
      <c r="BE26" t="s">
        <v>221</v>
      </c>
      <c r="BF26" t="s">
        <v>223</v>
      </c>
      <c r="BG26" t="s">
        <v>123</v>
      </c>
      <c r="BH26" t="s">
        <v>118</v>
      </c>
      <c r="BI26" t="s">
        <v>87</v>
      </c>
      <c r="BJ26" t="s">
        <v>88</v>
      </c>
      <c r="BK26" t="s">
        <v>68</v>
      </c>
      <c r="BL26" t="s">
        <v>88</v>
      </c>
      <c r="BM26" t="s">
        <v>87</v>
      </c>
      <c r="BN26" t="s">
        <v>62</v>
      </c>
      <c r="BO26" s="58">
        <v>4.3</v>
      </c>
      <c r="BP26" s="58">
        <v>0.01</v>
      </c>
      <c r="BQ26" s="58">
        <v>0.01</v>
      </c>
      <c r="BR26" s="58">
        <v>5.0000000000000001E-3</v>
      </c>
      <c r="BS26" s="58">
        <v>1E-3</v>
      </c>
      <c r="BT26" s="58">
        <v>1E-3</v>
      </c>
      <c r="BU26" s="58">
        <v>1E-3</v>
      </c>
      <c r="BV26" s="58">
        <v>2E-3</v>
      </c>
      <c r="BW26" s="31">
        <f t="shared" si="24"/>
        <v>1.6103612389794801E-3</v>
      </c>
      <c r="BX26" s="31">
        <f t="shared" si="25"/>
        <v>3.6796110125501018E-6</v>
      </c>
      <c r="BY26" s="31">
        <f t="shared" si="26"/>
        <v>3.7611049867064394E-6</v>
      </c>
      <c r="BZ26" s="31">
        <f t="shared" si="27"/>
        <v>1.8649981951630372E-6</v>
      </c>
      <c r="CA26" s="31">
        <f t="shared" si="28"/>
        <v>3.7030802895135499E-7</v>
      </c>
      <c r="CB26" s="31">
        <f t="shared" si="29"/>
        <v>3.7030802895135499E-7</v>
      </c>
      <c r="CC26" s="31">
        <f t="shared" si="30"/>
        <v>3.6588380716934485E-7</v>
      </c>
      <c r="CD26" s="31">
        <f t="shared" si="31"/>
        <v>7.3176761433868969E-7</v>
      </c>
      <c r="CE26">
        <v>1E-3</v>
      </c>
      <c r="CF26">
        <v>1E-3</v>
      </c>
      <c r="CG26">
        <v>2E-3</v>
      </c>
      <c r="CH26">
        <v>1E-3</v>
      </c>
      <c r="CI26">
        <v>1E-3</v>
      </c>
      <c r="CK26">
        <v>2E-3</v>
      </c>
      <c r="CL26">
        <v>1E-3</v>
      </c>
      <c r="CM26">
        <v>1E-3</v>
      </c>
      <c r="CN26" s="58">
        <f t="shared" si="60"/>
        <v>4.33</v>
      </c>
      <c r="CO26" s="58">
        <f t="shared" si="32"/>
        <v>3.0000000000000006E-2</v>
      </c>
      <c r="CP26" s="31">
        <f t="shared" si="33"/>
        <v>1.6215052206533106E-3</v>
      </c>
      <c r="CQ26" s="31">
        <f t="shared" si="34"/>
        <v>1.1143981673830322E-5</v>
      </c>
      <c r="CR26">
        <v>4.3</v>
      </c>
      <c r="CS26" t="s">
        <v>69</v>
      </c>
      <c r="CT26" t="s">
        <v>69</v>
      </c>
      <c r="CU26" t="s">
        <v>69</v>
      </c>
      <c r="CV26" t="s">
        <v>69</v>
      </c>
      <c r="CW26">
        <v>5</v>
      </c>
      <c r="CX26" s="2">
        <f t="shared" si="3"/>
        <v>131.30000000000001</v>
      </c>
      <c r="CZ26">
        <v>59</v>
      </c>
      <c r="DA26" t="s">
        <v>62</v>
      </c>
      <c r="DB26" t="s">
        <v>88</v>
      </c>
      <c r="DC26" t="s">
        <v>782</v>
      </c>
      <c r="DD26" s="37">
        <f t="shared" si="4"/>
        <v>42.144493025192588</v>
      </c>
      <c r="DE26" s="37">
        <f t="shared" si="35"/>
        <v>42.144493025192588</v>
      </c>
      <c r="DF26" s="37">
        <v>22</v>
      </c>
      <c r="DG26" s="37">
        <f t="shared" si="5"/>
        <v>0.39391226499552373</v>
      </c>
      <c r="DH26" s="37">
        <f t="shared" si="36"/>
        <v>0.39391226499552373</v>
      </c>
      <c r="DI26" s="37">
        <f t="shared" si="6"/>
        <v>64.144493025192588</v>
      </c>
      <c r="DJ26" s="37">
        <f t="shared" si="37"/>
        <v>1.1485137515701447</v>
      </c>
      <c r="DK26" s="37">
        <f t="shared" si="38"/>
        <v>1.1485137515701447</v>
      </c>
      <c r="DL26" s="55">
        <f t="shared" si="39"/>
        <v>42.144493025192588</v>
      </c>
      <c r="DM26" s="55">
        <f t="shared" si="39"/>
        <v>42.144493025192588</v>
      </c>
      <c r="DN26" s="37">
        <f t="shared" si="40"/>
        <v>64.144493025192588</v>
      </c>
      <c r="DO26" s="55">
        <f t="shared" si="41"/>
        <v>1.1485137515701447</v>
      </c>
      <c r="DP26" s="55">
        <f t="shared" si="42"/>
        <v>1.1485137515701447</v>
      </c>
      <c r="DQ26" s="37">
        <v>5</v>
      </c>
      <c r="DR26" s="37">
        <f t="shared" si="43"/>
        <v>9.1024940833788454E-2</v>
      </c>
      <c r="DS26" s="37">
        <f t="shared" si="44"/>
        <v>0.18204988166757691</v>
      </c>
      <c r="DT26" s="37">
        <f t="shared" si="7"/>
        <v>12.61757207474961</v>
      </c>
      <c r="DU26" s="37">
        <f t="shared" si="8"/>
        <v>6.308786037374805</v>
      </c>
      <c r="DV26" s="37">
        <f t="shared" si="45"/>
        <v>69.144493025192588</v>
      </c>
      <c r="DW26" s="37">
        <f t="shared" si="9"/>
        <v>1.3305636332377215</v>
      </c>
      <c r="DX26">
        <v>16</v>
      </c>
      <c r="DY26" t="s">
        <v>157</v>
      </c>
      <c r="DZ26" s="29">
        <f t="shared" si="46"/>
        <v>1</v>
      </c>
      <c r="EA26" s="30">
        <v>1.7000000000000001E-2</v>
      </c>
      <c r="EB26" s="30">
        <f t="shared" si="47"/>
        <v>2.741935483870968E-4</v>
      </c>
      <c r="EC26" s="30">
        <f t="shared" si="48"/>
        <v>1.370967741935484E-3</v>
      </c>
      <c r="ED26" s="31">
        <f t="shared" si="10"/>
        <v>72.5</v>
      </c>
      <c r="EE26" s="33">
        <f t="shared" si="49"/>
        <v>99.315068493150676</v>
      </c>
      <c r="EF26" s="37">
        <f t="shared" si="11"/>
        <v>6.0378929835519468</v>
      </c>
      <c r="EG26" s="37">
        <f>$EK$10-EK26</f>
        <v>72.5</v>
      </c>
      <c r="EH26" s="33">
        <f>(EG26/$EK$10)*100</f>
        <v>99.315068493150676</v>
      </c>
      <c r="EI26" s="37">
        <f t="shared" si="62"/>
        <v>6.0378929835519468</v>
      </c>
      <c r="EJ26" s="37">
        <f>($EG26/96.06)*8</f>
        <v>6.0378929835519468</v>
      </c>
      <c r="EK26" s="31">
        <v>0.5</v>
      </c>
      <c r="EL26" s="31">
        <f t="shared" si="50"/>
        <v>5.2050801582344368E-3</v>
      </c>
      <c r="EM26" s="31">
        <f t="shared" si="51"/>
        <v>4.1640641265875494E-2</v>
      </c>
      <c r="EN26" s="32">
        <f t="shared" si="13"/>
        <v>4.301160900781098E-2</v>
      </c>
      <c r="EO26" s="39">
        <f t="shared" si="52"/>
        <v>7.3684566167896683</v>
      </c>
      <c r="EP26" s="37">
        <f t="shared" si="14"/>
        <v>2.4706650406648312E-2</v>
      </c>
      <c r="EQ26" s="37">
        <f t="shared" si="15"/>
        <v>0.15586897111576342</v>
      </c>
      <c r="ER26" s="37">
        <f t="shared" si="16"/>
        <v>0.81942437847758831</v>
      </c>
      <c r="ES26" s="39">
        <f t="shared" si="53"/>
        <v>7.3684566167896683</v>
      </c>
      <c r="ET26" s="55">
        <f t="shared" si="54"/>
        <v>15.586897111576342</v>
      </c>
      <c r="EU26" s="55">
        <f t="shared" si="55"/>
        <v>2.4706650406648314</v>
      </c>
      <c r="EV26" s="55">
        <f t="shared" si="56"/>
        <v>81.942437847758825</v>
      </c>
      <c r="EW26" t="s">
        <v>191</v>
      </c>
      <c r="EX26" t="s">
        <v>92</v>
      </c>
      <c r="EY26">
        <v>-131</v>
      </c>
      <c r="EZ26" t="s">
        <v>151</v>
      </c>
      <c r="FA26">
        <v>1155</v>
      </c>
      <c r="FB26" t="s">
        <v>113</v>
      </c>
      <c r="FC26" t="s">
        <v>780</v>
      </c>
      <c r="FD26" s="39">
        <f t="shared" si="57"/>
        <v>-7.3183934853209749</v>
      </c>
      <c r="FE26" s="39">
        <f t="shared" si="61"/>
        <v>-7.3183823413393014</v>
      </c>
      <c r="FF26" s="39">
        <f t="shared" si="58"/>
        <v>-7.3183934853209749</v>
      </c>
      <c r="FG26" s="39">
        <f t="shared" si="59"/>
        <v>-7.3183823413393014</v>
      </c>
    </row>
    <row r="27" spans="1:163" ht="15.75" x14ac:dyDescent="0.25">
      <c r="A27" s="3" t="s">
        <v>285</v>
      </c>
      <c r="B27" s="3" t="s">
        <v>285</v>
      </c>
      <c r="C27" s="3" t="s">
        <v>816</v>
      </c>
      <c r="D27" s="3" t="s">
        <v>816</v>
      </c>
      <c r="E27" s="3" t="s">
        <v>1094</v>
      </c>
      <c r="F27" s="3" t="s">
        <v>1013</v>
      </c>
      <c r="G27" s="3" t="s">
        <v>774</v>
      </c>
      <c r="H27" s="3" t="str">
        <f t="shared" si="0"/>
        <v>CW_3_Section_1</v>
      </c>
      <c r="I27" s="3" t="str">
        <f t="shared" si="1"/>
        <v>CW_3_MF02</v>
      </c>
      <c r="J27" s="3" t="s">
        <v>1489</v>
      </c>
      <c r="K27" s="3" t="s">
        <v>1484</v>
      </c>
      <c r="L27" s="11" t="s">
        <v>1095</v>
      </c>
      <c r="M27" s="3" t="s">
        <v>1024</v>
      </c>
      <c r="N27" s="3" t="s">
        <v>1024</v>
      </c>
      <c r="O27" s="12" t="s">
        <v>1016</v>
      </c>
      <c r="P27" s="3" t="s">
        <v>1096</v>
      </c>
      <c r="Q27" s="3" t="s">
        <v>1018</v>
      </c>
      <c r="R27" s="3" t="s">
        <v>1051</v>
      </c>
      <c r="S27" s="3" t="str">
        <f t="shared" si="2"/>
        <v>T0_0.60-0.80</v>
      </c>
      <c r="T27" s="13" t="s">
        <v>1052</v>
      </c>
      <c r="U27" s="3" t="s">
        <v>1053</v>
      </c>
      <c r="V27" s="3">
        <v>150</v>
      </c>
      <c r="W27" s="3">
        <v>65</v>
      </c>
      <c r="X27" s="3">
        <v>8.8000000000000007</v>
      </c>
      <c r="Y27" s="3">
        <v>26</v>
      </c>
      <c r="Z27" t="s">
        <v>244</v>
      </c>
      <c r="AA27" t="s">
        <v>245</v>
      </c>
      <c r="AB27" s="1">
        <v>45518</v>
      </c>
      <c r="AC27">
        <v>12</v>
      </c>
      <c r="AD27">
        <v>12</v>
      </c>
      <c r="AE27">
        <v>850</v>
      </c>
      <c r="AF27" s="37">
        <f t="shared" si="17"/>
        <v>0.3264626808347203</v>
      </c>
      <c r="AG27">
        <v>120</v>
      </c>
      <c r="AH27" s="37">
        <f t="shared" si="18"/>
        <v>4.6885174734100282E-2</v>
      </c>
      <c r="AI27">
        <v>620</v>
      </c>
      <c r="AJ27" s="37">
        <f t="shared" si="19"/>
        <v>0.24526702458321561</v>
      </c>
      <c r="AK27">
        <v>250</v>
      </c>
      <c r="AL27" s="37">
        <f t="shared" si="20"/>
        <v>9.8897993783554669E-2</v>
      </c>
      <c r="AM27">
        <v>290</v>
      </c>
      <c r="AN27" s="37">
        <f t="shared" si="21"/>
        <v>0.11472167278892344</v>
      </c>
      <c r="AO27">
        <v>540</v>
      </c>
      <c r="AQ27" s="59">
        <v>2130</v>
      </c>
      <c r="AR27" s="59">
        <f t="shared" si="22"/>
        <v>0.61861488015203614</v>
      </c>
      <c r="AS27">
        <v>3500</v>
      </c>
      <c r="AT27" s="37">
        <f t="shared" si="23"/>
        <v>1.3107591480065537</v>
      </c>
      <c r="AU27" t="s">
        <v>160</v>
      </c>
      <c r="AV27" t="s">
        <v>148</v>
      </c>
      <c r="AW27" t="s">
        <v>80</v>
      </c>
      <c r="AX27" t="s">
        <v>149</v>
      </c>
      <c r="AY27" t="s">
        <v>78</v>
      </c>
      <c r="AZ27" t="s">
        <v>49</v>
      </c>
      <c r="BA27" t="s">
        <v>157</v>
      </c>
      <c r="BB27">
        <v>10</v>
      </c>
      <c r="BC27" t="s">
        <v>69</v>
      </c>
      <c r="BD27">
        <v>16</v>
      </c>
      <c r="BE27" t="s">
        <v>104</v>
      </c>
      <c r="BF27" t="s">
        <v>144</v>
      </c>
      <c r="BG27">
        <v>40</v>
      </c>
      <c r="BH27" t="s">
        <v>246</v>
      </c>
      <c r="BI27" t="s">
        <v>785</v>
      </c>
      <c r="BJ27" t="s">
        <v>786</v>
      </c>
      <c r="BK27" t="s">
        <v>246</v>
      </c>
      <c r="BL27" t="s">
        <v>784</v>
      </c>
      <c r="BM27" t="s">
        <v>76</v>
      </c>
      <c r="BN27" t="s">
        <v>76</v>
      </c>
      <c r="BO27" s="58">
        <v>1400</v>
      </c>
      <c r="BP27" s="58">
        <v>68</v>
      </c>
      <c r="BQ27" s="58">
        <v>57</v>
      </c>
      <c r="BR27" s="58">
        <v>23</v>
      </c>
      <c r="BS27" s="58">
        <v>13</v>
      </c>
      <c r="BT27" s="58">
        <v>2.7</v>
      </c>
      <c r="BU27" s="58">
        <v>0.38</v>
      </c>
      <c r="BV27" s="58">
        <v>0.28000000000000003</v>
      </c>
      <c r="BW27" s="31">
        <f t="shared" si="24"/>
        <v>0.52430365920262156</v>
      </c>
      <c r="BX27" s="31">
        <f t="shared" si="25"/>
        <v>2.5021354885340692E-2</v>
      </c>
      <c r="BY27" s="31">
        <f t="shared" si="26"/>
        <v>2.1438298424226704E-2</v>
      </c>
      <c r="BZ27" s="31">
        <f t="shared" si="27"/>
        <v>8.57899169774997E-3</v>
      </c>
      <c r="CA27" s="31">
        <f t="shared" si="28"/>
        <v>4.8140043763676144E-3</v>
      </c>
      <c r="CB27" s="31">
        <f t="shared" si="29"/>
        <v>9.9983167816865845E-4</v>
      </c>
      <c r="CC27" s="31">
        <f t="shared" si="30"/>
        <v>1.3903584672435106E-4</v>
      </c>
      <c r="CD27" s="31">
        <f t="shared" si="31"/>
        <v>1.0244746600741656E-4</v>
      </c>
      <c r="CE27">
        <v>1E-3</v>
      </c>
      <c r="CF27">
        <v>1E-3</v>
      </c>
      <c r="CG27">
        <v>2E-3</v>
      </c>
      <c r="CH27">
        <v>1E-3</v>
      </c>
      <c r="CI27">
        <v>1E-3</v>
      </c>
      <c r="CK27">
        <v>2E-3</v>
      </c>
      <c r="CL27">
        <v>1E-3</v>
      </c>
      <c r="CM27">
        <v>1E-3</v>
      </c>
      <c r="CN27" s="58">
        <f t="shared" si="60"/>
        <v>1564.3600000000001</v>
      </c>
      <c r="CO27" s="58">
        <f t="shared" si="32"/>
        <v>164.35999999999999</v>
      </c>
      <c r="CP27" s="31">
        <f t="shared" si="33"/>
        <v>0.58539762357720704</v>
      </c>
      <c r="CQ27" s="31">
        <f t="shared" si="34"/>
        <v>6.1093964374585412E-2</v>
      </c>
      <c r="CR27">
        <v>1600</v>
      </c>
      <c r="CS27">
        <v>5000</v>
      </c>
      <c r="CT27">
        <v>1300</v>
      </c>
      <c r="CU27" t="s">
        <v>69</v>
      </c>
      <c r="CV27" t="s">
        <v>69</v>
      </c>
      <c r="CW27">
        <v>6300</v>
      </c>
      <c r="CX27" s="2">
        <f t="shared" si="3"/>
        <v>3730</v>
      </c>
      <c r="CZ27">
        <v>65</v>
      </c>
      <c r="DA27" t="s">
        <v>62</v>
      </c>
      <c r="DB27" t="s">
        <v>88</v>
      </c>
      <c r="DC27" t="s">
        <v>782</v>
      </c>
      <c r="DD27" s="37">
        <f t="shared" si="4"/>
        <v>13.951280449718926</v>
      </c>
      <c r="DE27" s="37">
        <f t="shared" si="35"/>
        <v>13.951280449718926</v>
      </c>
      <c r="DF27" s="37">
        <v>1.4</v>
      </c>
      <c r="DG27" s="37">
        <f t="shared" si="5"/>
        <v>2.506714413607878E-2</v>
      </c>
      <c r="DH27" s="37">
        <f t="shared" si="36"/>
        <v>2.506714413607878E-2</v>
      </c>
      <c r="DI27" s="37">
        <f t="shared" si="6"/>
        <v>15.351280449718926</v>
      </c>
      <c r="DJ27" s="37">
        <f t="shared" si="37"/>
        <v>0.27486625693319472</v>
      </c>
      <c r="DK27" s="37">
        <f t="shared" si="38"/>
        <v>0.27486625693319472</v>
      </c>
      <c r="DL27" s="55">
        <f t="shared" si="39"/>
        <v>13.951280449718926</v>
      </c>
      <c r="DM27" s="55">
        <f t="shared" si="39"/>
        <v>13.951280449718926</v>
      </c>
      <c r="DN27" s="37">
        <f t="shared" si="40"/>
        <v>15.351280449718926</v>
      </c>
      <c r="DO27" s="55">
        <f t="shared" si="41"/>
        <v>0.27486625693319472</v>
      </c>
      <c r="DP27" s="55">
        <f t="shared" si="42"/>
        <v>0.27486625693319472</v>
      </c>
      <c r="DQ27" s="37">
        <v>1.4</v>
      </c>
      <c r="DR27" s="37">
        <f t="shared" si="43"/>
        <v>2.5486983433460765E-2</v>
      </c>
      <c r="DS27" s="37">
        <f t="shared" si="44"/>
        <v>5.097396686692153E-2</v>
      </c>
      <c r="DT27" s="37">
        <f t="shared" si="7"/>
        <v>10.784573923814563</v>
      </c>
      <c r="DU27" s="37">
        <f t="shared" si="8"/>
        <v>5.3922869619072813</v>
      </c>
      <c r="DV27" s="37">
        <f t="shared" si="45"/>
        <v>16.751280449718926</v>
      </c>
      <c r="DW27" s="37">
        <f t="shared" si="9"/>
        <v>0.32584022380011624</v>
      </c>
      <c r="DX27">
        <v>25</v>
      </c>
      <c r="DY27" t="s">
        <v>50</v>
      </c>
      <c r="DZ27" s="29">
        <f t="shared" si="46"/>
        <v>1</v>
      </c>
      <c r="EA27" s="30">
        <v>1.7000000000000001E-2</v>
      </c>
      <c r="EB27" s="30">
        <f t="shared" si="47"/>
        <v>2.741935483870968E-4</v>
      </c>
      <c r="EC27" s="30">
        <f t="shared" si="48"/>
        <v>1.370967741935484E-3</v>
      </c>
      <c r="ED27" s="31">
        <f t="shared" si="10"/>
        <v>24</v>
      </c>
      <c r="EE27" s="33">
        <f t="shared" si="49"/>
        <v>32.87671232876712</v>
      </c>
      <c r="EF27" s="37">
        <f t="shared" si="11"/>
        <v>1.9987507807620237</v>
      </c>
      <c r="EG27" s="37">
        <f>$EK$10-EK27</f>
        <v>24</v>
      </c>
      <c r="EH27" s="33">
        <f>(EG27/$EK$10)*100</f>
        <v>32.87671232876712</v>
      </c>
      <c r="EI27" s="37">
        <f t="shared" si="62"/>
        <v>1.9987507807620237</v>
      </c>
      <c r="EJ27" s="37">
        <f>($EG27/96.06)*8</f>
        <v>1.9987507807620237</v>
      </c>
      <c r="EK27" s="31">
        <v>49</v>
      </c>
      <c r="EL27" s="31">
        <f t="shared" si="50"/>
        <v>0.51009785550697484</v>
      </c>
      <c r="EM27" s="31">
        <f t="shared" si="51"/>
        <v>4.0807828440557987</v>
      </c>
      <c r="EN27" s="32">
        <f t="shared" si="13"/>
        <v>4.0821538117977338</v>
      </c>
      <c r="EO27" s="39">
        <f t="shared" si="52"/>
        <v>2.3245910045621399</v>
      </c>
      <c r="EP27" s="37">
        <f t="shared" si="14"/>
        <v>2.1928144248550507E-2</v>
      </c>
      <c r="EQ27" s="37">
        <f t="shared" si="15"/>
        <v>0.11824284633028104</v>
      </c>
      <c r="ER27" s="37">
        <f t="shared" si="16"/>
        <v>0.85982900942116847</v>
      </c>
      <c r="ES27" s="39">
        <f t="shared" si="53"/>
        <v>2.3245910045621399</v>
      </c>
      <c r="ET27" s="55">
        <f t="shared" si="54"/>
        <v>11.824284633028103</v>
      </c>
      <c r="EU27" s="55">
        <f t="shared" si="55"/>
        <v>2.1928144248550505</v>
      </c>
      <c r="EV27" s="55">
        <f t="shared" si="56"/>
        <v>85.982900942116842</v>
      </c>
      <c r="EW27" s="22" t="s">
        <v>113</v>
      </c>
      <c r="EX27">
        <v>24</v>
      </c>
      <c r="EY27">
        <v>-109</v>
      </c>
      <c r="EZ27" t="s">
        <v>209</v>
      </c>
      <c r="FA27">
        <v>1090</v>
      </c>
      <c r="FB27" t="s">
        <v>113</v>
      </c>
      <c r="FC27" t="s">
        <v>780</v>
      </c>
      <c r="FD27" s="39">
        <f t="shared" si="57"/>
        <v>-0.39521697640355002</v>
      </c>
      <c r="FE27" s="39">
        <f t="shared" si="61"/>
        <v>-0.33412301202896466</v>
      </c>
      <c r="FF27" s="39">
        <f t="shared" si="58"/>
        <v>-0.39521697640355002</v>
      </c>
      <c r="FG27" s="39">
        <f t="shared" si="59"/>
        <v>-0.33412301202896466</v>
      </c>
    </row>
    <row r="28" spans="1:163" ht="15.75" x14ac:dyDescent="0.25">
      <c r="A28" s="3" t="s">
        <v>286</v>
      </c>
      <c r="B28" s="3" t="s">
        <v>286</v>
      </c>
      <c r="C28" s="3" t="s">
        <v>817</v>
      </c>
      <c r="D28" s="3" t="s">
        <v>817</v>
      </c>
      <c r="E28" s="3" t="s">
        <v>1097</v>
      </c>
      <c r="F28" s="3" t="s">
        <v>1027</v>
      </c>
      <c r="G28" s="3" t="s">
        <v>774</v>
      </c>
      <c r="H28" s="3" t="str">
        <f t="shared" si="0"/>
        <v>CW_3_Section_2</v>
      </c>
      <c r="I28" s="3" t="str">
        <f t="shared" si="1"/>
        <v>CW_3_MF05</v>
      </c>
      <c r="J28" s="3" t="s">
        <v>1496</v>
      </c>
      <c r="K28" s="3" t="s">
        <v>1484</v>
      </c>
      <c r="L28" s="11" t="s">
        <v>1098</v>
      </c>
      <c r="M28" s="3" t="s">
        <v>1015</v>
      </c>
      <c r="N28" s="3" t="s">
        <v>1015</v>
      </c>
      <c r="O28" s="12" t="s">
        <v>1016</v>
      </c>
      <c r="P28" s="3" t="s">
        <v>1099</v>
      </c>
      <c r="Q28" s="3" t="s">
        <v>1018</v>
      </c>
      <c r="R28" s="3" t="s">
        <v>1051</v>
      </c>
      <c r="S28" s="3" t="str">
        <f t="shared" si="2"/>
        <v>T0_0.15-0.30</v>
      </c>
      <c r="T28" s="13" t="s">
        <v>1052</v>
      </c>
      <c r="U28" s="3" t="s">
        <v>1053</v>
      </c>
      <c r="V28" s="3">
        <v>150</v>
      </c>
      <c r="W28" s="3">
        <v>65</v>
      </c>
      <c r="X28" s="3">
        <v>22.6</v>
      </c>
      <c r="Y28" s="3">
        <v>27</v>
      </c>
      <c r="Z28" t="s">
        <v>249</v>
      </c>
      <c r="AA28" t="s">
        <v>250</v>
      </c>
      <c r="AB28" s="1">
        <v>45518</v>
      </c>
      <c r="AC28">
        <v>4.5</v>
      </c>
      <c r="AD28">
        <v>6.1</v>
      </c>
      <c r="AE28">
        <v>1.1000000000000001</v>
      </c>
      <c r="AF28" s="37">
        <f t="shared" si="17"/>
        <v>4.2248111637434386E-4</v>
      </c>
      <c r="AG28">
        <v>0.02</v>
      </c>
      <c r="AH28" s="37">
        <f t="shared" si="18"/>
        <v>7.8141957890167132E-6</v>
      </c>
      <c r="AI28">
        <v>0.93</v>
      </c>
      <c r="AJ28" s="37">
        <f t="shared" si="19"/>
        <v>3.679005368748234E-4</v>
      </c>
      <c r="AK28">
        <v>0.43</v>
      </c>
      <c r="AL28" s="37">
        <f t="shared" si="20"/>
        <v>1.7010454930771403E-4</v>
      </c>
      <c r="AM28">
        <v>0.47</v>
      </c>
      <c r="AN28" s="37">
        <f t="shared" si="21"/>
        <v>1.8592822831308279E-4</v>
      </c>
      <c r="AO28">
        <v>0.9</v>
      </c>
      <c r="AQ28" s="59">
        <v>3.07</v>
      </c>
      <c r="AR28" s="59">
        <f t="shared" si="22"/>
        <v>7.9819584903818397E-4</v>
      </c>
      <c r="AS28">
        <v>5</v>
      </c>
      <c r="AT28" s="37">
        <f t="shared" si="23"/>
        <v>1.8725130685807909E-3</v>
      </c>
      <c r="AU28" t="s">
        <v>169</v>
      </c>
      <c r="AV28" t="s">
        <v>88</v>
      </c>
      <c r="AW28" t="s">
        <v>88</v>
      </c>
      <c r="AX28" t="s">
        <v>88</v>
      </c>
      <c r="AY28" t="s">
        <v>62</v>
      </c>
      <c r="AZ28" t="s">
        <v>88</v>
      </c>
      <c r="BA28" t="s">
        <v>88</v>
      </c>
      <c r="BB28" t="s">
        <v>88</v>
      </c>
      <c r="BC28" t="s">
        <v>88</v>
      </c>
      <c r="BD28" t="s">
        <v>62</v>
      </c>
      <c r="BE28" t="s">
        <v>88</v>
      </c>
      <c r="BF28" t="s">
        <v>88</v>
      </c>
      <c r="BG28" t="s">
        <v>513</v>
      </c>
      <c r="BH28" t="s">
        <v>88</v>
      </c>
      <c r="BI28" t="s">
        <v>87</v>
      </c>
      <c r="BJ28" t="s">
        <v>88</v>
      </c>
      <c r="BK28" t="s">
        <v>68</v>
      </c>
      <c r="BL28" t="s">
        <v>88</v>
      </c>
      <c r="BM28" t="s">
        <v>87</v>
      </c>
      <c r="BN28" t="s">
        <v>62</v>
      </c>
      <c r="BO28" s="58">
        <v>4.7</v>
      </c>
      <c r="BP28" s="58">
        <v>0.01</v>
      </c>
      <c r="BQ28" s="58">
        <v>0.01</v>
      </c>
      <c r="BR28" s="58">
        <v>5.0000000000000001E-3</v>
      </c>
      <c r="BS28" s="58">
        <v>1E-3</v>
      </c>
      <c r="BT28" s="58">
        <v>1E-3</v>
      </c>
      <c r="BU28" s="58">
        <v>1E-3</v>
      </c>
      <c r="BV28" s="58">
        <v>2E-3</v>
      </c>
      <c r="BW28" s="31">
        <f t="shared" si="24"/>
        <v>1.7601622844659439E-3</v>
      </c>
      <c r="BX28" s="31">
        <f t="shared" si="25"/>
        <v>3.6796110125501018E-6</v>
      </c>
      <c r="BY28" s="31">
        <f t="shared" si="26"/>
        <v>3.7611049867064394E-6</v>
      </c>
      <c r="BZ28" s="31">
        <f t="shared" si="27"/>
        <v>1.8649981951630372E-6</v>
      </c>
      <c r="CA28" s="31">
        <f t="shared" si="28"/>
        <v>3.7030802895135499E-7</v>
      </c>
      <c r="CB28" s="31">
        <f t="shared" si="29"/>
        <v>3.7030802895135499E-7</v>
      </c>
      <c r="CC28" s="31">
        <f t="shared" si="30"/>
        <v>3.6588380716934485E-7</v>
      </c>
      <c r="CD28" s="31">
        <f t="shared" si="31"/>
        <v>7.3176761433868969E-7</v>
      </c>
      <c r="CE28">
        <v>1E-3</v>
      </c>
      <c r="CF28">
        <v>1E-3</v>
      </c>
      <c r="CG28">
        <v>2E-3</v>
      </c>
      <c r="CH28">
        <v>1E-3</v>
      </c>
      <c r="CI28">
        <v>1E-3</v>
      </c>
      <c r="CK28">
        <v>2E-3</v>
      </c>
      <c r="CL28">
        <v>1E-3</v>
      </c>
      <c r="CM28">
        <v>1E-3</v>
      </c>
      <c r="CN28" s="58">
        <f t="shared" si="60"/>
        <v>4.7300000000000004</v>
      </c>
      <c r="CO28" s="58">
        <f t="shared" si="32"/>
        <v>3.0000000000000006E-2</v>
      </c>
      <c r="CP28" s="31">
        <f t="shared" si="33"/>
        <v>1.7713062661397743E-3</v>
      </c>
      <c r="CQ28" s="31">
        <f t="shared" si="34"/>
        <v>1.1143981673830322E-5</v>
      </c>
      <c r="CR28">
        <v>4.7</v>
      </c>
      <c r="CS28" t="s">
        <v>69</v>
      </c>
      <c r="CT28" t="s">
        <v>69</v>
      </c>
      <c r="CU28" t="s">
        <v>69</v>
      </c>
      <c r="CV28" t="s">
        <v>69</v>
      </c>
      <c r="CW28">
        <v>5</v>
      </c>
      <c r="CX28" s="2">
        <f t="shared" si="3"/>
        <v>7.77</v>
      </c>
      <c r="CZ28">
        <v>56</v>
      </c>
      <c r="DA28" t="s">
        <v>62</v>
      </c>
      <c r="DB28" t="s">
        <v>88</v>
      </c>
      <c r="DC28" t="s">
        <v>782</v>
      </c>
      <c r="DD28" s="37">
        <f t="shared" si="4"/>
        <v>-97.077659795960855</v>
      </c>
      <c r="DE28" s="37">
        <v>0</v>
      </c>
      <c r="DF28" s="37">
        <v>4.3</v>
      </c>
      <c r="DG28" s="37">
        <f t="shared" si="5"/>
        <v>7.6991942703670546E-2</v>
      </c>
      <c r="DH28" s="37">
        <f t="shared" si="36"/>
        <v>7.6991942703670546E-2</v>
      </c>
      <c r="DI28" s="37">
        <f t="shared" si="6"/>
        <v>4.3</v>
      </c>
      <c r="DJ28" s="37">
        <f t="shared" si="37"/>
        <v>7.6991942703670546E-2</v>
      </c>
      <c r="DK28" s="37">
        <f t="shared" si="38"/>
        <v>7.6991942703670546E-2</v>
      </c>
      <c r="DL28" s="55">
        <f t="shared" si="39"/>
        <v>-139.22215282115343</v>
      </c>
      <c r="DN28" s="37">
        <f t="shared" si="40"/>
        <v>4.3</v>
      </c>
      <c r="DO28" s="55">
        <f t="shared" si="41"/>
        <v>7.6991942703670546E-2</v>
      </c>
      <c r="DP28" s="55">
        <f t="shared" si="42"/>
        <v>7.6991942703670546E-2</v>
      </c>
      <c r="DQ28" s="37">
        <v>1.5</v>
      </c>
      <c r="DR28" s="37">
        <f t="shared" si="43"/>
        <v>2.7307482250136537E-2</v>
      </c>
      <c r="DS28" s="37">
        <f t="shared" si="44"/>
        <v>5.4614964500273075E-2</v>
      </c>
      <c r="DT28" s="37">
        <f t="shared" si="7"/>
        <v>2.8194449418084155</v>
      </c>
      <c r="DU28" s="37">
        <f t="shared" si="8"/>
        <v>1.4097224709042078</v>
      </c>
      <c r="DV28" s="37">
        <f t="shared" si="45"/>
        <v>5.8</v>
      </c>
      <c r="DW28" s="37">
        <f t="shared" si="9"/>
        <v>0.13160690720394363</v>
      </c>
      <c r="DX28" t="s">
        <v>113</v>
      </c>
      <c r="DY28" t="s">
        <v>251</v>
      </c>
      <c r="DZ28" s="29">
        <f t="shared" si="46"/>
        <v>1</v>
      </c>
      <c r="EA28" s="30">
        <v>1.7000000000000001E-2</v>
      </c>
      <c r="EB28" s="30">
        <f t="shared" si="47"/>
        <v>2.741935483870968E-4</v>
      </c>
      <c r="EC28" s="30">
        <f t="shared" si="48"/>
        <v>1.370967741935484E-3</v>
      </c>
      <c r="ED28" s="31">
        <f t="shared" si="10"/>
        <v>-167</v>
      </c>
      <c r="EE28" s="33">
        <f t="shared" si="49"/>
        <v>-228.76712328767121</v>
      </c>
      <c r="EF28" s="37">
        <f t="shared" si="11"/>
        <v>-13.907974182802414</v>
      </c>
      <c r="EG28" s="37">
        <f>$EK26-EK28</f>
        <v>-239.5</v>
      </c>
      <c r="EH28" s="33">
        <f>(EG28/$EK26)*100</f>
        <v>-47900</v>
      </c>
      <c r="EI28" s="37">
        <f t="shared" si="62"/>
        <v>-19.945867166354361</v>
      </c>
      <c r="EJ28" s="37"/>
      <c r="EK28" s="31">
        <v>240</v>
      </c>
      <c r="EL28" s="31">
        <f t="shared" si="50"/>
        <v>2.4984384759525295</v>
      </c>
      <c r="EM28" s="31">
        <f t="shared" si="51"/>
        <v>19.987507807620236</v>
      </c>
      <c r="EN28" s="32">
        <f t="shared" si="13"/>
        <v>19.988878775362171</v>
      </c>
      <c r="EO28" s="39">
        <f t="shared" si="52"/>
        <v>-13.776367275598471</v>
      </c>
      <c r="EP28" s="37">
        <f t="shared" si="14"/>
        <v>-3.9643952144779405E-3</v>
      </c>
      <c r="EQ28" s="37">
        <f t="shared" si="15"/>
        <v>-5.5886970173946579E-3</v>
      </c>
      <c r="ER28" s="37">
        <f t="shared" si="16"/>
        <v>1.0095530922318725</v>
      </c>
      <c r="ES28" s="39">
        <f t="shared" si="53"/>
        <v>0.13160690720394363</v>
      </c>
      <c r="ET28" s="55">
        <f t="shared" si="54"/>
        <v>58.501445204817834</v>
      </c>
      <c r="EU28" s="55">
        <f t="shared" si="55"/>
        <v>41.498554795182152</v>
      </c>
      <c r="EV28" s="55">
        <f t="shared" si="56"/>
        <v>0</v>
      </c>
      <c r="EW28" t="s">
        <v>248</v>
      </c>
      <c r="EX28" t="s">
        <v>193</v>
      </c>
      <c r="EY28">
        <v>-159</v>
      </c>
      <c r="EZ28" t="s">
        <v>253</v>
      </c>
      <c r="FA28">
        <v>934</v>
      </c>
      <c r="FB28" t="s">
        <v>113</v>
      </c>
      <c r="FC28" t="s">
        <v>780</v>
      </c>
      <c r="FD28" s="39">
        <f t="shared" si="57"/>
        <v>13.779037984516089</v>
      </c>
      <c r="FE28" s="39">
        <f t="shared" si="61"/>
        <v>13.779049128497764</v>
      </c>
      <c r="FF28" s="39">
        <f t="shared" si="58"/>
        <v>-0.12893619828632466</v>
      </c>
      <c r="FG28" s="39">
        <f t="shared" si="59"/>
        <v>-0.12892505430465084</v>
      </c>
    </row>
    <row r="29" spans="1:163" ht="15.75" x14ac:dyDescent="0.25">
      <c r="A29" s="3" t="s">
        <v>287</v>
      </c>
      <c r="B29" s="3" t="s">
        <v>287</v>
      </c>
      <c r="C29" s="3" t="s">
        <v>818</v>
      </c>
      <c r="D29" s="3" t="s">
        <v>818</v>
      </c>
      <c r="E29" s="3" t="s">
        <v>1100</v>
      </c>
      <c r="F29" s="3" t="s">
        <v>1027</v>
      </c>
      <c r="G29" s="3" t="s">
        <v>774</v>
      </c>
      <c r="H29" s="3" t="str">
        <f t="shared" si="0"/>
        <v>CW_3_Section_2</v>
      </c>
      <c r="I29" s="3" t="str">
        <f t="shared" si="1"/>
        <v>CW_3_MF06</v>
      </c>
      <c r="J29" s="3" t="s">
        <v>1497</v>
      </c>
      <c r="K29" s="3" t="s">
        <v>1484</v>
      </c>
      <c r="L29" s="11" t="s">
        <v>1101</v>
      </c>
      <c r="M29" s="3" t="s">
        <v>1024</v>
      </c>
      <c r="N29" s="3" t="s">
        <v>1024</v>
      </c>
      <c r="O29" s="12" t="s">
        <v>1016</v>
      </c>
      <c r="P29" s="3" t="s">
        <v>1102</v>
      </c>
      <c r="Q29" s="3" t="s">
        <v>1018</v>
      </c>
      <c r="R29" s="3" t="s">
        <v>1051</v>
      </c>
      <c r="S29" s="3" t="str">
        <f t="shared" si="2"/>
        <v>T0_0.60-0.80</v>
      </c>
      <c r="T29" s="13" t="s">
        <v>1052</v>
      </c>
      <c r="U29" s="3" t="s">
        <v>1053</v>
      </c>
      <c r="V29" s="3">
        <v>150</v>
      </c>
      <c r="W29" s="3">
        <v>65</v>
      </c>
      <c r="X29" s="3">
        <v>5.8</v>
      </c>
      <c r="Y29" s="3">
        <v>28</v>
      </c>
      <c r="Z29" t="s">
        <v>254</v>
      </c>
      <c r="AA29" t="s">
        <v>255</v>
      </c>
      <c r="AB29" s="1">
        <v>45518</v>
      </c>
      <c r="AC29">
        <v>11</v>
      </c>
      <c r="AD29">
        <v>9.5</v>
      </c>
      <c r="AE29">
        <v>570</v>
      </c>
      <c r="AF29" s="37">
        <f t="shared" si="17"/>
        <v>0.21892203303034183</v>
      </c>
      <c r="AG29">
        <v>31</v>
      </c>
      <c r="AH29" s="37">
        <f t="shared" si="18"/>
        <v>1.2112003472975906E-2</v>
      </c>
      <c r="AI29">
        <v>350</v>
      </c>
      <c r="AJ29" s="37">
        <f t="shared" si="19"/>
        <v>0.13845719129697656</v>
      </c>
      <c r="AK29">
        <v>150</v>
      </c>
      <c r="AL29" s="37">
        <f t="shared" si="20"/>
        <v>5.9338796270132804E-2</v>
      </c>
      <c r="AM29">
        <v>150</v>
      </c>
      <c r="AN29" s="37">
        <f t="shared" si="21"/>
        <v>5.9338796270132804E-2</v>
      </c>
      <c r="AO29">
        <v>300</v>
      </c>
      <c r="AQ29" s="59">
        <v>1251</v>
      </c>
      <c r="AR29" s="59">
        <f t="shared" si="22"/>
        <v>0.36949122780029431</v>
      </c>
      <c r="AS29">
        <v>2000</v>
      </c>
      <c r="AT29" s="37">
        <f t="shared" si="23"/>
        <v>0.74900522743231646</v>
      </c>
      <c r="AU29" t="s">
        <v>151</v>
      </c>
      <c r="AV29" t="s">
        <v>109</v>
      </c>
      <c r="AW29" t="s">
        <v>257</v>
      </c>
      <c r="AX29" t="s">
        <v>221</v>
      </c>
      <c r="AY29" t="s">
        <v>80</v>
      </c>
      <c r="AZ29" t="s">
        <v>78</v>
      </c>
      <c r="BA29" t="s">
        <v>140</v>
      </c>
      <c r="BB29" t="s">
        <v>151</v>
      </c>
      <c r="BC29" t="s">
        <v>104</v>
      </c>
      <c r="BD29">
        <v>11</v>
      </c>
      <c r="BE29" t="s">
        <v>121</v>
      </c>
      <c r="BF29" t="s">
        <v>123</v>
      </c>
      <c r="BG29">
        <v>27</v>
      </c>
      <c r="BH29">
        <v>5</v>
      </c>
      <c r="BI29" t="s">
        <v>258</v>
      </c>
      <c r="BJ29" t="s">
        <v>789</v>
      </c>
      <c r="BK29">
        <v>5</v>
      </c>
      <c r="BL29" t="s">
        <v>783</v>
      </c>
      <c r="BM29" t="s">
        <v>63</v>
      </c>
      <c r="BN29" t="s">
        <v>63</v>
      </c>
      <c r="BO29" s="58">
        <v>900</v>
      </c>
      <c r="BP29" s="58">
        <v>47</v>
      </c>
      <c r="BQ29" s="58">
        <v>4</v>
      </c>
      <c r="BR29" s="58">
        <v>2</v>
      </c>
      <c r="BS29" s="58">
        <v>7.3</v>
      </c>
      <c r="BT29" s="58">
        <v>1.4</v>
      </c>
      <c r="BU29" s="58">
        <v>0.06</v>
      </c>
      <c r="BV29" s="58">
        <v>0.03</v>
      </c>
      <c r="BW29" s="31">
        <f t="shared" si="24"/>
        <v>0.33705235234454245</v>
      </c>
      <c r="BX29" s="31">
        <f t="shared" si="25"/>
        <v>1.7294171758985479E-2</v>
      </c>
      <c r="BY29" s="31">
        <f t="shared" si="26"/>
        <v>1.5044419946825757E-3</v>
      </c>
      <c r="BZ29" s="31">
        <f t="shared" si="27"/>
        <v>7.4599927806521475E-4</v>
      </c>
      <c r="CA29" s="31">
        <f t="shared" si="28"/>
        <v>2.7032486113448911E-3</v>
      </c>
      <c r="CB29" s="31">
        <f t="shared" si="29"/>
        <v>5.1843124053189689E-4</v>
      </c>
      <c r="CC29" s="31">
        <f t="shared" si="30"/>
        <v>2.1953028430160689E-5</v>
      </c>
      <c r="CD29" s="31">
        <f t="shared" si="31"/>
        <v>1.0976514215080345E-5</v>
      </c>
      <c r="CE29">
        <v>1E-3</v>
      </c>
      <c r="CF29">
        <v>1E-3</v>
      </c>
      <c r="CG29">
        <v>2E-3</v>
      </c>
      <c r="CH29">
        <v>1E-3</v>
      </c>
      <c r="CI29">
        <v>1E-3</v>
      </c>
      <c r="CK29">
        <v>2E-3</v>
      </c>
      <c r="CL29">
        <v>1E-3</v>
      </c>
      <c r="CM29">
        <v>1E-3</v>
      </c>
      <c r="CN29" s="58">
        <f t="shared" si="60"/>
        <v>961.78999999999985</v>
      </c>
      <c r="CO29" s="58">
        <f t="shared" si="32"/>
        <v>61.79</v>
      </c>
      <c r="CP29" s="31">
        <f t="shared" si="33"/>
        <v>0.35985157477079777</v>
      </c>
      <c r="CQ29" s="31">
        <f t="shared" si="34"/>
        <v>2.2799222426255292E-2</v>
      </c>
      <c r="CR29">
        <v>950</v>
      </c>
      <c r="CS29">
        <v>3000</v>
      </c>
      <c r="CT29">
        <v>750</v>
      </c>
      <c r="CU29" t="s">
        <v>69</v>
      </c>
      <c r="CV29" t="s">
        <v>69</v>
      </c>
      <c r="CW29">
        <v>3700</v>
      </c>
      <c r="CX29" s="2">
        <f t="shared" si="3"/>
        <v>2201</v>
      </c>
      <c r="CZ29">
        <v>66</v>
      </c>
      <c r="DA29" t="s">
        <v>62</v>
      </c>
      <c r="DB29" t="s">
        <v>88</v>
      </c>
      <c r="DC29" t="s">
        <v>782</v>
      </c>
      <c r="DD29" s="37">
        <f t="shared" si="4"/>
        <v>12.207370393504059</v>
      </c>
      <c r="DE29" s="37">
        <f t="shared" ref="DE29:DE75" si="63">$ED29*(55.84/96.06)</f>
        <v>12.207370393504059</v>
      </c>
      <c r="DF29" s="37">
        <v>1.8</v>
      </c>
      <c r="DG29" s="37">
        <f t="shared" si="5"/>
        <v>3.222918531781558E-2</v>
      </c>
      <c r="DH29" s="37">
        <f t="shared" si="36"/>
        <v>3.222918531781558E-2</v>
      </c>
      <c r="DI29" s="37">
        <f t="shared" si="6"/>
        <v>14.007370393504059</v>
      </c>
      <c r="DJ29" s="37">
        <f t="shared" si="37"/>
        <v>0.25080340901529202</v>
      </c>
      <c r="DK29" s="37">
        <f t="shared" si="38"/>
        <v>0.25080340901529202</v>
      </c>
      <c r="DL29" s="55">
        <f t="shared" si="39"/>
        <v>-1.7439100562148657</v>
      </c>
      <c r="DN29" s="37">
        <f t="shared" si="40"/>
        <v>1.8</v>
      </c>
      <c r="DO29" s="55">
        <f t="shared" si="41"/>
        <v>3.222918531781558E-2</v>
      </c>
      <c r="DP29" s="55">
        <f t="shared" si="42"/>
        <v>3.222918531781558E-2</v>
      </c>
      <c r="DQ29" s="37">
        <v>2.1</v>
      </c>
      <c r="DR29" s="37">
        <f t="shared" si="43"/>
        <v>3.8230475150191151E-2</v>
      </c>
      <c r="DS29" s="37">
        <f t="shared" si="44"/>
        <v>7.6460950300382302E-2</v>
      </c>
      <c r="DT29" s="37">
        <f t="shared" si="7"/>
        <v>6.5603005986714242</v>
      </c>
      <c r="DU29" s="37">
        <f t="shared" si="8"/>
        <v>3.2801502993357121</v>
      </c>
      <c r="DV29" s="37">
        <f t="shared" si="45"/>
        <v>16.107370393504059</v>
      </c>
      <c r="DW29" s="37">
        <f t="shared" si="9"/>
        <v>0.32726435931567432</v>
      </c>
      <c r="DX29">
        <v>24</v>
      </c>
      <c r="DY29">
        <v>1</v>
      </c>
      <c r="DZ29" s="29">
        <f t="shared" si="46"/>
        <v>1</v>
      </c>
      <c r="EA29" s="30">
        <v>1.7000000000000001E-2</v>
      </c>
      <c r="EB29" s="30">
        <f t="shared" si="47"/>
        <v>2.741935483870968E-4</v>
      </c>
      <c r="EC29" s="30">
        <f t="shared" si="48"/>
        <v>1.370967741935484E-3</v>
      </c>
      <c r="ED29" s="31">
        <f t="shared" si="10"/>
        <v>21</v>
      </c>
      <c r="EE29" s="33">
        <f t="shared" si="49"/>
        <v>28.767123287671232</v>
      </c>
      <c r="EF29" s="37">
        <f t="shared" si="11"/>
        <v>1.7489069331667708</v>
      </c>
      <c r="EG29" s="37">
        <f>$EK27-EK29</f>
        <v>-3</v>
      </c>
      <c r="EH29" s="33">
        <f>(EG29/$EK27)*100</f>
        <v>-6.1224489795918364</v>
      </c>
      <c r="EI29" s="37">
        <f t="shared" si="62"/>
        <v>-0.24984384759525297</v>
      </c>
      <c r="EJ29" s="37"/>
      <c r="EK29" s="31">
        <v>52</v>
      </c>
      <c r="EL29" s="31">
        <f t="shared" si="50"/>
        <v>0.54132833645638145</v>
      </c>
      <c r="EM29" s="31">
        <f t="shared" si="51"/>
        <v>4.3306266916510516</v>
      </c>
      <c r="EN29" s="32">
        <f t="shared" si="13"/>
        <v>4.3319976593929868</v>
      </c>
      <c r="EO29" s="39">
        <f t="shared" si="52"/>
        <v>2.0761712924824449</v>
      </c>
      <c r="EP29" s="37">
        <f t="shared" si="14"/>
        <v>3.6827862217938274E-2</v>
      </c>
      <c r="EQ29" s="37">
        <f t="shared" si="15"/>
        <v>0.12080092327806459</v>
      </c>
      <c r="ER29" s="37">
        <f t="shared" si="16"/>
        <v>0.84237121450399721</v>
      </c>
      <c r="ES29" s="39">
        <f t="shared" si="53"/>
        <v>0.10869013561819788</v>
      </c>
      <c r="ET29" s="55">
        <f t="shared" si="54"/>
        <v>29.652355418001232</v>
      </c>
      <c r="EU29" s="55">
        <f t="shared" si="55"/>
        <v>70.347644581998779</v>
      </c>
      <c r="EV29" s="55">
        <f t="shared" si="56"/>
        <v>0</v>
      </c>
      <c r="EW29" t="s">
        <v>125</v>
      </c>
      <c r="EX29" t="s">
        <v>110</v>
      </c>
      <c r="EY29">
        <v>-163</v>
      </c>
      <c r="EZ29" t="s">
        <v>259</v>
      </c>
      <c r="FA29">
        <v>1064</v>
      </c>
      <c r="FB29" t="s">
        <v>113</v>
      </c>
      <c r="FC29" t="s">
        <v>780</v>
      </c>
      <c r="FD29" s="39">
        <f t="shared" si="57"/>
        <v>-0.95767483724983427</v>
      </c>
      <c r="FE29" s="39">
        <f t="shared" si="61"/>
        <v>-0.93487561482357906</v>
      </c>
      <c r="FF29" s="39">
        <f t="shared" si="58"/>
        <v>1.0098063196144127</v>
      </c>
      <c r="FG29" s="39">
        <f t="shared" si="59"/>
        <v>1.0326055420406679</v>
      </c>
    </row>
    <row r="30" spans="1:163" s="37" customFormat="1" ht="15.75" x14ac:dyDescent="0.25">
      <c r="A30" s="34" t="s">
        <v>288</v>
      </c>
      <c r="B30" s="34" t="s">
        <v>288</v>
      </c>
      <c r="C30" s="34" t="s">
        <v>819</v>
      </c>
      <c r="D30" s="34" t="s">
        <v>819</v>
      </c>
      <c r="E30" s="34" t="s">
        <v>1103</v>
      </c>
      <c r="F30" s="34" t="s">
        <v>1034</v>
      </c>
      <c r="G30" s="34" t="s">
        <v>774</v>
      </c>
      <c r="H30" s="34" t="str">
        <f t="shared" si="0"/>
        <v>CW_3_Section_3</v>
      </c>
      <c r="I30" s="34" t="str">
        <f t="shared" si="1"/>
        <v>CW_3_MF09</v>
      </c>
      <c r="J30" s="34" t="s">
        <v>1492</v>
      </c>
      <c r="K30" s="34" t="s">
        <v>1484</v>
      </c>
      <c r="L30" s="47" t="s">
        <v>1104</v>
      </c>
      <c r="M30" s="34" t="s">
        <v>1015</v>
      </c>
      <c r="N30" s="34" t="s">
        <v>1015</v>
      </c>
      <c r="O30" s="35" t="s">
        <v>1016</v>
      </c>
      <c r="P30" s="34" t="s">
        <v>1105</v>
      </c>
      <c r="Q30" s="34" t="s">
        <v>1018</v>
      </c>
      <c r="R30" s="34" t="s">
        <v>1051</v>
      </c>
      <c r="S30" s="34" t="str">
        <f t="shared" si="2"/>
        <v>T0_0.15-0.30</v>
      </c>
      <c r="T30" s="36" t="s">
        <v>1052</v>
      </c>
      <c r="U30" s="34" t="s">
        <v>1053</v>
      </c>
      <c r="V30" s="34">
        <v>150</v>
      </c>
      <c r="W30" s="34">
        <v>65</v>
      </c>
      <c r="X30" s="34">
        <v>24</v>
      </c>
      <c r="Y30" s="34">
        <v>29</v>
      </c>
      <c r="Z30" s="37" t="s">
        <v>260</v>
      </c>
      <c r="AA30" s="37" t="s">
        <v>261</v>
      </c>
      <c r="AB30" s="38">
        <v>45518</v>
      </c>
      <c r="AC30" s="37">
        <v>39</v>
      </c>
      <c r="AD30" s="37">
        <v>39</v>
      </c>
      <c r="AE30" s="37">
        <v>6.6</v>
      </c>
      <c r="AF30" s="37">
        <f t="shared" si="17"/>
        <v>2.534886698246063E-3</v>
      </c>
      <c r="AG30" s="37">
        <v>0.1</v>
      </c>
      <c r="AH30" s="37">
        <f t="shared" si="18"/>
        <v>3.9070978945083576E-5</v>
      </c>
      <c r="AI30" s="37">
        <v>2.2999999999999998</v>
      </c>
      <c r="AJ30" s="37">
        <f t="shared" si="19"/>
        <v>9.0986154280870292E-4</v>
      </c>
      <c r="AK30" s="37">
        <v>0.1</v>
      </c>
      <c r="AL30" s="37">
        <f t="shared" si="20"/>
        <v>3.9559197513421869E-5</v>
      </c>
      <c r="AM30" s="37">
        <v>0.2</v>
      </c>
      <c r="AN30" s="37">
        <f t="shared" si="21"/>
        <v>7.9118395026843739E-5</v>
      </c>
      <c r="AO30" s="37">
        <v>2.1</v>
      </c>
      <c r="AQ30" s="59">
        <v>11.7</v>
      </c>
      <c r="AR30" s="59">
        <f t="shared" si="22"/>
        <v>3.4838192199998495E-3</v>
      </c>
      <c r="AS30" s="37">
        <v>18</v>
      </c>
      <c r="AT30" s="37">
        <f t="shared" si="23"/>
        <v>6.7410470468908471E-3</v>
      </c>
      <c r="AU30" s="37" t="s">
        <v>169</v>
      </c>
      <c r="AV30" s="37" t="s">
        <v>113</v>
      </c>
      <c r="AW30" s="37" t="s">
        <v>221</v>
      </c>
      <c r="AX30" s="37" t="s">
        <v>171</v>
      </c>
      <c r="AY30" s="37" t="s">
        <v>230</v>
      </c>
      <c r="AZ30" s="37" t="s">
        <v>88</v>
      </c>
      <c r="BA30" s="37" t="s">
        <v>88</v>
      </c>
      <c r="BB30" s="37" t="s">
        <v>88</v>
      </c>
      <c r="BC30" s="37" t="s">
        <v>88</v>
      </c>
      <c r="BD30" s="37" t="s">
        <v>62</v>
      </c>
      <c r="BE30" s="37" t="s">
        <v>88</v>
      </c>
      <c r="BF30" s="37" t="s">
        <v>88</v>
      </c>
      <c r="BG30" s="37" t="s">
        <v>513</v>
      </c>
      <c r="BH30" s="37" t="s">
        <v>88</v>
      </c>
      <c r="BI30" s="37" t="s">
        <v>87</v>
      </c>
      <c r="BJ30" s="37" t="s">
        <v>88</v>
      </c>
      <c r="BK30" s="37" t="s">
        <v>68</v>
      </c>
      <c r="BL30" s="37" t="s">
        <v>88</v>
      </c>
      <c r="BM30" s="37" t="s">
        <v>87</v>
      </c>
      <c r="BN30" s="37" t="s">
        <v>62</v>
      </c>
      <c r="BO30" s="58">
        <v>8.3000000000000007</v>
      </c>
      <c r="BP30" s="58">
        <v>0.41</v>
      </c>
      <c r="BQ30" s="58">
        <v>0.21</v>
      </c>
      <c r="BR30" s="58">
        <v>7.0000000000000007E-2</v>
      </c>
      <c r="BS30" s="58">
        <v>0.04</v>
      </c>
      <c r="BT30" s="58">
        <v>1E-3</v>
      </c>
      <c r="BU30" s="58">
        <v>1E-3</v>
      </c>
      <c r="BV30" s="58">
        <v>2E-3</v>
      </c>
      <c r="BW30" s="31">
        <f t="shared" si="24"/>
        <v>3.1083716938441136E-3</v>
      </c>
      <c r="BX30" s="31">
        <f t="shared" si="25"/>
        <v>1.5086405151455416E-4</v>
      </c>
      <c r="BY30" s="31">
        <f t="shared" si="26"/>
        <v>7.8983204720835227E-5</v>
      </c>
      <c r="BZ30" s="31">
        <f t="shared" si="27"/>
        <v>2.6109974732282519E-5</v>
      </c>
      <c r="CA30" s="31">
        <f t="shared" si="28"/>
        <v>1.4812321158054199E-5</v>
      </c>
      <c r="CB30" s="31">
        <f t="shared" si="29"/>
        <v>3.7030802895135499E-7</v>
      </c>
      <c r="CC30" s="31">
        <f t="shared" si="30"/>
        <v>3.6588380716934485E-7</v>
      </c>
      <c r="CD30" s="31">
        <f t="shared" si="31"/>
        <v>7.3176761433868969E-7</v>
      </c>
      <c r="CE30" s="37">
        <v>1E-3</v>
      </c>
      <c r="CF30" s="37">
        <v>1E-3</v>
      </c>
      <c r="CG30" s="37">
        <v>2E-3</v>
      </c>
      <c r="CH30" s="37">
        <v>1E-3</v>
      </c>
      <c r="CI30" s="37">
        <v>1E-3</v>
      </c>
      <c r="CK30" s="37">
        <v>2E-3</v>
      </c>
      <c r="CL30" s="37">
        <v>1E-3</v>
      </c>
      <c r="CM30" s="37">
        <v>1E-3</v>
      </c>
      <c r="CN30" s="58">
        <f t="shared" si="60"/>
        <v>9.0340000000000007</v>
      </c>
      <c r="CO30" s="58">
        <f t="shared" si="32"/>
        <v>0.73399999999999999</v>
      </c>
      <c r="CP30" s="31">
        <f t="shared" si="33"/>
        <v>3.380609205420299E-3</v>
      </c>
      <c r="CQ30" s="31">
        <f t="shared" si="34"/>
        <v>2.7223751157618548E-4</v>
      </c>
      <c r="CR30" s="37">
        <v>9</v>
      </c>
      <c r="CS30" s="37" t="s">
        <v>69</v>
      </c>
      <c r="CT30" s="37" t="s">
        <v>69</v>
      </c>
      <c r="CU30" s="37" t="s">
        <v>69</v>
      </c>
      <c r="CV30" s="37" t="s">
        <v>69</v>
      </c>
      <c r="CW30" s="37">
        <v>5</v>
      </c>
      <c r="CX30" s="40">
        <f t="shared" si="3"/>
        <v>20.7</v>
      </c>
      <c r="CZ30" s="37">
        <v>16</v>
      </c>
      <c r="DA30" s="37" t="s">
        <v>62</v>
      </c>
      <c r="DB30" s="37" t="s">
        <v>88</v>
      </c>
      <c r="DC30" s="37" t="s">
        <v>782</v>
      </c>
      <c r="DD30" s="37">
        <f t="shared" si="4"/>
        <v>42.144493025192588</v>
      </c>
      <c r="DE30" s="37">
        <f t="shared" si="63"/>
        <v>42.144493025192588</v>
      </c>
      <c r="DF30" s="37">
        <v>24</v>
      </c>
      <c r="DG30" s="37">
        <f t="shared" si="5"/>
        <v>0.42972247090420768</v>
      </c>
      <c r="DH30" s="37">
        <f t="shared" si="36"/>
        <v>0.42972247090420768</v>
      </c>
      <c r="DI30" s="37">
        <f t="shared" si="6"/>
        <v>66.144493025192588</v>
      </c>
      <c r="DJ30" s="37">
        <f t="shared" si="37"/>
        <v>1.1843239574788287</v>
      </c>
      <c r="DK30" s="37">
        <f t="shared" si="38"/>
        <v>1.1843239574788287</v>
      </c>
      <c r="DL30" s="55">
        <f t="shared" si="39"/>
        <v>139.22215282115343</v>
      </c>
      <c r="DM30" s="55">
        <f t="shared" si="39"/>
        <v>139.22215282115343</v>
      </c>
      <c r="DN30" s="37">
        <f t="shared" si="40"/>
        <v>163.22215282115343</v>
      </c>
      <c r="DO30" s="55">
        <f t="shared" si="41"/>
        <v>2.9225094506920937</v>
      </c>
      <c r="DP30" s="55">
        <f t="shared" si="42"/>
        <v>2.9225094506920937</v>
      </c>
      <c r="DQ30" s="37">
        <v>5.8</v>
      </c>
      <c r="DR30" s="37">
        <f t="shared" si="43"/>
        <v>0.10558893136719461</v>
      </c>
      <c r="DS30" s="37">
        <f t="shared" si="44"/>
        <v>0.21117786273438921</v>
      </c>
      <c r="DT30" s="37">
        <f t="shared" si="7"/>
        <v>11.216364652467597</v>
      </c>
      <c r="DU30" s="37">
        <f t="shared" si="8"/>
        <v>5.6081823262337984</v>
      </c>
      <c r="DV30" s="37">
        <f t="shared" si="45"/>
        <v>71.944493025192585</v>
      </c>
      <c r="DW30" s="37">
        <f t="shared" si="9"/>
        <v>1.3955018202132179</v>
      </c>
      <c r="DX30" s="37" t="s">
        <v>51</v>
      </c>
      <c r="DY30" s="37">
        <v>3</v>
      </c>
      <c r="DZ30" s="37">
        <f t="shared" si="46"/>
        <v>1</v>
      </c>
      <c r="EA30" s="37">
        <v>1.7000000000000001E-2</v>
      </c>
      <c r="EB30" s="37">
        <f t="shared" si="47"/>
        <v>2.741935483870968E-4</v>
      </c>
      <c r="EC30" s="37">
        <f t="shared" si="48"/>
        <v>1.370967741935484E-3</v>
      </c>
      <c r="ED30" s="37">
        <f t="shared" si="10"/>
        <v>72.5</v>
      </c>
      <c r="EE30" s="39">
        <f t="shared" si="49"/>
        <v>99.315068493150676</v>
      </c>
      <c r="EF30" s="37">
        <f t="shared" si="11"/>
        <v>6.0378929835519468</v>
      </c>
      <c r="EG30" s="37">
        <f>$EK28-EK30</f>
        <v>239.5</v>
      </c>
      <c r="EH30" s="33">
        <f>(EG30/$EK28)*100</f>
        <v>99.791666666666671</v>
      </c>
      <c r="EI30" s="37">
        <f t="shared" si="62"/>
        <v>19.945867166354361</v>
      </c>
      <c r="EJ30" s="37">
        <f t="shared" ref="EJ30:EJ40" si="64">($EG30/96.06)*8</f>
        <v>19.945867166354361</v>
      </c>
      <c r="EK30" s="37">
        <v>0.5</v>
      </c>
      <c r="EL30" s="37">
        <f t="shared" si="50"/>
        <v>5.2050801582344368E-3</v>
      </c>
      <c r="EM30" s="37">
        <f t="shared" si="51"/>
        <v>4.1640641265875494E-2</v>
      </c>
      <c r="EN30" s="37">
        <f t="shared" si="13"/>
        <v>4.301160900781098E-2</v>
      </c>
      <c r="EO30" s="39">
        <f t="shared" si="52"/>
        <v>7.4333948037651645</v>
      </c>
      <c r="EP30" s="37">
        <f t="shared" si="14"/>
        <v>2.8409343013426833E-2</v>
      </c>
      <c r="EQ30" s="37">
        <f t="shared" si="15"/>
        <v>0.159324775387814</v>
      </c>
      <c r="ER30" s="37">
        <f t="shared" si="16"/>
        <v>0.81226588159875923</v>
      </c>
      <c r="ES30" s="39">
        <f t="shared" si="53"/>
        <v>23.079554479780846</v>
      </c>
      <c r="ET30" s="55">
        <f t="shared" si="54"/>
        <v>12.662763716918354</v>
      </c>
      <c r="EU30" s="55">
        <f t="shared" si="55"/>
        <v>0.91499973675572643</v>
      </c>
      <c r="EV30" s="55">
        <f t="shared" si="56"/>
        <v>86.422236546325919</v>
      </c>
      <c r="EW30" s="37" t="s">
        <v>252</v>
      </c>
      <c r="EX30" s="37">
        <v>24</v>
      </c>
      <c r="EY30" s="37">
        <v>-117</v>
      </c>
      <c r="EZ30" s="37" t="s">
        <v>234</v>
      </c>
      <c r="FA30" s="37">
        <v>1036</v>
      </c>
      <c r="FB30" s="37" t="s">
        <v>72</v>
      </c>
      <c r="FC30" s="37" t="s">
        <v>780</v>
      </c>
      <c r="FD30" s="39">
        <f t="shared" si="57"/>
        <v>-7.4231699374982734</v>
      </c>
      <c r="FE30" s="39">
        <f t="shared" si="61"/>
        <v>-7.4228976999866978</v>
      </c>
      <c r="FF30" s="39">
        <f t="shared" si="58"/>
        <v>-23.069329613513954</v>
      </c>
      <c r="FG30" s="39">
        <f t="shared" si="59"/>
        <v>-23.06905737600238</v>
      </c>
    </row>
    <row r="31" spans="1:163" s="29" customFormat="1" ht="15.75" x14ac:dyDescent="0.25">
      <c r="A31" s="48" t="s">
        <v>289</v>
      </c>
      <c r="B31" s="48" t="s">
        <v>289</v>
      </c>
      <c r="C31" s="48" t="s">
        <v>820</v>
      </c>
      <c r="D31" s="48" t="s">
        <v>820</v>
      </c>
      <c r="E31" s="48" t="s">
        <v>1106</v>
      </c>
      <c r="F31" s="48" t="s">
        <v>1034</v>
      </c>
      <c r="G31" s="48" t="s">
        <v>774</v>
      </c>
      <c r="H31" s="48" t="str">
        <f t="shared" si="0"/>
        <v>CW_3_Section_3</v>
      </c>
      <c r="I31" s="48" t="str">
        <f t="shared" si="1"/>
        <v>CW_3_MF10</v>
      </c>
      <c r="J31" s="48" t="s">
        <v>1493</v>
      </c>
      <c r="K31" s="48" t="s">
        <v>1484</v>
      </c>
      <c r="L31" s="49" t="s">
        <v>1107</v>
      </c>
      <c r="M31" s="48" t="s">
        <v>1024</v>
      </c>
      <c r="N31" s="48" t="s">
        <v>1024</v>
      </c>
      <c r="O31" s="50" t="s">
        <v>1016</v>
      </c>
      <c r="P31" s="48" t="s">
        <v>1108</v>
      </c>
      <c r="Q31" s="48" t="s">
        <v>1018</v>
      </c>
      <c r="R31" s="48" t="s">
        <v>1051</v>
      </c>
      <c r="S31" s="48" t="str">
        <f t="shared" si="2"/>
        <v>T0_0.60-0.80</v>
      </c>
      <c r="T31" s="51" t="s">
        <v>1052</v>
      </c>
      <c r="U31" s="48" t="s">
        <v>1053</v>
      </c>
      <c r="V31" s="48">
        <v>150</v>
      </c>
      <c r="W31" s="48">
        <v>65</v>
      </c>
      <c r="X31" s="48">
        <v>10.55</v>
      </c>
      <c r="Y31" s="48">
        <v>30</v>
      </c>
      <c r="Z31" s="29" t="s">
        <v>263</v>
      </c>
      <c r="AA31" s="29" t="s">
        <v>264</v>
      </c>
      <c r="AB31" s="52">
        <v>45518</v>
      </c>
      <c r="AC31" s="29">
        <v>10</v>
      </c>
      <c r="AD31" s="29">
        <v>11</v>
      </c>
      <c r="AE31" s="29">
        <v>630</v>
      </c>
      <c r="AF31" s="37">
        <f t="shared" si="17"/>
        <v>0.24196645755985149</v>
      </c>
      <c r="AG31" s="29">
        <v>18</v>
      </c>
      <c r="AH31" s="37">
        <f t="shared" si="18"/>
        <v>7.0327762101150427E-3</v>
      </c>
      <c r="AI31" s="29">
        <v>370</v>
      </c>
      <c r="AJ31" s="37">
        <f t="shared" si="19"/>
        <v>0.14636903079966093</v>
      </c>
      <c r="AK31" s="29">
        <v>140</v>
      </c>
      <c r="AL31" s="37">
        <f t="shared" si="20"/>
        <v>5.5382876518790619E-2</v>
      </c>
      <c r="AM31" s="29">
        <v>120</v>
      </c>
      <c r="AN31" s="37">
        <f t="shared" si="21"/>
        <v>4.7471037016106249E-2</v>
      </c>
      <c r="AO31" s="29">
        <v>260</v>
      </c>
      <c r="AQ31" s="59">
        <v>1278</v>
      </c>
      <c r="AR31" s="59">
        <f t="shared" si="22"/>
        <v>0.39536826456962748</v>
      </c>
      <c r="AS31" s="29">
        <v>2100</v>
      </c>
      <c r="AT31" s="37">
        <f t="shared" si="23"/>
        <v>0.78645548880393235</v>
      </c>
      <c r="AU31" s="29" t="s">
        <v>59</v>
      </c>
      <c r="AV31" s="29" t="s">
        <v>191</v>
      </c>
      <c r="AW31" s="29" t="s">
        <v>207</v>
      </c>
      <c r="AX31" s="29" t="s">
        <v>88</v>
      </c>
      <c r="AY31" s="29" t="s">
        <v>65</v>
      </c>
      <c r="AZ31" s="29" t="s">
        <v>116</v>
      </c>
      <c r="BA31" s="29" t="s">
        <v>123</v>
      </c>
      <c r="BB31" s="29" t="s">
        <v>265</v>
      </c>
      <c r="BC31" s="29" t="s">
        <v>76</v>
      </c>
      <c r="BD31" s="29">
        <v>14</v>
      </c>
      <c r="BE31" s="29" t="s">
        <v>100</v>
      </c>
      <c r="BF31" s="29">
        <v>3</v>
      </c>
      <c r="BG31" s="29">
        <v>36</v>
      </c>
      <c r="BH31" s="29">
        <v>7</v>
      </c>
      <c r="BI31" s="29" t="s">
        <v>785</v>
      </c>
      <c r="BJ31" s="29" t="s">
        <v>180</v>
      </c>
      <c r="BK31" s="29">
        <v>7</v>
      </c>
      <c r="BL31" s="29" t="s">
        <v>789</v>
      </c>
      <c r="BM31" s="29" t="s">
        <v>213</v>
      </c>
      <c r="BN31" s="29" t="s">
        <v>213</v>
      </c>
      <c r="BO31" s="58">
        <v>890</v>
      </c>
      <c r="BP31" s="58">
        <v>42</v>
      </c>
      <c r="BQ31" s="58">
        <v>4</v>
      </c>
      <c r="BR31" s="58">
        <v>2</v>
      </c>
      <c r="BS31" s="58">
        <v>2</v>
      </c>
      <c r="BT31" s="58">
        <v>0.16</v>
      </c>
      <c r="BU31" s="58">
        <v>0.05</v>
      </c>
      <c r="BV31" s="58">
        <v>0.02</v>
      </c>
      <c r="BW31" s="31">
        <f t="shared" si="24"/>
        <v>0.33330732620738079</v>
      </c>
      <c r="BX31" s="31">
        <f t="shared" si="25"/>
        <v>1.545436625271043E-2</v>
      </c>
      <c r="BY31" s="31">
        <f t="shared" si="26"/>
        <v>1.5044419946825757E-3</v>
      </c>
      <c r="BZ31" s="31">
        <f t="shared" si="27"/>
        <v>7.4599927806521475E-4</v>
      </c>
      <c r="CA31" s="31">
        <f t="shared" si="28"/>
        <v>7.4061605790271001E-4</v>
      </c>
      <c r="CB31" s="31">
        <f t="shared" si="29"/>
        <v>5.9249284632216798E-5</v>
      </c>
      <c r="CC31" s="31">
        <f t="shared" si="30"/>
        <v>1.8294190358467248E-5</v>
      </c>
      <c r="CD31" s="31">
        <f t="shared" si="31"/>
        <v>7.3176761433868973E-6</v>
      </c>
      <c r="CE31" s="29">
        <v>1E-3</v>
      </c>
      <c r="CF31" s="29">
        <v>1E-3</v>
      </c>
      <c r="CG31" s="29">
        <v>2E-3</v>
      </c>
      <c r="CH31" s="29">
        <v>1E-3</v>
      </c>
      <c r="CI31" s="29">
        <v>1E-3</v>
      </c>
      <c r="CK31" s="29">
        <v>2E-3</v>
      </c>
      <c r="CL31" s="29">
        <v>1E-3</v>
      </c>
      <c r="CM31" s="29">
        <v>1E-3</v>
      </c>
      <c r="CN31" s="58">
        <f t="shared" si="60"/>
        <v>940.2299999999999</v>
      </c>
      <c r="CO31" s="58">
        <f t="shared" si="32"/>
        <v>50.23</v>
      </c>
      <c r="CP31" s="31">
        <f t="shared" si="33"/>
        <v>0.35183761094187577</v>
      </c>
      <c r="CQ31" s="31">
        <f t="shared" si="34"/>
        <v>1.8530284734495001E-2</v>
      </c>
      <c r="CR31" s="29">
        <v>930</v>
      </c>
      <c r="CS31" s="29">
        <v>3100</v>
      </c>
      <c r="CT31" s="29">
        <v>600</v>
      </c>
      <c r="CU31" s="29" t="s">
        <v>69</v>
      </c>
      <c r="CV31" s="29" t="s">
        <v>69</v>
      </c>
      <c r="CW31" s="29">
        <v>3700</v>
      </c>
      <c r="CX31" s="54">
        <f t="shared" si="3"/>
        <v>2208</v>
      </c>
      <c r="CZ31" s="29">
        <v>65</v>
      </c>
      <c r="DA31" s="29" t="s">
        <v>62</v>
      </c>
      <c r="DB31" s="29" t="s">
        <v>88</v>
      </c>
      <c r="DC31" s="29" t="s">
        <v>782</v>
      </c>
      <c r="DD31" s="29">
        <f t="shared" si="4"/>
        <v>15.113887153862169</v>
      </c>
      <c r="DE31" s="29">
        <f t="shared" si="63"/>
        <v>15.113887153862169</v>
      </c>
      <c r="DF31" s="29">
        <v>2.1</v>
      </c>
      <c r="DG31" s="29">
        <f t="shared" si="5"/>
        <v>3.7600716204118173E-2</v>
      </c>
      <c r="DH31" s="29">
        <f t="shared" si="36"/>
        <v>3.7600716204118173E-2</v>
      </c>
      <c r="DI31" s="29">
        <f t="shared" si="6"/>
        <v>17.213887153862171</v>
      </c>
      <c r="DJ31" s="29">
        <f t="shared" si="37"/>
        <v>0.30821642173432712</v>
      </c>
      <c r="DK31" s="29">
        <f t="shared" si="38"/>
        <v>0.30821642173432712</v>
      </c>
      <c r="DL31" s="55">
        <f t="shared" si="39"/>
        <v>2.9065167603581092</v>
      </c>
      <c r="DM31" s="55">
        <f t="shared" si="39"/>
        <v>2.9065167603581092</v>
      </c>
      <c r="DN31" s="37">
        <f t="shared" si="40"/>
        <v>5.0065167603581093</v>
      </c>
      <c r="DO31" s="55">
        <f t="shared" si="41"/>
        <v>8.9642198036850654E-2</v>
      </c>
      <c r="DP31" s="55">
        <f t="shared" si="42"/>
        <v>8.9642198036850654E-2</v>
      </c>
      <c r="DQ31" s="29">
        <v>2.7</v>
      </c>
      <c r="DR31" s="29">
        <f t="shared" si="43"/>
        <v>4.9153468050245772E-2</v>
      </c>
      <c r="DS31" s="29">
        <f t="shared" si="44"/>
        <v>9.8306936100491543E-2</v>
      </c>
      <c r="DT31" s="29">
        <f t="shared" si="7"/>
        <v>6.2704918688394766</v>
      </c>
      <c r="DU31" s="29">
        <f t="shared" si="8"/>
        <v>3.1352459344197383</v>
      </c>
      <c r="DV31" s="29">
        <f t="shared" si="45"/>
        <v>19.91388715386217</v>
      </c>
      <c r="DW31" s="29">
        <f t="shared" si="9"/>
        <v>0.40652335783481863</v>
      </c>
      <c r="DX31" s="29">
        <v>24</v>
      </c>
      <c r="DY31" s="29" t="s">
        <v>131</v>
      </c>
      <c r="DZ31" s="29">
        <f t="shared" si="46"/>
        <v>1</v>
      </c>
      <c r="EA31" s="29">
        <v>1.7000000000000001E-2</v>
      </c>
      <c r="EB31" s="29">
        <f t="shared" si="47"/>
        <v>2.741935483870968E-4</v>
      </c>
      <c r="EC31" s="29">
        <f t="shared" si="48"/>
        <v>1.370967741935484E-3</v>
      </c>
      <c r="ED31" s="29">
        <f t="shared" si="10"/>
        <v>26</v>
      </c>
      <c r="EE31" s="53">
        <f t="shared" si="49"/>
        <v>35.61643835616438</v>
      </c>
      <c r="EF31" s="29">
        <f t="shared" si="11"/>
        <v>2.1653133458255258</v>
      </c>
      <c r="EG31" s="29">
        <f>$EK29-EK31</f>
        <v>5</v>
      </c>
      <c r="EH31" s="33">
        <f>(EG31/$EK29)*100</f>
        <v>9.6153846153846168</v>
      </c>
      <c r="EI31" s="37">
        <f t="shared" si="62"/>
        <v>0.41640641265875494</v>
      </c>
      <c r="EJ31" s="37">
        <f t="shared" si="64"/>
        <v>0.41640641265875494</v>
      </c>
      <c r="EK31" s="29">
        <v>47</v>
      </c>
      <c r="EL31" s="29">
        <f t="shared" si="50"/>
        <v>0.48927753487403702</v>
      </c>
      <c r="EM31" s="29">
        <f t="shared" si="51"/>
        <v>3.9142202789922962</v>
      </c>
      <c r="EN31" s="29">
        <f t="shared" si="13"/>
        <v>3.9155912467342318</v>
      </c>
      <c r="EO31" s="53">
        <f t="shared" si="52"/>
        <v>2.5718367036603444</v>
      </c>
      <c r="EP31" s="29">
        <f t="shared" si="14"/>
        <v>3.822440824511799E-2</v>
      </c>
      <c r="EQ31" s="29">
        <f t="shared" si="15"/>
        <v>0.1198429205461065</v>
      </c>
      <c r="ER31" s="29">
        <f t="shared" si="16"/>
        <v>0.84193267120877546</v>
      </c>
      <c r="ES31" s="39">
        <f t="shared" si="53"/>
        <v>0.60435554679609715</v>
      </c>
      <c r="ET31" s="55">
        <f t="shared" si="54"/>
        <v>14.832692197842098</v>
      </c>
      <c r="EU31" s="55">
        <f t="shared" si="55"/>
        <v>16.266407518165664</v>
      </c>
      <c r="EV31" s="55">
        <f t="shared" si="56"/>
        <v>68.900900283992243</v>
      </c>
      <c r="EW31" s="29" t="s">
        <v>191</v>
      </c>
      <c r="EX31" s="29" t="s">
        <v>266</v>
      </c>
      <c r="EY31" s="29">
        <v>-132</v>
      </c>
      <c r="EZ31" s="29" t="s">
        <v>174</v>
      </c>
      <c r="FA31" s="29">
        <v>887</v>
      </c>
      <c r="FB31" s="29">
        <v>2</v>
      </c>
      <c r="FC31" s="29" t="s">
        <v>780</v>
      </c>
      <c r="FD31" s="39">
        <f t="shared" si="57"/>
        <v>-1.3900129502867846</v>
      </c>
      <c r="FE31" s="39">
        <f t="shared" si="61"/>
        <v>-1.3714826655522896</v>
      </c>
      <c r="FF31" s="39">
        <f t="shared" si="58"/>
        <v>0.57746820657746267</v>
      </c>
      <c r="FG31" s="39">
        <f t="shared" si="59"/>
        <v>0.5959984913119577</v>
      </c>
    </row>
    <row r="32" spans="1:163" s="37" customFormat="1" ht="15.75" x14ac:dyDescent="0.25">
      <c r="A32" s="34" t="s">
        <v>290</v>
      </c>
      <c r="B32" s="34" t="s">
        <v>290</v>
      </c>
      <c r="C32" s="34" t="s">
        <v>821</v>
      </c>
      <c r="D32" s="34" t="s">
        <v>821</v>
      </c>
      <c r="E32" s="34" t="s">
        <v>1109</v>
      </c>
      <c r="F32" s="34" t="s">
        <v>1048</v>
      </c>
      <c r="G32" s="34" t="s">
        <v>1049</v>
      </c>
      <c r="H32" s="34" t="str">
        <f t="shared" si="0"/>
        <v>CW_0_Section_0</v>
      </c>
      <c r="I32" s="34" t="str">
        <f t="shared" si="1"/>
        <v>CW_0_INF</v>
      </c>
      <c r="J32" s="34" t="s">
        <v>1481</v>
      </c>
      <c r="K32" s="34" t="s">
        <v>1481</v>
      </c>
      <c r="L32" s="34" t="s">
        <v>780</v>
      </c>
      <c r="M32" s="34" t="s">
        <v>780</v>
      </c>
      <c r="N32" s="34" t="s">
        <v>1481</v>
      </c>
      <c r="O32" s="35" t="s">
        <v>1016</v>
      </c>
      <c r="P32" s="34" t="s">
        <v>1110</v>
      </c>
      <c r="Q32" s="34" t="s">
        <v>1018</v>
      </c>
      <c r="R32" s="34" t="s">
        <v>1111</v>
      </c>
      <c r="S32" s="34" t="str">
        <f t="shared" si="2"/>
        <v>T1_INF</v>
      </c>
      <c r="T32" s="36" t="s">
        <v>1112</v>
      </c>
      <c r="U32" s="34" t="s">
        <v>1113</v>
      </c>
      <c r="V32" s="34">
        <v>150</v>
      </c>
      <c r="W32" s="34">
        <v>100</v>
      </c>
      <c r="X32" s="41">
        <v>5</v>
      </c>
      <c r="Y32" s="34">
        <v>31</v>
      </c>
      <c r="Z32" s="37" t="s">
        <v>472</v>
      </c>
      <c r="AA32" s="37" t="s">
        <v>130</v>
      </c>
      <c r="AB32" s="38">
        <v>45580</v>
      </c>
      <c r="AC32" s="37">
        <v>15</v>
      </c>
      <c r="AD32" s="37">
        <v>16</v>
      </c>
      <c r="AE32" s="37">
        <v>610</v>
      </c>
      <c r="AF32" s="37">
        <f t="shared" si="17"/>
        <v>0.23428498271668158</v>
      </c>
      <c r="AG32" s="37">
        <v>110</v>
      </c>
      <c r="AH32" s="37">
        <f t="shared" si="18"/>
        <v>4.2978076839591928E-2</v>
      </c>
      <c r="AI32" s="37">
        <v>490</v>
      </c>
      <c r="AJ32" s="37">
        <f t="shared" si="19"/>
        <v>0.19384006781576718</v>
      </c>
      <c r="AK32" s="37">
        <v>210</v>
      </c>
      <c r="AL32" s="37">
        <f t="shared" si="20"/>
        <v>8.3074314778185929E-2</v>
      </c>
      <c r="AM32" s="37">
        <v>280</v>
      </c>
      <c r="AN32" s="37">
        <f t="shared" si="21"/>
        <v>0.11076575303758124</v>
      </c>
      <c r="AO32" s="37">
        <v>490</v>
      </c>
      <c r="AQ32" s="59">
        <v>1700</v>
      </c>
      <c r="AR32" s="59">
        <f t="shared" si="22"/>
        <v>0.47110312737204069</v>
      </c>
      <c r="AS32" s="37">
        <v>5000</v>
      </c>
      <c r="AT32" s="37">
        <f t="shared" si="23"/>
        <v>1.8725130685807911</v>
      </c>
      <c r="AU32" s="37" t="s">
        <v>780</v>
      </c>
      <c r="AV32" s="37" t="s">
        <v>780</v>
      </c>
      <c r="AW32" s="37" t="s">
        <v>780</v>
      </c>
      <c r="AX32" s="37" t="s">
        <v>780</v>
      </c>
      <c r="AY32" s="37" t="s">
        <v>780</v>
      </c>
      <c r="AZ32" s="37" t="s">
        <v>780</v>
      </c>
      <c r="BA32" s="37" t="s">
        <v>780</v>
      </c>
      <c r="BB32" s="37" t="s">
        <v>780</v>
      </c>
      <c r="BC32" s="37" t="s">
        <v>780</v>
      </c>
      <c r="BD32" s="37" t="s">
        <v>780</v>
      </c>
      <c r="BE32" s="37" t="s">
        <v>780</v>
      </c>
      <c r="BF32" s="37" t="s">
        <v>780</v>
      </c>
      <c r="BG32" s="37" t="s">
        <v>780</v>
      </c>
      <c r="BH32" s="37" t="s">
        <v>780</v>
      </c>
      <c r="BI32" s="37" t="s">
        <v>780</v>
      </c>
      <c r="BJ32" s="37" t="s">
        <v>780</v>
      </c>
      <c r="BK32" s="37" t="s">
        <v>780</v>
      </c>
      <c r="BL32" s="37" t="s">
        <v>780</v>
      </c>
      <c r="BM32" s="37" t="s">
        <v>780</v>
      </c>
      <c r="BN32" s="37" t="s">
        <v>780</v>
      </c>
      <c r="BO32" s="58">
        <v>4600</v>
      </c>
      <c r="BP32" s="58">
        <v>230</v>
      </c>
      <c r="BQ32" s="58">
        <v>210</v>
      </c>
      <c r="BR32" s="58">
        <v>120</v>
      </c>
      <c r="BS32" s="58">
        <v>120</v>
      </c>
      <c r="BT32" s="58">
        <v>22</v>
      </c>
      <c r="BU32" s="58">
        <v>9.3000000000000007</v>
      </c>
      <c r="BV32" s="58">
        <v>12</v>
      </c>
      <c r="BW32" s="31">
        <f t="shared" si="24"/>
        <v>1.7227120230943278</v>
      </c>
      <c r="BX32" s="31">
        <f t="shared" si="25"/>
        <v>8.4631053288652336E-2</v>
      </c>
      <c r="BY32" s="31">
        <f t="shared" si="26"/>
        <v>7.8983204720835226E-2</v>
      </c>
      <c r="BZ32" s="31">
        <f t="shared" si="27"/>
        <v>4.4759956683912888E-2</v>
      </c>
      <c r="CA32" s="31">
        <f t="shared" si="28"/>
        <v>4.4436963474162601E-2</v>
      </c>
      <c r="CB32" s="31">
        <f t="shared" si="29"/>
        <v>8.1467766369298089E-3</v>
      </c>
      <c r="CC32" s="31">
        <f t="shared" si="30"/>
        <v>3.402719406674908E-3</v>
      </c>
      <c r="CD32" s="31">
        <f t="shared" si="31"/>
        <v>4.3906056860321388E-3</v>
      </c>
      <c r="CE32" s="37">
        <v>0.9</v>
      </c>
      <c r="CF32" s="37">
        <v>0.81</v>
      </c>
      <c r="CG32" s="37">
        <v>0.25</v>
      </c>
      <c r="CH32" s="37">
        <v>0.12</v>
      </c>
      <c r="CI32" s="37">
        <v>0.31</v>
      </c>
      <c r="CK32" s="37">
        <v>2E-3</v>
      </c>
      <c r="CL32" s="37">
        <v>0.05</v>
      </c>
      <c r="CM32" s="37">
        <v>0.06</v>
      </c>
      <c r="CN32" s="58">
        <f t="shared" si="60"/>
        <v>5323.3</v>
      </c>
      <c r="CO32" s="58">
        <f t="shared" si="32"/>
        <v>723.3</v>
      </c>
      <c r="CP32" s="31">
        <f t="shared" si="33"/>
        <v>1.9914633029915276</v>
      </c>
      <c r="CQ32" s="31">
        <f t="shared" si="34"/>
        <v>0.26875127989719988</v>
      </c>
      <c r="CR32" s="37">
        <v>5400</v>
      </c>
      <c r="CS32" s="37">
        <v>8300</v>
      </c>
      <c r="CT32" s="37">
        <v>4300</v>
      </c>
      <c r="CU32" s="37" t="s">
        <v>69</v>
      </c>
      <c r="CV32" s="37">
        <v>35</v>
      </c>
      <c r="CW32" s="37">
        <v>13000</v>
      </c>
      <c r="CX32" s="40">
        <f t="shared" si="3"/>
        <v>7100</v>
      </c>
      <c r="CZ32" s="37">
        <v>69</v>
      </c>
      <c r="DA32" s="37" t="s">
        <v>62</v>
      </c>
      <c r="DB32" s="37" t="s">
        <v>88</v>
      </c>
      <c r="DC32" s="37" t="s">
        <v>782</v>
      </c>
      <c r="DD32" s="37">
        <f t="shared" si="4"/>
        <v>0</v>
      </c>
      <c r="DE32" s="37">
        <f t="shared" si="63"/>
        <v>0</v>
      </c>
      <c r="DF32" s="37">
        <v>1.9</v>
      </c>
      <c r="DG32" s="37">
        <f t="shared" si="5"/>
        <v>3.4019695613249773E-2</v>
      </c>
      <c r="DH32" s="37">
        <f t="shared" si="36"/>
        <v>3.4019695613249773E-2</v>
      </c>
      <c r="DI32" s="37">
        <f t="shared" si="6"/>
        <v>1.9</v>
      </c>
      <c r="DJ32" s="37">
        <f t="shared" si="37"/>
        <v>3.4019695613249773E-2</v>
      </c>
      <c r="DK32" s="37">
        <f t="shared" si="38"/>
        <v>3.4019695613249773E-2</v>
      </c>
      <c r="DL32" s="55">
        <f t="shared" si="39"/>
        <v>0</v>
      </c>
      <c r="DM32" s="55">
        <f t="shared" si="39"/>
        <v>0</v>
      </c>
      <c r="DN32" s="37">
        <f t="shared" si="40"/>
        <v>1.9</v>
      </c>
      <c r="DO32" s="55">
        <f t="shared" si="41"/>
        <v>3.4019695613249773E-2</v>
      </c>
      <c r="DP32" s="55">
        <f t="shared" si="42"/>
        <v>3.4019695613249773E-2</v>
      </c>
      <c r="DQ32" s="37">
        <v>1.1000000000000001</v>
      </c>
      <c r="DR32" s="37">
        <f t="shared" si="43"/>
        <v>2.0025486983433462E-2</v>
      </c>
      <c r="DS32" s="37">
        <f t="shared" si="44"/>
        <v>4.0050973966866923E-2</v>
      </c>
      <c r="DT32" s="37">
        <f t="shared" si="7"/>
        <v>1.6988198909416454</v>
      </c>
      <c r="DU32" s="37">
        <f t="shared" si="8"/>
        <v>0.84940994547082271</v>
      </c>
      <c r="DV32" s="37">
        <f t="shared" si="45"/>
        <v>3</v>
      </c>
      <c r="DW32" s="37">
        <f t="shared" si="9"/>
        <v>7.4070669580116696E-2</v>
      </c>
      <c r="DX32" s="37">
        <v>26</v>
      </c>
      <c r="DY32" s="37" t="s">
        <v>81</v>
      </c>
      <c r="DZ32" s="37">
        <f>EA32/$EA$32</f>
        <v>1</v>
      </c>
      <c r="EA32" s="37">
        <v>1.7000000000000001E-2</v>
      </c>
      <c r="EB32" s="37">
        <f t="shared" si="47"/>
        <v>2.741935483870968E-4</v>
      </c>
      <c r="EC32" s="37">
        <f t="shared" si="48"/>
        <v>1.370967741935484E-3</v>
      </c>
      <c r="ED32" s="37">
        <f t="shared" ref="ED32:ED53" si="65">$EK$32-EK32</f>
        <v>0</v>
      </c>
      <c r="EE32" s="39">
        <f t="shared" ref="EE32:EE53" si="66">(ED32/$EK$32)*100</f>
        <v>0</v>
      </c>
      <c r="EF32" s="37">
        <f t="shared" si="11"/>
        <v>0</v>
      </c>
      <c r="EG32" s="37">
        <f>$EK32-EK32</f>
        <v>0</v>
      </c>
      <c r="EH32" s="33">
        <f>(EG32/$EK32)*100</f>
        <v>0</v>
      </c>
      <c r="EI32" s="37">
        <f t="shared" si="62"/>
        <v>0</v>
      </c>
      <c r="EJ32" s="37">
        <f t="shared" si="64"/>
        <v>0</v>
      </c>
      <c r="EK32" s="37">
        <v>78</v>
      </c>
      <c r="EL32" s="37">
        <f t="shared" si="50"/>
        <v>0.81199250468457207</v>
      </c>
      <c r="EM32" s="37">
        <f t="shared" si="51"/>
        <v>6.4959400374765766</v>
      </c>
      <c r="EN32" s="37">
        <f t="shared" si="13"/>
        <v>6.4973110052185117</v>
      </c>
      <c r="EO32" s="39">
        <f t="shared" si="52"/>
        <v>7.4070669580116696E-2</v>
      </c>
      <c r="EP32" s="37">
        <f t="shared" si="14"/>
        <v>0.54071300008361323</v>
      </c>
      <c r="EQ32" s="37">
        <f t="shared" si="15"/>
        <v>0.45928699991638683</v>
      </c>
      <c r="ER32" s="37">
        <f t="shared" si="16"/>
        <v>0</v>
      </c>
      <c r="ES32" s="39">
        <f t="shared" si="53"/>
        <v>7.4070669580116696E-2</v>
      </c>
      <c r="ET32" s="55">
        <f t="shared" si="54"/>
        <v>45.92869999163868</v>
      </c>
      <c r="EU32" s="55">
        <f t="shared" si="55"/>
        <v>54.07130000836132</v>
      </c>
      <c r="EV32" s="55">
        <f t="shared" si="56"/>
        <v>0</v>
      </c>
      <c r="EW32" s="37" t="s">
        <v>780</v>
      </c>
      <c r="EX32" s="37" t="s">
        <v>780</v>
      </c>
      <c r="EY32" s="37" t="s">
        <v>780</v>
      </c>
      <c r="EZ32" s="37" t="s">
        <v>780</v>
      </c>
      <c r="FA32" s="37" t="s">
        <v>780</v>
      </c>
      <c r="FB32" s="37" t="s">
        <v>780</v>
      </c>
      <c r="FC32" s="37" t="s">
        <v>88</v>
      </c>
      <c r="FD32" s="39">
        <f t="shared" si="57"/>
        <v>2.2695455263727151</v>
      </c>
      <c r="FE32" s="39">
        <f t="shared" si="61"/>
        <v>2.5382968062699152</v>
      </c>
      <c r="FF32" s="39">
        <f t="shared" si="58"/>
        <v>2.2695455263727151</v>
      </c>
      <c r="FG32" s="39">
        <f t="shared" si="59"/>
        <v>2.5382968062699152</v>
      </c>
    </row>
    <row r="33" spans="1:163" ht="15.75" x14ac:dyDescent="0.25">
      <c r="A33" s="4" t="s">
        <v>291</v>
      </c>
      <c r="B33" s="4" t="s">
        <v>291</v>
      </c>
      <c r="C33" s="3" t="s">
        <v>822</v>
      </c>
      <c r="D33" s="3" t="s">
        <v>822</v>
      </c>
      <c r="E33" s="3" t="s">
        <v>1114</v>
      </c>
      <c r="F33" s="3" t="s">
        <v>1055</v>
      </c>
      <c r="G33" s="3" t="s">
        <v>772</v>
      </c>
      <c r="H33" s="3" t="str">
        <f t="shared" si="0"/>
        <v>CW_1_Section_5</v>
      </c>
      <c r="I33" s="3" t="str">
        <f t="shared" si="1"/>
        <v>CW_1_EFF</v>
      </c>
      <c r="J33" s="3" t="s">
        <v>1482</v>
      </c>
      <c r="K33" s="3" t="s">
        <v>1482</v>
      </c>
      <c r="L33" s="3" t="s">
        <v>780</v>
      </c>
      <c r="M33" s="3" t="s">
        <v>780</v>
      </c>
      <c r="N33" s="3" t="s">
        <v>1482</v>
      </c>
      <c r="O33" s="12" t="s">
        <v>1016</v>
      </c>
      <c r="P33" s="3" t="s">
        <v>1115</v>
      </c>
      <c r="Q33" s="3" t="s">
        <v>1018</v>
      </c>
      <c r="R33" s="3" t="s">
        <v>1111</v>
      </c>
      <c r="S33" s="3" t="str">
        <f t="shared" si="2"/>
        <v>T1_EFF</v>
      </c>
      <c r="T33" s="13" t="s">
        <v>1112</v>
      </c>
      <c r="U33" s="3" t="s">
        <v>1113</v>
      </c>
      <c r="V33" s="3">
        <v>150</v>
      </c>
      <c r="W33" s="3">
        <v>100</v>
      </c>
      <c r="X33" s="14">
        <v>4.0999999999999996</v>
      </c>
      <c r="Y33" s="3">
        <v>32</v>
      </c>
      <c r="Z33" t="s">
        <v>465</v>
      </c>
      <c r="AA33" t="s">
        <v>47</v>
      </c>
      <c r="AB33" s="1">
        <v>45580</v>
      </c>
      <c r="AC33">
        <v>13</v>
      </c>
      <c r="AD33">
        <v>13</v>
      </c>
      <c r="AE33">
        <v>170</v>
      </c>
      <c r="AF33" s="37">
        <f t="shared" si="17"/>
        <v>6.5292536166944054E-2</v>
      </c>
      <c r="AG33">
        <v>0.5</v>
      </c>
      <c r="AH33" s="37">
        <f t="shared" si="18"/>
        <v>1.9535489472541785E-4</v>
      </c>
      <c r="AI33">
        <v>130</v>
      </c>
      <c r="AJ33" s="37">
        <f t="shared" si="19"/>
        <v>5.1426956767448434E-2</v>
      </c>
      <c r="AK33">
        <v>43</v>
      </c>
      <c r="AL33" s="37">
        <f t="shared" si="20"/>
        <v>1.7010454930771402E-2</v>
      </c>
      <c r="AM33">
        <v>29</v>
      </c>
      <c r="AN33" s="37">
        <f t="shared" si="21"/>
        <v>1.1472167278892343E-2</v>
      </c>
      <c r="AO33">
        <v>72</v>
      </c>
      <c r="AQ33" s="59">
        <v>375.5</v>
      </c>
      <c r="AR33" s="59">
        <f t="shared" si="22"/>
        <v>0.1169148478291179</v>
      </c>
      <c r="AS33">
        <v>620</v>
      </c>
      <c r="AT33" s="37">
        <f t="shared" si="23"/>
        <v>0.23219162050401809</v>
      </c>
      <c r="AU33" t="s">
        <v>780</v>
      </c>
      <c r="AV33" t="s">
        <v>780</v>
      </c>
      <c r="AW33" t="s">
        <v>780</v>
      </c>
      <c r="AX33" t="s">
        <v>780</v>
      </c>
      <c r="AY33" t="s">
        <v>780</v>
      </c>
      <c r="AZ33" t="s">
        <v>780</v>
      </c>
      <c r="BA33" t="s">
        <v>780</v>
      </c>
      <c r="BB33" t="s">
        <v>780</v>
      </c>
      <c r="BC33" t="s">
        <v>780</v>
      </c>
      <c r="BD33" t="s">
        <v>780</v>
      </c>
      <c r="BE33" t="s">
        <v>780</v>
      </c>
      <c r="BF33" t="s">
        <v>780</v>
      </c>
      <c r="BG33" t="s">
        <v>780</v>
      </c>
      <c r="BH33" t="s">
        <v>780</v>
      </c>
      <c r="BI33" t="s">
        <v>780</v>
      </c>
      <c r="BJ33" t="s">
        <v>780</v>
      </c>
      <c r="BK33" t="s">
        <v>780</v>
      </c>
      <c r="BL33" t="s">
        <v>780</v>
      </c>
      <c r="BM33" t="s">
        <v>780</v>
      </c>
      <c r="BN33" t="s">
        <v>780</v>
      </c>
      <c r="BO33" s="58">
        <v>290</v>
      </c>
      <c r="BP33" s="58">
        <v>2</v>
      </c>
      <c r="BQ33" s="58">
        <v>2</v>
      </c>
      <c r="BR33" s="58">
        <v>4.5</v>
      </c>
      <c r="BS33" s="58">
        <v>0.77</v>
      </c>
      <c r="BT33" s="58">
        <v>7.0000000000000007E-2</v>
      </c>
      <c r="BU33" s="58">
        <v>0.03</v>
      </c>
      <c r="BV33" s="58">
        <v>2E-3</v>
      </c>
      <c r="BW33" s="31">
        <f t="shared" si="24"/>
        <v>0.10860575797768589</v>
      </c>
      <c r="BX33" s="31">
        <f t="shared" si="25"/>
        <v>7.3592220251002033E-4</v>
      </c>
      <c r="BY33" s="31">
        <f t="shared" si="26"/>
        <v>7.5222099734128785E-4</v>
      </c>
      <c r="BZ33" s="31">
        <f t="shared" si="27"/>
        <v>1.6784983756467334E-3</v>
      </c>
      <c r="CA33" s="31">
        <f t="shared" si="28"/>
        <v>2.8513718229254334E-4</v>
      </c>
      <c r="CB33" s="31">
        <f t="shared" si="29"/>
        <v>2.5921562026594851E-5</v>
      </c>
      <c r="CC33" s="31">
        <f t="shared" si="30"/>
        <v>1.0976514215080345E-5</v>
      </c>
      <c r="CD33" s="31">
        <f t="shared" si="31"/>
        <v>7.3176761433868969E-7</v>
      </c>
      <c r="CE33">
        <v>1E-3</v>
      </c>
      <c r="CF33">
        <v>1E-3</v>
      </c>
      <c r="CG33">
        <v>2E-3</v>
      </c>
      <c r="CH33">
        <v>1E-3</v>
      </c>
      <c r="CI33">
        <v>1E-3</v>
      </c>
      <c r="CK33">
        <v>2E-3</v>
      </c>
      <c r="CL33">
        <v>1E-3</v>
      </c>
      <c r="CM33">
        <v>1E-3</v>
      </c>
      <c r="CN33" s="58">
        <f t="shared" si="60"/>
        <v>299.37199999999996</v>
      </c>
      <c r="CO33" s="58">
        <f t="shared" si="32"/>
        <v>9.3719999999999999</v>
      </c>
      <c r="CP33" s="31">
        <f t="shared" si="33"/>
        <v>0.11209516657933249</v>
      </c>
      <c r="CQ33" s="31">
        <f t="shared" si="34"/>
        <v>3.4894086016465991E-3</v>
      </c>
      <c r="CR33">
        <v>300</v>
      </c>
      <c r="CS33">
        <v>1100</v>
      </c>
      <c r="CT33">
        <v>200</v>
      </c>
      <c r="CU33" t="s">
        <v>69</v>
      </c>
      <c r="CV33" t="s">
        <v>69</v>
      </c>
      <c r="CW33">
        <v>1300</v>
      </c>
      <c r="CX33" s="2">
        <f t="shared" si="3"/>
        <v>675.5</v>
      </c>
      <c r="CZ33">
        <v>53</v>
      </c>
      <c r="DA33" t="s">
        <v>62</v>
      </c>
      <c r="DB33" t="s">
        <v>88</v>
      </c>
      <c r="DC33" t="s">
        <v>782</v>
      </c>
      <c r="DD33" s="37">
        <f t="shared" si="4"/>
        <v>37.2034145325838</v>
      </c>
      <c r="DE33" s="37">
        <f t="shared" si="63"/>
        <v>37.2034145325838</v>
      </c>
      <c r="DF33" s="37">
        <v>6.6</v>
      </c>
      <c r="DG33" s="37">
        <f t="shared" si="5"/>
        <v>0.11817367949865711</v>
      </c>
      <c r="DH33" s="37">
        <f t="shared" si="36"/>
        <v>0.11817367949865711</v>
      </c>
      <c r="DI33" s="37">
        <f t="shared" si="6"/>
        <v>43.803414532583801</v>
      </c>
      <c r="DJ33" s="37">
        <f t="shared" si="37"/>
        <v>0.78430464695763291</v>
      </c>
      <c r="DK33" s="37">
        <f t="shared" si="38"/>
        <v>0.78430464695763291</v>
      </c>
      <c r="DL33" s="55">
        <f t="shared" si="39"/>
        <v>17.439100562148656</v>
      </c>
      <c r="DM33" s="55">
        <f t="shared" si="39"/>
        <v>17.439100562148656</v>
      </c>
      <c r="DN33" s="37">
        <f t="shared" si="40"/>
        <v>24.039100562148654</v>
      </c>
      <c r="DO33" s="55">
        <f t="shared" si="41"/>
        <v>0.430422570495052</v>
      </c>
      <c r="DP33" s="55">
        <f t="shared" si="42"/>
        <v>0.430422570495052</v>
      </c>
      <c r="DQ33" s="37">
        <v>3.5</v>
      </c>
      <c r="DR33" s="37">
        <f t="shared" si="43"/>
        <v>6.3717458583651923E-2</v>
      </c>
      <c r="DS33" s="37">
        <f t="shared" si="44"/>
        <v>0.12743491716730385</v>
      </c>
      <c r="DT33" s="37">
        <f t="shared" si="7"/>
        <v>12.309101216395078</v>
      </c>
      <c r="DU33" s="37">
        <f t="shared" si="8"/>
        <v>6.154550608197539</v>
      </c>
      <c r="DV33" s="37">
        <f t="shared" si="45"/>
        <v>47.303414532583801</v>
      </c>
      <c r="DW33" s="37">
        <f t="shared" si="9"/>
        <v>0.91173956412493673</v>
      </c>
      <c r="DX33">
        <v>12</v>
      </c>
      <c r="DY33" t="s">
        <v>238</v>
      </c>
      <c r="DZ33" s="29">
        <f t="shared" ref="DZ33:DZ53" si="67">EA33/$EA$32</f>
        <v>1</v>
      </c>
      <c r="EA33" s="30">
        <v>1.7000000000000001E-2</v>
      </c>
      <c r="EB33" s="30">
        <f t="shared" si="47"/>
        <v>2.741935483870968E-4</v>
      </c>
      <c r="EC33" s="30">
        <f t="shared" si="48"/>
        <v>1.370967741935484E-3</v>
      </c>
      <c r="ED33" s="31">
        <f t="shared" si="65"/>
        <v>64</v>
      </c>
      <c r="EE33" s="33">
        <f t="shared" si="66"/>
        <v>82.051282051282044</v>
      </c>
      <c r="EF33" s="37">
        <f t="shared" si="11"/>
        <v>5.3300020820320633</v>
      </c>
      <c r="EG33" s="37">
        <f>$EK41-EK33</f>
        <v>30</v>
      </c>
      <c r="EH33" s="33">
        <f>(EG33/EK41)*100</f>
        <v>68.181818181818173</v>
      </c>
      <c r="EI33" s="37">
        <f t="shared" si="62"/>
        <v>2.4984384759525295</v>
      </c>
      <c r="EJ33" s="37">
        <f t="shared" si="64"/>
        <v>2.4984384759525295</v>
      </c>
      <c r="EK33" s="31">
        <v>14</v>
      </c>
      <c r="EL33" s="31">
        <f t="shared" si="50"/>
        <v>0.14574224443056422</v>
      </c>
      <c r="EM33" s="31">
        <f t="shared" si="51"/>
        <v>1.1659379554445137</v>
      </c>
      <c r="EN33" s="32">
        <f t="shared" si="13"/>
        <v>1.1673089231864493</v>
      </c>
      <c r="EO33" s="39">
        <f t="shared" si="52"/>
        <v>6.2417416461570001</v>
      </c>
      <c r="EP33" s="37">
        <f t="shared" si="14"/>
        <v>2.0416563900199986E-2</v>
      </c>
      <c r="EQ33" s="37">
        <f t="shared" si="15"/>
        <v>0.12565477576927975</v>
      </c>
      <c r="ER33" s="37">
        <f t="shared" si="16"/>
        <v>0.85392866033052028</v>
      </c>
      <c r="ES33" s="39">
        <f t="shared" si="53"/>
        <v>3.0562959636148852</v>
      </c>
      <c r="ET33" s="55">
        <f t="shared" si="54"/>
        <v>14.083144290318092</v>
      </c>
      <c r="EU33" s="55">
        <f t="shared" si="55"/>
        <v>4.1695869341324538</v>
      </c>
      <c r="EV33" s="55">
        <f t="shared" si="56"/>
        <v>81.747268775549458</v>
      </c>
      <c r="EW33" t="s">
        <v>237</v>
      </c>
      <c r="EX33" t="s">
        <v>466</v>
      </c>
      <c r="EY33">
        <v>-75</v>
      </c>
      <c r="EZ33" t="s">
        <v>217</v>
      </c>
      <c r="FA33">
        <v>789</v>
      </c>
      <c r="FB33" t="s">
        <v>113</v>
      </c>
      <c r="FC33" t="s">
        <v>88</v>
      </c>
      <c r="FD33" s="39">
        <f t="shared" si="57"/>
        <v>-5.8926351778238644</v>
      </c>
      <c r="FE33" s="39">
        <f t="shared" si="61"/>
        <v>-5.8891457692222176</v>
      </c>
      <c r="FF33" s="39">
        <f t="shared" si="58"/>
        <v>-2.7071894952817495</v>
      </c>
      <c r="FG33" s="39">
        <f t="shared" si="59"/>
        <v>-2.7037000866801026</v>
      </c>
    </row>
    <row r="34" spans="1:163" ht="15.75" x14ac:dyDescent="0.25">
      <c r="A34" s="4" t="s">
        <v>292</v>
      </c>
      <c r="B34" s="4" t="s">
        <v>292</v>
      </c>
      <c r="C34" s="3" t="s">
        <v>823</v>
      </c>
      <c r="D34" s="3" t="s">
        <v>823</v>
      </c>
      <c r="E34" s="3" t="s">
        <v>1116</v>
      </c>
      <c r="F34" s="3" t="s">
        <v>1055</v>
      </c>
      <c r="G34" s="3" t="s">
        <v>773</v>
      </c>
      <c r="H34" s="3" t="str">
        <f t="shared" si="0"/>
        <v>CW_2_Section_5</v>
      </c>
      <c r="I34" s="3" t="str">
        <f t="shared" si="1"/>
        <v>CW_2_EFF</v>
      </c>
      <c r="J34" s="3" t="s">
        <v>1482</v>
      </c>
      <c r="K34" s="3" t="s">
        <v>1482</v>
      </c>
      <c r="L34" s="3" t="s">
        <v>780</v>
      </c>
      <c r="M34" s="3" t="s">
        <v>780</v>
      </c>
      <c r="N34" s="3" t="s">
        <v>1482</v>
      </c>
      <c r="O34" s="12" t="s">
        <v>1016</v>
      </c>
      <c r="P34" s="3" t="s">
        <v>1117</v>
      </c>
      <c r="Q34" s="3" t="s">
        <v>1018</v>
      </c>
      <c r="R34" s="3" t="s">
        <v>1111</v>
      </c>
      <c r="S34" s="3" t="str">
        <f t="shared" si="2"/>
        <v>T1_EFF</v>
      </c>
      <c r="T34" s="13" t="s">
        <v>1112</v>
      </c>
      <c r="U34" s="3" t="s">
        <v>1113</v>
      </c>
      <c r="V34" s="3">
        <v>150</v>
      </c>
      <c r="W34" s="3">
        <v>100</v>
      </c>
      <c r="X34" s="14">
        <v>4.9000000000000004</v>
      </c>
      <c r="Y34" s="3">
        <v>33</v>
      </c>
      <c r="Z34" t="s">
        <v>467</v>
      </c>
      <c r="AA34" t="s">
        <v>196</v>
      </c>
      <c r="AB34" s="1">
        <v>45580</v>
      </c>
      <c r="AC34">
        <v>11</v>
      </c>
      <c r="AD34">
        <v>12</v>
      </c>
      <c r="AE34">
        <v>610</v>
      </c>
      <c r="AF34" s="37">
        <f t="shared" si="17"/>
        <v>0.23428498271668158</v>
      </c>
      <c r="AG34">
        <v>2</v>
      </c>
      <c r="AH34" s="37">
        <f t="shared" si="18"/>
        <v>7.8141957890167139E-4</v>
      </c>
      <c r="AI34">
        <v>370</v>
      </c>
      <c r="AJ34" s="37">
        <f t="shared" si="19"/>
        <v>0.14636903079966093</v>
      </c>
      <c r="AK34">
        <v>140</v>
      </c>
      <c r="AL34" s="37">
        <f t="shared" si="20"/>
        <v>5.5382876518790619E-2</v>
      </c>
      <c r="AM34">
        <v>80</v>
      </c>
      <c r="AN34" s="37">
        <f t="shared" si="21"/>
        <v>3.1647358010737495E-2</v>
      </c>
      <c r="AO34">
        <v>220</v>
      </c>
      <c r="AQ34" s="59">
        <v>1214</v>
      </c>
      <c r="AR34" s="59">
        <f t="shared" si="22"/>
        <v>0.38143543309524419</v>
      </c>
      <c r="AS34">
        <v>2600</v>
      </c>
      <c r="AT34" s="37">
        <f t="shared" si="23"/>
        <v>0.97370679566201146</v>
      </c>
      <c r="AU34" t="s">
        <v>780</v>
      </c>
      <c r="AV34" t="s">
        <v>780</v>
      </c>
      <c r="AW34" t="s">
        <v>780</v>
      </c>
      <c r="AX34" t="s">
        <v>780</v>
      </c>
      <c r="AY34" t="s">
        <v>780</v>
      </c>
      <c r="AZ34" t="s">
        <v>780</v>
      </c>
      <c r="BA34" t="s">
        <v>780</v>
      </c>
      <c r="BB34" t="s">
        <v>780</v>
      </c>
      <c r="BC34" t="s">
        <v>780</v>
      </c>
      <c r="BD34" t="s">
        <v>780</v>
      </c>
      <c r="BE34" t="s">
        <v>780</v>
      </c>
      <c r="BF34" t="s">
        <v>780</v>
      </c>
      <c r="BG34" t="s">
        <v>780</v>
      </c>
      <c r="BH34" t="s">
        <v>780</v>
      </c>
      <c r="BI34" t="s">
        <v>780</v>
      </c>
      <c r="BJ34" t="s">
        <v>780</v>
      </c>
      <c r="BK34" t="s">
        <v>780</v>
      </c>
      <c r="BL34" t="s">
        <v>780</v>
      </c>
      <c r="BM34" t="s">
        <v>780</v>
      </c>
      <c r="BN34" t="s">
        <v>780</v>
      </c>
      <c r="BO34" s="58">
        <v>2700</v>
      </c>
      <c r="BP34" s="58">
        <v>120</v>
      </c>
      <c r="BQ34" s="58">
        <v>77</v>
      </c>
      <c r="BR34" s="58">
        <v>27</v>
      </c>
      <c r="BS34" s="58">
        <v>4.9000000000000004</v>
      </c>
      <c r="BT34" s="58">
        <v>0.7</v>
      </c>
      <c r="BU34" s="58">
        <v>0.06</v>
      </c>
      <c r="BV34" s="58">
        <v>0.03</v>
      </c>
      <c r="BW34" s="31">
        <f t="shared" si="24"/>
        <v>1.0111570570336272</v>
      </c>
      <c r="BX34" s="31">
        <f t="shared" si="25"/>
        <v>4.4155332150601224E-2</v>
      </c>
      <c r="BY34" s="31">
        <f t="shared" si="26"/>
        <v>2.8960508397639584E-2</v>
      </c>
      <c r="BZ34" s="31">
        <f t="shared" si="27"/>
        <v>1.0070990253880399E-2</v>
      </c>
      <c r="CA34" s="31">
        <f t="shared" si="28"/>
        <v>1.8145093418616396E-3</v>
      </c>
      <c r="CB34" s="31">
        <f t="shared" si="29"/>
        <v>2.5921562026594844E-4</v>
      </c>
      <c r="CC34" s="31">
        <f t="shared" si="30"/>
        <v>2.1953028430160689E-5</v>
      </c>
      <c r="CD34" s="31">
        <f t="shared" si="31"/>
        <v>1.0976514215080345E-5</v>
      </c>
      <c r="CE34">
        <v>1E-3</v>
      </c>
      <c r="CF34">
        <v>1E-3</v>
      </c>
      <c r="CG34">
        <v>2E-3</v>
      </c>
      <c r="CH34">
        <v>1E-3</v>
      </c>
      <c r="CI34">
        <v>1E-3</v>
      </c>
      <c r="CK34">
        <v>2E-3</v>
      </c>
      <c r="CL34">
        <v>1E-3</v>
      </c>
      <c r="CM34">
        <v>1E-3</v>
      </c>
      <c r="CN34" s="58">
        <f t="shared" si="60"/>
        <v>2929.69</v>
      </c>
      <c r="CO34" s="58">
        <f t="shared" si="32"/>
        <v>229.69</v>
      </c>
      <c r="CP34" s="31">
        <f t="shared" si="33"/>
        <v>1.0964505423405213</v>
      </c>
      <c r="CQ34" s="31">
        <f t="shared" si="34"/>
        <v>8.529348530689404E-2</v>
      </c>
      <c r="CR34">
        <v>2900</v>
      </c>
      <c r="CS34">
        <v>4100</v>
      </c>
      <c r="CT34">
        <v>990</v>
      </c>
      <c r="CU34" t="s">
        <v>69</v>
      </c>
      <c r="CV34" t="s">
        <v>69</v>
      </c>
      <c r="CW34">
        <v>5100</v>
      </c>
      <c r="CX34" s="2">
        <f t="shared" si="3"/>
        <v>4114</v>
      </c>
      <c r="CZ34">
        <v>67</v>
      </c>
      <c r="DA34" t="s">
        <v>62</v>
      </c>
      <c r="DB34" t="s">
        <v>88</v>
      </c>
      <c r="DC34" t="s">
        <v>782</v>
      </c>
      <c r="DD34" s="37">
        <f t="shared" si="4"/>
        <v>18.6017072662919</v>
      </c>
      <c r="DE34" s="37">
        <f t="shared" si="63"/>
        <v>18.6017072662919</v>
      </c>
      <c r="DF34" s="37">
        <v>3</v>
      </c>
      <c r="DG34" s="37">
        <f t="shared" si="5"/>
        <v>5.371530886302596E-2</v>
      </c>
      <c r="DH34" s="37">
        <f t="shared" si="36"/>
        <v>5.371530886302596E-2</v>
      </c>
      <c r="DI34" s="37">
        <f t="shared" si="6"/>
        <v>21.6017072662919</v>
      </c>
      <c r="DJ34" s="37">
        <f t="shared" si="37"/>
        <v>0.38678079259251386</v>
      </c>
      <c r="DK34" s="37">
        <f t="shared" si="38"/>
        <v>0.38678079259251386</v>
      </c>
      <c r="DL34" s="55">
        <f t="shared" si="39"/>
        <v>0.58130335207162187</v>
      </c>
      <c r="DM34" s="55">
        <f t="shared" si="39"/>
        <v>0.58130335207162187</v>
      </c>
      <c r="DN34" s="37">
        <f t="shared" si="40"/>
        <v>3.5813033520716218</v>
      </c>
      <c r="DO34" s="55">
        <f t="shared" si="41"/>
        <v>6.4123605229572458E-2</v>
      </c>
      <c r="DP34" s="55">
        <f t="shared" si="42"/>
        <v>6.4123605229572458E-2</v>
      </c>
      <c r="DQ34" s="37">
        <v>2.1</v>
      </c>
      <c r="DR34" s="37">
        <f t="shared" si="43"/>
        <v>3.8230475150191151E-2</v>
      </c>
      <c r="DS34" s="37">
        <f t="shared" si="44"/>
        <v>7.6460950300382302E-2</v>
      </c>
      <c r="DT34" s="37">
        <f t="shared" si="7"/>
        <v>10.117080446241326</v>
      </c>
      <c r="DU34" s="37">
        <f t="shared" si="8"/>
        <v>5.0585402231206631</v>
      </c>
      <c r="DV34" s="37">
        <f t="shared" si="45"/>
        <v>23.701707266291901</v>
      </c>
      <c r="DW34" s="37">
        <f t="shared" si="9"/>
        <v>0.46324174289289616</v>
      </c>
      <c r="DX34">
        <v>25</v>
      </c>
      <c r="DY34" t="s">
        <v>215</v>
      </c>
      <c r="DZ34" s="29">
        <f t="shared" si="67"/>
        <v>1</v>
      </c>
      <c r="EA34" s="30">
        <v>1.7000000000000001E-2</v>
      </c>
      <c r="EB34" s="30">
        <f t="shared" si="47"/>
        <v>2.741935483870968E-4</v>
      </c>
      <c r="EC34" s="30">
        <f t="shared" si="48"/>
        <v>1.370967741935484E-3</v>
      </c>
      <c r="ED34" s="31">
        <f t="shared" si="65"/>
        <v>32</v>
      </c>
      <c r="EE34" s="33">
        <f t="shared" si="66"/>
        <v>41.025641025641022</v>
      </c>
      <c r="EF34" s="37">
        <f t="shared" si="11"/>
        <v>2.6650010410160316</v>
      </c>
      <c r="EG34" s="37">
        <f>$EK47-EK34</f>
        <v>1</v>
      </c>
      <c r="EH34" s="33">
        <f>(EG34/EK47)*100</f>
        <v>2.1276595744680851</v>
      </c>
      <c r="EI34" s="37">
        <f t="shared" si="62"/>
        <v>8.3281282531750989E-2</v>
      </c>
      <c r="EJ34" s="37">
        <f t="shared" si="64"/>
        <v>8.3281282531750989E-2</v>
      </c>
      <c r="EK34" s="31">
        <v>46</v>
      </c>
      <c r="EL34" s="31">
        <f t="shared" si="50"/>
        <v>0.47886737455756817</v>
      </c>
      <c r="EM34" s="31">
        <f t="shared" si="51"/>
        <v>3.8309389964605454</v>
      </c>
      <c r="EN34" s="32">
        <f t="shared" si="13"/>
        <v>3.8323099642024809</v>
      </c>
      <c r="EO34" s="39">
        <f t="shared" si="52"/>
        <v>3.1282427839089277</v>
      </c>
      <c r="EP34" s="37">
        <f t="shared" si="14"/>
        <v>2.4442140710331867E-2</v>
      </c>
      <c r="EQ34" s="37">
        <f t="shared" si="15"/>
        <v>0.12364155192238882</v>
      </c>
      <c r="ER34" s="37">
        <f t="shared" si="16"/>
        <v>0.8519163073672793</v>
      </c>
      <c r="ES34" s="39">
        <f t="shared" si="53"/>
        <v>0.22386583806170574</v>
      </c>
      <c r="ET34" s="55">
        <f t="shared" si="54"/>
        <v>28.643765294773388</v>
      </c>
      <c r="EU34" s="55">
        <f t="shared" si="55"/>
        <v>34.154809399416642</v>
      </c>
      <c r="EV34" s="55">
        <f t="shared" si="56"/>
        <v>37.201425305809984</v>
      </c>
      <c r="EW34" t="s">
        <v>468</v>
      </c>
      <c r="EX34">
        <v>13</v>
      </c>
      <c r="EY34">
        <v>-95</v>
      </c>
      <c r="EZ34" t="s">
        <v>112</v>
      </c>
      <c r="FA34">
        <v>450</v>
      </c>
      <c r="FB34" t="s">
        <v>113</v>
      </c>
      <c r="FC34" t="s">
        <v>88</v>
      </c>
      <c r="FD34" s="39">
        <f t="shared" si="57"/>
        <v>-1.7731005551516721</v>
      </c>
      <c r="FE34" s="39">
        <f t="shared" si="61"/>
        <v>-1.687807069844778</v>
      </c>
      <c r="FF34" s="39">
        <f t="shared" si="58"/>
        <v>1.1312763906955499</v>
      </c>
      <c r="FG34" s="39">
        <f t="shared" si="59"/>
        <v>1.2165698760024439</v>
      </c>
    </row>
    <row r="35" spans="1:163" ht="15.75" x14ac:dyDescent="0.25">
      <c r="A35" s="4" t="s">
        <v>293</v>
      </c>
      <c r="B35" s="4" t="s">
        <v>293</v>
      </c>
      <c r="C35" s="3" t="s">
        <v>824</v>
      </c>
      <c r="D35" s="3" t="s">
        <v>824</v>
      </c>
      <c r="E35" s="3" t="s">
        <v>1118</v>
      </c>
      <c r="F35" s="3" t="s">
        <v>1055</v>
      </c>
      <c r="G35" s="3" t="s">
        <v>774</v>
      </c>
      <c r="H35" s="3" t="str">
        <f t="shared" si="0"/>
        <v>CW_3_Section_5</v>
      </c>
      <c r="I35" s="3" t="str">
        <f t="shared" si="1"/>
        <v>CW_3_EFF</v>
      </c>
      <c r="J35" s="3" t="s">
        <v>1482</v>
      </c>
      <c r="K35" s="3" t="s">
        <v>1482</v>
      </c>
      <c r="L35" s="3" t="s">
        <v>780</v>
      </c>
      <c r="M35" s="3" t="s">
        <v>780</v>
      </c>
      <c r="N35" s="3" t="s">
        <v>1482</v>
      </c>
      <c r="O35" s="12" t="s">
        <v>1016</v>
      </c>
      <c r="P35" s="3" t="s">
        <v>1119</v>
      </c>
      <c r="Q35" s="3" t="s">
        <v>1018</v>
      </c>
      <c r="R35" s="3" t="s">
        <v>1111</v>
      </c>
      <c r="S35" s="3" t="str">
        <f t="shared" si="2"/>
        <v>T1_EFF</v>
      </c>
      <c r="T35" s="13" t="s">
        <v>1112</v>
      </c>
      <c r="U35" s="3" t="s">
        <v>1113</v>
      </c>
      <c r="V35" s="3">
        <v>150</v>
      </c>
      <c r="W35" s="3">
        <v>100</v>
      </c>
      <c r="X35" s="14">
        <v>6.15</v>
      </c>
      <c r="Y35" s="3">
        <v>34</v>
      </c>
      <c r="Z35" t="s">
        <v>469</v>
      </c>
      <c r="AA35" t="s">
        <v>236</v>
      </c>
      <c r="AB35" s="1">
        <v>45580</v>
      </c>
      <c r="AC35">
        <v>10</v>
      </c>
      <c r="AD35">
        <v>10</v>
      </c>
      <c r="AE35">
        <v>600</v>
      </c>
      <c r="AF35" s="37">
        <f t="shared" si="17"/>
        <v>0.23044424529509666</v>
      </c>
      <c r="AG35">
        <v>12</v>
      </c>
      <c r="AH35" s="37">
        <f t="shared" si="18"/>
        <v>4.6885174734100279E-3</v>
      </c>
      <c r="AI35">
        <v>490</v>
      </c>
      <c r="AJ35" s="37">
        <f t="shared" si="19"/>
        <v>0.19384006781576718</v>
      </c>
      <c r="AK35">
        <v>170</v>
      </c>
      <c r="AL35" s="37">
        <f t="shared" si="20"/>
        <v>6.7250635772817174E-2</v>
      </c>
      <c r="AM35">
        <v>97</v>
      </c>
      <c r="AN35" s="37">
        <f t="shared" si="21"/>
        <v>3.8372421588019213E-2</v>
      </c>
      <c r="AO35">
        <v>267</v>
      </c>
      <c r="AQ35" s="59">
        <v>1369</v>
      </c>
      <c r="AR35" s="59">
        <f t="shared" si="22"/>
        <v>0.42897283058427388</v>
      </c>
      <c r="AS35">
        <v>2000</v>
      </c>
      <c r="AT35" s="37">
        <f t="shared" si="23"/>
        <v>0.74900522743231646</v>
      </c>
      <c r="AU35" t="s">
        <v>780</v>
      </c>
      <c r="AV35" t="s">
        <v>780</v>
      </c>
      <c r="AW35" t="s">
        <v>780</v>
      </c>
      <c r="AX35" t="s">
        <v>780</v>
      </c>
      <c r="AY35" t="s">
        <v>780</v>
      </c>
      <c r="AZ35" t="s">
        <v>780</v>
      </c>
      <c r="BA35" t="s">
        <v>780</v>
      </c>
      <c r="BB35" t="s">
        <v>780</v>
      </c>
      <c r="BC35" t="s">
        <v>780</v>
      </c>
      <c r="BD35" t="s">
        <v>780</v>
      </c>
      <c r="BE35" t="s">
        <v>780</v>
      </c>
      <c r="BF35" t="s">
        <v>780</v>
      </c>
      <c r="BG35" t="s">
        <v>780</v>
      </c>
      <c r="BH35" t="s">
        <v>780</v>
      </c>
      <c r="BI35" t="s">
        <v>780</v>
      </c>
      <c r="BJ35" t="s">
        <v>780</v>
      </c>
      <c r="BK35" t="s">
        <v>780</v>
      </c>
      <c r="BL35" t="s">
        <v>780</v>
      </c>
      <c r="BM35" t="s">
        <v>780</v>
      </c>
      <c r="BN35" t="s">
        <v>780</v>
      </c>
      <c r="BO35" s="58">
        <v>1200</v>
      </c>
      <c r="BP35" s="58">
        <v>63</v>
      </c>
      <c r="BQ35" s="58">
        <v>52</v>
      </c>
      <c r="BR35" s="58">
        <v>2</v>
      </c>
      <c r="BS35" s="58">
        <v>0.4</v>
      </c>
      <c r="BT35" s="58">
        <v>0.62</v>
      </c>
      <c r="BU35" s="58">
        <v>0.03</v>
      </c>
      <c r="BV35" s="58">
        <v>2E-3</v>
      </c>
      <c r="BW35" s="31">
        <f t="shared" si="24"/>
        <v>0.44940313645938984</v>
      </c>
      <c r="BX35" s="31">
        <f t="shared" si="25"/>
        <v>2.3181549379065643E-2</v>
      </c>
      <c r="BY35" s="31">
        <f t="shared" si="26"/>
        <v>1.9557745930873484E-2</v>
      </c>
      <c r="BZ35" s="31">
        <f t="shared" si="27"/>
        <v>7.4599927806521475E-4</v>
      </c>
      <c r="CA35" s="31">
        <f t="shared" si="28"/>
        <v>1.4812321158054199E-4</v>
      </c>
      <c r="CB35" s="31">
        <f t="shared" si="29"/>
        <v>2.2959097794984009E-4</v>
      </c>
      <c r="CC35" s="31">
        <f t="shared" si="30"/>
        <v>1.0976514215080345E-5</v>
      </c>
      <c r="CD35" s="31">
        <f t="shared" si="31"/>
        <v>7.3176761433868969E-7</v>
      </c>
      <c r="CE35">
        <v>1E-3</v>
      </c>
      <c r="CF35">
        <v>1E-3</v>
      </c>
      <c r="CG35">
        <v>2E-3</v>
      </c>
      <c r="CH35">
        <v>1E-3</v>
      </c>
      <c r="CI35">
        <v>1E-3</v>
      </c>
      <c r="CK35">
        <v>2E-3</v>
      </c>
      <c r="CL35">
        <v>1E-3</v>
      </c>
      <c r="CM35">
        <v>1E-3</v>
      </c>
      <c r="CN35" s="58">
        <f t="shared" si="60"/>
        <v>1318.0519999999999</v>
      </c>
      <c r="CO35" s="58">
        <f t="shared" si="32"/>
        <v>118.05200000000001</v>
      </c>
      <c r="CP35" s="31">
        <f t="shared" si="33"/>
        <v>0.49327785351875397</v>
      </c>
      <c r="CQ35" s="31">
        <f t="shared" si="34"/>
        <v>4.3874717059364146E-2</v>
      </c>
      <c r="CR35">
        <v>1400</v>
      </c>
      <c r="CS35">
        <v>2800</v>
      </c>
      <c r="CT35">
        <v>710</v>
      </c>
      <c r="CU35" t="s">
        <v>69</v>
      </c>
      <c r="CV35" t="s">
        <v>69</v>
      </c>
      <c r="CW35">
        <v>3500</v>
      </c>
      <c r="CX35" s="2">
        <f t="shared" si="3"/>
        <v>2769</v>
      </c>
      <c r="CZ35">
        <v>64</v>
      </c>
      <c r="DA35" t="s">
        <v>62</v>
      </c>
      <c r="DB35" t="s">
        <v>88</v>
      </c>
      <c r="DC35" t="s">
        <v>782</v>
      </c>
      <c r="DD35" s="37">
        <f t="shared" si="4"/>
        <v>24.996044139079739</v>
      </c>
      <c r="DE35" s="37">
        <f t="shared" si="63"/>
        <v>24.996044139079739</v>
      </c>
      <c r="DF35" s="37">
        <v>3.6</v>
      </c>
      <c r="DG35" s="37">
        <f t="shared" si="5"/>
        <v>6.445837063563116E-2</v>
      </c>
      <c r="DH35" s="37">
        <f t="shared" si="36"/>
        <v>6.445837063563116E-2</v>
      </c>
      <c r="DI35" s="37">
        <f t="shared" si="6"/>
        <v>28.596044139079741</v>
      </c>
      <c r="DJ35" s="37">
        <f t="shared" si="37"/>
        <v>0.51201511439713054</v>
      </c>
      <c r="DK35" s="37">
        <f t="shared" si="38"/>
        <v>0.51201511439713054</v>
      </c>
      <c r="DL35" s="55">
        <f t="shared" si="39"/>
        <v>8.7195502810743282</v>
      </c>
      <c r="DM35" s="55">
        <f t="shared" si="39"/>
        <v>8.7195502810743282</v>
      </c>
      <c r="DN35" s="37">
        <f t="shared" si="40"/>
        <v>12.319550281074328</v>
      </c>
      <c r="DO35" s="55">
        <f t="shared" si="41"/>
        <v>0.2205828161338286</v>
      </c>
      <c r="DP35" s="55">
        <f t="shared" si="42"/>
        <v>0.2205828161338286</v>
      </c>
      <c r="DQ35" s="37">
        <v>2</v>
      </c>
      <c r="DR35" s="37">
        <f t="shared" si="43"/>
        <v>3.6409976333515386E-2</v>
      </c>
      <c r="DS35" s="37">
        <f t="shared" si="44"/>
        <v>7.2819952667030771E-2</v>
      </c>
      <c r="DT35" s="37">
        <f t="shared" si="7"/>
        <v>14.062495116917189</v>
      </c>
      <c r="DU35" s="37">
        <f t="shared" si="8"/>
        <v>7.0312475584585945</v>
      </c>
      <c r="DV35" s="37">
        <f t="shared" si="45"/>
        <v>30.596044139079741</v>
      </c>
      <c r="DW35" s="37">
        <f t="shared" si="9"/>
        <v>0.58483506706416133</v>
      </c>
      <c r="DX35">
        <v>21</v>
      </c>
      <c r="DY35" t="s">
        <v>162</v>
      </c>
      <c r="DZ35" s="29">
        <f t="shared" si="67"/>
        <v>1</v>
      </c>
      <c r="EA35" s="30">
        <v>1.7000000000000001E-2</v>
      </c>
      <c r="EB35" s="30">
        <f t="shared" si="47"/>
        <v>2.741935483870968E-4</v>
      </c>
      <c r="EC35" s="30">
        <f t="shared" si="48"/>
        <v>1.370967741935484E-3</v>
      </c>
      <c r="ED35" s="31">
        <f t="shared" si="65"/>
        <v>43</v>
      </c>
      <c r="EE35" s="33">
        <f t="shared" si="66"/>
        <v>55.128205128205131</v>
      </c>
      <c r="EF35" s="37">
        <f t="shared" si="11"/>
        <v>3.5810951488652925</v>
      </c>
      <c r="EG35" s="37">
        <f>$EK53-EK35</f>
        <v>15</v>
      </c>
      <c r="EH35" s="33">
        <f>(EG35/EK53)*100</f>
        <v>30</v>
      </c>
      <c r="EI35" s="37">
        <f t="shared" si="62"/>
        <v>1.2492192379762648</v>
      </c>
      <c r="EJ35" s="37">
        <f t="shared" si="64"/>
        <v>1.2492192379762648</v>
      </c>
      <c r="EK35" s="31">
        <v>35</v>
      </c>
      <c r="EL35" s="31">
        <f t="shared" si="50"/>
        <v>0.36435561107641057</v>
      </c>
      <c r="EM35" s="31">
        <f t="shared" si="51"/>
        <v>2.9148448886112845</v>
      </c>
      <c r="EN35" s="32">
        <f t="shared" si="13"/>
        <v>2.9162158563532201</v>
      </c>
      <c r="EO35" s="39">
        <f t="shared" si="52"/>
        <v>4.1659302159294533</v>
      </c>
      <c r="EP35" s="37">
        <f t="shared" si="14"/>
        <v>1.7479878176688095E-2</v>
      </c>
      <c r="EQ35" s="37">
        <f t="shared" si="15"/>
        <v>0.12290535075199184</v>
      </c>
      <c r="ER35" s="37">
        <f t="shared" si="16"/>
        <v>0.85961477107132023</v>
      </c>
      <c r="ES35" s="39">
        <f t="shared" si="53"/>
        <v>1.5426220067771241</v>
      </c>
      <c r="ET35" s="55">
        <f t="shared" si="54"/>
        <v>14.299213622310141</v>
      </c>
      <c r="EU35" s="55">
        <f t="shared" si="55"/>
        <v>4.7205311701190906</v>
      </c>
      <c r="EV35" s="55">
        <f t="shared" si="56"/>
        <v>80.980255207570778</v>
      </c>
      <c r="EW35" t="s">
        <v>470</v>
      </c>
      <c r="EX35" t="s">
        <v>471</v>
      </c>
      <c r="EY35">
        <v>-75</v>
      </c>
      <c r="EZ35" t="s">
        <v>165</v>
      </c>
      <c r="FA35">
        <v>879</v>
      </c>
      <c r="FB35" t="s">
        <v>113</v>
      </c>
      <c r="FC35" t="s">
        <v>88</v>
      </c>
      <c r="FD35" s="39">
        <f t="shared" si="57"/>
        <v>-2.9879521579128632</v>
      </c>
      <c r="FE35" s="39">
        <f t="shared" si="61"/>
        <v>-2.9440774408534987</v>
      </c>
      <c r="FF35" s="39">
        <f t="shared" si="58"/>
        <v>-0.36464394876053374</v>
      </c>
      <c r="FG35" s="39">
        <f t="shared" si="59"/>
        <v>-0.32076923170116967</v>
      </c>
    </row>
    <row r="36" spans="1:163" ht="15.75" x14ac:dyDescent="0.25">
      <c r="A36" s="4" t="s">
        <v>294</v>
      </c>
      <c r="B36" s="4" t="s">
        <v>294</v>
      </c>
      <c r="C36" s="3" t="s">
        <v>825</v>
      </c>
      <c r="D36" s="3" t="s">
        <v>825</v>
      </c>
      <c r="E36" s="3" t="s">
        <v>1120</v>
      </c>
      <c r="F36" s="3" t="s">
        <v>1013</v>
      </c>
      <c r="G36" s="3" t="s">
        <v>772</v>
      </c>
      <c r="H36" s="3" t="str">
        <f t="shared" si="0"/>
        <v>CW_1_Section_1</v>
      </c>
      <c r="I36" s="3" t="str">
        <f t="shared" si="1"/>
        <v>CW_1_MF01</v>
      </c>
      <c r="J36" s="3" t="s">
        <v>1488</v>
      </c>
      <c r="K36" s="3" t="s">
        <v>1484</v>
      </c>
      <c r="L36" s="11" t="s">
        <v>1014</v>
      </c>
      <c r="M36" s="3" t="s">
        <v>1015</v>
      </c>
      <c r="N36" s="3" t="s">
        <v>1015</v>
      </c>
      <c r="O36" s="12" t="s">
        <v>1016</v>
      </c>
      <c r="P36" s="3" t="s">
        <v>1121</v>
      </c>
      <c r="Q36" s="3" t="s">
        <v>1018</v>
      </c>
      <c r="R36" s="3" t="s">
        <v>1111</v>
      </c>
      <c r="S36" s="3" t="str">
        <f t="shared" si="2"/>
        <v>T1_0.15-0.30</v>
      </c>
      <c r="T36" s="13" t="s">
        <v>1112</v>
      </c>
      <c r="U36" s="3" t="s">
        <v>1113</v>
      </c>
      <c r="V36" s="3">
        <v>150</v>
      </c>
      <c r="W36" s="3">
        <v>100</v>
      </c>
      <c r="X36" s="14">
        <v>8.6</v>
      </c>
      <c r="Y36" s="3">
        <v>35</v>
      </c>
      <c r="Z36" t="s">
        <v>473</v>
      </c>
      <c r="AA36" t="s">
        <v>137</v>
      </c>
      <c r="AB36" s="1">
        <v>45580</v>
      </c>
      <c r="AC36">
        <v>17</v>
      </c>
      <c r="AD36">
        <v>11</v>
      </c>
      <c r="AE36">
        <v>420</v>
      </c>
      <c r="AF36" s="37">
        <f t="shared" si="17"/>
        <v>0.16131097170656766</v>
      </c>
      <c r="AG36">
        <v>17</v>
      </c>
      <c r="AH36" s="37">
        <f t="shared" si="18"/>
        <v>6.6420664206642069E-3</v>
      </c>
      <c r="AI36">
        <v>150</v>
      </c>
      <c r="AJ36" s="37">
        <f t="shared" si="19"/>
        <v>5.9338796270132804E-2</v>
      </c>
      <c r="AK36">
        <v>110</v>
      </c>
      <c r="AL36" s="37">
        <f t="shared" si="20"/>
        <v>4.3515117264764057E-2</v>
      </c>
      <c r="AM36">
        <v>63</v>
      </c>
      <c r="AN36" s="37">
        <f t="shared" si="21"/>
        <v>2.4922294433455779E-2</v>
      </c>
      <c r="AO36">
        <v>173</v>
      </c>
      <c r="AQ36" s="59">
        <v>760</v>
      </c>
      <c r="AR36" s="59">
        <f t="shared" si="22"/>
        <v>0.22729183439736467</v>
      </c>
      <c r="AS36">
        <v>120</v>
      </c>
      <c r="AT36" s="37">
        <f t="shared" si="23"/>
        <v>4.4940313645938985E-2</v>
      </c>
      <c r="AU36" t="s">
        <v>780</v>
      </c>
      <c r="AV36" t="s">
        <v>780</v>
      </c>
      <c r="AW36" t="s">
        <v>780</v>
      </c>
      <c r="AX36" t="s">
        <v>780</v>
      </c>
      <c r="AY36" t="s">
        <v>780</v>
      </c>
      <c r="AZ36" t="s">
        <v>780</v>
      </c>
      <c r="BA36" t="s">
        <v>780</v>
      </c>
      <c r="BB36" t="s">
        <v>780</v>
      </c>
      <c r="BC36" t="s">
        <v>780</v>
      </c>
      <c r="BD36" t="s">
        <v>780</v>
      </c>
      <c r="BE36" t="s">
        <v>780</v>
      </c>
      <c r="BF36" t="s">
        <v>780</v>
      </c>
      <c r="BG36" t="s">
        <v>780</v>
      </c>
      <c r="BH36" t="s">
        <v>780</v>
      </c>
      <c r="BI36" t="s">
        <v>780</v>
      </c>
      <c r="BJ36" t="s">
        <v>780</v>
      </c>
      <c r="BK36" t="s">
        <v>780</v>
      </c>
      <c r="BL36" t="s">
        <v>780</v>
      </c>
      <c r="BM36" t="s">
        <v>780</v>
      </c>
      <c r="BN36" t="s">
        <v>780</v>
      </c>
      <c r="BO36" s="58">
        <v>100</v>
      </c>
      <c r="BP36" s="58">
        <v>0.01</v>
      </c>
      <c r="BQ36" s="58">
        <v>0.01</v>
      </c>
      <c r="BR36" s="58">
        <v>5.0000000000000001E-3</v>
      </c>
      <c r="BS36" s="58">
        <v>0.04</v>
      </c>
      <c r="BT36" s="58">
        <v>1E-3</v>
      </c>
      <c r="BU36" s="58">
        <v>1E-3</v>
      </c>
      <c r="BV36" s="58">
        <v>2E-3</v>
      </c>
      <c r="BW36" s="31">
        <f t="shared" si="24"/>
        <v>3.745026137161582E-2</v>
      </c>
      <c r="BX36" s="31">
        <f t="shared" si="25"/>
        <v>3.6796110125501018E-6</v>
      </c>
      <c r="BY36" s="31">
        <f t="shared" si="26"/>
        <v>3.7611049867064394E-6</v>
      </c>
      <c r="BZ36" s="31">
        <f t="shared" si="27"/>
        <v>1.8649981951630372E-6</v>
      </c>
      <c r="CA36" s="31">
        <f t="shared" si="28"/>
        <v>1.4812321158054199E-5</v>
      </c>
      <c r="CB36" s="31">
        <f t="shared" si="29"/>
        <v>3.7030802895135499E-7</v>
      </c>
      <c r="CC36" s="31">
        <f t="shared" si="30"/>
        <v>3.6588380716934485E-7</v>
      </c>
      <c r="CD36" s="31">
        <f t="shared" si="31"/>
        <v>7.3176761433868969E-7</v>
      </c>
      <c r="CE36">
        <v>1E-3</v>
      </c>
      <c r="CF36">
        <v>1E-3</v>
      </c>
      <c r="CG36">
        <v>2E-3</v>
      </c>
      <c r="CH36">
        <v>1E-3</v>
      </c>
      <c r="CI36">
        <v>1E-3</v>
      </c>
      <c r="CK36">
        <v>2E-3</v>
      </c>
      <c r="CL36">
        <v>1E-3</v>
      </c>
      <c r="CM36">
        <v>1E-3</v>
      </c>
      <c r="CN36" s="58">
        <f t="shared" si="60"/>
        <v>100.06900000000002</v>
      </c>
      <c r="CO36" s="58">
        <f t="shared" si="32"/>
        <v>6.9000000000000006E-2</v>
      </c>
      <c r="CP36" s="31">
        <f t="shared" si="33"/>
        <v>3.7475847366418749E-2</v>
      </c>
      <c r="CQ36" s="31">
        <f t="shared" si="34"/>
        <v>2.5585994802933168E-5</v>
      </c>
      <c r="CR36">
        <v>100</v>
      </c>
      <c r="CS36">
        <v>250</v>
      </c>
      <c r="CT36" t="s">
        <v>69</v>
      </c>
      <c r="CU36" t="s">
        <v>69</v>
      </c>
      <c r="CV36" t="s">
        <v>69</v>
      </c>
      <c r="CW36">
        <v>260</v>
      </c>
      <c r="CX36" s="2">
        <f t="shared" si="3"/>
        <v>860</v>
      </c>
      <c r="CZ36">
        <v>65</v>
      </c>
      <c r="DA36" t="s">
        <v>62</v>
      </c>
      <c r="DB36" t="s">
        <v>88</v>
      </c>
      <c r="DC36" t="s">
        <v>782</v>
      </c>
      <c r="DD36" s="37">
        <f t="shared" si="4"/>
        <v>45.051009785550697</v>
      </c>
      <c r="DE36" s="37">
        <f t="shared" si="63"/>
        <v>45.051009785550697</v>
      </c>
      <c r="DF36" s="37">
        <v>26</v>
      </c>
      <c r="DG36" s="37">
        <f t="shared" si="5"/>
        <v>0.46553267681289168</v>
      </c>
      <c r="DH36" s="37">
        <f t="shared" si="36"/>
        <v>0.46553267681289168</v>
      </c>
      <c r="DI36" s="37">
        <f t="shared" si="6"/>
        <v>71.05100978555069</v>
      </c>
      <c r="DJ36" s="37">
        <f t="shared" si="37"/>
        <v>1.2721756452202451</v>
      </c>
      <c r="DK36" s="37">
        <f t="shared" si="38"/>
        <v>1.2721756452202451</v>
      </c>
      <c r="DL36" s="55">
        <f t="shared" si="39"/>
        <v>45.051009785550697</v>
      </c>
      <c r="DM36" s="55">
        <f t="shared" si="39"/>
        <v>45.051009785550697</v>
      </c>
      <c r="DN36" s="37">
        <f t="shared" si="40"/>
        <v>71.05100978555069</v>
      </c>
      <c r="DO36" s="55">
        <f t="shared" si="41"/>
        <v>1.2721756452202451</v>
      </c>
      <c r="DP36" s="55">
        <f t="shared" si="42"/>
        <v>1.2721756452202451</v>
      </c>
      <c r="DQ36" s="37">
        <v>5.3</v>
      </c>
      <c r="DR36" s="37">
        <f t="shared" si="43"/>
        <v>9.6486437283815757E-2</v>
      </c>
      <c r="DS36" s="37">
        <f t="shared" si="44"/>
        <v>0.19297287456763151</v>
      </c>
      <c r="DT36" s="37">
        <f t="shared" si="7"/>
        <v>13.185020413575106</v>
      </c>
      <c r="DU36" s="37">
        <f t="shared" si="8"/>
        <v>6.5925102067875532</v>
      </c>
      <c r="DV36" s="37">
        <f t="shared" si="45"/>
        <v>76.351009785550687</v>
      </c>
      <c r="DW36" s="37">
        <f t="shared" si="9"/>
        <v>1.4651485197878766</v>
      </c>
      <c r="DX36">
        <v>26</v>
      </c>
      <c r="DY36" t="s">
        <v>80</v>
      </c>
      <c r="DZ36" s="29">
        <f t="shared" si="67"/>
        <v>1</v>
      </c>
      <c r="EA36" s="30">
        <v>1.7000000000000001E-2</v>
      </c>
      <c r="EB36" s="30">
        <f t="shared" si="47"/>
        <v>2.741935483870968E-4</v>
      </c>
      <c r="EC36" s="30">
        <f t="shared" si="48"/>
        <v>1.370967741935484E-3</v>
      </c>
      <c r="ED36" s="31">
        <f t="shared" si="65"/>
        <v>77.5</v>
      </c>
      <c r="EE36" s="33">
        <f t="shared" si="66"/>
        <v>99.358974358974365</v>
      </c>
      <c r="EF36" s="37">
        <f t="shared" si="11"/>
        <v>6.4542993962107014</v>
      </c>
      <c r="EG36" s="37">
        <f>$EK$32-EK36</f>
        <v>77.5</v>
      </c>
      <c r="EH36" s="33">
        <f>(EG36/$EK$32)*100</f>
        <v>99.358974358974365</v>
      </c>
      <c r="EI36" s="37">
        <f t="shared" si="62"/>
        <v>6.4542993962107014</v>
      </c>
      <c r="EJ36" s="37">
        <f t="shared" si="64"/>
        <v>6.4542993962107014</v>
      </c>
      <c r="EK36" s="31">
        <v>0.5</v>
      </c>
      <c r="EL36" s="31">
        <f t="shared" si="50"/>
        <v>5.2050801582344368E-3</v>
      </c>
      <c r="EM36" s="31">
        <f t="shared" si="51"/>
        <v>4.1640641265875494E-2</v>
      </c>
      <c r="EN36" s="32">
        <f t="shared" si="13"/>
        <v>4.301160900781098E-2</v>
      </c>
      <c r="EO36" s="39">
        <f t="shared" si="52"/>
        <v>7.9194479159985782</v>
      </c>
      <c r="EP36" s="37">
        <f t="shared" si="14"/>
        <v>2.4366960502107071E-2</v>
      </c>
      <c r="EQ36" s="37">
        <f t="shared" si="15"/>
        <v>0.16063943581853005</v>
      </c>
      <c r="ER36" s="37">
        <f t="shared" si="16"/>
        <v>0.81499360367936291</v>
      </c>
      <c r="ES36" s="39">
        <f t="shared" si="53"/>
        <v>7.9194479159985782</v>
      </c>
      <c r="ET36" s="55">
        <f t="shared" si="54"/>
        <v>16.063943581853003</v>
      </c>
      <c r="EU36" s="55">
        <f t="shared" si="55"/>
        <v>2.4366960502107071</v>
      </c>
      <c r="EV36" s="55">
        <f t="shared" si="56"/>
        <v>81.499360367936291</v>
      </c>
      <c r="EW36" t="s">
        <v>187</v>
      </c>
      <c r="EX36" t="s">
        <v>474</v>
      </c>
      <c r="EY36">
        <v>-113</v>
      </c>
      <c r="EZ36" t="s">
        <v>202</v>
      </c>
      <c r="FA36">
        <v>797</v>
      </c>
      <c r="FB36" t="s">
        <v>113</v>
      </c>
      <c r="FC36" t="s">
        <v>88</v>
      </c>
      <c r="FD36" s="39">
        <f t="shared" si="57"/>
        <v>-7.6472157679552746</v>
      </c>
      <c r="FE36" s="39">
        <f t="shared" si="61"/>
        <v>-7.6471901819604717</v>
      </c>
      <c r="FF36" s="39">
        <f t="shared" si="58"/>
        <v>-7.6472157679552746</v>
      </c>
      <c r="FG36" s="39">
        <f t="shared" si="59"/>
        <v>-7.6471901819604717</v>
      </c>
    </row>
    <row r="37" spans="1:163" ht="15.75" x14ac:dyDescent="0.25">
      <c r="A37" s="4" t="s">
        <v>295</v>
      </c>
      <c r="B37" s="4" t="s">
        <v>295</v>
      </c>
      <c r="C37" s="3" t="s">
        <v>826</v>
      </c>
      <c r="D37" s="3" t="s">
        <v>826</v>
      </c>
      <c r="E37" s="3" t="s">
        <v>1122</v>
      </c>
      <c r="F37" s="3" t="s">
        <v>1013</v>
      </c>
      <c r="G37" s="3" t="s">
        <v>772</v>
      </c>
      <c r="H37" s="3" t="str">
        <f t="shared" si="0"/>
        <v>CW_1_Section_1</v>
      </c>
      <c r="I37" s="3" t="str">
        <f t="shared" si="1"/>
        <v>CW_1_MF02</v>
      </c>
      <c r="J37" s="3" t="s">
        <v>1489</v>
      </c>
      <c r="K37" s="3" t="s">
        <v>1484</v>
      </c>
      <c r="L37" s="11" t="s">
        <v>1023</v>
      </c>
      <c r="M37" s="3" t="s">
        <v>1024</v>
      </c>
      <c r="N37" s="3" t="s">
        <v>1024</v>
      </c>
      <c r="O37" s="12" t="s">
        <v>1016</v>
      </c>
      <c r="P37" s="3" t="s">
        <v>1123</v>
      </c>
      <c r="Q37" s="3" t="s">
        <v>1018</v>
      </c>
      <c r="R37" s="3" t="s">
        <v>1111</v>
      </c>
      <c r="S37" s="3" t="str">
        <f t="shared" si="2"/>
        <v>T1_0.60-0.80</v>
      </c>
      <c r="T37" s="13" t="s">
        <v>1112</v>
      </c>
      <c r="U37" s="3" t="s">
        <v>1113</v>
      </c>
      <c r="V37" s="3">
        <v>150</v>
      </c>
      <c r="W37" s="3">
        <v>100</v>
      </c>
      <c r="X37" s="14">
        <v>3.85</v>
      </c>
      <c r="Y37" s="3">
        <v>36</v>
      </c>
      <c r="Z37" t="s">
        <v>475</v>
      </c>
      <c r="AA37" t="s">
        <v>153</v>
      </c>
      <c r="AB37" s="1">
        <v>45580</v>
      </c>
      <c r="AC37">
        <v>12</v>
      </c>
      <c r="AD37">
        <v>13</v>
      </c>
      <c r="AE37">
        <v>590</v>
      </c>
      <c r="AF37" s="37">
        <f t="shared" si="17"/>
        <v>0.22660350787351172</v>
      </c>
      <c r="AG37">
        <v>55</v>
      </c>
      <c r="AH37" s="37">
        <f t="shared" si="18"/>
        <v>2.1489038419795964E-2</v>
      </c>
      <c r="AI37">
        <v>460</v>
      </c>
      <c r="AJ37" s="37">
        <f t="shared" si="19"/>
        <v>0.1819723085617406</v>
      </c>
      <c r="AK37">
        <v>180</v>
      </c>
      <c r="AL37" s="37">
        <f t="shared" si="20"/>
        <v>7.120655552415936E-2</v>
      </c>
      <c r="AM37">
        <v>180</v>
      </c>
      <c r="AN37" s="37">
        <f t="shared" si="21"/>
        <v>7.120655552415936E-2</v>
      </c>
      <c r="AO37">
        <v>360</v>
      </c>
      <c r="AQ37" s="59">
        <v>1465</v>
      </c>
      <c r="AR37" s="59">
        <f t="shared" si="22"/>
        <v>0.43006485485504831</v>
      </c>
      <c r="AS37">
        <v>3400</v>
      </c>
      <c r="AT37" s="37">
        <f t="shared" si="23"/>
        <v>1.273308886634938</v>
      </c>
      <c r="AU37" t="s">
        <v>780</v>
      </c>
      <c r="AV37" t="s">
        <v>780</v>
      </c>
      <c r="AW37" t="s">
        <v>780</v>
      </c>
      <c r="AX37" t="s">
        <v>780</v>
      </c>
      <c r="AY37" t="s">
        <v>780</v>
      </c>
      <c r="AZ37" t="s">
        <v>780</v>
      </c>
      <c r="BA37" t="s">
        <v>780</v>
      </c>
      <c r="BB37" t="s">
        <v>780</v>
      </c>
      <c r="BC37" t="s">
        <v>780</v>
      </c>
      <c r="BD37" t="s">
        <v>780</v>
      </c>
      <c r="BE37" t="s">
        <v>780</v>
      </c>
      <c r="BF37" t="s">
        <v>780</v>
      </c>
      <c r="BG37" t="s">
        <v>780</v>
      </c>
      <c r="BH37" t="s">
        <v>780</v>
      </c>
      <c r="BI37" t="s">
        <v>780</v>
      </c>
      <c r="BJ37" t="s">
        <v>780</v>
      </c>
      <c r="BK37" t="s">
        <v>780</v>
      </c>
      <c r="BL37" t="s">
        <v>780</v>
      </c>
      <c r="BM37" t="s">
        <v>780</v>
      </c>
      <c r="BN37" t="s">
        <v>780</v>
      </c>
      <c r="BO37" s="58">
        <v>2700</v>
      </c>
      <c r="BP37" s="58">
        <v>85</v>
      </c>
      <c r="BQ37" s="58">
        <v>82</v>
      </c>
      <c r="BR37" s="58">
        <v>34</v>
      </c>
      <c r="BS37" s="58">
        <v>18</v>
      </c>
      <c r="BT37" s="58">
        <v>0.4</v>
      </c>
      <c r="BU37" s="58">
        <v>0.88</v>
      </c>
      <c r="BV37" s="58">
        <v>0.78</v>
      </c>
      <c r="BW37" s="31">
        <f t="shared" si="24"/>
        <v>1.0111570570336272</v>
      </c>
      <c r="BX37" s="31">
        <f t="shared" si="25"/>
        <v>3.1276693606675864E-2</v>
      </c>
      <c r="BY37" s="31">
        <f t="shared" si="26"/>
        <v>3.08410608909928E-2</v>
      </c>
      <c r="BZ37" s="31">
        <f t="shared" si="27"/>
        <v>1.2681987727108652E-2</v>
      </c>
      <c r="CA37" s="31">
        <f t="shared" si="28"/>
        <v>6.66554452112439E-3</v>
      </c>
      <c r="CB37" s="31">
        <f t="shared" si="29"/>
        <v>1.4812321158054199E-4</v>
      </c>
      <c r="CC37" s="31">
        <f t="shared" si="30"/>
        <v>3.219777503090235E-4</v>
      </c>
      <c r="CD37" s="31">
        <f t="shared" si="31"/>
        <v>2.8538936959208902E-4</v>
      </c>
      <c r="CE37">
        <v>1E-3</v>
      </c>
      <c r="CF37">
        <v>1E-3</v>
      </c>
      <c r="CG37">
        <v>2E-3</v>
      </c>
      <c r="CH37">
        <v>1E-3</v>
      </c>
      <c r="CI37">
        <v>1E-3</v>
      </c>
      <c r="CK37">
        <v>2E-3</v>
      </c>
      <c r="CL37">
        <v>1E-3</v>
      </c>
      <c r="CM37">
        <v>1E-3</v>
      </c>
      <c r="CN37" s="58">
        <f t="shared" si="60"/>
        <v>2921.0600000000004</v>
      </c>
      <c r="CO37" s="58">
        <f t="shared" si="32"/>
        <v>221.06</v>
      </c>
      <c r="CP37" s="31">
        <f t="shared" si="33"/>
        <v>1.0933778341110105</v>
      </c>
      <c r="CQ37" s="31">
        <f t="shared" si="34"/>
        <v>8.2220777077383372E-2</v>
      </c>
      <c r="CR37">
        <v>2900</v>
      </c>
      <c r="CS37">
        <v>6000</v>
      </c>
      <c r="CT37">
        <v>1800</v>
      </c>
      <c r="CU37" t="s">
        <v>69</v>
      </c>
      <c r="CV37">
        <v>45</v>
      </c>
      <c r="CW37">
        <v>7800</v>
      </c>
      <c r="CX37" s="2">
        <f t="shared" si="3"/>
        <v>4365</v>
      </c>
      <c r="CZ37">
        <v>68</v>
      </c>
      <c r="DA37" t="s">
        <v>62</v>
      </c>
      <c r="DB37" t="s">
        <v>88</v>
      </c>
      <c r="DC37" t="s">
        <v>782</v>
      </c>
      <c r="DD37" s="37">
        <f t="shared" si="4"/>
        <v>6.9756402248594629</v>
      </c>
      <c r="DE37" s="37">
        <f t="shared" si="63"/>
        <v>6.9756402248594629</v>
      </c>
      <c r="DF37" s="37">
        <v>0.6</v>
      </c>
      <c r="DG37" s="37">
        <f t="shared" si="5"/>
        <v>1.0743061772605192E-2</v>
      </c>
      <c r="DH37" s="37">
        <f t="shared" si="36"/>
        <v>1.0743061772605192E-2</v>
      </c>
      <c r="DI37" s="37">
        <f t="shared" si="6"/>
        <v>7.5756402248594625</v>
      </c>
      <c r="DJ37" s="37">
        <f t="shared" si="37"/>
        <v>0.13564261817116316</v>
      </c>
      <c r="DK37" s="37">
        <f t="shared" si="38"/>
        <v>0.13564261817116316</v>
      </c>
      <c r="DL37" s="55">
        <f t="shared" si="39"/>
        <v>6.9756402248594629</v>
      </c>
      <c r="DM37" s="55">
        <f t="shared" si="39"/>
        <v>6.9756402248594629</v>
      </c>
      <c r="DN37" s="37">
        <f t="shared" si="40"/>
        <v>7.5756402248594625</v>
      </c>
      <c r="DO37" s="55">
        <f t="shared" si="41"/>
        <v>0.13564261817116316</v>
      </c>
      <c r="DP37" s="55">
        <f t="shared" si="42"/>
        <v>0.13564261817116316</v>
      </c>
      <c r="DQ37" s="37">
        <v>1</v>
      </c>
      <c r="DR37" s="37">
        <f t="shared" si="43"/>
        <v>1.8204988166757693E-2</v>
      </c>
      <c r="DS37" s="37">
        <f t="shared" si="44"/>
        <v>3.6409976333515386E-2</v>
      </c>
      <c r="DT37" s="37">
        <f t="shared" si="7"/>
        <v>7.4508490161419916</v>
      </c>
      <c r="DU37" s="37">
        <f t="shared" si="8"/>
        <v>3.7254245080709958</v>
      </c>
      <c r="DV37" s="37">
        <f t="shared" si="45"/>
        <v>8.5756402248594625</v>
      </c>
      <c r="DW37" s="37">
        <f t="shared" si="9"/>
        <v>0.17205259450467855</v>
      </c>
      <c r="DX37">
        <v>24</v>
      </c>
      <c r="DY37" t="s">
        <v>101</v>
      </c>
      <c r="DZ37" s="29">
        <f t="shared" si="67"/>
        <v>1</v>
      </c>
      <c r="EA37" s="30">
        <v>1.7000000000000001E-2</v>
      </c>
      <c r="EB37" s="30">
        <f t="shared" si="47"/>
        <v>2.741935483870968E-4</v>
      </c>
      <c r="EC37" s="30">
        <f t="shared" si="48"/>
        <v>1.370967741935484E-3</v>
      </c>
      <c r="ED37" s="31">
        <f t="shared" si="65"/>
        <v>12</v>
      </c>
      <c r="EE37" s="33">
        <f t="shared" si="66"/>
        <v>15.384615384615385</v>
      </c>
      <c r="EF37" s="37">
        <f t="shared" si="11"/>
        <v>0.99937539038101186</v>
      </c>
      <c r="EG37" s="37">
        <f>$EK$32-EK37</f>
        <v>12</v>
      </c>
      <c r="EH37" s="33">
        <f>(EG37/$EK$32)*100</f>
        <v>15.384615384615385</v>
      </c>
      <c r="EI37" s="37">
        <f t="shared" si="62"/>
        <v>0.99937539038101186</v>
      </c>
      <c r="EJ37" s="37">
        <f t="shared" si="64"/>
        <v>0.99937539038101186</v>
      </c>
      <c r="EK37" s="31">
        <v>66</v>
      </c>
      <c r="EL37" s="31">
        <f t="shared" si="50"/>
        <v>0.68707058088694561</v>
      </c>
      <c r="EM37" s="31">
        <f t="shared" si="51"/>
        <v>5.4965646470955649</v>
      </c>
      <c r="EN37" s="32">
        <f t="shared" si="13"/>
        <v>5.4979356148375</v>
      </c>
      <c r="EO37" s="39">
        <f t="shared" si="52"/>
        <v>1.1714279848856903</v>
      </c>
      <c r="EP37" s="37">
        <f t="shared" si="14"/>
        <v>3.1081702676813143E-2</v>
      </c>
      <c r="EQ37" s="37">
        <f t="shared" si="15"/>
        <v>0.11579253690477556</v>
      </c>
      <c r="ER37" s="37">
        <f t="shared" si="16"/>
        <v>0.85312576041841137</v>
      </c>
      <c r="ES37" s="39">
        <f t="shared" si="53"/>
        <v>1.1714279848856903</v>
      </c>
      <c r="ET37" s="55">
        <f t="shared" si="54"/>
        <v>11.579253690477556</v>
      </c>
      <c r="EU37" s="55">
        <f t="shared" si="55"/>
        <v>3.1081702676813143</v>
      </c>
      <c r="EV37" s="55">
        <f t="shared" si="56"/>
        <v>85.31257604184114</v>
      </c>
      <c r="EW37" t="s">
        <v>149</v>
      </c>
      <c r="EX37">
        <v>13</v>
      </c>
      <c r="EY37">
        <v>-141</v>
      </c>
      <c r="EZ37" t="s">
        <v>259</v>
      </c>
      <c r="FA37">
        <v>1215</v>
      </c>
      <c r="FB37" t="s">
        <v>113</v>
      </c>
      <c r="FC37" t="s">
        <v>88</v>
      </c>
      <c r="FD37" s="39">
        <f t="shared" si="57"/>
        <v>0.53194575660429599</v>
      </c>
      <c r="FE37" s="39">
        <f t="shared" si="61"/>
        <v>0.61416653368167928</v>
      </c>
      <c r="FF37" s="39">
        <f t="shared" si="58"/>
        <v>0.53194575660429599</v>
      </c>
      <c r="FG37" s="39">
        <f t="shared" si="59"/>
        <v>0.61416653368167928</v>
      </c>
    </row>
    <row r="38" spans="1:163" ht="15.75" x14ac:dyDescent="0.25">
      <c r="A38" s="4" t="s">
        <v>296</v>
      </c>
      <c r="B38" s="4" t="s">
        <v>296</v>
      </c>
      <c r="C38" s="3" t="s">
        <v>827</v>
      </c>
      <c r="D38" s="3" t="s">
        <v>827</v>
      </c>
      <c r="E38" s="3" t="s">
        <v>1124</v>
      </c>
      <c r="F38" s="3" t="s">
        <v>1027</v>
      </c>
      <c r="G38" s="3" t="s">
        <v>772</v>
      </c>
      <c r="H38" s="3" t="str">
        <f t="shared" si="0"/>
        <v>CW_1_Section_2</v>
      </c>
      <c r="I38" s="3" t="str">
        <f t="shared" si="1"/>
        <v>CW_1_MF05</v>
      </c>
      <c r="J38" s="3" t="s">
        <v>1496</v>
      </c>
      <c r="K38" s="3" t="s">
        <v>1484</v>
      </c>
      <c r="L38" s="11" t="s">
        <v>1028</v>
      </c>
      <c r="M38" s="3" t="s">
        <v>1015</v>
      </c>
      <c r="N38" s="3" t="s">
        <v>1015</v>
      </c>
      <c r="O38" s="12" t="s">
        <v>1016</v>
      </c>
      <c r="P38" s="3" t="s">
        <v>1125</v>
      </c>
      <c r="Q38" s="3" t="s">
        <v>1018</v>
      </c>
      <c r="R38" s="3" t="s">
        <v>1111</v>
      </c>
      <c r="S38" s="3" t="str">
        <f t="shared" si="2"/>
        <v>T1_0.15-0.30</v>
      </c>
      <c r="T38" s="13" t="s">
        <v>1112</v>
      </c>
      <c r="U38" s="3" t="s">
        <v>1113</v>
      </c>
      <c r="V38" s="3">
        <v>150</v>
      </c>
      <c r="W38" s="3">
        <v>100</v>
      </c>
      <c r="X38" s="14">
        <v>5.6</v>
      </c>
      <c r="Y38" s="3">
        <v>37</v>
      </c>
      <c r="Z38" t="s">
        <v>479</v>
      </c>
      <c r="AA38" t="s">
        <v>167</v>
      </c>
      <c r="AB38" s="1">
        <v>45580</v>
      </c>
      <c r="AC38">
        <v>39</v>
      </c>
      <c r="AD38">
        <v>17</v>
      </c>
      <c r="AE38">
        <v>720</v>
      </c>
      <c r="AF38" s="37">
        <f t="shared" si="17"/>
        <v>0.27653309435411599</v>
      </c>
      <c r="AG38">
        <v>26</v>
      </c>
      <c r="AH38" s="37">
        <f t="shared" si="18"/>
        <v>1.0158454525721729E-2</v>
      </c>
      <c r="AI38">
        <v>340</v>
      </c>
      <c r="AJ38" s="37">
        <f t="shared" si="19"/>
        <v>0.13450127154563435</v>
      </c>
      <c r="AK38">
        <v>210</v>
      </c>
      <c r="AL38" s="37">
        <f t="shared" si="20"/>
        <v>8.3074314778185929E-2</v>
      </c>
      <c r="AM38">
        <v>170</v>
      </c>
      <c r="AN38" s="37">
        <f t="shared" si="21"/>
        <v>6.7250635772817174E-2</v>
      </c>
      <c r="AO38">
        <v>380</v>
      </c>
      <c r="AQ38" s="59">
        <v>1466</v>
      </c>
      <c r="AR38" s="59">
        <f t="shared" si="22"/>
        <v>0.42119282042547207</v>
      </c>
      <c r="AS38">
        <v>210</v>
      </c>
      <c r="AT38" s="37">
        <f t="shared" si="23"/>
        <v>7.8645548880393226E-2</v>
      </c>
      <c r="AU38" t="s">
        <v>780</v>
      </c>
      <c r="AV38" t="s">
        <v>780</v>
      </c>
      <c r="AW38" t="s">
        <v>780</v>
      </c>
      <c r="AX38" t="s">
        <v>780</v>
      </c>
      <c r="AY38" t="s">
        <v>780</v>
      </c>
      <c r="AZ38" t="s">
        <v>780</v>
      </c>
      <c r="BA38" t="s">
        <v>780</v>
      </c>
      <c r="BB38" t="s">
        <v>780</v>
      </c>
      <c r="BC38" t="s">
        <v>780</v>
      </c>
      <c r="BD38" t="s">
        <v>780</v>
      </c>
      <c r="BE38" t="s">
        <v>780</v>
      </c>
      <c r="BF38" t="s">
        <v>780</v>
      </c>
      <c r="BG38" t="s">
        <v>780</v>
      </c>
      <c r="BH38" t="s">
        <v>780</v>
      </c>
      <c r="BI38" t="s">
        <v>780</v>
      </c>
      <c r="BJ38" t="s">
        <v>780</v>
      </c>
      <c r="BK38" t="s">
        <v>780</v>
      </c>
      <c r="BL38" t="s">
        <v>780</v>
      </c>
      <c r="BM38" t="s">
        <v>780</v>
      </c>
      <c r="BN38" t="s">
        <v>780</v>
      </c>
      <c r="BO38" s="58">
        <v>190</v>
      </c>
      <c r="BP38" s="58">
        <v>0.01</v>
      </c>
      <c r="BQ38" s="58">
        <v>0.01</v>
      </c>
      <c r="BR38" s="58">
        <v>0.05</v>
      </c>
      <c r="BS38" s="58">
        <v>0.05</v>
      </c>
      <c r="BT38" s="58">
        <v>1E-3</v>
      </c>
      <c r="BU38" s="58">
        <v>1E-3</v>
      </c>
      <c r="BV38" s="58">
        <v>2E-3</v>
      </c>
      <c r="BW38" s="31">
        <f t="shared" si="24"/>
        <v>7.1155496606070068E-2</v>
      </c>
      <c r="BX38" s="31">
        <f t="shared" si="25"/>
        <v>3.6796110125501018E-6</v>
      </c>
      <c r="BY38" s="31">
        <f t="shared" si="26"/>
        <v>3.7611049867064394E-6</v>
      </c>
      <c r="BZ38" s="31">
        <f t="shared" si="27"/>
        <v>1.864998195163037E-5</v>
      </c>
      <c r="CA38" s="31">
        <f t="shared" si="28"/>
        <v>1.8515401447567749E-5</v>
      </c>
      <c r="CB38" s="31">
        <f t="shared" si="29"/>
        <v>3.7030802895135499E-7</v>
      </c>
      <c r="CC38" s="31">
        <f t="shared" si="30"/>
        <v>3.6588380716934485E-7</v>
      </c>
      <c r="CD38" s="31">
        <f t="shared" si="31"/>
        <v>7.3176761433868969E-7</v>
      </c>
      <c r="CE38">
        <v>1E-3</v>
      </c>
      <c r="CF38">
        <v>1E-3</v>
      </c>
      <c r="CG38">
        <v>2E-3</v>
      </c>
      <c r="CH38">
        <v>1E-3</v>
      </c>
      <c r="CI38">
        <v>1E-3</v>
      </c>
      <c r="CK38">
        <v>2E-3</v>
      </c>
      <c r="CL38">
        <v>1E-3</v>
      </c>
      <c r="CM38">
        <v>1E-3</v>
      </c>
      <c r="CN38" s="58">
        <f t="shared" si="60"/>
        <v>190.12400000000002</v>
      </c>
      <c r="CO38" s="58">
        <f t="shared" si="32"/>
        <v>0.12400000000000001</v>
      </c>
      <c r="CP38" s="31">
        <f t="shared" si="33"/>
        <v>7.1201570664918973E-2</v>
      </c>
      <c r="CQ38" s="31">
        <f t="shared" si="34"/>
        <v>4.607405884891405E-5</v>
      </c>
      <c r="CR38">
        <v>190</v>
      </c>
      <c r="CS38">
        <v>360</v>
      </c>
      <c r="CT38" t="s">
        <v>69</v>
      </c>
      <c r="CU38" t="s">
        <v>69</v>
      </c>
      <c r="CV38" t="s">
        <v>69</v>
      </c>
      <c r="CW38">
        <v>370</v>
      </c>
      <c r="CX38" s="2">
        <f t="shared" si="3"/>
        <v>1656</v>
      </c>
      <c r="CZ38">
        <v>68</v>
      </c>
      <c r="DA38" t="s">
        <v>62</v>
      </c>
      <c r="DB38" t="s">
        <v>88</v>
      </c>
      <c r="DC38" t="s">
        <v>782</v>
      </c>
      <c r="DD38" s="37">
        <f t="shared" si="4"/>
        <v>45.051009785550697</v>
      </c>
      <c r="DE38" s="37">
        <f t="shared" si="63"/>
        <v>45.051009785550697</v>
      </c>
      <c r="DF38" s="37">
        <v>24</v>
      </c>
      <c r="DG38" s="37">
        <f t="shared" si="5"/>
        <v>0.42972247090420768</v>
      </c>
      <c r="DH38" s="37">
        <f t="shared" si="36"/>
        <v>0.42972247090420768</v>
      </c>
      <c r="DI38" s="37">
        <f t="shared" si="6"/>
        <v>69.05100978555069</v>
      </c>
      <c r="DJ38" s="37">
        <f t="shared" si="37"/>
        <v>1.2363654393115611</v>
      </c>
      <c r="DK38" s="37">
        <f t="shared" si="38"/>
        <v>1.2363654393115611</v>
      </c>
      <c r="DL38" s="55">
        <f t="shared" si="39"/>
        <v>0</v>
      </c>
      <c r="DM38" s="55">
        <f t="shared" si="39"/>
        <v>0</v>
      </c>
      <c r="DN38" s="37">
        <f t="shared" si="40"/>
        <v>24</v>
      </c>
      <c r="DO38" s="55">
        <f t="shared" si="41"/>
        <v>0.42972247090420768</v>
      </c>
      <c r="DP38" s="55">
        <f t="shared" si="42"/>
        <v>0.42972247090420768</v>
      </c>
      <c r="DQ38" s="37">
        <v>5</v>
      </c>
      <c r="DR38" s="37">
        <f t="shared" si="43"/>
        <v>9.1024940833788454E-2</v>
      </c>
      <c r="DS38" s="37">
        <f t="shared" si="44"/>
        <v>0.18204988166757691</v>
      </c>
      <c r="DT38" s="37">
        <f t="shared" si="7"/>
        <v>13.582710716276811</v>
      </c>
      <c r="DU38" s="37">
        <f t="shared" si="8"/>
        <v>6.7913553581384054</v>
      </c>
      <c r="DV38" s="37">
        <f t="shared" si="45"/>
        <v>74.05100978555069</v>
      </c>
      <c r="DW38" s="37">
        <f t="shared" si="9"/>
        <v>1.4184153209791379</v>
      </c>
      <c r="DX38">
        <v>25</v>
      </c>
      <c r="DY38" t="s">
        <v>121</v>
      </c>
      <c r="DZ38" s="29">
        <f t="shared" si="67"/>
        <v>1</v>
      </c>
      <c r="EA38" s="30">
        <v>1.7000000000000001E-2</v>
      </c>
      <c r="EB38" s="30">
        <f t="shared" si="47"/>
        <v>2.741935483870968E-4</v>
      </c>
      <c r="EC38" s="30">
        <f t="shared" si="48"/>
        <v>1.370967741935484E-3</v>
      </c>
      <c r="ED38" s="31">
        <f t="shared" si="65"/>
        <v>77.5</v>
      </c>
      <c r="EE38" s="33">
        <f t="shared" si="66"/>
        <v>99.358974358974365</v>
      </c>
      <c r="EF38" s="37">
        <f t="shared" si="11"/>
        <v>6.4542993962107014</v>
      </c>
      <c r="EG38" s="37">
        <f>$EK36-EK38</f>
        <v>0</v>
      </c>
      <c r="EH38" s="33">
        <f>(EG38/$EK36)*100</f>
        <v>0</v>
      </c>
      <c r="EI38" s="37">
        <f t="shared" si="62"/>
        <v>0</v>
      </c>
      <c r="EJ38" s="37">
        <f t="shared" si="64"/>
        <v>0</v>
      </c>
      <c r="EK38" s="31">
        <v>0.5</v>
      </c>
      <c r="EL38" s="31">
        <f t="shared" si="50"/>
        <v>5.2050801582344368E-3</v>
      </c>
      <c r="EM38" s="31">
        <f t="shared" si="51"/>
        <v>4.1640641265875494E-2</v>
      </c>
      <c r="EN38" s="32">
        <f t="shared" si="13"/>
        <v>4.301160900781098E-2</v>
      </c>
      <c r="EO38" s="39">
        <f t="shared" si="52"/>
        <v>7.8727147171898393</v>
      </c>
      <c r="EP38" s="37">
        <f t="shared" si="14"/>
        <v>2.3124155797246963E-2</v>
      </c>
      <c r="EQ38" s="37">
        <f t="shared" si="15"/>
        <v>0.15704435937606043</v>
      </c>
      <c r="ER38" s="37">
        <f t="shared" si="16"/>
        <v>0.81983148482669266</v>
      </c>
      <c r="ES38" s="39">
        <f t="shared" si="53"/>
        <v>0.61177235257178464</v>
      </c>
      <c r="ET38" s="55">
        <f t="shared" si="54"/>
        <v>70.242218220180945</v>
      </c>
      <c r="EU38" s="55">
        <f t="shared" si="55"/>
        <v>29.757781779819055</v>
      </c>
      <c r="EV38" s="55">
        <f t="shared" si="56"/>
        <v>0</v>
      </c>
      <c r="EW38" t="s">
        <v>214</v>
      </c>
      <c r="EX38" t="s">
        <v>471</v>
      </c>
      <c r="EY38">
        <v>-142</v>
      </c>
      <c r="EZ38" t="s">
        <v>480</v>
      </c>
      <c r="FA38">
        <v>1462</v>
      </c>
      <c r="FB38" t="s">
        <v>113</v>
      </c>
      <c r="FC38" t="s">
        <v>88</v>
      </c>
      <c r="FD38" s="39">
        <f t="shared" si="57"/>
        <v>-7.3728763478839738</v>
      </c>
      <c r="FE38" s="39">
        <f t="shared" si="61"/>
        <v>-7.3728302738251248</v>
      </c>
      <c r="FF38" s="39">
        <f t="shared" si="58"/>
        <v>-0.11193398326591936</v>
      </c>
      <c r="FG38" s="39">
        <f t="shared" si="59"/>
        <v>-0.11188790920707042</v>
      </c>
    </row>
    <row r="39" spans="1:163" ht="15.75" x14ac:dyDescent="0.25">
      <c r="A39" s="4" t="s">
        <v>297</v>
      </c>
      <c r="B39" s="4" t="s">
        <v>297</v>
      </c>
      <c r="C39" s="3" t="s">
        <v>828</v>
      </c>
      <c r="D39" s="3" t="s">
        <v>828</v>
      </c>
      <c r="E39" s="3" t="s">
        <v>1126</v>
      </c>
      <c r="F39" s="3" t="s">
        <v>1027</v>
      </c>
      <c r="G39" s="3" t="s">
        <v>772</v>
      </c>
      <c r="H39" s="3" t="str">
        <f t="shared" si="0"/>
        <v>CW_1_Section_2</v>
      </c>
      <c r="I39" s="3" t="str">
        <f t="shared" si="1"/>
        <v>CW_1_MF06</v>
      </c>
      <c r="J39" s="3" t="s">
        <v>1497</v>
      </c>
      <c r="K39" s="3" t="s">
        <v>1484</v>
      </c>
      <c r="L39" s="11" t="s">
        <v>1031</v>
      </c>
      <c r="M39" s="3" t="s">
        <v>1024</v>
      </c>
      <c r="N39" s="3" t="s">
        <v>1024</v>
      </c>
      <c r="O39" s="12" t="s">
        <v>1016</v>
      </c>
      <c r="P39" s="3" t="s">
        <v>1127</v>
      </c>
      <c r="Q39" s="3" t="s">
        <v>1018</v>
      </c>
      <c r="R39" s="3" t="s">
        <v>1111</v>
      </c>
      <c r="S39" s="3" t="str">
        <f t="shared" si="2"/>
        <v>T1_0.60-0.80</v>
      </c>
      <c r="T39" s="13" t="s">
        <v>1112</v>
      </c>
      <c r="U39" s="3" t="s">
        <v>1113</v>
      </c>
      <c r="V39" s="3">
        <v>150</v>
      </c>
      <c r="W39" s="3">
        <v>100</v>
      </c>
      <c r="X39" s="14">
        <v>5.0999999999999996</v>
      </c>
      <c r="Y39" s="3">
        <v>38</v>
      </c>
      <c r="Z39" t="s">
        <v>476</v>
      </c>
      <c r="AA39" t="s">
        <v>115</v>
      </c>
      <c r="AB39" s="1">
        <v>45580</v>
      </c>
      <c r="AC39">
        <v>12</v>
      </c>
      <c r="AD39">
        <v>12</v>
      </c>
      <c r="AE39">
        <v>590</v>
      </c>
      <c r="AF39" s="37">
        <f t="shared" si="17"/>
        <v>0.22660350787351172</v>
      </c>
      <c r="AG39">
        <v>14</v>
      </c>
      <c r="AH39" s="37">
        <f t="shared" si="18"/>
        <v>5.4699370523116995E-3</v>
      </c>
      <c r="AI39">
        <v>400</v>
      </c>
      <c r="AJ39" s="37">
        <f t="shared" si="19"/>
        <v>0.15823679005368749</v>
      </c>
      <c r="AK39">
        <v>120</v>
      </c>
      <c r="AL39" s="37">
        <f t="shared" si="20"/>
        <v>4.7471037016106249E-2</v>
      </c>
      <c r="AM39">
        <v>99</v>
      </c>
      <c r="AN39" s="37">
        <f t="shared" si="21"/>
        <v>3.9163605538287648E-2</v>
      </c>
      <c r="AO39">
        <v>219</v>
      </c>
      <c r="AQ39" s="59">
        <v>1223</v>
      </c>
      <c r="AR39" s="59">
        <f t="shared" si="22"/>
        <v>0.39031023497951089</v>
      </c>
      <c r="AS39">
        <v>2600</v>
      </c>
      <c r="AT39" s="37">
        <f t="shared" si="23"/>
        <v>0.97370679566201146</v>
      </c>
      <c r="AU39" t="s">
        <v>780</v>
      </c>
      <c r="AV39" t="s">
        <v>780</v>
      </c>
      <c r="AW39" t="s">
        <v>780</v>
      </c>
      <c r="AX39" t="s">
        <v>780</v>
      </c>
      <c r="AY39" t="s">
        <v>780</v>
      </c>
      <c r="AZ39" t="s">
        <v>780</v>
      </c>
      <c r="BA39" t="s">
        <v>780</v>
      </c>
      <c r="BB39" t="s">
        <v>780</v>
      </c>
      <c r="BC39" t="s">
        <v>780</v>
      </c>
      <c r="BD39" t="s">
        <v>780</v>
      </c>
      <c r="BE39" t="s">
        <v>780</v>
      </c>
      <c r="BF39" t="s">
        <v>780</v>
      </c>
      <c r="BG39" t="s">
        <v>780</v>
      </c>
      <c r="BH39" t="s">
        <v>780</v>
      </c>
      <c r="BI39" t="s">
        <v>780</v>
      </c>
      <c r="BJ39" t="s">
        <v>780</v>
      </c>
      <c r="BK39" t="s">
        <v>780</v>
      </c>
      <c r="BL39" t="s">
        <v>780</v>
      </c>
      <c r="BM39" t="s">
        <v>780</v>
      </c>
      <c r="BN39" t="s">
        <v>780</v>
      </c>
      <c r="BO39" s="58">
        <v>3000</v>
      </c>
      <c r="BP39" s="58">
        <v>120</v>
      </c>
      <c r="BQ39" s="58">
        <v>95</v>
      </c>
      <c r="BR39" s="58">
        <v>29</v>
      </c>
      <c r="BS39" s="58">
        <v>0.4</v>
      </c>
      <c r="BT39" s="58">
        <v>0.57999999999999996</v>
      </c>
      <c r="BU39" s="58">
        <v>0.03</v>
      </c>
      <c r="BV39" s="58">
        <v>2E-3</v>
      </c>
      <c r="BW39" s="31">
        <f t="shared" si="24"/>
        <v>1.1235078411484747</v>
      </c>
      <c r="BX39" s="31">
        <f t="shared" si="25"/>
        <v>4.4155332150601224E-2</v>
      </c>
      <c r="BY39" s="31">
        <f t="shared" si="26"/>
        <v>3.5730497373711173E-2</v>
      </c>
      <c r="BZ39" s="31">
        <f t="shared" si="27"/>
        <v>1.0816989531945613E-2</v>
      </c>
      <c r="CA39" s="31">
        <f t="shared" si="28"/>
        <v>1.4812321158054199E-4</v>
      </c>
      <c r="CB39" s="31">
        <f t="shared" si="29"/>
        <v>2.1477865679178588E-4</v>
      </c>
      <c r="CC39" s="31">
        <f t="shared" si="30"/>
        <v>1.0976514215080345E-5</v>
      </c>
      <c r="CD39" s="31">
        <f t="shared" si="31"/>
        <v>7.3176761433868969E-7</v>
      </c>
      <c r="CE39">
        <v>1E-3</v>
      </c>
      <c r="CF39">
        <v>1E-3</v>
      </c>
      <c r="CG39">
        <v>2E-3</v>
      </c>
      <c r="CH39">
        <v>1E-3</v>
      </c>
      <c r="CI39">
        <v>1E-3</v>
      </c>
      <c r="CK39">
        <v>2E-3</v>
      </c>
      <c r="CL39">
        <v>1E-3</v>
      </c>
      <c r="CM39">
        <v>1E-3</v>
      </c>
      <c r="CN39" s="58">
        <f t="shared" si="60"/>
        <v>3245.0120000000002</v>
      </c>
      <c r="CO39" s="58">
        <f t="shared" si="32"/>
        <v>245.01200000000003</v>
      </c>
      <c r="CP39" s="31">
        <f t="shared" si="33"/>
        <v>1.2145852703549345</v>
      </c>
      <c r="CQ39" s="31">
        <f t="shared" si="34"/>
        <v>9.1077429206459753E-2</v>
      </c>
      <c r="CR39">
        <v>3200</v>
      </c>
      <c r="CS39">
        <v>4700</v>
      </c>
      <c r="CT39">
        <v>1200</v>
      </c>
      <c r="CU39" t="s">
        <v>69</v>
      </c>
      <c r="CV39">
        <v>45</v>
      </c>
      <c r="CW39">
        <v>6000</v>
      </c>
      <c r="CX39" s="2">
        <f t="shared" si="3"/>
        <v>4423</v>
      </c>
      <c r="CZ39">
        <v>68</v>
      </c>
      <c r="DA39" t="s">
        <v>62</v>
      </c>
      <c r="DB39" t="s">
        <v>88</v>
      </c>
      <c r="DC39" t="s">
        <v>782</v>
      </c>
      <c r="DD39" s="37">
        <f t="shared" si="4"/>
        <v>20.345617322506765</v>
      </c>
      <c r="DE39" s="37">
        <f t="shared" si="63"/>
        <v>20.345617322506765</v>
      </c>
      <c r="DF39" s="37">
        <v>3</v>
      </c>
      <c r="DG39" s="37">
        <f t="shared" si="5"/>
        <v>5.371530886302596E-2</v>
      </c>
      <c r="DH39" s="37">
        <f t="shared" si="36"/>
        <v>5.371530886302596E-2</v>
      </c>
      <c r="DI39" s="37">
        <f t="shared" si="6"/>
        <v>23.345617322506765</v>
      </c>
      <c r="DJ39" s="37">
        <f t="shared" si="37"/>
        <v>0.41800568169215335</v>
      </c>
      <c r="DK39" s="37">
        <f t="shared" si="38"/>
        <v>0.41800568169215335</v>
      </c>
      <c r="DL39" s="55">
        <f t="shared" si="39"/>
        <v>13.369977097647302</v>
      </c>
      <c r="DM39" s="55">
        <f t="shared" si="39"/>
        <v>13.369977097647302</v>
      </c>
      <c r="DN39" s="37">
        <f t="shared" si="40"/>
        <v>16.3699770976473</v>
      </c>
      <c r="DO39" s="55">
        <f t="shared" si="41"/>
        <v>0.29310612529359537</v>
      </c>
      <c r="DP39" s="55">
        <f t="shared" si="42"/>
        <v>0.29310612529359537</v>
      </c>
      <c r="DQ39" s="37">
        <v>1.7</v>
      </c>
      <c r="DR39" s="37">
        <f t="shared" si="43"/>
        <v>3.0948479883488075E-2</v>
      </c>
      <c r="DS39" s="37">
        <f t="shared" si="44"/>
        <v>6.1896959766976151E-2</v>
      </c>
      <c r="DT39" s="37">
        <f t="shared" si="7"/>
        <v>13.506501232558815</v>
      </c>
      <c r="DU39" s="37">
        <f t="shared" si="8"/>
        <v>6.7532506162794075</v>
      </c>
      <c r="DV39" s="37">
        <f t="shared" si="45"/>
        <v>25.045617322506764</v>
      </c>
      <c r="DW39" s="37">
        <f t="shared" si="9"/>
        <v>0.47990264145912953</v>
      </c>
      <c r="DX39">
        <v>24</v>
      </c>
      <c r="DY39" t="s">
        <v>243</v>
      </c>
      <c r="DZ39" s="29">
        <f t="shared" si="67"/>
        <v>1</v>
      </c>
      <c r="EA39" s="30">
        <v>1.7000000000000001E-2</v>
      </c>
      <c r="EB39" s="30">
        <f t="shared" si="47"/>
        <v>2.741935483870968E-4</v>
      </c>
      <c r="EC39" s="30">
        <f t="shared" si="48"/>
        <v>1.370967741935484E-3</v>
      </c>
      <c r="ED39" s="31">
        <f t="shared" si="65"/>
        <v>35</v>
      </c>
      <c r="EE39" s="33">
        <f t="shared" si="66"/>
        <v>44.871794871794876</v>
      </c>
      <c r="EF39" s="37">
        <f t="shared" si="11"/>
        <v>2.9148448886112845</v>
      </c>
      <c r="EG39" s="37">
        <f>$EK37-EK39</f>
        <v>23</v>
      </c>
      <c r="EH39" s="33">
        <f>(EG39/$EK37)*100</f>
        <v>34.848484848484851</v>
      </c>
      <c r="EI39" s="37">
        <f t="shared" si="62"/>
        <v>1.9154694982302727</v>
      </c>
      <c r="EJ39" s="37">
        <f t="shared" si="64"/>
        <v>1.9154694982302727</v>
      </c>
      <c r="EK39" s="31">
        <v>43</v>
      </c>
      <c r="EL39" s="31">
        <f t="shared" si="50"/>
        <v>0.44763689360816156</v>
      </c>
      <c r="EM39" s="31">
        <f t="shared" si="51"/>
        <v>3.5810951488652925</v>
      </c>
      <c r="EN39" s="32">
        <f t="shared" si="13"/>
        <v>3.582466116607228</v>
      </c>
      <c r="EO39" s="39">
        <f t="shared" si="52"/>
        <v>3.394747530070414</v>
      </c>
      <c r="EP39" s="37">
        <f t="shared" si="14"/>
        <v>1.8233155549476836E-2</v>
      </c>
      <c r="EQ39" s="37">
        <f t="shared" si="15"/>
        <v>0.12313306895122274</v>
      </c>
      <c r="ER39" s="37">
        <f t="shared" si="16"/>
        <v>0.85863377549930042</v>
      </c>
      <c r="ES39" s="39">
        <f t="shared" si="53"/>
        <v>2.2704725832908443</v>
      </c>
      <c r="ET39" s="55">
        <f t="shared" si="54"/>
        <v>12.909476531478948</v>
      </c>
      <c r="EU39" s="55">
        <f t="shared" si="55"/>
        <v>2.7261707638531409</v>
      </c>
      <c r="EV39" s="55">
        <f t="shared" si="56"/>
        <v>84.364352704667894</v>
      </c>
      <c r="EW39" t="s">
        <v>477</v>
      </c>
      <c r="EX39" t="s">
        <v>471</v>
      </c>
      <c r="EY39">
        <v>-154</v>
      </c>
      <c r="EZ39" t="s">
        <v>253</v>
      </c>
      <c r="FA39">
        <v>1922</v>
      </c>
      <c r="FB39" t="s">
        <v>113</v>
      </c>
      <c r="FC39" t="s">
        <v>88</v>
      </c>
      <c r="FD39" s="39">
        <f t="shared" si="57"/>
        <v>-2.0307304994288917</v>
      </c>
      <c r="FE39" s="39">
        <f t="shared" si="61"/>
        <v>-1.9396530702224319</v>
      </c>
      <c r="FF39" s="39">
        <f t="shared" si="58"/>
        <v>-0.90645555264932209</v>
      </c>
      <c r="FG39" s="39">
        <f t="shared" si="59"/>
        <v>-0.81537812344286231</v>
      </c>
    </row>
    <row r="40" spans="1:163" ht="15.75" x14ac:dyDescent="0.25">
      <c r="A40" s="4" t="s">
        <v>298</v>
      </c>
      <c r="B40" s="4" t="s">
        <v>298</v>
      </c>
      <c r="C40" s="3" t="s">
        <v>829</v>
      </c>
      <c r="D40" s="3" t="s">
        <v>829</v>
      </c>
      <c r="E40" s="3" t="s">
        <v>1128</v>
      </c>
      <c r="F40" s="3" t="s">
        <v>1034</v>
      </c>
      <c r="G40" s="3" t="s">
        <v>772</v>
      </c>
      <c r="H40" s="3" t="str">
        <f t="shared" si="0"/>
        <v>CW_1_Section_3</v>
      </c>
      <c r="I40" s="3" t="str">
        <f t="shared" si="1"/>
        <v>CW_1_MF09</v>
      </c>
      <c r="J40" s="3" t="s">
        <v>1492</v>
      </c>
      <c r="K40" s="3" t="s">
        <v>1484</v>
      </c>
      <c r="L40" s="11" t="s">
        <v>1035</v>
      </c>
      <c r="M40" s="3" t="s">
        <v>1015</v>
      </c>
      <c r="N40" s="3" t="s">
        <v>1015</v>
      </c>
      <c r="O40" s="12" t="s">
        <v>1016</v>
      </c>
      <c r="P40" s="3" t="s">
        <v>1129</v>
      </c>
      <c r="Q40" s="3" t="s">
        <v>1018</v>
      </c>
      <c r="R40" s="3" t="s">
        <v>1111</v>
      </c>
      <c r="S40" s="3" t="str">
        <f t="shared" si="2"/>
        <v>T1_0.15-0.30</v>
      </c>
      <c r="T40" s="13" t="s">
        <v>1112</v>
      </c>
      <c r="U40" s="3" t="s">
        <v>1113</v>
      </c>
      <c r="V40" s="3">
        <v>150</v>
      </c>
      <c r="W40" s="3">
        <v>100</v>
      </c>
      <c r="X40" s="14">
        <v>6.5</v>
      </c>
      <c r="Y40" s="3">
        <v>39</v>
      </c>
      <c r="Z40" t="s">
        <v>481</v>
      </c>
      <c r="AA40" t="s">
        <v>74</v>
      </c>
      <c r="AB40" s="1">
        <v>45580</v>
      </c>
      <c r="AC40">
        <v>12</v>
      </c>
      <c r="AD40">
        <v>11</v>
      </c>
      <c r="AE40">
        <v>650</v>
      </c>
      <c r="AF40" s="37">
        <f t="shared" si="17"/>
        <v>0.24964793240302136</v>
      </c>
      <c r="AG40">
        <v>13</v>
      </c>
      <c r="AH40" s="37">
        <f t="shared" si="18"/>
        <v>5.0792272628608645E-3</v>
      </c>
      <c r="AI40">
        <v>160</v>
      </c>
      <c r="AJ40" s="37">
        <f t="shared" si="19"/>
        <v>6.3294716021474989E-2</v>
      </c>
      <c r="AK40">
        <v>140</v>
      </c>
      <c r="AL40" s="37">
        <f t="shared" si="20"/>
        <v>5.5382876518790619E-2</v>
      </c>
      <c r="AM40">
        <v>82</v>
      </c>
      <c r="AN40" s="37">
        <f t="shared" si="21"/>
        <v>3.2438541961005936E-2</v>
      </c>
      <c r="AO40">
        <v>222</v>
      </c>
      <c r="AQ40" s="59">
        <v>1045</v>
      </c>
      <c r="AR40" s="59">
        <f t="shared" si="22"/>
        <v>0.31802187568735718</v>
      </c>
      <c r="AS40">
        <v>95</v>
      </c>
      <c r="AT40" s="37">
        <f t="shared" si="23"/>
        <v>3.5577748303035034E-2</v>
      </c>
      <c r="AU40" t="s">
        <v>780</v>
      </c>
      <c r="AV40" t="s">
        <v>780</v>
      </c>
      <c r="AW40" t="s">
        <v>780</v>
      </c>
      <c r="AX40" t="s">
        <v>780</v>
      </c>
      <c r="AY40" t="s">
        <v>780</v>
      </c>
      <c r="AZ40" t="s">
        <v>780</v>
      </c>
      <c r="BA40" t="s">
        <v>780</v>
      </c>
      <c r="BB40" t="s">
        <v>780</v>
      </c>
      <c r="BC40" t="s">
        <v>780</v>
      </c>
      <c r="BD40" t="s">
        <v>780</v>
      </c>
      <c r="BE40" t="s">
        <v>780</v>
      </c>
      <c r="BF40" t="s">
        <v>780</v>
      </c>
      <c r="BG40" t="s">
        <v>780</v>
      </c>
      <c r="BH40" t="s">
        <v>780</v>
      </c>
      <c r="BI40" t="s">
        <v>780</v>
      </c>
      <c r="BJ40" t="s">
        <v>780</v>
      </c>
      <c r="BK40" t="s">
        <v>780</v>
      </c>
      <c r="BL40" t="s">
        <v>780</v>
      </c>
      <c r="BM40" t="s">
        <v>780</v>
      </c>
      <c r="BN40" t="s">
        <v>780</v>
      </c>
      <c r="BO40" s="58">
        <v>72</v>
      </c>
      <c r="BP40" s="58">
        <v>0.01</v>
      </c>
      <c r="BQ40" s="58">
        <v>0.01</v>
      </c>
      <c r="BR40" s="58">
        <v>5.0000000000000001E-3</v>
      </c>
      <c r="BS40" s="58">
        <v>0.04</v>
      </c>
      <c r="BT40" s="58">
        <v>1E-3</v>
      </c>
      <c r="BU40" s="58">
        <v>1E-3</v>
      </c>
      <c r="BV40" s="58">
        <v>2E-3</v>
      </c>
      <c r="BW40" s="31">
        <f t="shared" si="24"/>
        <v>2.6964188187563388E-2</v>
      </c>
      <c r="BX40" s="31">
        <f t="shared" si="25"/>
        <v>3.6796110125501018E-6</v>
      </c>
      <c r="BY40" s="31">
        <f t="shared" si="26"/>
        <v>3.7611049867064394E-6</v>
      </c>
      <c r="BZ40" s="31">
        <f t="shared" si="27"/>
        <v>1.8649981951630372E-6</v>
      </c>
      <c r="CA40" s="31">
        <f t="shared" si="28"/>
        <v>1.4812321158054199E-5</v>
      </c>
      <c r="CB40" s="31">
        <f t="shared" si="29"/>
        <v>3.7030802895135499E-7</v>
      </c>
      <c r="CC40" s="31">
        <f t="shared" si="30"/>
        <v>3.6588380716934485E-7</v>
      </c>
      <c r="CD40" s="31">
        <f t="shared" si="31"/>
        <v>7.3176761433868969E-7</v>
      </c>
      <c r="CE40">
        <v>1E-3</v>
      </c>
      <c r="CF40">
        <v>1E-3</v>
      </c>
      <c r="CG40">
        <v>2E-3</v>
      </c>
      <c r="CH40">
        <v>1E-3</v>
      </c>
      <c r="CI40">
        <v>1E-3</v>
      </c>
      <c r="CK40">
        <v>2E-3</v>
      </c>
      <c r="CL40">
        <v>1E-3</v>
      </c>
      <c r="CM40">
        <v>1E-3</v>
      </c>
      <c r="CN40" s="58">
        <f t="shared" si="60"/>
        <v>72.069000000000017</v>
      </c>
      <c r="CO40" s="58">
        <f t="shared" si="32"/>
        <v>6.9000000000000006E-2</v>
      </c>
      <c r="CP40" s="31">
        <f t="shared" si="33"/>
        <v>2.6989774182366318E-2</v>
      </c>
      <c r="CQ40" s="31">
        <f t="shared" si="34"/>
        <v>2.5585994802933168E-5</v>
      </c>
      <c r="CR40">
        <v>72</v>
      </c>
      <c r="CS40">
        <v>170</v>
      </c>
      <c r="CT40">
        <v>30</v>
      </c>
      <c r="CU40" t="s">
        <v>69</v>
      </c>
      <c r="CV40" t="s">
        <v>69</v>
      </c>
      <c r="CW40">
        <v>190</v>
      </c>
      <c r="CX40" s="2">
        <f t="shared" si="3"/>
        <v>1117</v>
      </c>
      <c r="CZ40">
        <v>67</v>
      </c>
      <c r="DA40" t="s">
        <v>62</v>
      </c>
      <c r="DB40" t="s">
        <v>88</v>
      </c>
      <c r="DC40" t="s">
        <v>782</v>
      </c>
      <c r="DD40" s="37">
        <f t="shared" si="4"/>
        <v>45.051009785550697</v>
      </c>
      <c r="DE40" s="37">
        <f t="shared" si="63"/>
        <v>45.051009785550697</v>
      </c>
      <c r="DF40" s="37">
        <v>23</v>
      </c>
      <c r="DG40" s="37">
        <f t="shared" si="5"/>
        <v>0.41181736794986568</v>
      </c>
      <c r="DH40" s="37">
        <f t="shared" si="36"/>
        <v>0.41181736794986568</v>
      </c>
      <c r="DI40" s="37">
        <f t="shared" si="6"/>
        <v>68.05100978555069</v>
      </c>
      <c r="DJ40" s="37">
        <f t="shared" si="37"/>
        <v>1.2184603363572191</v>
      </c>
      <c r="DK40" s="37">
        <f t="shared" si="38"/>
        <v>1.2184603363572191</v>
      </c>
      <c r="DL40" s="55">
        <f t="shared" si="39"/>
        <v>0</v>
      </c>
      <c r="DM40" s="55">
        <f t="shared" si="39"/>
        <v>0</v>
      </c>
      <c r="DN40" s="37">
        <f t="shared" si="40"/>
        <v>23</v>
      </c>
      <c r="DO40" s="55">
        <f t="shared" si="41"/>
        <v>0.41181736794986568</v>
      </c>
      <c r="DP40" s="55">
        <f t="shared" si="42"/>
        <v>0.41181736794986568</v>
      </c>
      <c r="DQ40" s="37">
        <v>4.9000000000000004</v>
      </c>
      <c r="DR40" s="37">
        <f t="shared" si="43"/>
        <v>8.9204442017112695E-2</v>
      </c>
      <c r="DS40" s="37">
        <f t="shared" si="44"/>
        <v>0.17840888403422539</v>
      </c>
      <c r="DT40" s="37">
        <f t="shared" si="7"/>
        <v>13.659189035939191</v>
      </c>
      <c r="DU40" s="37">
        <f t="shared" si="8"/>
        <v>6.8295945179695954</v>
      </c>
      <c r="DV40" s="37">
        <f t="shared" si="45"/>
        <v>72.951009785550696</v>
      </c>
      <c r="DW40" s="37">
        <f t="shared" si="9"/>
        <v>1.3968692203914443</v>
      </c>
      <c r="DX40">
        <v>26</v>
      </c>
      <c r="DY40" t="s">
        <v>121</v>
      </c>
      <c r="DZ40" s="29">
        <f t="shared" si="67"/>
        <v>1</v>
      </c>
      <c r="EA40" s="30">
        <v>1.7000000000000001E-2</v>
      </c>
      <c r="EB40" s="30">
        <f t="shared" si="47"/>
        <v>2.741935483870968E-4</v>
      </c>
      <c r="EC40" s="30">
        <f t="shared" si="48"/>
        <v>1.370967741935484E-3</v>
      </c>
      <c r="ED40" s="31">
        <f t="shared" si="65"/>
        <v>77.5</v>
      </c>
      <c r="EE40" s="33">
        <f t="shared" si="66"/>
        <v>99.358974358974365</v>
      </c>
      <c r="EF40" s="37">
        <f t="shared" si="11"/>
        <v>6.4542993962107014</v>
      </c>
      <c r="EG40" s="37">
        <f>$EK38-EK40</f>
        <v>0</v>
      </c>
      <c r="EH40" s="33">
        <f>(EG40/$EK38)*100</f>
        <v>0</v>
      </c>
      <c r="EI40" s="37">
        <f t="shared" si="62"/>
        <v>0</v>
      </c>
      <c r="EJ40" s="37">
        <f t="shared" si="64"/>
        <v>0</v>
      </c>
      <c r="EK40" s="31">
        <v>0.5</v>
      </c>
      <c r="EL40" s="31">
        <f t="shared" si="50"/>
        <v>5.2050801582344368E-3</v>
      </c>
      <c r="EM40" s="31">
        <f t="shared" si="51"/>
        <v>4.1640641265875494E-2</v>
      </c>
      <c r="EN40" s="32">
        <f t="shared" si="13"/>
        <v>4.301160900781098E-2</v>
      </c>
      <c r="EO40" s="39">
        <f t="shared" si="52"/>
        <v>7.8511686166021457</v>
      </c>
      <c r="EP40" s="37">
        <f t="shared" si="14"/>
        <v>2.2723863509562195E-2</v>
      </c>
      <c r="EQ40" s="37">
        <f t="shared" si="15"/>
        <v>0.1551947736519953</v>
      </c>
      <c r="ER40" s="37">
        <f t="shared" si="16"/>
        <v>0.82208136283844258</v>
      </c>
      <c r="ES40" s="39">
        <f t="shared" si="53"/>
        <v>0.59022625198409107</v>
      </c>
      <c r="ET40" s="55">
        <f t="shared" si="54"/>
        <v>69.772797561191126</v>
      </c>
      <c r="EU40" s="55">
        <f t="shared" si="55"/>
        <v>30.227202438808874</v>
      </c>
      <c r="EV40" s="55">
        <f t="shared" si="56"/>
        <v>0</v>
      </c>
      <c r="EW40" t="s">
        <v>147</v>
      </c>
      <c r="EX40" t="s">
        <v>471</v>
      </c>
      <c r="EY40">
        <v>-92</v>
      </c>
      <c r="EZ40" t="s">
        <v>482</v>
      </c>
      <c r="FA40">
        <v>536</v>
      </c>
      <c r="FB40" t="s">
        <v>780</v>
      </c>
      <c r="FC40" t="s">
        <v>88</v>
      </c>
      <c r="FD40" s="39">
        <f t="shared" si="57"/>
        <v>-7.4975689926117539</v>
      </c>
      <c r="FE40" s="39">
        <f t="shared" si="61"/>
        <v>-7.4975434066169502</v>
      </c>
      <c r="FF40" s="39">
        <f t="shared" si="58"/>
        <v>-0.23662662799369882</v>
      </c>
      <c r="FG40" s="39">
        <f t="shared" si="59"/>
        <v>-0.23660104199889587</v>
      </c>
    </row>
    <row r="41" spans="1:163" ht="15.75" x14ac:dyDescent="0.25">
      <c r="A41" s="4" t="s">
        <v>299</v>
      </c>
      <c r="B41" s="4" t="s">
        <v>299</v>
      </c>
      <c r="C41" s="3" t="s">
        <v>830</v>
      </c>
      <c r="D41" s="3" t="s">
        <v>830</v>
      </c>
      <c r="E41" s="3" t="s">
        <v>1130</v>
      </c>
      <c r="F41" s="3" t="s">
        <v>1034</v>
      </c>
      <c r="G41" s="3" t="s">
        <v>772</v>
      </c>
      <c r="H41" s="3" t="str">
        <f t="shared" si="0"/>
        <v>CW_1_Section_3</v>
      </c>
      <c r="I41" s="3" t="str">
        <f t="shared" si="1"/>
        <v>CW_1_MF10</v>
      </c>
      <c r="J41" s="3" t="s">
        <v>1493</v>
      </c>
      <c r="K41" s="3" t="s">
        <v>1484</v>
      </c>
      <c r="L41" s="11" t="s">
        <v>1038</v>
      </c>
      <c r="M41" s="3" t="s">
        <v>1024</v>
      </c>
      <c r="N41" s="3" t="s">
        <v>1024</v>
      </c>
      <c r="O41" s="12" t="s">
        <v>1016</v>
      </c>
      <c r="P41" s="3" t="s">
        <v>1131</v>
      </c>
      <c r="Q41" s="3" t="s">
        <v>1018</v>
      </c>
      <c r="R41" s="3" t="s">
        <v>1111</v>
      </c>
      <c r="S41" s="3" t="str">
        <f t="shared" si="2"/>
        <v>T1_0.60-0.80</v>
      </c>
      <c r="T41" s="13" t="s">
        <v>1112</v>
      </c>
      <c r="U41" s="3" t="s">
        <v>1113</v>
      </c>
      <c r="V41" s="3">
        <v>150</v>
      </c>
      <c r="W41" s="3">
        <v>100</v>
      </c>
      <c r="X41" s="14">
        <v>4.4000000000000004</v>
      </c>
      <c r="Y41" s="3">
        <v>40</v>
      </c>
      <c r="Z41" t="s">
        <v>478</v>
      </c>
      <c r="AA41" t="s">
        <v>95</v>
      </c>
      <c r="AB41" s="1">
        <v>45580</v>
      </c>
      <c r="AC41">
        <v>10</v>
      </c>
      <c r="AD41">
        <v>10</v>
      </c>
      <c r="AE41">
        <v>610</v>
      </c>
      <c r="AF41" s="37">
        <f t="shared" si="17"/>
        <v>0.23428498271668158</v>
      </c>
      <c r="AG41">
        <v>1</v>
      </c>
      <c r="AH41" s="37">
        <f t="shared" si="18"/>
        <v>3.9070978945083569E-4</v>
      </c>
      <c r="AI41">
        <v>370</v>
      </c>
      <c r="AJ41" s="37">
        <f t="shared" si="19"/>
        <v>0.14636903079966093</v>
      </c>
      <c r="AK41">
        <v>140</v>
      </c>
      <c r="AL41" s="37">
        <f t="shared" si="20"/>
        <v>5.5382876518790619E-2</v>
      </c>
      <c r="AM41">
        <v>79</v>
      </c>
      <c r="AN41" s="37">
        <f t="shared" si="21"/>
        <v>3.1251766035603278E-2</v>
      </c>
      <c r="AO41">
        <v>219</v>
      </c>
      <c r="AQ41" s="59">
        <v>1206</v>
      </c>
      <c r="AR41" s="59">
        <f t="shared" si="22"/>
        <v>0.38104472330579331</v>
      </c>
      <c r="AS41">
        <v>2500</v>
      </c>
      <c r="AT41" s="37">
        <f t="shared" si="23"/>
        <v>0.93625653429039557</v>
      </c>
      <c r="AU41" t="s">
        <v>780</v>
      </c>
      <c r="AV41" t="s">
        <v>780</v>
      </c>
      <c r="AW41" t="s">
        <v>780</v>
      </c>
      <c r="AX41" t="s">
        <v>780</v>
      </c>
      <c r="AY41" t="s">
        <v>780</v>
      </c>
      <c r="AZ41" t="s">
        <v>780</v>
      </c>
      <c r="BA41" t="s">
        <v>780</v>
      </c>
      <c r="BB41" t="s">
        <v>780</v>
      </c>
      <c r="BC41" t="s">
        <v>780</v>
      </c>
      <c r="BD41" t="s">
        <v>780</v>
      </c>
      <c r="BE41" t="s">
        <v>780</v>
      </c>
      <c r="BF41" t="s">
        <v>780</v>
      </c>
      <c r="BG41" t="s">
        <v>780</v>
      </c>
      <c r="BH41" t="s">
        <v>780</v>
      </c>
      <c r="BI41" t="s">
        <v>780</v>
      </c>
      <c r="BJ41" t="s">
        <v>780</v>
      </c>
      <c r="BK41" t="s">
        <v>780</v>
      </c>
      <c r="BL41" t="s">
        <v>780</v>
      </c>
      <c r="BM41" t="s">
        <v>780</v>
      </c>
      <c r="BN41" t="s">
        <v>780</v>
      </c>
      <c r="BO41" s="58">
        <v>2400</v>
      </c>
      <c r="BP41" s="58">
        <v>73</v>
      </c>
      <c r="BQ41" s="58">
        <v>55</v>
      </c>
      <c r="BR41" s="58">
        <v>2</v>
      </c>
      <c r="BS41" s="58">
        <v>1</v>
      </c>
      <c r="BT41" s="58">
        <v>0.12</v>
      </c>
      <c r="BU41" s="58">
        <v>0.04</v>
      </c>
      <c r="BV41" s="58">
        <v>2E-3</v>
      </c>
      <c r="BW41" s="31">
        <f t="shared" si="24"/>
        <v>0.89880627291877968</v>
      </c>
      <c r="BX41" s="31">
        <f t="shared" si="25"/>
        <v>2.6861160391615742E-2</v>
      </c>
      <c r="BY41" s="31">
        <f t="shared" si="26"/>
        <v>2.0686077426885417E-2</v>
      </c>
      <c r="BZ41" s="31">
        <f t="shared" si="27"/>
        <v>7.4599927806521475E-4</v>
      </c>
      <c r="CA41" s="31">
        <f t="shared" si="28"/>
        <v>3.70308028951355E-4</v>
      </c>
      <c r="CB41" s="31">
        <f t="shared" si="29"/>
        <v>4.44369634741626E-5</v>
      </c>
      <c r="CC41" s="31">
        <f t="shared" si="30"/>
        <v>1.4635352286773795E-5</v>
      </c>
      <c r="CD41" s="31">
        <f t="shared" si="31"/>
        <v>7.3176761433868969E-7</v>
      </c>
      <c r="CE41">
        <v>1E-3</v>
      </c>
      <c r="CF41">
        <v>1E-3</v>
      </c>
      <c r="CG41">
        <v>2E-3</v>
      </c>
      <c r="CH41">
        <v>1E-3</v>
      </c>
      <c r="CI41">
        <v>1E-3</v>
      </c>
      <c r="CK41">
        <v>2E-3</v>
      </c>
      <c r="CL41">
        <v>1E-3</v>
      </c>
      <c r="CM41">
        <v>1E-3</v>
      </c>
      <c r="CN41" s="58">
        <f t="shared" si="60"/>
        <v>2531.1619999999998</v>
      </c>
      <c r="CO41" s="58">
        <f t="shared" si="32"/>
        <v>131.16200000000001</v>
      </c>
      <c r="CP41" s="31">
        <f t="shared" si="33"/>
        <v>0.94752962212767267</v>
      </c>
      <c r="CQ41" s="31">
        <f t="shared" si="34"/>
        <v>4.8723349208893006E-2</v>
      </c>
      <c r="CR41">
        <v>2500</v>
      </c>
      <c r="CS41">
        <v>4100</v>
      </c>
      <c r="CT41">
        <v>730</v>
      </c>
      <c r="CU41" t="s">
        <v>69</v>
      </c>
      <c r="CV41" t="s">
        <v>69</v>
      </c>
      <c r="CW41">
        <v>4900</v>
      </c>
      <c r="CX41" s="2">
        <f t="shared" si="3"/>
        <v>3706</v>
      </c>
      <c r="CZ41">
        <v>68</v>
      </c>
      <c r="DA41" t="s">
        <v>62</v>
      </c>
      <c r="DB41" t="s">
        <v>88</v>
      </c>
      <c r="DC41" t="s">
        <v>782</v>
      </c>
      <c r="DD41" s="37">
        <f t="shared" si="4"/>
        <v>19.764313970435143</v>
      </c>
      <c r="DE41" s="37">
        <f t="shared" si="63"/>
        <v>19.764313970435143</v>
      </c>
      <c r="DF41" s="37">
        <v>1.7</v>
      </c>
      <c r="DG41" s="37">
        <f t="shared" si="5"/>
        <v>3.0438675022381376E-2</v>
      </c>
      <c r="DH41" s="37">
        <f t="shared" si="36"/>
        <v>3.0438675022381376E-2</v>
      </c>
      <c r="DI41" s="37">
        <f t="shared" si="6"/>
        <v>21.464313970435143</v>
      </c>
      <c r="DJ41" s="37">
        <f t="shared" si="37"/>
        <v>0.38432075148496225</v>
      </c>
      <c r="DK41" s="37">
        <f t="shared" si="38"/>
        <v>0.38432075148496225</v>
      </c>
      <c r="DL41" s="55">
        <f t="shared" si="39"/>
        <v>-0.58130335207162187</v>
      </c>
      <c r="DN41" s="37">
        <f t="shared" si="40"/>
        <v>1.7</v>
      </c>
      <c r="DO41" s="55">
        <f t="shared" si="41"/>
        <v>3.0438675022381376E-2</v>
      </c>
      <c r="DP41" s="55">
        <f t="shared" si="42"/>
        <v>3.0438675022381376E-2</v>
      </c>
      <c r="DQ41" s="37">
        <v>2.1</v>
      </c>
      <c r="DR41" s="37">
        <f t="shared" si="43"/>
        <v>3.8230475150191151E-2</v>
      </c>
      <c r="DS41" s="37">
        <f t="shared" si="44"/>
        <v>7.6460950300382302E-2</v>
      </c>
      <c r="DT41" s="37">
        <f t="shared" si="7"/>
        <v>10.052732799556656</v>
      </c>
      <c r="DU41" s="37">
        <f t="shared" si="8"/>
        <v>5.0263663997783281</v>
      </c>
      <c r="DV41" s="37">
        <f t="shared" si="45"/>
        <v>23.564313970435144</v>
      </c>
      <c r="DW41" s="37">
        <f t="shared" si="9"/>
        <v>0.46078170178534456</v>
      </c>
      <c r="DX41">
        <v>26</v>
      </c>
      <c r="DY41" t="s">
        <v>239</v>
      </c>
      <c r="DZ41" s="29">
        <f t="shared" si="67"/>
        <v>1</v>
      </c>
      <c r="EA41" s="30">
        <v>1.7000000000000001E-2</v>
      </c>
      <c r="EB41" s="30">
        <f t="shared" si="47"/>
        <v>2.741935483870968E-4</v>
      </c>
      <c r="EC41" s="30">
        <f t="shared" si="48"/>
        <v>1.370967741935484E-3</v>
      </c>
      <c r="ED41" s="31">
        <f t="shared" si="65"/>
        <v>34</v>
      </c>
      <c r="EE41" s="33">
        <f t="shared" si="66"/>
        <v>43.589743589743591</v>
      </c>
      <c r="EF41" s="37">
        <f t="shared" si="11"/>
        <v>2.8315636060795337</v>
      </c>
      <c r="EG41" s="29">
        <f>$EK39-EK41</f>
        <v>-1</v>
      </c>
      <c r="EH41" s="33">
        <f>(EG41/$EK39)*100</f>
        <v>-2.3255813953488373</v>
      </c>
      <c r="EI41" s="37">
        <f t="shared" si="62"/>
        <v>-8.3281282531750989E-2</v>
      </c>
      <c r="EJ41" s="37"/>
      <c r="EK41" s="31">
        <v>44</v>
      </c>
      <c r="EL41" s="31">
        <f t="shared" si="50"/>
        <v>0.45804705392463041</v>
      </c>
      <c r="EM41" s="31">
        <f t="shared" si="51"/>
        <v>3.6643764313970433</v>
      </c>
      <c r="EN41" s="32">
        <f t="shared" si="13"/>
        <v>3.6657473991389788</v>
      </c>
      <c r="EO41" s="39">
        <f t="shared" si="52"/>
        <v>3.2923453078648781</v>
      </c>
      <c r="EP41" s="37">
        <f t="shared" si="14"/>
        <v>2.3223855079152696E-2</v>
      </c>
      <c r="EQ41" s="37">
        <f t="shared" si="15"/>
        <v>0.11673160484317438</v>
      </c>
      <c r="ER41" s="37">
        <f t="shared" si="16"/>
        <v>0.86004454007767295</v>
      </c>
      <c r="ES41" s="39">
        <f t="shared" si="53"/>
        <v>0.10689962532276368</v>
      </c>
      <c r="ET41" s="55">
        <f t="shared" si="54"/>
        <v>28.474070821555657</v>
      </c>
      <c r="EU41" s="55">
        <f t="shared" si="55"/>
        <v>71.525929178444343</v>
      </c>
      <c r="EV41" s="55">
        <f t="shared" si="56"/>
        <v>0</v>
      </c>
      <c r="EW41" t="s">
        <v>247</v>
      </c>
      <c r="EX41">
        <v>13</v>
      </c>
      <c r="EY41">
        <v>-98</v>
      </c>
      <c r="EZ41" t="s">
        <v>112</v>
      </c>
      <c r="FA41">
        <v>890</v>
      </c>
      <c r="FB41" t="s">
        <v>780</v>
      </c>
      <c r="FC41" t="s">
        <v>88</v>
      </c>
      <c r="FD41" s="39">
        <f t="shared" si="57"/>
        <v>-1.9750440502686892</v>
      </c>
      <c r="FE41" s="39">
        <f t="shared" si="61"/>
        <v>-1.9263207010597962</v>
      </c>
      <c r="FF41" s="39">
        <f t="shared" si="58"/>
        <v>1.2104016322734252</v>
      </c>
      <c r="FG41" s="39">
        <f t="shared" si="59"/>
        <v>1.2591249814823182</v>
      </c>
    </row>
    <row r="42" spans="1:163" ht="15.75" x14ac:dyDescent="0.25">
      <c r="A42" s="4" t="s">
        <v>300</v>
      </c>
      <c r="B42" s="4" t="s">
        <v>300</v>
      </c>
      <c r="C42" s="3" t="s">
        <v>831</v>
      </c>
      <c r="D42" s="3" t="s">
        <v>831</v>
      </c>
      <c r="E42" s="3" t="s">
        <v>1132</v>
      </c>
      <c r="F42" s="3" t="s">
        <v>1013</v>
      </c>
      <c r="G42" s="3" t="s">
        <v>773</v>
      </c>
      <c r="H42" s="3" t="str">
        <f t="shared" si="0"/>
        <v>CW_2_Section_1</v>
      </c>
      <c r="I42" s="3" t="str">
        <f t="shared" si="1"/>
        <v>CW_2_MF01</v>
      </c>
      <c r="J42" s="3" t="s">
        <v>1488</v>
      </c>
      <c r="K42" s="3" t="s">
        <v>1484</v>
      </c>
      <c r="L42" s="11" t="s">
        <v>1074</v>
      </c>
      <c r="M42" s="3" t="s">
        <v>1015</v>
      </c>
      <c r="N42" s="3" t="s">
        <v>1015</v>
      </c>
      <c r="O42" s="12" t="s">
        <v>1016</v>
      </c>
      <c r="P42" s="3" t="s">
        <v>1133</v>
      </c>
      <c r="Q42" s="3" t="s">
        <v>1018</v>
      </c>
      <c r="R42" s="3" t="s">
        <v>1111</v>
      </c>
      <c r="S42" s="3" t="str">
        <f t="shared" si="2"/>
        <v>T1_0.15-0.30</v>
      </c>
      <c r="T42" s="13" t="s">
        <v>1112</v>
      </c>
      <c r="U42" s="3" t="s">
        <v>1113</v>
      </c>
      <c r="V42" s="3">
        <v>150</v>
      </c>
      <c r="W42" s="3">
        <v>100</v>
      </c>
      <c r="X42" s="14">
        <v>4.9000000000000004</v>
      </c>
      <c r="Y42" s="3">
        <v>41</v>
      </c>
      <c r="Z42" t="s">
        <v>483</v>
      </c>
      <c r="AA42" t="s">
        <v>204</v>
      </c>
      <c r="AB42" s="1">
        <v>45580</v>
      </c>
      <c r="AC42">
        <v>11</v>
      </c>
      <c r="AD42">
        <v>11</v>
      </c>
      <c r="AE42">
        <v>650</v>
      </c>
      <c r="AF42" s="37">
        <f t="shared" si="17"/>
        <v>0.24964793240302136</v>
      </c>
      <c r="AG42">
        <v>13</v>
      </c>
      <c r="AH42" s="37">
        <f t="shared" si="18"/>
        <v>5.0792272628608645E-3</v>
      </c>
      <c r="AI42">
        <v>430</v>
      </c>
      <c r="AJ42" s="37">
        <f t="shared" si="19"/>
        <v>0.17010454930771404</v>
      </c>
      <c r="AK42">
        <v>210</v>
      </c>
      <c r="AL42" s="37">
        <f t="shared" si="20"/>
        <v>8.3074314778185929E-2</v>
      </c>
      <c r="AM42">
        <v>200</v>
      </c>
      <c r="AN42" s="37">
        <f t="shared" si="21"/>
        <v>7.9118395026843744E-2</v>
      </c>
      <c r="AO42">
        <v>410</v>
      </c>
      <c r="AQ42" s="59">
        <v>1503</v>
      </c>
      <c r="AR42" s="59">
        <f t="shared" si="22"/>
        <v>0.42483170897359623</v>
      </c>
      <c r="AS42">
        <v>250</v>
      </c>
      <c r="AT42" s="37">
        <f t="shared" si="23"/>
        <v>9.3625653429039557E-2</v>
      </c>
      <c r="AU42" t="s">
        <v>780</v>
      </c>
      <c r="AV42" t="s">
        <v>780</v>
      </c>
      <c r="AW42" t="s">
        <v>780</v>
      </c>
      <c r="AX42" t="s">
        <v>780</v>
      </c>
      <c r="AY42" t="s">
        <v>780</v>
      </c>
      <c r="AZ42" t="s">
        <v>780</v>
      </c>
      <c r="BA42" t="s">
        <v>780</v>
      </c>
      <c r="BB42" t="s">
        <v>780</v>
      </c>
      <c r="BC42" t="s">
        <v>780</v>
      </c>
      <c r="BD42" t="s">
        <v>780</v>
      </c>
      <c r="BE42" t="s">
        <v>780</v>
      </c>
      <c r="BF42" t="s">
        <v>780</v>
      </c>
      <c r="BG42" t="s">
        <v>780</v>
      </c>
      <c r="BH42" t="s">
        <v>780</v>
      </c>
      <c r="BI42" t="s">
        <v>780</v>
      </c>
      <c r="BJ42" t="s">
        <v>780</v>
      </c>
      <c r="BK42" t="s">
        <v>780</v>
      </c>
      <c r="BL42" t="s">
        <v>780</v>
      </c>
      <c r="BM42" t="s">
        <v>780</v>
      </c>
      <c r="BN42" t="s">
        <v>780</v>
      </c>
      <c r="BO42" s="58">
        <v>230</v>
      </c>
      <c r="BP42" s="58">
        <v>0.01</v>
      </c>
      <c r="BQ42" s="58">
        <v>0.01</v>
      </c>
      <c r="BR42" s="58">
        <v>5.0000000000000001E-3</v>
      </c>
      <c r="BS42" s="58">
        <v>0.02</v>
      </c>
      <c r="BT42" s="58">
        <v>1E-3</v>
      </c>
      <c r="BU42" s="58">
        <v>1E-3</v>
      </c>
      <c r="BV42" s="58">
        <v>2E-3</v>
      </c>
      <c r="BW42" s="31">
        <f t="shared" si="24"/>
        <v>8.6135601154716385E-2</v>
      </c>
      <c r="BX42" s="31">
        <f t="shared" si="25"/>
        <v>3.6796110125501018E-6</v>
      </c>
      <c r="BY42" s="31">
        <f t="shared" si="26"/>
        <v>3.7611049867064394E-6</v>
      </c>
      <c r="BZ42" s="31">
        <f t="shared" si="27"/>
        <v>1.8649981951630372E-6</v>
      </c>
      <c r="CA42" s="31">
        <f t="shared" si="28"/>
        <v>7.4061605790270997E-6</v>
      </c>
      <c r="CB42" s="31">
        <f t="shared" si="29"/>
        <v>3.7030802895135499E-7</v>
      </c>
      <c r="CC42" s="31">
        <f t="shared" si="30"/>
        <v>3.6588380716934485E-7</v>
      </c>
      <c r="CD42" s="31">
        <f t="shared" si="31"/>
        <v>7.3176761433868969E-7</v>
      </c>
      <c r="CE42">
        <v>1E-3</v>
      </c>
      <c r="CF42">
        <v>1E-3</v>
      </c>
      <c r="CG42">
        <v>2E-3</v>
      </c>
      <c r="CH42">
        <v>1E-3</v>
      </c>
      <c r="CI42">
        <v>1E-3</v>
      </c>
      <c r="CK42">
        <v>2E-3</v>
      </c>
      <c r="CL42">
        <v>1E-3</v>
      </c>
      <c r="CM42">
        <v>1E-3</v>
      </c>
      <c r="CN42" s="58">
        <f t="shared" si="60"/>
        <v>230.04900000000001</v>
      </c>
      <c r="CO42" s="58">
        <f t="shared" si="32"/>
        <v>4.9000000000000002E-2</v>
      </c>
      <c r="CP42" s="31">
        <f t="shared" si="33"/>
        <v>8.615378098894029E-2</v>
      </c>
      <c r="CQ42" s="31">
        <f t="shared" si="34"/>
        <v>1.8179834223906066E-5</v>
      </c>
      <c r="CR42">
        <v>230</v>
      </c>
      <c r="CS42">
        <v>480</v>
      </c>
      <c r="CT42" t="s">
        <v>69</v>
      </c>
      <c r="CU42">
        <v>60</v>
      </c>
      <c r="CV42">
        <v>30</v>
      </c>
      <c r="CW42">
        <v>590</v>
      </c>
      <c r="CX42" s="2">
        <f t="shared" ref="CX42:CX73" si="68">SUM(AQ42+CR42)</f>
        <v>1733</v>
      </c>
      <c r="CZ42">
        <v>68</v>
      </c>
      <c r="DA42" t="s">
        <v>62</v>
      </c>
      <c r="DB42" t="s">
        <v>88</v>
      </c>
      <c r="DC42" t="s">
        <v>782</v>
      </c>
      <c r="DD42" s="37">
        <f t="shared" ref="DD42:DD73" si="69">$ED42*(55.84/96.06)</f>
        <v>32.552987716010826</v>
      </c>
      <c r="DE42" s="37">
        <f t="shared" si="63"/>
        <v>32.552987716010826</v>
      </c>
      <c r="DF42" s="37">
        <v>18</v>
      </c>
      <c r="DG42" s="37">
        <f t="shared" ref="DG42:DG73" si="70">DF42/55.85</f>
        <v>0.32229185317815578</v>
      </c>
      <c r="DH42" s="37">
        <f t="shared" si="36"/>
        <v>0.32229185317815578</v>
      </c>
      <c r="DI42" s="37">
        <f t="shared" ref="DI42:DI73" si="71">DE42+DF42</f>
        <v>50.552987716010826</v>
      </c>
      <c r="DJ42" s="37">
        <f t="shared" si="37"/>
        <v>0.90515644970475961</v>
      </c>
      <c r="DK42" s="37">
        <f t="shared" si="38"/>
        <v>0.90515644970475961</v>
      </c>
      <c r="DL42" s="55">
        <f t="shared" si="39"/>
        <v>32.552987716010826</v>
      </c>
      <c r="DM42" s="55">
        <f t="shared" si="39"/>
        <v>32.552987716010826</v>
      </c>
      <c r="DN42" s="37">
        <f t="shared" si="40"/>
        <v>50.552987716010826</v>
      </c>
      <c r="DO42" s="55">
        <f t="shared" si="41"/>
        <v>0.90515644970475961</v>
      </c>
      <c r="DP42" s="55">
        <f t="shared" si="42"/>
        <v>0.90515644970475961</v>
      </c>
      <c r="DQ42" s="37">
        <v>4.3</v>
      </c>
      <c r="DR42" s="37">
        <f t="shared" si="43"/>
        <v>7.8281449117058075E-2</v>
      </c>
      <c r="DS42" s="37">
        <f t="shared" si="44"/>
        <v>0.15656289823411615</v>
      </c>
      <c r="DT42" s="37">
        <f t="shared" ref="DT42:DT73" si="72">DJ42/DR42</f>
        <v>11.562847391228475</v>
      </c>
      <c r="DU42" s="37">
        <f t="shared" ref="DU42:DU73" si="73">DK42/DS42</f>
        <v>5.7814236956142375</v>
      </c>
      <c r="DV42" s="37">
        <f t="shared" ref="DV42:DV73" si="74">DI42+DQ42</f>
        <v>54.852987716010823</v>
      </c>
      <c r="DW42" s="37">
        <f t="shared" ref="DW42:DW73" si="75">SUM(DK42+DS42)</f>
        <v>1.0617193479388758</v>
      </c>
      <c r="DX42">
        <v>25</v>
      </c>
      <c r="DY42" t="s">
        <v>100</v>
      </c>
      <c r="DZ42" s="29">
        <f t="shared" si="67"/>
        <v>1</v>
      </c>
      <c r="EA42" s="30">
        <v>1.7000000000000001E-2</v>
      </c>
      <c r="EB42" s="30">
        <f t="shared" si="47"/>
        <v>2.741935483870968E-4</v>
      </c>
      <c r="EC42" s="30">
        <f t="shared" si="48"/>
        <v>1.370967741935484E-3</v>
      </c>
      <c r="ED42" s="31">
        <f t="shared" si="65"/>
        <v>56</v>
      </c>
      <c r="EE42" s="33">
        <f t="shared" si="66"/>
        <v>71.794871794871796</v>
      </c>
      <c r="EF42" s="37">
        <f t="shared" ref="EF42:EF73" si="76">(ED42/96.06)*8</f>
        <v>4.6637518217780549</v>
      </c>
      <c r="EG42" s="37">
        <f>$EK32-EK42</f>
        <v>56</v>
      </c>
      <c r="EH42" s="33">
        <f>(EG42/$EK$32)*100</f>
        <v>71.794871794871796</v>
      </c>
      <c r="EI42" s="37">
        <f t="shared" si="62"/>
        <v>4.6637518217780549</v>
      </c>
      <c r="EJ42" s="37">
        <f>($EG42/96.06)*8</f>
        <v>4.6637518217780549</v>
      </c>
      <c r="EK42" s="31">
        <v>22</v>
      </c>
      <c r="EL42" s="31">
        <f t="shared" si="50"/>
        <v>0.2290235269623152</v>
      </c>
      <c r="EM42" s="31">
        <f t="shared" si="51"/>
        <v>1.8321882156985216</v>
      </c>
      <c r="EN42" s="32">
        <f t="shared" ref="EN42:EN73" si="77">SUM(EC42+EM42)</f>
        <v>1.8335591834404572</v>
      </c>
      <c r="EO42" s="39">
        <f t="shared" si="52"/>
        <v>5.7254711697169309</v>
      </c>
      <c r="EP42" s="37">
        <f t="shared" ref="EP42:EP73" si="78">DS42/EO42</f>
        <v>2.7344980630101864E-2</v>
      </c>
      <c r="EQ42" s="37">
        <f t="shared" ref="EQ42:EQ73" si="79">DK42/EO42</f>
        <v>0.15809291897098326</v>
      </c>
      <c r="ER42" s="37">
        <f t="shared" ref="ER42:ER73" si="80">EF42/EO42</f>
        <v>0.81456210039891486</v>
      </c>
      <c r="ES42" s="39">
        <f t="shared" si="53"/>
        <v>5.7254711697169309</v>
      </c>
      <c r="ET42" s="55">
        <f t="shared" si="54"/>
        <v>15.809291897098326</v>
      </c>
      <c r="EU42" s="55">
        <f t="shared" si="55"/>
        <v>2.7344980630101863</v>
      </c>
      <c r="EV42" s="55">
        <f t="shared" si="56"/>
        <v>81.456210039891488</v>
      </c>
      <c r="EW42" t="s">
        <v>484</v>
      </c>
      <c r="EX42">
        <v>13</v>
      </c>
      <c r="EY42">
        <v>-97</v>
      </c>
      <c r="EZ42" t="s">
        <v>202</v>
      </c>
      <c r="FA42">
        <v>686</v>
      </c>
      <c r="FB42" t="s">
        <v>113</v>
      </c>
      <c r="FC42" t="s">
        <v>88</v>
      </c>
      <c r="FD42" s="39">
        <f t="shared" si="57"/>
        <v>-5.2070138073142953</v>
      </c>
      <c r="FE42" s="39">
        <f t="shared" si="61"/>
        <v>-5.2069956274800715</v>
      </c>
      <c r="FF42" s="39">
        <f t="shared" si="58"/>
        <v>-5.2070138073142953</v>
      </c>
      <c r="FG42" s="39">
        <f t="shared" si="59"/>
        <v>-5.2069956274800715</v>
      </c>
    </row>
    <row r="43" spans="1:163" ht="15.75" x14ac:dyDescent="0.25">
      <c r="A43" s="4" t="s">
        <v>301</v>
      </c>
      <c r="B43" s="4" t="s">
        <v>301</v>
      </c>
      <c r="C43" s="3" t="s">
        <v>832</v>
      </c>
      <c r="D43" s="3" t="s">
        <v>832</v>
      </c>
      <c r="E43" s="3" t="s">
        <v>1134</v>
      </c>
      <c r="F43" s="3" t="s">
        <v>1013</v>
      </c>
      <c r="G43" s="3" t="s">
        <v>773</v>
      </c>
      <c r="H43" s="3" t="str">
        <f t="shared" si="0"/>
        <v>CW_2_Section_1</v>
      </c>
      <c r="I43" s="3" t="str">
        <f t="shared" si="1"/>
        <v>CW_2_MF02</v>
      </c>
      <c r="J43" s="3" t="s">
        <v>1489</v>
      </c>
      <c r="K43" s="3" t="s">
        <v>1484</v>
      </c>
      <c r="L43" s="11" t="s">
        <v>1077</v>
      </c>
      <c r="M43" s="3" t="s">
        <v>1024</v>
      </c>
      <c r="N43" s="3" t="s">
        <v>1024</v>
      </c>
      <c r="O43" s="12" t="s">
        <v>1016</v>
      </c>
      <c r="P43" s="3" t="s">
        <v>1135</v>
      </c>
      <c r="Q43" s="3" t="s">
        <v>1018</v>
      </c>
      <c r="R43" s="3" t="s">
        <v>1111</v>
      </c>
      <c r="S43" s="3" t="str">
        <f t="shared" si="2"/>
        <v>T1_0.60-0.80</v>
      </c>
      <c r="T43" s="13" t="s">
        <v>1112</v>
      </c>
      <c r="U43" s="3" t="s">
        <v>1113</v>
      </c>
      <c r="V43" s="3">
        <v>150</v>
      </c>
      <c r="W43" s="3">
        <v>100</v>
      </c>
      <c r="X43" s="14">
        <v>5.3</v>
      </c>
      <c r="Y43" s="3">
        <v>42</v>
      </c>
      <c r="Z43" t="s">
        <v>485</v>
      </c>
      <c r="AA43" t="s">
        <v>211</v>
      </c>
      <c r="AB43" s="1">
        <v>45580</v>
      </c>
      <c r="AC43">
        <v>11</v>
      </c>
      <c r="AD43">
        <v>12</v>
      </c>
      <c r="AE43">
        <v>810</v>
      </c>
      <c r="AF43" s="37">
        <f t="shared" si="17"/>
        <v>0.31109973114838052</v>
      </c>
      <c r="AG43">
        <v>100</v>
      </c>
      <c r="AH43" s="37">
        <f t="shared" si="18"/>
        <v>3.9070978945083573E-2</v>
      </c>
      <c r="AI43">
        <v>680</v>
      </c>
      <c r="AJ43" s="37">
        <f t="shared" si="19"/>
        <v>0.2690025430912687</v>
      </c>
      <c r="AK43">
        <v>240</v>
      </c>
      <c r="AL43" s="37">
        <f t="shared" si="20"/>
        <v>9.4942074032212498E-2</v>
      </c>
      <c r="AM43">
        <v>310</v>
      </c>
      <c r="AN43" s="37">
        <f t="shared" si="21"/>
        <v>0.12263351229160781</v>
      </c>
      <c r="AO43">
        <v>550</v>
      </c>
      <c r="AQ43" s="59">
        <v>2140</v>
      </c>
      <c r="AR43" s="59">
        <f t="shared" si="22"/>
        <v>0.61917325318473282</v>
      </c>
      <c r="AS43">
        <v>4000</v>
      </c>
      <c r="AT43" s="37">
        <f t="shared" si="23"/>
        <v>1.4980104548646329</v>
      </c>
      <c r="AU43" t="s">
        <v>780</v>
      </c>
      <c r="AV43" t="s">
        <v>780</v>
      </c>
      <c r="AW43" t="s">
        <v>780</v>
      </c>
      <c r="AX43" t="s">
        <v>780</v>
      </c>
      <c r="AY43" t="s">
        <v>780</v>
      </c>
      <c r="AZ43" t="s">
        <v>780</v>
      </c>
      <c r="BA43" t="s">
        <v>780</v>
      </c>
      <c r="BB43" t="s">
        <v>780</v>
      </c>
      <c r="BC43" t="s">
        <v>780</v>
      </c>
      <c r="BD43" t="s">
        <v>780</v>
      </c>
      <c r="BE43" t="s">
        <v>780</v>
      </c>
      <c r="BF43" t="s">
        <v>780</v>
      </c>
      <c r="BG43" t="s">
        <v>780</v>
      </c>
      <c r="BH43" t="s">
        <v>780</v>
      </c>
      <c r="BI43" t="s">
        <v>780</v>
      </c>
      <c r="BJ43" t="s">
        <v>780</v>
      </c>
      <c r="BK43" t="s">
        <v>780</v>
      </c>
      <c r="BL43" t="s">
        <v>780</v>
      </c>
      <c r="BM43" t="s">
        <v>780</v>
      </c>
      <c r="BN43" t="s">
        <v>780</v>
      </c>
      <c r="BO43" s="58">
        <v>3200</v>
      </c>
      <c r="BP43" s="58">
        <v>120</v>
      </c>
      <c r="BQ43" s="58">
        <v>110</v>
      </c>
      <c r="BR43" s="58">
        <v>43</v>
      </c>
      <c r="BS43" s="58">
        <v>22</v>
      </c>
      <c r="BT43" s="58">
        <v>4.4000000000000004</v>
      </c>
      <c r="BU43" s="58">
        <v>0.74</v>
      </c>
      <c r="BV43" s="58">
        <v>0.64</v>
      </c>
      <c r="BW43" s="31">
        <f t="shared" si="24"/>
        <v>1.1984083638917062</v>
      </c>
      <c r="BX43" s="31">
        <f t="shared" si="25"/>
        <v>4.4155332150601224E-2</v>
      </c>
      <c r="BY43" s="31">
        <f t="shared" si="26"/>
        <v>4.1372154853770833E-2</v>
      </c>
      <c r="BZ43" s="31">
        <f t="shared" si="27"/>
        <v>1.6038984478402119E-2</v>
      </c>
      <c r="CA43" s="31">
        <f t="shared" si="28"/>
        <v>8.1467766369298089E-3</v>
      </c>
      <c r="CB43" s="31">
        <f t="shared" si="29"/>
        <v>1.629355327385962E-3</v>
      </c>
      <c r="CC43" s="31">
        <f t="shared" si="30"/>
        <v>2.7075401730531522E-4</v>
      </c>
      <c r="CD43" s="31">
        <f t="shared" si="31"/>
        <v>2.3416563658838071E-4</v>
      </c>
      <c r="CE43">
        <v>1E-3</v>
      </c>
      <c r="CF43">
        <v>1E-3</v>
      </c>
      <c r="CG43">
        <v>2E-3</v>
      </c>
      <c r="CH43">
        <v>1E-3</v>
      </c>
      <c r="CI43">
        <v>1E-3</v>
      </c>
      <c r="CK43">
        <v>2E-3</v>
      </c>
      <c r="CL43">
        <v>1E-3</v>
      </c>
      <c r="CM43">
        <v>1E-3</v>
      </c>
      <c r="CN43" s="58">
        <f t="shared" si="60"/>
        <v>3500.7799999999997</v>
      </c>
      <c r="CO43" s="58">
        <f t="shared" si="32"/>
        <v>300.77999999999997</v>
      </c>
      <c r="CP43" s="31">
        <f t="shared" si="33"/>
        <v>1.3102558869926899</v>
      </c>
      <c r="CQ43" s="31">
        <f t="shared" si="34"/>
        <v>0.11184752310098366</v>
      </c>
      <c r="CR43">
        <v>3500</v>
      </c>
      <c r="CS43">
        <v>6100</v>
      </c>
      <c r="CT43">
        <v>1900</v>
      </c>
      <c r="CU43" t="s">
        <v>69</v>
      </c>
      <c r="CV43" t="s">
        <v>69</v>
      </c>
      <c r="CW43">
        <v>8100</v>
      </c>
      <c r="CX43" s="2">
        <f t="shared" si="68"/>
        <v>5640</v>
      </c>
      <c r="CZ43">
        <v>69</v>
      </c>
      <c r="DA43" t="s">
        <v>62</v>
      </c>
      <c r="DB43" t="s">
        <v>88</v>
      </c>
      <c r="DC43" t="s">
        <v>782</v>
      </c>
      <c r="DD43" s="37">
        <f t="shared" si="69"/>
        <v>6.9756402248594629</v>
      </c>
      <c r="DE43" s="37">
        <f t="shared" si="63"/>
        <v>6.9756402248594629</v>
      </c>
      <c r="DF43" s="37">
        <v>1</v>
      </c>
      <c r="DG43" s="37">
        <f t="shared" si="70"/>
        <v>1.7905102954341987E-2</v>
      </c>
      <c r="DH43" s="37">
        <f t="shared" si="36"/>
        <v>1.7905102954341987E-2</v>
      </c>
      <c r="DI43" s="37">
        <f t="shared" si="71"/>
        <v>7.9756402248594629</v>
      </c>
      <c r="DJ43" s="37">
        <f t="shared" si="37"/>
        <v>0.14280465935289996</v>
      </c>
      <c r="DK43" s="37">
        <f t="shared" si="38"/>
        <v>0.14280465935289996</v>
      </c>
      <c r="DL43" s="55">
        <f t="shared" si="39"/>
        <v>6.9756402248594629</v>
      </c>
      <c r="DM43" s="55">
        <f t="shared" si="39"/>
        <v>6.9756402248594629</v>
      </c>
      <c r="DN43" s="37">
        <f t="shared" si="40"/>
        <v>7.9756402248594629</v>
      </c>
      <c r="DO43" s="55">
        <f t="shared" si="41"/>
        <v>0.14280465935289996</v>
      </c>
      <c r="DP43" s="55">
        <f t="shared" si="42"/>
        <v>0.14280465935289996</v>
      </c>
      <c r="DQ43" s="37">
        <v>1.3</v>
      </c>
      <c r="DR43" s="37">
        <f t="shared" si="43"/>
        <v>2.3666484616785E-2</v>
      </c>
      <c r="DS43" s="37">
        <f t="shared" si="44"/>
        <v>4.7332969233569999E-2</v>
      </c>
      <c r="DT43" s="37">
        <f t="shared" si="72"/>
        <v>6.0340461063498418</v>
      </c>
      <c r="DU43" s="37">
        <f t="shared" si="73"/>
        <v>3.0170230531749209</v>
      </c>
      <c r="DV43" s="37">
        <f t="shared" si="74"/>
        <v>9.2756402248594636</v>
      </c>
      <c r="DW43" s="37">
        <f t="shared" si="75"/>
        <v>0.19013762858646996</v>
      </c>
      <c r="DX43">
        <v>26</v>
      </c>
      <c r="DY43" t="s">
        <v>134</v>
      </c>
      <c r="DZ43" s="29">
        <f t="shared" si="67"/>
        <v>1</v>
      </c>
      <c r="EA43" s="30">
        <v>1.7000000000000001E-2</v>
      </c>
      <c r="EB43" s="30">
        <f t="shared" si="47"/>
        <v>2.741935483870968E-4</v>
      </c>
      <c r="EC43" s="30">
        <f t="shared" si="48"/>
        <v>1.370967741935484E-3</v>
      </c>
      <c r="ED43" s="31">
        <f t="shared" si="65"/>
        <v>12</v>
      </c>
      <c r="EE43" s="33">
        <f t="shared" si="66"/>
        <v>15.384615384615385</v>
      </c>
      <c r="EF43" s="37">
        <f t="shared" si="76"/>
        <v>0.99937539038101186</v>
      </c>
      <c r="EG43" s="37">
        <f>$EK32-EK43</f>
        <v>12</v>
      </c>
      <c r="EH43" s="33">
        <f>(EG43/$EK$32)*100</f>
        <v>15.384615384615385</v>
      </c>
      <c r="EI43" s="37">
        <f t="shared" si="62"/>
        <v>0.99937539038101186</v>
      </c>
      <c r="EJ43" s="37">
        <f>($EG43/96.06)*8</f>
        <v>0.99937539038101186</v>
      </c>
      <c r="EK43" s="31">
        <v>66</v>
      </c>
      <c r="EL43" s="31">
        <f t="shared" si="50"/>
        <v>0.68707058088694561</v>
      </c>
      <c r="EM43" s="31">
        <f t="shared" si="51"/>
        <v>5.4965646470955649</v>
      </c>
      <c r="EN43" s="32">
        <f t="shared" si="77"/>
        <v>5.4979356148375</v>
      </c>
      <c r="EO43" s="39">
        <f t="shared" ref="EO43:EO74" si="81">DK43+DS43+EF43</f>
        <v>1.1895130189674818</v>
      </c>
      <c r="EP43" s="37">
        <f t="shared" si="78"/>
        <v>3.9791888343227923E-2</v>
      </c>
      <c r="EQ43" s="37">
        <f t="shared" si="79"/>
        <v>0.12005304446088107</v>
      </c>
      <c r="ER43" s="37">
        <f t="shared" si="80"/>
        <v>0.84015506719589095</v>
      </c>
      <c r="ES43" s="39">
        <f t="shared" si="53"/>
        <v>1.1895130189674818</v>
      </c>
      <c r="ET43" s="55">
        <f t="shared" si="54"/>
        <v>12.005304446088108</v>
      </c>
      <c r="EU43" s="55">
        <f t="shared" si="55"/>
        <v>3.9791888343227924</v>
      </c>
      <c r="EV43" s="55">
        <f t="shared" si="56"/>
        <v>84.015506719589098</v>
      </c>
      <c r="EW43" t="s">
        <v>52</v>
      </c>
      <c r="EX43" t="s">
        <v>486</v>
      </c>
      <c r="EY43">
        <v>-144</v>
      </c>
      <c r="EZ43" t="s">
        <v>259</v>
      </c>
      <c r="FA43">
        <v>955</v>
      </c>
      <c r="FB43" t="s">
        <v>113</v>
      </c>
      <c r="FC43" t="s">
        <v>88</v>
      </c>
      <c r="FD43" s="39">
        <f t="shared" si="57"/>
        <v>0.92767068908188377</v>
      </c>
      <c r="FE43" s="39">
        <f t="shared" si="61"/>
        <v>1.0395182121828672</v>
      </c>
      <c r="FF43" s="39">
        <f t="shared" si="58"/>
        <v>0.92767068908188377</v>
      </c>
      <c r="FG43" s="39">
        <f t="shared" si="59"/>
        <v>1.0395182121828672</v>
      </c>
    </row>
    <row r="44" spans="1:163" ht="15.75" x14ac:dyDescent="0.25">
      <c r="A44" s="4" t="s">
        <v>302</v>
      </c>
      <c r="B44" s="4" t="s">
        <v>302</v>
      </c>
      <c r="C44" s="3" t="s">
        <v>833</v>
      </c>
      <c r="D44" s="3" t="s">
        <v>833</v>
      </c>
      <c r="E44" s="3" t="s">
        <v>1136</v>
      </c>
      <c r="F44" s="3" t="s">
        <v>1027</v>
      </c>
      <c r="G44" s="3" t="s">
        <v>773</v>
      </c>
      <c r="H44" s="3" t="str">
        <f t="shared" si="0"/>
        <v>CW_2_Section_2</v>
      </c>
      <c r="I44" s="3" t="str">
        <f t="shared" si="1"/>
        <v>CW_2_MF05</v>
      </c>
      <c r="J44" s="3" t="s">
        <v>1496</v>
      </c>
      <c r="K44" s="3" t="s">
        <v>1484</v>
      </c>
      <c r="L44" s="11" t="s">
        <v>1080</v>
      </c>
      <c r="M44" s="3" t="s">
        <v>1015</v>
      </c>
      <c r="N44" s="3" t="s">
        <v>1015</v>
      </c>
      <c r="O44" s="12" t="s">
        <v>1016</v>
      </c>
      <c r="P44" s="3" t="s">
        <v>1137</v>
      </c>
      <c r="Q44" s="3" t="s">
        <v>1018</v>
      </c>
      <c r="R44" s="3" t="s">
        <v>1111</v>
      </c>
      <c r="S44" s="3" t="str">
        <f t="shared" si="2"/>
        <v>T1_0.15-0.30</v>
      </c>
      <c r="T44" s="13" t="s">
        <v>1112</v>
      </c>
      <c r="U44" s="3" t="s">
        <v>1113</v>
      </c>
      <c r="V44" s="3">
        <v>150</v>
      </c>
      <c r="W44" s="3">
        <v>100</v>
      </c>
      <c r="X44" s="14">
        <v>17.05</v>
      </c>
      <c r="Y44" s="3">
        <v>43</v>
      </c>
      <c r="Z44" t="s">
        <v>487</v>
      </c>
      <c r="AA44" t="s">
        <v>176</v>
      </c>
      <c r="AB44" s="1">
        <v>45580</v>
      </c>
      <c r="AC44">
        <v>25</v>
      </c>
      <c r="AD44">
        <v>29</v>
      </c>
      <c r="AE44">
        <v>77</v>
      </c>
      <c r="AF44" s="37">
        <f t="shared" si="17"/>
        <v>2.9573678146204076E-2</v>
      </c>
      <c r="AG44">
        <v>1.2</v>
      </c>
      <c r="AH44" s="37">
        <f t="shared" si="18"/>
        <v>4.6885174734100283E-4</v>
      </c>
      <c r="AI44">
        <v>6</v>
      </c>
      <c r="AJ44" s="37">
        <f t="shared" si="19"/>
        <v>2.3735518508053123E-3</v>
      </c>
      <c r="AK44">
        <v>2.7</v>
      </c>
      <c r="AL44" s="37">
        <f t="shared" si="20"/>
        <v>1.0680983328623906E-3</v>
      </c>
      <c r="AM44">
        <v>2.7</v>
      </c>
      <c r="AN44" s="37">
        <f t="shared" si="21"/>
        <v>1.0680983328623906E-3</v>
      </c>
      <c r="AO44">
        <v>5.4</v>
      </c>
      <c r="AQ44" s="59">
        <v>89.6</v>
      </c>
      <c r="AR44" s="59">
        <f t="shared" si="22"/>
        <v>3.2416081744350393E-2</v>
      </c>
      <c r="AS44">
        <v>21</v>
      </c>
      <c r="AT44" s="37">
        <f t="shared" si="23"/>
        <v>7.8645548880393219E-3</v>
      </c>
      <c r="AU44" t="s">
        <v>780</v>
      </c>
      <c r="AV44" t="s">
        <v>780</v>
      </c>
      <c r="AW44" t="s">
        <v>780</v>
      </c>
      <c r="AX44" t="s">
        <v>780</v>
      </c>
      <c r="AY44" t="s">
        <v>780</v>
      </c>
      <c r="AZ44" t="s">
        <v>780</v>
      </c>
      <c r="BA44" t="s">
        <v>780</v>
      </c>
      <c r="BB44" t="s">
        <v>780</v>
      </c>
      <c r="BC44" t="s">
        <v>780</v>
      </c>
      <c r="BD44" t="s">
        <v>780</v>
      </c>
      <c r="BE44" t="s">
        <v>780</v>
      </c>
      <c r="BF44" t="s">
        <v>780</v>
      </c>
      <c r="BG44" t="s">
        <v>780</v>
      </c>
      <c r="BH44" t="s">
        <v>780</v>
      </c>
      <c r="BI44" t="s">
        <v>780</v>
      </c>
      <c r="BJ44" t="s">
        <v>780</v>
      </c>
      <c r="BK44" t="s">
        <v>780</v>
      </c>
      <c r="BL44" t="s">
        <v>780</v>
      </c>
      <c r="BM44" t="s">
        <v>780</v>
      </c>
      <c r="BN44" t="s">
        <v>780</v>
      </c>
      <c r="BO44" s="58">
        <v>21</v>
      </c>
      <c r="BP44" s="58">
        <v>0.57999999999999996</v>
      </c>
      <c r="BQ44" s="58">
        <v>0.31</v>
      </c>
      <c r="BR44" s="58">
        <v>0.1</v>
      </c>
      <c r="BS44" s="58">
        <v>0.04</v>
      </c>
      <c r="BT44" s="58">
        <v>1E-3</v>
      </c>
      <c r="BU44" s="58">
        <v>1E-3</v>
      </c>
      <c r="BV44" s="58">
        <v>2E-3</v>
      </c>
      <c r="BW44" s="31">
        <f t="shared" si="24"/>
        <v>7.8645548880393219E-3</v>
      </c>
      <c r="BX44" s="31">
        <f t="shared" si="25"/>
        <v>2.1341743872790587E-4</v>
      </c>
      <c r="BY44" s="31">
        <f t="shared" si="26"/>
        <v>1.1659425458789961E-4</v>
      </c>
      <c r="BZ44" s="31">
        <f t="shared" si="27"/>
        <v>3.729996390326074E-5</v>
      </c>
      <c r="CA44" s="31">
        <f t="shared" si="28"/>
        <v>1.4812321158054199E-5</v>
      </c>
      <c r="CB44" s="31">
        <f t="shared" si="29"/>
        <v>3.7030802895135499E-7</v>
      </c>
      <c r="CC44" s="31">
        <f t="shared" si="30"/>
        <v>3.6588380716934485E-7</v>
      </c>
      <c r="CD44" s="31">
        <f t="shared" si="31"/>
        <v>7.3176761433868969E-7</v>
      </c>
      <c r="CE44">
        <v>1E-3</v>
      </c>
      <c r="CF44">
        <v>1E-3</v>
      </c>
      <c r="CG44">
        <v>2E-3</v>
      </c>
      <c r="CH44">
        <v>1E-3</v>
      </c>
      <c r="CI44">
        <v>1E-3</v>
      </c>
      <c r="CK44">
        <v>2E-3</v>
      </c>
      <c r="CL44">
        <v>1E-3</v>
      </c>
      <c r="CM44">
        <v>1E-3</v>
      </c>
      <c r="CN44" s="58">
        <f t="shared" si="60"/>
        <v>22.033999999999999</v>
      </c>
      <c r="CO44" s="58">
        <f t="shared" si="32"/>
        <v>1.0339999999999996</v>
      </c>
      <c r="CP44" s="31">
        <f t="shared" si="33"/>
        <v>8.2481468258668988E-3</v>
      </c>
      <c r="CQ44" s="31">
        <f t="shared" si="34"/>
        <v>3.8359193782757978E-4</v>
      </c>
      <c r="CR44">
        <v>22</v>
      </c>
      <c r="CS44" t="s">
        <v>69</v>
      </c>
      <c r="CT44" t="s">
        <v>69</v>
      </c>
      <c r="CU44" t="s">
        <v>69</v>
      </c>
      <c r="CV44" t="s">
        <v>69</v>
      </c>
      <c r="CW44">
        <v>5</v>
      </c>
      <c r="CX44" s="2">
        <f t="shared" si="68"/>
        <v>111.6</v>
      </c>
      <c r="CZ44">
        <v>58</v>
      </c>
      <c r="DA44" t="s">
        <v>62</v>
      </c>
      <c r="DB44" t="s">
        <v>88</v>
      </c>
      <c r="DC44" t="s">
        <v>782</v>
      </c>
      <c r="DD44" s="37">
        <f t="shared" si="69"/>
        <v>45.051009785550697</v>
      </c>
      <c r="DE44" s="37">
        <f t="shared" si="63"/>
        <v>45.051009785550697</v>
      </c>
      <c r="DF44" s="37">
        <v>21</v>
      </c>
      <c r="DG44" s="37">
        <f t="shared" si="70"/>
        <v>0.37600716204118173</v>
      </c>
      <c r="DH44" s="37">
        <f t="shared" si="36"/>
        <v>0.37600716204118173</v>
      </c>
      <c r="DI44" s="37">
        <f t="shared" si="71"/>
        <v>66.05100978555069</v>
      </c>
      <c r="DJ44" s="37">
        <f t="shared" si="37"/>
        <v>1.1826501304485351</v>
      </c>
      <c r="DK44" s="37">
        <f t="shared" si="38"/>
        <v>1.1826501304485351</v>
      </c>
      <c r="DL44" s="55">
        <f t="shared" si="39"/>
        <v>12.49802206953987</v>
      </c>
      <c r="DM44" s="55">
        <f t="shared" si="39"/>
        <v>12.49802206953987</v>
      </c>
      <c r="DN44" s="37">
        <f t="shared" si="40"/>
        <v>33.498022069539871</v>
      </c>
      <c r="DO44" s="55">
        <f t="shared" si="41"/>
        <v>0.59978553392193146</v>
      </c>
      <c r="DP44" s="55">
        <f t="shared" si="42"/>
        <v>0.59978553392193146</v>
      </c>
      <c r="DQ44" s="37">
        <v>5.4</v>
      </c>
      <c r="DR44" s="37">
        <f t="shared" si="43"/>
        <v>9.8306936100491543E-2</v>
      </c>
      <c r="DS44" s="37">
        <f t="shared" si="44"/>
        <v>0.19661387220098309</v>
      </c>
      <c r="DT44" s="37">
        <f t="shared" si="72"/>
        <v>12.030179938062597</v>
      </c>
      <c r="DU44" s="37">
        <f t="shared" si="73"/>
        <v>6.0150899690312984</v>
      </c>
      <c r="DV44" s="37">
        <f t="shared" si="74"/>
        <v>71.451009785550696</v>
      </c>
      <c r="DW44" s="37">
        <f t="shared" si="75"/>
        <v>1.3792640026495182</v>
      </c>
      <c r="DX44">
        <v>12</v>
      </c>
      <c r="DY44" t="s">
        <v>104</v>
      </c>
      <c r="DZ44" s="29">
        <f t="shared" si="67"/>
        <v>1</v>
      </c>
      <c r="EA44" s="30">
        <v>1.7000000000000001E-2</v>
      </c>
      <c r="EB44" s="30">
        <f t="shared" si="47"/>
        <v>2.741935483870968E-4</v>
      </c>
      <c r="EC44" s="30">
        <f t="shared" si="48"/>
        <v>1.370967741935484E-3</v>
      </c>
      <c r="ED44" s="31">
        <f t="shared" si="65"/>
        <v>77.5</v>
      </c>
      <c r="EE44" s="33">
        <f t="shared" si="66"/>
        <v>99.358974358974365</v>
      </c>
      <c r="EF44" s="37">
        <f t="shared" si="76"/>
        <v>6.4542993962107014</v>
      </c>
      <c r="EG44" s="37">
        <f>$EK42-EK44</f>
        <v>21.5</v>
      </c>
      <c r="EH44" s="33">
        <f>(EG44/$EK42)*100</f>
        <v>97.727272727272734</v>
      </c>
      <c r="EI44" s="37">
        <f t="shared" si="62"/>
        <v>1.7905475744326462</v>
      </c>
      <c r="EJ44" s="37">
        <f>($EG44/96.06)*8</f>
        <v>1.7905475744326462</v>
      </c>
      <c r="EK44" s="31">
        <v>0.5</v>
      </c>
      <c r="EL44" s="31">
        <f t="shared" si="50"/>
        <v>5.2050801582344368E-3</v>
      </c>
      <c r="EM44" s="31">
        <f t="shared" si="51"/>
        <v>4.1640641265875494E-2</v>
      </c>
      <c r="EN44" s="32">
        <f t="shared" si="77"/>
        <v>4.301160900781098E-2</v>
      </c>
      <c r="EO44" s="39">
        <f t="shared" si="81"/>
        <v>7.8335633988602194</v>
      </c>
      <c r="EP44" s="37">
        <f t="shared" si="78"/>
        <v>2.5098906103139515E-2</v>
      </c>
      <c r="EQ44" s="37">
        <f t="shared" si="79"/>
        <v>0.15097217833465293</v>
      </c>
      <c r="ER44" s="37">
        <f t="shared" si="80"/>
        <v>0.8239289155622076</v>
      </c>
      <c r="ES44" s="39">
        <f t="shared" si="53"/>
        <v>2.5869469805555605</v>
      </c>
      <c r="ET44" s="55">
        <f t="shared" si="54"/>
        <v>23.185072536474031</v>
      </c>
      <c r="EU44" s="55">
        <f t="shared" si="55"/>
        <v>7.6002281329615506</v>
      </c>
      <c r="EV44" s="55">
        <f t="shared" si="56"/>
        <v>69.214699330564429</v>
      </c>
      <c r="EW44" t="s">
        <v>108</v>
      </c>
      <c r="EX44" t="s">
        <v>488</v>
      </c>
      <c r="EY44">
        <v>-104</v>
      </c>
      <c r="EZ44" t="s">
        <v>489</v>
      </c>
      <c r="FA44">
        <v>920</v>
      </c>
      <c r="FB44" t="s">
        <v>113</v>
      </c>
      <c r="FC44" t="s">
        <v>88</v>
      </c>
      <c r="FD44" s="39">
        <f t="shared" si="57"/>
        <v>-7.7932827622278298</v>
      </c>
      <c r="FE44" s="39">
        <f t="shared" si="61"/>
        <v>-7.7928991702900019</v>
      </c>
      <c r="FF44" s="39">
        <f t="shared" si="58"/>
        <v>-2.5466663439231709</v>
      </c>
      <c r="FG44" s="39">
        <f t="shared" si="59"/>
        <v>-2.546282751985343</v>
      </c>
    </row>
    <row r="45" spans="1:163" ht="15.75" x14ac:dyDescent="0.25">
      <c r="A45" s="4" t="s">
        <v>303</v>
      </c>
      <c r="B45" s="4" t="s">
        <v>303</v>
      </c>
      <c r="C45" s="3" t="s">
        <v>834</v>
      </c>
      <c r="D45" s="3" t="s">
        <v>834</v>
      </c>
      <c r="E45" s="3" t="s">
        <v>1138</v>
      </c>
      <c r="F45" s="3" t="s">
        <v>1027</v>
      </c>
      <c r="G45" s="3" t="s">
        <v>773</v>
      </c>
      <c r="H45" s="3" t="str">
        <f t="shared" si="0"/>
        <v>CW_2_Section_2</v>
      </c>
      <c r="I45" s="3" t="str">
        <f t="shared" si="1"/>
        <v>CW_2_MF06</v>
      </c>
      <c r="J45" s="3" t="s">
        <v>1497</v>
      </c>
      <c r="K45" s="3" t="s">
        <v>1484</v>
      </c>
      <c r="L45" s="11" t="s">
        <v>1083</v>
      </c>
      <c r="M45" s="3" t="s">
        <v>1024</v>
      </c>
      <c r="N45" s="3" t="s">
        <v>1024</v>
      </c>
      <c r="O45" s="12" t="s">
        <v>1016</v>
      </c>
      <c r="P45" s="3" t="s">
        <v>1139</v>
      </c>
      <c r="Q45" s="3" t="s">
        <v>1018</v>
      </c>
      <c r="R45" s="3" t="s">
        <v>1111</v>
      </c>
      <c r="S45" s="3" t="str">
        <f t="shared" si="2"/>
        <v>T1_0.60-0.80</v>
      </c>
      <c r="T45" s="13" t="s">
        <v>1112</v>
      </c>
      <c r="U45" s="3" t="s">
        <v>1113</v>
      </c>
      <c r="V45" s="3">
        <v>150</v>
      </c>
      <c r="W45" s="3">
        <v>100</v>
      </c>
      <c r="X45" s="14">
        <v>7.5</v>
      </c>
      <c r="Y45" s="3">
        <v>44</v>
      </c>
      <c r="Z45" t="s">
        <v>490</v>
      </c>
      <c r="AA45" t="s">
        <v>186</v>
      </c>
      <c r="AB45" s="1">
        <v>45580</v>
      </c>
      <c r="AC45">
        <v>12</v>
      </c>
      <c r="AD45">
        <v>12</v>
      </c>
      <c r="AE45">
        <v>650</v>
      </c>
      <c r="AF45" s="37">
        <f t="shared" si="17"/>
        <v>0.24964793240302136</v>
      </c>
      <c r="AG45">
        <v>45</v>
      </c>
      <c r="AH45" s="37">
        <f t="shared" si="18"/>
        <v>1.7581940525287606E-2</v>
      </c>
      <c r="AI45">
        <v>510</v>
      </c>
      <c r="AJ45" s="37">
        <f t="shared" si="19"/>
        <v>0.20175190731845152</v>
      </c>
      <c r="AK45">
        <v>180</v>
      </c>
      <c r="AL45" s="37">
        <f t="shared" si="20"/>
        <v>7.120655552415936E-2</v>
      </c>
      <c r="AM45">
        <v>200</v>
      </c>
      <c r="AN45" s="37">
        <f t="shared" si="21"/>
        <v>7.9118395026843744E-2</v>
      </c>
      <c r="AO45">
        <v>380</v>
      </c>
      <c r="AQ45" s="59">
        <v>1585</v>
      </c>
      <c r="AR45" s="59">
        <f t="shared" si="22"/>
        <v>0.46898178024676052</v>
      </c>
      <c r="AS45">
        <v>2700</v>
      </c>
      <c r="AT45" s="37">
        <f t="shared" si="23"/>
        <v>1.0111570570336272</v>
      </c>
      <c r="AU45" t="s">
        <v>780</v>
      </c>
      <c r="AV45" t="s">
        <v>780</v>
      </c>
      <c r="AW45" t="s">
        <v>780</v>
      </c>
      <c r="AX45" t="s">
        <v>780</v>
      </c>
      <c r="AY45" t="s">
        <v>780</v>
      </c>
      <c r="AZ45" t="s">
        <v>780</v>
      </c>
      <c r="BA45" t="s">
        <v>780</v>
      </c>
      <c r="BB45" t="s">
        <v>780</v>
      </c>
      <c r="BC45" t="s">
        <v>780</v>
      </c>
      <c r="BD45" t="s">
        <v>780</v>
      </c>
      <c r="BE45" t="s">
        <v>780</v>
      </c>
      <c r="BF45" t="s">
        <v>780</v>
      </c>
      <c r="BG45" t="s">
        <v>780</v>
      </c>
      <c r="BH45" t="s">
        <v>780</v>
      </c>
      <c r="BI45" t="s">
        <v>780</v>
      </c>
      <c r="BJ45" t="s">
        <v>780</v>
      </c>
      <c r="BK45" t="s">
        <v>780</v>
      </c>
      <c r="BL45" t="s">
        <v>780</v>
      </c>
      <c r="BM45" t="s">
        <v>780</v>
      </c>
      <c r="BN45" t="s">
        <v>780</v>
      </c>
      <c r="BO45" s="58">
        <v>2400</v>
      </c>
      <c r="BP45" s="58">
        <v>100</v>
      </c>
      <c r="BQ45" s="58">
        <v>72</v>
      </c>
      <c r="BR45" s="58">
        <v>26</v>
      </c>
      <c r="BS45" s="58">
        <v>8.6999999999999993</v>
      </c>
      <c r="BT45" s="58">
        <v>1.8</v>
      </c>
      <c r="BU45" s="58">
        <v>0.18</v>
      </c>
      <c r="BV45" s="58">
        <v>0.12</v>
      </c>
      <c r="BW45" s="31">
        <f t="shared" si="24"/>
        <v>0.89880627291877968</v>
      </c>
      <c r="BX45" s="31">
        <f t="shared" si="25"/>
        <v>3.6796110125501019E-2</v>
      </c>
      <c r="BY45" s="31">
        <f t="shared" si="26"/>
        <v>2.707995590428636E-2</v>
      </c>
      <c r="BZ45" s="31">
        <f t="shared" si="27"/>
        <v>9.6979906148477926E-3</v>
      </c>
      <c r="CA45" s="31">
        <f t="shared" si="28"/>
        <v>3.2216798518767882E-3</v>
      </c>
      <c r="CB45" s="31">
        <f t="shared" si="29"/>
        <v>6.6655445211243904E-4</v>
      </c>
      <c r="CC45" s="31">
        <f t="shared" si="30"/>
        <v>6.5859085290482068E-5</v>
      </c>
      <c r="CD45" s="31">
        <f t="shared" si="31"/>
        <v>4.3906056860321379E-5</v>
      </c>
      <c r="CE45">
        <v>1E-3</v>
      </c>
      <c r="CF45">
        <v>1E-3</v>
      </c>
      <c r="CG45">
        <v>2E-3</v>
      </c>
      <c r="CH45">
        <v>1E-3</v>
      </c>
      <c r="CI45">
        <v>1E-3</v>
      </c>
      <c r="CK45">
        <v>2E-3</v>
      </c>
      <c r="CL45">
        <v>1E-3</v>
      </c>
      <c r="CM45">
        <v>1E-3</v>
      </c>
      <c r="CN45" s="58">
        <f t="shared" si="60"/>
        <v>2608.7999999999997</v>
      </c>
      <c r="CO45" s="58">
        <f t="shared" si="32"/>
        <v>208.8</v>
      </c>
      <c r="CP45" s="31">
        <f t="shared" si="33"/>
        <v>0.97637832900955479</v>
      </c>
      <c r="CQ45" s="31">
        <f t="shared" si="34"/>
        <v>7.7572056090775193E-2</v>
      </c>
      <c r="CR45">
        <v>2600</v>
      </c>
      <c r="CS45">
        <v>4700</v>
      </c>
      <c r="CT45">
        <v>1200</v>
      </c>
      <c r="CU45" t="s">
        <v>69</v>
      </c>
      <c r="CV45" t="s">
        <v>69</v>
      </c>
      <c r="CW45">
        <v>6000</v>
      </c>
      <c r="CX45" s="2">
        <f t="shared" si="68"/>
        <v>4185</v>
      </c>
      <c r="CZ45">
        <v>68</v>
      </c>
      <c r="DA45" t="s">
        <v>62</v>
      </c>
      <c r="DB45" t="s">
        <v>88</v>
      </c>
      <c r="DC45" t="s">
        <v>782</v>
      </c>
      <c r="DD45" s="37">
        <f t="shared" si="69"/>
        <v>20.926920674578387</v>
      </c>
      <c r="DE45" s="37">
        <f t="shared" si="63"/>
        <v>20.926920674578387</v>
      </c>
      <c r="DF45" s="37">
        <v>5.8</v>
      </c>
      <c r="DG45" s="37">
        <f t="shared" si="70"/>
        <v>0.10384959713518352</v>
      </c>
      <c r="DH45" s="37">
        <f t="shared" si="36"/>
        <v>0.10384959713518352</v>
      </c>
      <c r="DI45" s="37">
        <f t="shared" si="71"/>
        <v>26.726920674578388</v>
      </c>
      <c r="DJ45" s="37">
        <f t="shared" si="37"/>
        <v>0.4785482663308574</v>
      </c>
      <c r="DK45" s="37">
        <f t="shared" si="38"/>
        <v>0.4785482663308574</v>
      </c>
      <c r="DL45" s="55">
        <f t="shared" si="39"/>
        <v>13.951280449718926</v>
      </c>
      <c r="DM45" s="55">
        <f t="shared" si="39"/>
        <v>13.951280449718926</v>
      </c>
      <c r="DN45" s="37">
        <f t="shared" si="40"/>
        <v>19.751280449718926</v>
      </c>
      <c r="DO45" s="55">
        <f t="shared" si="41"/>
        <v>0.35364870993229947</v>
      </c>
      <c r="DP45" s="55">
        <f t="shared" si="42"/>
        <v>0.35364870993229947</v>
      </c>
      <c r="DQ45" s="37">
        <v>2.6</v>
      </c>
      <c r="DR45" s="37">
        <f t="shared" si="43"/>
        <v>4.7332969233569999E-2</v>
      </c>
      <c r="DS45" s="37">
        <f t="shared" si="44"/>
        <v>9.4665938467139998E-2</v>
      </c>
      <c r="DT45" s="37">
        <f t="shared" si="72"/>
        <v>10.110252411366922</v>
      </c>
      <c r="DU45" s="37">
        <f t="shared" si="73"/>
        <v>5.0551262056834609</v>
      </c>
      <c r="DV45" s="37">
        <f t="shared" si="74"/>
        <v>29.326920674578389</v>
      </c>
      <c r="DW45" s="37">
        <f t="shared" si="75"/>
        <v>0.57321420479799734</v>
      </c>
      <c r="DX45">
        <v>24</v>
      </c>
      <c r="DY45">
        <v>1</v>
      </c>
      <c r="DZ45" s="29">
        <f t="shared" si="67"/>
        <v>1</v>
      </c>
      <c r="EA45" s="30">
        <v>1.7000000000000001E-2</v>
      </c>
      <c r="EB45" s="30">
        <f t="shared" si="47"/>
        <v>2.741935483870968E-4</v>
      </c>
      <c r="EC45" s="30">
        <f t="shared" si="48"/>
        <v>1.370967741935484E-3</v>
      </c>
      <c r="ED45" s="31">
        <f t="shared" si="65"/>
        <v>36</v>
      </c>
      <c r="EE45" s="33">
        <f t="shared" si="66"/>
        <v>46.153846153846153</v>
      </c>
      <c r="EF45" s="37">
        <f t="shared" si="76"/>
        <v>2.9981261711430354</v>
      </c>
      <c r="EG45" s="37">
        <f>$EK43-EK45</f>
        <v>24</v>
      </c>
      <c r="EH45" s="33">
        <f>(EG45/$EK43)*100</f>
        <v>36.363636363636367</v>
      </c>
      <c r="EI45" s="37">
        <f t="shared" si="62"/>
        <v>1.9987507807620237</v>
      </c>
      <c r="EJ45" s="37">
        <f>($EG45/96.06)*8</f>
        <v>1.9987507807620237</v>
      </c>
      <c r="EK45" s="31">
        <v>42</v>
      </c>
      <c r="EL45" s="31">
        <f t="shared" si="50"/>
        <v>0.4372267332916927</v>
      </c>
      <c r="EM45" s="31">
        <f t="shared" si="51"/>
        <v>3.4978138663335416</v>
      </c>
      <c r="EN45" s="32">
        <f t="shared" si="77"/>
        <v>3.4991848340754772</v>
      </c>
      <c r="EO45" s="39">
        <f t="shared" si="81"/>
        <v>3.5713403759410327</v>
      </c>
      <c r="EP45" s="37">
        <f t="shared" si="78"/>
        <v>2.6507117357077996E-2</v>
      </c>
      <c r="EQ45" s="37">
        <f t="shared" si="79"/>
        <v>0.13399682358889189</v>
      </c>
      <c r="ER45" s="37">
        <f t="shared" si="80"/>
        <v>0.83949605905403013</v>
      </c>
      <c r="ES45" s="39">
        <f t="shared" si="53"/>
        <v>2.4470654291614631</v>
      </c>
      <c r="ET45" s="55">
        <f t="shared" si="54"/>
        <v>14.451951538275152</v>
      </c>
      <c r="EU45" s="55">
        <f t="shared" si="55"/>
        <v>3.8685495426078256</v>
      </c>
      <c r="EV45" s="55">
        <f t="shared" si="56"/>
        <v>81.679498919117037</v>
      </c>
      <c r="EW45" t="s">
        <v>230</v>
      </c>
      <c r="EX45" t="s">
        <v>492</v>
      </c>
      <c r="EY45">
        <v>-115</v>
      </c>
      <c r="EZ45" t="s">
        <v>253</v>
      </c>
      <c r="FA45">
        <v>672</v>
      </c>
      <c r="FB45" t="s">
        <v>780</v>
      </c>
      <c r="FC45" t="s">
        <v>88</v>
      </c>
      <c r="FD45" s="39">
        <f t="shared" si="57"/>
        <v>-2.0912015386606448</v>
      </c>
      <c r="FE45" s="39">
        <f t="shared" si="61"/>
        <v>-2.0136294825698697</v>
      </c>
      <c r="FF45" s="39">
        <f t="shared" si="58"/>
        <v>-0.96692659188107521</v>
      </c>
      <c r="FG45" s="39">
        <f t="shared" si="59"/>
        <v>-0.8893545357903001</v>
      </c>
    </row>
    <row r="46" spans="1:163" ht="15.75" x14ac:dyDescent="0.25">
      <c r="A46" s="4" t="s">
        <v>304</v>
      </c>
      <c r="B46" s="4" t="s">
        <v>304</v>
      </c>
      <c r="C46" s="3" t="s">
        <v>835</v>
      </c>
      <c r="D46" s="3" t="s">
        <v>835</v>
      </c>
      <c r="E46" s="3" t="s">
        <v>1140</v>
      </c>
      <c r="F46" s="3" t="s">
        <v>1034</v>
      </c>
      <c r="G46" s="3" t="s">
        <v>773</v>
      </c>
      <c r="H46" s="3" t="str">
        <f t="shared" si="0"/>
        <v>CW_2_Section_3</v>
      </c>
      <c r="I46" s="3" t="str">
        <f t="shared" si="1"/>
        <v>CW_2_MF09</v>
      </c>
      <c r="J46" s="3" t="s">
        <v>1492</v>
      </c>
      <c r="K46" s="3" t="s">
        <v>1484</v>
      </c>
      <c r="L46" s="11" t="s">
        <v>1086</v>
      </c>
      <c r="M46" s="3" t="s">
        <v>1015</v>
      </c>
      <c r="N46" s="3" t="s">
        <v>1015</v>
      </c>
      <c r="O46" s="12" t="s">
        <v>1016</v>
      </c>
      <c r="P46" s="3" t="s">
        <v>1141</v>
      </c>
      <c r="Q46" s="3" t="s">
        <v>1018</v>
      </c>
      <c r="R46" s="3" t="s">
        <v>1111</v>
      </c>
      <c r="S46" s="3" t="str">
        <f t="shared" si="2"/>
        <v>T1_0.15-0.30</v>
      </c>
      <c r="T46" s="13" t="s">
        <v>1112</v>
      </c>
      <c r="U46" s="3" t="s">
        <v>1113</v>
      </c>
      <c r="V46" s="3">
        <v>150</v>
      </c>
      <c r="W46" s="3">
        <v>100</v>
      </c>
      <c r="X46" s="14">
        <v>6.1</v>
      </c>
      <c r="Y46" s="3">
        <v>45</v>
      </c>
      <c r="Z46" t="s">
        <v>493</v>
      </c>
      <c r="AA46" t="s">
        <v>219</v>
      </c>
      <c r="AB46" s="1">
        <v>45580</v>
      </c>
      <c r="AC46">
        <v>13</v>
      </c>
      <c r="AD46">
        <v>11</v>
      </c>
      <c r="AE46">
        <v>580</v>
      </c>
      <c r="AF46" s="37">
        <f t="shared" si="17"/>
        <v>0.22276277045192677</v>
      </c>
      <c r="AG46">
        <v>5.0999999999999996</v>
      </c>
      <c r="AH46" s="37">
        <f t="shared" si="18"/>
        <v>1.992619926199262E-3</v>
      </c>
      <c r="AI46">
        <v>180</v>
      </c>
      <c r="AJ46" s="37">
        <f t="shared" si="19"/>
        <v>7.120655552415936E-2</v>
      </c>
      <c r="AK46">
        <v>100</v>
      </c>
      <c r="AL46" s="37">
        <f t="shared" si="20"/>
        <v>3.9559197513421872E-2</v>
      </c>
      <c r="AM46">
        <v>90</v>
      </c>
      <c r="AN46" s="37">
        <f t="shared" si="21"/>
        <v>3.560327776207968E-2</v>
      </c>
      <c r="AO46">
        <v>190</v>
      </c>
      <c r="AQ46" s="59">
        <v>955.1</v>
      </c>
      <c r="AR46" s="59">
        <f t="shared" si="22"/>
        <v>0.29596194590228542</v>
      </c>
      <c r="AS46">
        <v>27</v>
      </c>
      <c r="AT46" s="37">
        <f t="shared" si="23"/>
        <v>1.0111570570336272E-2</v>
      </c>
      <c r="AU46" t="s">
        <v>780</v>
      </c>
      <c r="AV46" t="s">
        <v>780</v>
      </c>
      <c r="AW46" t="s">
        <v>780</v>
      </c>
      <c r="AX46" t="s">
        <v>780</v>
      </c>
      <c r="AY46" t="s">
        <v>780</v>
      </c>
      <c r="AZ46" t="s">
        <v>780</v>
      </c>
      <c r="BA46" t="s">
        <v>780</v>
      </c>
      <c r="BB46" t="s">
        <v>780</v>
      </c>
      <c r="BC46" t="s">
        <v>780</v>
      </c>
      <c r="BD46" t="s">
        <v>780</v>
      </c>
      <c r="BE46" t="s">
        <v>780</v>
      </c>
      <c r="BF46" t="s">
        <v>780</v>
      </c>
      <c r="BG46" t="s">
        <v>780</v>
      </c>
      <c r="BH46" t="s">
        <v>780</v>
      </c>
      <c r="BI46" t="s">
        <v>780</v>
      </c>
      <c r="BJ46" t="s">
        <v>780</v>
      </c>
      <c r="BK46" t="s">
        <v>780</v>
      </c>
      <c r="BL46" t="s">
        <v>780</v>
      </c>
      <c r="BM46" t="s">
        <v>780</v>
      </c>
      <c r="BN46" t="s">
        <v>780</v>
      </c>
      <c r="BO46" s="58">
        <v>32</v>
      </c>
      <c r="BP46" s="58">
        <v>0.01</v>
      </c>
      <c r="BQ46" s="58">
        <v>0.01</v>
      </c>
      <c r="BR46" s="58">
        <v>5.0000000000000001E-3</v>
      </c>
      <c r="BS46" s="58">
        <v>0.03</v>
      </c>
      <c r="BT46" s="58">
        <v>1E-3</v>
      </c>
      <c r="BU46" s="58">
        <v>1E-3</v>
      </c>
      <c r="BV46" s="58">
        <v>2E-3</v>
      </c>
      <c r="BW46" s="31">
        <f t="shared" si="24"/>
        <v>1.1984083638917061E-2</v>
      </c>
      <c r="BX46" s="31">
        <f t="shared" si="25"/>
        <v>3.6796110125501018E-6</v>
      </c>
      <c r="BY46" s="31">
        <f t="shared" si="26"/>
        <v>3.7611049867064394E-6</v>
      </c>
      <c r="BZ46" s="31">
        <f t="shared" si="27"/>
        <v>1.8649981951630372E-6</v>
      </c>
      <c r="CA46" s="31">
        <f t="shared" si="28"/>
        <v>1.110924086854065E-5</v>
      </c>
      <c r="CB46" s="31">
        <f t="shared" si="29"/>
        <v>3.7030802895135499E-7</v>
      </c>
      <c r="CC46" s="31">
        <f t="shared" si="30"/>
        <v>3.6588380716934485E-7</v>
      </c>
      <c r="CD46" s="31">
        <f t="shared" si="31"/>
        <v>7.3176761433868969E-7</v>
      </c>
      <c r="CE46">
        <v>1E-3</v>
      </c>
      <c r="CF46">
        <v>1E-3</v>
      </c>
      <c r="CG46">
        <v>2E-3</v>
      </c>
      <c r="CH46">
        <v>1E-3</v>
      </c>
      <c r="CI46">
        <v>1E-3</v>
      </c>
      <c r="CK46">
        <v>2E-3</v>
      </c>
      <c r="CL46">
        <v>1E-3</v>
      </c>
      <c r="CM46">
        <v>1E-3</v>
      </c>
      <c r="CN46" s="58">
        <f t="shared" si="60"/>
        <v>32.058999999999997</v>
      </c>
      <c r="CO46" s="58">
        <f t="shared" si="32"/>
        <v>5.9000000000000004E-2</v>
      </c>
      <c r="CP46" s="31">
        <f t="shared" si="33"/>
        <v>1.200596655343048E-2</v>
      </c>
      <c r="CQ46" s="31">
        <f t="shared" si="34"/>
        <v>2.1882914513419617E-5</v>
      </c>
      <c r="CR46">
        <v>32</v>
      </c>
      <c r="CS46">
        <v>65</v>
      </c>
      <c r="CT46" t="s">
        <v>69</v>
      </c>
      <c r="CU46" t="s">
        <v>69</v>
      </c>
      <c r="CV46" t="s">
        <v>69</v>
      </c>
      <c r="CW46">
        <v>70</v>
      </c>
      <c r="CX46" s="2">
        <f t="shared" si="68"/>
        <v>987.1</v>
      </c>
      <c r="CZ46">
        <v>69</v>
      </c>
      <c r="DA46" t="s">
        <v>62</v>
      </c>
      <c r="DB46" t="s">
        <v>88</v>
      </c>
      <c r="DC46" t="s">
        <v>782</v>
      </c>
      <c r="DD46" s="37">
        <f t="shared" si="69"/>
        <v>45.051009785550697</v>
      </c>
      <c r="DE46" s="37">
        <f t="shared" si="63"/>
        <v>45.051009785550697</v>
      </c>
      <c r="DF46" s="37">
        <v>18</v>
      </c>
      <c r="DG46" s="37">
        <f t="shared" si="70"/>
        <v>0.32229185317815578</v>
      </c>
      <c r="DH46" s="37">
        <f t="shared" si="36"/>
        <v>0.32229185317815578</v>
      </c>
      <c r="DI46" s="37">
        <f t="shared" si="71"/>
        <v>63.051009785550697</v>
      </c>
      <c r="DJ46" s="37">
        <f t="shared" si="37"/>
        <v>1.1289348215855093</v>
      </c>
      <c r="DK46" s="37">
        <f t="shared" si="38"/>
        <v>1.1289348215855093</v>
      </c>
      <c r="DL46" s="55">
        <f t="shared" si="39"/>
        <v>0</v>
      </c>
      <c r="DM46" s="55">
        <f t="shared" si="39"/>
        <v>0</v>
      </c>
      <c r="DN46" s="37">
        <f t="shared" si="40"/>
        <v>18</v>
      </c>
      <c r="DO46" s="55">
        <f t="shared" si="41"/>
        <v>0.32229185317815578</v>
      </c>
      <c r="DP46" s="55">
        <f t="shared" si="42"/>
        <v>0.32229185317815578</v>
      </c>
      <c r="DQ46" s="37">
        <v>3.9</v>
      </c>
      <c r="DR46" s="37">
        <f t="shared" si="43"/>
        <v>7.0999453850354999E-2</v>
      </c>
      <c r="DS46" s="37">
        <f t="shared" si="44"/>
        <v>0.14199890770071</v>
      </c>
      <c r="DT46" s="37">
        <f t="shared" si="72"/>
        <v>15.900612756331288</v>
      </c>
      <c r="DU46" s="37">
        <f t="shared" si="73"/>
        <v>7.950306378165644</v>
      </c>
      <c r="DV46" s="37">
        <f t="shared" si="74"/>
        <v>66.951009785550696</v>
      </c>
      <c r="DW46" s="37">
        <f t="shared" si="75"/>
        <v>1.2709337292862193</v>
      </c>
      <c r="DX46">
        <v>24</v>
      </c>
      <c r="DY46" t="s">
        <v>104</v>
      </c>
      <c r="DZ46" s="29">
        <f t="shared" si="67"/>
        <v>1</v>
      </c>
      <c r="EA46" s="30">
        <v>1.7000000000000001E-2</v>
      </c>
      <c r="EB46" s="30">
        <f t="shared" si="47"/>
        <v>2.741935483870968E-4</v>
      </c>
      <c r="EC46" s="30">
        <f t="shared" si="48"/>
        <v>1.370967741935484E-3</v>
      </c>
      <c r="ED46" s="31">
        <f t="shared" si="65"/>
        <v>77.5</v>
      </c>
      <c r="EE46" s="33">
        <f t="shared" si="66"/>
        <v>99.358974358974365</v>
      </c>
      <c r="EF46" s="37">
        <f t="shared" si="76"/>
        <v>6.4542993962107014</v>
      </c>
      <c r="EG46" s="37">
        <f>$EK44-EK46</f>
        <v>0</v>
      </c>
      <c r="EH46" s="33">
        <f>(EG46/$EK44)*100</f>
        <v>0</v>
      </c>
      <c r="EI46" s="37">
        <f t="shared" si="62"/>
        <v>0</v>
      </c>
      <c r="EJ46" s="37">
        <f>($EG46/96.06)*8</f>
        <v>0</v>
      </c>
      <c r="EK46" s="31">
        <v>0.5</v>
      </c>
      <c r="EL46" s="31">
        <f t="shared" si="50"/>
        <v>5.2050801582344368E-3</v>
      </c>
      <c r="EM46" s="31">
        <f t="shared" si="51"/>
        <v>4.1640641265875494E-2</v>
      </c>
      <c r="EN46" s="32">
        <f t="shared" si="77"/>
        <v>4.301160900781098E-2</v>
      </c>
      <c r="EO46" s="39">
        <f t="shared" si="81"/>
        <v>7.7252331254969206</v>
      </c>
      <c r="EP46" s="37">
        <f t="shared" si="78"/>
        <v>1.8381180916346263E-2</v>
      </c>
      <c r="EQ46" s="37">
        <f t="shared" si="79"/>
        <v>0.14613601987744432</v>
      </c>
      <c r="ER46" s="37">
        <f t="shared" si="80"/>
        <v>0.83548279920620938</v>
      </c>
      <c r="ES46" s="39">
        <f t="shared" si="53"/>
        <v>0.46429076087886578</v>
      </c>
      <c r="ET46" s="55">
        <f t="shared" si="54"/>
        <v>69.415952315760649</v>
      </c>
      <c r="EU46" s="55">
        <f t="shared" si="55"/>
        <v>30.584047684239344</v>
      </c>
      <c r="EV46" s="55">
        <f t="shared" si="56"/>
        <v>0</v>
      </c>
      <c r="EW46" t="s">
        <v>494</v>
      </c>
      <c r="EX46" t="s">
        <v>486</v>
      </c>
      <c r="EY46">
        <v>-112</v>
      </c>
      <c r="EZ46" t="s">
        <v>234</v>
      </c>
      <c r="FA46">
        <v>488</v>
      </c>
      <c r="FB46" t="s">
        <v>113</v>
      </c>
      <c r="FC46" t="s">
        <v>88</v>
      </c>
      <c r="FD46" s="39">
        <f t="shared" si="57"/>
        <v>-7.4191596090242991</v>
      </c>
      <c r="FE46" s="39">
        <f t="shared" si="61"/>
        <v>-7.4191377261097857</v>
      </c>
      <c r="FF46" s="39">
        <f t="shared" si="58"/>
        <v>-0.15821724440624407</v>
      </c>
      <c r="FG46" s="39">
        <f t="shared" si="59"/>
        <v>-0.15819536149173063</v>
      </c>
    </row>
    <row r="47" spans="1:163" ht="15.75" x14ac:dyDescent="0.25">
      <c r="A47" s="4" t="s">
        <v>305</v>
      </c>
      <c r="B47" s="4" t="s">
        <v>305</v>
      </c>
      <c r="C47" s="3" t="s">
        <v>836</v>
      </c>
      <c r="D47" s="3" t="s">
        <v>836</v>
      </c>
      <c r="E47" s="3" t="s">
        <v>1142</v>
      </c>
      <c r="F47" s="3" t="s">
        <v>1034</v>
      </c>
      <c r="G47" s="3" t="s">
        <v>773</v>
      </c>
      <c r="H47" s="3" t="str">
        <f t="shared" si="0"/>
        <v>CW_2_Section_3</v>
      </c>
      <c r="I47" s="3" t="str">
        <f t="shared" si="1"/>
        <v>CW_2_MF10</v>
      </c>
      <c r="J47" s="3" t="s">
        <v>1493</v>
      </c>
      <c r="K47" s="3" t="s">
        <v>1484</v>
      </c>
      <c r="L47" s="11" t="s">
        <v>1089</v>
      </c>
      <c r="M47" s="3" t="s">
        <v>1024</v>
      </c>
      <c r="N47" s="3" t="s">
        <v>1024</v>
      </c>
      <c r="O47" s="12" t="s">
        <v>1016</v>
      </c>
      <c r="P47" s="3" t="s">
        <v>1143</v>
      </c>
      <c r="Q47" s="3" t="s">
        <v>1018</v>
      </c>
      <c r="R47" s="3" t="s">
        <v>1111</v>
      </c>
      <c r="S47" s="3" t="str">
        <f t="shared" si="2"/>
        <v>T1_0.60-0.80</v>
      </c>
      <c r="T47" s="13" t="s">
        <v>1112</v>
      </c>
      <c r="U47" s="3" t="s">
        <v>1113</v>
      </c>
      <c r="V47" s="3">
        <v>150</v>
      </c>
      <c r="W47" s="3">
        <v>100</v>
      </c>
      <c r="X47" s="14">
        <v>5.2</v>
      </c>
      <c r="Y47" s="3">
        <v>46</v>
      </c>
      <c r="Z47" t="s">
        <v>495</v>
      </c>
      <c r="AA47" t="s">
        <v>228</v>
      </c>
      <c r="AB47" s="1">
        <v>45580</v>
      </c>
      <c r="AC47">
        <v>13</v>
      </c>
      <c r="AD47">
        <v>12</v>
      </c>
      <c r="AE47">
        <v>680</v>
      </c>
      <c r="AF47" s="37">
        <f t="shared" si="17"/>
        <v>0.26117014466777622</v>
      </c>
      <c r="AG47">
        <v>23</v>
      </c>
      <c r="AH47" s="37">
        <f t="shared" si="18"/>
        <v>8.98632515736922E-3</v>
      </c>
      <c r="AI47">
        <v>510</v>
      </c>
      <c r="AJ47" s="37">
        <f t="shared" si="19"/>
        <v>0.20175190731845152</v>
      </c>
      <c r="AK47">
        <v>180</v>
      </c>
      <c r="AL47" s="37">
        <f t="shared" si="20"/>
        <v>7.120655552415936E-2</v>
      </c>
      <c r="AM47">
        <v>120</v>
      </c>
      <c r="AN47" s="37">
        <f t="shared" si="21"/>
        <v>4.7471037016106249E-2</v>
      </c>
      <c r="AO47">
        <v>300</v>
      </c>
      <c r="AQ47" s="59">
        <v>1513</v>
      </c>
      <c r="AR47" s="59">
        <f t="shared" si="22"/>
        <v>0.47190837714359701</v>
      </c>
      <c r="AS47">
        <v>2700</v>
      </c>
      <c r="AT47" s="37">
        <f t="shared" si="23"/>
        <v>1.0111570570336272</v>
      </c>
      <c r="AU47" t="s">
        <v>780</v>
      </c>
      <c r="AV47" t="s">
        <v>780</v>
      </c>
      <c r="AW47" t="s">
        <v>780</v>
      </c>
      <c r="AX47" t="s">
        <v>780</v>
      </c>
      <c r="AY47" t="s">
        <v>780</v>
      </c>
      <c r="AZ47" t="s">
        <v>780</v>
      </c>
      <c r="BA47" t="s">
        <v>780</v>
      </c>
      <c r="BB47" t="s">
        <v>780</v>
      </c>
      <c r="BC47" t="s">
        <v>780</v>
      </c>
      <c r="BD47" t="s">
        <v>780</v>
      </c>
      <c r="BE47" t="s">
        <v>780</v>
      </c>
      <c r="BF47" t="s">
        <v>780</v>
      </c>
      <c r="BG47" t="s">
        <v>780</v>
      </c>
      <c r="BH47" t="s">
        <v>780</v>
      </c>
      <c r="BI47" t="s">
        <v>780</v>
      </c>
      <c r="BJ47" t="s">
        <v>780</v>
      </c>
      <c r="BK47" t="s">
        <v>780</v>
      </c>
      <c r="BL47" t="s">
        <v>780</v>
      </c>
      <c r="BM47" t="s">
        <v>780</v>
      </c>
      <c r="BN47" t="s">
        <v>780</v>
      </c>
      <c r="BO47" s="58">
        <v>2000</v>
      </c>
      <c r="BP47" s="58">
        <v>99</v>
      </c>
      <c r="BQ47" s="58">
        <v>68</v>
      </c>
      <c r="BR47" s="58">
        <v>24</v>
      </c>
      <c r="BS47" s="58">
        <v>6.7</v>
      </c>
      <c r="BT47" s="58">
        <v>1.2</v>
      </c>
      <c r="BU47" s="58">
        <v>0.08</v>
      </c>
      <c r="BV47" s="58">
        <v>0.04</v>
      </c>
      <c r="BW47" s="31">
        <f t="shared" si="24"/>
        <v>0.74900522743231646</v>
      </c>
      <c r="BX47" s="31">
        <f t="shared" si="25"/>
        <v>3.6428149024246008E-2</v>
      </c>
      <c r="BY47" s="31">
        <f t="shared" si="26"/>
        <v>2.5575513909603786E-2</v>
      </c>
      <c r="BZ47" s="31">
        <f t="shared" si="27"/>
        <v>8.9519913367825769E-3</v>
      </c>
      <c r="CA47" s="31">
        <f t="shared" si="28"/>
        <v>2.4810637939740783E-3</v>
      </c>
      <c r="CB47" s="31">
        <f t="shared" si="29"/>
        <v>4.4436963474162597E-4</v>
      </c>
      <c r="CC47" s="31">
        <f t="shared" si="30"/>
        <v>2.9270704573547589E-5</v>
      </c>
      <c r="CD47" s="31">
        <f t="shared" si="31"/>
        <v>1.4635352286773795E-5</v>
      </c>
      <c r="CE47">
        <v>1E-3</v>
      </c>
      <c r="CF47">
        <v>1E-3</v>
      </c>
      <c r="CG47">
        <v>2E-3</v>
      </c>
      <c r="CH47">
        <v>1E-3</v>
      </c>
      <c r="CI47">
        <v>1E-3</v>
      </c>
      <c r="CK47">
        <v>2E-3</v>
      </c>
      <c r="CL47">
        <v>1E-3</v>
      </c>
      <c r="CM47">
        <v>1E-3</v>
      </c>
      <c r="CN47" s="58">
        <f t="shared" si="60"/>
        <v>2199.0199999999995</v>
      </c>
      <c r="CO47" s="58">
        <f t="shared" si="32"/>
        <v>199.01999999999998</v>
      </c>
      <c r="CP47" s="31">
        <f t="shared" si="33"/>
        <v>0.82293022118852477</v>
      </c>
      <c r="CQ47" s="31">
        <f t="shared" si="34"/>
        <v>7.3924993756208382E-2</v>
      </c>
      <c r="CR47">
        <v>2200</v>
      </c>
      <c r="CS47">
        <v>5600</v>
      </c>
      <c r="CT47">
        <v>1300</v>
      </c>
      <c r="CU47" t="s">
        <v>69</v>
      </c>
      <c r="CV47" t="s">
        <v>69</v>
      </c>
      <c r="CW47">
        <v>6900</v>
      </c>
      <c r="CX47" s="2">
        <f t="shared" si="68"/>
        <v>3713</v>
      </c>
      <c r="CZ47">
        <v>69</v>
      </c>
      <c r="DA47" t="s">
        <v>62</v>
      </c>
      <c r="DB47" t="s">
        <v>88</v>
      </c>
      <c r="DC47" t="s">
        <v>782</v>
      </c>
      <c r="DD47" s="37">
        <f t="shared" si="69"/>
        <v>18.020403914220278</v>
      </c>
      <c r="DE47" s="37">
        <f t="shared" si="63"/>
        <v>18.020403914220278</v>
      </c>
      <c r="DF47" s="37">
        <v>2</v>
      </c>
      <c r="DG47" s="37">
        <f t="shared" si="70"/>
        <v>3.5810205908683973E-2</v>
      </c>
      <c r="DH47" s="37">
        <f t="shared" si="36"/>
        <v>3.5810205908683973E-2</v>
      </c>
      <c r="DI47" s="37">
        <f t="shared" si="71"/>
        <v>20.020403914220278</v>
      </c>
      <c r="DJ47" s="37">
        <f t="shared" si="37"/>
        <v>0.35846739327162536</v>
      </c>
      <c r="DK47" s="37">
        <f t="shared" si="38"/>
        <v>0.35846739327162536</v>
      </c>
      <c r="DL47" s="55">
        <f t="shared" si="39"/>
        <v>-2.9065167603581092</v>
      </c>
      <c r="DN47" s="37">
        <f t="shared" si="40"/>
        <v>2</v>
      </c>
      <c r="DO47" s="55">
        <f t="shared" si="41"/>
        <v>3.5810205908683973E-2</v>
      </c>
      <c r="DP47" s="55">
        <f t="shared" si="42"/>
        <v>3.5810205908683973E-2</v>
      </c>
      <c r="DQ47" s="37">
        <v>2</v>
      </c>
      <c r="DR47" s="37">
        <f t="shared" si="43"/>
        <v>3.6409976333515386E-2</v>
      </c>
      <c r="DS47" s="37">
        <f t="shared" si="44"/>
        <v>7.2819952667030771E-2</v>
      </c>
      <c r="DT47" s="37">
        <f t="shared" si="72"/>
        <v>9.8453069562051905</v>
      </c>
      <c r="DU47" s="37">
        <f t="shared" si="73"/>
        <v>4.9226534781025952</v>
      </c>
      <c r="DV47" s="37">
        <f t="shared" si="74"/>
        <v>22.020403914220278</v>
      </c>
      <c r="DW47" s="37">
        <f t="shared" si="75"/>
        <v>0.43128734593865614</v>
      </c>
      <c r="DX47">
        <v>27</v>
      </c>
      <c r="DY47" t="s">
        <v>142</v>
      </c>
      <c r="DZ47" s="29">
        <f t="shared" si="67"/>
        <v>1</v>
      </c>
      <c r="EA47" s="30">
        <v>1.7000000000000001E-2</v>
      </c>
      <c r="EB47" s="30">
        <f t="shared" si="47"/>
        <v>2.741935483870968E-4</v>
      </c>
      <c r="EC47" s="30">
        <f t="shared" si="48"/>
        <v>1.370967741935484E-3</v>
      </c>
      <c r="ED47" s="31">
        <f t="shared" si="65"/>
        <v>31</v>
      </c>
      <c r="EE47" s="33">
        <f t="shared" si="66"/>
        <v>39.743589743589745</v>
      </c>
      <c r="EF47" s="37">
        <f t="shared" si="76"/>
        <v>2.5817197584842808</v>
      </c>
      <c r="EG47" s="29">
        <f>$EK45-EK47</f>
        <v>-5</v>
      </c>
      <c r="EH47" s="33">
        <f>(EG47/$EK45)*100</f>
        <v>-11.904761904761903</v>
      </c>
      <c r="EI47" s="37">
        <f t="shared" si="62"/>
        <v>-0.41640641265875494</v>
      </c>
      <c r="EJ47" s="37"/>
      <c r="EK47" s="31">
        <v>47</v>
      </c>
      <c r="EL47" s="31">
        <f t="shared" si="50"/>
        <v>0.48927753487403702</v>
      </c>
      <c r="EM47" s="31">
        <f t="shared" si="51"/>
        <v>3.9142202789922962</v>
      </c>
      <c r="EN47" s="32">
        <f t="shared" si="77"/>
        <v>3.9155912467342318</v>
      </c>
      <c r="EO47" s="39">
        <f t="shared" si="81"/>
        <v>3.013007104422937</v>
      </c>
      <c r="EP47" s="37">
        <f t="shared" si="78"/>
        <v>2.4168530024418093E-2</v>
      </c>
      <c r="EQ47" s="37">
        <f t="shared" si="79"/>
        <v>0.11897329838532872</v>
      </c>
      <c r="ER47" s="37">
        <f t="shared" si="80"/>
        <v>0.85685817159025324</v>
      </c>
      <c r="ES47" s="39">
        <f t="shared" si="53"/>
        <v>0.10863015857571474</v>
      </c>
      <c r="ET47" s="55">
        <f t="shared" si="54"/>
        <v>32.96525235551821</v>
      </c>
      <c r="EU47" s="55">
        <f t="shared" si="55"/>
        <v>67.034747644481783</v>
      </c>
      <c r="EV47" s="55">
        <f t="shared" si="56"/>
        <v>0</v>
      </c>
      <c r="EW47" t="s">
        <v>66</v>
      </c>
      <c r="EX47" t="s">
        <v>496</v>
      </c>
      <c r="EY47">
        <v>-105</v>
      </c>
      <c r="EZ47" t="s">
        <v>112</v>
      </c>
      <c r="FA47">
        <v>610</v>
      </c>
      <c r="FB47" t="s">
        <v>113</v>
      </c>
      <c r="FC47" t="s">
        <v>88</v>
      </c>
      <c r="FD47" s="39">
        <f t="shared" si="57"/>
        <v>-1.5299416702457127</v>
      </c>
      <c r="FE47" s="39">
        <f t="shared" si="61"/>
        <v>-1.4560166764895044</v>
      </c>
      <c r="FF47" s="39">
        <f t="shared" si="58"/>
        <v>1.3744352756015095</v>
      </c>
      <c r="FG47" s="39">
        <f t="shared" si="59"/>
        <v>1.4483602693577178</v>
      </c>
    </row>
    <row r="48" spans="1:163" ht="15.75" x14ac:dyDescent="0.25">
      <c r="A48" s="4" t="s">
        <v>306</v>
      </c>
      <c r="B48" s="4" t="s">
        <v>306</v>
      </c>
      <c r="C48" s="3" t="s">
        <v>837</v>
      </c>
      <c r="D48" s="3" t="s">
        <v>837</v>
      </c>
      <c r="E48" s="3" t="s">
        <v>1144</v>
      </c>
      <c r="F48" s="3" t="s">
        <v>1013</v>
      </c>
      <c r="G48" s="3" t="s">
        <v>774</v>
      </c>
      <c r="H48" s="3" t="str">
        <f t="shared" si="0"/>
        <v>CW_3_Section_1</v>
      </c>
      <c r="I48" s="3" t="str">
        <f t="shared" si="1"/>
        <v>CW_3_MF01</v>
      </c>
      <c r="J48" s="3" t="s">
        <v>1488</v>
      </c>
      <c r="K48" s="3" t="s">
        <v>1484</v>
      </c>
      <c r="L48" s="11" t="s">
        <v>1092</v>
      </c>
      <c r="M48" s="3" t="s">
        <v>1015</v>
      </c>
      <c r="N48" s="3" t="s">
        <v>1015</v>
      </c>
      <c r="O48" s="12" t="s">
        <v>1016</v>
      </c>
      <c r="P48" s="3" t="s">
        <v>1145</v>
      </c>
      <c r="Q48" s="3" t="s">
        <v>1018</v>
      </c>
      <c r="R48" s="3" t="s">
        <v>1111</v>
      </c>
      <c r="S48" s="3" t="str">
        <f t="shared" si="2"/>
        <v>T1_0.15-0.30</v>
      </c>
      <c r="T48" s="13" t="s">
        <v>1112</v>
      </c>
      <c r="U48" s="3" t="s">
        <v>1113</v>
      </c>
      <c r="V48" s="3">
        <v>150</v>
      </c>
      <c r="W48" s="3">
        <v>100</v>
      </c>
      <c r="X48" s="14">
        <v>8.35</v>
      </c>
      <c r="Y48" s="3">
        <v>47</v>
      </c>
      <c r="Z48" t="s">
        <v>500</v>
      </c>
      <c r="AA48" t="s">
        <v>241</v>
      </c>
      <c r="AB48" s="1">
        <v>45582</v>
      </c>
      <c r="AC48">
        <v>31</v>
      </c>
      <c r="AD48">
        <v>14</v>
      </c>
      <c r="AE48">
        <v>380</v>
      </c>
      <c r="AF48" s="37">
        <f t="shared" si="17"/>
        <v>0.14594802202022789</v>
      </c>
      <c r="AG48">
        <v>9.1</v>
      </c>
      <c r="AH48" s="37">
        <f t="shared" si="18"/>
        <v>3.5554590840026047E-3</v>
      </c>
      <c r="AI48">
        <v>66</v>
      </c>
      <c r="AJ48" s="37">
        <f t="shared" si="19"/>
        <v>2.6109070358858434E-2</v>
      </c>
      <c r="AK48">
        <v>37</v>
      </c>
      <c r="AL48" s="37">
        <f t="shared" si="20"/>
        <v>1.4636903079966092E-2</v>
      </c>
      <c r="AM48">
        <v>27</v>
      </c>
      <c r="AN48" s="37">
        <f t="shared" si="21"/>
        <v>1.0680983328623906E-2</v>
      </c>
      <c r="AO48">
        <v>64</v>
      </c>
      <c r="AQ48" s="59">
        <v>519.1</v>
      </c>
      <c r="AR48" s="59">
        <f t="shared" si="22"/>
        <v>0.17561255146308891</v>
      </c>
      <c r="AS48">
        <v>60</v>
      </c>
      <c r="AT48" s="37">
        <f t="shared" si="23"/>
        <v>2.2470156822969493E-2</v>
      </c>
      <c r="AU48" t="s">
        <v>780</v>
      </c>
      <c r="AV48" t="s">
        <v>780</v>
      </c>
      <c r="AW48" t="s">
        <v>780</v>
      </c>
      <c r="AX48" t="s">
        <v>780</v>
      </c>
      <c r="AY48" t="s">
        <v>780</v>
      </c>
      <c r="AZ48" t="s">
        <v>780</v>
      </c>
      <c r="BA48" t="s">
        <v>780</v>
      </c>
      <c r="BB48" t="s">
        <v>780</v>
      </c>
      <c r="BC48" t="s">
        <v>780</v>
      </c>
      <c r="BD48" t="s">
        <v>780</v>
      </c>
      <c r="BE48" t="s">
        <v>780</v>
      </c>
      <c r="BF48" t="s">
        <v>780</v>
      </c>
      <c r="BG48" t="s">
        <v>780</v>
      </c>
      <c r="BH48" t="s">
        <v>780</v>
      </c>
      <c r="BI48" t="s">
        <v>780</v>
      </c>
      <c r="BJ48" t="s">
        <v>780</v>
      </c>
      <c r="BK48" t="s">
        <v>780</v>
      </c>
      <c r="BL48" t="s">
        <v>780</v>
      </c>
      <c r="BM48" t="s">
        <v>780</v>
      </c>
      <c r="BN48" t="s">
        <v>780</v>
      </c>
      <c r="BO48" s="58">
        <v>110</v>
      </c>
      <c r="BP48" s="58">
        <v>3.8</v>
      </c>
      <c r="BQ48" s="58">
        <v>2.2000000000000002</v>
      </c>
      <c r="BR48" s="58">
        <v>0.66</v>
      </c>
      <c r="BS48" s="58">
        <v>0.24</v>
      </c>
      <c r="BT48" s="58">
        <v>0.01</v>
      </c>
      <c r="BU48" s="58">
        <v>1E-3</v>
      </c>
      <c r="BV48" s="58">
        <v>2E-3</v>
      </c>
      <c r="BW48" s="31">
        <f t="shared" si="24"/>
        <v>4.1195287508777406E-2</v>
      </c>
      <c r="BX48" s="31">
        <f t="shared" si="25"/>
        <v>1.3982521847690386E-3</v>
      </c>
      <c r="BY48" s="31">
        <f t="shared" si="26"/>
        <v>8.2744309707541669E-4</v>
      </c>
      <c r="BZ48" s="31">
        <f t="shared" si="27"/>
        <v>2.461797617615209E-4</v>
      </c>
      <c r="CA48" s="31">
        <f t="shared" si="28"/>
        <v>8.88739269483252E-5</v>
      </c>
      <c r="CB48" s="31">
        <f t="shared" si="29"/>
        <v>3.7030802895135499E-6</v>
      </c>
      <c r="CC48" s="31">
        <f t="shared" si="30"/>
        <v>3.6588380716934485E-7</v>
      </c>
      <c r="CD48" s="31">
        <f t="shared" si="31"/>
        <v>7.3176761433868969E-7</v>
      </c>
      <c r="CE48">
        <v>1E-3</v>
      </c>
      <c r="CF48">
        <v>1E-3</v>
      </c>
      <c r="CG48">
        <v>2E-3</v>
      </c>
      <c r="CH48">
        <v>1E-3</v>
      </c>
      <c r="CI48">
        <v>1E-3</v>
      </c>
      <c r="CK48">
        <v>2E-3</v>
      </c>
      <c r="CL48">
        <v>1E-3</v>
      </c>
      <c r="CM48">
        <v>1E-3</v>
      </c>
      <c r="CN48" s="58">
        <f t="shared" si="60"/>
        <v>116.913</v>
      </c>
      <c r="CO48" s="58">
        <f t="shared" si="32"/>
        <v>6.9130000000000003</v>
      </c>
      <c r="CP48" s="31">
        <f t="shared" si="33"/>
        <v>4.3760837211042722E-2</v>
      </c>
      <c r="CQ48" s="31">
        <f t="shared" si="34"/>
        <v>2.5655497022653235E-3</v>
      </c>
      <c r="CR48">
        <v>120</v>
      </c>
      <c r="CS48">
        <v>75</v>
      </c>
      <c r="CT48" t="s">
        <v>69</v>
      </c>
      <c r="CU48" t="s">
        <v>69</v>
      </c>
      <c r="CV48" t="s">
        <v>69</v>
      </c>
      <c r="CW48">
        <v>95</v>
      </c>
      <c r="CX48" s="2">
        <f t="shared" si="68"/>
        <v>639.1</v>
      </c>
      <c r="CZ48">
        <v>65</v>
      </c>
      <c r="DA48" t="s">
        <v>62</v>
      </c>
      <c r="DB48" t="s">
        <v>88</v>
      </c>
      <c r="DC48" t="s">
        <v>782</v>
      </c>
      <c r="DD48" s="37">
        <f t="shared" si="69"/>
        <v>45.051009785550697</v>
      </c>
      <c r="DE48" s="37">
        <f t="shared" si="63"/>
        <v>45.051009785550697</v>
      </c>
      <c r="DF48" s="37">
        <v>26</v>
      </c>
      <c r="DG48" s="37">
        <f t="shared" si="70"/>
        <v>0.46553267681289168</v>
      </c>
      <c r="DH48" s="37">
        <f t="shared" si="36"/>
        <v>0.46553267681289168</v>
      </c>
      <c r="DI48" s="37">
        <f t="shared" si="71"/>
        <v>71.05100978555069</v>
      </c>
      <c r="DJ48" s="37">
        <f t="shared" si="37"/>
        <v>1.2721756452202451</v>
      </c>
      <c r="DK48" s="37">
        <f t="shared" si="38"/>
        <v>1.2721756452202451</v>
      </c>
      <c r="DL48" s="55">
        <f t="shared" si="39"/>
        <v>45.051009785550697</v>
      </c>
      <c r="DM48" s="55">
        <f t="shared" si="39"/>
        <v>45.051009785550697</v>
      </c>
      <c r="DN48" s="37">
        <f t="shared" si="40"/>
        <v>71.05100978555069</v>
      </c>
      <c r="DO48" s="55">
        <f t="shared" si="41"/>
        <v>1.2721756452202451</v>
      </c>
      <c r="DP48" s="55">
        <f t="shared" si="42"/>
        <v>1.2721756452202451</v>
      </c>
      <c r="DQ48" s="37">
        <v>4.5999999999999996</v>
      </c>
      <c r="DR48" s="37">
        <f t="shared" si="43"/>
        <v>8.3742945567085378E-2</v>
      </c>
      <c r="DS48" s="37">
        <f t="shared" si="44"/>
        <v>0.16748589113417076</v>
      </c>
      <c r="DT48" s="37">
        <f t="shared" si="72"/>
        <v>15.19143656346697</v>
      </c>
      <c r="DU48" s="37">
        <f t="shared" si="73"/>
        <v>7.5957182817334852</v>
      </c>
      <c r="DV48" s="37">
        <f t="shared" si="74"/>
        <v>75.651009785550684</v>
      </c>
      <c r="DW48" s="37">
        <f t="shared" si="75"/>
        <v>1.4396615363544158</v>
      </c>
      <c r="DX48">
        <v>24</v>
      </c>
      <c r="DY48" t="s">
        <v>168</v>
      </c>
      <c r="DZ48" s="29">
        <f t="shared" si="67"/>
        <v>1</v>
      </c>
      <c r="EA48" s="30">
        <v>1.7000000000000001E-2</v>
      </c>
      <c r="EB48" s="30">
        <f t="shared" si="47"/>
        <v>2.741935483870968E-4</v>
      </c>
      <c r="EC48" s="30">
        <f t="shared" si="48"/>
        <v>1.370967741935484E-3</v>
      </c>
      <c r="ED48" s="31">
        <f t="shared" si="65"/>
        <v>77.5</v>
      </c>
      <c r="EE48" s="33">
        <f t="shared" si="66"/>
        <v>99.358974358974365</v>
      </c>
      <c r="EF48" s="37">
        <f t="shared" si="76"/>
        <v>6.4542993962107014</v>
      </c>
      <c r="EG48" s="37">
        <f>$EK32-EK48</f>
        <v>77.5</v>
      </c>
      <c r="EH48" s="33">
        <f>(EG48/$EK$32)*100</f>
        <v>99.358974358974365</v>
      </c>
      <c r="EI48" s="37">
        <f t="shared" si="62"/>
        <v>6.4542993962107014</v>
      </c>
      <c r="EJ48" s="37">
        <f>($EG48/96.06)*8</f>
        <v>6.4542993962107014</v>
      </c>
      <c r="EK48" s="31">
        <v>0.5</v>
      </c>
      <c r="EL48" s="31">
        <f t="shared" si="50"/>
        <v>5.2050801582344368E-3</v>
      </c>
      <c r="EM48" s="31">
        <f t="shared" si="51"/>
        <v>4.1640641265875494E-2</v>
      </c>
      <c r="EN48" s="32">
        <f t="shared" si="77"/>
        <v>4.301160900781098E-2</v>
      </c>
      <c r="EO48" s="39">
        <f t="shared" si="81"/>
        <v>7.8939609325651174</v>
      </c>
      <c r="EP48" s="37">
        <f t="shared" si="78"/>
        <v>2.1216964786744487E-2</v>
      </c>
      <c r="EQ48" s="37">
        <f t="shared" si="79"/>
        <v>0.16115808731357067</v>
      </c>
      <c r="ER48" s="37">
        <f t="shared" si="80"/>
        <v>0.81762494789968476</v>
      </c>
      <c r="ES48" s="39">
        <f t="shared" si="53"/>
        <v>7.8939609325651174</v>
      </c>
      <c r="ET48" s="55">
        <f t="shared" si="54"/>
        <v>16.115808731357067</v>
      </c>
      <c r="EU48" s="55">
        <f t="shared" si="55"/>
        <v>2.1216964786744485</v>
      </c>
      <c r="EV48" s="55">
        <f t="shared" si="56"/>
        <v>81.762494789968471</v>
      </c>
      <c r="EW48" t="s">
        <v>502</v>
      </c>
      <c r="EX48" t="s">
        <v>466</v>
      </c>
      <c r="EY48">
        <v>-95</v>
      </c>
      <c r="EZ48" t="s">
        <v>503</v>
      </c>
      <c r="FA48">
        <v>1080</v>
      </c>
      <c r="FB48" t="s">
        <v>113</v>
      </c>
      <c r="FC48" t="s">
        <v>88</v>
      </c>
      <c r="FD48" s="39">
        <f t="shared" si="57"/>
        <v>-7.6958782242790589</v>
      </c>
      <c r="FE48" s="39">
        <f t="shared" si="61"/>
        <v>-7.6933126745767941</v>
      </c>
      <c r="FF48" s="39">
        <f t="shared" si="58"/>
        <v>-7.6958782242790589</v>
      </c>
      <c r="FG48" s="39">
        <f t="shared" si="59"/>
        <v>-7.6933126745767941</v>
      </c>
    </row>
    <row r="49" spans="1:163" ht="15.75" x14ac:dyDescent="0.25">
      <c r="A49" s="4" t="s">
        <v>307</v>
      </c>
      <c r="B49" s="4" t="s">
        <v>307</v>
      </c>
      <c r="C49" s="3" t="s">
        <v>838</v>
      </c>
      <c r="D49" s="3" t="s">
        <v>838</v>
      </c>
      <c r="E49" s="3" t="s">
        <v>1146</v>
      </c>
      <c r="F49" s="3" t="s">
        <v>1013</v>
      </c>
      <c r="G49" s="3" t="s">
        <v>774</v>
      </c>
      <c r="H49" s="3" t="str">
        <f t="shared" si="0"/>
        <v>CW_3_Section_1</v>
      </c>
      <c r="I49" s="3" t="str">
        <f t="shared" si="1"/>
        <v>CW_3_MF02</v>
      </c>
      <c r="J49" s="3" t="s">
        <v>1489</v>
      </c>
      <c r="K49" s="3" t="s">
        <v>1484</v>
      </c>
      <c r="L49" s="11" t="s">
        <v>1095</v>
      </c>
      <c r="M49" s="3" t="s">
        <v>1024</v>
      </c>
      <c r="N49" s="3" t="s">
        <v>1024</v>
      </c>
      <c r="O49" s="12" t="s">
        <v>1016</v>
      </c>
      <c r="P49" s="3" t="s">
        <v>1147</v>
      </c>
      <c r="Q49" s="3" t="s">
        <v>1018</v>
      </c>
      <c r="R49" s="3" t="s">
        <v>1111</v>
      </c>
      <c r="S49" s="3" t="str">
        <f t="shared" si="2"/>
        <v>T1_0.60-0.80</v>
      </c>
      <c r="T49" s="13" t="s">
        <v>1112</v>
      </c>
      <c r="U49" s="3" t="s">
        <v>1113</v>
      </c>
      <c r="V49" s="3">
        <v>150</v>
      </c>
      <c r="W49" s="3">
        <v>100</v>
      </c>
      <c r="X49" s="14">
        <v>5</v>
      </c>
      <c r="Y49" s="3">
        <v>48</v>
      </c>
      <c r="Z49" t="s">
        <v>497</v>
      </c>
      <c r="AA49" t="s">
        <v>245</v>
      </c>
      <c r="AB49" s="1">
        <v>45580</v>
      </c>
      <c r="AC49">
        <v>11</v>
      </c>
      <c r="AD49">
        <v>11</v>
      </c>
      <c r="AE49">
        <v>800</v>
      </c>
      <c r="AF49" s="37">
        <f t="shared" si="17"/>
        <v>0.30725899372679555</v>
      </c>
      <c r="AG49">
        <v>47</v>
      </c>
      <c r="AH49" s="37">
        <f t="shared" si="18"/>
        <v>1.8363360104189274E-2</v>
      </c>
      <c r="AI49">
        <v>600</v>
      </c>
      <c r="AJ49" s="37">
        <f t="shared" si="19"/>
        <v>0.23735518508053122</v>
      </c>
      <c r="AK49">
        <v>250</v>
      </c>
      <c r="AL49" s="37">
        <f t="shared" si="20"/>
        <v>9.8897993783554669E-2</v>
      </c>
      <c r="AM49">
        <v>220</v>
      </c>
      <c r="AN49" s="37">
        <f t="shared" si="21"/>
        <v>8.7030234529528114E-2</v>
      </c>
      <c r="AO49">
        <v>470</v>
      </c>
      <c r="AQ49" s="59">
        <v>1917</v>
      </c>
      <c r="AR49" s="59">
        <f t="shared" si="22"/>
        <v>0.56297753891151603</v>
      </c>
      <c r="AS49">
        <v>3900</v>
      </c>
      <c r="AT49" s="37">
        <f t="shared" si="23"/>
        <v>1.460560193493017</v>
      </c>
      <c r="AU49" t="s">
        <v>780</v>
      </c>
      <c r="AV49" t="s">
        <v>780</v>
      </c>
      <c r="AW49" t="s">
        <v>780</v>
      </c>
      <c r="AX49" t="s">
        <v>780</v>
      </c>
      <c r="AY49" t="s">
        <v>780</v>
      </c>
      <c r="AZ49" t="s">
        <v>780</v>
      </c>
      <c r="BA49" t="s">
        <v>780</v>
      </c>
      <c r="BB49" t="s">
        <v>780</v>
      </c>
      <c r="BC49" t="s">
        <v>780</v>
      </c>
      <c r="BD49" t="s">
        <v>780</v>
      </c>
      <c r="BE49" t="s">
        <v>780</v>
      </c>
      <c r="BF49" t="s">
        <v>780</v>
      </c>
      <c r="BG49" t="s">
        <v>780</v>
      </c>
      <c r="BH49" t="s">
        <v>780</v>
      </c>
      <c r="BI49" t="s">
        <v>780</v>
      </c>
      <c r="BJ49" t="s">
        <v>780</v>
      </c>
      <c r="BK49" t="s">
        <v>780</v>
      </c>
      <c r="BL49" t="s">
        <v>780</v>
      </c>
      <c r="BM49" t="s">
        <v>780</v>
      </c>
      <c r="BN49" t="s">
        <v>780</v>
      </c>
      <c r="BO49" s="58">
        <v>3500</v>
      </c>
      <c r="BP49" s="58">
        <v>120</v>
      </c>
      <c r="BQ49" s="58">
        <v>120</v>
      </c>
      <c r="BR49" s="58">
        <v>38</v>
      </c>
      <c r="BS49" s="58">
        <v>18</v>
      </c>
      <c r="BT49" s="58">
        <v>3.9</v>
      </c>
      <c r="BU49" s="58">
        <v>0.51</v>
      </c>
      <c r="BV49" s="58">
        <v>0.41</v>
      </c>
      <c r="BW49" s="31">
        <f t="shared" si="24"/>
        <v>1.3107591480065537</v>
      </c>
      <c r="BX49" s="31">
        <f t="shared" si="25"/>
        <v>4.4155332150601224E-2</v>
      </c>
      <c r="BY49" s="31">
        <f t="shared" si="26"/>
        <v>4.5133259840477273E-2</v>
      </c>
      <c r="BZ49" s="31">
        <f t="shared" si="27"/>
        <v>1.4173986283239081E-2</v>
      </c>
      <c r="CA49" s="31">
        <f t="shared" si="28"/>
        <v>6.66554452112439E-3</v>
      </c>
      <c r="CB49" s="31">
        <f t="shared" si="29"/>
        <v>1.4442013129102845E-3</v>
      </c>
      <c r="CC49" s="31">
        <f t="shared" si="30"/>
        <v>1.8660074165636589E-4</v>
      </c>
      <c r="CD49" s="31">
        <f t="shared" si="31"/>
        <v>1.5001236093943138E-4</v>
      </c>
      <c r="CE49">
        <v>1E-3</v>
      </c>
      <c r="CF49">
        <v>1E-3</v>
      </c>
      <c r="CG49">
        <v>2E-3</v>
      </c>
      <c r="CH49">
        <v>1E-3</v>
      </c>
      <c r="CI49">
        <v>1E-3</v>
      </c>
      <c r="CK49">
        <v>2E-3</v>
      </c>
      <c r="CL49">
        <v>1E-3</v>
      </c>
      <c r="CM49">
        <v>1E-3</v>
      </c>
      <c r="CN49" s="58">
        <f t="shared" si="60"/>
        <v>3800.82</v>
      </c>
      <c r="CO49" s="58">
        <f t="shared" si="32"/>
        <v>300.82</v>
      </c>
      <c r="CP49" s="31">
        <f t="shared" si="33"/>
        <v>1.4226680852175018</v>
      </c>
      <c r="CQ49" s="31">
        <f t="shared" si="34"/>
        <v>0.11190893721094806</v>
      </c>
      <c r="CR49">
        <v>3800</v>
      </c>
      <c r="CS49">
        <v>5400</v>
      </c>
      <c r="CT49">
        <v>1500</v>
      </c>
      <c r="CU49" t="s">
        <v>69</v>
      </c>
      <c r="CV49" t="s">
        <v>69</v>
      </c>
      <c r="CW49">
        <v>7000</v>
      </c>
      <c r="CX49" s="2">
        <f t="shared" si="68"/>
        <v>5717</v>
      </c>
      <c r="CZ49">
        <v>70</v>
      </c>
      <c r="DA49" t="s">
        <v>62</v>
      </c>
      <c r="DB49" t="s">
        <v>88</v>
      </c>
      <c r="DC49" t="s">
        <v>782</v>
      </c>
      <c r="DD49" s="37">
        <f t="shared" si="69"/>
        <v>9.8821569852175717</v>
      </c>
      <c r="DE49" s="37">
        <f t="shared" si="63"/>
        <v>9.8821569852175717</v>
      </c>
      <c r="DF49" s="37">
        <v>0.7</v>
      </c>
      <c r="DG49" s="37">
        <f t="shared" si="70"/>
        <v>1.253357206803939E-2</v>
      </c>
      <c r="DH49" s="37">
        <f t="shared" si="36"/>
        <v>1.253357206803939E-2</v>
      </c>
      <c r="DI49" s="37">
        <f t="shared" si="71"/>
        <v>10.582156985217571</v>
      </c>
      <c r="DJ49" s="37">
        <f t="shared" si="37"/>
        <v>0.18947461029932983</v>
      </c>
      <c r="DK49" s="37">
        <f t="shared" si="38"/>
        <v>0.18947461029932983</v>
      </c>
      <c r="DL49" s="55">
        <f t="shared" si="39"/>
        <v>9.8821569852175717</v>
      </c>
      <c r="DM49" s="55">
        <f t="shared" si="39"/>
        <v>9.8821569852175717</v>
      </c>
      <c r="DN49" s="37">
        <f t="shared" si="40"/>
        <v>10.582156985217571</v>
      </c>
      <c r="DO49" s="55">
        <f t="shared" si="41"/>
        <v>0.18947461029932983</v>
      </c>
      <c r="DP49" s="55">
        <f t="shared" si="42"/>
        <v>0.18947461029932983</v>
      </c>
      <c r="DQ49" s="37">
        <v>1.2</v>
      </c>
      <c r="DR49" s="37">
        <f t="shared" si="43"/>
        <v>2.1845985800109231E-2</v>
      </c>
      <c r="DS49" s="37">
        <f t="shared" si="44"/>
        <v>4.3691971600218461E-2</v>
      </c>
      <c r="DT49" s="37">
        <f t="shared" si="72"/>
        <v>8.6732002864518218</v>
      </c>
      <c r="DU49" s="37">
        <f t="shared" si="73"/>
        <v>4.3366001432259109</v>
      </c>
      <c r="DV49" s="37">
        <f t="shared" si="74"/>
        <v>11.78215698521757</v>
      </c>
      <c r="DW49" s="37">
        <f t="shared" si="75"/>
        <v>0.23316658189954828</v>
      </c>
      <c r="DX49">
        <v>26</v>
      </c>
      <c r="DY49" t="s">
        <v>498</v>
      </c>
      <c r="DZ49" s="29">
        <f t="shared" si="67"/>
        <v>1</v>
      </c>
      <c r="EA49" s="30">
        <v>1.7000000000000001E-2</v>
      </c>
      <c r="EB49" s="30">
        <f t="shared" si="47"/>
        <v>2.741935483870968E-4</v>
      </c>
      <c r="EC49" s="30">
        <f t="shared" si="48"/>
        <v>1.370967741935484E-3</v>
      </c>
      <c r="ED49" s="31">
        <f t="shared" si="65"/>
        <v>17</v>
      </c>
      <c r="EE49" s="33">
        <f t="shared" si="66"/>
        <v>21.794871794871796</v>
      </c>
      <c r="EF49" s="37">
        <f t="shared" si="76"/>
        <v>1.4157818030397669</v>
      </c>
      <c r="EG49" s="37">
        <f>$EK32-EK49</f>
        <v>17</v>
      </c>
      <c r="EH49" s="33">
        <f>(EG49/$EK$32)*100</f>
        <v>21.794871794871796</v>
      </c>
      <c r="EI49" s="37">
        <f t="shared" si="62"/>
        <v>1.4157818030397669</v>
      </c>
      <c r="EJ49" s="37">
        <f>($EG49/96.06)*8</f>
        <v>1.4157818030397669</v>
      </c>
      <c r="EK49" s="31">
        <v>61</v>
      </c>
      <c r="EL49" s="31">
        <f t="shared" si="50"/>
        <v>0.6350197793046013</v>
      </c>
      <c r="EM49" s="31">
        <f t="shared" si="51"/>
        <v>5.0801582344368104</v>
      </c>
      <c r="EN49" s="32">
        <f t="shared" si="77"/>
        <v>5.0815292021787455</v>
      </c>
      <c r="EO49" s="39">
        <f t="shared" si="81"/>
        <v>1.6489483849393152</v>
      </c>
      <c r="EP49" s="37">
        <f t="shared" si="78"/>
        <v>2.6496870368581258E-2</v>
      </c>
      <c r="EQ49" s="37">
        <f t="shared" si="79"/>
        <v>0.11490633183542788</v>
      </c>
      <c r="ER49" s="37">
        <f t="shared" si="80"/>
        <v>0.85859679779599085</v>
      </c>
      <c r="ES49" s="39">
        <f t="shared" si="53"/>
        <v>1.6489483849393152</v>
      </c>
      <c r="ET49" s="55">
        <f t="shared" si="54"/>
        <v>11.490633183542789</v>
      </c>
      <c r="EU49" s="55">
        <f t="shared" si="55"/>
        <v>2.649687036858126</v>
      </c>
      <c r="EV49" s="55">
        <f t="shared" si="56"/>
        <v>85.859679779599091</v>
      </c>
      <c r="EW49" t="s">
        <v>56</v>
      </c>
      <c r="EX49" t="s">
        <v>466</v>
      </c>
      <c r="EY49">
        <v>-128</v>
      </c>
      <c r="EZ49" t="s">
        <v>253</v>
      </c>
      <c r="FA49">
        <v>556</v>
      </c>
      <c r="FB49" t="s">
        <v>113</v>
      </c>
      <c r="FC49" t="s">
        <v>88</v>
      </c>
      <c r="FD49" s="39">
        <f t="shared" si="57"/>
        <v>0.37458934746521799</v>
      </c>
      <c r="FE49" s="39">
        <f t="shared" si="61"/>
        <v>0.48649828467616607</v>
      </c>
      <c r="FF49" s="39">
        <f t="shared" si="58"/>
        <v>0.37458934746521799</v>
      </c>
      <c r="FG49" s="39">
        <f t="shared" si="59"/>
        <v>0.48649828467616607</v>
      </c>
    </row>
    <row r="50" spans="1:163" ht="15.75" x14ac:dyDescent="0.25">
      <c r="A50" s="4" t="s">
        <v>308</v>
      </c>
      <c r="B50" s="4" t="s">
        <v>308</v>
      </c>
      <c r="C50" s="3" t="s">
        <v>839</v>
      </c>
      <c r="D50" s="3" t="s">
        <v>839</v>
      </c>
      <c r="E50" s="3" t="s">
        <v>1148</v>
      </c>
      <c r="F50" s="3" t="s">
        <v>1027</v>
      </c>
      <c r="G50" s="3" t="s">
        <v>774</v>
      </c>
      <c r="H50" s="3" t="str">
        <f t="shared" si="0"/>
        <v>CW_3_Section_2</v>
      </c>
      <c r="I50" s="3" t="str">
        <f t="shared" si="1"/>
        <v>CW_3_MF05</v>
      </c>
      <c r="J50" s="3" t="s">
        <v>1496</v>
      </c>
      <c r="K50" s="3" t="s">
        <v>1484</v>
      </c>
      <c r="L50" s="11" t="s">
        <v>1098</v>
      </c>
      <c r="M50" s="3" t="s">
        <v>1015</v>
      </c>
      <c r="N50" s="3" t="s">
        <v>1015</v>
      </c>
      <c r="O50" s="12" t="s">
        <v>1016</v>
      </c>
      <c r="P50" s="3" t="s">
        <v>1149</v>
      </c>
      <c r="Q50" s="3" t="s">
        <v>1018</v>
      </c>
      <c r="R50" s="3" t="s">
        <v>1111</v>
      </c>
      <c r="S50" s="3" t="str">
        <f t="shared" si="2"/>
        <v>T1_0.15-0.30</v>
      </c>
      <c r="T50" s="13" t="s">
        <v>1112</v>
      </c>
      <c r="U50" s="3" t="s">
        <v>1113</v>
      </c>
      <c r="V50" s="3">
        <v>150</v>
      </c>
      <c r="W50" s="3">
        <v>100</v>
      </c>
      <c r="X50" s="14">
        <v>6.25</v>
      </c>
      <c r="Y50" s="3">
        <v>49</v>
      </c>
      <c r="Z50" t="s">
        <v>504</v>
      </c>
      <c r="AA50" t="s">
        <v>250</v>
      </c>
      <c r="AB50" s="1">
        <v>45582</v>
      </c>
      <c r="AC50">
        <v>1.1000000000000001</v>
      </c>
      <c r="AD50">
        <v>2.1</v>
      </c>
      <c r="AE50">
        <v>1.8</v>
      </c>
      <c r="AF50" s="37">
        <f t="shared" si="17"/>
        <v>6.9133273588529E-4</v>
      </c>
      <c r="AG50">
        <v>0.02</v>
      </c>
      <c r="AH50" s="37">
        <f t="shared" si="18"/>
        <v>7.8141957890167132E-6</v>
      </c>
      <c r="AI50">
        <v>3.3</v>
      </c>
      <c r="AJ50" s="37">
        <f t="shared" si="19"/>
        <v>1.3054535179429217E-3</v>
      </c>
      <c r="AK50">
        <v>1.8</v>
      </c>
      <c r="AL50" s="37">
        <f t="shared" si="20"/>
        <v>7.120655552415937E-4</v>
      </c>
      <c r="AM50">
        <v>1.7</v>
      </c>
      <c r="AN50" s="37">
        <f t="shared" si="21"/>
        <v>6.7250635772817175E-4</v>
      </c>
      <c r="AO50">
        <v>3.5</v>
      </c>
      <c r="AQ50" s="59">
        <v>8.74</v>
      </c>
      <c r="AR50" s="59">
        <f t="shared" si="22"/>
        <v>2.0046004496172285E-3</v>
      </c>
      <c r="AS50">
        <v>0.98</v>
      </c>
      <c r="AT50" s="37">
        <f t="shared" si="23"/>
        <v>3.6701256144183508E-4</v>
      </c>
      <c r="AU50" t="s">
        <v>780</v>
      </c>
      <c r="AV50" t="s">
        <v>780</v>
      </c>
      <c r="AW50" t="s">
        <v>780</v>
      </c>
      <c r="AX50" t="s">
        <v>780</v>
      </c>
      <c r="AY50" t="s">
        <v>780</v>
      </c>
      <c r="AZ50" t="s">
        <v>780</v>
      </c>
      <c r="BA50" t="s">
        <v>780</v>
      </c>
      <c r="BB50" t="s">
        <v>780</v>
      </c>
      <c r="BC50" t="s">
        <v>780</v>
      </c>
      <c r="BD50" t="s">
        <v>780</v>
      </c>
      <c r="BE50" t="s">
        <v>780</v>
      </c>
      <c r="BF50" t="s">
        <v>780</v>
      </c>
      <c r="BG50" t="s">
        <v>780</v>
      </c>
      <c r="BH50" t="s">
        <v>780</v>
      </c>
      <c r="BI50" t="s">
        <v>780</v>
      </c>
      <c r="BJ50" t="s">
        <v>780</v>
      </c>
      <c r="BK50" t="s">
        <v>780</v>
      </c>
      <c r="BL50" t="s">
        <v>780</v>
      </c>
      <c r="BM50" t="s">
        <v>780</v>
      </c>
      <c r="BN50" t="s">
        <v>780</v>
      </c>
      <c r="BO50" s="58">
        <v>0.85</v>
      </c>
      <c r="BP50" s="58">
        <v>0.01</v>
      </c>
      <c r="BQ50" s="58">
        <v>0.01</v>
      </c>
      <c r="BR50" s="58">
        <v>5.0000000000000001E-3</v>
      </c>
      <c r="BS50" s="58">
        <v>0.03</v>
      </c>
      <c r="BT50" s="58">
        <v>1E-3</v>
      </c>
      <c r="BU50" s="58">
        <v>0.01</v>
      </c>
      <c r="BV50" s="58">
        <v>2E-3</v>
      </c>
      <c r="BW50" s="31">
        <f t="shared" si="24"/>
        <v>3.1832722165873448E-4</v>
      </c>
      <c r="BX50" s="31">
        <f t="shared" si="25"/>
        <v>3.6796110125501018E-6</v>
      </c>
      <c r="BY50" s="31">
        <f t="shared" si="26"/>
        <v>3.7611049867064394E-6</v>
      </c>
      <c r="BZ50" s="31">
        <f t="shared" si="27"/>
        <v>1.8649981951630372E-6</v>
      </c>
      <c r="CA50" s="31">
        <f t="shared" si="28"/>
        <v>1.110924086854065E-5</v>
      </c>
      <c r="CB50" s="31">
        <f t="shared" si="29"/>
        <v>3.7030802895135499E-7</v>
      </c>
      <c r="CC50" s="31">
        <f t="shared" si="30"/>
        <v>3.6588380716934487E-6</v>
      </c>
      <c r="CD50" s="31">
        <f t="shared" si="31"/>
        <v>7.3176761433868969E-7</v>
      </c>
      <c r="CE50">
        <v>1E-3</v>
      </c>
      <c r="CF50">
        <v>1E-3</v>
      </c>
      <c r="CG50">
        <v>2E-3</v>
      </c>
      <c r="CH50">
        <v>1E-3</v>
      </c>
      <c r="CI50">
        <v>1E-3</v>
      </c>
      <c r="CK50">
        <v>2E-3</v>
      </c>
      <c r="CL50">
        <v>1E-3</v>
      </c>
      <c r="CM50">
        <v>1E-3</v>
      </c>
      <c r="CN50" s="58">
        <f t="shared" si="60"/>
        <v>0.91800000000000004</v>
      </c>
      <c r="CO50" s="58">
        <f t="shared" si="32"/>
        <v>6.8000000000000005E-2</v>
      </c>
      <c r="CP50" s="31">
        <f t="shared" si="33"/>
        <v>3.4350309043667816E-4</v>
      </c>
      <c r="CQ50" s="31">
        <f t="shared" si="34"/>
        <v>2.5175868777943722E-5</v>
      </c>
      <c r="CR50">
        <v>0.89</v>
      </c>
      <c r="CS50" t="s">
        <v>69</v>
      </c>
      <c r="CT50" t="s">
        <v>69</v>
      </c>
      <c r="CU50" t="s">
        <v>69</v>
      </c>
      <c r="CV50" t="s">
        <v>69</v>
      </c>
      <c r="CW50">
        <v>5</v>
      </c>
      <c r="CX50" s="2">
        <f t="shared" si="68"/>
        <v>9.6300000000000008</v>
      </c>
      <c r="CZ50">
        <v>70</v>
      </c>
      <c r="DA50" t="s">
        <v>62</v>
      </c>
      <c r="DB50" t="s">
        <v>88</v>
      </c>
      <c r="DC50" t="s">
        <v>782</v>
      </c>
      <c r="DD50" s="37">
        <f t="shared" si="69"/>
        <v>24.414740787008117</v>
      </c>
      <c r="DE50" s="37">
        <f t="shared" si="63"/>
        <v>24.414740787008117</v>
      </c>
      <c r="DF50" s="37">
        <v>1.4</v>
      </c>
      <c r="DG50" s="37">
        <f t="shared" si="70"/>
        <v>2.506714413607878E-2</v>
      </c>
      <c r="DH50" s="37">
        <f t="shared" si="36"/>
        <v>2.506714413607878E-2</v>
      </c>
      <c r="DI50" s="37">
        <f t="shared" si="71"/>
        <v>25.814740787008116</v>
      </c>
      <c r="DJ50" s="37">
        <f t="shared" si="37"/>
        <v>0.46221559153103159</v>
      </c>
      <c r="DK50" s="37">
        <f t="shared" si="38"/>
        <v>0.46221559153103159</v>
      </c>
      <c r="DL50" s="55">
        <f t="shared" si="39"/>
        <v>-20.636268998542576</v>
      </c>
      <c r="DN50" s="37">
        <f t="shared" si="40"/>
        <v>1.4</v>
      </c>
      <c r="DO50" s="55">
        <f t="shared" si="41"/>
        <v>2.506714413607878E-2</v>
      </c>
      <c r="DP50" s="55">
        <f t="shared" si="42"/>
        <v>2.506714413607878E-2</v>
      </c>
      <c r="DQ50" s="37">
        <v>6</v>
      </c>
      <c r="DR50" s="37">
        <f t="shared" si="43"/>
        <v>0.10922992900054615</v>
      </c>
      <c r="DS50" s="37">
        <f t="shared" si="44"/>
        <v>0.2184598580010923</v>
      </c>
      <c r="DT50" s="37">
        <f t="shared" si="72"/>
        <v>4.2315837404665944</v>
      </c>
      <c r="DU50" s="37">
        <f t="shared" si="73"/>
        <v>2.1157918702332972</v>
      </c>
      <c r="DV50" s="37">
        <f t="shared" si="74"/>
        <v>31.814740787008116</v>
      </c>
      <c r="DW50" s="37">
        <f t="shared" si="75"/>
        <v>0.68067544953212389</v>
      </c>
      <c r="DX50" t="s">
        <v>113</v>
      </c>
      <c r="DY50" t="s">
        <v>163</v>
      </c>
      <c r="DZ50" s="29">
        <f t="shared" si="67"/>
        <v>1</v>
      </c>
      <c r="EA50" s="30">
        <v>1.7000000000000001E-2</v>
      </c>
      <c r="EB50" s="30">
        <f t="shared" si="47"/>
        <v>2.741935483870968E-4</v>
      </c>
      <c r="EC50" s="30">
        <f t="shared" si="48"/>
        <v>1.370967741935484E-3</v>
      </c>
      <c r="ED50" s="31">
        <f t="shared" si="65"/>
        <v>42</v>
      </c>
      <c r="EE50" s="33">
        <f t="shared" si="66"/>
        <v>53.846153846153847</v>
      </c>
      <c r="EF50" s="37">
        <f t="shared" si="76"/>
        <v>3.4978138663335416</v>
      </c>
      <c r="EG50" s="37">
        <f>$EK48-EK50</f>
        <v>-35.5</v>
      </c>
      <c r="EH50" s="33">
        <f>(EG50/$EK48)*100</f>
        <v>-7100</v>
      </c>
      <c r="EI50" s="37">
        <f t="shared" si="62"/>
        <v>-2.9564855298771602</v>
      </c>
      <c r="EJ50" s="37"/>
      <c r="EK50" s="31">
        <v>36</v>
      </c>
      <c r="EL50" s="31">
        <f t="shared" si="50"/>
        <v>0.37476577139287942</v>
      </c>
      <c r="EM50" s="31">
        <f t="shared" si="51"/>
        <v>2.9981261711430354</v>
      </c>
      <c r="EN50" s="32">
        <f t="shared" si="77"/>
        <v>2.9994971388849709</v>
      </c>
      <c r="EO50" s="39">
        <f t="shared" si="81"/>
        <v>4.1784893158656651</v>
      </c>
      <c r="EP50" s="37">
        <f t="shared" si="78"/>
        <v>5.2282019047315331E-2</v>
      </c>
      <c r="EQ50" s="37">
        <f t="shared" si="79"/>
        <v>0.11061787085969216</v>
      </c>
      <c r="ER50" s="37">
        <f t="shared" si="80"/>
        <v>0.83710011009299257</v>
      </c>
      <c r="ES50" s="39">
        <f t="shared" si="53"/>
        <v>0.24352700213717107</v>
      </c>
      <c r="ET50" s="55">
        <f t="shared" si="54"/>
        <v>10.293373595573295</v>
      </c>
      <c r="EU50" s="55">
        <f t="shared" si="55"/>
        <v>89.7066264044267</v>
      </c>
      <c r="EV50" s="55">
        <f t="shared" si="56"/>
        <v>0</v>
      </c>
      <c r="EW50" t="s">
        <v>505</v>
      </c>
      <c r="EX50" t="s">
        <v>492</v>
      </c>
      <c r="EY50">
        <v>-55</v>
      </c>
      <c r="EZ50" t="s">
        <v>253</v>
      </c>
      <c r="FA50">
        <v>496</v>
      </c>
      <c r="FB50" t="s">
        <v>113</v>
      </c>
      <c r="FC50" t="s">
        <v>88</v>
      </c>
      <c r="FD50" s="39">
        <f t="shared" si="57"/>
        <v>-4.1761177028546062</v>
      </c>
      <c r="FE50" s="39">
        <f t="shared" si="61"/>
        <v>-4.176092526985828</v>
      </c>
      <c r="FF50" s="39">
        <f t="shared" si="58"/>
        <v>-0.24115538912611201</v>
      </c>
      <c r="FG50" s="39">
        <f t="shared" si="59"/>
        <v>-0.24113021325733405</v>
      </c>
    </row>
    <row r="51" spans="1:163" ht="15.75" x14ac:dyDescent="0.25">
      <c r="A51" s="4" t="s">
        <v>309</v>
      </c>
      <c r="B51" s="4" t="s">
        <v>309</v>
      </c>
      <c r="C51" s="3" t="s">
        <v>840</v>
      </c>
      <c r="D51" s="3" t="s">
        <v>840</v>
      </c>
      <c r="E51" s="3" t="s">
        <v>1150</v>
      </c>
      <c r="F51" s="3" t="s">
        <v>1027</v>
      </c>
      <c r="G51" s="3" t="s">
        <v>774</v>
      </c>
      <c r="H51" s="3" t="str">
        <f t="shared" si="0"/>
        <v>CW_3_Section_2</v>
      </c>
      <c r="I51" s="3" t="str">
        <f t="shared" si="1"/>
        <v>CW_3_MF06</v>
      </c>
      <c r="J51" s="3" t="s">
        <v>1497</v>
      </c>
      <c r="K51" s="3" t="s">
        <v>1484</v>
      </c>
      <c r="L51" s="11" t="s">
        <v>1101</v>
      </c>
      <c r="M51" s="3" t="s">
        <v>1024</v>
      </c>
      <c r="N51" s="3" t="s">
        <v>1024</v>
      </c>
      <c r="O51" s="12" t="s">
        <v>1016</v>
      </c>
      <c r="P51" s="3" t="s">
        <v>1151</v>
      </c>
      <c r="Q51" s="3" t="s">
        <v>1018</v>
      </c>
      <c r="R51" s="3" t="s">
        <v>1111</v>
      </c>
      <c r="S51" s="3" t="str">
        <f t="shared" si="2"/>
        <v>T1_0.60-0.80</v>
      </c>
      <c r="T51" s="13" t="s">
        <v>1112</v>
      </c>
      <c r="U51" s="3" t="s">
        <v>1113</v>
      </c>
      <c r="V51" s="3">
        <v>150</v>
      </c>
      <c r="W51" s="3">
        <v>100</v>
      </c>
      <c r="X51" s="14">
        <v>8.9499999999999993</v>
      </c>
      <c r="Y51" s="3">
        <v>50</v>
      </c>
      <c r="Z51" t="s">
        <v>506</v>
      </c>
      <c r="AA51" t="s">
        <v>255</v>
      </c>
      <c r="AB51" s="1">
        <v>45582</v>
      </c>
      <c r="AC51">
        <v>9.6999999999999993</v>
      </c>
      <c r="AD51">
        <v>13</v>
      </c>
      <c r="AE51">
        <v>440</v>
      </c>
      <c r="AF51" s="37">
        <f t="shared" si="17"/>
        <v>0.16899244654973755</v>
      </c>
      <c r="AG51">
        <v>29</v>
      </c>
      <c r="AH51" s="37">
        <f t="shared" si="18"/>
        <v>1.1330583894074235E-2</v>
      </c>
      <c r="AI51">
        <v>370</v>
      </c>
      <c r="AJ51" s="37">
        <f t="shared" si="19"/>
        <v>0.14636903079966093</v>
      </c>
      <c r="AK51">
        <v>140</v>
      </c>
      <c r="AL51" s="37">
        <f t="shared" si="20"/>
        <v>5.5382876518790619E-2</v>
      </c>
      <c r="AM51">
        <v>150</v>
      </c>
      <c r="AN51" s="37">
        <f t="shared" si="21"/>
        <v>5.9338796270132804E-2</v>
      </c>
      <c r="AO51">
        <v>290</v>
      </c>
      <c r="AQ51" s="59">
        <v>1129</v>
      </c>
      <c r="AR51" s="59">
        <f t="shared" si="22"/>
        <v>0.32669206124347272</v>
      </c>
      <c r="AS51">
        <v>2300</v>
      </c>
      <c r="AT51" s="37">
        <f t="shared" si="23"/>
        <v>0.8613560115471639</v>
      </c>
      <c r="AU51" t="s">
        <v>780</v>
      </c>
      <c r="AV51" t="s">
        <v>780</v>
      </c>
      <c r="AW51" t="s">
        <v>780</v>
      </c>
      <c r="AX51" t="s">
        <v>780</v>
      </c>
      <c r="AY51" t="s">
        <v>780</v>
      </c>
      <c r="AZ51" t="s">
        <v>780</v>
      </c>
      <c r="BA51" t="s">
        <v>780</v>
      </c>
      <c r="BB51" t="s">
        <v>780</v>
      </c>
      <c r="BC51" t="s">
        <v>780</v>
      </c>
      <c r="BD51" t="s">
        <v>780</v>
      </c>
      <c r="BE51" t="s">
        <v>780</v>
      </c>
      <c r="BF51" t="s">
        <v>780</v>
      </c>
      <c r="BG51" t="s">
        <v>780</v>
      </c>
      <c r="BH51" t="s">
        <v>780</v>
      </c>
      <c r="BI51" t="s">
        <v>780</v>
      </c>
      <c r="BJ51" t="s">
        <v>780</v>
      </c>
      <c r="BK51" t="s">
        <v>780</v>
      </c>
      <c r="BL51" t="s">
        <v>780</v>
      </c>
      <c r="BM51" t="s">
        <v>780</v>
      </c>
      <c r="BN51" t="s">
        <v>780</v>
      </c>
      <c r="BO51" s="58">
        <v>3000</v>
      </c>
      <c r="BP51" s="58">
        <v>120</v>
      </c>
      <c r="BQ51" s="58">
        <v>110</v>
      </c>
      <c r="BR51" s="58">
        <v>47</v>
      </c>
      <c r="BS51" s="58">
        <v>29</v>
      </c>
      <c r="BT51" s="58">
        <v>4.7</v>
      </c>
      <c r="BU51" s="58">
        <v>1.2</v>
      </c>
      <c r="BV51" s="58">
        <v>1.2</v>
      </c>
      <c r="BW51" s="31">
        <f t="shared" si="24"/>
        <v>1.1235078411484747</v>
      </c>
      <c r="BX51" s="31">
        <f t="shared" si="25"/>
        <v>4.4155332150601224E-2</v>
      </c>
      <c r="BY51" s="31">
        <f t="shared" si="26"/>
        <v>4.1372154853770833E-2</v>
      </c>
      <c r="BZ51" s="31">
        <f t="shared" si="27"/>
        <v>1.7530983034532547E-2</v>
      </c>
      <c r="CA51" s="31">
        <f t="shared" si="28"/>
        <v>1.0738932839589295E-2</v>
      </c>
      <c r="CB51" s="31">
        <f t="shared" si="29"/>
        <v>1.7404477360713684E-3</v>
      </c>
      <c r="CC51" s="31">
        <f t="shared" si="30"/>
        <v>4.3906056860321384E-4</v>
      </c>
      <c r="CD51" s="31">
        <f t="shared" si="31"/>
        <v>4.3906056860321384E-4</v>
      </c>
      <c r="CE51">
        <v>1E-3</v>
      </c>
      <c r="CF51">
        <v>1E-3</v>
      </c>
      <c r="CG51">
        <v>2E-3</v>
      </c>
      <c r="CH51">
        <v>1E-3</v>
      </c>
      <c r="CI51">
        <v>1E-3</v>
      </c>
      <c r="CK51">
        <v>2E-3</v>
      </c>
      <c r="CL51">
        <v>1E-3</v>
      </c>
      <c r="CM51">
        <v>1E-3</v>
      </c>
      <c r="CN51" s="58">
        <f t="shared" si="60"/>
        <v>3313.0999999999995</v>
      </c>
      <c r="CO51" s="58">
        <f t="shared" si="32"/>
        <v>313.09999999999997</v>
      </c>
      <c r="CP51" s="31">
        <f t="shared" si="33"/>
        <v>1.2399238129002466</v>
      </c>
      <c r="CQ51" s="31">
        <f t="shared" si="34"/>
        <v>0.11641597175177168</v>
      </c>
      <c r="CR51">
        <v>3300</v>
      </c>
      <c r="CS51">
        <v>4700</v>
      </c>
      <c r="CT51">
        <v>1500</v>
      </c>
      <c r="CU51" t="s">
        <v>69</v>
      </c>
      <c r="CV51" t="s">
        <v>69</v>
      </c>
      <c r="CW51">
        <v>6200</v>
      </c>
      <c r="CX51" s="2">
        <f t="shared" si="68"/>
        <v>4429</v>
      </c>
      <c r="CZ51">
        <v>68</v>
      </c>
      <c r="DA51" t="s">
        <v>62</v>
      </c>
      <c r="DB51" t="s">
        <v>88</v>
      </c>
      <c r="DC51" t="s">
        <v>782</v>
      </c>
      <c r="DD51" s="37">
        <f t="shared" si="69"/>
        <v>4.650426816572975</v>
      </c>
      <c r="DE51" s="37">
        <f t="shared" si="63"/>
        <v>4.650426816572975</v>
      </c>
      <c r="DF51" s="37">
        <v>0.6</v>
      </c>
      <c r="DG51" s="37">
        <f t="shared" si="70"/>
        <v>1.0743061772605192E-2</v>
      </c>
      <c r="DH51" s="37">
        <f t="shared" si="36"/>
        <v>1.0743061772605192E-2</v>
      </c>
      <c r="DI51" s="37">
        <f t="shared" si="71"/>
        <v>5.2504268165729746</v>
      </c>
      <c r="DJ51" s="37">
        <f t="shared" si="37"/>
        <v>9.4009432704977164E-2</v>
      </c>
      <c r="DK51" s="37">
        <f t="shared" si="38"/>
        <v>9.4009432704977164E-2</v>
      </c>
      <c r="DL51" s="55">
        <f t="shared" si="39"/>
        <v>-5.2317301686445967</v>
      </c>
      <c r="DN51" s="37">
        <f t="shared" si="40"/>
        <v>0.6</v>
      </c>
      <c r="DO51" s="55">
        <f t="shared" si="41"/>
        <v>1.0743061772605192E-2</v>
      </c>
      <c r="DP51" s="55">
        <f t="shared" si="42"/>
        <v>1.0743061772605192E-2</v>
      </c>
      <c r="DQ51" s="37">
        <v>1.1000000000000001</v>
      </c>
      <c r="DR51" s="37">
        <f t="shared" si="43"/>
        <v>2.0025486983433462E-2</v>
      </c>
      <c r="DS51" s="37">
        <f t="shared" si="44"/>
        <v>4.0050973966866923E-2</v>
      </c>
      <c r="DT51" s="37">
        <f t="shared" si="72"/>
        <v>4.694489216803996</v>
      </c>
      <c r="DU51" s="37">
        <f t="shared" si="73"/>
        <v>2.347244608401998</v>
      </c>
      <c r="DV51" s="37">
        <f t="shared" si="74"/>
        <v>6.3504268165729751</v>
      </c>
      <c r="DW51" s="37">
        <f t="shared" si="75"/>
        <v>0.1340604066718441</v>
      </c>
      <c r="DX51">
        <v>29</v>
      </c>
      <c r="DY51" t="s">
        <v>134</v>
      </c>
      <c r="DZ51" s="29">
        <f t="shared" si="67"/>
        <v>1</v>
      </c>
      <c r="EA51" s="30">
        <v>1.7000000000000001E-2</v>
      </c>
      <c r="EB51" s="30">
        <f t="shared" si="47"/>
        <v>2.741935483870968E-4</v>
      </c>
      <c r="EC51" s="30">
        <f t="shared" si="48"/>
        <v>1.370967741935484E-3</v>
      </c>
      <c r="ED51" s="31">
        <f t="shared" si="65"/>
        <v>8</v>
      </c>
      <c r="EE51" s="33">
        <f t="shared" si="66"/>
        <v>10.256410256410255</v>
      </c>
      <c r="EF51" s="37">
        <f t="shared" si="76"/>
        <v>0.66625026025400791</v>
      </c>
      <c r="EG51" s="37">
        <f>$EK49-EK51</f>
        <v>-9</v>
      </c>
      <c r="EH51" s="33">
        <f>(EG51/$EK49)*100</f>
        <v>-14.754098360655737</v>
      </c>
      <c r="EI51" s="37">
        <f t="shared" ref="EI51:EI82" si="82">($EG51/96.06)*8</f>
        <v>-0.74953154278575884</v>
      </c>
      <c r="EJ51" s="37"/>
      <c r="EK51" s="31">
        <v>70</v>
      </c>
      <c r="EL51" s="31">
        <f t="shared" si="50"/>
        <v>0.72871122215282114</v>
      </c>
      <c r="EM51" s="31">
        <f t="shared" si="51"/>
        <v>5.8296897772225691</v>
      </c>
      <c r="EN51" s="32">
        <f t="shared" si="77"/>
        <v>5.8310607449645042</v>
      </c>
      <c r="EO51" s="39">
        <f t="shared" si="81"/>
        <v>0.80031066692585195</v>
      </c>
      <c r="EP51" s="37">
        <f t="shared" si="78"/>
        <v>5.0044283578913745E-2</v>
      </c>
      <c r="EQ51" s="37">
        <f t="shared" si="79"/>
        <v>0.11746617481194593</v>
      </c>
      <c r="ER51" s="37">
        <f t="shared" si="80"/>
        <v>0.83248954160914035</v>
      </c>
      <c r="ES51" s="39">
        <f t="shared" si="53"/>
        <v>5.0794035739472117E-2</v>
      </c>
      <c r="ET51" s="55">
        <f t="shared" si="54"/>
        <v>21.150242575146954</v>
      </c>
      <c r="EU51" s="55">
        <f t="shared" si="55"/>
        <v>78.849757424853038</v>
      </c>
      <c r="EV51" s="55">
        <f t="shared" si="56"/>
        <v>0</v>
      </c>
      <c r="EW51" t="s">
        <v>499</v>
      </c>
      <c r="EX51" t="s">
        <v>471</v>
      </c>
      <c r="EY51">
        <v>-109</v>
      </c>
      <c r="EZ51" t="s">
        <v>128</v>
      </c>
      <c r="FA51">
        <v>593</v>
      </c>
      <c r="FB51" t="s">
        <v>113</v>
      </c>
      <c r="FC51" t="s">
        <v>88</v>
      </c>
      <c r="FD51" s="39">
        <f t="shared" si="57"/>
        <v>0.38773740586478467</v>
      </c>
      <c r="FE51" s="39">
        <f t="shared" si="61"/>
        <v>0.50415337761655632</v>
      </c>
      <c r="FF51" s="39">
        <f t="shared" si="58"/>
        <v>1.1372540370511646</v>
      </c>
      <c r="FG51" s="39">
        <f t="shared" si="59"/>
        <v>1.2536700088029362</v>
      </c>
    </row>
    <row r="52" spans="1:163" ht="15.75" x14ac:dyDescent="0.25">
      <c r="A52" s="4" t="s">
        <v>310</v>
      </c>
      <c r="B52" s="4" t="s">
        <v>310</v>
      </c>
      <c r="C52" s="3" t="s">
        <v>841</v>
      </c>
      <c r="D52" s="3" t="s">
        <v>841</v>
      </c>
      <c r="E52" s="3" t="s">
        <v>1152</v>
      </c>
      <c r="F52" s="3" t="s">
        <v>1034</v>
      </c>
      <c r="G52" s="3" t="s">
        <v>774</v>
      </c>
      <c r="H52" s="3" t="str">
        <f t="shared" si="0"/>
        <v>CW_3_Section_3</v>
      </c>
      <c r="I52" s="3" t="str">
        <f t="shared" si="1"/>
        <v>CW_3_MF09</v>
      </c>
      <c r="J52" s="3" t="s">
        <v>1492</v>
      </c>
      <c r="K52" s="3" t="s">
        <v>1484</v>
      </c>
      <c r="L52" s="11" t="s">
        <v>1104</v>
      </c>
      <c r="M52" s="3" t="s">
        <v>1015</v>
      </c>
      <c r="N52" s="3" t="s">
        <v>1015</v>
      </c>
      <c r="O52" s="12" t="s">
        <v>1016</v>
      </c>
      <c r="P52" s="3" t="s">
        <v>1153</v>
      </c>
      <c r="Q52" s="3" t="s">
        <v>1018</v>
      </c>
      <c r="R52" s="3" t="s">
        <v>1111</v>
      </c>
      <c r="S52" s="3" t="str">
        <f t="shared" si="2"/>
        <v>T1_0.15-0.30</v>
      </c>
      <c r="T52" s="13" t="s">
        <v>1112</v>
      </c>
      <c r="U52" s="3" t="s">
        <v>1113</v>
      </c>
      <c r="V52" s="3">
        <v>150</v>
      </c>
      <c r="W52" s="3">
        <v>100</v>
      </c>
      <c r="X52" s="14">
        <v>9.9</v>
      </c>
      <c r="Y52" s="3">
        <v>51</v>
      </c>
      <c r="Z52" t="s">
        <v>507</v>
      </c>
      <c r="AA52" t="s">
        <v>261</v>
      </c>
      <c r="AB52" s="1">
        <v>45582</v>
      </c>
      <c r="AC52">
        <v>22</v>
      </c>
      <c r="AD52">
        <v>22</v>
      </c>
      <c r="AE52">
        <v>43</v>
      </c>
      <c r="AF52" s="37">
        <f t="shared" si="17"/>
        <v>1.651517091281526E-2</v>
      </c>
      <c r="AG52">
        <v>1.2</v>
      </c>
      <c r="AH52" s="37">
        <f t="shared" si="18"/>
        <v>4.6885174734100283E-4</v>
      </c>
      <c r="AI52">
        <v>26</v>
      </c>
      <c r="AJ52" s="37">
        <f t="shared" si="19"/>
        <v>1.0285391353489687E-2</v>
      </c>
      <c r="AK52">
        <v>9.4</v>
      </c>
      <c r="AL52" s="37">
        <f t="shared" si="20"/>
        <v>3.7185645662616562E-3</v>
      </c>
      <c r="AM52">
        <v>9.9</v>
      </c>
      <c r="AN52" s="37">
        <f t="shared" si="21"/>
        <v>3.9163605538287656E-3</v>
      </c>
      <c r="AO52">
        <v>19.3</v>
      </c>
      <c r="AQ52" s="59">
        <v>89.5</v>
      </c>
      <c r="AR52" s="59">
        <f t="shared" si="22"/>
        <v>2.7269414013645951E-2</v>
      </c>
      <c r="AS52">
        <v>190</v>
      </c>
      <c r="AT52" s="37">
        <f t="shared" si="23"/>
        <v>7.1155496606070068E-2</v>
      </c>
      <c r="AU52" t="s">
        <v>780</v>
      </c>
      <c r="AV52" t="s">
        <v>780</v>
      </c>
      <c r="AW52" t="s">
        <v>780</v>
      </c>
      <c r="AX52" t="s">
        <v>780</v>
      </c>
      <c r="AY52" t="s">
        <v>780</v>
      </c>
      <c r="AZ52" t="s">
        <v>780</v>
      </c>
      <c r="BA52" t="s">
        <v>780</v>
      </c>
      <c r="BB52" t="s">
        <v>780</v>
      </c>
      <c r="BC52" t="s">
        <v>780</v>
      </c>
      <c r="BD52" t="s">
        <v>780</v>
      </c>
      <c r="BE52" t="s">
        <v>780</v>
      </c>
      <c r="BF52" t="s">
        <v>780</v>
      </c>
      <c r="BG52" t="s">
        <v>780</v>
      </c>
      <c r="BH52" t="s">
        <v>780</v>
      </c>
      <c r="BI52" t="s">
        <v>780</v>
      </c>
      <c r="BJ52" t="s">
        <v>780</v>
      </c>
      <c r="BK52" t="s">
        <v>780</v>
      </c>
      <c r="BL52" t="s">
        <v>780</v>
      </c>
      <c r="BM52" t="s">
        <v>780</v>
      </c>
      <c r="BN52" t="s">
        <v>780</v>
      </c>
      <c r="BO52" s="58">
        <v>110</v>
      </c>
      <c r="BP52" s="58">
        <v>0.5</v>
      </c>
      <c r="BQ52" s="58">
        <v>0.5</v>
      </c>
      <c r="BR52" s="58">
        <v>0.25</v>
      </c>
      <c r="BS52" s="58">
        <v>0.05</v>
      </c>
      <c r="BT52" s="58">
        <v>0.05</v>
      </c>
      <c r="BU52" s="58">
        <v>1E-3</v>
      </c>
      <c r="BV52" s="58">
        <v>2E-3</v>
      </c>
      <c r="BW52" s="31">
        <f t="shared" si="24"/>
        <v>4.1195287508777406E-2</v>
      </c>
      <c r="BX52" s="31">
        <f t="shared" si="25"/>
        <v>1.8398055062750508E-4</v>
      </c>
      <c r="BY52" s="31">
        <f t="shared" si="26"/>
        <v>1.8805524933532196E-4</v>
      </c>
      <c r="BZ52" s="31">
        <f t="shared" si="27"/>
        <v>9.3249909758151843E-5</v>
      </c>
      <c r="CA52" s="31">
        <f t="shared" si="28"/>
        <v>1.8515401447567749E-5</v>
      </c>
      <c r="CB52" s="31">
        <f t="shared" si="29"/>
        <v>1.8515401447567749E-5</v>
      </c>
      <c r="CC52" s="31">
        <f t="shared" si="30"/>
        <v>3.6588380716934485E-7</v>
      </c>
      <c r="CD52" s="31">
        <f t="shared" si="31"/>
        <v>7.3176761433868969E-7</v>
      </c>
      <c r="CE52">
        <v>1E-3</v>
      </c>
      <c r="CF52">
        <v>1E-3</v>
      </c>
      <c r="CG52">
        <v>2E-3</v>
      </c>
      <c r="CH52">
        <v>1E-3</v>
      </c>
      <c r="CI52">
        <v>1E-3</v>
      </c>
      <c r="CK52">
        <v>2E-3</v>
      </c>
      <c r="CL52">
        <v>1E-3</v>
      </c>
      <c r="CM52">
        <v>1E-3</v>
      </c>
      <c r="CN52" s="58">
        <f t="shared" si="60"/>
        <v>111.35299999999999</v>
      </c>
      <c r="CO52" s="58">
        <f t="shared" si="32"/>
        <v>1.353</v>
      </c>
      <c r="CP52" s="31">
        <f t="shared" si="33"/>
        <v>4.1698701672815024E-2</v>
      </c>
      <c r="CQ52" s="31">
        <f t="shared" si="34"/>
        <v>5.0341416403762245E-4</v>
      </c>
      <c r="CR52">
        <v>110</v>
      </c>
      <c r="CS52">
        <v>230</v>
      </c>
      <c r="CT52">
        <v>50</v>
      </c>
      <c r="CU52" t="s">
        <v>69</v>
      </c>
      <c r="CV52" t="s">
        <v>69</v>
      </c>
      <c r="CW52">
        <v>280</v>
      </c>
      <c r="CX52" s="2">
        <f t="shared" si="68"/>
        <v>199.5</v>
      </c>
      <c r="CZ52">
        <v>56</v>
      </c>
      <c r="DA52" t="s">
        <v>62</v>
      </c>
      <c r="DB52" t="s">
        <v>88</v>
      </c>
      <c r="DC52" t="s">
        <v>782</v>
      </c>
      <c r="DD52" s="37">
        <f t="shared" si="69"/>
        <v>45.051009785550697</v>
      </c>
      <c r="DE52" s="37">
        <f t="shared" si="63"/>
        <v>45.051009785550697</v>
      </c>
      <c r="DF52" s="37">
        <v>25</v>
      </c>
      <c r="DG52" s="37">
        <f t="shared" si="70"/>
        <v>0.44762757385854968</v>
      </c>
      <c r="DH52" s="37">
        <f t="shared" si="36"/>
        <v>0.44762757385854968</v>
      </c>
      <c r="DI52" s="37">
        <f t="shared" si="71"/>
        <v>70.05100978555069</v>
      </c>
      <c r="DJ52" s="37">
        <f t="shared" si="37"/>
        <v>1.2542705422659031</v>
      </c>
      <c r="DK52" s="37">
        <f t="shared" si="38"/>
        <v>1.2542705422659031</v>
      </c>
      <c r="DL52" s="55">
        <f t="shared" si="39"/>
        <v>20.636268998542576</v>
      </c>
      <c r="DM52" s="55">
        <f t="shared" si="39"/>
        <v>20.636268998542576</v>
      </c>
      <c r="DN52" s="37">
        <f t="shared" si="40"/>
        <v>45.636268998542576</v>
      </c>
      <c r="DO52" s="55">
        <f t="shared" si="41"/>
        <v>0.81712209487095033</v>
      </c>
      <c r="DP52" s="55">
        <f t="shared" si="42"/>
        <v>0.81712209487095033</v>
      </c>
      <c r="DQ52" s="37">
        <v>5.0999999999999996</v>
      </c>
      <c r="DR52" s="37">
        <f t="shared" si="43"/>
        <v>9.2845439650464226E-2</v>
      </c>
      <c r="DS52" s="37">
        <f t="shared" si="44"/>
        <v>0.18569087930092845</v>
      </c>
      <c r="DT52" s="37">
        <f t="shared" si="72"/>
        <v>13.509231546405109</v>
      </c>
      <c r="DU52" s="37">
        <f t="shared" si="73"/>
        <v>6.7546157732025547</v>
      </c>
      <c r="DV52" s="37">
        <f t="shared" si="74"/>
        <v>75.151009785550684</v>
      </c>
      <c r="DW52" s="37">
        <f t="shared" si="75"/>
        <v>1.4399614215668315</v>
      </c>
      <c r="DX52">
        <v>17</v>
      </c>
      <c r="DY52" t="s">
        <v>213</v>
      </c>
      <c r="DZ52" s="29">
        <f t="shared" si="67"/>
        <v>1</v>
      </c>
      <c r="EA52" s="30">
        <v>1.7000000000000001E-2</v>
      </c>
      <c r="EB52" s="30">
        <f t="shared" si="47"/>
        <v>2.741935483870968E-4</v>
      </c>
      <c r="EC52" s="30">
        <f t="shared" si="48"/>
        <v>1.370967741935484E-3</v>
      </c>
      <c r="ED52" s="31">
        <f t="shared" si="65"/>
        <v>77.5</v>
      </c>
      <c r="EE52" s="33">
        <f t="shared" si="66"/>
        <v>99.358974358974365</v>
      </c>
      <c r="EF52" s="37">
        <f t="shared" si="76"/>
        <v>6.4542993962107014</v>
      </c>
      <c r="EG52" s="37">
        <f>$EK50-EK52</f>
        <v>35.5</v>
      </c>
      <c r="EH52" s="33">
        <f>(EG52/$EK50)*100</f>
        <v>98.611111111111114</v>
      </c>
      <c r="EI52" s="37">
        <f t="shared" si="82"/>
        <v>2.9564855298771602</v>
      </c>
      <c r="EJ52" s="37">
        <f>($EG52/96.06)*8</f>
        <v>2.9564855298771602</v>
      </c>
      <c r="EK52" s="31">
        <v>0.5</v>
      </c>
      <c r="EL52" s="31">
        <f t="shared" si="50"/>
        <v>5.2050801582344368E-3</v>
      </c>
      <c r="EM52" s="31">
        <f t="shared" si="51"/>
        <v>4.1640641265875494E-2</v>
      </c>
      <c r="EN52" s="32">
        <f t="shared" si="77"/>
        <v>4.301160900781098E-2</v>
      </c>
      <c r="EO52" s="39">
        <f t="shared" si="81"/>
        <v>7.8942608177775329</v>
      </c>
      <c r="EP52" s="37">
        <f t="shared" si="78"/>
        <v>2.3522263019580079E-2</v>
      </c>
      <c r="EQ52" s="37">
        <f t="shared" si="79"/>
        <v>0.15888384881347475</v>
      </c>
      <c r="ER52" s="37">
        <f t="shared" si="80"/>
        <v>0.81759388816694523</v>
      </c>
      <c r="ES52" s="39">
        <f t="shared" si="53"/>
        <v>3.9592985040490389</v>
      </c>
      <c r="ET52" s="55">
        <f t="shared" si="54"/>
        <v>20.638052272020097</v>
      </c>
      <c r="EU52" s="55">
        <f t="shared" si="55"/>
        <v>4.6899944298473262</v>
      </c>
      <c r="EV52" s="55">
        <f t="shared" si="56"/>
        <v>74.671953298132578</v>
      </c>
      <c r="EW52" t="s">
        <v>202</v>
      </c>
      <c r="EX52" t="s">
        <v>471</v>
      </c>
      <c r="EY52">
        <v>-99</v>
      </c>
      <c r="EZ52" t="s">
        <v>209</v>
      </c>
      <c r="FA52">
        <v>606</v>
      </c>
      <c r="FB52" t="s">
        <v>113</v>
      </c>
      <c r="FC52" t="s">
        <v>88</v>
      </c>
      <c r="FD52" s="39">
        <f t="shared" si="57"/>
        <v>-7.7958359071578167</v>
      </c>
      <c r="FE52" s="39">
        <f t="shared" si="61"/>
        <v>-7.7953324929937793</v>
      </c>
      <c r="FF52" s="39">
        <f t="shared" si="58"/>
        <v>-3.8608735934293228</v>
      </c>
      <c r="FG52" s="39">
        <f t="shared" si="59"/>
        <v>-3.8603701792652854</v>
      </c>
    </row>
    <row r="53" spans="1:163" ht="15.75" x14ac:dyDescent="0.25">
      <c r="A53" s="4" t="s">
        <v>311</v>
      </c>
      <c r="B53" s="4" t="s">
        <v>311</v>
      </c>
      <c r="C53" s="3" t="s">
        <v>842</v>
      </c>
      <c r="D53" s="3" t="s">
        <v>842</v>
      </c>
      <c r="E53" s="3" t="s">
        <v>1154</v>
      </c>
      <c r="F53" s="3" t="s">
        <v>1034</v>
      </c>
      <c r="G53" s="3" t="s">
        <v>774</v>
      </c>
      <c r="H53" s="3" t="str">
        <f t="shared" si="0"/>
        <v>CW_3_Section_3</v>
      </c>
      <c r="I53" s="3" t="str">
        <f t="shared" si="1"/>
        <v>CW_3_MF10</v>
      </c>
      <c r="J53" s="3" t="s">
        <v>1493</v>
      </c>
      <c r="K53" s="3" t="s">
        <v>1484</v>
      </c>
      <c r="L53" s="11" t="s">
        <v>1107</v>
      </c>
      <c r="M53" s="3" t="s">
        <v>1024</v>
      </c>
      <c r="N53" s="3" t="s">
        <v>1024</v>
      </c>
      <c r="O53" s="12" t="s">
        <v>1016</v>
      </c>
      <c r="P53" s="3" t="s">
        <v>1155</v>
      </c>
      <c r="Q53" s="3" t="s">
        <v>1018</v>
      </c>
      <c r="R53" s="3" t="s">
        <v>1111</v>
      </c>
      <c r="S53" s="3" t="str">
        <f t="shared" si="2"/>
        <v>T1_0.60-0.80</v>
      </c>
      <c r="T53" s="13" t="s">
        <v>1112</v>
      </c>
      <c r="U53" s="3" t="s">
        <v>1113</v>
      </c>
      <c r="V53" s="3">
        <v>150</v>
      </c>
      <c r="W53" s="3">
        <v>100</v>
      </c>
      <c r="X53" s="14">
        <v>7.5</v>
      </c>
      <c r="Y53" s="3">
        <v>52</v>
      </c>
      <c r="Z53" t="s">
        <v>509</v>
      </c>
      <c r="AA53" t="s">
        <v>264</v>
      </c>
      <c r="AB53" s="1">
        <v>45582</v>
      </c>
      <c r="AC53">
        <v>11</v>
      </c>
      <c r="AD53">
        <v>11</v>
      </c>
      <c r="AE53">
        <v>660</v>
      </c>
      <c r="AF53" s="37">
        <f t="shared" si="17"/>
        <v>0.25348866982460633</v>
      </c>
      <c r="AG53">
        <v>1</v>
      </c>
      <c r="AH53" s="37">
        <f t="shared" si="18"/>
        <v>3.9070978945083569E-4</v>
      </c>
      <c r="AI53">
        <v>500</v>
      </c>
      <c r="AJ53" s="37">
        <f t="shared" si="19"/>
        <v>0.19779598756710934</v>
      </c>
      <c r="AK53">
        <v>150</v>
      </c>
      <c r="AL53" s="37">
        <f t="shared" si="20"/>
        <v>5.9338796270132804E-2</v>
      </c>
      <c r="AM53">
        <v>110</v>
      </c>
      <c r="AN53" s="37">
        <f t="shared" si="21"/>
        <v>4.3515117264764057E-2</v>
      </c>
      <c r="AO53">
        <v>260</v>
      </c>
      <c r="AQ53" s="59">
        <v>1427</v>
      </c>
      <c r="AR53" s="59">
        <f t="shared" si="22"/>
        <v>0.45167536718116652</v>
      </c>
      <c r="AS53">
        <v>2100</v>
      </c>
      <c r="AT53" s="37">
        <f t="shared" si="23"/>
        <v>0.78645548880393235</v>
      </c>
      <c r="AU53" t="s">
        <v>780</v>
      </c>
      <c r="AV53" t="s">
        <v>780</v>
      </c>
      <c r="AW53" t="s">
        <v>780</v>
      </c>
      <c r="AX53" t="s">
        <v>780</v>
      </c>
      <c r="AY53" t="s">
        <v>780</v>
      </c>
      <c r="AZ53" t="s">
        <v>780</v>
      </c>
      <c r="BA53" t="s">
        <v>780</v>
      </c>
      <c r="BB53" t="s">
        <v>780</v>
      </c>
      <c r="BC53" t="s">
        <v>780</v>
      </c>
      <c r="BD53" t="s">
        <v>780</v>
      </c>
      <c r="BE53" t="s">
        <v>780</v>
      </c>
      <c r="BF53" t="s">
        <v>780</v>
      </c>
      <c r="BG53" t="s">
        <v>780</v>
      </c>
      <c r="BH53" t="s">
        <v>780</v>
      </c>
      <c r="BI53" t="s">
        <v>780</v>
      </c>
      <c r="BJ53" t="s">
        <v>780</v>
      </c>
      <c r="BK53" t="s">
        <v>780</v>
      </c>
      <c r="BL53" t="s">
        <v>780</v>
      </c>
      <c r="BM53" t="s">
        <v>780</v>
      </c>
      <c r="BN53" t="s">
        <v>780</v>
      </c>
      <c r="BO53" s="58">
        <v>1900</v>
      </c>
      <c r="BP53" s="58">
        <v>120</v>
      </c>
      <c r="BQ53" s="58">
        <v>93</v>
      </c>
      <c r="BR53" s="58">
        <v>30</v>
      </c>
      <c r="BS53" s="58">
        <v>9</v>
      </c>
      <c r="BT53" s="58">
        <v>1.4</v>
      </c>
      <c r="BU53" s="58">
        <v>0.06</v>
      </c>
      <c r="BV53" s="58">
        <v>0.03</v>
      </c>
      <c r="BW53" s="31">
        <f t="shared" si="24"/>
        <v>0.71155496606070068</v>
      </c>
      <c r="BX53" s="31">
        <f t="shared" si="25"/>
        <v>4.4155332150601224E-2</v>
      </c>
      <c r="BY53" s="31">
        <f t="shared" si="26"/>
        <v>3.4978276376369882E-2</v>
      </c>
      <c r="BZ53" s="31">
        <f t="shared" si="27"/>
        <v>1.1189989170978222E-2</v>
      </c>
      <c r="CA53" s="31">
        <f t="shared" si="28"/>
        <v>3.332772260562195E-3</v>
      </c>
      <c r="CB53" s="31">
        <f t="shared" si="29"/>
        <v>5.1843124053189689E-4</v>
      </c>
      <c r="CC53" s="31">
        <f t="shared" si="30"/>
        <v>2.1953028430160689E-5</v>
      </c>
      <c r="CD53" s="31">
        <f t="shared" si="31"/>
        <v>1.0976514215080345E-5</v>
      </c>
      <c r="CE53">
        <v>1E-3</v>
      </c>
      <c r="CF53">
        <v>1E-3</v>
      </c>
      <c r="CG53">
        <v>2E-3</v>
      </c>
      <c r="CH53">
        <v>1E-3</v>
      </c>
      <c r="CI53">
        <v>1E-3</v>
      </c>
      <c r="CK53">
        <v>2E-3</v>
      </c>
      <c r="CL53">
        <v>1E-3</v>
      </c>
      <c r="CM53">
        <v>1E-3</v>
      </c>
      <c r="CN53" s="58">
        <f t="shared" si="60"/>
        <v>2153.4900000000002</v>
      </c>
      <c r="CO53" s="58">
        <f t="shared" si="32"/>
        <v>253.49</v>
      </c>
      <c r="CP53" s="31">
        <f t="shared" si="33"/>
        <v>0.80576269680238921</v>
      </c>
      <c r="CQ53" s="31">
        <f t="shared" si="34"/>
        <v>9.4207730741688658E-2</v>
      </c>
      <c r="CR53">
        <v>2100</v>
      </c>
      <c r="CS53">
        <v>3700</v>
      </c>
      <c r="CT53">
        <v>980</v>
      </c>
      <c r="CU53" t="s">
        <v>69</v>
      </c>
      <c r="CV53" t="s">
        <v>69</v>
      </c>
      <c r="CW53">
        <v>4700</v>
      </c>
      <c r="CX53" s="2">
        <f t="shared" si="68"/>
        <v>3527</v>
      </c>
      <c r="CZ53">
        <v>68</v>
      </c>
      <c r="DA53" t="s">
        <v>62</v>
      </c>
      <c r="DB53" t="s">
        <v>88</v>
      </c>
      <c r="DC53" t="s">
        <v>782</v>
      </c>
      <c r="DD53" s="37">
        <f t="shared" si="69"/>
        <v>16.276493858005413</v>
      </c>
      <c r="DE53" s="37">
        <f t="shared" si="63"/>
        <v>16.276493858005413</v>
      </c>
      <c r="DF53" s="37">
        <v>1.2</v>
      </c>
      <c r="DG53" s="37">
        <f t="shared" si="70"/>
        <v>2.1486123545210383E-2</v>
      </c>
      <c r="DH53" s="37">
        <f t="shared" si="36"/>
        <v>2.1486123545210383E-2</v>
      </c>
      <c r="DI53" s="37">
        <f t="shared" si="71"/>
        <v>17.476493858005412</v>
      </c>
      <c r="DJ53" s="37">
        <f t="shared" si="37"/>
        <v>0.31291842180851231</v>
      </c>
      <c r="DK53" s="37">
        <f t="shared" si="38"/>
        <v>0.31291842180851231</v>
      </c>
      <c r="DL53" s="55">
        <f t="shared" si="39"/>
        <v>11.626067041432437</v>
      </c>
      <c r="DM53" s="55">
        <f t="shared" si="39"/>
        <v>11.626067041432437</v>
      </c>
      <c r="DN53" s="37">
        <f t="shared" si="40"/>
        <v>12.826067041432436</v>
      </c>
      <c r="DO53" s="55">
        <f t="shared" si="41"/>
        <v>0.2296520508761403</v>
      </c>
      <c r="DP53" s="55">
        <f t="shared" si="42"/>
        <v>0.2296520508761403</v>
      </c>
      <c r="DQ53" s="37">
        <v>1.6</v>
      </c>
      <c r="DR53" s="37">
        <f t="shared" si="43"/>
        <v>2.912798106681231E-2</v>
      </c>
      <c r="DS53" s="37">
        <f t="shared" si="44"/>
        <v>5.825596213362462E-2</v>
      </c>
      <c r="DT53" s="37">
        <f t="shared" si="72"/>
        <v>10.742880568713487</v>
      </c>
      <c r="DU53" s="37">
        <f t="shared" si="73"/>
        <v>5.3714402843567433</v>
      </c>
      <c r="DV53" s="37">
        <f t="shared" si="74"/>
        <v>19.076493858005414</v>
      </c>
      <c r="DW53" s="37">
        <f t="shared" si="75"/>
        <v>0.37117438394213692</v>
      </c>
      <c r="DX53">
        <v>29</v>
      </c>
      <c r="DY53" t="s">
        <v>134</v>
      </c>
      <c r="DZ53" s="29">
        <f t="shared" si="67"/>
        <v>1</v>
      </c>
      <c r="EA53" s="30">
        <v>1.7000000000000001E-2</v>
      </c>
      <c r="EB53" s="30">
        <f t="shared" si="47"/>
        <v>2.741935483870968E-4</v>
      </c>
      <c r="EC53" s="30">
        <f t="shared" si="48"/>
        <v>1.370967741935484E-3</v>
      </c>
      <c r="ED53" s="31">
        <f t="shared" si="65"/>
        <v>28</v>
      </c>
      <c r="EE53" s="33">
        <f t="shared" si="66"/>
        <v>35.897435897435898</v>
      </c>
      <c r="EF53" s="37">
        <f t="shared" si="76"/>
        <v>2.3318759108890275</v>
      </c>
      <c r="EG53" s="29">
        <f>$EK51-EK53</f>
        <v>20</v>
      </c>
      <c r="EH53" s="33">
        <f>(EG53/$EK51)*100</f>
        <v>28.571428571428569</v>
      </c>
      <c r="EI53" s="37">
        <f t="shared" si="82"/>
        <v>1.6656256506350198</v>
      </c>
      <c r="EJ53" s="37">
        <f>($EG53/96.06)*8</f>
        <v>1.6656256506350198</v>
      </c>
      <c r="EK53" s="31">
        <v>50</v>
      </c>
      <c r="EL53" s="31">
        <f t="shared" si="50"/>
        <v>0.52050801582344364</v>
      </c>
      <c r="EM53" s="31">
        <f t="shared" si="51"/>
        <v>4.1640641265875491</v>
      </c>
      <c r="EN53" s="32">
        <f t="shared" si="77"/>
        <v>4.1654350943294842</v>
      </c>
      <c r="EO53" s="39">
        <f t="shared" si="81"/>
        <v>2.7030502948311645</v>
      </c>
      <c r="EP53" s="37">
        <f t="shared" si="78"/>
        <v>2.1551934214847211E-2</v>
      </c>
      <c r="EQ53" s="37">
        <f t="shared" si="79"/>
        <v>0.11576492764743675</v>
      </c>
      <c r="ER53" s="37">
        <f t="shared" si="80"/>
        <v>0.86268313813771602</v>
      </c>
      <c r="ES53" s="39">
        <f t="shared" si="53"/>
        <v>1.9535336636447846</v>
      </c>
      <c r="ET53" s="55">
        <f t="shared" si="54"/>
        <v>11.755725286436549</v>
      </c>
      <c r="EU53" s="55">
        <f t="shared" si="55"/>
        <v>2.9820813031158204</v>
      </c>
      <c r="EV53" s="55">
        <f t="shared" si="56"/>
        <v>85.262193410447622</v>
      </c>
      <c r="EW53" t="s">
        <v>510</v>
      </c>
      <c r="EX53" t="s">
        <v>488</v>
      </c>
      <c r="EY53">
        <v>-84</v>
      </c>
      <c r="EZ53" t="s">
        <v>511</v>
      </c>
      <c r="FA53">
        <v>470</v>
      </c>
      <c r="FB53" t="s">
        <v>113</v>
      </c>
      <c r="FC53" t="s">
        <v>88</v>
      </c>
      <c r="FD53" s="39">
        <f t="shared" si="57"/>
        <v>-1.4649194388460658</v>
      </c>
      <c r="FE53" s="39">
        <f t="shared" si="61"/>
        <v>-1.3707117081043771</v>
      </c>
      <c r="FF53" s="39">
        <f t="shared" si="58"/>
        <v>-0.71540280765968589</v>
      </c>
      <c r="FG53" s="39">
        <f t="shared" si="59"/>
        <v>-0.62119507691799725</v>
      </c>
    </row>
    <row r="54" spans="1:163" s="37" customFormat="1" ht="15.75" x14ac:dyDescent="0.25">
      <c r="A54" s="34" t="s">
        <v>312</v>
      </c>
      <c r="B54" s="34" t="s">
        <v>312</v>
      </c>
      <c r="C54" s="34" t="s">
        <v>843</v>
      </c>
      <c r="D54" s="34" t="s">
        <v>843</v>
      </c>
      <c r="E54" s="34" t="s">
        <v>1156</v>
      </c>
      <c r="F54" s="34" t="s">
        <v>1048</v>
      </c>
      <c r="G54" s="34" t="s">
        <v>1049</v>
      </c>
      <c r="H54" s="34" t="str">
        <f t="shared" si="0"/>
        <v>CW_0_Section_0</v>
      </c>
      <c r="I54" s="34" t="str">
        <f t="shared" si="1"/>
        <v>CW_0_INF</v>
      </c>
      <c r="J54" s="34" t="s">
        <v>1481</v>
      </c>
      <c r="K54" s="34" t="s">
        <v>1481</v>
      </c>
      <c r="L54" s="34" t="s">
        <v>780</v>
      </c>
      <c r="M54" s="34" t="s">
        <v>780</v>
      </c>
      <c r="N54" s="34" t="s">
        <v>1481</v>
      </c>
      <c r="O54" s="35" t="s">
        <v>1016</v>
      </c>
      <c r="P54" s="34" t="s">
        <v>1157</v>
      </c>
      <c r="Q54" s="34" t="s">
        <v>1018</v>
      </c>
      <c r="R54" s="34" t="s">
        <v>1158</v>
      </c>
      <c r="S54" s="34" t="str">
        <f t="shared" si="2"/>
        <v>T2_INF</v>
      </c>
      <c r="T54" s="36" t="s">
        <v>1159</v>
      </c>
      <c r="U54" s="34" t="s">
        <v>1160</v>
      </c>
      <c r="V54" s="34">
        <v>150</v>
      </c>
      <c r="W54" s="34">
        <v>65</v>
      </c>
      <c r="X54" s="34">
        <v>5.8</v>
      </c>
      <c r="Y54" s="34">
        <v>53</v>
      </c>
      <c r="Z54" s="37" t="s">
        <v>526</v>
      </c>
      <c r="AA54" s="37" t="s">
        <v>130</v>
      </c>
      <c r="AB54" s="38">
        <v>45643</v>
      </c>
      <c r="AC54" s="37">
        <v>16</v>
      </c>
      <c r="AD54" s="37">
        <v>50</v>
      </c>
      <c r="AE54" s="37">
        <v>610</v>
      </c>
      <c r="AF54" s="37">
        <f t="shared" si="17"/>
        <v>0.23428498271668158</v>
      </c>
      <c r="AG54" s="37">
        <v>140</v>
      </c>
      <c r="AH54" s="37">
        <f t="shared" si="18"/>
        <v>5.4699370523116998E-2</v>
      </c>
      <c r="AI54" s="37">
        <v>690</v>
      </c>
      <c r="AJ54" s="37">
        <f t="shared" si="19"/>
        <v>0.27295846284261088</v>
      </c>
      <c r="AK54" s="37">
        <v>260</v>
      </c>
      <c r="AL54" s="37">
        <f t="shared" si="20"/>
        <v>0.10285391353489687</v>
      </c>
      <c r="AM54" s="37">
        <v>450</v>
      </c>
      <c r="AN54" s="37">
        <f t="shared" si="21"/>
        <v>0.17801638881039844</v>
      </c>
      <c r="AO54" s="37">
        <v>710</v>
      </c>
      <c r="AQ54" s="59">
        <v>2150</v>
      </c>
      <c r="AR54" s="59">
        <f t="shared" si="22"/>
        <v>0.56194281608240948</v>
      </c>
      <c r="AS54" s="37">
        <v>5400</v>
      </c>
      <c r="AT54" s="37">
        <f t="shared" si="23"/>
        <v>2.0223141140672545</v>
      </c>
      <c r="AU54" s="37" t="s">
        <v>780</v>
      </c>
      <c r="AV54" s="37" t="s">
        <v>780</v>
      </c>
      <c r="AW54" s="37" t="s">
        <v>780</v>
      </c>
      <c r="AX54" s="37" t="s">
        <v>780</v>
      </c>
      <c r="AY54" s="37" t="s">
        <v>780</v>
      </c>
      <c r="AZ54" s="37" t="s">
        <v>780</v>
      </c>
      <c r="BA54" s="37" t="s">
        <v>780</v>
      </c>
      <c r="BB54" s="37" t="s">
        <v>780</v>
      </c>
      <c r="BC54" s="37" t="s">
        <v>780</v>
      </c>
      <c r="BD54" s="37" t="s">
        <v>780</v>
      </c>
      <c r="BE54" s="37" t="s">
        <v>780</v>
      </c>
      <c r="BF54" s="37" t="s">
        <v>780</v>
      </c>
      <c r="BG54" s="37" t="s">
        <v>780</v>
      </c>
      <c r="BH54" s="37" t="s">
        <v>780</v>
      </c>
      <c r="BI54" s="37" t="s">
        <v>780</v>
      </c>
      <c r="BJ54" s="37" t="s">
        <v>780</v>
      </c>
      <c r="BK54" s="37" t="s">
        <v>780</v>
      </c>
      <c r="BL54" s="37" t="s">
        <v>780</v>
      </c>
      <c r="BM54" s="37" t="s">
        <v>780</v>
      </c>
      <c r="BN54" s="37" t="s">
        <v>780</v>
      </c>
      <c r="BO54" s="58">
        <v>3700</v>
      </c>
      <c r="BP54" s="58">
        <v>250</v>
      </c>
      <c r="BQ54" s="58">
        <v>210</v>
      </c>
      <c r="BR54" s="58">
        <v>130</v>
      </c>
      <c r="BS54" s="58">
        <v>130</v>
      </c>
      <c r="BT54" s="58">
        <v>28</v>
      </c>
      <c r="BU54" s="58">
        <v>12</v>
      </c>
      <c r="BV54" s="58">
        <v>15</v>
      </c>
      <c r="BW54" s="31">
        <f t="shared" si="24"/>
        <v>1.3856596707497855</v>
      </c>
      <c r="BX54" s="31">
        <f t="shared" si="25"/>
        <v>9.1990275313752548E-2</v>
      </c>
      <c r="BY54" s="31">
        <f t="shared" si="26"/>
        <v>7.8983204720835226E-2</v>
      </c>
      <c r="BZ54" s="31">
        <f t="shared" si="27"/>
        <v>4.8489953074238958E-2</v>
      </c>
      <c r="CA54" s="31">
        <f t="shared" si="28"/>
        <v>4.8140043763676151E-2</v>
      </c>
      <c r="CB54" s="31">
        <f t="shared" si="29"/>
        <v>1.0368624810637939E-2</v>
      </c>
      <c r="CC54" s="31">
        <f t="shared" si="30"/>
        <v>4.3906056860321388E-3</v>
      </c>
      <c r="CD54" s="31">
        <f t="shared" si="31"/>
        <v>5.4882571075401728E-3</v>
      </c>
      <c r="CE54" s="37">
        <v>2.5</v>
      </c>
      <c r="CF54" s="37">
        <v>2.1</v>
      </c>
      <c r="CG54" s="37">
        <v>1</v>
      </c>
      <c r="CH54" s="37">
        <v>0.35</v>
      </c>
      <c r="CI54" s="37">
        <v>1.4</v>
      </c>
      <c r="CK54" s="37">
        <v>0.12</v>
      </c>
      <c r="CL54" s="37">
        <v>0.43</v>
      </c>
      <c r="CM54" s="37">
        <v>0.52</v>
      </c>
      <c r="CN54" s="58">
        <f t="shared" si="60"/>
        <v>4475</v>
      </c>
      <c r="CO54" s="58">
        <f t="shared" si="32"/>
        <v>775</v>
      </c>
      <c r="CP54" s="31">
        <f t="shared" si="33"/>
        <v>1.6735106352264983</v>
      </c>
      <c r="CQ54" s="31">
        <f t="shared" si="34"/>
        <v>0.28785096447671316</v>
      </c>
      <c r="CR54" s="37">
        <v>4500</v>
      </c>
      <c r="CS54" s="37">
        <v>9000</v>
      </c>
      <c r="CT54" s="37">
        <v>4700</v>
      </c>
      <c r="CU54" s="37" t="s">
        <v>69</v>
      </c>
      <c r="CV54" s="37" t="s">
        <v>69</v>
      </c>
      <c r="CW54" s="37">
        <v>14000</v>
      </c>
      <c r="CX54" s="40">
        <f t="shared" si="68"/>
        <v>6650</v>
      </c>
      <c r="CZ54" s="37">
        <v>68</v>
      </c>
      <c r="DA54" s="37" t="s">
        <v>62</v>
      </c>
      <c r="DB54" s="37" t="s">
        <v>88</v>
      </c>
      <c r="DC54" s="37" t="s">
        <v>782</v>
      </c>
      <c r="DD54" s="37">
        <f t="shared" si="69"/>
        <v>0</v>
      </c>
      <c r="DE54" s="37">
        <f t="shared" si="63"/>
        <v>0</v>
      </c>
      <c r="DF54" s="37">
        <v>1.2</v>
      </c>
      <c r="DG54" s="37">
        <f t="shared" si="70"/>
        <v>2.1486123545210383E-2</v>
      </c>
      <c r="DH54" s="37">
        <f t="shared" si="36"/>
        <v>2.1486123545210383E-2</v>
      </c>
      <c r="DI54" s="37">
        <f t="shared" si="71"/>
        <v>1.2</v>
      </c>
      <c r="DJ54" s="37">
        <f t="shared" si="37"/>
        <v>2.1486123545210383E-2</v>
      </c>
      <c r="DK54" s="37">
        <f t="shared" si="38"/>
        <v>2.1486123545210383E-2</v>
      </c>
      <c r="DL54" s="55">
        <f t="shared" si="39"/>
        <v>0</v>
      </c>
      <c r="DM54" s="55">
        <f t="shared" si="39"/>
        <v>0</v>
      </c>
      <c r="DN54" s="37">
        <f t="shared" si="40"/>
        <v>1.2</v>
      </c>
      <c r="DO54" s="55">
        <f t="shared" si="41"/>
        <v>2.1486123545210383E-2</v>
      </c>
      <c r="DP54" s="55">
        <f t="shared" si="42"/>
        <v>2.1486123545210383E-2</v>
      </c>
      <c r="DQ54" s="37">
        <v>0.9</v>
      </c>
      <c r="DR54" s="37">
        <f t="shared" si="43"/>
        <v>1.6384489350081924E-2</v>
      </c>
      <c r="DS54" s="37">
        <f t="shared" si="44"/>
        <v>3.2768978700163848E-2</v>
      </c>
      <c r="DT54" s="37">
        <f t="shared" si="72"/>
        <v>1.311369740376007</v>
      </c>
      <c r="DU54" s="37">
        <f t="shared" si="73"/>
        <v>0.65568487018800348</v>
      </c>
      <c r="DV54" s="37">
        <f t="shared" si="74"/>
        <v>2.1</v>
      </c>
      <c r="DW54" s="37">
        <f t="shared" si="75"/>
        <v>5.4255102245374234E-2</v>
      </c>
      <c r="DX54" s="37">
        <v>29</v>
      </c>
      <c r="DY54" s="37" t="s">
        <v>131</v>
      </c>
      <c r="DZ54" s="37">
        <f>EA54/$EA$54</f>
        <v>1</v>
      </c>
      <c r="EA54" s="37">
        <v>1.7000000000000001E-2</v>
      </c>
      <c r="EB54" s="37">
        <f t="shared" si="47"/>
        <v>2.741935483870968E-4</v>
      </c>
      <c r="EC54" s="37">
        <f t="shared" si="48"/>
        <v>1.370967741935484E-3</v>
      </c>
      <c r="ED54" s="37">
        <f>$EK$54-EK54</f>
        <v>0</v>
      </c>
      <c r="EE54" s="39">
        <f t="shared" ref="EE54:EE75" si="83">(ED54/$EK$54)*100</f>
        <v>0</v>
      </c>
      <c r="EF54" s="37">
        <f t="shared" si="76"/>
        <v>0</v>
      </c>
      <c r="EG54" s="37">
        <f>$EK54-EK54</f>
        <v>0</v>
      </c>
      <c r="EH54" s="33">
        <f>(EG54/$EK54)*100</f>
        <v>0</v>
      </c>
      <c r="EI54" s="37">
        <f t="shared" si="82"/>
        <v>0</v>
      </c>
      <c r="EJ54" s="37">
        <f>($EG54/96.06)*8</f>
        <v>0</v>
      </c>
      <c r="EK54" s="37">
        <v>81</v>
      </c>
      <c r="EL54" s="37">
        <f t="shared" si="50"/>
        <v>0.84322298563397879</v>
      </c>
      <c r="EM54" s="37">
        <f t="shared" si="51"/>
        <v>6.7457838850718304</v>
      </c>
      <c r="EN54" s="37">
        <f t="shared" si="77"/>
        <v>6.7471548528137655</v>
      </c>
      <c r="EO54" s="39">
        <f t="shared" si="81"/>
        <v>5.4255102245374234E-2</v>
      </c>
      <c r="EP54" s="37">
        <f t="shared" si="78"/>
        <v>0.6039796690818644</v>
      </c>
      <c r="EQ54" s="37">
        <f t="shared" si="79"/>
        <v>0.39602033091813554</v>
      </c>
      <c r="ER54" s="37">
        <f t="shared" si="80"/>
        <v>0</v>
      </c>
      <c r="ES54" s="39">
        <f t="shared" si="53"/>
        <v>5.4255102245374234E-2</v>
      </c>
      <c r="ET54" s="55">
        <f t="shared" si="54"/>
        <v>39.602033091813553</v>
      </c>
      <c r="EU54" s="55">
        <f t="shared" si="55"/>
        <v>60.39796690818644</v>
      </c>
      <c r="EV54" s="55">
        <f t="shared" si="56"/>
        <v>0</v>
      </c>
      <c r="EW54" s="37" t="s">
        <v>780</v>
      </c>
      <c r="EX54" s="37" t="s">
        <v>780</v>
      </c>
      <c r="EY54" s="37" t="s">
        <v>780</v>
      </c>
      <c r="EZ54" s="37" t="s">
        <v>780</v>
      </c>
      <c r="FA54" s="37" t="s">
        <v>780</v>
      </c>
      <c r="FB54" s="37" t="s">
        <v>780</v>
      </c>
      <c r="FC54" s="37" t="s">
        <v>88</v>
      </c>
      <c r="FD54" s="39">
        <f t="shared" si="57"/>
        <v>2.5300018279042895</v>
      </c>
      <c r="FE54" s="39">
        <f t="shared" si="61"/>
        <v>2.8178527923810028</v>
      </c>
      <c r="FF54" s="39">
        <f t="shared" si="58"/>
        <v>2.5300018279042895</v>
      </c>
      <c r="FG54" s="39">
        <f t="shared" si="59"/>
        <v>2.8178527923810028</v>
      </c>
    </row>
    <row r="55" spans="1:163" ht="15.75" x14ac:dyDescent="0.25">
      <c r="A55" s="5" t="s">
        <v>313</v>
      </c>
      <c r="B55" s="5" t="s">
        <v>313</v>
      </c>
      <c r="C55" s="3" t="s">
        <v>844</v>
      </c>
      <c r="D55" s="3" t="s">
        <v>844</v>
      </c>
      <c r="E55" s="3" t="s">
        <v>1161</v>
      </c>
      <c r="F55" s="3" t="s">
        <v>1055</v>
      </c>
      <c r="G55" s="3" t="s">
        <v>772</v>
      </c>
      <c r="H55" s="3" t="str">
        <f t="shared" si="0"/>
        <v>CW_1_Section_5</v>
      </c>
      <c r="I55" s="3" t="str">
        <f t="shared" si="1"/>
        <v>CW_1_EFF</v>
      </c>
      <c r="J55" s="3" t="s">
        <v>1482</v>
      </c>
      <c r="K55" s="3" t="s">
        <v>1482</v>
      </c>
      <c r="L55" s="3" t="s">
        <v>780</v>
      </c>
      <c r="M55" s="3" t="s">
        <v>780</v>
      </c>
      <c r="N55" s="3" t="s">
        <v>1482</v>
      </c>
      <c r="O55" s="12" t="s">
        <v>1016</v>
      </c>
      <c r="P55" s="3" t="s">
        <v>1162</v>
      </c>
      <c r="Q55" s="3" t="s">
        <v>1018</v>
      </c>
      <c r="R55" s="3" t="s">
        <v>1158</v>
      </c>
      <c r="S55" s="3" t="str">
        <f t="shared" si="2"/>
        <v>T2_EFF</v>
      </c>
      <c r="T55" s="13" t="s">
        <v>1159</v>
      </c>
      <c r="U55" s="3" t="s">
        <v>1160</v>
      </c>
      <c r="V55" s="3">
        <v>150</v>
      </c>
      <c r="W55" s="3">
        <v>65</v>
      </c>
      <c r="X55" s="3">
        <v>6.9</v>
      </c>
      <c r="Y55" s="3">
        <v>54</v>
      </c>
      <c r="Z55" t="s">
        <v>524</v>
      </c>
      <c r="AA55" t="s">
        <v>47</v>
      </c>
      <c r="AB55" s="1">
        <v>45643</v>
      </c>
      <c r="AC55">
        <v>17</v>
      </c>
      <c r="AD55">
        <v>11</v>
      </c>
      <c r="AE55">
        <v>140</v>
      </c>
      <c r="AF55" s="37">
        <f t="shared" si="17"/>
        <v>5.3770323902189221E-2</v>
      </c>
      <c r="AG55">
        <v>0.5</v>
      </c>
      <c r="AH55" s="37">
        <f t="shared" si="18"/>
        <v>1.9535489472541785E-4</v>
      </c>
      <c r="AI55">
        <v>73</v>
      </c>
      <c r="AJ55" s="37">
        <f t="shared" si="19"/>
        <v>2.8878214184797964E-2</v>
      </c>
      <c r="AK55">
        <v>40</v>
      </c>
      <c r="AL55" s="37">
        <f t="shared" si="20"/>
        <v>1.5823679005368747E-2</v>
      </c>
      <c r="AM55">
        <v>17</v>
      </c>
      <c r="AN55" s="37">
        <f t="shared" si="21"/>
        <v>6.725063577281718E-3</v>
      </c>
      <c r="AO55">
        <v>57</v>
      </c>
      <c r="AQ55" s="59">
        <v>273.5</v>
      </c>
      <c r="AR55" s="59">
        <f t="shared" si="22"/>
        <v>8.2843892981712602E-2</v>
      </c>
      <c r="AS55">
        <v>530</v>
      </c>
      <c r="AT55" s="37">
        <f t="shared" si="23"/>
        <v>0.19848638526956386</v>
      </c>
      <c r="AU55" t="s">
        <v>780</v>
      </c>
      <c r="AV55" t="s">
        <v>780</v>
      </c>
      <c r="AW55" t="s">
        <v>780</v>
      </c>
      <c r="AX55" t="s">
        <v>780</v>
      </c>
      <c r="AY55" t="s">
        <v>780</v>
      </c>
      <c r="AZ55" t="s">
        <v>780</v>
      </c>
      <c r="BA55" t="s">
        <v>780</v>
      </c>
      <c r="BB55" t="s">
        <v>780</v>
      </c>
      <c r="BC55" t="s">
        <v>780</v>
      </c>
      <c r="BD55" t="s">
        <v>780</v>
      </c>
      <c r="BE55" t="s">
        <v>780</v>
      </c>
      <c r="BF55" t="s">
        <v>780</v>
      </c>
      <c r="BG55" t="s">
        <v>780</v>
      </c>
      <c r="BH55" t="s">
        <v>780</v>
      </c>
      <c r="BI55" t="s">
        <v>780</v>
      </c>
      <c r="BJ55" t="s">
        <v>780</v>
      </c>
      <c r="BK55" t="s">
        <v>780</v>
      </c>
      <c r="BL55" t="s">
        <v>780</v>
      </c>
      <c r="BM55" t="s">
        <v>780</v>
      </c>
      <c r="BN55" t="s">
        <v>780</v>
      </c>
      <c r="BO55" s="58">
        <v>150</v>
      </c>
      <c r="BP55" s="58">
        <v>25</v>
      </c>
      <c r="BQ55" s="58">
        <v>26</v>
      </c>
      <c r="BR55" s="58">
        <v>7.9</v>
      </c>
      <c r="BS55" s="58">
        <v>1.6</v>
      </c>
      <c r="BT55" s="58">
        <v>0.2</v>
      </c>
      <c r="BU55" s="58">
        <v>0.03</v>
      </c>
      <c r="BV55" s="58">
        <v>2E-3</v>
      </c>
      <c r="BW55" s="31">
        <f t="shared" si="24"/>
        <v>5.617539205742373E-2</v>
      </c>
      <c r="BX55" s="31">
        <f t="shared" si="25"/>
        <v>9.1990275313752548E-3</v>
      </c>
      <c r="BY55" s="31">
        <f t="shared" si="26"/>
        <v>9.7788729654367419E-3</v>
      </c>
      <c r="BZ55" s="31">
        <f t="shared" si="27"/>
        <v>2.9466971483575986E-3</v>
      </c>
      <c r="CA55" s="31">
        <f t="shared" si="28"/>
        <v>5.9249284632216796E-4</v>
      </c>
      <c r="CB55" s="31">
        <f t="shared" si="29"/>
        <v>7.4061605790270996E-5</v>
      </c>
      <c r="CC55" s="31">
        <f t="shared" si="30"/>
        <v>1.0976514215080345E-5</v>
      </c>
      <c r="CD55" s="31">
        <f t="shared" si="31"/>
        <v>7.3176761433868969E-7</v>
      </c>
      <c r="CE55">
        <v>1E-3</v>
      </c>
      <c r="CF55">
        <v>1E-3</v>
      </c>
      <c r="CG55">
        <v>2E-3</v>
      </c>
      <c r="CH55">
        <v>1E-3</v>
      </c>
      <c r="CI55">
        <v>1E-3</v>
      </c>
      <c r="CK55">
        <v>2E-3</v>
      </c>
      <c r="CL55">
        <v>1E-3</v>
      </c>
      <c r="CM55">
        <v>1E-3</v>
      </c>
      <c r="CN55" s="58">
        <f t="shared" si="60"/>
        <v>210.732</v>
      </c>
      <c r="CO55" s="58">
        <f t="shared" si="32"/>
        <v>60.732000000000006</v>
      </c>
      <c r="CP55" s="31">
        <f t="shared" si="33"/>
        <v>7.8778252436535176E-2</v>
      </c>
      <c r="CQ55" s="31">
        <f t="shared" si="34"/>
        <v>2.2602860379111453E-2</v>
      </c>
      <c r="CR55">
        <v>210</v>
      </c>
      <c r="CS55">
        <v>1100</v>
      </c>
      <c r="CT55">
        <v>320</v>
      </c>
      <c r="CU55">
        <v>25</v>
      </c>
      <c r="CV55" t="s">
        <v>69</v>
      </c>
      <c r="CW55">
        <v>1400</v>
      </c>
      <c r="CX55" s="2">
        <f t="shared" si="68"/>
        <v>483.5</v>
      </c>
      <c r="CZ55">
        <v>58</v>
      </c>
      <c r="DA55" t="s">
        <v>62</v>
      </c>
      <c r="DB55" t="s">
        <v>88</v>
      </c>
      <c r="DC55" t="s">
        <v>782</v>
      </c>
      <c r="DD55" s="37">
        <f t="shared" si="69"/>
        <v>37.784717884655421</v>
      </c>
      <c r="DE55" s="37">
        <f t="shared" si="63"/>
        <v>37.784717884655421</v>
      </c>
      <c r="DF55" s="37">
        <v>10</v>
      </c>
      <c r="DG55" s="37">
        <f t="shared" si="70"/>
        <v>0.17905102954341987</v>
      </c>
      <c r="DH55" s="37">
        <f t="shared" si="36"/>
        <v>0.17905102954341987</v>
      </c>
      <c r="DI55" s="37">
        <f t="shared" si="71"/>
        <v>47.784717884655421</v>
      </c>
      <c r="DJ55" s="37">
        <f t="shared" si="37"/>
        <v>0.85559029336894221</v>
      </c>
      <c r="DK55" s="37">
        <f t="shared" si="38"/>
        <v>0.85559029336894221</v>
      </c>
      <c r="DL55" s="55">
        <f t="shared" si="39"/>
        <v>19.764313970435143</v>
      </c>
      <c r="DM55" s="55">
        <f t="shared" si="39"/>
        <v>19.764313970435143</v>
      </c>
      <c r="DN55" s="37">
        <f t="shared" si="40"/>
        <v>29.764313970435143</v>
      </c>
      <c r="DO55" s="55">
        <f t="shared" si="41"/>
        <v>0.53293310600600075</v>
      </c>
      <c r="DP55" s="55">
        <f t="shared" si="42"/>
        <v>0.53293310600600075</v>
      </c>
      <c r="DQ55" s="37">
        <v>3.3</v>
      </c>
      <c r="DR55" s="37">
        <f t="shared" si="43"/>
        <v>6.0076460950300378E-2</v>
      </c>
      <c r="DS55" s="37">
        <f t="shared" si="44"/>
        <v>0.12015292190060076</v>
      </c>
      <c r="DT55" s="37">
        <f t="shared" si="72"/>
        <v>14.241689337804848</v>
      </c>
      <c r="DU55" s="37">
        <f t="shared" si="73"/>
        <v>7.1208446689024241</v>
      </c>
      <c r="DV55" s="37">
        <f t="shared" si="74"/>
        <v>51.084717884655419</v>
      </c>
      <c r="DW55" s="37">
        <f t="shared" si="75"/>
        <v>0.975743215269543</v>
      </c>
      <c r="DX55">
        <v>16</v>
      </c>
      <c r="DY55" t="s">
        <v>99</v>
      </c>
      <c r="DZ55" s="29">
        <f t="shared" ref="DZ55:DZ118" si="84">EA55/$EA$54</f>
        <v>1</v>
      </c>
      <c r="EA55" s="30">
        <v>1.7000000000000001E-2</v>
      </c>
      <c r="EB55" s="30">
        <f t="shared" si="47"/>
        <v>2.741935483870968E-4</v>
      </c>
      <c r="EC55" s="30">
        <f t="shared" si="48"/>
        <v>1.370967741935484E-3</v>
      </c>
      <c r="ED55" s="31">
        <f t="shared" ref="ED55:ED75" si="85">$EK$54-EK55</f>
        <v>65</v>
      </c>
      <c r="EE55" s="33">
        <f t="shared" si="83"/>
        <v>80.246913580246911</v>
      </c>
      <c r="EF55" s="37">
        <f t="shared" si="76"/>
        <v>5.4132833645638145</v>
      </c>
      <c r="EG55" s="37">
        <f>$EK63-EK55</f>
        <v>34</v>
      </c>
      <c r="EH55" s="33">
        <f>(EG55/EK63)*100</f>
        <v>68</v>
      </c>
      <c r="EI55" s="37">
        <f t="shared" si="82"/>
        <v>2.8315636060795337</v>
      </c>
      <c r="EJ55" s="37">
        <f>($EG55/96.06)*8</f>
        <v>2.8315636060795337</v>
      </c>
      <c r="EK55" s="31">
        <v>16</v>
      </c>
      <c r="EL55" s="31">
        <f t="shared" si="50"/>
        <v>0.16656256506350198</v>
      </c>
      <c r="EM55" s="31">
        <f t="shared" si="51"/>
        <v>1.3325005205080158</v>
      </c>
      <c r="EN55" s="32">
        <f t="shared" si="77"/>
        <v>1.3338714882499514</v>
      </c>
      <c r="EO55" s="39">
        <f t="shared" si="81"/>
        <v>6.3890265798333576</v>
      </c>
      <c r="EP55" s="37">
        <f t="shared" si="78"/>
        <v>1.8806138994609513E-2</v>
      </c>
      <c r="EQ55" s="37">
        <f t="shared" si="79"/>
        <v>0.13391559460240315</v>
      </c>
      <c r="ER55" s="37">
        <f t="shared" si="80"/>
        <v>0.84727826640298731</v>
      </c>
      <c r="ES55" s="39">
        <f t="shared" si="53"/>
        <v>3.4846496339861353</v>
      </c>
      <c r="ET55" s="55">
        <f t="shared" si="54"/>
        <v>15.293735726204755</v>
      </c>
      <c r="EU55" s="55">
        <f t="shared" si="55"/>
        <v>3.4480632063762546</v>
      </c>
      <c r="EV55" s="55">
        <f t="shared" si="56"/>
        <v>81.258201067418995</v>
      </c>
      <c r="EW55" t="s">
        <v>199</v>
      </c>
      <c r="EX55" t="s">
        <v>172</v>
      </c>
      <c r="EY55">
        <v>-80</v>
      </c>
      <c r="EZ55" t="s">
        <v>253</v>
      </c>
      <c r="FA55">
        <v>940</v>
      </c>
      <c r="FB55" t="s">
        <v>113</v>
      </c>
      <c r="FC55" t="s">
        <v>88</v>
      </c>
      <c r="FD55" s="39">
        <f t="shared" si="57"/>
        <v>-6.1076963015820809</v>
      </c>
      <c r="FE55" s="39">
        <f t="shared" si="61"/>
        <v>-6.0850934412029698</v>
      </c>
      <c r="FF55" s="39">
        <f t="shared" si="58"/>
        <v>-3.2033193557348589</v>
      </c>
      <c r="FG55" s="39">
        <f t="shared" si="59"/>
        <v>-3.1807164953557474</v>
      </c>
    </row>
    <row r="56" spans="1:163" ht="15.75" x14ac:dyDescent="0.25">
      <c r="A56" s="5" t="s">
        <v>314</v>
      </c>
      <c r="B56" s="5" t="s">
        <v>314</v>
      </c>
      <c r="C56" s="3" t="s">
        <v>845</v>
      </c>
      <c r="D56" s="3" t="s">
        <v>845</v>
      </c>
      <c r="E56" s="3" t="s">
        <v>1163</v>
      </c>
      <c r="F56" s="3" t="s">
        <v>1055</v>
      </c>
      <c r="G56" s="3" t="s">
        <v>773</v>
      </c>
      <c r="H56" s="3" t="str">
        <f t="shared" si="0"/>
        <v>CW_2_Section_5</v>
      </c>
      <c r="I56" s="3" t="str">
        <f t="shared" si="1"/>
        <v>CW_2_EFF</v>
      </c>
      <c r="J56" s="3" t="s">
        <v>1482</v>
      </c>
      <c r="K56" s="3" t="s">
        <v>1482</v>
      </c>
      <c r="L56" s="3" t="s">
        <v>780</v>
      </c>
      <c r="M56" s="3" t="s">
        <v>780</v>
      </c>
      <c r="N56" s="3" t="s">
        <v>1482</v>
      </c>
      <c r="O56" s="12" t="s">
        <v>1016</v>
      </c>
      <c r="P56" s="3" t="s">
        <v>1164</v>
      </c>
      <c r="Q56" s="3" t="s">
        <v>1018</v>
      </c>
      <c r="R56" s="3" t="s">
        <v>1158</v>
      </c>
      <c r="S56" s="3" t="str">
        <f t="shared" si="2"/>
        <v>T2_EFF</v>
      </c>
      <c r="T56" s="13" t="s">
        <v>1159</v>
      </c>
      <c r="U56" s="3" t="s">
        <v>1160</v>
      </c>
      <c r="V56" s="3">
        <v>150</v>
      </c>
      <c r="W56" s="3">
        <v>65</v>
      </c>
      <c r="X56" s="3">
        <v>4.5</v>
      </c>
      <c r="Y56" s="3">
        <v>55</v>
      </c>
      <c r="Z56" t="s">
        <v>538</v>
      </c>
      <c r="AA56" t="s">
        <v>196</v>
      </c>
      <c r="AB56" s="1">
        <v>45643</v>
      </c>
      <c r="AC56">
        <v>11</v>
      </c>
      <c r="AD56">
        <v>12</v>
      </c>
      <c r="AE56">
        <v>670</v>
      </c>
      <c r="AF56" s="37">
        <f t="shared" si="17"/>
        <v>0.2573294072461913</v>
      </c>
      <c r="AG56">
        <v>14</v>
      </c>
      <c r="AH56" s="37">
        <f t="shared" si="18"/>
        <v>5.4699370523116995E-3</v>
      </c>
      <c r="AI56">
        <v>410</v>
      </c>
      <c r="AJ56" s="37">
        <f t="shared" si="19"/>
        <v>0.16219270980502967</v>
      </c>
      <c r="AK56">
        <v>250</v>
      </c>
      <c r="AL56" s="37">
        <f t="shared" si="20"/>
        <v>9.8897993783554669E-2</v>
      </c>
      <c r="AM56">
        <v>200</v>
      </c>
      <c r="AN56" s="37">
        <f t="shared" si="21"/>
        <v>7.9118395026843744E-2</v>
      </c>
      <c r="AO56">
        <v>450</v>
      </c>
      <c r="AQ56" s="59">
        <v>1544</v>
      </c>
      <c r="AR56" s="59">
        <f t="shared" si="22"/>
        <v>0.42499205410353269</v>
      </c>
      <c r="AS56">
        <v>2700</v>
      </c>
      <c r="AT56" s="37">
        <f t="shared" si="23"/>
        <v>1.0111570570336272</v>
      </c>
      <c r="AU56" t="s">
        <v>780</v>
      </c>
      <c r="AV56" t="s">
        <v>780</v>
      </c>
      <c r="AW56" t="s">
        <v>780</v>
      </c>
      <c r="AX56" t="s">
        <v>780</v>
      </c>
      <c r="AY56" t="s">
        <v>780</v>
      </c>
      <c r="AZ56" t="s">
        <v>780</v>
      </c>
      <c r="BA56" t="s">
        <v>780</v>
      </c>
      <c r="BB56" t="s">
        <v>780</v>
      </c>
      <c r="BC56" t="s">
        <v>780</v>
      </c>
      <c r="BD56" t="s">
        <v>780</v>
      </c>
      <c r="BE56" t="s">
        <v>780</v>
      </c>
      <c r="BF56" t="s">
        <v>780</v>
      </c>
      <c r="BG56" t="s">
        <v>780</v>
      </c>
      <c r="BH56" t="s">
        <v>780</v>
      </c>
      <c r="BI56" t="s">
        <v>780</v>
      </c>
      <c r="BJ56" t="s">
        <v>780</v>
      </c>
      <c r="BK56" t="s">
        <v>780</v>
      </c>
      <c r="BL56" t="s">
        <v>780</v>
      </c>
      <c r="BM56" t="s">
        <v>780</v>
      </c>
      <c r="BN56" t="s">
        <v>780</v>
      </c>
      <c r="BO56" s="58">
        <v>350</v>
      </c>
      <c r="BP56" s="58">
        <v>110</v>
      </c>
      <c r="BQ56" s="58">
        <v>100</v>
      </c>
      <c r="BR56" s="58">
        <v>44</v>
      </c>
      <c r="BS56" s="58">
        <v>3.1</v>
      </c>
      <c r="BT56" s="58">
        <v>0.5</v>
      </c>
      <c r="BU56" s="58">
        <v>0.04</v>
      </c>
      <c r="BV56" s="58">
        <v>0.04</v>
      </c>
      <c r="BW56" s="31">
        <f t="shared" si="24"/>
        <v>0.13107591480065539</v>
      </c>
      <c r="BX56" s="31">
        <f t="shared" si="25"/>
        <v>4.0475721138051118E-2</v>
      </c>
      <c r="BY56" s="31">
        <f t="shared" si="26"/>
        <v>3.7611049867064393E-2</v>
      </c>
      <c r="BZ56" s="31">
        <f t="shared" si="27"/>
        <v>1.6411984117434726E-2</v>
      </c>
      <c r="CA56" s="31">
        <f t="shared" si="28"/>
        <v>1.1479548897492004E-3</v>
      </c>
      <c r="CB56" s="31">
        <f t="shared" si="29"/>
        <v>1.851540144756775E-4</v>
      </c>
      <c r="CC56" s="31">
        <f t="shared" si="30"/>
        <v>1.4635352286773795E-5</v>
      </c>
      <c r="CD56" s="31">
        <f t="shared" si="31"/>
        <v>1.4635352286773795E-5</v>
      </c>
      <c r="CE56">
        <v>1E-3</v>
      </c>
      <c r="CF56">
        <v>1E-3</v>
      </c>
      <c r="CG56">
        <v>2E-3</v>
      </c>
      <c r="CH56">
        <v>1E-3</v>
      </c>
      <c r="CI56">
        <v>1E-3</v>
      </c>
      <c r="CK56">
        <v>2E-3</v>
      </c>
      <c r="CL56">
        <v>1E-3</v>
      </c>
      <c r="CM56">
        <v>1E-3</v>
      </c>
      <c r="CN56" s="58">
        <f t="shared" si="60"/>
        <v>607.67999999999995</v>
      </c>
      <c r="CO56" s="58">
        <f t="shared" si="32"/>
        <v>257.68000000000006</v>
      </c>
      <c r="CP56" s="31">
        <f t="shared" si="33"/>
        <v>0.22693704953200405</v>
      </c>
      <c r="CQ56" s="31">
        <f t="shared" si="34"/>
        <v>9.5861134731348649E-2</v>
      </c>
      <c r="CR56">
        <v>600</v>
      </c>
      <c r="CS56">
        <v>4600</v>
      </c>
      <c r="CT56">
        <v>1400</v>
      </c>
      <c r="CU56" t="s">
        <v>69</v>
      </c>
      <c r="CV56" t="s">
        <v>69</v>
      </c>
      <c r="CW56">
        <v>6000</v>
      </c>
      <c r="CX56" s="2">
        <f t="shared" si="68"/>
        <v>2144</v>
      </c>
      <c r="CZ56">
        <v>67</v>
      </c>
      <c r="DA56" t="s">
        <v>62</v>
      </c>
      <c r="DB56" t="s">
        <v>88</v>
      </c>
      <c r="DC56" t="s">
        <v>782</v>
      </c>
      <c r="DD56" s="37">
        <f t="shared" si="69"/>
        <v>15.113887153862169</v>
      </c>
      <c r="DE56" s="37">
        <f t="shared" si="63"/>
        <v>15.113887153862169</v>
      </c>
      <c r="DF56" s="37">
        <v>1.4</v>
      </c>
      <c r="DG56" s="37">
        <f t="shared" si="70"/>
        <v>2.506714413607878E-2</v>
      </c>
      <c r="DH56" s="37">
        <f t="shared" si="36"/>
        <v>2.506714413607878E-2</v>
      </c>
      <c r="DI56" s="37">
        <f t="shared" si="71"/>
        <v>16.513887153862168</v>
      </c>
      <c r="DJ56" s="37">
        <f t="shared" si="37"/>
        <v>0.29568284966628772</v>
      </c>
      <c r="DK56" s="37">
        <f t="shared" si="38"/>
        <v>0.29568284966628772</v>
      </c>
      <c r="DL56" s="55">
        <f t="shared" si="39"/>
        <v>-7.5569435769310846</v>
      </c>
      <c r="DN56" s="37">
        <f t="shared" si="40"/>
        <v>1.4</v>
      </c>
      <c r="DO56" s="55">
        <f t="shared" si="41"/>
        <v>2.506714413607878E-2</v>
      </c>
      <c r="DP56" s="55">
        <f t="shared" si="42"/>
        <v>2.506714413607878E-2</v>
      </c>
      <c r="DQ56" s="37">
        <v>1.2</v>
      </c>
      <c r="DR56" s="37">
        <f t="shared" si="43"/>
        <v>2.1845985800109231E-2</v>
      </c>
      <c r="DS56" s="37">
        <f t="shared" si="44"/>
        <v>4.3691971600218461E-2</v>
      </c>
      <c r="DT56" s="37">
        <f t="shared" si="72"/>
        <v>13.53488244347432</v>
      </c>
      <c r="DU56" s="37">
        <f t="shared" si="73"/>
        <v>6.76744122173716</v>
      </c>
      <c r="DV56" s="37">
        <f t="shared" si="74"/>
        <v>17.713887153862167</v>
      </c>
      <c r="DW56" s="37">
        <f t="shared" si="75"/>
        <v>0.3393748212665062</v>
      </c>
      <c r="DX56">
        <v>26</v>
      </c>
      <c r="DY56" t="s">
        <v>58</v>
      </c>
      <c r="DZ56" s="29">
        <f t="shared" si="84"/>
        <v>1</v>
      </c>
      <c r="EA56" s="30">
        <v>1.7000000000000001E-2</v>
      </c>
      <c r="EB56" s="30">
        <f t="shared" si="47"/>
        <v>2.741935483870968E-4</v>
      </c>
      <c r="EC56" s="30">
        <f t="shared" si="48"/>
        <v>1.370967741935484E-3</v>
      </c>
      <c r="ED56" s="31">
        <f t="shared" si="85"/>
        <v>26</v>
      </c>
      <c r="EE56" s="33">
        <f t="shared" si="83"/>
        <v>32.098765432098766</v>
      </c>
      <c r="EF56" s="37">
        <f t="shared" si="76"/>
        <v>2.1653133458255258</v>
      </c>
      <c r="EG56" s="37">
        <f>$EK69-EK56</f>
        <v>-13</v>
      </c>
      <c r="EH56" s="33">
        <f>(EG56/EK69)*100</f>
        <v>-30.952380952380953</v>
      </c>
      <c r="EI56" s="37">
        <f t="shared" si="82"/>
        <v>-1.0826566729127629</v>
      </c>
      <c r="EJ56" s="37"/>
      <c r="EK56" s="31">
        <v>55</v>
      </c>
      <c r="EL56" s="31">
        <f t="shared" si="50"/>
        <v>0.57255881740578807</v>
      </c>
      <c r="EM56" s="31">
        <f t="shared" si="51"/>
        <v>4.5804705392463045</v>
      </c>
      <c r="EN56" s="32">
        <f t="shared" si="77"/>
        <v>4.5818415069882397</v>
      </c>
      <c r="EO56" s="39">
        <f t="shared" si="81"/>
        <v>2.504688167092032</v>
      </c>
      <c r="EP56" s="37">
        <f t="shared" si="78"/>
        <v>1.7444076342223981E-2</v>
      </c>
      <c r="EQ56" s="37">
        <f t="shared" si="79"/>
        <v>0.11805176131349654</v>
      </c>
      <c r="ER56" s="37">
        <f t="shared" si="80"/>
        <v>0.86450416234427951</v>
      </c>
      <c r="ES56" s="39">
        <f t="shared" si="53"/>
        <v>6.8759115736297241E-2</v>
      </c>
      <c r="ET56" s="55">
        <f t="shared" si="54"/>
        <v>36.456466706488037</v>
      </c>
      <c r="EU56" s="55">
        <f t="shared" si="55"/>
        <v>63.54353329351197</v>
      </c>
      <c r="EV56" s="55">
        <f t="shared" si="56"/>
        <v>0</v>
      </c>
      <c r="EW56" t="s">
        <v>499</v>
      </c>
      <c r="EX56" t="s">
        <v>256</v>
      </c>
      <c r="EY56">
        <v>-87</v>
      </c>
      <c r="EZ56" t="s">
        <v>217</v>
      </c>
      <c r="FA56">
        <v>615</v>
      </c>
      <c r="FB56" t="s">
        <v>113</v>
      </c>
      <c r="FC56" t="s">
        <v>88</v>
      </c>
      <c r="FD56" s="39">
        <f t="shared" si="57"/>
        <v>-1.0685390559548722</v>
      </c>
      <c r="FE56" s="39">
        <f t="shared" si="61"/>
        <v>-0.97267792122352348</v>
      </c>
      <c r="FF56" s="39">
        <f t="shared" si="58"/>
        <v>1.3673899954008626</v>
      </c>
      <c r="FG56" s="39">
        <f t="shared" si="59"/>
        <v>1.4632511301322113</v>
      </c>
    </row>
    <row r="57" spans="1:163" ht="15.75" x14ac:dyDescent="0.25">
      <c r="A57" s="5" t="s">
        <v>315</v>
      </c>
      <c r="B57" s="5" t="s">
        <v>315</v>
      </c>
      <c r="C57" s="3" t="s">
        <v>846</v>
      </c>
      <c r="D57" s="3" t="s">
        <v>846</v>
      </c>
      <c r="E57" s="3" t="s">
        <v>1165</v>
      </c>
      <c r="F57" s="3" t="s">
        <v>1055</v>
      </c>
      <c r="G57" s="3" t="s">
        <v>774</v>
      </c>
      <c r="H57" s="3" t="str">
        <f t="shared" si="0"/>
        <v>CW_3_Section_5</v>
      </c>
      <c r="I57" s="3" t="str">
        <f t="shared" si="1"/>
        <v>CW_3_EFF</v>
      </c>
      <c r="J57" s="3" t="s">
        <v>1482</v>
      </c>
      <c r="K57" s="3" t="s">
        <v>1482</v>
      </c>
      <c r="L57" s="3" t="s">
        <v>780</v>
      </c>
      <c r="M57" s="3" t="s">
        <v>780</v>
      </c>
      <c r="N57" s="3" t="s">
        <v>1482</v>
      </c>
      <c r="O57" s="12" t="s">
        <v>1016</v>
      </c>
      <c r="P57" s="3" t="s">
        <v>1166</v>
      </c>
      <c r="Q57" s="3" t="s">
        <v>1018</v>
      </c>
      <c r="R57" s="3" t="s">
        <v>1158</v>
      </c>
      <c r="S57" s="3" t="str">
        <f t="shared" si="2"/>
        <v>T2_EFF</v>
      </c>
      <c r="T57" s="13" t="s">
        <v>1159</v>
      </c>
      <c r="U57" s="3" t="s">
        <v>1160</v>
      </c>
      <c r="V57" s="3">
        <v>150</v>
      </c>
      <c r="W57" s="3">
        <v>65</v>
      </c>
      <c r="X57" s="3">
        <v>7.3</v>
      </c>
      <c r="Y57" s="3">
        <v>56</v>
      </c>
      <c r="Z57" t="s">
        <v>539</v>
      </c>
      <c r="AA57" t="s">
        <v>236</v>
      </c>
      <c r="AB57" s="1">
        <v>45643</v>
      </c>
      <c r="AC57">
        <v>10</v>
      </c>
      <c r="AD57">
        <v>10</v>
      </c>
      <c r="AE57">
        <v>230</v>
      </c>
      <c r="AF57" s="37">
        <f t="shared" si="17"/>
        <v>8.833696069645372E-2</v>
      </c>
      <c r="AG57">
        <v>6.8</v>
      </c>
      <c r="AH57" s="37">
        <f t="shared" si="18"/>
        <v>2.6568265682656825E-3</v>
      </c>
      <c r="AI57">
        <v>190</v>
      </c>
      <c r="AJ57" s="37">
        <f t="shared" si="19"/>
        <v>7.5162475275501545E-2</v>
      </c>
      <c r="AK57">
        <v>65</v>
      </c>
      <c r="AL57" s="37">
        <f t="shared" si="20"/>
        <v>2.5713478383724217E-2</v>
      </c>
      <c r="AM57">
        <v>44</v>
      </c>
      <c r="AN57" s="37">
        <f t="shared" si="21"/>
        <v>1.7406046905905623E-2</v>
      </c>
      <c r="AO57">
        <v>109</v>
      </c>
      <c r="AQ57" s="59">
        <v>535.79999999999995</v>
      </c>
      <c r="AR57" s="59">
        <f t="shared" si="22"/>
        <v>0.16615626254022095</v>
      </c>
      <c r="AS57">
        <v>1100</v>
      </c>
      <c r="AT57" s="37">
        <f t="shared" si="23"/>
        <v>0.41195287508777401</v>
      </c>
      <c r="AU57" t="s">
        <v>780</v>
      </c>
      <c r="AV57" t="s">
        <v>780</v>
      </c>
      <c r="AW57" t="s">
        <v>780</v>
      </c>
      <c r="AX57" t="s">
        <v>780</v>
      </c>
      <c r="AY57" t="s">
        <v>780</v>
      </c>
      <c r="AZ57" t="s">
        <v>780</v>
      </c>
      <c r="BA57" t="s">
        <v>780</v>
      </c>
      <c r="BB57" t="s">
        <v>780</v>
      </c>
      <c r="BC57" t="s">
        <v>780</v>
      </c>
      <c r="BD57" t="s">
        <v>780</v>
      </c>
      <c r="BE57" t="s">
        <v>780</v>
      </c>
      <c r="BF57" t="s">
        <v>780</v>
      </c>
      <c r="BG57" t="s">
        <v>780</v>
      </c>
      <c r="BH57" t="s">
        <v>780</v>
      </c>
      <c r="BI57" t="s">
        <v>780</v>
      </c>
      <c r="BJ57" t="s">
        <v>780</v>
      </c>
      <c r="BK57" t="s">
        <v>780</v>
      </c>
      <c r="BL57" t="s">
        <v>780</v>
      </c>
      <c r="BM57" t="s">
        <v>780</v>
      </c>
      <c r="BN57" t="s">
        <v>780</v>
      </c>
      <c r="BO57" s="58">
        <v>0.79</v>
      </c>
      <c r="BP57" s="58">
        <v>1.8</v>
      </c>
      <c r="BQ57" s="58">
        <v>5.5</v>
      </c>
      <c r="BR57" s="58">
        <v>1.8</v>
      </c>
      <c r="BS57" s="58">
        <v>0.35</v>
      </c>
      <c r="BT57" s="58">
        <v>7.0000000000000007E-2</v>
      </c>
      <c r="BU57" s="58">
        <v>1E-3</v>
      </c>
      <c r="BV57" s="58">
        <v>2E-3</v>
      </c>
      <c r="BW57" s="31">
        <f t="shared" si="24"/>
        <v>2.9585706483576502E-4</v>
      </c>
      <c r="BX57" s="31">
        <f t="shared" si="25"/>
        <v>6.6232998225901839E-4</v>
      </c>
      <c r="BY57" s="31">
        <f t="shared" si="26"/>
        <v>2.0686077426885418E-3</v>
      </c>
      <c r="BZ57" s="31">
        <f t="shared" si="27"/>
        <v>6.7139935025869329E-4</v>
      </c>
      <c r="CA57" s="31">
        <f t="shared" si="28"/>
        <v>1.2960781013297422E-4</v>
      </c>
      <c r="CB57" s="31">
        <f t="shared" si="29"/>
        <v>2.5921562026594851E-5</v>
      </c>
      <c r="CC57" s="31">
        <f t="shared" si="30"/>
        <v>3.6588380716934485E-7</v>
      </c>
      <c r="CD57" s="31">
        <f t="shared" si="31"/>
        <v>7.3176761433868969E-7</v>
      </c>
      <c r="CE57">
        <v>1E-3</v>
      </c>
      <c r="CF57">
        <v>1E-3</v>
      </c>
      <c r="CG57">
        <v>2E-3</v>
      </c>
      <c r="CH57">
        <v>1E-3</v>
      </c>
      <c r="CI57">
        <v>1E-3</v>
      </c>
      <c r="CK57">
        <v>2E-3</v>
      </c>
      <c r="CL57">
        <v>1E-3</v>
      </c>
      <c r="CM57">
        <v>1E-3</v>
      </c>
      <c r="CN57" s="58">
        <f t="shared" si="60"/>
        <v>10.313000000000001</v>
      </c>
      <c r="CO57" s="58">
        <f t="shared" si="32"/>
        <v>9.5229999999999997</v>
      </c>
      <c r="CP57" s="31">
        <f t="shared" si="33"/>
        <v>3.8548211636230956E-3</v>
      </c>
      <c r="CQ57" s="31">
        <f t="shared" si="34"/>
        <v>3.5589640987873307E-3</v>
      </c>
      <c r="CR57">
        <v>10</v>
      </c>
      <c r="CS57">
        <v>1500</v>
      </c>
      <c r="CT57">
        <v>410</v>
      </c>
      <c r="CU57">
        <v>55</v>
      </c>
      <c r="CV57" t="s">
        <v>69</v>
      </c>
      <c r="CW57">
        <v>2000</v>
      </c>
      <c r="CX57" s="2">
        <f t="shared" si="68"/>
        <v>545.79999999999995</v>
      </c>
      <c r="CZ57">
        <v>51</v>
      </c>
      <c r="DA57" t="s">
        <v>62</v>
      </c>
      <c r="DB57" t="s">
        <v>88</v>
      </c>
      <c r="DC57" t="s">
        <v>782</v>
      </c>
      <c r="DD57" s="37">
        <f t="shared" si="69"/>
        <v>29.065167603581095</v>
      </c>
      <c r="DE57" s="37">
        <f t="shared" si="63"/>
        <v>29.065167603581095</v>
      </c>
      <c r="DF57" s="37">
        <v>1.1000000000000001</v>
      </c>
      <c r="DG57" s="37">
        <f t="shared" si="70"/>
        <v>1.9695613249776187E-2</v>
      </c>
      <c r="DH57" s="37">
        <f t="shared" si="36"/>
        <v>1.9695613249776187E-2</v>
      </c>
      <c r="DI57" s="37">
        <f t="shared" si="71"/>
        <v>30.165167603581097</v>
      </c>
      <c r="DJ57" s="37">
        <f t="shared" si="37"/>
        <v>0.54011043157710104</v>
      </c>
      <c r="DK57" s="37">
        <f t="shared" si="38"/>
        <v>0.54011043157710104</v>
      </c>
      <c r="DL57" s="55">
        <f t="shared" si="39"/>
        <v>8.7195502810743282</v>
      </c>
      <c r="DM57" s="55">
        <f t="shared" si="39"/>
        <v>8.7195502810743282</v>
      </c>
      <c r="DN57" s="37">
        <f t="shared" si="40"/>
        <v>9.8195502810743278</v>
      </c>
      <c r="DO57" s="55">
        <f t="shared" si="41"/>
        <v>0.17582005874797363</v>
      </c>
      <c r="DP57" s="55">
        <f t="shared" si="42"/>
        <v>0.17582005874797363</v>
      </c>
      <c r="DQ57" s="37">
        <v>0.5</v>
      </c>
      <c r="DR57" s="37">
        <f t="shared" si="43"/>
        <v>9.1024940833788464E-3</v>
      </c>
      <c r="DS57" s="37">
        <f t="shared" si="44"/>
        <v>1.8204988166757693E-2</v>
      </c>
      <c r="DT57" s="37">
        <f t="shared" si="72"/>
        <v>59.336532013060314</v>
      </c>
      <c r="DU57" s="37">
        <f t="shared" si="73"/>
        <v>29.668266006530157</v>
      </c>
      <c r="DV57" s="37">
        <f t="shared" si="74"/>
        <v>30.665167603581097</v>
      </c>
      <c r="DW57" s="37">
        <f t="shared" si="75"/>
        <v>0.55831541974385868</v>
      </c>
      <c r="DX57">
        <v>22</v>
      </c>
      <c r="DY57" t="s">
        <v>66</v>
      </c>
      <c r="DZ57" s="29">
        <f t="shared" si="84"/>
        <v>1</v>
      </c>
      <c r="EA57" s="30">
        <v>1.7000000000000001E-2</v>
      </c>
      <c r="EB57" s="30">
        <f t="shared" si="47"/>
        <v>2.741935483870968E-4</v>
      </c>
      <c r="EC57" s="30">
        <f t="shared" si="48"/>
        <v>1.370967741935484E-3</v>
      </c>
      <c r="ED57" s="31">
        <f t="shared" si="85"/>
        <v>50</v>
      </c>
      <c r="EE57" s="33">
        <f t="shared" si="83"/>
        <v>61.728395061728392</v>
      </c>
      <c r="EF57" s="37">
        <f t="shared" si="76"/>
        <v>4.1640641265875491</v>
      </c>
      <c r="EG57" s="37">
        <f>$EK75-EK57</f>
        <v>15</v>
      </c>
      <c r="EH57" s="33">
        <f>(EG57/EK75)*100</f>
        <v>32.608695652173914</v>
      </c>
      <c r="EI57" s="37">
        <f t="shared" si="82"/>
        <v>1.2492192379762648</v>
      </c>
      <c r="EJ57" s="37">
        <f t="shared" ref="EJ57:EJ62" si="86">($EG57/96.06)*8</f>
        <v>1.2492192379762648</v>
      </c>
      <c r="EK57" s="31">
        <v>31</v>
      </c>
      <c r="EL57" s="31">
        <f t="shared" si="50"/>
        <v>0.3227149698105351</v>
      </c>
      <c r="EM57" s="31">
        <f t="shared" si="51"/>
        <v>2.5817197584842808</v>
      </c>
      <c r="EN57" s="32">
        <f t="shared" si="77"/>
        <v>2.5830907262262164</v>
      </c>
      <c r="EO57" s="39">
        <f t="shared" si="81"/>
        <v>4.7223795463314078</v>
      </c>
      <c r="EP57" s="37">
        <f t="shared" si="78"/>
        <v>3.8550455312090031E-3</v>
      </c>
      <c r="EQ57" s="37">
        <f t="shared" si="79"/>
        <v>0.11437251628719407</v>
      </c>
      <c r="ER57" s="37">
        <f t="shared" si="80"/>
        <v>0.8817724381815969</v>
      </c>
      <c r="ES57" s="39">
        <f t="shared" si="53"/>
        <v>1.4432442848909961</v>
      </c>
      <c r="ET57" s="55">
        <f t="shared" si="54"/>
        <v>12.182279922296924</v>
      </c>
      <c r="EU57" s="55">
        <f t="shared" si="55"/>
        <v>1.2613934007805658</v>
      </c>
      <c r="EV57" s="55">
        <f t="shared" si="56"/>
        <v>86.556326676922509</v>
      </c>
      <c r="EW57" t="s">
        <v>230</v>
      </c>
      <c r="EX57" t="s">
        <v>256</v>
      </c>
      <c r="EY57">
        <v>-82</v>
      </c>
      <c r="EZ57" t="s">
        <v>503</v>
      </c>
      <c r="FA57">
        <v>799</v>
      </c>
      <c r="FB57" t="s">
        <v>113</v>
      </c>
      <c r="FC57" t="s">
        <v>88</v>
      </c>
      <c r="FD57" s="39">
        <f t="shared" si="57"/>
        <v>-4.144270408703413</v>
      </c>
      <c r="FE57" s="39">
        <f t="shared" si="61"/>
        <v>-4.1407114446046256</v>
      </c>
      <c r="FF57" s="39">
        <f t="shared" si="58"/>
        <v>-0.86513514726300111</v>
      </c>
      <c r="FG57" s="39">
        <f t="shared" si="59"/>
        <v>-0.8615761831642138</v>
      </c>
    </row>
    <row r="58" spans="1:163" ht="15.75" x14ac:dyDescent="0.25">
      <c r="A58" s="5" t="s">
        <v>316</v>
      </c>
      <c r="B58" s="5" t="s">
        <v>316</v>
      </c>
      <c r="C58" s="3" t="s">
        <v>847</v>
      </c>
      <c r="D58" s="3" t="s">
        <v>847</v>
      </c>
      <c r="E58" s="3" t="s">
        <v>1167</v>
      </c>
      <c r="F58" s="3" t="s">
        <v>1013</v>
      </c>
      <c r="G58" s="3" t="s">
        <v>772</v>
      </c>
      <c r="H58" s="3" t="str">
        <f t="shared" si="0"/>
        <v>CW_1_Section_1</v>
      </c>
      <c r="I58" s="3" t="str">
        <f t="shared" si="1"/>
        <v>CW_1_MF01</v>
      </c>
      <c r="J58" s="3" t="s">
        <v>1488</v>
      </c>
      <c r="K58" s="3" t="s">
        <v>1484</v>
      </c>
      <c r="L58" s="11" t="s">
        <v>1014</v>
      </c>
      <c r="M58" s="3" t="s">
        <v>1015</v>
      </c>
      <c r="N58" s="3" t="s">
        <v>1015</v>
      </c>
      <c r="O58" s="12" t="s">
        <v>1016</v>
      </c>
      <c r="P58" s="3" t="s">
        <v>1168</v>
      </c>
      <c r="Q58" s="3" t="s">
        <v>1018</v>
      </c>
      <c r="R58" s="3" t="s">
        <v>1158</v>
      </c>
      <c r="S58" s="3" t="str">
        <f t="shared" si="2"/>
        <v>T2_0.15-0.30</v>
      </c>
      <c r="T58" s="13" t="s">
        <v>1159</v>
      </c>
      <c r="U58" s="3" t="s">
        <v>1160</v>
      </c>
      <c r="V58" s="3">
        <v>150</v>
      </c>
      <c r="W58" s="3">
        <v>65</v>
      </c>
      <c r="X58" s="3">
        <v>13.5</v>
      </c>
      <c r="Y58" s="3">
        <v>57</v>
      </c>
      <c r="Z58" t="s">
        <v>512</v>
      </c>
      <c r="AA58" t="s">
        <v>137</v>
      </c>
      <c r="AB58" s="1">
        <v>45643</v>
      </c>
      <c r="AC58">
        <v>11</v>
      </c>
      <c r="AD58">
        <v>11</v>
      </c>
      <c r="AE58">
        <v>480</v>
      </c>
      <c r="AF58" s="37">
        <f t="shared" si="17"/>
        <v>0.18435539623607733</v>
      </c>
      <c r="AG58">
        <v>1</v>
      </c>
      <c r="AH58" s="37">
        <f t="shared" si="18"/>
        <v>3.9070978945083569E-4</v>
      </c>
      <c r="AI58">
        <v>480</v>
      </c>
      <c r="AJ58" s="37">
        <f t="shared" si="19"/>
        <v>0.189884148064425</v>
      </c>
      <c r="AK58">
        <v>270</v>
      </c>
      <c r="AL58" s="37">
        <f t="shared" si="20"/>
        <v>0.10680983328623904</v>
      </c>
      <c r="AM58">
        <v>140</v>
      </c>
      <c r="AN58" s="37">
        <f t="shared" si="21"/>
        <v>5.5382876518790619E-2</v>
      </c>
      <c r="AO58">
        <v>410</v>
      </c>
      <c r="AQ58" s="59">
        <v>1377</v>
      </c>
      <c r="AR58" s="59">
        <f t="shared" si="22"/>
        <v>0.37463025408995315</v>
      </c>
      <c r="AS58">
        <v>1600</v>
      </c>
      <c r="AT58" s="37">
        <f t="shared" si="23"/>
        <v>0.59920418194585312</v>
      </c>
      <c r="AU58" t="s">
        <v>780</v>
      </c>
      <c r="AV58" t="s">
        <v>780</v>
      </c>
      <c r="AW58" t="s">
        <v>780</v>
      </c>
      <c r="AX58" t="s">
        <v>780</v>
      </c>
      <c r="AY58" t="s">
        <v>780</v>
      </c>
      <c r="AZ58" t="s">
        <v>780</v>
      </c>
      <c r="BA58" t="s">
        <v>780</v>
      </c>
      <c r="BB58" t="s">
        <v>780</v>
      </c>
      <c r="BC58" t="s">
        <v>780</v>
      </c>
      <c r="BD58" t="s">
        <v>780</v>
      </c>
      <c r="BE58" t="s">
        <v>780</v>
      </c>
      <c r="BF58" t="s">
        <v>780</v>
      </c>
      <c r="BG58" t="s">
        <v>780</v>
      </c>
      <c r="BH58" t="s">
        <v>780</v>
      </c>
      <c r="BI58" t="s">
        <v>780</v>
      </c>
      <c r="BJ58" t="s">
        <v>780</v>
      </c>
      <c r="BK58" t="s">
        <v>780</v>
      </c>
      <c r="BL58" t="s">
        <v>780</v>
      </c>
      <c r="BM58" t="s">
        <v>780</v>
      </c>
      <c r="BN58" t="s">
        <v>780</v>
      </c>
      <c r="BO58" s="58">
        <v>4.8</v>
      </c>
      <c r="BP58" s="58">
        <v>0.01</v>
      </c>
      <c r="BQ58" s="58">
        <v>0.16</v>
      </c>
      <c r="BR58" s="58">
        <v>0.1</v>
      </c>
      <c r="BS58" s="58">
        <v>0.09</v>
      </c>
      <c r="BT58" s="58">
        <v>0.01</v>
      </c>
      <c r="BU58" s="58">
        <v>0.01</v>
      </c>
      <c r="BV58" s="58">
        <v>2E-3</v>
      </c>
      <c r="BW58" s="31">
        <f t="shared" si="24"/>
        <v>1.7976125458375593E-3</v>
      </c>
      <c r="BX58" s="31">
        <f t="shared" si="25"/>
        <v>3.6796110125501018E-6</v>
      </c>
      <c r="BY58" s="31">
        <f t="shared" si="26"/>
        <v>6.0177679787303031E-5</v>
      </c>
      <c r="BZ58" s="31">
        <f t="shared" si="27"/>
        <v>3.729996390326074E-5</v>
      </c>
      <c r="CA58" s="31">
        <f t="shared" si="28"/>
        <v>3.3327722605621947E-5</v>
      </c>
      <c r="CB58" s="31">
        <f t="shared" si="29"/>
        <v>3.7030802895135499E-6</v>
      </c>
      <c r="CC58" s="31">
        <f t="shared" si="30"/>
        <v>3.6588380716934487E-6</v>
      </c>
      <c r="CD58" s="31">
        <f t="shared" si="31"/>
        <v>7.3176761433868969E-7</v>
      </c>
      <c r="CE58">
        <v>1E-3</v>
      </c>
      <c r="CF58">
        <v>1E-3</v>
      </c>
      <c r="CG58">
        <v>2E-3</v>
      </c>
      <c r="CH58">
        <v>1E-3</v>
      </c>
      <c r="CI58">
        <v>1E-3</v>
      </c>
      <c r="CK58">
        <v>2E-3</v>
      </c>
      <c r="CL58">
        <v>1E-3</v>
      </c>
      <c r="CM58">
        <v>1E-3</v>
      </c>
      <c r="CN58" s="58">
        <f t="shared" si="60"/>
        <v>5.1819999999999986</v>
      </c>
      <c r="CO58" s="58">
        <f t="shared" si="32"/>
        <v>0.38200000000000001</v>
      </c>
      <c r="CP58" s="31">
        <f t="shared" si="33"/>
        <v>1.9401912091218411E-3</v>
      </c>
      <c r="CQ58" s="31">
        <f t="shared" si="34"/>
        <v>1.4257866328428151E-4</v>
      </c>
      <c r="CR58">
        <v>5.2</v>
      </c>
      <c r="CS58">
        <v>2000</v>
      </c>
      <c r="CT58">
        <v>35</v>
      </c>
      <c r="CU58" t="s">
        <v>69</v>
      </c>
      <c r="CV58" t="s">
        <v>69</v>
      </c>
      <c r="CW58">
        <v>2100</v>
      </c>
      <c r="CX58" s="2">
        <f t="shared" si="68"/>
        <v>1382.2</v>
      </c>
      <c r="CZ58">
        <v>67</v>
      </c>
      <c r="DA58" t="s">
        <v>62</v>
      </c>
      <c r="DB58" t="s">
        <v>88</v>
      </c>
      <c r="DC58" t="s">
        <v>782</v>
      </c>
      <c r="DD58" s="37">
        <f t="shared" si="69"/>
        <v>28.483864251509473</v>
      </c>
      <c r="DE58" s="37">
        <f t="shared" si="63"/>
        <v>28.483864251509473</v>
      </c>
      <c r="DF58" s="37">
        <v>23</v>
      </c>
      <c r="DG58" s="37">
        <f t="shared" si="70"/>
        <v>0.41181736794986568</v>
      </c>
      <c r="DH58" s="37">
        <f t="shared" si="36"/>
        <v>0.41181736794986568</v>
      </c>
      <c r="DI58" s="37">
        <f t="shared" si="71"/>
        <v>51.483864251509473</v>
      </c>
      <c r="DJ58" s="37">
        <f t="shared" si="37"/>
        <v>0.92182388991064412</v>
      </c>
      <c r="DK58" s="37">
        <f t="shared" si="38"/>
        <v>0.92182388991064412</v>
      </c>
      <c r="DL58" s="55">
        <f t="shared" si="39"/>
        <v>28.483864251509473</v>
      </c>
      <c r="DM58" s="55">
        <f t="shared" si="39"/>
        <v>28.483864251509473</v>
      </c>
      <c r="DN58" s="37">
        <f t="shared" si="40"/>
        <v>51.483864251509473</v>
      </c>
      <c r="DO58" s="55">
        <f t="shared" si="41"/>
        <v>0.92182388991064412</v>
      </c>
      <c r="DP58" s="55">
        <f t="shared" si="42"/>
        <v>0.92182388991064412</v>
      </c>
      <c r="DQ58" s="37">
        <v>3.9</v>
      </c>
      <c r="DR58" s="37">
        <f t="shared" si="43"/>
        <v>7.0999453850354999E-2</v>
      </c>
      <c r="DS58" s="37">
        <f t="shared" si="44"/>
        <v>0.14199890770071</v>
      </c>
      <c r="DT58" s="37">
        <f t="shared" si="72"/>
        <v>12.983534941741457</v>
      </c>
      <c r="DU58" s="37">
        <f t="shared" si="73"/>
        <v>6.4917674708707285</v>
      </c>
      <c r="DV58" s="37">
        <f t="shared" si="74"/>
        <v>55.383864251509472</v>
      </c>
      <c r="DW58" s="37">
        <f t="shared" si="75"/>
        <v>1.0638227976113541</v>
      </c>
      <c r="DX58">
        <v>27</v>
      </c>
      <c r="DY58" t="s">
        <v>120</v>
      </c>
      <c r="DZ58" s="29">
        <f t="shared" si="84"/>
        <v>1</v>
      </c>
      <c r="EA58" s="30">
        <v>1.7000000000000001E-2</v>
      </c>
      <c r="EB58" s="30">
        <f t="shared" si="47"/>
        <v>2.741935483870968E-4</v>
      </c>
      <c r="EC58" s="30">
        <f t="shared" si="48"/>
        <v>1.370967741935484E-3</v>
      </c>
      <c r="ED58" s="31">
        <f t="shared" si="85"/>
        <v>49</v>
      </c>
      <c r="EE58" s="33">
        <f t="shared" si="83"/>
        <v>60.493827160493829</v>
      </c>
      <c r="EF58" s="37">
        <f t="shared" si="76"/>
        <v>4.0807828440557987</v>
      </c>
      <c r="EG58" s="37">
        <f>$EK54-EK58</f>
        <v>49</v>
      </c>
      <c r="EH58" s="33">
        <f>(EG58/$EK$54)*100</f>
        <v>60.493827160493829</v>
      </c>
      <c r="EI58" s="37">
        <f t="shared" si="82"/>
        <v>4.0807828440557987</v>
      </c>
      <c r="EJ58" s="37">
        <f t="shared" si="86"/>
        <v>4.0807828440557987</v>
      </c>
      <c r="EK58" s="31">
        <v>32</v>
      </c>
      <c r="EL58" s="31">
        <f t="shared" si="50"/>
        <v>0.33312513012700395</v>
      </c>
      <c r="EM58" s="31">
        <f t="shared" si="51"/>
        <v>2.6650010410160316</v>
      </c>
      <c r="EN58" s="32">
        <f t="shared" si="77"/>
        <v>2.6663720087579672</v>
      </c>
      <c r="EO58" s="39">
        <f t="shared" si="81"/>
        <v>5.1446056416671526</v>
      </c>
      <c r="EP58" s="37">
        <f t="shared" si="78"/>
        <v>2.7601514594361418E-2</v>
      </c>
      <c r="EQ58" s="37">
        <f t="shared" si="79"/>
        <v>0.1791826145904391</v>
      </c>
      <c r="ER58" s="37">
        <f t="shared" si="80"/>
        <v>0.79321587081519951</v>
      </c>
      <c r="ES58" s="39">
        <f t="shared" si="53"/>
        <v>5.1446056416671526</v>
      </c>
      <c r="ET58" s="55">
        <f t="shared" si="54"/>
        <v>17.918261459043912</v>
      </c>
      <c r="EU58" s="55">
        <f t="shared" si="55"/>
        <v>2.760151459436142</v>
      </c>
      <c r="EV58" s="55">
        <f t="shared" si="56"/>
        <v>79.321587081519951</v>
      </c>
      <c r="EW58" t="s">
        <v>213</v>
      </c>
      <c r="EX58" t="s">
        <v>256</v>
      </c>
      <c r="EY58">
        <v>-123</v>
      </c>
      <c r="EZ58" t="s">
        <v>514</v>
      </c>
      <c r="FA58">
        <v>965</v>
      </c>
      <c r="FB58" t="s">
        <v>113</v>
      </c>
      <c r="FC58" t="s">
        <v>88</v>
      </c>
      <c r="FD58" s="39">
        <f t="shared" si="57"/>
        <v>-4.1707712056313468</v>
      </c>
      <c r="FE58" s="39">
        <f t="shared" si="61"/>
        <v>-4.1706286269680621</v>
      </c>
      <c r="FF58" s="39">
        <f t="shared" si="58"/>
        <v>-4.1707712056313468</v>
      </c>
      <c r="FG58" s="39">
        <f t="shared" si="59"/>
        <v>-4.1706286269680621</v>
      </c>
    </row>
    <row r="59" spans="1:163" ht="15.75" x14ac:dyDescent="0.25">
      <c r="A59" s="5" t="s">
        <v>317</v>
      </c>
      <c r="B59" s="5" t="s">
        <v>317</v>
      </c>
      <c r="C59" s="3" t="s">
        <v>848</v>
      </c>
      <c r="D59" s="3" t="s">
        <v>848</v>
      </c>
      <c r="E59" s="3" t="s">
        <v>1169</v>
      </c>
      <c r="F59" s="3" t="s">
        <v>1013</v>
      </c>
      <c r="G59" s="3" t="s">
        <v>772</v>
      </c>
      <c r="H59" s="3" t="str">
        <f t="shared" si="0"/>
        <v>CW_1_Section_1</v>
      </c>
      <c r="I59" s="3" t="str">
        <f t="shared" si="1"/>
        <v>CW_1_MF02</v>
      </c>
      <c r="J59" s="3" t="s">
        <v>1489</v>
      </c>
      <c r="K59" s="3" t="s">
        <v>1484</v>
      </c>
      <c r="L59" s="11" t="s">
        <v>1023</v>
      </c>
      <c r="M59" s="3" t="s">
        <v>1024</v>
      </c>
      <c r="N59" s="3" t="s">
        <v>1024</v>
      </c>
      <c r="O59" s="12" t="s">
        <v>1016</v>
      </c>
      <c r="P59" s="3" t="s">
        <v>1170</v>
      </c>
      <c r="Q59" s="3" t="s">
        <v>1018</v>
      </c>
      <c r="R59" s="3" t="s">
        <v>1158</v>
      </c>
      <c r="S59" s="3" t="str">
        <f t="shared" si="2"/>
        <v>T2_0.60-0.80</v>
      </c>
      <c r="T59" s="13" t="s">
        <v>1159</v>
      </c>
      <c r="U59" s="3" t="s">
        <v>1160</v>
      </c>
      <c r="V59" s="3">
        <v>150</v>
      </c>
      <c r="W59" s="3">
        <v>65</v>
      </c>
      <c r="X59" s="3">
        <v>5.3</v>
      </c>
      <c r="Y59" s="3">
        <v>58</v>
      </c>
      <c r="Z59" t="s">
        <v>515</v>
      </c>
      <c r="AA59" t="s">
        <v>153</v>
      </c>
      <c r="AB59" s="1">
        <v>45643</v>
      </c>
      <c r="AC59">
        <v>13</v>
      </c>
      <c r="AD59">
        <v>13</v>
      </c>
      <c r="AE59">
        <v>480</v>
      </c>
      <c r="AF59" s="37">
        <f t="shared" si="17"/>
        <v>0.18435539623607733</v>
      </c>
      <c r="AG59">
        <v>60</v>
      </c>
      <c r="AH59" s="37">
        <f t="shared" si="18"/>
        <v>2.3442587367050141E-2</v>
      </c>
      <c r="AI59">
        <v>360</v>
      </c>
      <c r="AJ59" s="37">
        <f t="shared" si="19"/>
        <v>0.14241311104831872</v>
      </c>
      <c r="AK59">
        <v>190</v>
      </c>
      <c r="AL59" s="37">
        <f t="shared" si="20"/>
        <v>7.5162475275501545E-2</v>
      </c>
      <c r="AM59">
        <v>220</v>
      </c>
      <c r="AN59" s="37">
        <f t="shared" si="21"/>
        <v>8.7030234529528114E-2</v>
      </c>
      <c r="AO59">
        <v>410</v>
      </c>
      <c r="AQ59" s="59">
        <v>1310</v>
      </c>
      <c r="AR59" s="59">
        <f t="shared" si="22"/>
        <v>0.35021109465144618</v>
      </c>
      <c r="AS59">
        <v>2700</v>
      </c>
      <c r="AT59" s="37">
        <f t="shared" si="23"/>
        <v>1.0111570570336272</v>
      </c>
      <c r="AU59" t="s">
        <v>780</v>
      </c>
      <c r="AV59" t="s">
        <v>780</v>
      </c>
      <c r="AW59" t="s">
        <v>780</v>
      </c>
      <c r="AX59" t="s">
        <v>780</v>
      </c>
      <c r="AY59" t="s">
        <v>780</v>
      </c>
      <c r="AZ59" t="s">
        <v>780</v>
      </c>
      <c r="BA59" t="s">
        <v>780</v>
      </c>
      <c r="BB59" t="s">
        <v>780</v>
      </c>
      <c r="BC59" t="s">
        <v>780</v>
      </c>
      <c r="BD59" t="s">
        <v>780</v>
      </c>
      <c r="BE59" t="s">
        <v>780</v>
      </c>
      <c r="BF59" t="s">
        <v>780</v>
      </c>
      <c r="BG59" t="s">
        <v>780</v>
      </c>
      <c r="BH59" t="s">
        <v>780</v>
      </c>
      <c r="BI59" t="s">
        <v>780</v>
      </c>
      <c r="BJ59" t="s">
        <v>780</v>
      </c>
      <c r="BK59" t="s">
        <v>780</v>
      </c>
      <c r="BL59" t="s">
        <v>780</v>
      </c>
      <c r="BM59" t="s">
        <v>780</v>
      </c>
      <c r="BN59" t="s">
        <v>780</v>
      </c>
      <c r="BO59" s="58">
        <v>2600</v>
      </c>
      <c r="BP59" s="58">
        <v>140</v>
      </c>
      <c r="BQ59" s="58">
        <v>140</v>
      </c>
      <c r="BR59" s="58">
        <v>53</v>
      </c>
      <c r="BS59" s="58">
        <v>24</v>
      </c>
      <c r="BT59" s="58">
        <v>4.4000000000000004</v>
      </c>
      <c r="BU59" s="58">
        <v>0.69</v>
      </c>
      <c r="BV59" s="58">
        <v>0.6</v>
      </c>
      <c r="BW59" s="31">
        <f t="shared" si="24"/>
        <v>0.97370679566201146</v>
      </c>
      <c r="BX59" s="31">
        <f t="shared" si="25"/>
        <v>5.1514554175701423E-2</v>
      </c>
      <c r="BY59" s="31">
        <f t="shared" si="26"/>
        <v>5.2655469813890153E-2</v>
      </c>
      <c r="BZ59" s="31">
        <f t="shared" si="27"/>
        <v>1.9768980868728192E-2</v>
      </c>
      <c r="CA59" s="31">
        <f t="shared" si="28"/>
        <v>8.8873926948325205E-3</v>
      </c>
      <c r="CB59" s="31">
        <f t="shared" si="29"/>
        <v>1.629355327385962E-3</v>
      </c>
      <c r="CC59" s="31">
        <f t="shared" si="30"/>
        <v>2.5245982694684793E-4</v>
      </c>
      <c r="CD59" s="31">
        <f t="shared" si="31"/>
        <v>2.1953028430160692E-4</v>
      </c>
      <c r="CE59">
        <v>1E-3</v>
      </c>
      <c r="CF59">
        <v>1E-3</v>
      </c>
      <c r="CG59">
        <v>2E-3</v>
      </c>
      <c r="CH59">
        <v>1E-3</v>
      </c>
      <c r="CI59">
        <v>1E-3</v>
      </c>
      <c r="CK59">
        <v>2E-3</v>
      </c>
      <c r="CL59">
        <v>1E-3</v>
      </c>
      <c r="CM59">
        <v>1E-3</v>
      </c>
      <c r="CN59" s="58">
        <f t="shared" si="60"/>
        <v>2962.69</v>
      </c>
      <c r="CO59" s="58">
        <f t="shared" si="32"/>
        <v>362.69</v>
      </c>
      <c r="CP59" s="31">
        <f t="shared" si="33"/>
        <v>1.1086345386537984</v>
      </c>
      <c r="CQ59" s="31">
        <f t="shared" si="34"/>
        <v>0.1349277429917867</v>
      </c>
      <c r="CR59">
        <v>3000</v>
      </c>
      <c r="CS59">
        <v>5500</v>
      </c>
      <c r="CT59">
        <v>1900</v>
      </c>
      <c r="CU59" t="s">
        <v>69</v>
      </c>
      <c r="CV59" t="s">
        <v>69</v>
      </c>
      <c r="CW59">
        <v>7400</v>
      </c>
      <c r="CX59" s="2">
        <f t="shared" si="68"/>
        <v>4310</v>
      </c>
      <c r="CZ59">
        <v>68</v>
      </c>
      <c r="DA59" t="s">
        <v>62</v>
      </c>
      <c r="DB59" t="s">
        <v>88</v>
      </c>
      <c r="DC59" t="s">
        <v>782</v>
      </c>
      <c r="DD59" s="37">
        <f t="shared" si="69"/>
        <v>7.5569435769310846</v>
      </c>
      <c r="DE59" s="37">
        <f t="shared" si="63"/>
        <v>7.5569435769310846</v>
      </c>
      <c r="DF59" s="37">
        <v>0.4</v>
      </c>
      <c r="DG59" s="37">
        <f t="shared" si="70"/>
        <v>7.162041181736795E-3</v>
      </c>
      <c r="DH59" s="37">
        <f t="shared" si="36"/>
        <v>7.162041181736795E-3</v>
      </c>
      <c r="DI59" s="37">
        <f t="shared" si="71"/>
        <v>7.956943576931085</v>
      </c>
      <c r="DJ59" s="37">
        <f t="shared" si="37"/>
        <v>0.14246989394684126</v>
      </c>
      <c r="DK59" s="37">
        <f t="shared" si="38"/>
        <v>0.14246989394684126</v>
      </c>
      <c r="DL59" s="55">
        <f t="shared" si="39"/>
        <v>7.5569435769310846</v>
      </c>
      <c r="DM59" s="55">
        <f t="shared" si="39"/>
        <v>7.5569435769310846</v>
      </c>
      <c r="DN59" s="37">
        <f t="shared" si="40"/>
        <v>7.956943576931085</v>
      </c>
      <c r="DO59" s="55">
        <f t="shared" si="41"/>
        <v>0.14246989394684126</v>
      </c>
      <c r="DP59" s="55">
        <f t="shared" si="42"/>
        <v>0.14246989394684126</v>
      </c>
      <c r="DQ59" s="37">
        <v>0.9</v>
      </c>
      <c r="DR59" s="37">
        <f t="shared" si="43"/>
        <v>1.6384489350081924E-2</v>
      </c>
      <c r="DS59" s="37">
        <f t="shared" si="44"/>
        <v>3.2768978700163848E-2</v>
      </c>
      <c r="DT59" s="37">
        <f t="shared" si="72"/>
        <v>8.69541252722221</v>
      </c>
      <c r="DU59" s="37">
        <f t="shared" si="73"/>
        <v>4.347706263611105</v>
      </c>
      <c r="DV59" s="37">
        <f t="shared" si="74"/>
        <v>8.8569435769310854</v>
      </c>
      <c r="DW59" s="37">
        <f t="shared" si="75"/>
        <v>0.17523887264700511</v>
      </c>
      <c r="DX59">
        <v>28</v>
      </c>
      <c r="DY59" t="s">
        <v>197</v>
      </c>
      <c r="DZ59" s="29">
        <f t="shared" si="84"/>
        <v>1</v>
      </c>
      <c r="EA59" s="30">
        <v>1.7000000000000001E-2</v>
      </c>
      <c r="EB59" s="30">
        <f t="shared" si="47"/>
        <v>2.741935483870968E-4</v>
      </c>
      <c r="EC59" s="30">
        <f t="shared" si="48"/>
        <v>1.370967741935484E-3</v>
      </c>
      <c r="ED59" s="31">
        <f t="shared" si="85"/>
        <v>13</v>
      </c>
      <c r="EE59" s="33">
        <f t="shared" si="83"/>
        <v>16.049382716049383</v>
      </c>
      <c r="EF59" s="37">
        <f t="shared" si="76"/>
        <v>1.0826566729127629</v>
      </c>
      <c r="EG59" s="37">
        <f>$EK54-EK59</f>
        <v>13</v>
      </c>
      <c r="EH59" s="33">
        <f>(EG59/$EK$54)*100</f>
        <v>16.049382716049383</v>
      </c>
      <c r="EI59" s="37">
        <f t="shared" si="82"/>
        <v>1.0826566729127629</v>
      </c>
      <c r="EJ59" s="37">
        <f t="shared" si="86"/>
        <v>1.0826566729127629</v>
      </c>
      <c r="EK59" s="31">
        <v>68</v>
      </c>
      <c r="EL59" s="31">
        <f t="shared" si="50"/>
        <v>0.70789090151988343</v>
      </c>
      <c r="EM59" s="31">
        <f t="shared" si="51"/>
        <v>5.6631272121590674</v>
      </c>
      <c r="EN59" s="32">
        <f t="shared" si="77"/>
        <v>5.6644981799010026</v>
      </c>
      <c r="EO59" s="39">
        <f t="shared" si="81"/>
        <v>1.257895545559768</v>
      </c>
      <c r="EP59" s="37">
        <f t="shared" si="78"/>
        <v>2.6050635774834179E-2</v>
      </c>
      <c r="EQ59" s="37">
        <f t="shared" si="79"/>
        <v>0.1132605123292981</v>
      </c>
      <c r="ER59" s="37">
        <f t="shared" si="80"/>
        <v>0.86068885189586775</v>
      </c>
      <c r="ES59" s="39">
        <f t="shared" si="53"/>
        <v>1.257895545559768</v>
      </c>
      <c r="ET59" s="55">
        <f t="shared" si="54"/>
        <v>11.32605123292981</v>
      </c>
      <c r="EU59" s="55">
        <f t="shared" si="55"/>
        <v>2.6050635774834179</v>
      </c>
      <c r="EV59" s="55">
        <f t="shared" si="56"/>
        <v>86.06888518958678</v>
      </c>
      <c r="EW59" t="s">
        <v>516</v>
      </c>
      <c r="EX59" t="s">
        <v>265</v>
      </c>
      <c r="EY59">
        <v>-153</v>
      </c>
      <c r="EZ59" t="s">
        <v>253</v>
      </c>
      <c r="FA59">
        <v>890</v>
      </c>
      <c r="FB59" t="s">
        <v>72</v>
      </c>
      <c r="FC59" t="s">
        <v>88</v>
      </c>
      <c r="FD59" s="39">
        <f t="shared" si="57"/>
        <v>0.10347260612530551</v>
      </c>
      <c r="FE59" s="39">
        <f t="shared" si="61"/>
        <v>0.23840034911709229</v>
      </c>
      <c r="FF59" s="39">
        <f t="shared" si="58"/>
        <v>0.10347260612530551</v>
      </c>
      <c r="FG59" s="39">
        <f t="shared" si="59"/>
        <v>0.23840034911709229</v>
      </c>
    </row>
    <row r="60" spans="1:163" ht="15.75" x14ac:dyDescent="0.25">
      <c r="A60" s="5" t="s">
        <v>318</v>
      </c>
      <c r="B60" s="5" t="s">
        <v>318</v>
      </c>
      <c r="C60" s="3" t="s">
        <v>849</v>
      </c>
      <c r="D60" s="3" t="s">
        <v>849</v>
      </c>
      <c r="E60" s="3" t="s">
        <v>1171</v>
      </c>
      <c r="F60" s="3" t="s">
        <v>1027</v>
      </c>
      <c r="G60" s="3" t="s">
        <v>772</v>
      </c>
      <c r="H60" s="3" t="str">
        <f t="shared" si="0"/>
        <v>CW_1_Section_2</v>
      </c>
      <c r="I60" s="3" t="str">
        <f t="shared" si="1"/>
        <v>CW_1_MF05</v>
      </c>
      <c r="J60" s="3" t="s">
        <v>1496</v>
      </c>
      <c r="K60" s="3" t="s">
        <v>1484</v>
      </c>
      <c r="L60" s="11" t="s">
        <v>1028</v>
      </c>
      <c r="M60" s="3" t="s">
        <v>1015</v>
      </c>
      <c r="N60" s="3" t="s">
        <v>1015</v>
      </c>
      <c r="O60" s="12" t="s">
        <v>1016</v>
      </c>
      <c r="P60" s="3" t="s">
        <v>1172</v>
      </c>
      <c r="Q60" s="3" t="s">
        <v>1018</v>
      </c>
      <c r="R60" s="3" t="s">
        <v>1158</v>
      </c>
      <c r="S60" s="3" t="str">
        <f t="shared" si="2"/>
        <v>T2_0.15-0.30</v>
      </c>
      <c r="T60" s="13" t="s">
        <v>1159</v>
      </c>
      <c r="U60" s="3" t="s">
        <v>1160</v>
      </c>
      <c r="V60" s="3">
        <v>150</v>
      </c>
      <c r="W60" s="3">
        <v>65</v>
      </c>
      <c r="X60" s="3">
        <v>5.8</v>
      </c>
      <c r="Y60" s="3">
        <v>59</v>
      </c>
      <c r="Z60" t="s">
        <v>517</v>
      </c>
      <c r="AA60" t="s">
        <v>167</v>
      </c>
      <c r="AB60" s="1">
        <v>45643</v>
      </c>
      <c r="AC60">
        <v>11</v>
      </c>
      <c r="AD60">
        <v>11</v>
      </c>
      <c r="AE60">
        <v>570</v>
      </c>
      <c r="AF60" s="37">
        <f t="shared" si="17"/>
        <v>0.21892203303034183</v>
      </c>
      <c r="AG60">
        <v>11</v>
      </c>
      <c r="AH60" s="37">
        <f t="shared" si="18"/>
        <v>4.2978076839591921E-3</v>
      </c>
      <c r="AI60">
        <v>450</v>
      </c>
      <c r="AJ60" s="37">
        <f t="shared" si="19"/>
        <v>0.17801638881039844</v>
      </c>
      <c r="AK60">
        <v>250</v>
      </c>
      <c r="AL60" s="37">
        <f t="shared" si="20"/>
        <v>9.8897993783554669E-2</v>
      </c>
      <c r="AM60">
        <v>150</v>
      </c>
      <c r="AN60" s="37">
        <f t="shared" si="21"/>
        <v>5.9338796270132804E-2</v>
      </c>
      <c r="AO60">
        <v>400</v>
      </c>
      <c r="AQ60" s="59">
        <v>1431</v>
      </c>
      <c r="AR60" s="59">
        <f t="shared" si="22"/>
        <v>0.40123622952469945</v>
      </c>
      <c r="AS60">
        <v>1100</v>
      </c>
      <c r="AT60" s="37">
        <f t="shared" si="23"/>
        <v>0.41195287508777401</v>
      </c>
      <c r="AU60" t="s">
        <v>780</v>
      </c>
      <c r="AV60" t="s">
        <v>780</v>
      </c>
      <c r="AW60" t="s">
        <v>780</v>
      </c>
      <c r="AX60" t="s">
        <v>780</v>
      </c>
      <c r="AY60" t="s">
        <v>780</v>
      </c>
      <c r="AZ60" t="s">
        <v>780</v>
      </c>
      <c r="BA60" t="s">
        <v>780</v>
      </c>
      <c r="BB60" t="s">
        <v>780</v>
      </c>
      <c r="BC60" t="s">
        <v>780</v>
      </c>
      <c r="BD60" t="s">
        <v>780</v>
      </c>
      <c r="BE60" t="s">
        <v>780</v>
      </c>
      <c r="BF60" t="s">
        <v>780</v>
      </c>
      <c r="BG60" t="s">
        <v>780</v>
      </c>
      <c r="BH60" t="s">
        <v>780</v>
      </c>
      <c r="BI60" t="s">
        <v>780</v>
      </c>
      <c r="BJ60" t="s">
        <v>780</v>
      </c>
      <c r="BK60" t="s">
        <v>780</v>
      </c>
      <c r="BL60" t="s">
        <v>780</v>
      </c>
      <c r="BM60" t="s">
        <v>780</v>
      </c>
      <c r="BN60" t="s">
        <v>780</v>
      </c>
      <c r="BO60" s="58">
        <v>840</v>
      </c>
      <c r="BP60" s="58">
        <v>0.01</v>
      </c>
      <c r="BQ60" s="58">
        <v>0.01</v>
      </c>
      <c r="BR60" s="58">
        <v>0.05</v>
      </c>
      <c r="BS60" s="58">
        <v>0.06</v>
      </c>
      <c r="BT60" s="58">
        <v>0.01</v>
      </c>
      <c r="BU60" s="58">
        <v>1E-3</v>
      </c>
      <c r="BV60" s="58">
        <v>2E-3</v>
      </c>
      <c r="BW60" s="31">
        <f t="shared" si="24"/>
        <v>0.3145821955215729</v>
      </c>
      <c r="BX60" s="31">
        <f t="shared" si="25"/>
        <v>3.6796110125501018E-6</v>
      </c>
      <c r="BY60" s="31">
        <f t="shared" si="26"/>
        <v>3.7611049867064394E-6</v>
      </c>
      <c r="BZ60" s="31">
        <f t="shared" si="27"/>
        <v>1.864998195163037E-5</v>
      </c>
      <c r="CA60" s="31">
        <f t="shared" si="28"/>
        <v>2.22184817370813E-5</v>
      </c>
      <c r="CB60" s="31">
        <f t="shared" si="29"/>
        <v>3.7030802895135499E-6</v>
      </c>
      <c r="CC60" s="31">
        <f t="shared" si="30"/>
        <v>3.6588380716934485E-7</v>
      </c>
      <c r="CD60" s="31">
        <f t="shared" si="31"/>
        <v>7.3176761433868969E-7</v>
      </c>
      <c r="CE60">
        <v>1E-3</v>
      </c>
      <c r="CF60">
        <v>1E-3</v>
      </c>
      <c r="CG60">
        <v>2E-3</v>
      </c>
      <c r="CH60">
        <v>1E-3</v>
      </c>
      <c r="CI60">
        <v>1E-3</v>
      </c>
      <c r="CK60">
        <v>2E-3</v>
      </c>
      <c r="CL60">
        <v>1E-3</v>
      </c>
      <c r="CM60">
        <v>1E-3</v>
      </c>
      <c r="CN60" s="58">
        <f t="shared" si="60"/>
        <v>840.1429999999998</v>
      </c>
      <c r="CO60" s="58">
        <f t="shared" si="32"/>
        <v>0.14300000000000002</v>
      </c>
      <c r="CP60" s="31">
        <f t="shared" si="33"/>
        <v>0.31463530543297191</v>
      </c>
      <c r="CQ60" s="31">
        <f t="shared" si="34"/>
        <v>5.3109911398989796E-5</v>
      </c>
      <c r="CR60">
        <v>840</v>
      </c>
      <c r="CS60">
        <v>1700</v>
      </c>
      <c r="CT60" t="s">
        <v>69</v>
      </c>
      <c r="CU60" t="s">
        <v>69</v>
      </c>
      <c r="CV60" t="s">
        <v>69</v>
      </c>
      <c r="CW60">
        <v>1700</v>
      </c>
      <c r="CX60" s="2">
        <f t="shared" si="68"/>
        <v>2271</v>
      </c>
      <c r="CZ60">
        <v>67</v>
      </c>
      <c r="DA60" t="s">
        <v>62</v>
      </c>
      <c r="DB60" t="s">
        <v>88</v>
      </c>
      <c r="DC60" t="s">
        <v>782</v>
      </c>
      <c r="DD60" s="37">
        <f t="shared" si="69"/>
        <v>37.784717884655421</v>
      </c>
      <c r="DE60" s="37">
        <f t="shared" si="63"/>
        <v>37.784717884655421</v>
      </c>
      <c r="DF60" s="37">
        <v>23</v>
      </c>
      <c r="DG60" s="37">
        <f t="shared" si="70"/>
        <v>0.41181736794986568</v>
      </c>
      <c r="DH60" s="37">
        <f t="shared" si="36"/>
        <v>0.41181736794986568</v>
      </c>
      <c r="DI60" s="37">
        <f t="shared" si="71"/>
        <v>60.784717884655421</v>
      </c>
      <c r="DJ60" s="37">
        <f t="shared" si="37"/>
        <v>1.0883566317753881</v>
      </c>
      <c r="DK60" s="37">
        <f t="shared" si="38"/>
        <v>1.0883566317753881</v>
      </c>
      <c r="DL60" s="55">
        <f t="shared" si="39"/>
        <v>9.3008536331459499</v>
      </c>
      <c r="DM60" s="55">
        <f t="shared" si="39"/>
        <v>9.3008536331459499</v>
      </c>
      <c r="DN60" s="37">
        <f t="shared" si="40"/>
        <v>32.300853633145948</v>
      </c>
      <c r="DO60" s="55">
        <f t="shared" si="41"/>
        <v>0.57835010981460966</v>
      </c>
      <c r="DP60" s="55">
        <f t="shared" si="42"/>
        <v>0.57835010981460966</v>
      </c>
      <c r="DQ60" s="37">
        <v>4</v>
      </c>
      <c r="DR60" s="37">
        <f t="shared" si="43"/>
        <v>7.2819952667030771E-2</v>
      </c>
      <c r="DS60" s="37">
        <f t="shared" si="44"/>
        <v>0.14563990533406154</v>
      </c>
      <c r="DT60" s="37">
        <f t="shared" si="72"/>
        <v>14.945857445855516</v>
      </c>
      <c r="DU60" s="37">
        <f t="shared" si="73"/>
        <v>7.4729287229277581</v>
      </c>
      <c r="DV60" s="37">
        <f t="shared" si="74"/>
        <v>64.784717884655421</v>
      </c>
      <c r="DW60" s="37">
        <f t="shared" si="75"/>
        <v>1.2339965371094497</v>
      </c>
      <c r="DX60">
        <v>26</v>
      </c>
      <c r="DY60" t="s">
        <v>80</v>
      </c>
      <c r="DZ60" s="29">
        <f t="shared" si="84"/>
        <v>1</v>
      </c>
      <c r="EA60" s="30">
        <v>1.7000000000000001E-2</v>
      </c>
      <c r="EB60" s="30">
        <f t="shared" si="47"/>
        <v>2.741935483870968E-4</v>
      </c>
      <c r="EC60" s="30">
        <f t="shared" si="48"/>
        <v>1.370967741935484E-3</v>
      </c>
      <c r="ED60" s="31">
        <f t="shared" si="85"/>
        <v>65</v>
      </c>
      <c r="EE60" s="33">
        <f t="shared" si="83"/>
        <v>80.246913580246911</v>
      </c>
      <c r="EF60" s="37">
        <f t="shared" si="76"/>
        <v>5.4132833645638145</v>
      </c>
      <c r="EG60" s="37">
        <f>$EK58-EK60</f>
        <v>16</v>
      </c>
      <c r="EH60" s="33">
        <f>(EG60/$EK58)*100</f>
        <v>50</v>
      </c>
      <c r="EI60" s="37">
        <f t="shared" si="82"/>
        <v>1.3325005205080158</v>
      </c>
      <c r="EJ60" s="37">
        <f t="shared" si="86"/>
        <v>1.3325005205080158</v>
      </c>
      <c r="EK60" s="31">
        <v>16</v>
      </c>
      <c r="EL60" s="31">
        <f t="shared" si="50"/>
        <v>0.16656256506350198</v>
      </c>
      <c r="EM60" s="31">
        <f t="shared" si="51"/>
        <v>1.3325005205080158</v>
      </c>
      <c r="EN60" s="32">
        <f t="shared" si="77"/>
        <v>1.3338714882499514</v>
      </c>
      <c r="EO60" s="39">
        <f t="shared" si="81"/>
        <v>6.6472799016732642</v>
      </c>
      <c r="EP60" s="37">
        <f t="shared" si="78"/>
        <v>2.1909699529487365E-2</v>
      </c>
      <c r="EQ60" s="37">
        <f t="shared" si="79"/>
        <v>0.16372962292462293</v>
      </c>
      <c r="ER60" s="37">
        <f t="shared" si="80"/>
        <v>0.8143606775458897</v>
      </c>
      <c r="ES60" s="39">
        <f t="shared" si="53"/>
        <v>2.0564905356566872</v>
      </c>
      <c r="ET60" s="55">
        <f t="shared" si="54"/>
        <v>28.123159323460172</v>
      </c>
      <c r="EU60" s="55">
        <f t="shared" si="55"/>
        <v>7.081963316089622</v>
      </c>
      <c r="EV60" s="55">
        <f t="shared" si="56"/>
        <v>64.794877360450201</v>
      </c>
      <c r="EW60" t="s">
        <v>177</v>
      </c>
      <c r="EX60" t="s">
        <v>172</v>
      </c>
      <c r="EY60">
        <v>-122</v>
      </c>
      <c r="EZ60" t="s">
        <v>503</v>
      </c>
      <c r="FA60">
        <v>1280</v>
      </c>
      <c r="FB60" t="s">
        <v>113</v>
      </c>
      <c r="FC60" t="s">
        <v>88</v>
      </c>
      <c r="FD60" s="39">
        <f t="shared" si="57"/>
        <v>-5.8340907970607905</v>
      </c>
      <c r="FE60" s="39">
        <f t="shared" si="61"/>
        <v>-5.834037687149392</v>
      </c>
      <c r="FF60" s="39">
        <f t="shared" si="58"/>
        <v>-1.2433014310442136</v>
      </c>
      <c r="FG60" s="39">
        <f t="shared" si="59"/>
        <v>-1.2432483211328147</v>
      </c>
    </row>
    <row r="61" spans="1:163" ht="15.75" x14ac:dyDescent="0.25">
      <c r="A61" s="5" t="s">
        <v>319</v>
      </c>
      <c r="B61" s="5" t="s">
        <v>319</v>
      </c>
      <c r="C61" s="3" t="s">
        <v>850</v>
      </c>
      <c r="D61" s="3" t="s">
        <v>850</v>
      </c>
      <c r="E61" s="3" t="s">
        <v>1173</v>
      </c>
      <c r="F61" s="3" t="s">
        <v>1027</v>
      </c>
      <c r="G61" s="3" t="s">
        <v>772</v>
      </c>
      <c r="H61" s="3" t="str">
        <f t="shared" si="0"/>
        <v>CW_1_Section_2</v>
      </c>
      <c r="I61" s="3" t="str">
        <f t="shared" si="1"/>
        <v>CW_1_MF06</v>
      </c>
      <c r="J61" s="3" t="s">
        <v>1497</v>
      </c>
      <c r="K61" s="3" t="s">
        <v>1484</v>
      </c>
      <c r="L61" s="11" t="s">
        <v>1031</v>
      </c>
      <c r="M61" s="3" t="s">
        <v>1024</v>
      </c>
      <c r="N61" s="3" t="s">
        <v>1024</v>
      </c>
      <c r="O61" s="12" t="s">
        <v>1016</v>
      </c>
      <c r="P61" s="3" t="s">
        <v>1174</v>
      </c>
      <c r="Q61" s="3" t="s">
        <v>1018</v>
      </c>
      <c r="R61" s="3" t="s">
        <v>1158</v>
      </c>
      <c r="S61" s="3" t="str">
        <f t="shared" si="2"/>
        <v>T2_0.60-0.80</v>
      </c>
      <c r="T61" s="13" t="s">
        <v>1159</v>
      </c>
      <c r="U61" s="3" t="s">
        <v>1160</v>
      </c>
      <c r="V61" s="3">
        <v>150</v>
      </c>
      <c r="W61" s="3">
        <v>65</v>
      </c>
      <c r="X61" s="3">
        <v>6.9</v>
      </c>
      <c r="Y61" s="3">
        <v>60</v>
      </c>
      <c r="Z61" t="s">
        <v>518</v>
      </c>
      <c r="AA61" t="s">
        <v>115</v>
      </c>
      <c r="AB61" s="1">
        <v>45643</v>
      </c>
      <c r="AC61">
        <v>12</v>
      </c>
      <c r="AD61">
        <v>12</v>
      </c>
      <c r="AE61">
        <v>550</v>
      </c>
      <c r="AF61" s="37">
        <f t="shared" si="17"/>
        <v>0.21124055818717194</v>
      </c>
      <c r="AG61">
        <v>75</v>
      </c>
      <c r="AH61" s="37">
        <f t="shared" si="18"/>
        <v>2.9303234208812676E-2</v>
      </c>
      <c r="AI61">
        <v>440</v>
      </c>
      <c r="AJ61" s="37">
        <f t="shared" si="19"/>
        <v>0.17406046905905623</v>
      </c>
      <c r="AK61">
        <v>180</v>
      </c>
      <c r="AL61" s="37">
        <f t="shared" si="20"/>
        <v>7.120655552415936E-2</v>
      </c>
      <c r="AM61">
        <v>190</v>
      </c>
      <c r="AN61" s="37">
        <f t="shared" si="21"/>
        <v>7.5162475275501545E-2</v>
      </c>
      <c r="AO61">
        <v>370</v>
      </c>
      <c r="AQ61" s="59">
        <v>1435</v>
      </c>
      <c r="AR61" s="59">
        <f t="shared" si="22"/>
        <v>0.41460426145504081</v>
      </c>
      <c r="AS61">
        <v>2600</v>
      </c>
      <c r="AT61" s="37">
        <f t="shared" si="23"/>
        <v>0.97370679566201146</v>
      </c>
      <c r="AU61" t="s">
        <v>780</v>
      </c>
      <c r="AV61" t="s">
        <v>780</v>
      </c>
      <c r="AW61" t="s">
        <v>780</v>
      </c>
      <c r="AX61" t="s">
        <v>780</v>
      </c>
      <c r="AY61" t="s">
        <v>780</v>
      </c>
      <c r="AZ61" t="s">
        <v>780</v>
      </c>
      <c r="BA61" t="s">
        <v>780</v>
      </c>
      <c r="BB61" t="s">
        <v>780</v>
      </c>
      <c r="BC61" t="s">
        <v>780</v>
      </c>
      <c r="BD61" t="s">
        <v>780</v>
      </c>
      <c r="BE61" t="s">
        <v>780</v>
      </c>
      <c r="BF61" t="s">
        <v>780</v>
      </c>
      <c r="BG61" t="s">
        <v>780</v>
      </c>
      <c r="BH61" t="s">
        <v>780</v>
      </c>
      <c r="BI61" t="s">
        <v>780</v>
      </c>
      <c r="BJ61" t="s">
        <v>780</v>
      </c>
      <c r="BK61" t="s">
        <v>780</v>
      </c>
      <c r="BL61" t="s">
        <v>780</v>
      </c>
      <c r="BM61" t="s">
        <v>780</v>
      </c>
      <c r="BN61" t="s">
        <v>780</v>
      </c>
      <c r="BO61" s="58">
        <v>1800</v>
      </c>
      <c r="BP61" s="58">
        <v>120</v>
      </c>
      <c r="BQ61" s="58">
        <v>120</v>
      </c>
      <c r="BR61" s="58">
        <v>35</v>
      </c>
      <c r="BS61" s="58">
        <v>6.5</v>
      </c>
      <c r="BT61" s="58">
        <v>0.63</v>
      </c>
      <c r="BU61" s="58">
        <v>0.03</v>
      </c>
      <c r="BV61" s="58">
        <v>2E-3</v>
      </c>
      <c r="BW61" s="31">
        <f t="shared" si="24"/>
        <v>0.6741047046890849</v>
      </c>
      <c r="BX61" s="31">
        <f t="shared" si="25"/>
        <v>4.4155332150601224E-2</v>
      </c>
      <c r="BY61" s="31">
        <f t="shared" si="26"/>
        <v>4.5133259840477273E-2</v>
      </c>
      <c r="BZ61" s="31">
        <f t="shared" si="27"/>
        <v>1.3054987366141258E-2</v>
      </c>
      <c r="CA61" s="31">
        <f t="shared" si="28"/>
        <v>2.4070021881838072E-3</v>
      </c>
      <c r="CB61" s="31">
        <f t="shared" si="29"/>
        <v>2.3329405823935365E-4</v>
      </c>
      <c r="CC61" s="31">
        <f t="shared" si="30"/>
        <v>1.0976514215080345E-5</v>
      </c>
      <c r="CD61" s="31">
        <f t="shared" si="31"/>
        <v>7.3176761433868969E-7</v>
      </c>
      <c r="CE61">
        <v>1E-3</v>
      </c>
      <c r="CF61">
        <v>1E-3</v>
      </c>
      <c r="CG61">
        <v>2E-3</v>
      </c>
      <c r="CH61">
        <v>1E-3</v>
      </c>
      <c r="CI61">
        <v>1E-3</v>
      </c>
      <c r="CK61">
        <v>2E-3</v>
      </c>
      <c r="CL61">
        <v>1E-3</v>
      </c>
      <c r="CM61">
        <v>1E-3</v>
      </c>
      <c r="CN61" s="58">
        <f t="shared" si="60"/>
        <v>2082.1620000000003</v>
      </c>
      <c r="CO61" s="58">
        <f t="shared" si="32"/>
        <v>282.16199999999998</v>
      </c>
      <c r="CP61" s="31">
        <f t="shared" si="33"/>
        <v>0.77910028857455726</v>
      </c>
      <c r="CQ61" s="31">
        <f t="shared" si="34"/>
        <v>0.10499558388547234</v>
      </c>
      <c r="CR61">
        <v>2100</v>
      </c>
      <c r="CS61">
        <v>3700</v>
      </c>
      <c r="CT61">
        <v>1200</v>
      </c>
      <c r="CU61" t="s">
        <v>69</v>
      </c>
      <c r="CV61" t="s">
        <v>69</v>
      </c>
      <c r="CW61">
        <v>4900</v>
      </c>
      <c r="CX61" s="2">
        <f t="shared" si="68"/>
        <v>3535</v>
      </c>
      <c r="CZ61">
        <v>67</v>
      </c>
      <c r="DA61" t="s">
        <v>62</v>
      </c>
      <c r="DB61" t="s">
        <v>88</v>
      </c>
      <c r="DC61" t="s">
        <v>782</v>
      </c>
      <c r="DD61" s="37">
        <f t="shared" si="69"/>
        <v>22.670830730793252</v>
      </c>
      <c r="DE61" s="37">
        <f t="shared" si="63"/>
        <v>22.670830730793252</v>
      </c>
      <c r="DF61" s="37">
        <v>2.2000000000000002</v>
      </c>
      <c r="DG61" s="37">
        <f t="shared" si="70"/>
        <v>3.9391226499552373E-2</v>
      </c>
      <c r="DH61" s="37">
        <f t="shared" si="36"/>
        <v>3.9391226499552373E-2</v>
      </c>
      <c r="DI61" s="37">
        <f t="shared" si="71"/>
        <v>24.870830730793251</v>
      </c>
      <c r="DJ61" s="37">
        <f t="shared" si="37"/>
        <v>0.44531478479486575</v>
      </c>
      <c r="DK61" s="37">
        <f t="shared" si="38"/>
        <v>0.44531478479486575</v>
      </c>
      <c r="DL61" s="55">
        <f t="shared" si="39"/>
        <v>15.113887153862169</v>
      </c>
      <c r="DM61" s="55">
        <f t="shared" si="39"/>
        <v>15.113887153862169</v>
      </c>
      <c r="DN61" s="37">
        <f t="shared" si="40"/>
        <v>17.313887153862169</v>
      </c>
      <c r="DO61" s="55">
        <f t="shared" si="41"/>
        <v>0.31000693202976132</v>
      </c>
      <c r="DP61" s="55">
        <f t="shared" si="42"/>
        <v>0.31000693202976132</v>
      </c>
      <c r="DQ61" s="37">
        <v>0.9</v>
      </c>
      <c r="DR61" s="37">
        <f t="shared" si="43"/>
        <v>1.6384489350081924E-2</v>
      </c>
      <c r="DS61" s="37">
        <f t="shared" si="44"/>
        <v>3.2768978700163848E-2</v>
      </c>
      <c r="DT61" s="37">
        <f t="shared" si="72"/>
        <v>27.179045698646636</v>
      </c>
      <c r="DU61" s="37">
        <f t="shared" si="73"/>
        <v>13.589522849323318</v>
      </c>
      <c r="DV61" s="37">
        <f t="shared" si="74"/>
        <v>25.77083073079325</v>
      </c>
      <c r="DW61" s="37">
        <f t="shared" si="75"/>
        <v>0.47808376349502957</v>
      </c>
      <c r="DX61">
        <v>27</v>
      </c>
      <c r="DY61" t="s">
        <v>139</v>
      </c>
      <c r="DZ61" s="29">
        <f t="shared" si="84"/>
        <v>1</v>
      </c>
      <c r="EA61" s="30">
        <v>1.7000000000000001E-2</v>
      </c>
      <c r="EB61" s="30">
        <f t="shared" si="47"/>
        <v>2.741935483870968E-4</v>
      </c>
      <c r="EC61" s="30">
        <f t="shared" si="48"/>
        <v>1.370967741935484E-3</v>
      </c>
      <c r="ED61" s="31">
        <f t="shared" si="85"/>
        <v>39</v>
      </c>
      <c r="EE61" s="33">
        <f t="shared" si="83"/>
        <v>48.148148148148145</v>
      </c>
      <c r="EF61" s="37">
        <f t="shared" si="76"/>
        <v>3.2479700187382883</v>
      </c>
      <c r="EG61" s="37">
        <f>$EK59-EK61</f>
        <v>26</v>
      </c>
      <c r="EH61" s="33">
        <f>(EG61/$EK59)*100</f>
        <v>38.235294117647058</v>
      </c>
      <c r="EI61" s="37">
        <f t="shared" si="82"/>
        <v>2.1653133458255258</v>
      </c>
      <c r="EJ61" s="37">
        <f t="shared" si="86"/>
        <v>2.1653133458255258</v>
      </c>
      <c r="EK61" s="31">
        <v>42</v>
      </c>
      <c r="EL61" s="31">
        <f t="shared" si="50"/>
        <v>0.4372267332916927</v>
      </c>
      <c r="EM61" s="31">
        <f t="shared" si="51"/>
        <v>3.4978138663335416</v>
      </c>
      <c r="EN61" s="32">
        <f t="shared" si="77"/>
        <v>3.4991848340754772</v>
      </c>
      <c r="EO61" s="39">
        <f t="shared" si="81"/>
        <v>3.726053782233318</v>
      </c>
      <c r="EP61" s="37">
        <f t="shared" si="78"/>
        <v>8.794553330500457E-3</v>
      </c>
      <c r="EQ61" s="37">
        <f t="shared" si="79"/>
        <v>0.11951378343442844</v>
      </c>
      <c r="ER61" s="37">
        <f t="shared" si="80"/>
        <v>0.87169166323507108</v>
      </c>
      <c r="ES61" s="39">
        <f t="shared" si="53"/>
        <v>2.5080892565554511</v>
      </c>
      <c r="ET61" s="55">
        <f t="shared" si="54"/>
        <v>12.360283080814966</v>
      </c>
      <c r="EU61" s="55">
        <f t="shared" si="55"/>
        <v>1.3065316002815612</v>
      </c>
      <c r="EV61" s="55">
        <f t="shared" si="56"/>
        <v>86.333185318903475</v>
      </c>
      <c r="EW61" t="s">
        <v>516</v>
      </c>
      <c r="EX61" t="s">
        <v>172</v>
      </c>
      <c r="EY61">
        <v>-139</v>
      </c>
      <c r="EZ61" t="s">
        <v>184</v>
      </c>
      <c r="FA61">
        <v>1340</v>
      </c>
      <c r="FB61" t="s">
        <v>113</v>
      </c>
      <c r="FC61" t="s">
        <v>88</v>
      </c>
      <c r="FD61" s="39">
        <f t="shared" si="57"/>
        <v>-2.3377427251162657</v>
      </c>
      <c r="FE61" s="39">
        <f t="shared" si="61"/>
        <v>-2.2327471412307931</v>
      </c>
      <c r="FF61" s="39">
        <f t="shared" si="58"/>
        <v>-1.1197781994383988</v>
      </c>
      <c r="FG61" s="39">
        <f t="shared" si="59"/>
        <v>-1.0147826155529265</v>
      </c>
    </row>
    <row r="62" spans="1:163" ht="15.75" x14ac:dyDescent="0.25">
      <c r="A62" s="5" t="s">
        <v>320</v>
      </c>
      <c r="B62" s="5" t="s">
        <v>320</v>
      </c>
      <c r="C62" s="3" t="s">
        <v>851</v>
      </c>
      <c r="D62" s="3" t="s">
        <v>851</v>
      </c>
      <c r="E62" s="3" t="s">
        <v>1175</v>
      </c>
      <c r="F62" s="3" t="s">
        <v>1034</v>
      </c>
      <c r="G62" s="3" t="s">
        <v>772</v>
      </c>
      <c r="H62" s="3" t="str">
        <f t="shared" si="0"/>
        <v>CW_1_Section_3</v>
      </c>
      <c r="I62" s="3" t="str">
        <f t="shared" si="1"/>
        <v>CW_1_MF09</v>
      </c>
      <c r="J62" s="3" t="s">
        <v>1492</v>
      </c>
      <c r="K62" s="3" t="s">
        <v>1484</v>
      </c>
      <c r="L62" s="11" t="s">
        <v>1035</v>
      </c>
      <c r="M62" s="3" t="s">
        <v>1015</v>
      </c>
      <c r="N62" s="3" t="s">
        <v>1015</v>
      </c>
      <c r="O62" s="12" t="s">
        <v>1016</v>
      </c>
      <c r="P62" s="3" t="s">
        <v>1176</v>
      </c>
      <c r="Q62" s="3" t="s">
        <v>1018</v>
      </c>
      <c r="R62" s="3" t="s">
        <v>1158</v>
      </c>
      <c r="S62" s="3" t="str">
        <f t="shared" si="2"/>
        <v>T2_0.15-0.30</v>
      </c>
      <c r="T62" s="13" t="s">
        <v>1159</v>
      </c>
      <c r="U62" s="3" t="s">
        <v>1160</v>
      </c>
      <c r="V62" s="3">
        <v>150</v>
      </c>
      <c r="W62" s="3">
        <v>65</v>
      </c>
      <c r="X62" s="3">
        <v>9.1</v>
      </c>
      <c r="Y62" s="3">
        <v>61</v>
      </c>
      <c r="Z62" t="s">
        <v>520</v>
      </c>
      <c r="AA62" t="s">
        <v>74</v>
      </c>
      <c r="AB62" s="1">
        <v>45643</v>
      </c>
      <c r="AC62">
        <v>9.8000000000000007</v>
      </c>
      <c r="AD62">
        <v>9.8000000000000007</v>
      </c>
      <c r="AE62">
        <v>330</v>
      </c>
      <c r="AF62" s="37">
        <f t="shared" si="17"/>
        <v>0.12674433491230316</v>
      </c>
      <c r="AG62">
        <v>0.5</v>
      </c>
      <c r="AH62" s="37">
        <f t="shared" si="18"/>
        <v>1.9535489472541785E-4</v>
      </c>
      <c r="AI62">
        <v>130</v>
      </c>
      <c r="AJ62" s="37">
        <f t="shared" si="19"/>
        <v>5.1426956767448434E-2</v>
      </c>
      <c r="AK62">
        <v>140</v>
      </c>
      <c r="AL62" s="37">
        <f t="shared" si="20"/>
        <v>5.5382876518790619E-2</v>
      </c>
      <c r="AM62">
        <v>65</v>
      </c>
      <c r="AN62" s="37">
        <f t="shared" si="21"/>
        <v>2.5713478383724217E-2</v>
      </c>
      <c r="AO62">
        <v>205</v>
      </c>
      <c r="AQ62" s="59">
        <v>668.5</v>
      </c>
      <c r="AR62" s="59">
        <f t="shared" si="22"/>
        <v>0.17836664657447701</v>
      </c>
      <c r="AS62">
        <v>230</v>
      </c>
      <c r="AT62" s="37">
        <f t="shared" si="23"/>
        <v>8.6135601154716385E-2</v>
      </c>
      <c r="AU62" t="s">
        <v>780</v>
      </c>
      <c r="AV62" t="s">
        <v>780</v>
      </c>
      <c r="AW62" t="s">
        <v>780</v>
      </c>
      <c r="AX62" t="s">
        <v>780</v>
      </c>
      <c r="AY62" t="s">
        <v>780</v>
      </c>
      <c r="AZ62" t="s">
        <v>780</v>
      </c>
      <c r="BA62" t="s">
        <v>780</v>
      </c>
      <c r="BB62" t="s">
        <v>780</v>
      </c>
      <c r="BC62" t="s">
        <v>780</v>
      </c>
      <c r="BD62" t="s">
        <v>780</v>
      </c>
      <c r="BE62" t="s">
        <v>780</v>
      </c>
      <c r="BF62" t="s">
        <v>780</v>
      </c>
      <c r="BG62" t="s">
        <v>780</v>
      </c>
      <c r="BH62" t="s">
        <v>780</v>
      </c>
      <c r="BI62" t="s">
        <v>780</v>
      </c>
      <c r="BJ62" t="s">
        <v>780</v>
      </c>
      <c r="BK62" t="s">
        <v>780</v>
      </c>
      <c r="BL62" t="s">
        <v>780</v>
      </c>
      <c r="BM62" t="s">
        <v>780</v>
      </c>
      <c r="BN62" t="s">
        <v>780</v>
      </c>
      <c r="BO62" s="58">
        <v>320</v>
      </c>
      <c r="BP62" s="58">
        <v>0.01</v>
      </c>
      <c r="BQ62" s="58">
        <v>0.01</v>
      </c>
      <c r="BR62" s="58">
        <v>5.0000000000000001E-3</v>
      </c>
      <c r="BS62" s="58">
        <v>1E-3</v>
      </c>
      <c r="BT62" s="58">
        <v>1E-3</v>
      </c>
      <c r="BU62" s="58">
        <v>1E-3</v>
      </c>
      <c r="BV62" s="58">
        <v>2E-3</v>
      </c>
      <c r="BW62" s="31">
        <f t="shared" si="24"/>
        <v>0.11984083638917062</v>
      </c>
      <c r="BX62" s="31">
        <f t="shared" si="25"/>
        <v>3.6796110125501018E-6</v>
      </c>
      <c r="BY62" s="31">
        <f t="shared" si="26"/>
        <v>3.7611049867064394E-6</v>
      </c>
      <c r="BZ62" s="31">
        <f t="shared" si="27"/>
        <v>1.8649981951630372E-6</v>
      </c>
      <c r="CA62" s="31">
        <f t="shared" si="28"/>
        <v>3.7030802895135499E-7</v>
      </c>
      <c r="CB62" s="31">
        <f t="shared" si="29"/>
        <v>3.7030802895135499E-7</v>
      </c>
      <c r="CC62" s="31">
        <f t="shared" si="30"/>
        <v>3.6588380716934485E-7</v>
      </c>
      <c r="CD62" s="31">
        <f t="shared" si="31"/>
        <v>7.3176761433868969E-7</v>
      </c>
      <c r="CE62">
        <v>1E-3</v>
      </c>
      <c r="CF62">
        <v>1E-3</v>
      </c>
      <c r="CG62">
        <v>2E-3</v>
      </c>
      <c r="CH62">
        <v>1E-3</v>
      </c>
      <c r="CI62">
        <v>1E-3</v>
      </c>
      <c r="CK62">
        <v>2E-3</v>
      </c>
      <c r="CL62">
        <v>1E-3</v>
      </c>
      <c r="CM62">
        <v>1E-3</v>
      </c>
      <c r="CN62" s="58">
        <f t="shared" si="60"/>
        <v>320.02999999999992</v>
      </c>
      <c r="CO62" s="58">
        <f t="shared" si="32"/>
        <v>3.0000000000000006E-2</v>
      </c>
      <c r="CP62" s="31">
        <f t="shared" si="33"/>
        <v>0.11985198037084445</v>
      </c>
      <c r="CQ62" s="31">
        <f t="shared" si="34"/>
        <v>1.1143981673830322E-5</v>
      </c>
      <c r="CR62">
        <v>320</v>
      </c>
      <c r="CS62">
        <v>460</v>
      </c>
      <c r="CT62">
        <v>25</v>
      </c>
      <c r="CU62" t="s">
        <v>69</v>
      </c>
      <c r="CV62" t="s">
        <v>69</v>
      </c>
      <c r="CW62">
        <v>500</v>
      </c>
      <c r="CX62" s="2">
        <f t="shared" si="68"/>
        <v>988.5</v>
      </c>
      <c r="CZ62">
        <v>65</v>
      </c>
      <c r="DA62" t="s">
        <v>62</v>
      </c>
      <c r="DB62" t="s">
        <v>88</v>
      </c>
      <c r="DC62" t="s">
        <v>782</v>
      </c>
      <c r="DD62" s="37">
        <f t="shared" si="69"/>
        <v>46.794919841765562</v>
      </c>
      <c r="DE62" s="37">
        <f t="shared" si="63"/>
        <v>46.794919841765562</v>
      </c>
      <c r="DF62" s="37">
        <v>23</v>
      </c>
      <c r="DG62" s="37">
        <f t="shared" si="70"/>
        <v>0.41181736794986568</v>
      </c>
      <c r="DH62" s="37">
        <f t="shared" si="36"/>
        <v>0.41181736794986568</v>
      </c>
      <c r="DI62" s="37">
        <f t="shared" si="71"/>
        <v>69.794919841765562</v>
      </c>
      <c r="DJ62" s="37">
        <f t="shared" si="37"/>
        <v>1.2496852254568587</v>
      </c>
      <c r="DK62" s="37">
        <f t="shared" si="38"/>
        <v>1.2496852254568587</v>
      </c>
      <c r="DL62" s="55">
        <f t="shared" si="39"/>
        <v>9.010201957110139</v>
      </c>
      <c r="DM62" s="55">
        <f t="shared" si="39"/>
        <v>9.010201957110139</v>
      </c>
      <c r="DN62" s="37">
        <f t="shared" si="40"/>
        <v>32.010201957110141</v>
      </c>
      <c r="DO62" s="55">
        <f t="shared" si="41"/>
        <v>0.57314596163133646</v>
      </c>
      <c r="DP62" s="55">
        <f t="shared" si="42"/>
        <v>0.57314596163133646</v>
      </c>
      <c r="DQ62" s="37">
        <v>3.6</v>
      </c>
      <c r="DR62" s="37">
        <f t="shared" si="43"/>
        <v>6.5537957400327695E-2</v>
      </c>
      <c r="DS62" s="37">
        <f t="shared" si="44"/>
        <v>0.13107591480065539</v>
      </c>
      <c r="DT62" s="37">
        <f t="shared" si="72"/>
        <v>19.068113731762566</v>
      </c>
      <c r="DU62" s="37">
        <f t="shared" si="73"/>
        <v>9.5340568658812828</v>
      </c>
      <c r="DV62" s="37">
        <f t="shared" si="74"/>
        <v>73.394919841765557</v>
      </c>
      <c r="DW62" s="37">
        <f t="shared" si="75"/>
        <v>1.3807611402575142</v>
      </c>
      <c r="DX62">
        <v>26</v>
      </c>
      <c r="DY62" t="s">
        <v>50</v>
      </c>
      <c r="DZ62" s="29">
        <f t="shared" si="84"/>
        <v>1</v>
      </c>
      <c r="EA62" s="30">
        <v>1.7000000000000001E-2</v>
      </c>
      <c r="EB62" s="30">
        <f t="shared" si="47"/>
        <v>2.741935483870968E-4</v>
      </c>
      <c r="EC62" s="30">
        <f t="shared" si="48"/>
        <v>1.370967741935484E-3</v>
      </c>
      <c r="ED62" s="31">
        <f t="shared" si="85"/>
        <v>80.5</v>
      </c>
      <c r="EE62" s="33">
        <f t="shared" si="83"/>
        <v>99.382716049382708</v>
      </c>
      <c r="EF62" s="37">
        <f t="shared" si="76"/>
        <v>6.7041432438059543</v>
      </c>
      <c r="EG62" s="37">
        <f>$EK60-EK62</f>
        <v>15.5</v>
      </c>
      <c r="EH62" s="33">
        <f>(EG62/$EK60)*100</f>
        <v>96.875</v>
      </c>
      <c r="EI62" s="37">
        <f t="shared" si="82"/>
        <v>1.2908598792421404</v>
      </c>
      <c r="EJ62" s="37">
        <f t="shared" si="86"/>
        <v>1.2908598792421404</v>
      </c>
      <c r="EK62" s="31">
        <v>0.5</v>
      </c>
      <c r="EL62" s="31">
        <f t="shared" si="50"/>
        <v>5.2050801582344368E-3</v>
      </c>
      <c r="EM62" s="31">
        <f t="shared" si="51"/>
        <v>4.1640641265875494E-2</v>
      </c>
      <c r="EN62" s="32">
        <f t="shared" si="77"/>
        <v>4.301160900781098E-2</v>
      </c>
      <c r="EO62" s="39">
        <f t="shared" si="81"/>
        <v>8.0849043840634689</v>
      </c>
      <c r="EP62" s="37">
        <f t="shared" si="78"/>
        <v>1.6212426093625203E-2</v>
      </c>
      <c r="EQ62" s="37">
        <f t="shared" si="79"/>
        <v>0.15457019231052024</v>
      </c>
      <c r="ER62" s="37">
        <f t="shared" si="80"/>
        <v>0.82921738159585445</v>
      </c>
      <c r="ES62" s="39">
        <f t="shared" si="53"/>
        <v>1.9950817556741323</v>
      </c>
      <c r="ET62" s="55">
        <f t="shared" si="54"/>
        <v>28.727943604379867</v>
      </c>
      <c r="EU62" s="55">
        <f t="shared" si="55"/>
        <v>6.5699520547399946</v>
      </c>
      <c r="EV62" s="55">
        <f t="shared" si="56"/>
        <v>64.70210434088014</v>
      </c>
      <c r="EW62" t="s">
        <v>521</v>
      </c>
      <c r="EX62" t="s">
        <v>225</v>
      </c>
      <c r="EY62">
        <v>-108</v>
      </c>
      <c r="EZ62" t="s">
        <v>217</v>
      </c>
      <c r="FA62">
        <v>855</v>
      </c>
      <c r="FB62" t="s">
        <v>113</v>
      </c>
      <c r="FC62" t="s">
        <v>88</v>
      </c>
      <c r="FD62" s="39">
        <f t="shared" si="57"/>
        <v>-7.8204021363342751</v>
      </c>
      <c r="FE62" s="39">
        <f t="shared" si="61"/>
        <v>-7.8203909923526016</v>
      </c>
      <c r="FF62" s="39">
        <f t="shared" si="58"/>
        <v>-1.7305795079449389</v>
      </c>
      <c r="FG62" s="39">
        <f t="shared" si="59"/>
        <v>-1.730568363963265</v>
      </c>
    </row>
    <row r="63" spans="1:163" ht="15.75" x14ac:dyDescent="0.25">
      <c r="A63" s="5" t="s">
        <v>321</v>
      </c>
      <c r="B63" s="5" t="s">
        <v>321</v>
      </c>
      <c r="C63" s="3" t="s">
        <v>852</v>
      </c>
      <c r="D63" s="3" t="s">
        <v>852</v>
      </c>
      <c r="E63" s="3" t="s">
        <v>1177</v>
      </c>
      <c r="F63" s="3" t="s">
        <v>1034</v>
      </c>
      <c r="G63" s="3" t="s">
        <v>772</v>
      </c>
      <c r="H63" s="3" t="str">
        <f t="shared" si="0"/>
        <v>CW_1_Section_3</v>
      </c>
      <c r="I63" s="3" t="str">
        <f t="shared" si="1"/>
        <v>CW_1_MF10</v>
      </c>
      <c r="J63" s="3" t="s">
        <v>1493</v>
      </c>
      <c r="K63" s="3" t="s">
        <v>1484</v>
      </c>
      <c r="L63" s="11" t="s">
        <v>1038</v>
      </c>
      <c r="M63" s="3" t="s">
        <v>1024</v>
      </c>
      <c r="N63" s="3" t="s">
        <v>1024</v>
      </c>
      <c r="O63" s="12" t="s">
        <v>1016</v>
      </c>
      <c r="P63" s="3" t="s">
        <v>1178</v>
      </c>
      <c r="Q63" s="3" t="s">
        <v>1018</v>
      </c>
      <c r="R63" s="3" t="s">
        <v>1158</v>
      </c>
      <c r="S63" s="3" t="str">
        <f t="shared" si="2"/>
        <v>T2_0.60-0.80</v>
      </c>
      <c r="T63" s="13" t="s">
        <v>1159</v>
      </c>
      <c r="U63" s="3" t="s">
        <v>1160</v>
      </c>
      <c r="V63" s="3">
        <v>150</v>
      </c>
      <c r="W63" s="3">
        <v>65</v>
      </c>
      <c r="X63" s="3">
        <v>28.1</v>
      </c>
      <c r="Y63" s="3">
        <v>62</v>
      </c>
      <c r="Z63" t="s">
        <v>522</v>
      </c>
      <c r="AA63" t="s">
        <v>95</v>
      </c>
      <c r="AB63" s="1">
        <v>45643</v>
      </c>
      <c r="AC63">
        <v>11</v>
      </c>
      <c r="AD63">
        <v>11</v>
      </c>
      <c r="AE63">
        <v>560</v>
      </c>
      <c r="AF63" s="37">
        <f t="shared" si="17"/>
        <v>0.21508129560875688</v>
      </c>
      <c r="AG63">
        <v>1</v>
      </c>
      <c r="AH63" s="37">
        <f t="shared" si="18"/>
        <v>3.9070978945083569E-4</v>
      </c>
      <c r="AI63">
        <v>370</v>
      </c>
      <c r="AJ63" s="37">
        <f t="shared" si="19"/>
        <v>0.14636903079966093</v>
      </c>
      <c r="AK63">
        <v>220</v>
      </c>
      <c r="AL63" s="37">
        <f t="shared" si="20"/>
        <v>8.7030234529528114E-2</v>
      </c>
      <c r="AM63">
        <v>130</v>
      </c>
      <c r="AN63" s="37">
        <f t="shared" si="21"/>
        <v>5.1426956767448434E-2</v>
      </c>
      <c r="AO63">
        <v>350</v>
      </c>
      <c r="AQ63" s="59">
        <v>1287</v>
      </c>
      <c r="AR63" s="59">
        <f t="shared" si="22"/>
        <v>0.36184103619786867</v>
      </c>
      <c r="AS63">
        <v>2200</v>
      </c>
      <c r="AT63" s="37">
        <f t="shared" si="23"/>
        <v>0.82390575017554801</v>
      </c>
      <c r="AU63" t="s">
        <v>780</v>
      </c>
      <c r="AV63" t="s">
        <v>780</v>
      </c>
      <c r="AW63" t="s">
        <v>780</v>
      </c>
      <c r="AX63" t="s">
        <v>780</v>
      </c>
      <c r="AY63" t="s">
        <v>780</v>
      </c>
      <c r="AZ63" t="s">
        <v>780</v>
      </c>
      <c r="BA63" t="s">
        <v>780</v>
      </c>
      <c r="BB63" t="s">
        <v>780</v>
      </c>
      <c r="BC63" t="s">
        <v>780</v>
      </c>
      <c r="BD63" t="s">
        <v>780</v>
      </c>
      <c r="BE63" t="s">
        <v>780</v>
      </c>
      <c r="BF63" t="s">
        <v>780</v>
      </c>
      <c r="BG63" t="s">
        <v>780</v>
      </c>
      <c r="BH63" t="s">
        <v>780</v>
      </c>
      <c r="BI63" t="s">
        <v>780</v>
      </c>
      <c r="BJ63" t="s">
        <v>780</v>
      </c>
      <c r="BK63" t="s">
        <v>780</v>
      </c>
      <c r="BL63" t="s">
        <v>780</v>
      </c>
      <c r="BM63" t="s">
        <v>780</v>
      </c>
      <c r="BN63" t="s">
        <v>780</v>
      </c>
      <c r="BO63" s="58">
        <v>1700</v>
      </c>
      <c r="BP63" s="58">
        <v>85</v>
      </c>
      <c r="BQ63" s="58">
        <v>75</v>
      </c>
      <c r="BR63" s="58">
        <v>2</v>
      </c>
      <c r="BS63" s="58">
        <v>1.6</v>
      </c>
      <c r="BT63" s="58">
        <v>0.17</v>
      </c>
      <c r="BU63" s="58">
        <v>0.04</v>
      </c>
      <c r="BV63" s="58">
        <v>2E-3</v>
      </c>
      <c r="BW63" s="31">
        <f t="shared" si="24"/>
        <v>0.63665444331746901</v>
      </c>
      <c r="BX63" s="31">
        <f t="shared" si="25"/>
        <v>3.1276693606675864E-2</v>
      </c>
      <c r="BY63" s="31">
        <f t="shared" si="26"/>
        <v>2.8208287400298297E-2</v>
      </c>
      <c r="BZ63" s="31">
        <f t="shared" si="27"/>
        <v>7.4599927806521475E-4</v>
      </c>
      <c r="CA63" s="31">
        <f t="shared" si="28"/>
        <v>5.9249284632216796E-4</v>
      </c>
      <c r="CB63" s="31">
        <f t="shared" si="29"/>
        <v>6.2952364921730342E-5</v>
      </c>
      <c r="CC63" s="31">
        <f t="shared" si="30"/>
        <v>1.4635352286773795E-5</v>
      </c>
      <c r="CD63" s="31">
        <f t="shared" si="31"/>
        <v>7.3176761433868969E-7</v>
      </c>
      <c r="CE63">
        <v>1E-3</v>
      </c>
      <c r="CF63">
        <v>1E-3</v>
      </c>
      <c r="CG63">
        <v>2E-3</v>
      </c>
      <c r="CH63">
        <v>1E-3</v>
      </c>
      <c r="CI63">
        <v>1E-3</v>
      </c>
      <c r="CK63">
        <v>2E-3</v>
      </c>
      <c r="CL63">
        <v>1E-3</v>
      </c>
      <c r="CM63">
        <v>1E-3</v>
      </c>
      <c r="CN63" s="58">
        <f t="shared" si="60"/>
        <v>1863.8119999999999</v>
      </c>
      <c r="CO63" s="58">
        <f t="shared" si="32"/>
        <v>163.81199999999998</v>
      </c>
      <c r="CP63" s="31">
        <f t="shared" si="33"/>
        <v>0.69755623593365335</v>
      </c>
      <c r="CQ63" s="31">
        <f t="shared" si="34"/>
        <v>6.0901792616184384E-2</v>
      </c>
      <c r="CR63">
        <v>1900</v>
      </c>
      <c r="CS63">
        <v>3200</v>
      </c>
      <c r="CT63">
        <v>770</v>
      </c>
      <c r="CU63" t="s">
        <v>69</v>
      </c>
      <c r="CV63" t="s">
        <v>69</v>
      </c>
      <c r="CW63">
        <v>4000</v>
      </c>
      <c r="CX63" s="2">
        <f t="shared" si="68"/>
        <v>3187</v>
      </c>
      <c r="CZ63">
        <v>67</v>
      </c>
      <c r="DA63" t="s">
        <v>62</v>
      </c>
      <c r="DB63" t="s">
        <v>88</v>
      </c>
      <c r="DC63" t="s">
        <v>782</v>
      </c>
      <c r="DD63" s="37">
        <f t="shared" si="69"/>
        <v>18.020403914220278</v>
      </c>
      <c r="DE63" s="37">
        <f t="shared" si="63"/>
        <v>18.020403914220278</v>
      </c>
      <c r="DF63" s="37">
        <v>1.7</v>
      </c>
      <c r="DG63" s="37">
        <f t="shared" si="70"/>
        <v>3.0438675022381376E-2</v>
      </c>
      <c r="DH63" s="37">
        <f t="shared" si="36"/>
        <v>3.0438675022381376E-2</v>
      </c>
      <c r="DI63" s="37">
        <f t="shared" si="71"/>
        <v>19.720403914220277</v>
      </c>
      <c r="DJ63" s="37">
        <f t="shared" si="37"/>
        <v>0.35309586238532276</v>
      </c>
      <c r="DK63" s="37">
        <f t="shared" si="38"/>
        <v>0.35309586238532276</v>
      </c>
      <c r="DL63" s="55">
        <f t="shared" si="39"/>
        <v>-4.650426816572975</v>
      </c>
      <c r="DN63" s="37">
        <f t="shared" si="40"/>
        <v>1.7</v>
      </c>
      <c r="DO63" s="55">
        <f t="shared" si="41"/>
        <v>3.0438675022381376E-2</v>
      </c>
      <c r="DP63" s="55">
        <f t="shared" si="42"/>
        <v>3.0438675022381376E-2</v>
      </c>
      <c r="DQ63" s="37">
        <v>1.6</v>
      </c>
      <c r="DR63" s="37">
        <f t="shared" si="43"/>
        <v>2.912798106681231E-2</v>
      </c>
      <c r="DS63" s="37">
        <f t="shared" si="44"/>
        <v>5.825596213362462E-2</v>
      </c>
      <c r="DT63" s="37">
        <f t="shared" si="72"/>
        <v>12.122222325516111</v>
      </c>
      <c r="DU63" s="37">
        <f t="shared" si="73"/>
        <v>6.0611111627580554</v>
      </c>
      <c r="DV63" s="37">
        <f t="shared" si="74"/>
        <v>21.320403914220279</v>
      </c>
      <c r="DW63" s="37">
        <f t="shared" si="75"/>
        <v>0.41135182451894736</v>
      </c>
      <c r="DX63">
        <v>28</v>
      </c>
      <c r="DY63" t="s">
        <v>510</v>
      </c>
      <c r="DZ63" s="29">
        <f t="shared" si="84"/>
        <v>1</v>
      </c>
      <c r="EA63" s="30">
        <v>1.7000000000000001E-2</v>
      </c>
      <c r="EB63" s="30">
        <f t="shared" si="47"/>
        <v>2.741935483870968E-4</v>
      </c>
      <c r="EC63" s="30">
        <f t="shared" si="48"/>
        <v>1.370967741935484E-3</v>
      </c>
      <c r="ED63" s="31">
        <f t="shared" si="85"/>
        <v>31</v>
      </c>
      <c r="EE63" s="33">
        <f t="shared" si="83"/>
        <v>38.271604938271601</v>
      </c>
      <c r="EF63" s="37">
        <f t="shared" si="76"/>
        <v>2.5817197584842808</v>
      </c>
      <c r="EG63" s="29">
        <f>$EK61-EK63</f>
        <v>-8</v>
      </c>
      <c r="EH63" s="33">
        <f>(EG63/$EK61)*100</f>
        <v>-19.047619047619047</v>
      </c>
      <c r="EI63" s="37">
        <f t="shared" si="82"/>
        <v>-0.66625026025400791</v>
      </c>
      <c r="EJ63" s="37"/>
      <c r="EK63" s="31">
        <v>50</v>
      </c>
      <c r="EL63" s="31">
        <f t="shared" si="50"/>
        <v>0.52050801582344364</v>
      </c>
      <c r="EM63" s="31">
        <f t="shared" si="51"/>
        <v>4.1640641265875491</v>
      </c>
      <c r="EN63" s="32">
        <f t="shared" si="77"/>
        <v>4.1654350943294842</v>
      </c>
      <c r="EO63" s="39">
        <f t="shared" si="81"/>
        <v>2.9930715830032284</v>
      </c>
      <c r="EP63" s="37">
        <f t="shared" si="78"/>
        <v>1.9463604701084686E-2</v>
      </c>
      <c r="EQ63" s="37">
        <f t="shared" si="79"/>
        <v>0.11797107172125455</v>
      </c>
      <c r="ER63" s="37">
        <f t="shared" si="80"/>
        <v>0.86256532357766069</v>
      </c>
      <c r="ES63" s="39">
        <f t="shared" si="53"/>
        <v>8.8694637156005993E-2</v>
      </c>
      <c r="ET63" s="55">
        <f t="shared" si="54"/>
        <v>34.318506730956514</v>
      </c>
      <c r="EU63" s="55">
        <f t="shared" si="55"/>
        <v>65.681493269043486</v>
      </c>
      <c r="EV63" s="55">
        <f t="shared" si="56"/>
        <v>0</v>
      </c>
      <c r="EW63" t="s">
        <v>54</v>
      </c>
      <c r="EX63" t="s">
        <v>256</v>
      </c>
      <c r="EY63">
        <v>-112</v>
      </c>
      <c r="EZ63" t="s">
        <v>523</v>
      </c>
      <c r="FA63">
        <v>950</v>
      </c>
      <c r="FB63" t="s">
        <v>113</v>
      </c>
      <c r="FC63" t="s">
        <v>88</v>
      </c>
      <c r="FD63" s="39">
        <f t="shared" si="57"/>
        <v>-1.8073247966298118</v>
      </c>
      <c r="FE63" s="39">
        <f t="shared" si="61"/>
        <v>-1.7464230040136275</v>
      </c>
      <c r="FF63" s="39">
        <f t="shared" si="58"/>
        <v>1.0970521492174106</v>
      </c>
      <c r="FG63" s="39">
        <f t="shared" si="59"/>
        <v>1.1579539418335949</v>
      </c>
    </row>
    <row r="64" spans="1:163" ht="15.75" x14ac:dyDescent="0.25">
      <c r="A64" s="5" t="s">
        <v>322</v>
      </c>
      <c r="B64" s="5" t="s">
        <v>322</v>
      </c>
      <c r="C64" s="3" t="s">
        <v>853</v>
      </c>
      <c r="D64" s="3" t="s">
        <v>853</v>
      </c>
      <c r="E64" s="3" t="s">
        <v>1179</v>
      </c>
      <c r="F64" s="3" t="s">
        <v>1013</v>
      </c>
      <c r="G64" s="3" t="s">
        <v>773</v>
      </c>
      <c r="H64" s="3" t="str">
        <f t="shared" si="0"/>
        <v>CW_2_Section_1</v>
      </c>
      <c r="I64" s="3" t="str">
        <f t="shared" si="1"/>
        <v>CW_2_MF01</v>
      </c>
      <c r="J64" s="3" t="s">
        <v>1488</v>
      </c>
      <c r="K64" s="3" t="s">
        <v>1484</v>
      </c>
      <c r="L64" s="11" t="s">
        <v>1074</v>
      </c>
      <c r="M64" s="3" t="s">
        <v>1015</v>
      </c>
      <c r="N64" s="3" t="s">
        <v>1015</v>
      </c>
      <c r="O64" s="12" t="s">
        <v>1016</v>
      </c>
      <c r="P64" s="3" t="s">
        <v>1180</v>
      </c>
      <c r="Q64" s="3" t="s">
        <v>1018</v>
      </c>
      <c r="R64" s="3" t="s">
        <v>1158</v>
      </c>
      <c r="S64" s="3" t="str">
        <f t="shared" si="2"/>
        <v>T2_0.15-0.30</v>
      </c>
      <c r="T64" s="13" t="s">
        <v>1159</v>
      </c>
      <c r="U64" s="3" t="s">
        <v>1160</v>
      </c>
      <c r="V64" s="3">
        <v>150</v>
      </c>
      <c r="W64" s="3">
        <v>65</v>
      </c>
      <c r="X64" s="3">
        <v>7.6</v>
      </c>
      <c r="Y64" s="3">
        <v>63</v>
      </c>
      <c r="Z64" t="s">
        <v>528</v>
      </c>
      <c r="AA64" t="s">
        <v>204</v>
      </c>
      <c r="AB64" s="1">
        <v>45643</v>
      </c>
      <c r="AC64">
        <v>22</v>
      </c>
      <c r="AD64">
        <v>13</v>
      </c>
      <c r="AE64">
        <v>530</v>
      </c>
      <c r="AF64" s="37">
        <f t="shared" si="17"/>
        <v>0.20355908334400205</v>
      </c>
      <c r="AG64">
        <v>0.5</v>
      </c>
      <c r="AH64" s="37">
        <f t="shared" si="18"/>
        <v>1.9535489472541785E-4</v>
      </c>
      <c r="AI64">
        <v>500</v>
      </c>
      <c r="AJ64" s="37">
        <f t="shared" si="19"/>
        <v>0.19779598756710934</v>
      </c>
      <c r="AK64">
        <v>230</v>
      </c>
      <c r="AL64" s="37">
        <f t="shared" si="20"/>
        <v>9.0986154280870299E-2</v>
      </c>
      <c r="AM64">
        <v>180</v>
      </c>
      <c r="AN64" s="37">
        <f t="shared" si="21"/>
        <v>7.120655552415936E-2</v>
      </c>
      <c r="AO64">
        <v>410</v>
      </c>
      <c r="AQ64" s="59">
        <v>1443.5</v>
      </c>
      <c r="AR64" s="59">
        <f t="shared" si="22"/>
        <v>0.40155042580583677</v>
      </c>
      <c r="AS64">
        <v>1900</v>
      </c>
      <c r="AT64" s="37">
        <f t="shared" si="23"/>
        <v>0.71155496606070068</v>
      </c>
      <c r="AU64" t="s">
        <v>780</v>
      </c>
      <c r="AV64" t="s">
        <v>780</v>
      </c>
      <c r="AW64" t="s">
        <v>780</v>
      </c>
      <c r="AX64" t="s">
        <v>780</v>
      </c>
      <c r="AY64" t="s">
        <v>780</v>
      </c>
      <c r="AZ64" t="s">
        <v>780</v>
      </c>
      <c r="BA64" t="s">
        <v>780</v>
      </c>
      <c r="BB64" t="s">
        <v>780</v>
      </c>
      <c r="BC64" t="s">
        <v>780</v>
      </c>
      <c r="BD64" t="s">
        <v>780</v>
      </c>
      <c r="BE64" t="s">
        <v>780</v>
      </c>
      <c r="BF64" t="s">
        <v>780</v>
      </c>
      <c r="BG64" t="s">
        <v>780</v>
      </c>
      <c r="BH64" t="s">
        <v>780</v>
      </c>
      <c r="BI64" t="s">
        <v>780</v>
      </c>
      <c r="BJ64" t="s">
        <v>780</v>
      </c>
      <c r="BK64" t="s">
        <v>780</v>
      </c>
      <c r="BL64" t="s">
        <v>780</v>
      </c>
      <c r="BM64" t="s">
        <v>780</v>
      </c>
      <c r="BN64" t="s">
        <v>780</v>
      </c>
      <c r="BO64" s="58">
        <v>510</v>
      </c>
      <c r="BP64" s="58">
        <v>0.01</v>
      </c>
      <c r="BQ64" s="58">
        <v>0.01</v>
      </c>
      <c r="BR64" s="58">
        <v>5.0000000000000001E-3</v>
      </c>
      <c r="BS64" s="58">
        <v>1E-3</v>
      </c>
      <c r="BT64" s="58">
        <v>1E-3</v>
      </c>
      <c r="BU64" s="58">
        <v>1E-3</v>
      </c>
      <c r="BV64" s="58">
        <v>2E-3</v>
      </c>
      <c r="BW64" s="31">
        <f t="shared" si="24"/>
        <v>0.19099633299524069</v>
      </c>
      <c r="BX64" s="31">
        <f t="shared" si="25"/>
        <v>3.6796110125501018E-6</v>
      </c>
      <c r="BY64" s="31">
        <f t="shared" si="26"/>
        <v>3.7611049867064394E-6</v>
      </c>
      <c r="BZ64" s="31">
        <f t="shared" si="27"/>
        <v>1.8649981951630372E-6</v>
      </c>
      <c r="CA64" s="31">
        <f t="shared" si="28"/>
        <v>3.7030802895135499E-7</v>
      </c>
      <c r="CB64" s="31">
        <f t="shared" si="29"/>
        <v>3.7030802895135499E-7</v>
      </c>
      <c r="CC64" s="31">
        <f t="shared" si="30"/>
        <v>3.6588380716934485E-7</v>
      </c>
      <c r="CD64" s="31">
        <f t="shared" si="31"/>
        <v>7.3176761433868969E-7</v>
      </c>
      <c r="CE64">
        <v>1E-3</v>
      </c>
      <c r="CF64">
        <v>1E-3</v>
      </c>
      <c r="CG64">
        <v>2E-3</v>
      </c>
      <c r="CH64">
        <v>1E-3</v>
      </c>
      <c r="CI64">
        <v>1E-3</v>
      </c>
      <c r="CK64">
        <v>2E-3</v>
      </c>
      <c r="CL64">
        <v>1E-3</v>
      </c>
      <c r="CM64">
        <v>1E-3</v>
      </c>
      <c r="CN64" s="58">
        <f t="shared" si="60"/>
        <v>510.02999999999992</v>
      </c>
      <c r="CO64" s="58">
        <f t="shared" si="32"/>
        <v>3.0000000000000006E-2</v>
      </c>
      <c r="CP64" s="31">
        <f t="shared" si="33"/>
        <v>0.19100747697691453</v>
      </c>
      <c r="CQ64" s="31">
        <f t="shared" si="34"/>
        <v>1.1143981673830322E-5</v>
      </c>
      <c r="CR64">
        <v>510</v>
      </c>
      <c r="CS64">
        <v>3800</v>
      </c>
      <c r="CT64">
        <v>40</v>
      </c>
      <c r="CU64" t="s">
        <v>69</v>
      </c>
      <c r="CV64" t="s">
        <v>69</v>
      </c>
      <c r="CW64">
        <v>3900</v>
      </c>
      <c r="CX64" s="2">
        <f t="shared" si="68"/>
        <v>1953.5</v>
      </c>
      <c r="CZ64">
        <v>68</v>
      </c>
      <c r="DA64" t="s">
        <v>62</v>
      </c>
      <c r="DB64" t="s">
        <v>88</v>
      </c>
      <c r="DC64" t="s">
        <v>782</v>
      </c>
      <c r="DD64" s="37">
        <f t="shared" si="69"/>
        <v>15.695190505933791</v>
      </c>
      <c r="DE64" s="37">
        <f t="shared" si="63"/>
        <v>15.695190505933791</v>
      </c>
      <c r="DF64" s="37">
        <v>12</v>
      </c>
      <c r="DG64" s="37">
        <f t="shared" si="70"/>
        <v>0.21486123545210384</v>
      </c>
      <c r="DH64" s="37">
        <f t="shared" si="36"/>
        <v>0.21486123545210384</v>
      </c>
      <c r="DI64" s="37">
        <f t="shared" si="71"/>
        <v>27.695190505933791</v>
      </c>
      <c r="DJ64" s="37">
        <f t="shared" si="37"/>
        <v>0.49588523734885925</v>
      </c>
      <c r="DK64" s="37">
        <f t="shared" si="38"/>
        <v>0.49588523734885925</v>
      </c>
      <c r="DL64" s="55">
        <f t="shared" si="39"/>
        <v>15.695190505933791</v>
      </c>
      <c r="DM64" s="55">
        <f t="shared" si="39"/>
        <v>15.695190505933791</v>
      </c>
      <c r="DN64" s="37">
        <f t="shared" si="40"/>
        <v>27.695190505933791</v>
      </c>
      <c r="DO64" s="55">
        <f t="shared" si="41"/>
        <v>0.49588523734885925</v>
      </c>
      <c r="DP64" s="55">
        <f t="shared" si="42"/>
        <v>0.49588523734885925</v>
      </c>
      <c r="DQ64" s="37">
        <v>2.6</v>
      </c>
      <c r="DR64" s="37">
        <f t="shared" si="43"/>
        <v>4.7332969233569999E-2</v>
      </c>
      <c r="DS64" s="37">
        <f t="shared" si="44"/>
        <v>9.4665938467139998E-2</v>
      </c>
      <c r="DT64" s="37">
        <f t="shared" si="72"/>
        <v>10.476529264451091</v>
      </c>
      <c r="DU64" s="37">
        <f t="shared" si="73"/>
        <v>5.2382646322255457</v>
      </c>
      <c r="DV64" s="37">
        <f t="shared" si="74"/>
        <v>30.295190505933792</v>
      </c>
      <c r="DW64" s="37">
        <f t="shared" si="75"/>
        <v>0.59055117581599925</v>
      </c>
      <c r="DX64">
        <v>27</v>
      </c>
      <c r="DY64" t="s">
        <v>121</v>
      </c>
      <c r="DZ64" s="29">
        <f t="shared" si="84"/>
        <v>1</v>
      </c>
      <c r="EA64" s="30">
        <v>1.7000000000000001E-2</v>
      </c>
      <c r="EB64" s="30">
        <f t="shared" si="47"/>
        <v>2.741935483870968E-4</v>
      </c>
      <c r="EC64" s="30">
        <f t="shared" si="48"/>
        <v>1.370967741935484E-3</v>
      </c>
      <c r="ED64" s="31">
        <f t="shared" si="85"/>
        <v>27</v>
      </c>
      <c r="EE64" s="33">
        <f t="shared" si="83"/>
        <v>33.333333333333329</v>
      </c>
      <c r="EF64" s="37">
        <f t="shared" si="76"/>
        <v>2.2485946283572766</v>
      </c>
      <c r="EG64" s="37">
        <f>$EK54-EK64</f>
        <v>27</v>
      </c>
      <c r="EH64" s="33">
        <f>(EG64/$EK$54)*100</f>
        <v>33.333333333333329</v>
      </c>
      <c r="EI64" s="37">
        <f t="shared" si="82"/>
        <v>2.2485946283572766</v>
      </c>
      <c r="EJ64" s="37">
        <f>($EG64/96.06)*8</f>
        <v>2.2485946283572766</v>
      </c>
      <c r="EK64" s="31">
        <v>54</v>
      </c>
      <c r="EL64" s="31">
        <f t="shared" si="50"/>
        <v>0.56214865708931916</v>
      </c>
      <c r="EM64" s="31">
        <f t="shared" si="51"/>
        <v>4.4971892567145533</v>
      </c>
      <c r="EN64" s="32">
        <f t="shared" si="77"/>
        <v>4.4985602244564884</v>
      </c>
      <c r="EO64" s="39">
        <f t="shared" si="81"/>
        <v>2.8391458041732758</v>
      </c>
      <c r="EP64" s="37">
        <f t="shared" si="78"/>
        <v>3.3343105636910238E-2</v>
      </c>
      <c r="EQ64" s="37">
        <f t="shared" si="79"/>
        <v>0.17466001098638712</v>
      </c>
      <c r="ER64" s="37">
        <f t="shared" si="80"/>
        <v>0.79199688337670271</v>
      </c>
      <c r="ES64" s="39">
        <f t="shared" si="53"/>
        <v>2.8391458041732758</v>
      </c>
      <c r="ET64" s="55">
        <f t="shared" si="54"/>
        <v>17.46600109863871</v>
      </c>
      <c r="EU64" s="55">
        <f t="shared" si="55"/>
        <v>3.334310563691024</v>
      </c>
      <c r="EV64" s="55">
        <f t="shared" si="56"/>
        <v>79.199688337670267</v>
      </c>
      <c r="EW64" t="s">
        <v>529</v>
      </c>
      <c r="EX64" t="s">
        <v>172</v>
      </c>
      <c r="EY64">
        <v>-99</v>
      </c>
      <c r="EZ64" t="s">
        <v>514</v>
      </c>
      <c r="FA64">
        <v>802</v>
      </c>
      <c r="FB64" t="s">
        <v>113</v>
      </c>
      <c r="FC64" t="s">
        <v>88</v>
      </c>
      <c r="FD64" s="39">
        <f t="shared" si="57"/>
        <v>-1.7260404123067383</v>
      </c>
      <c r="FE64" s="39">
        <f t="shared" si="61"/>
        <v>-1.7260292683250644</v>
      </c>
      <c r="FF64" s="39">
        <f t="shared" si="58"/>
        <v>-1.7260404123067383</v>
      </c>
      <c r="FG64" s="39">
        <f t="shared" si="59"/>
        <v>-1.7260292683250644</v>
      </c>
    </row>
    <row r="65" spans="1:163" ht="15.75" x14ac:dyDescent="0.25">
      <c r="A65" s="5" t="s">
        <v>323</v>
      </c>
      <c r="B65" s="5" t="s">
        <v>323</v>
      </c>
      <c r="C65" s="3" t="s">
        <v>854</v>
      </c>
      <c r="D65" s="3" t="s">
        <v>854</v>
      </c>
      <c r="E65" s="3" t="s">
        <v>1181</v>
      </c>
      <c r="F65" s="3" t="s">
        <v>1013</v>
      </c>
      <c r="G65" s="3" t="s">
        <v>773</v>
      </c>
      <c r="H65" s="3" t="str">
        <f t="shared" si="0"/>
        <v>CW_2_Section_1</v>
      </c>
      <c r="I65" s="3" t="str">
        <f t="shared" si="1"/>
        <v>CW_2_MF02</v>
      </c>
      <c r="J65" s="3" t="s">
        <v>1489</v>
      </c>
      <c r="K65" s="3" t="s">
        <v>1484</v>
      </c>
      <c r="L65" s="11" t="s">
        <v>1077</v>
      </c>
      <c r="M65" s="3" t="s">
        <v>1024</v>
      </c>
      <c r="N65" s="3" t="s">
        <v>1024</v>
      </c>
      <c r="O65" s="12" t="s">
        <v>1016</v>
      </c>
      <c r="P65" s="3" t="s">
        <v>1182</v>
      </c>
      <c r="Q65" s="3" t="s">
        <v>1018</v>
      </c>
      <c r="R65" s="3" t="s">
        <v>1158</v>
      </c>
      <c r="S65" s="3" t="str">
        <f t="shared" si="2"/>
        <v>T2_0.60-0.80</v>
      </c>
      <c r="T65" s="13" t="s">
        <v>1159</v>
      </c>
      <c r="U65" s="3" t="s">
        <v>1160</v>
      </c>
      <c r="V65" s="3">
        <v>150</v>
      </c>
      <c r="W65" s="3">
        <v>65</v>
      </c>
      <c r="X65" s="3">
        <v>3.1</v>
      </c>
      <c r="Y65" s="3">
        <v>64</v>
      </c>
      <c r="Z65" t="s">
        <v>530</v>
      </c>
      <c r="AA65" t="s">
        <v>211</v>
      </c>
      <c r="AB65" s="1">
        <v>45643</v>
      </c>
      <c r="AC65">
        <v>14</v>
      </c>
      <c r="AD65">
        <v>14</v>
      </c>
      <c r="AE65">
        <v>520</v>
      </c>
      <c r="AF65" s="37">
        <f t="shared" si="17"/>
        <v>0.19971834592241711</v>
      </c>
      <c r="AG65">
        <v>97</v>
      </c>
      <c r="AH65" s="37">
        <f t="shared" si="18"/>
        <v>3.7898849576731064E-2</v>
      </c>
      <c r="AI65">
        <v>470</v>
      </c>
      <c r="AJ65" s="37">
        <f t="shared" si="19"/>
        <v>0.18592822831308278</v>
      </c>
      <c r="AK65">
        <v>200</v>
      </c>
      <c r="AL65" s="37">
        <f t="shared" si="20"/>
        <v>7.9118395026843744E-2</v>
      </c>
      <c r="AM65">
        <v>300</v>
      </c>
      <c r="AN65" s="37">
        <f t="shared" si="21"/>
        <v>0.11867759254026561</v>
      </c>
      <c r="AO65">
        <v>500</v>
      </c>
      <c r="AQ65" s="59">
        <v>1587</v>
      </c>
      <c r="AR65" s="59">
        <f t="shared" si="22"/>
        <v>0.42354542381223093</v>
      </c>
      <c r="AS65">
        <v>3100</v>
      </c>
      <c r="AT65" s="37">
        <f t="shared" si="23"/>
        <v>1.1609581025200906</v>
      </c>
      <c r="AU65" t="s">
        <v>780</v>
      </c>
      <c r="AV65" t="s">
        <v>780</v>
      </c>
      <c r="AW65" t="s">
        <v>780</v>
      </c>
      <c r="AX65" t="s">
        <v>780</v>
      </c>
      <c r="AY65" t="s">
        <v>780</v>
      </c>
      <c r="AZ65" t="s">
        <v>780</v>
      </c>
      <c r="BA65" t="s">
        <v>780</v>
      </c>
      <c r="BB65" t="s">
        <v>780</v>
      </c>
      <c r="BC65" t="s">
        <v>780</v>
      </c>
      <c r="BD65" t="s">
        <v>780</v>
      </c>
      <c r="BE65" t="s">
        <v>780</v>
      </c>
      <c r="BF65" t="s">
        <v>780</v>
      </c>
      <c r="BG65" t="s">
        <v>780</v>
      </c>
      <c r="BH65" t="s">
        <v>780</v>
      </c>
      <c r="BI65" t="s">
        <v>780</v>
      </c>
      <c r="BJ65" t="s">
        <v>780</v>
      </c>
      <c r="BK65" t="s">
        <v>780</v>
      </c>
      <c r="BL65" t="s">
        <v>780</v>
      </c>
      <c r="BM65" t="s">
        <v>780</v>
      </c>
      <c r="BN65" t="s">
        <v>780</v>
      </c>
      <c r="BO65" s="58">
        <v>1200</v>
      </c>
      <c r="BP65" s="58">
        <v>130</v>
      </c>
      <c r="BQ65" s="58">
        <v>100</v>
      </c>
      <c r="BR65" s="58">
        <v>41</v>
      </c>
      <c r="BS65" s="58">
        <v>13</v>
      </c>
      <c r="BT65" s="58">
        <v>3.5</v>
      </c>
      <c r="BU65" s="58">
        <v>0.69</v>
      </c>
      <c r="BV65" s="58">
        <v>0.63</v>
      </c>
      <c r="BW65" s="31">
        <f t="shared" si="24"/>
        <v>0.44940313645938984</v>
      </c>
      <c r="BX65" s="31">
        <f t="shared" si="25"/>
        <v>4.7834943163151324E-2</v>
      </c>
      <c r="BY65" s="31">
        <f t="shared" si="26"/>
        <v>3.7611049867064393E-2</v>
      </c>
      <c r="BZ65" s="31">
        <f t="shared" si="27"/>
        <v>1.5292985200336905E-2</v>
      </c>
      <c r="CA65" s="31">
        <f t="shared" si="28"/>
        <v>4.8140043763676144E-3</v>
      </c>
      <c r="CB65" s="31">
        <f t="shared" si="29"/>
        <v>1.2960781013297423E-3</v>
      </c>
      <c r="CC65" s="31">
        <f t="shared" si="30"/>
        <v>2.5245982694684793E-4</v>
      </c>
      <c r="CD65" s="31">
        <f t="shared" si="31"/>
        <v>2.3050679851668727E-4</v>
      </c>
      <c r="CE65">
        <v>1E-3</v>
      </c>
      <c r="CF65">
        <v>1E-3</v>
      </c>
      <c r="CG65">
        <v>2E-3</v>
      </c>
      <c r="CH65">
        <v>1E-3</v>
      </c>
      <c r="CI65">
        <v>1E-3</v>
      </c>
      <c r="CK65">
        <v>2E-3</v>
      </c>
      <c r="CL65">
        <v>1E-3</v>
      </c>
      <c r="CM65">
        <v>1E-3</v>
      </c>
      <c r="CN65" s="58">
        <f t="shared" si="60"/>
        <v>1488.8200000000002</v>
      </c>
      <c r="CO65" s="58">
        <f t="shared" si="32"/>
        <v>288.82</v>
      </c>
      <c r="CP65" s="31">
        <f t="shared" si="33"/>
        <v>0.55673516379310339</v>
      </c>
      <c r="CQ65" s="31">
        <f t="shared" si="34"/>
        <v>0.10733202733371353</v>
      </c>
      <c r="CR65">
        <v>1500</v>
      </c>
      <c r="CS65">
        <v>6000</v>
      </c>
      <c r="CT65">
        <v>2200</v>
      </c>
      <c r="CU65" t="s">
        <v>69</v>
      </c>
      <c r="CV65" t="s">
        <v>69</v>
      </c>
      <c r="CW65">
        <v>8200</v>
      </c>
      <c r="CX65" s="2">
        <f t="shared" si="68"/>
        <v>3087</v>
      </c>
      <c r="CZ65">
        <v>68</v>
      </c>
      <c r="DA65" t="s">
        <v>62</v>
      </c>
      <c r="DB65" t="s">
        <v>88</v>
      </c>
      <c r="DC65" t="s">
        <v>782</v>
      </c>
      <c r="DD65" s="37">
        <f t="shared" si="69"/>
        <v>7.5569435769310846</v>
      </c>
      <c r="DE65" s="37">
        <f t="shared" si="63"/>
        <v>7.5569435769310846</v>
      </c>
      <c r="DF65" s="37">
        <v>0.6</v>
      </c>
      <c r="DG65" s="37">
        <f t="shared" si="70"/>
        <v>1.0743061772605192E-2</v>
      </c>
      <c r="DH65" s="37">
        <f t="shared" si="36"/>
        <v>1.0743061772605192E-2</v>
      </c>
      <c r="DI65" s="37">
        <f t="shared" si="71"/>
        <v>8.1569435769310843</v>
      </c>
      <c r="DJ65" s="37">
        <f t="shared" si="37"/>
        <v>0.14605091453770966</v>
      </c>
      <c r="DK65" s="37">
        <f t="shared" si="38"/>
        <v>0.14605091453770966</v>
      </c>
      <c r="DL65" s="55">
        <f t="shared" si="39"/>
        <v>7.5569435769310846</v>
      </c>
      <c r="DM65" s="55">
        <f t="shared" si="39"/>
        <v>7.5569435769310846</v>
      </c>
      <c r="DN65" s="37">
        <f t="shared" si="40"/>
        <v>8.1569435769310843</v>
      </c>
      <c r="DO65" s="55">
        <f t="shared" si="41"/>
        <v>0.14605091453770966</v>
      </c>
      <c r="DP65" s="55">
        <f t="shared" si="42"/>
        <v>0.14605091453770966</v>
      </c>
      <c r="DQ65" s="37">
        <v>1</v>
      </c>
      <c r="DR65" s="37">
        <f t="shared" si="43"/>
        <v>1.8204988166757693E-2</v>
      </c>
      <c r="DS65" s="37">
        <f t="shared" si="44"/>
        <v>3.6409976333515386E-2</v>
      </c>
      <c r="DT65" s="37">
        <f t="shared" si="72"/>
        <v>8.0225767355563917</v>
      </c>
      <c r="DU65" s="37">
        <f t="shared" si="73"/>
        <v>4.0112883677781959</v>
      </c>
      <c r="DV65" s="37">
        <f t="shared" si="74"/>
        <v>9.1569435769310843</v>
      </c>
      <c r="DW65" s="37">
        <f t="shared" si="75"/>
        <v>0.18246089087122505</v>
      </c>
      <c r="DX65">
        <v>28</v>
      </c>
      <c r="DY65" t="s">
        <v>83</v>
      </c>
      <c r="DZ65" s="29">
        <f t="shared" si="84"/>
        <v>1</v>
      </c>
      <c r="EA65" s="30">
        <v>1.7000000000000001E-2</v>
      </c>
      <c r="EB65" s="30">
        <f t="shared" si="47"/>
        <v>2.741935483870968E-4</v>
      </c>
      <c r="EC65" s="30">
        <f t="shared" si="48"/>
        <v>1.370967741935484E-3</v>
      </c>
      <c r="ED65" s="31">
        <f t="shared" si="85"/>
        <v>13</v>
      </c>
      <c r="EE65" s="33">
        <f t="shared" si="83"/>
        <v>16.049382716049383</v>
      </c>
      <c r="EF65" s="37">
        <f t="shared" si="76"/>
        <v>1.0826566729127629</v>
      </c>
      <c r="EG65" s="37">
        <f>$EK54-EK65</f>
        <v>13</v>
      </c>
      <c r="EH65" s="33">
        <f>(EG65/$EK$54)*100</f>
        <v>16.049382716049383</v>
      </c>
      <c r="EI65" s="37">
        <f t="shared" si="82"/>
        <v>1.0826566729127629</v>
      </c>
      <c r="EJ65" s="37">
        <f>($EG65/96.06)*8</f>
        <v>1.0826566729127629</v>
      </c>
      <c r="EK65" s="31">
        <v>68</v>
      </c>
      <c r="EL65" s="31">
        <f t="shared" si="50"/>
        <v>0.70789090151988343</v>
      </c>
      <c r="EM65" s="31">
        <f t="shared" si="51"/>
        <v>5.6631272121590674</v>
      </c>
      <c r="EN65" s="32">
        <f t="shared" si="77"/>
        <v>5.6644981799010026</v>
      </c>
      <c r="EO65" s="39">
        <f t="shared" si="81"/>
        <v>1.265117563783988</v>
      </c>
      <c r="EP65" s="37">
        <f t="shared" si="78"/>
        <v>2.8779915302584634E-2</v>
      </c>
      <c r="EQ65" s="37">
        <f t="shared" si="79"/>
        <v>0.11544453947889942</v>
      </c>
      <c r="ER65" s="37">
        <f t="shared" si="80"/>
        <v>0.85577554521851595</v>
      </c>
      <c r="ES65" s="39">
        <f t="shared" si="53"/>
        <v>1.265117563783988</v>
      </c>
      <c r="ET65" s="55">
        <f t="shared" si="54"/>
        <v>11.544453947889942</v>
      </c>
      <c r="EU65" s="55">
        <f t="shared" si="55"/>
        <v>2.8779915302584635</v>
      </c>
      <c r="EV65" s="55">
        <f t="shared" si="56"/>
        <v>85.577554521851596</v>
      </c>
      <c r="EW65" t="s">
        <v>142</v>
      </c>
      <c r="EX65" t="s">
        <v>170</v>
      </c>
      <c r="EY65" t="s">
        <v>531</v>
      </c>
      <c r="EZ65" t="s">
        <v>523</v>
      </c>
      <c r="FA65">
        <v>1140</v>
      </c>
      <c r="FB65" t="s">
        <v>113</v>
      </c>
      <c r="FC65" t="s">
        <v>88</v>
      </c>
      <c r="FD65" s="39">
        <f t="shared" si="57"/>
        <v>0.31938596254833351</v>
      </c>
      <c r="FE65" s="39">
        <f t="shared" si="61"/>
        <v>0.42671798988204701</v>
      </c>
      <c r="FF65" s="39">
        <f t="shared" si="58"/>
        <v>0.31938596254833351</v>
      </c>
      <c r="FG65" s="39">
        <f t="shared" si="59"/>
        <v>0.42671798988204701</v>
      </c>
    </row>
    <row r="66" spans="1:163" ht="15.75" x14ac:dyDescent="0.25">
      <c r="A66" s="5" t="s">
        <v>324</v>
      </c>
      <c r="B66" s="5" t="s">
        <v>324</v>
      </c>
      <c r="C66" s="3" t="s">
        <v>855</v>
      </c>
      <c r="D66" s="3" t="s">
        <v>855</v>
      </c>
      <c r="E66" s="3" t="s">
        <v>1183</v>
      </c>
      <c r="F66" s="3" t="s">
        <v>1027</v>
      </c>
      <c r="G66" s="3" t="s">
        <v>773</v>
      </c>
      <c r="H66" s="3" t="str">
        <f t="shared" si="0"/>
        <v>CW_2_Section_2</v>
      </c>
      <c r="I66" s="3" t="str">
        <f t="shared" si="1"/>
        <v>CW_2_MF05</v>
      </c>
      <c r="J66" s="3" t="s">
        <v>1496</v>
      </c>
      <c r="K66" s="3" t="s">
        <v>1484</v>
      </c>
      <c r="L66" s="11" t="s">
        <v>1080</v>
      </c>
      <c r="M66" s="3" t="s">
        <v>1015</v>
      </c>
      <c r="N66" s="3" t="s">
        <v>1015</v>
      </c>
      <c r="O66" s="12" t="s">
        <v>1016</v>
      </c>
      <c r="P66" s="3" t="s">
        <v>1184</v>
      </c>
      <c r="Q66" s="3" t="s">
        <v>1018</v>
      </c>
      <c r="R66" s="3" t="s">
        <v>1158</v>
      </c>
      <c r="S66" s="3" t="str">
        <f t="shared" si="2"/>
        <v>T2_0.15-0.30</v>
      </c>
      <c r="T66" s="13" t="s">
        <v>1159</v>
      </c>
      <c r="U66" s="3" t="s">
        <v>1160</v>
      </c>
      <c r="V66" s="3">
        <v>150</v>
      </c>
      <c r="W66" s="3">
        <v>65</v>
      </c>
      <c r="X66" s="3">
        <v>7.7</v>
      </c>
      <c r="Y66" s="3">
        <v>65</v>
      </c>
      <c r="Z66" t="s">
        <v>532</v>
      </c>
      <c r="AA66" t="s">
        <v>176</v>
      </c>
      <c r="AB66" s="1">
        <v>45643</v>
      </c>
      <c r="AC66">
        <v>18</v>
      </c>
      <c r="AD66">
        <v>17</v>
      </c>
      <c r="AE66">
        <v>110</v>
      </c>
      <c r="AF66" s="37">
        <f t="shared" si="17"/>
        <v>4.2248111637434388E-2</v>
      </c>
      <c r="AG66">
        <v>1.5</v>
      </c>
      <c r="AH66" s="37">
        <f t="shared" si="18"/>
        <v>5.8606468417625348E-4</v>
      </c>
      <c r="AI66">
        <v>24</v>
      </c>
      <c r="AJ66" s="37">
        <f t="shared" si="19"/>
        <v>9.4942074032212491E-3</v>
      </c>
      <c r="AK66">
        <v>13</v>
      </c>
      <c r="AL66" s="37">
        <f t="shared" si="20"/>
        <v>5.1426956767448434E-3</v>
      </c>
      <c r="AM66">
        <v>8.6999999999999993</v>
      </c>
      <c r="AN66" s="37">
        <f t="shared" si="21"/>
        <v>3.4416501836677022E-3</v>
      </c>
      <c r="AO66">
        <v>21.7</v>
      </c>
      <c r="AQ66" s="59">
        <v>157.19999999999999</v>
      </c>
      <c r="AR66" s="59">
        <f t="shared" si="22"/>
        <v>5.2328383724831895E-2</v>
      </c>
      <c r="AS66">
        <v>42</v>
      </c>
      <c r="AT66" s="37">
        <f t="shared" si="23"/>
        <v>1.5729109776078644E-2</v>
      </c>
      <c r="AU66" t="s">
        <v>780</v>
      </c>
      <c r="AV66" t="s">
        <v>780</v>
      </c>
      <c r="AW66" t="s">
        <v>780</v>
      </c>
      <c r="AX66" t="s">
        <v>780</v>
      </c>
      <c r="AY66" t="s">
        <v>780</v>
      </c>
      <c r="AZ66" t="s">
        <v>780</v>
      </c>
      <c r="BA66" t="s">
        <v>780</v>
      </c>
      <c r="BB66" t="s">
        <v>780</v>
      </c>
      <c r="BC66" t="s">
        <v>780</v>
      </c>
      <c r="BD66" t="s">
        <v>780</v>
      </c>
      <c r="BE66" t="s">
        <v>780</v>
      </c>
      <c r="BF66" t="s">
        <v>780</v>
      </c>
      <c r="BG66" t="s">
        <v>780</v>
      </c>
      <c r="BH66" t="s">
        <v>780</v>
      </c>
      <c r="BI66" t="s">
        <v>780</v>
      </c>
      <c r="BJ66" t="s">
        <v>780</v>
      </c>
      <c r="BK66" t="s">
        <v>780</v>
      </c>
      <c r="BL66" t="s">
        <v>780</v>
      </c>
      <c r="BM66" t="s">
        <v>780</v>
      </c>
      <c r="BN66" t="s">
        <v>780</v>
      </c>
      <c r="BO66" s="58">
        <v>1.4</v>
      </c>
      <c r="BP66" s="58">
        <v>0.01</v>
      </c>
      <c r="BQ66" s="58">
        <v>0.01</v>
      </c>
      <c r="BR66" s="58">
        <v>5.0000000000000001E-3</v>
      </c>
      <c r="BS66" s="58">
        <v>1E-3</v>
      </c>
      <c r="BT66" s="58">
        <v>1E-3</v>
      </c>
      <c r="BU66" s="58">
        <v>1E-3</v>
      </c>
      <c r="BV66" s="58">
        <v>2E-3</v>
      </c>
      <c r="BW66" s="31">
        <f t="shared" si="24"/>
        <v>5.2430365920262147E-4</v>
      </c>
      <c r="BX66" s="31">
        <f t="shared" si="25"/>
        <v>3.6796110125501018E-6</v>
      </c>
      <c r="BY66" s="31">
        <f t="shared" si="26"/>
        <v>3.7611049867064394E-6</v>
      </c>
      <c r="BZ66" s="31">
        <f t="shared" si="27"/>
        <v>1.8649981951630372E-6</v>
      </c>
      <c r="CA66" s="31">
        <f t="shared" si="28"/>
        <v>3.7030802895135499E-7</v>
      </c>
      <c r="CB66" s="31">
        <f t="shared" si="29"/>
        <v>3.7030802895135499E-7</v>
      </c>
      <c r="CC66" s="31">
        <f t="shared" si="30"/>
        <v>3.6588380716934485E-7</v>
      </c>
      <c r="CD66" s="31">
        <f t="shared" si="31"/>
        <v>7.3176761433868969E-7</v>
      </c>
      <c r="CE66">
        <v>1E-3</v>
      </c>
      <c r="CF66">
        <v>1E-3</v>
      </c>
      <c r="CG66">
        <v>2E-3</v>
      </c>
      <c r="CH66">
        <v>1E-3</v>
      </c>
      <c r="CI66">
        <v>1E-3</v>
      </c>
      <c r="CK66">
        <v>2E-3</v>
      </c>
      <c r="CL66">
        <v>1E-3</v>
      </c>
      <c r="CM66">
        <v>1E-3</v>
      </c>
      <c r="CN66" s="58">
        <f t="shared" si="60"/>
        <v>1.4299999999999995</v>
      </c>
      <c r="CO66" s="58">
        <f t="shared" si="32"/>
        <v>3.0000000000000006E-2</v>
      </c>
      <c r="CP66" s="31">
        <f t="shared" si="33"/>
        <v>5.3544764087645172E-4</v>
      </c>
      <c r="CQ66" s="31">
        <f t="shared" si="34"/>
        <v>1.1143981673830322E-5</v>
      </c>
      <c r="CR66">
        <v>1.4</v>
      </c>
      <c r="CS66">
        <v>65</v>
      </c>
      <c r="CT66" t="s">
        <v>69</v>
      </c>
      <c r="CU66" t="s">
        <v>69</v>
      </c>
      <c r="CV66" t="s">
        <v>69</v>
      </c>
      <c r="CW66">
        <v>95</v>
      </c>
      <c r="CX66" s="2">
        <f t="shared" si="68"/>
        <v>158.6</v>
      </c>
      <c r="CZ66">
        <v>62</v>
      </c>
      <c r="DA66" t="s">
        <v>62</v>
      </c>
      <c r="DB66" t="s">
        <v>88</v>
      </c>
      <c r="DC66" t="s">
        <v>782</v>
      </c>
      <c r="DD66" s="37">
        <f t="shared" si="69"/>
        <v>46.794919841765562</v>
      </c>
      <c r="DE66" s="37">
        <f t="shared" si="63"/>
        <v>46.794919841765562</v>
      </c>
      <c r="DF66" s="37">
        <v>35</v>
      </c>
      <c r="DG66" s="37">
        <f t="shared" si="70"/>
        <v>0.62667860340196957</v>
      </c>
      <c r="DH66" s="37">
        <f t="shared" si="36"/>
        <v>0.62667860340196957</v>
      </c>
      <c r="DI66" s="37">
        <f t="shared" si="71"/>
        <v>81.794919841765562</v>
      </c>
      <c r="DJ66" s="37">
        <f t="shared" si="37"/>
        <v>1.4645464609089627</v>
      </c>
      <c r="DK66" s="37">
        <f t="shared" si="38"/>
        <v>1.4645464609089627</v>
      </c>
      <c r="DL66" s="55">
        <f t="shared" si="39"/>
        <v>31.099729335831771</v>
      </c>
      <c r="DM66" s="55">
        <f t="shared" si="39"/>
        <v>31.099729335831771</v>
      </c>
      <c r="DN66" s="37">
        <f t="shared" si="40"/>
        <v>66.099729335831768</v>
      </c>
      <c r="DO66" s="55">
        <f t="shared" si="41"/>
        <v>1.1835224590122071</v>
      </c>
      <c r="DP66" s="55">
        <f t="shared" si="42"/>
        <v>1.1835224590122071</v>
      </c>
      <c r="DQ66" s="37">
        <v>6.7</v>
      </c>
      <c r="DR66" s="37">
        <f t="shared" si="43"/>
        <v>0.12197342071727654</v>
      </c>
      <c r="DS66" s="37">
        <f t="shared" si="44"/>
        <v>0.24394684143455309</v>
      </c>
      <c r="DT66" s="37">
        <f t="shared" si="72"/>
        <v>12.00709508921333</v>
      </c>
      <c r="DU66" s="37">
        <f t="shared" si="73"/>
        <v>6.0035475446066648</v>
      </c>
      <c r="DV66" s="37">
        <f t="shared" si="74"/>
        <v>88.494919841765565</v>
      </c>
      <c r="DW66" s="37">
        <f t="shared" si="75"/>
        <v>1.7084933023435158</v>
      </c>
      <c r="DX66">
        <v>15</v>
      </c>
      <c r="DY66" t="s">
        <v>55</v>
      </c>
      <c r="DZ66" s="29">
        <f t="shared" si="84"/>
        <v>1</v>
      </c>
      <c r="EA66" s="30">
        <v>1.7000000000000001E-2</v>
      </c>
      <c r="EB66" s="30">
        <f t="shared" si="47"/>
        <v>2.741935483870968E-4</v>
      </c>
      <c r="EC66" s="30">
        <f t="shared" si="48"/>
        <v>1.370967741935484E-3</v>
      </c>
      <c r="ED66" s="31">
        <f>$EK$54-EK66</f>
        <v>80.5</v>
      </c>
      <c r="EE66" s="33">
        <f t="shared" si="83"/>
        <v>99.382716049382708</v>
      </c>
      <c r="EF66" s="37">
        <f t="shared" si="76"/>
        <v>6.7041432438059543</v>
      </c>
      <c r="EG66" s="37">
        <f>$EK64-EK66</f>
        <v>53.5</v>
      </c>
      <c r="EH66" s="33">
        <f>(EG66/$EK64)*100</f>
        <v>99.074074074074076</v>
      </c>
      <c r="EI66" s="37">
        <f t="shared" si="82"/>
        <v>4.4555486154486781</v>
      </c>
      <c r="EJ66" s="37">
        <f>($EG66/96.06)*8</f>
        <v>4.4555486154486781</v>
      </c>
      <c r="EK66" s="31">
        <v>0.5</v>
      </c>
      <c r="EL66" s="31">
        <f t="shared" si="50"/>
        <v>5.2050801582344368E-3</v>
      </c>
      <c r="EM66" s="31">
        <f t="shared" si="51"/>
        <v>4.1640641265875494E-2</v>
      </c>
      <c r="EN66" s="32">
        <f t="shared" si="77"/>
        <v>4.301160900781098E-2</v>
      </c>
      <c r="EO66" s="39">
        <f t="shared" si="81"/>
        <v>8.4126365461494697</v>
      </c>
      <c r="EP66" s="37">
        <f t="shared" si="78"/>
        <v>2.8997667983910406E-2</v>
      </c>
      <c r="EQ66" s="37">
        <f t="shared" si="79"/>
        <v>0.17408887842412463</v>
      </c>
      <c r="ER66" s="37">
        <f t="shared" si="80"/>
        <v>0.79691345359196497</v>
      </c>
      <c r="ES66" s="39">
        <f t="shared" si="53"/>
        <v>5.8830179158954383</v>
      </c>
      <c r="ET66" s="55">
        <f t="shared" si="54"/>
        <v>20.117607594129964</v>
      </c>
      <c r="EU66" s="55">
        <f t="shared" si="55"/>
        <v>4.1466275459646056</v>
      </c>
      <c r="EV66" s="55">
        <f t="shared" si="56"/>
        <v>75.73576485990543</v>
      </c>
      <c r="EW66" t="s">
        <v>84</v>
      </c>
      <c r="EX66" t="s">
        <v>256</v>
      </c>
      <c r="EY66">
        <v>-152</v>
      </c>
      <c r="EZ66" t="s">
        <v>534</v>
      </c>
      <c r="FA66">
        <v>890</v>
      </c>
      <c r="FB66" t="s">
        <v>72</v>
      </c>
      <c r="FC66" t="s">
        <v>88</v>
      </c>
      <c r="FD66" s="39">
        <f t="shared" si="57"/>
        <v>-8.3445790526485588</v>
      </c>
      <c r="FE66" s="39">
        <f t="shared" si="61"/>
        <v>-8.3445679086668854</v>
      </c>
      <c r="FF66" s="39">
        <f t="shared" si="58"/>
        <v>-5.8149604223945275</v>
      </c>
      <c r="FG66" s="39">
        <f t="shared" si="59"/>
        <v>-5.814949278412854</v>
      </c>
    </row>
    <row r="67" spans="1:163" ht="15.75" x14ac:dyDescent="0.25">
      <c r="A67" s="5" t="s">
        <v>325</v>
      </c>
      <c r="B67" s="5" t="s">
        <v>325</v>
      </c>
      <c r="C67" s="3" t="s">
        <v>856</v>
      </c>
      <c r="D67" s="3" t="s">
        <v>856</v>
      </c>
      <c r="E67" s="3" t="s">
        <v>1185</v>
      </c>
      <c r="F67" s="3" t="s">
        <v>1027</v>
      </c>
      <c r="G67" s="3" t="s">
        <v>773</v>
      </c>
      <c r="H67" s="3" t="str">
        <f t="shared" ref="H67:H130" si="87">G67&amp;"_"&amp;F67</f>
        <v>CW_2_Section_2</v>
      </c>
      <c r="I67" s="3" t="str">
        <f t="shared" ref="I67:I130" si="88">G67&amp;"_"&amp;J67</f>
        <v>CW_2_MF06</v>
      </c>
      <c r="J67" s="3" t="s">
        <v>1497</v>
      </c>
      <c r="K67" s="3" t="s">
        <v>1484</v>
      </c>
      <c r="L67" s="11" t="s">
        <v>1083</v>
      </c>
      <c r="M67" s="3" t="s">
        <v>1024</v>
      </c>
      <c r="N67" s="3" t="s">
        <v>1024</v>
      </c>
      <c r="O67" s="12" t="s">
        <v>1016</v>
      </c>
      <c r="P67" s="3" t="s">
        <v>1186</v>
      </c>
      <c r="Q67" s="3" t="s">
        <v>1018</v>
      </c>
      <c r="R67" s="3" t="s">
        <v>1158</v>
      </c>
      <c r="S67" s="3" t="str">
        <f t="shared" ref="S67:S130" si="89">R67&amp;"_"&amp;N67</f>
        <v>T2_0.60-0.80</v>
      </c>
      <c r="T67" s="13" t="s">
        <v>1159</v>
      </c>
      <c r="U67" s="3" t="s">
        <v>1160</v>
      </c>
      <c r="V67" s="3">
        <v>150</v>
      </c>
      <c r="W67" s="3">
        <v>65</v>
      </c>
      <c r="X67" s="3">
        <v>4.45</v>
      </c>
      <c r="Y67" s="3">
        <v>66</v>
      </c>
      <c r="Z67" t="s">
        <v>535</v>
      </c>
      <c r="AA67" t="s">
        <v>186</v>
      </c>
      <c r="AB67" s="1">
        <v>45643</v>
      </c>
      <c r="AC67">
        <v>13</v>
      </c>
      <c r="AD67">
        <v>13</v>
      </c>
      <c r="AE67">
        <v>580</v>
      </c>
      <c r="AF67" s="37">
        <f t="shared" si="17"/>
        <v>0.22276277045192677</v>
      </c>
      <c r="AG67">
        <v>31</v>
      </c>
      <c r="AH67" s="37">
        <f t="shared" si="18"/>
        <v>1.2112003472975906E-2</v>
      </c>
      <c r="AI67">
        <v>420</v>
      </c>
      <c r="AJ67" s="37">
        <f t="shared" si="19"/>
        <v>0.16614862955637186</v>
      </c>
      <c r="AK67">
        <v>210</v>
      </c>
      <c r="AL67" s="37">
        <f t="shared" si="20"/>
        <v>8.3074314778185929E-2</v>
      </c>
      <c r="AM67">
        <v>230</v>
      </c>
      <c r="AN67" s="37">
        <f t="shared" si="21"/>
        <v>9.0986154280870299E-2</v>
      </c>
      <c r="AO67">
        <v>440</v>
      </c>
      <c r="AQ67" s="59">
        <v>1471</v>
      </c>
      <c r="AR67" s="59">
        <f t="shared" si="22"/>
        <v>0.40102340348127452</v>
      </c>
      <c r="AS67">
        <v>1800</v>
      </c>
      <c r="AT67" s="37">
        <f t="shared" si="23"/>
        <v>0.6741047046890849</v>
      </c>
      <c r="AU67" t="s">
        <v>780</v>
      </c>
      <c r="AV67" t="s">
        <v>780</v>
      </c>
      <c r="AW67" t="s">
        <v>780</v>
      </c>
      <c r="AX67" t="s">
        <v>780</v>
      </c>
      <c r="AY67" t="s">
        <v>780</v>
      </c>
      <c r="AZ67" t="s">
        <v>780</v>
      </c>
      <c r="BA67" t="s">
        <v>780</v>
      </c>
      <c r="BB67" t="s">
        <v>780</v>
      </c>
      <c r="BC67" t="s">
        <v>780</v>
      </c>
      <c r="BD67" t="s">
        <v>780</v>
      </c>
      <c r="BE67" t="s">
        <v>780</v>
      </c>
      <c r="BF67" t="s">
        <v>780</v>
      </c>
      <c r="BG67" t="s">
        <v>780</v>
      </c>
      <c r="BH67" t="s">
        <v>780</v>
      </c>
      <c r="BI67" t="s">
        <v>780</v>
      </c>
      <c r="BJ67" t="s">
        <v>780</v>
      </c>
      <c r="BK67" t="s">
        <v>780</v>
      </c>
      <c r="BL67" t="s">
        <v>780</v>
      </c>
      <c r="BM67" t="s">
        <v>780</v>
      </c>
      <c r="BN67" t="s">
        <v>780</v>
      </c>
      <c r="BO67" s="58">
        <v>280</v>
      </c>
      <c r="BP67" s="58">
        <v>38</v>
      </c>
      <c r="BQ67" s="58">
        <v>32</v>
      </c>
      <c r="BR67" s="58">
        <v>10</v>
      </c>
      <c r="BS67" s="58">
        <v>2.8</v>
      </c>
      <c r="BT67" s="58">
        <v>0.55000000000000004</v>
      </c>
      <c r="BU67" s="58">
        <v>0.08</v>
      </c>
      <c r="BV67" s="58">
        <v>7.0000000000000007E-2</v>
      </c>
      <c r="BW67" s="31">
        <f t="shared" si="24"/>
        <v>0.1048607318405243</v>
      </c>
      <c r="BX67" s="31">
        <f t="shared" si="25"/>
        <v>1.3982521847690386E-2</v>
      </c>
      <c r="BY67" s="31">
        <f t="shared" si="26"/>
        <v>1.2035535957460606E-2</v>
      </c>
      <c r="BZ67" s="31">
        <f t="shared" si="27"/>
        <v>3.7299963903260737E-3</v>
      </c>
      <c r="CA67" s="31">
        <f t="shared" si="28"/>
        <v>1.0368624810637938E-3</v>
      </c>
      <c r="CB67" s="31">
        <f t="shared" si="29"/>
        <v>2.0366941592324524E-4</v>
      </c>
      <c r="CC67" s="31">
        <f t="shared" si="30"/>
        <v>2.9270704573547589E-5</v>
      </c>
      <c r="CD67" s="31">
        <f t="shared" si="31"/>
        <v>2.5611866501854141E-5</v>
      </c>
      <c r="CE67">
        <v>1E-3</v>
      </c>
      <c r="CF67">
        <v>1E-3</v>
      </c>
      <c r="CG67">
        <v>2E-3</v>
      </c>
      <c r="CH67">
        <v>1E-3</v>
      </c>
      <c r="CI67">
        <v>1E-3</v>
      </c>
      <c r="CK67">
        <v>2E-3</v>
      </c>
      <c r="CL67">
        <v>1E-3</v>
      </c>
      <c r="CM67">
        <v>1E-3</v>
      </c>
      <c r="CN67" s="58">
        <f t="shared" si="60"/>
        <v>363.5</v>
      </c>
      <c r="CO67" s="58">
        <f t="shared" si="32"/>
        <v>83.499999999999986</v>
      </c>
      <c r="CP67" s="31">
        <f t="shared" si="33"/>
        <v>0.13590420050406379</v>
      </c>
      <c r="CQ67" s="31">
        <f t="shared" si="34"/>
        <v>3.1043468663539502E-2</v>
      </c>
      <c r="CR67">
        <v>360</v>
      </c>
      <c r="CS67">
        <v>4000</v>
      </c>
      <c r="CT67">
        <v>1100</v>
      </c>
      <c r="CU67" t="s">
        <v>69</v>
      </c>
      <c r="CV67" t="s">
        <v>69</v>
      </c>
      <c r="CW67">
        <v>5100</v>
      </c>
      <c r="CX67" s="2">
        <f t="shared" si="68"/>
        <v>1831</v>
      </c>
      <c r="CZ67">
        <v>67</v>
      </c>
      <c r="DA67" t="s">
        <v>62</v>
      </c>
      <c r="DB67" t="s">
        <v>88</v>
      </c>
      <c r="DC67" t="s">
        <v>782</v>
      </c>
      <c r="DD67" s="37">
        <f t="shared" si="69"/>
        <v>23.833437434936496</v>
      </c>
      <c r="DE67" s="37">
        <f t="shared" si="63"/>
        <v>23.833437434936496</v>
      </c>
      <c r="DF67" s="37">
        <v>4.2</v>
      </c>
      <c r="DG67" s="37">
        <f t="shared" si="70"/>
        <v>7.5201432408236346E-2</v>
      </c>
      <c r="DH67" s="37">
        <f t="shared" si="36"/>
        <v>7.5201432408236346E-2</v>
      </c>
      <c r="DI67" s="37">
        <f t="shared" si="71"/>
        <v>28.033437434936495</v>
      </c>
      <c r="DJ67" s="37">
        <f t="shared" si="37"/>
        <v>0.50194158343664264</v>
      </c>
      <c r="DK67" s="37">
        <f t="shared" si="38"/>
        <v>0.50194158343664264</v>
      </c>
      <c r="DL67" s="55">
        <f t="shared" si="39"/>
        <v>16.276493858005413</v>
      </c>
      <c r="DM67" s="55">
        <f t="shared" si="39"/>
        <v>16.276493858005413</v>
      </c>
      <c r="DN67" s="37">
        <f t="shared" si="40"/>
        <v>20.476493858005412</v>
      </c>
      <c r="DO67" s="55">
        <f t="shared" si="41"/>
        <v>0.36663373067153826</v>
      </c>
      <c r="DP67" s="55">
        <f t="shared" si="42"/>
        <v>0.36663373067153826</v>
      </c>
      <c r="DQ67" s="37">
        <v>2</v>
      </c>
      <c r="DR67" s="37">
        <f t="shared" si="43"/>
        <v>3.6409976333515386E-2</v>
      </c>
      <c r="DS67" s="37">
        <f t="shared" si="44"/>
        <v>7.2819952667030771E-2</v>
      </c>
      <c r="DT67" s="37">
        <f t="shared" si="72"/>
        <v>13.78582558908739</v>
      </c>
      <c r="DU67" s="37">
        <f t="shared" si="73"/>
        <v>6.8929127945436948</v>
      </c>
      <c r="DV67" s="37">
        <f t="shared" si="74"/>
        <v>30.033437434936495</v>
      </c>
      <c r="DW67" s="37">
        <f t="shared" si="75"/>
        <v>0.57476153610367342</v>
      </c>
      <c r="DX67">
        <v>27</v>
      </c>
      <c r="DY67" t="s">
        <v>99</v>
      </c>
      <c r="DZ67" s="29">
        <f t="shared" si="84"/>
        <v>1</v>
      </c>
      <c r="EA67" s="30">
        <v>1.7000000000000001E-2</v>
      </c>
      <c r="EB67" s="30">
        <f t="shared" si="47"/>
        <v>2.741935483870968E-4</v>
      </c>
      <c r="EC67" s="30">
        <f t="shared" si="48"/>
        <v>1.370967741935484E-3</v>
      </c>
      <c r="ED67" s="31">
        <f t="shared" si="85"/>
        <v>41</v>
      </c>
      <c r="EE67" s="33">
        <f t="shared" si="83"/>
        <v>50.617283950617285</v>
      </c>
      <c r="EF67" s="37">
        <f t="shared" si="76"/>
        <v>3.4145325838017904</v>
      </c>
      <c r="EG67" s="37">
        <f>$EK65-EK67</f>
        <v>28</v>
      </c>
      <c r="EH67" s="33">
        <f>(EG67/$EK65)*100</f>
        <v>41.17647058823529</v>
      </c>
      <c r="EI67" s="37">
        <f t="shared" si="82"/>
        <v>2.3318759108890275</v>
      </c>
      <c r="EJ67" s="37">
        <f>($EG67/96.06)*8</f>
        <v>2.3318759108890275</v>
      </c>
      <c r="EK67" s="31">
        <v>40</v>
      </c>
      <c r="EL67" s="31">
        <f t="shared" si="50"/>
        <v>0.41640641265875494</v>
      </c>
      <c r="EM67" s="31">
        <f t="shared" si="51"/>
        <v>3.3312513012700395</v>
      </c>
      <c r="EN67" s="32">
        <f t="shared" si="77"/>
        <v>3.3326222690119751</v>
      </c>
      <c r="EO67" s="39">
        <f t="shared" si="81"/>
        <v>3.9892941199054639</v>
      </c>
      <c r="EP67" s="37">
        <f t="shared" si="78"/>
        <v>1.8253844033128453E-2</v>
      </c>
      <c r="EQ67" s="37">
        <f t="shared" si="79"/>
        <v>0.12582215508555619</v>
      </c>
      <c r="ER67" s="37">
        <f t="shared" si="80"/>
        <v>0.85592400088131537</v>
      </c>
      <c r="ES67" s="39">
        <f t="shared" si="53"/>
        <v>2.7713295942275966</v>
      </c>
      <c r="ET67" s="55">
        <f t="shared" si="54"/>
        <v>13.229524609241707</v>
      </c>
      <c r="EU67" s="55">
        <f t="shared" si="55"/>
        <v>2.6276179065350966</v>
      </c>
      <c r="EV67" s="55">
        <f t="shared" si="56"/>
        <v>84.142857484223185</v>
      </c>
      <c r="EW67" t="s">
        <v>126</v>
      </c>
      <c r="EX67" t="s">
        <v>172</v>
      </c>
      <c r="EY67">
        <v>-142</v>
      </c>
      <c r="EZ67" t="s">
        <v>482</v>
      </c>
      <c r="FA67">
        <v>1040</v>
      </c>
      <c r="FB67" t="s">
        <v>113</v>
      </c>
      <c r="FC67" t="s">
        <v>88</v>
      </c>
      <c r="FD67" s="39">
        <f t="shared" si="57"/>
        <v>-2.9141660117351043</v>
      </c>
      <c r="FE67" s="39">
        <f t="shared" si="61"/>
        <v>-2.8831225430715648</v>
      </c>
      <c r="FF67" s="39">
        <f t="shared" si="58"/>
        <v>-1.6962014860572372</v>
      </c>
      <c r="FG67" s="39">
        <f t="shared" si="59"/>
        <v>-1.6651580173936977</v>
      </c>
    </row>
    <row r="68" spans="1:163" ht="15.75" x14ac:dyDescent="0.25">
      <c r="A68" s="5" t="s">
        <v>326</v>
      </c>
      <c r="B68" s="5" t="s">
        <v>326</v>
      </c>
      <c r="C68" s="3" t="s">
        <v>857</v>
      </c>
      <c r="D68" s="3" t="s">
        <v>857</v>
      </c>
      <c r="E68" s="3" t="s">
        <v>1187</v>
      </c>
      <c r="F68" s="3" t="s">
        <v>1034</v>
      </c>
      <c r="G68" s="3" t="s">
        <v>773</v>
      </c>
      <c r="H68" s="3" t="str">
        <f t="shared" si="87"/>
        <v>CW_2_Section_3</v>
      </c>
      <c r="I68" s="3" t="str">
        <f t="shared" si="88"/>
        <v>CW_2_MF09</v>
      </c>
      <c r="J68" s="3" t="s">
        <v>1492</v>
      </c>
      <c r="K68" s="3" t="s">
        <v>1484</v>
      </c>
      <c r="L68" s="11" t="s">
        <v>1086</v>
      </c>
      <c r="M68" s="3" t="s">
        <v>1015</v>
      </c>
      <c r="N68" s="3" t="s">
        <v>1015</v>
      </c>
      <c r="O68" s="12" t="s">
        <v>1016</v>
      </c>
      <c r="P68" s="3" t="s">
        <v>1188</v>
      </c>
      <c r="Q68" s="3" t="s">
        <v>1018</v>
      </c>
      <c r="R68" s="3" t="s">
        <v>1158</v>
      </c>
      <c r="S68" s="3" t="str">
        <f t="shared" si="89"/>
        <v>T2_0.15-0.30</v>
      </c>
      <c r="T68" s="13" t="s">
        <v>1159</v>
      </c>
      <c r="U68" s="3" t="s">
        <v>1160</v>
      </c>
      <c r="V68" s="3">
        <v>150</v>
      </c>
      <c r="W68" s="3">
        <v>65</v>
      </c>
      <c r="X68" s="3">
        <v>7.2</v>
      </c>
      <c r="Y68" s="3">
        <v>67</v>
      </c>
      <c r="Z68" t="s">
        <v>536</v>
      </c>
      <c r="AA68" t="s">
        <v>219</v>
      </c>
      <c r="AB68" s="1">
        <v>45643</v>
      </c>
      <c r="AC68">
        <v>12</v>
      </c>
      <c r="AD68">
        <v>18</v>
      </c>
      <c r="AE68">
        <v>570</v>
      </c>
      <c r="AF68" s="37">
        <f t="shared" si="17"/>
        <v>0.21892203303034183</v>
      </c>
      <c r="AG68">
        <v>12</v>
      </c>
      <c r="AH68" s="37">
        <f t="shared" si="18"/>
        <v>4.6885174734100279E-3</v>
      </c>
      <c r="AI68">
        <v>260</v>
      </c>
      <c r="AJ68" s="37">
        <f t="shared" si="19"/>
        <v>0.10285391353489687</v>
      </c>
      <c r="AK68">
        <v>130</v>
      </c>
      <c r="AL68" s="37">
        <f t="shared" si="20"/>
        <v>5.1426956767448434E-2</v>
      </c>
      <c r="AM68">
        <v>110</v>
      </c>
      <c r="AN68" s="37">
        <f t="shared" si="21"/>
        <v>4.3515117264764057E-2</v>
      </c>
      <c r="AO68">
        <v>240</v>
      </c>
      <c r="AQ68" s="59">
        <v>1082</v>
      </c>
      <c r="AR68" s="59">
        <f t="shared" si="22"/>
        <v>0.32646446403864871</v>
      </c>
      <c r="AS68">
        <v>160</v>
      </c>
      <c r="AT68" s="37">
        <f t="shared" si="23"/>
        <v>5.9920418194585309E-2</v>
      </c>
      <c r="AU68" t="s">
        <v>780</v>
      </c>
      <c r="AV68" t="s">
        <v>780</v>
      </c>
      <c r="AW68" t="s">
        <v>780</v>
      </c>
      <c r="AX68" t="s">
        <v>780</v>
      </c>
      <c r="AY68" t="s">
        <v>780</v>
      </c>
      <c r="AZ68" t="s">
        <v>780</v>
      </c>
      <c r="BA68" t="s">
        <v>780</v>
      </c>
      <c r="BB68" t="s">
        <v>780</v>
      </c>
      <c r="BC68" t="s">
        <v>780</v>
      </c>
      <c r="BD68" t="s">
        <v>780</v>
      </c>
      <c r="BE68" t="s">
        <v>780</v>
      </c>
      <c r="BF68" t="s">
        <v>780</v>
      </c>
      <c r="BG68" t="s">
        <v>780</v>
      </c>
      <c r="BH68" t="s">
        <v>780</v>
      </c>
      <c r="BI68" t="s">
        <v>780</v>
      </c>
      <c r="BJ68" t="s">
        <v>780</v>
      </c>
      <c r="BK68" t="s">
        <v>780</v>
      </c>
      <c r="BL68" t="s">
        <v>780</v>
      </c>
      <c r="BM68" t="s">
        <v>780</v>
      </c>
      <c r="BN68" t="s">
        <v>780</v>
      </c>
      <c r="BO68" s="58">
        <v>110</v>
      </c>
      <c r="BP68" s="58">
        <v>2.2999999999999998</v>
      </c>
      <c r="BQ68" s="58">
        <v>1.4</v>
      </c>
      <c r="BR68" s="58">
        <v>0.51</v>
      </c>
      <c r="BS68" s="58">
        <v>0.13</v>
      </c>
      <c r="BT68" s="58">
        <v>1E-3</v>
      </c>
      <c r="BU68" s="58">
        <v>1E-3</v>
      </c>
      <c r="BV68" s="58">
        <v>2E-3</v>
      </c>
      <c r="BW68" s="31">
        <f t="shared" si="24"/>
        <v>4.1195287508777406E-2</v>
      </c>
      <c r="BX68" s="31">
        <f t="shared" si="25"/>
        <v>8.4631053288652339E-4</v>
      </c>
      <c r="BY68" s="31">
        <f t="shared" si="26"/>
        <v>5.2655469813890144E-4</v>
      </c>
      <c r="BZ68" s="31">
        <f t="shared" si="27"/>
        <v>1.9022981590662979E-4</v>
      </c>
      <c r="CA68" s="31">
        <f t="shared" si="28"/>
        <v>4.8140043763676151E-5</v>
      </c>
      <c r="CB68" s="31">
        <f t="shared" si="29"/>
        <v>3.7030802895135499E-7</v>
      </c>
      <c r="CC68" s="31">
        <f t="shared" si="30"/>
        <v>3.6588380716934485E-7</v>
      </c>
      <c r="CD68" s="31">
        <f t="shared" si="31"/>
        <v>7.3176761433868969E-7</v>
      </c>
      <c r="CE68">
        <v>1E-3</v>
      </c>
      <c r="CF68">
        <v>1E-3</v>
      </c>
      <c r="CG68">
        <v>2E-3</v>
      </c>
      <c r="CH68">
        <v>1E-3</v>
      </c>
      <c r="CI68">
        <v>1E-3</v>
      </c>
      <c r="CK68">
        <v>2E-3</v>
      </c>
      <c r="CL68">
        <v>1E-3</v>
      </c>
      <c r="CM68">
        <v>1E-3</v>
      </c>
      <c r="CN68" s="58">
        <f t="shared" si="60"/>
        <v>114.34400000000001</v>
      </c>
      <c r="CO68" s="58">
        <f t="shared" si="32"/>
        <v>4.3440000000000003</v>
      </c>
      <c r="CP68" s="31">
        <f t="shared" si="33"/>
        <v>4.2807990558923585E-2</v>
      </c>
      <c r="CQ68" s="31">
        <f t="shared" si="34"/>
        <v>1.6127030501461902E-3</v>
      </c>
      <c r="CR68">
        <v>110</v>
      </c>
      <c r="CS68">
        <v>250</v>
      </c>
      <c r="CT68">
        <v>30</v>
      </c>
      <c r="CU68" t="s">
        <v>69</v>
      </c>
      <c r="CV68" t="s">
        <v>69</v>
      </c>
      <c r="CW68">
        <v>280</v>
      </c>
      <c r="CX68" s="2">
        <f t="shared" si="68"/>
        <v>1192</v>
      </c>
      <c r="CZ68">
        <v>62</v>
      </c>
      <c r="DA68" t="s">
        <v>62</v>
      </c>
      <c r="DB68" t="s">
        <v>88</v>
      </c>
      <c r="DC68" t="s">
        <v>782</v>
      </c>
      <c r="DD68" s="37">
        <f t="shared" si="69"/>
        <v>46.794919841765562</v>
      </c>
      <c r="DE68" s="37">
        <f t="shared" si="63"/>
        <v>46.794919841765562</v>
      </c>
      <c r="DF68" s="37">
        <v>21</v>
      </c>
      <c r="DG68" s="37">
        <f t="shared" si="70"/>
        <v>0.37600716204118173</v>
      </c>
      <c r="DH68" s="37">
        <f t="shared" si="36"/>
        <v>0.37600716204118173</v>
      </c>
      <c r="DI68" s="37">
        <f t="shared" si="71"/>
        <v>67.794919841765562</v>
      </c>
      <c r="DJ68" s="37">
        <f t="shared" si="37"/>
        <v>1.2138750195481747</v>
      </c>
      <c r="DK68" s="37">
        <f t="shared" si="38"/>
        <v>1.2138750195481747</v>
      </c>
      <c r="DL68" s="55">
        <f t="shared" si="39"/>
        <v>0</v>
      </c>
      <c r="DM68" s="55">
        <f t="shared" si="39"/>
        <v>0</v>
      </c>
      <c r="DN68" s="37">
        <f t="shared" si="40"/>
        <v>21</v>
      </c>
      <c r="DO68" s="55">
        <f t="shared" si="41"/>
        <v>0.37600716204118173</v>
      </c>
      <c r="DP68" s="55">
        <f t="shared" si="42"/>
        <v>0.37600716204118173</v>
      </c>
      <c r="DQ68" s="37">
        <v>4</v>
      </c>
      <c r="DR68" s="37">
        <f t="shared" si="43"/>
        <v>7.2819952667030771E-2</v>
      </c>
      <c r="DS68" s="37">
        <f t="shared" si="44"/>
        <v>0.14563990533406154</v>
      </c>
      <c r="DT68" s="37">
        <f t="shared" si="72"/>
        <v>16.669538705945307</v>
      </c>
      <c r="DU68" s="37">
        <f t="shared" si="73"/>
        <v>8.3347693529726534</v>
      </c>
      <c r="DV68" s="37">
        <f t="shared" si="74"/>
        <v>71.794919841765562</v>
      </c>
      <c r="DW68" s="37">
        <f t="shared" si="75"/>
        <v>1.3595149248822362</v>
      </c>
      <c r="DX68">
        <v>23</v>
      </c>
      <c r="DY68" t="s">
        <v>100</v>
      </c>
      <c r="DZ68" s="29">
        <f t="shared" si="84"/>
        <v>1</v>
      </c>
      <c r="EA68" s="30">
        <v>1.7000000000000001E-2</v>
      </c>
      <c r="EB68" s="30">
        <f t="shared" si="47"/>
        <v>2.741935483870968E-4</v>
      </c>
      <c r="EC68" s="30">
        <f t="shared" si="48"/>
        <v>1.370967741935484E-3</v>
      </c>
      <c r="ED68" s="31">
        <f t="shared" si="85"/>
        <v>80.5</v>
      </c>
      <c r="EE68" s="33">
        <f t="shared" si="83"/>
        <v>99.382716049382708</v>
      </c>
      <c r="EF68" s="37">
        <f t="shared" si="76"/>
        <v>6.7041432438059543</v>
      </c>
      <c r="EG68" s="37">
        <f>$EK66-EK68</f>
        <v>0</v>
      </c>
      <c r="EH68" s="33">
        <f>(EG68/$EK66)*100</f>
        <v>0</v>
      </c>
      <c r="EI68" s="37">
        <f t="shared" si="82"/>
        <v>0</v>
      </c>
      <c r="EJ68" s="37">
        <f>($EG68/96.06)*8</f>
        <v>0</v>
      </c>
      <c r="EK68" s="31">
        <v>0.5</v>
      </c>
      <c r="EL68" s="31">
        <f t="shared" si="50"/>
        <v>5.2050801582344368E-3</v>
      </c>
      <c r="EM68" s="31">
        <f t="shared" si="51"/>
        <v>4.1640641265875494E-2</v>
      </c>
      <c r="EN68" s="32">
        <f t="shared" si="77"/>
        <v>4.301160900781098E-2</v>
      </c>
      <c r="EO68" s="39">
        <f t="shared" si="81"/>
        <v>8.0636581686881907</v>
      </c>
      <c r="EP68" s="37">
        <f t="shared" si="78"/>
        <v>1.8061269747221251E-2</v>
      </c>
      <c r="EQ68" s="37">
        <f t="shared" si="79"/>
        <v>0.15053651756491185</v>
      </c>
      <c r="ER68" s="37">
        <f t="shared" si="80"/>
        <v>0.83140221268786685</v>
      </c>
      <c r="ES68" s="39">
        <f t="shared" si="53"/>
        <v>0.52164706737524325</v>
      </c>
      <c r="ET68" s="55">
        <f t="shared" si="54"/>
        <v>72.08075834359164</v>
      </c>
      <c r="EU68" s="55">
        <f t="shared" si="55"/>
        <v>27.919241656408367</v>
      </c>
      <c r="EV68" s="55">
        <f t="shared" si="56"/>
        <v>0</v>
      </c>
      <c r="EW68" t="s">
        <v>179</v>
      </c>
      <c r="EX68" t="s">
        <v>491</v>
      </c>
      <c r="EY68">
        <v>-122</v>
      </c>
      <c r="EZ68" t="s">
        <v>128</v>
      </c>
      <c r="FA68">
        <v>622</v>
      </c>
      <c r="FB68" t="s">
        <v>72</v>
      </c>
      <c r="FC68" t="s">
        <v>88</v>
      </c>
      <c r="FD68" s="39">
        <f t="shared" si="57"/>
        <v>-7.6772732864549571</v>
      </c>
      <c r="FE68" s="39">
        <f t="shared" si="61"/>
        <v>-7.6756605834048104</v>
      </c>
      <c r="FF68" s="39">
        <f t="shared" si="58"/>
        <v>-0.13526218514200922</v>
      </c>
      <c r="FG68" s="39">
        <f t="shared" si="59"/>
        <v>-0.133649482091863</v>
      </c>
    </row>
    <row r="69" spans="1:163" ht="15.75" x14ac:dyDescent="0.25">
      <c r="A69" s="5" t="s">
        <v>327</v>
      </c>
      <c r="B69" s="5" t="s">
        <v>327</v>
      </c>
      <c r="C69" s="3" t="s">
        <v>858</v>
      </c>
      <c r="D69" s="3" t="s">
        <v>858</v>
      </c>
      <c r="E69" s="3" t="s">
        <v>1189</v>
      </c>
      <c r="F69" s="3" t="s">
        <v>1034</v>
      </c>
      <c r="G69" s="3" t="s">
        <v>773</v>
      </c>
      <c r="H69" s="3" t="str">
        <f t="shared" si="87"/>
        <v>CW_2_Section_3</v>
      </c>
      <c r="I69" s="3" t="str">
        <f t="shared" si="88"/>
        <v>CW_2_MF10</v>
      </c>
      <c r="J69" s="3" t="s">
        <v>1493</v>
      </c>
      <c r="K69" s="3" t="s">
        <v>1484</v>
      </c>
      <c r="L69" s="11" t="s">
        <v>1089</v>
      </c>
      <c r="M69" s="3" t="s">
        <v>1024</v>
      </c>
      <c r="N69" s="3" t="s">
        <v>1024</v>
      </c>
      <c r="O69" s="12" t="s">
        <v>1016</v>
      </c>
      <c r="P69" s="3" t="s">
        <v>1190</v>
      </c>
      <c r="Q69" s="3" t="s">
        <v>1018</v>
      </c>
      <c r="R69" s="3" t="s">
        <v>1158</v>
      </c>
      <c r="S69" s="3" t="str">
        <f t="shared" si="89"/>
        <v>T2_0.60-0.80</v>
      </c>
      <c r="T69" s="13" t="s">
        <v>1159</v>
      </c>
      <c r="U69" s="3" t="s">
        <v>1160</v>
      </c>
      <c r="V69" s="3">
        <v>150</v>
      </c>
      <c r="W69" s="3">
        <v>65</v>
      </c>
      <c r="X69" s="3">
        <v>5.0999999999999996</v>
      </c>
      <c r="Y69" s="3">
        <v>68</v>
      </c>
      <c r="Z69" t="s">
        <v>537</v>
      </c>
      <c r="AA69" t="s">
        <v>228</v>
      </c>
      <c r="AB69" s="1">
        <v>45643</v>
      </c>
      <c r="AC69">
        <v>11</v>
      </c>
      <c r="AD69">
        <v>12</v>
      </c>
      <c r="AE69">
        <v>660</v>
      </c>
      <c r="AF69" s="37">
        <f t="shared" si="17"/>
        <v>0.25348866982460633</v>
      </c>
      <c r="AG69">
        <v>34</v>
      </c>
      <c r="AH69" s="37">
        <f t="shared" si="18"/>
        <v>1.3284132841328414E-2</v>
      </c>
      <c r="AI69">
        <v>400</v>
      </c>
      <c r="AJ69" s="37">
        <f t="shared" si="19"/>
        <v>0.15823679005368749</v>
      </c>
      <c r="AK69">
        <v>210</v>
      </c>
      <c r="AL69" s="37">
        <f t="shared" si="20"/>
        <v>8.3074314778185929E-2</v>
      </c>
      <c r="AM69">
        <v>190</v>
      </c>
      <c r="AN69" s="37">
        <f t="shared" si="21"/>
        <v>7.5162475275501545E-2</v>
      </c>
      <c r="AO69">
        <v>400</v>
      </c>
      <c r="AQ69" s="59">
        <v>1494</v>
      </c>
      <c r="AR69" s="59">
        <f t="shared" si="22"/>
        <v>0.42500959271962224</v>
      </c>
      <c r="AS69">
        <v>1900</v>
      </c>
      <c r="AT69" s="37">
        <f t="shared" si="23"/>
        <v>0.71155496606070068</v>
      </c>
      <c r="AU69" t="s">
        <v>780</v>
      </c>
      <c r="AV69" t="s">
        <v>780</v>
      </c>
      <c r="AW69" t="s">
        <v>780</v>
      </c>
      <c r="AX69" t="s">
        <v>780</v>
      </c>
      <c r="AY69" t="s">
        <v>780</v>
      </c>
      <c r="AZ69" t="s">
        <v>780</v>
      </c>
      <c r="BA69" t="s">
        <v>780</v>
      </c>
      <c r="BB69" t="s">
        <v>780</v>
      </c>
      <c r="BC69" t="s">
        <v>780</v>
      </c>
      <c r="BD69" t="s">
        <v>780</v>
      </c>
      <c r="BE69" t="s">
        <v>780</v>
      </c>
      <c r="BF69" t="s">
        <v>780</v>
      </c>
      <c r="BG69" t="s">
        <v>780</v>
      </c>
      <c r="BH69" t="s">
        <v>780</v>
      </c>
      <c r="BI69" t="s">
        <v>780</v>
      </c>
      <c r="BJ69" t="s">
        <v>780</v>
      </c>
      <c r="BK69" t="s">
        <v>780</v>
      </c>
      <c r="BL69" t="s">
        <v>780</v>
      </c>
      <c r="BM69" t="s">
        <v>780</v>
      </c>
      <c r="BN69" t="s">
        <v>780</v>
      </c>
      <c r="BO69" s="58">
        <v>710</v>
      </c>
      <c r="BP69" s="58">
        <v>58</v>
      </c>
      <c r="BQ69" s="58">
        <v>41</v>
      </c>
      <c r="BR69" s="58">
        <v>13</v>
      </c>
      <c r="BS69" s="58">
        <v>3.4</v>
      </c>
      <c r="BT69" s="58">
        <v>0.73</v>
      </c>
      <c r="BU69" s="58">
        <v>0.06</v>
      </c>
      <c r="BV69" s="58">
        <v>0.03</v>
      </c>
      <c r="BW69" s="31">
        <f t="shared" si="24"/>
        <v>0.26589685573847233</v>
      </c>
      <c r="BX69" s="31">
        <f t="shared" si="25"/>
        <v>2.134174387279059E-2</v>
      </c>
      <c r="BY69" s="31">
        <f t="shared" si="26"/>
        <v>1.54205304454964E-2</v>
      </c>
      <c r="BZ69" s="31">
        <f t="shared" si="27"/>
        <v>4.8489953074238963E-3</v>
      </c>
      <c r="CA69" s="31">
        <f t="shared" si="28"/>
        <v>1.259047298434607E-3</v>
      </c>
      <c r="CB69" s="31">
        <f t="shared" si="29"/>
        <v>2.7032486113448914E-4</v>
      </c>
      <c r="CC69" s="31">
        <f t="shared" si="30"/>
        <v>2.1953028430160689E-5</v>
      </c>
      <c r="CD69" s="31">
        <f t="shared" si="31"/>
        <v>1.0976514215080345E-5</v>
      </c>
      <c r="CE69">
        <v>1E-3</v>
      </c>
      <c r="CF69">
        <v>1E-3</v>
      </c>
      <c r="CG69">
        <v>2E-3</v>
      </c>
      <c r="CH69">
        <v>1E-3</v>
      </c>
      <c r="CI69">
        <v>1E-3</v>
      </c>
      <c r="CK69">
        <v>2E-3</v>
      </c>
      <c r="CL69">
        <v>1E-3</v>
      </c>
      <c r="CM69">
        <v>1E-3</v>
      </c>
      <c r="CN69" s="58">
        <f t="shared" si="60"/>
        <v>826.21999999999991</v>
      </c>
      <c r="CO69" s="58">
        <f t="shared" si="32"/>
        <v>116.22000000000001</v>
      </c>
      <c r="CP69" s="31">
        <f t="shared" si="33"/>
        <v>0.30907042706639754</v>
      </c>
      <c r="CQ69" s="31">
        <f t="shared" si="34"/>
        <v>4.317357132792523E-2</v>
      </c>
      <c r="CR69">
        <v>820</v>
      </c>
      <c r="CS69">
        <v>3500</v>
      </c>
      <c r="CT69">
        <v>910</v>
      </c>
      <c r="CU69" t="s">
        <v>69</v>
      </c>
      <c r="CV69" t="s">
        <v>69</v>
      </c>
      <c r="CW69">
        <v>4400</v>
      </c>
      <c r="CX69" s="2">
        <f t="shared" si="68"/>
        <v>2314</v>
      </c>
      <c r="CZ69">
        <v>67</v>
      </c>
      <c r="DA69" t="s">
        <v>62</v>
      </c>
      <c r="DB69" t="s">
        <v>88</v>
      </c>
      <c r="DC69" t="s">
        <v>782</v>
      </c>
      <c r="DD69" s="37">
        <f t="shared" si="69"/>
        <v>22.670830730793252</v>
      </c>
      <c r="DE69" s="37">
        <f t="shared" si="63"/>
        <v>22.670830730793252</v>
      </c>
      <c r="DF69" s="37">
        <v>2.4</v>
      </c>
      <c r="DG69" s="37">
        <f t="shared" si="70"/>
        <v>4.2972247090420766E-2</v>
      </c>
      <c r="DH69" s="37">
        <f t="shared" si="36"/>
        <v>4.2972247090420766E-2</v>
      </c>
      <c r="DI69" s="37">
        <f t="shared" si="71"/>
        <v>25.070830730793251</v>
      </c>
      <c r="DJ69" s="37">
        <f t="shared" si="37"/>
        <v>0.44889580538573409</v>
      </c>
      <c r="DK69" s="37">
        <f t="shared" si="38"/>
        <v>0.44889580538573409</v>
      </c>
      <c r="DL69" s="55">
        <f t="shared" si="39"/>
        <v>-1.1626067041432437</v>
      </c>
      <c r="DN69" s="37">
        <f t="shared" si="40"/>
        <v>2.4</v>
      </c>
      <c r="DO69" s="55">
        <f t="shared" si="41"/>
        <v>4.2972247090420766E-2</v>
      </c>
      <c r="DP69" s="55">
        <f t="shared" si="42"/>
        <v>4.2972247090420766E-2</v>
      </c>
      <c r="DQ69" s="37">
        <v>2.1</v>
      </c>
      <c r="DR69" s="37">
        <f t="shared" si="43"/>
        <v>3.8230475150191151E-2</v>
      </c>
      <c r="DS69" s="37">
        <f t="shared" si="44"/>
        <v>7.6460950300382302E-2</v>
      </c>
      <c r="DT69" s="37">
        <f t="shared" si="72"/>
        <v>11.741831709446846</v>
      </c>
      <c r="DU69" s="37">
        <f t="shared" si="73"/>
        <v>5.8709158547234228</v>
      </c>
      <c r="DV69" s="37">
        <f t="shared" si="74"/>
        <v>27.170830730793252</v>
      </c>
      <c r="DW69" s="37">
        <f t="shared" si="75"/>
        <v>0.52535675568611639</v>
      </c>
      <c r="DX69">
        <v>26</v>
      </c>
      <c r="DY69" t="s">
        <v>468</v>
      </c>
      <c r="DZ69" s="29">
        <f t="shared" si="84"/>
        <v>1</v>
      </c>
      <c r="EA69" s="30">
        <v>1.7000000000000001E-2</v>
      </c>
      <c r="EB69" s="30">
        <f t="shared" si="47"/>
        <v>2.741935483870968E-4</v>
      </c>
      <c r="EC69" s="30">
        <f t="shared" si="48"/>
        <v>1.370967741935484E-3</v>
      </c>
      <c r="ED69" s="31">
        <f t="shared" si="85"/>
        <v>39</v>
      </c>
      <c r="EE69" s="33">
        <f t="shared" si="83"/>
        <v>48.148148148148145</v>
      </c>
      <c r="EF69" s="37">
        <f t="shared" si="76"/>
        <v>3.2479700187382883</v>
      </c>
      <c r="EG69" s="29">
        <f>$EK67-EK69</f>
        <v>-2</v>
      </c>
      <c r="EH69" s="33">
        <f>(EG69/$EK67)*100</f>
        <v>-5</v>
      </c>
      <c r="EI69" s="37">
        <f t="shared" si="82"/>
        <v>-0.16656256506350198</v>
      </c>
      <c r="EJ69" s="37"/>
      <c r="EK69" s="31">
        <v>42</v>
      </c>
      <c r="EL69" s="31">
        <f t="shared" si="50"/>
        <v>0.4372267332916927</v>
      </c>
      <c r="EM69" s="31">
        <f t="shared" si="51"/>
        <v>3.4978138663335416</v>
      </c>
      <c r="EN69" s="32">
        <f t="shared" si="77"/>
        <v>3.4991848340754772</v>
      </c>
      <c r="EO69" s="39">
        <f t="shared" si="81"/>
        <v>3.7733267744244046</v>
      </c>
      <c r="EP69" s="37">
        <f t="shared" si="78"/>
        <v>2.0263537952406971E-2</v>
      </c>
      <c r="EQ69" s="37">
        <f t="shared" si="79"/>
        <v>0.11896552623757589</v>
      </c>
      <c r="ER69" s="37">
        <f t="shared" si="80"/>
        <v>0.86077093581001718</v>
      </c>
      <c r="ES69" s="39">
        <f t="shared" si="53"/>
        <v>0.11943319739080308</v>
      </c>
      <c r="ET69" s="55">
        <f t="shared" si="54"/>
        <v>35.98015294676339</v>
      </c>
      <c r="EU69" s="55">
        <f t="shared" si="55"/>
        <v>64.019847053236617</v>
      </c>
      <c r="EV69" s="55">
        <f t="shared" si="56"/>
        <v>0</v>
      </c>
      <c r="EW69" t="s">
        <v>470</v>
      </c>
      <c r="EX69" t="s">
        <v>256</v>
      </c>
      <c r="EY69">
        <v>-115</v>
      </c>
      <c r="EZ69" t="s">
        <v>174</v>
      </c>
      <c r="FA69">
        <v>536</v>
      </c>
      <c r="FB69" t="s">
        <v>113</v>
      </c>
      <c r="FC69" t="s">
        <v>88</v>
      </c>
      <c r="FD69" s="39">
        <f t="shared" si="57"/>
        <v>-2.6367622156440818</v>
      </c>
      <c r="FE69" s="39">
        <f t="shared" si="61"/>
        <v>-2.5935886443161564</v>
      </c>
      <c r="FF69" s="39">
        <f t="shared" si="58"/>
        <v>1.0171313613895197</v>
      </c>
      <c r="FG69" s="39">
        <f t="shared" si="59"/>
        <v>1.060304932717445</v>
      </c>
    </row>
    <row r="70" spans="1:163" ht="15.75" x14ac:dyDescent="0.25">
      <c r="A70" s="5" t="s">
        <v>328</v>
      </c>
      <c r="B70" s="5" t="s">
        <v>328</v>
      </c>
      <c r="C70" s="3" t="s">
        <v>859</v>
      </c>
      <c r="D70" s="3" t="s">
        <v>859</v>
      </c>
      <c r="E70" s="3" t="s">
        <v>1191</v>
      </c>
      <c r="F70" s="3" t="s">
        <v>1013</v>
      </c>
      <c r="G70" s="3" t="s">
        <v>774</v>
      </c>
      <c r="H70" s="3" t="str">
        <f t="shared" si="87"/>
        <v>CW_3_Section_1</v>
      </c>
      <c r="I70" s="3" t="str">
        <f t="shared" si="88"/>
        <v>CW_3_MF01</v>
      </c>
      <c r="J70" s="3" t="s">
        <v>1488</v>
      </c>
      <c r="K70" s="3" t="s">
        <v>1484</v>
      </c>
      <c r="L70" s="11" t="s">
        <v>1092</v>
      </c>
      <c r="M70" s="3" t="s">
        <v>1015</v>
      </c>
      <c r="N70" s="3" t="s">
        <v>1015</v>
      </c>
      <c r="O70" s="12" t="s">
        <v>1016</v>
      </c>
      <c r="P70" s="3" t="s">
        <v>1192</v>
      </c>
      <c r="Q70" s="3" t="s">
        <v>1018</v>
      </c>
      <c r="R70" s="3" t="s">
        <v>1158</v>
      </c>
      <c r="S70" s="3" t="str">
        <f t="shared" si="89"/>
        <v>T2_0.15-0.30</v>
      </c>
      <c r="T70" s="13" t="s">
        <v>1159</v>
      </c>
      <c r="U70" s="3" t="s">
        <v>1160</v>
      </c>
      <c r="V70" s="3">
        <v>150</v>
      </c>
      <c r="W70" s="3">
        <v>65</v>
      </c>
      <c r="X70" s="3">
        <v>9.4499999999999993</v>
      </c>
      <c r="Y70" s="3">
        <v>69</v>
      </c>
      <c r="Z70" t="s">
        <v>540</v>
      </c>
      <c r="AA70" t="s">
        <v>241</v>
      </c>
      <c r="AB70" s="1">
        <v>45644</v>
      </c>
      <c r="AC70">
        <v>9.8000000000000007</v>
      </c>
      <c r="AD70">
        <v>10</v>
      </c>
      <c r="AE70">
        <v>550</v>
      </c>
      <c r="AF70" s="37">
        <f t="shared" si="17"/>
        <v>0.21124055818717194</v>
      </c>
      <c r="AG70">
        <v>13</v>
      </c>
      <c r="AH70" s="37">
        <f t="shared" si="18"/>
        <v>5.0792272628608645E-3</v>
      </c>
      <c r="AI70">
        <v>140</v>
      </c>
      <c r="AJ70" s="37">
        <f t="shared" si="19"/>
        <v>5.5382876518790619E-2</v>
      </c>
      <c r="AK70">
        <v>110</v>
      </c>
      <c r="AL70" s="37">
        <f t="shared" si="20"/>
        <v>4.3515117264764057E-2</v>
      </c>
      <c r="AM70">
        <v>59</v>
      </c>
      <c r="AN70" s="37">
        <f t="shared" si="21"/>
        <v>2.3339926532918904E-2</v>
      </c>
      <c r="AO70">
        <v>169</v>
      </c>
      <c r="AQ70" s="59">
        <v>872</v>
      </c>
      <c r="AR70" s="59">
        <f t="shared" si="22"/>
        <v>0.27170266196882342</v>
      </c>
      <c r="AS70">
        <v>32</v>
      </c>
      <c r="AT70" s="37">
        <f t="shared" si="23"/>
        <v>1.1984083638917061E-2</v>
      </c>
      <c r="AU70" t="s">
        <v>780</v>
      </c>
      <c r="AV70" t="s">
        <v>780</v>
      </c>
      <c r="AW70" t="s">
        <v>780</v>
      </c>
      <c r="AX70" t="s">
        <v>780</v>
      </c>
      <c r="AY70" t="s">
        <v>780</v>
      </c>
      <c r="AZ70" t="s">
        <v>780</v>
      </c>
      <c r="BA70" t="s">
        <v>780</v>
      </c>
      <c r="BB70" t="s">
        <v>780</v>
      </c>
      <c r="BC70" t="s">
        <v>780</v>
      </c>
      <c r="BD70" t="s">
        <v>780</v>
      </c>
      <c r="BE70" t="s">
        <v>780</v>
      </c>
      <c r="BF70" t="s">
        <v>780</v>
      </c>
      <c r="BG70" t="s">
        <v>780</v>
      </c>
      <c r="BH70" t="s">
        <v>780</v>
      </c>
      <c r="BI70" t="s">
        <v>780</v>
      </c>
      <c r="BJ70" t="s">
        <v>780</v>
      </c>
      <c r="BK70" t="s">
        <v>780</v>
      </c>
      <c r="BL70" t="s">
        <v>780</v>
      </c>
      <c r="BM70" t="s">
        <v>780</v>
      </c>
      <c r="BN70" t="s">
        <v>780</v>
      </c>
      <c r="BO70" s="58">
        <v>0.17</v>
      </c>
      <c r="BP70" s="58">
        <v>0.11</v>
      </c>
      <c r="BQ70" s="58">
        <v>0.01</v>
      </c>
      <c r="BR70" s="58">
        <v>5.0000000000000001E-3</v>
      </c>
      <c r="BS70" s="58">
        <v>0.01</v>
      </c>
      <c r="BT70" s="58">
        <v>1E-3</v>
      </c>
      <c r="BU70" s="58">
        <v>1E-3</v>
      </c>
      <c r="BV70" s="58">
        <v>2E-3</v>
      </c>
      <c r="BW70" s="31">
        <f t="shared" si="24"/>
        <v>6.36654443317469E-5</v>
      </c>
      <c r="BX70" s="31">
        <f t="shared" si="25"/>
        <v>4.0475721138051117E-5</v>
      </c>
      <c r="BY70" s="31">
        <f t="shared" si="26"/>
        <v>3.7611049867064394E-6</v>
      </c>
      <c r="BZ70" s="31">
        <f t="shared" si="27"/>
        <v>1.8649981951630372E-6</v>
      </c>
      <c r="CA70" s="31">
        <f t="shared" si="28"/>
        <v>3.7030802895135499E-6</v>
      </c>
      <c r="CB70" s="31">
        <f t="shared" si="29"/>
        <v>3.7030802895135499E-7</v>
      </c>
      <c r="CC70" s="31">
        <f t="shared" si="30"/>
        <v>3.6588380716934485E-7</v>
      </c>
      <c r="CD70" s="31">
        <f t="shared" si="31"/>
        <v>7.3176761433868969E-7</v>
      </c>
      <c r="CE70">
        <v>1E-3</v>
      </c>
      <c r="CF70">
        <v>1E-3</v>
      </c>
      <c r="CG70">
        <v>2E-3</v>
      </c>
      <c r="CH70">
        <v>1E-3</v>
      </c>
      <c r="CI70">
        <v>1E-3</v>
      </c>
      <c r="CK70">
        <v>2E-3</v>
      </c>
      <c r="CL70">
        <v>1E-3</v>
      </c>
      <c r="CM70">
        <v>1E-3</v>
      </c>
      <c r="CN70" s="58">
        <f t="shared" si="60"/>
        <v>0.30900000000000005</v>
      </c>
      <c r="CO70" s="58">
        <f t="shared" si="32"/>
        <v>0.13900000000000001</v>
      </c>
      <c r="CP70" s="31">
        <f t="shared" si="33"/>
        <v>1.1493830839164045E-4</v>
      </c>
      <c r="CQ70" s="31">
        <f t="shared" si="34"/>
        <v>5.1272864059893534E-5</v>
      </c>
      <c r="CR70">
        <v>4.2000000000000003E-2</v>
      </c>
      <c r="CS70" t="s">
        <v>69</v>
      </c>
      <c r="CT70" t="s">
        <v>69</v>
      </c>
      <c r="CU70" t="s">
        <v>69</v>
      </c>
      <c r="CV70" t="s">
        <v>69</v>
      </c>
      <c r="CW70">
        <v>5</v>
      </c>
      <c r="CX70" s="2">
        <f t="shared" si="68"/>
        <v>872.04200000000003</v>
      </c>
      <c r="CZ70">
        <v>63</v>
      </c>
      <c r="DA70" t="s">
        <v>62</v>
      </c>
      <c r="DB70" t="s">
        <v>88</v>
      </c>
      <c r="DC70" t="s">
        <v>782</v>
      </c>
      <c r="DD70" s="37">
        <f t="shared" si="69"/>
        <v>46.794919841765562</v>
      </c>
      <c r="DE70" s="37">
        <f t="shared" si="63"/>
        <v>46.794919841765562</v>
      </c>
      <c r="DF70" s="37">
        <v>25</v>
      </c>
      <c r="DG70" s="37">
        <f t="shared" si="70"/>
        <v>0.44762757385854968</v>
      </c>
      <c r="DH70" s="37">
        <f t="shared" si="36"/>
        <v>0.44762757385854968</v>
      </c>
      <c r="DI70" s="37">
        <f t="shared" si="71"/>
        <v>71.794919841765562</v>
      </c>
      <c r="DJ70" s="37">
        <f t="shared" si="37"/>
        <v>1.2854954313655427</v>
      </c>
      <c r="DK70" s="37">
        <f t="shared" si="38"/>
        <v>1.2854954313655427</v>
      </c>
      <c r="DL70" s="55">
        <f t="shared" si="39"/>
        <v>46.794919841765562</v>
      </c>
      <c r="DM70" s="55">
        <f t="shared" si="39"/>
        <v>46.794919841765562</v>
      </c>
      <c r="DN70" s="37">
        <f t="shared" si="40"/>
        <v>71.794919841765562</v>
      </c>
      <c r="DO70" s="55">
        <f t="shared" si="41"/>
        <v>1.2854954313655427</v>
      </c>
      <c r="DP70" s="55">
        <f t="shared" si="42"/>
        <v>1.2854954313655427</v>
      </c>
      <c r="DQ70" s="37">
        <v>3.8</v>
      </c>
      <c r="DR70" s="37">
        <f t="shared" si="43"/>
        <v>6.9178955033679226E-2</v>
      </c>
      <c r="DS70" s="37">
        <f t="shared" si="44"/>
        <v>0.13835791006735845</v>
      </c>
      <c r="DT70" s="37">
        <f t="shared" si="72"/>
        <v>18.582174748660332</v>
      </c>
      <c r="DU70" s="37">
        <f t="shared" si="73"/>
        <v>9.2910873743301661</v>
      </c>
      <c r="DV70" s="37">
        <f t="shared" si="74"/>
        <v>75.594919841765559</v>
      </c>
      <c r="DW70" s="37">
        <f t="shared" si="75"/>
        <v>1.4238533414329011</v>
      </c>
      <c r="DX70">
        <v>22</v>
      </c>
      <c r="DY70" t="s">
        <v>104</v>
      </c>
      <c r="DZ70" s="29">
        <f t="shared" si="84"/>
        <v>1</v>
      </c>
      <c r="EA70" s="30">
        <v>1.7000000000000001E-2</v>
      </c>
      <c r="EB70" s="30">
        <f t="shared" si="47"/>
        <v>2.741935483870968E-4</v>
      </c>
      <c r="EC70" s="30">
        <f t="shared" si="48"/>
        <v>1.370967741935484E-3</v>
      </c>
      <c r="ED70" s="31">
        <f t="shared" si="85"/>
        <v>80.5</v>
      </c>
      <c r="EE70" s="33">
        <f t="shared" si="83"/>
        <v>99.382716049382708</v>
      </c>
      <c r="EF70" s="37">
        <f t="shared" si="76"/>
        <v>6.7041432438059543</v>
      </c>
      <c r="EG70" s="37">
        <f>$EK54-EK70</f>
        <v>80.5</v>
      </c>
      <c r="EH70" s="33">
        <f>(EG70/$EK$54)*100</f>
        <v>99.382716049382708</v>
      </c>
      <c r="EI70" s="37">
        <f t="shared" si="82"/>
        <v>6.7041432438059543</v>
      </c>
      <c r="EJ70" s="37">
        <f>($EG70/96.06)*8</f>
        <v>6.7041432438059543</v>
      </c>
      <c r="EK70" s="31">
        <v>0.5</v>
      </c>
      <c r="EL70" s="31">
        <f t="shared" si="50"/>
        <v>5.2050801582344368E-3</v>
      </c>
      <c r="EM70" s="31">
        <f t="shared" si="51"/>
        <v>4.1640641265875494E-2</v>
      </c>
      <c r="EN70" s="32">
        <f t="shared" si="77"/>
        <v>4.301160900781098E-2</v>
      </c>
      <c r="EO70" s="39">
        <f t="shared" si="81"/>
        <v>8.127996585238856</v>
      </c>
      <c r="EP70" s="37">
        <f t="shared" si="78"/>
        <v>1.7022387819235599E-2</v>
      </c>
      <c r="EQ70" s="37">
        <f t="shared" si="79"/>
        <v>0.15815649254825148</v>
      </c>
      <c r="ER70" s="37">
        <f t="shared" si="80"/>
        <v>0.82482111963251281</v>
      </c>
      <c r="ES70" s="39">
        <f t="shared" si="53"/>
        <v>8.127996585238856</v>
      </c>
      <c r="ET70" s="55">
        <f t="shared" si="54"/>
        <v>15.815649254825148</v>
      </c>
      <c r="EU70" s="55">
        <f t="shared" si="55"/>
        <v>1.70223878192356</v>
      </c>
      <c r="EV70" s="55">
        <f t="shared" si="56"/>
        <v>82.482111963251285</v>
      </c>
      <c r="EW70" t="s">
        <v>107</v>
      </c>
      <c r="EX70" t="s">
        <v>225</v>
      </c>
      <c r="EY70">
        <v>-106</v>
      </c>
      <c r="EZ70" t="s">
        <v>217</v>
      </c>
      <c r="FA70">
        <v>1102</v>
      </c>
      <c r="FB70" t="s">
        <v>113</v>
      </c>
      <c r="FC70" t="s">
        <v>88</v>
      </c>
      <c r="FD70" s="39">
        <f t="shared" si="57"/>
        <v>-7.8443098396311157</v>
      </c>
      <c r="FE70" s="39">
        <f t="shared" si="61"/>
        <v>-7.8442585667670555</v>
      </c>
      <c r="FF70" s="39">
        <f t="shared" si="58"/>
        <v>-7.8443098396311157</v>
      </c>
      <c r="FG70" s="39">
        <f t="shared" si="59"/>
        <v>-7.8442585667670555</v>
      </c>
    </row>
    <row r="71" spans="1:163" ht="15.75" x14ac:dyDescent="0.25">
      <c r="A71" s="5" t="s">
        <v>329</v>
      </c>
      <c r="B71" s="5" t="s">
        <v>329</v>
      </c>
      <c r="C71" s="3" t="s">
        <v>860</v>
      </c>
      <c r="D71" s="3" t="s">
        <v>860</v>
      </c>
      <c r="E71" s="3" t="s">
        <v>1193</v>
      </c>
      <c r="F71" s="3" t="s">
        <v>1013</v>
      </c>
      <c r="G71" s="3" t="s">
        <v>774</v>
      </c>
      <c r="H71" s="3" t="str">
        <f t="shared" si="87"/>
        <v>CW_3_Section_1</v>
      </c>
      <c r="I71" s="3" t="str">
        <f t="shared" si="88"/>
        <v>CW_3_MF02</v>
      </c>
      <c r="J71" s="3" t="s">
        <v>1489</v>
      </c>
      <c r="K71" s="3" t="s">
        <v>1484</v>
      </c>
      <c r="L71" s="11" t="s">
        <v>1095</v>
      </c>
      <c r="M71" s="3" t="s">
        <v>1024</v>
      </c>
      <c r="N71" s="3" t="s">
        <v>1024</v>
      </c>
      <c r="O71" s="12" t="s">
        <v>1016</v>
      </c>
      <c r="P71" s="3" t="s">
        <v>1194</v>
      </c>
      <c r="Q71" s="3" t="s">
        <v>1018</v>
      </c>
      <c r="R71" s="3" t="s">
        <v>1158</v>
      </c>
      <c r="S71" s="3" t="str">
        <f t="shared" si="89"/>
        <v>T2_0.60-0.80</v>
      </c>
      <c r="T71" s="13" t="s">
        <v>1159</v>
      </c>
      <c r="U71" s="3" t="s">
        <v>1160</v>
      </c>
      <c r="V71" s="3">
        <v>150</v>
      </c>
      <c r="W71" s="3">
        <v>65</v>
      </c>
      <c r="X71" s="3">
        <v>4.9000000000000004</v>
      </c>
      <c r="Y71" s="3">
        <v>70</v>
      </c>
      <c r="Z71" t="s">
        <v>541</v>
      </c>
      <c r="AA71" t="s">
        <v>245</v>
      </c>
      <c r="AB71" s="1">
        <v>45644</v>
      </c>
      <c r="AC71">
        <v>11</v>
      </c>
      <c r="AD71">
        <v>11</v>
      </c>
      <c r="AE71">
        <v>590</v>
      </c>
      <c r="AF71" s="37">
        <f t="shared" si="17"/>
        <v>0.22660350787351172</v>
      </c>
      <c r="AG71">
        <v>49</v>
      </c>
      <c r="AH71" s="37">
        <f t="shared" si="18"/>
        <v>1.9144779683090946E-2</v>
      </c>
      <c r="AI71">
        <v>650</v>
      </c>
      <c r="AJ71" s="37">
        <f t="shared" si="19"/>
        <v>0.25713478383724214</v>
      </c>
      <c r="AK71">
        <v>240</v>
      </c>
      <c r="AL71" s="37">
        <f t="shared" si="20"/>
        <v>9.4942074032212498E-2</v>
      </c>
      <c r="AM71">
        <v>280</v>
      </c>
      <c r="AN71" s="37">
        <f t="shared" si="21"/>
        <v>0.11076575303758124</v>
      </c>
      <c r="AO71">
        <v>520</v>
      </c>
      <c r="AQ71" s="59">
        <v>1809</v>
      </c>
      <c r="AR71" s="59">
        <f t="shared" si="22"/>
        <v>0.5028830713938448</v>
      </c>
      <c r="AS71">
        <v>3000</v>
      </c>
      <c r="AT71" s="37">
        <f t="shared" si="23"/>
        <v>1.1235078411484747</v>
      </c>
      <c r="AU71" t="s">
        <v>780</v>
      </c>
      <c r="AV71" t="s">
        <v>780</v>
      </c>
      <c r="AW71" t="s">
        <v>780</v>
      </c>
      <c r="AX71" t="s">
        <v>780</v>
      </c>
      <c r="AY71" t="s">
        <v>780</v>
      </c>
      <c r="AZ71" t="s">
        <v>780</v>
      </c>
      <c r="BA71" t="s">
        <v>780</v>
      </c>
      <c r="BB71" t="s">
        <v>780</v>
      </c>
      <c r="BC71" t="s">
        <v>780</v>
      </c>
      <c r="BD71" t="s">
        <v>780</v>
      </c>
      <c r="BE71" t="s">
        <v>780</v>
      </c>
      <c r="BF71" t="s">
        <v>780</v>
      </c>
      <c r="BG71" t="s">
        <v>780</v>
      </c>
      <c r="BH71" t="s">
        <v>780</v>
      </c>
      <c r="BI71" t="s">
        <v>780</v>
      </c>
      <c r="BJ71" t="s">
        <v>780</v>
      </c>
      <c r="BK71" t="s">
        <v>780</v>
      </c>
      <c r="BL71" t="s">
        <v>780</v>
      </c>
      <c r="BM71" t="s">
        <v>780</v>
      </c>
      <c r="BN71" t="s">
        <v>780</v>
      </c>
      <c r="BO71" s="58">
        <v>1400</v>
      </c>
      <c r="BP71" s="58">
        <v>80</v>
      </c>
      <c r="BQ71" s="58">
        <v>110</v>
      </c>
      <c r="BR71" s="58">
        <v>32</v>
      </c>
      <c r="BS71" s="58">
        <v>11</v>
      </c>
      <c r="BT71" s="58">
        <v>2.4</v>
      </c>
      <c r="BU71" s="58">
        <v>0.42</v>
      </c>
      <c r="BV71" s="58">
        <v>0.36</v>
      </c>
      <c r="BW71" s="31">
        <f t="shared" si="24"/>
        <v>0.52430365920262156</v>
      </c>
      <c r="BX71" s="31">
        <f t="shared" si="25"/>
        <v>2.9436888100400814E-2</v>
      </c>
      <c r="BY71" s="31">
        <f t="shared" si="26"/>
        <v>4.1372154853770833E-2</v>
      </c>
      <c r="BZ71" s="31">
        <f t="shared" si="27"/>
        <v>1.1935988449043436E-2</v>
      </c>
      <c r="CA71" s="31">
        <f t="shared" si="28"/>
        <v>4.0733883184649045E-3</v>
      </c>
      <c r="CB71" s="31">
        <f t="shared" si="29"/>
        <v>8.8873926948325195E-4</v>
      </c>
      <c r="CC71" s="31">
        <f t="shared" si="30"/>
        <v>1.5367119901112485E-4</v>
      </c>
      <c r="CD71" s="31">
        <f t="shared" si="31"/>
        <v>1.3171817058096414E-4</v>
      </c>
      <c r="CE71">
        <v>1E-3</v>
      </c>
      <c r="CF71">
        <v>1E-3</v>
      </c>
      <c r="CG71">
        <v>2E-3</v>
      </c>
      <c r="CH71">
        <v>1E-3</v>
      </c>
      <c r="CI71">
        <v>1E-3</v>
      </c>
      <c r="CK71">
        <v>2E-3</v>
      </c>
      <c r="CL71">
        <v>1E-3</v>
      </c>
      <c r="CM71">
        <v>1E-3</v>
      </c>
      <c r="CN71" s="58">
        <f t="shared" si="60"/>
        <v>1636.18</v>
      </c>
      <c r="CO71" s="58">
        <f t="shared" si="32"/>
        <v>236.18</v>
      </c>
      <c r="CP71" s="31">
        <f t="shared" si="33"/>
        <v>0.61229620756337699</v>
      </c>
      <c r="CQ71" s="31">
        <f t="shared" si="34"/>
        <v>8.7992548360755332E-2</v>
      </c>
      <c r="CR71">
        <v>1600</v>
      </c>
      <c r="CS71">
        <v>8900</v>
      </c>
      <c r="CT71">
        <v>1900</v>
      </c>
      <c r="CU71" t="s">
        <v>69</v>
      </c>
      <c r="CV71" t="s">
        <v>69</v>
      </c>
      <c r="CW71">
        <v>11000</v>
      </c>
      <c r="CX71" s="2">
        <f t="shared" si="68"/>
        <v>3409</v>
      </c>
      <c r="CZ71">
        <v>70</v>
      </c>
      <c r="DA71" t="s">
        <v>62</v>
      </c>
      <c r="DB71" t="s">
        <v>88</v>
      </c>
      <c r="DC71" t="s">
        <v>782</v>
      </c>
      <c r="DD71" s="37">
        <f t="shared" si="69"/>
        <v>13.369977097647302</v>
      </c>
      <c r="DE71" s="37">
        <f t="shared" si="63"/>
        <v>13.369977097647302</v>
      </c>
      <c r="DF71" s="37">
        <v>0.5</v>
      </c>
      <c r="DG71" s="37">
        <f t="shared" si="70"/>
        <v>8.9525514771709933E-3</v>
      </c>
      <c r="DH71" s="37">
        <f t="shared" si="36"/>
        <v>8.9525514771709933E-3</v>
      </c>
      <c r="DI71" s="37">
        <f t="shared" si="71"/>
        <v>13.869977097647302</v>
      </c>
      <c r="DJ71" s="37">
        <f t="shared" si="37"/>
        <v>0.24834336790774042</v>
      </c>
      <c r="DK71" s="37">
        <f t="shared" si="38"/>
        <v>0.24834336790774042</v>
      </c>
      <c r="DL71" s="55">
        <f t="shared" si="39"/>
        <v>13.369977097647302</v>
      </c>
      <c r="DM71" s="55">
        <f t="shared" si="39"/>
        <v>13.369977097647302</v>
      </c>
      <c r="DN71" s="37">
        <f t="shared" si="40"/>
        <v>13.869977097647302</v>
      </c>
      <c r="DO71" s="55">
        <f t="shared" si="41"/>
        <v>0.24834336790774042</v>
      </c>
      <c r="DP71" s="55">
        <f t="shared" si="42"/>
        <v>0.24834336790774042</v>
      </c>
      <c r="DQ71" s="37">
        <v>0.8</v>
      </c>
      <c r="DR71" s="37">
        <f t="shared" si="43"/>
        <v>1.4563990533406155E-2</v>
      </c>
      <c r="DS71" s="37">
        <f t="shared" si="44"/>
        <v>2.912798106681231E-2</v>
      </c>
      <c r="DT71" s="37">
        <f t="shared" si="72"/>
        <v>17.051876498965225</v>
      </c>
      <c r="DU71" s="37">
        <f t="shared" si="73"/>
        <v>8.5259382494826124</v>
      </c>
      <c r="DV71" s="37">
        <f t="shared" si="74"/>
        <v>14.669977097647303</v>
      </c>
      <c r="DW71" s="37">
        <f t="shared" si="75"/>
        <v>0.27747134897455272</v>
      </c>
      <c r="DX71">
        <v>27</v>
      </c>
      <c r="DY71" t="s">
        <v>56</v>
      </c>
      <c r="DZ71" s="29">
        <f t="shared" si="84"/>
        <v>1</v>
      </c>
      <c r="EA71" s="30">
        <v>1.7000000000000001E-2</v>
      </c>
      <c r="EB71" s="30">
        <f t="shared" si="47"/>
        <v>2.741935483870968E-4</v>
      </c>
      <c r="EC71" s="30">
        <f t="shared" si="48"/>
        <v>1.370967741935484E-3</v>
      </c>
      <c r="ED71" s="31">
        <f>$EK$54-EK71</f>
        <v>23</v>
      </c>
      <c r="EE71" s="33">
        <f t="shared" si="83"/>
        <v>28.39506172839506</v>
      </c>
      <c r="EF71" s="37">
        <f t="shared" si="76"/>
        <v>1.9154694982302727</v>
      </c>
      <c r="EG71" s="37">
        <f>$EK54-EK71</f>
        <v>23</v>
      </c>
      <c r="EH71" s="33">
        <f>(EG71/$EK$54)*100</f>
        <v>28.39506172839506</v>
      </c>
      <c r="EI71" s="37">
        <f t="shared" si="82"/>
        <v>1.9154694982302727</v>
      </c>
      <c r="EJ71" s="37">
        <f>($EG71/96.06)*8</f>
        <v>1.9154694982302727</v>
      </c>
      <c r="EK71" s="31">
        <v>58</v>
      </c>
      <c r="EL71" s="31">
        <f t="shared" si="50"/>
        <v>0.60378929835519468</v>
      </c>
      <c r="EM71" s="31">
        <f t="shared" si="51"/>
        <v>4.8303143868415575</v>
      </c>
      <c r="EN71" s="32">
        <f t="shared" si="77"/>
        <v>4.8316853545834926</v>
      </c>
      <c r="EO71" s="39">
        <f t="shared" si="81"/>
        <v>2.1929408472048255</v>
      </c>
      <c r="EP71" s="37">
        <f t="shared" si="78"/>
        <v>1.3282611386412691E-2</v>
      </c>
      <c r="EQ71" s="37">
        <f t="shared" si="79"/>
        <v>0.11324672447242924</v>
      </c>
      <c r="ER71" s="37">
        <f t="shared" si="80"/>
        <v>0.87347066414115804</v>
      </c>
      <c r="ES71" s="39">
        <f t="shared" si="53"/>
        <v>2.1929408472048255</v>
      </c>
      <c r="ET71" s="55">
        <f t="shared" si="54"/>
        <v>11.324672447242925</v>
      </c>
      <c r="EU71" s="55">
        <f t="shared" si="55"/>
        <v>1.328261138641269</v>
      </c>
      <c r="EV71" s="55">
        <f t="shared" si="56"/>
        <v>87.347066414115801</v>
      </c>
      <c r="EW71" t="s">
        <v>470</v>
      </c>
      <c r="EX71" t="s">
        <v>172</v>
      </c>
      <c r="EY71">
        <v>-145</v>
      </c>
      <c r="EZ71" t="s">
        <v>194</v>
      </c>
      <c r="FA71">
        <v>850</v>
      </c>
      <c r="FB71" t="s">
        <v>113</v>
      </c>
      <c r="FC71" t="s">
        <v>88</v>
      </c>
      <c r="FD71" s="39">
        <f t="shared" si="57"/>
        <v>-0.56654993466250603</v>
      </c>
      <c r="FE71" s="39">
        <f t="shared" si="61"/>
        <v>-0.47855738630175071</v>
      </c>
      <c r="FF71" s="39">
        <f t="shared" si="58"/>
        <v>-0.56654993466250603</v>
      </c>
      <c r="FG71" s="39">
        <f t="shared" si="59"/>
        <v>-0.47855738630175071</v>
      </c>
    </row>
    <row r="72" spans="1:163" ht="15.75" x14ac:dyDescent="0.25">
      <c r="A72" s="5" t="s">
        <v>330</v>
      </c>
      <c r="B72" s="5" t="s">
        <v>330</v>
      </c>
      <c r="C72" s="3" t="s">
        <v>861</v>
      </c>
      <c r="D72" s="3" t="s">
        <v>861</v>
      </c>
      <c r="E72" s="3" t="s">
        <v>1195</v>
      </c>
      <c r="F72" s="3" t="s">
        <v>1027</v>
      </c>
      <c r="G72" s="3" t="s">
        <v>774</v>
      </c>
      <c r="H72" s="3" t="str">
        <f t="shared" si="87"/>
        <v>CW_3_Section_2</v>
      </c>
      <c r="I72" s="3" t="str">
        <f t="shared" si="88"/>
        <v>CW_3_MF05</v>
      </c>
      <c r="J72" s="3" t="s">
        <v>1496</v>
      </c>
      <c r="K72" s="3" t="s">
        <v>1484</v>
      </c>
      <c r="L72" s="11" t="s">
        <v>1098</v>
      </c>
      <c r="M72" s="3" t="s">
        <v>1015</v>
      </c>
      <c r="N72" s="3" t="s">
        <v>1015</v>
      </c>
      <c r="O72" s="12" t="s">
        <v>1016</v>
      </c>
      <c r="P72" s="3" t="s">
        <v>1196</v>
      </c>
      <c r="Q72" s="3" t="s">
        <v>1018</v>
      </c>
      <c r="R72" s="3" t="s">
        <v>1158</v>
      </c>
      <c r="S72" s="3" t="str">
        <f t="shared" si="89"/>
        <v>T2_0.15-0.30</v>
      </c>
      <c r="T72" s="13" t="s">
        <v>1159</v>
      </c>
      <c r="U72" s="3" t="s">
        <v>1160</v>
      </c>
      <c r="V72" s="3">
        <v>150</v>
      </c>
      <c r="W72" s="3">
        <v>65</v>
      </c>
      <c r="X72" s="3">
        <v>5</v>
      </c>
      <c r="Y72" s="3">
        <v>71</v>
      </c>
      <c r="Z72" t="s">
        <v>542</v>
      </c>
      <c r="AA72" t="s">
        <v>250</v>
      </c>
      <c r="AB72" s="1">
        <v>45644</v>
      </c>
      <c r="AC72">
        <v>1.1000000000000001</v>
      </c>
      <c r="AD72">
        <v>1.5</v>
      </c>
      <c r="AE72">
        <v>3.5</v>
      </c>
      <c r="AF72" s="37">
        <f t="shared" si="17"/>
        <v>1.3442580975547304E-3</v>
      </c>
      <c r="AG72">
        <v>0.4</v>
      </c>
      <c r="AH72" s="37">
        <f t="shared" si="18"/>
        <v>1.562839157803343E-4</v>
      </c>
      <c r="AI72">
        <v>4.4000000000000004</v>
      </c>
      <c r="AJ72" s="37">
        <f t="shared" si="19"/>
        <v>1.7406046905905624E-3</v>
      </c>
      <c r="AK72">
        <v>2.1</v>
      </c>
      <c r="AL72" s="37">
        <f t="shared" si="20"/>
        <v>8.3074314778185923E-4</v>
      </c>
      <c r="AM72">
        <v>1.8</v>
      </c>
      <c r="AN72" s="37">
        <f t="shared" si="21"/>
        <v>7.120655552415937E-4</v>
      </c>
      <c r="AO72">
        <v>3.9</v>
      </c>
      <c r="AQ72" s="59">
        <v>12.2</v>
      </c>
      <c r="AR72" s="59">
        <f t="shared" si="22"/>
        <v>3.2411467039256273E-3</v>
      </c>
      <c r="AS72">
        <v>12</v>
      </c>
      <c r="AT72" s="37">
        <f t="shared" si="23"/>
        <v>4.4940313645938984E-3</v>
      </c>
      <c r="AU72" t="s">
        <v>780</v>
      </c>
      <c r="AV72" t="s">
        <v>780</v>
      </c>
      <c r="AW72" t="s">
        <v>780</v>
      </c>
      <c r="AX72" t="s">
        <v>780</v>
      </c>
      <c r="AY72" t="s">
        <v>780</v>
      </c>
      <c r="AZ72" t="s">
        <v>780</v>
      </c>
      <c r="BA72" t="s">
        <v>780</v>
      </c>
      <c r="BB72" t="s">
        <v>780</v>
      </c>
      <c r="BC72" t="s">
        <v>780</v>
      </c>
      <c r="BD72" t="s">
        <v>780</v>
      </c>
      <c r="BE72" t="s">
        <v>780</v>
      </c>
      <c r="BF72" t="s">
        <v>780</v>
      </c>
      <c r="BG72" t="s">
        <v>780</v>
      </c>
      <c r="BH72" t="s">
        <v>780</v>
      </c>
      <c r="BI72" t="s">
        <v>780</v>
      </c>
      <c r="BJ72" t="s">
        <v>780</v>
      </c>
      <c r="BK72" t="s">
        <v>780</v>
      </c>
      <c r="BL72" t="s">
        <v>780</v>
      </c>
      <c r="BM72" t="s">
        <v>780</v>
      </c>
      <c r="BN72" t="s">
        <v>780</v>
      </c>
      <c r="BO72" s="58">
        <v>0.04</v>
      </c>
      <c r="BP72" s="58">
        <v>0.01</v>
      </c>
      <c r="BQ72" s="58">
        <v>0.01</v>
      </c>
      <c r="BR72" s="58">
        <v>5.0000000000000001E-3</v>
      </c>
      <c r="BS72" s="58">
        <v>1E-3</v>
      </c>
      <c r="BT72" s="58">
        <v>1E-3</v>
      </c>
      <c r="BU72" s="58">
        <v>1E-3</v>
      </c>
      <c r="BV72" s="58">
        <v>2E-3</v>
      </c>
      <c r="BW72" s="31">
        <f t="shared" si="24"/>
        <v>1.498010454864633E-5</v>
      </c>
      <c r="BX72" s="31">
        <f t="shared" si="25"/>
        <v>3.6796110125501018E-6</v>
      </c>
      <c r="BY72" s="31">
        <f t="shared" si="26"/>
        <v>3.7611049867064394E-6</v>
      </c>
      <c r="BZ72" s="31">
        <f t="shared" si="27"/>
        <v>1.8649981951630372E-6</v>
      </c>
      <c r="CA72" s="31">
        <f t="shared" si="28"/>
        <v>3.7030802895135499E-7</v>
      </c>
      <c r="CB72" s="31">
        <f t="shared" si="29"/>
        <v>3.7030802895135499E-7</v>
      </c>
      <c r="CC72" s="31">
        <f t="shared" si="30"/>
        <v>3.6588380716934485E-7</v>
      </c>
      <c r="CD72" s="31">
        <f t="shared" si="31"/>
        <v>7.3176761433868969E-7</v>
      </c>
      <c r="CE72">
        <v>1E-3</v>
      </c>
      <c r="CF72">
        <v>1E-3</v>
      </c>
      <c r="CG72">
        <v>2E-3</v>
      </c>
      <c r="CH72">
        <v>1E-3</v>
      </c>
      <c r="CI72">
        <v>1E-3</v>
      </c>
      <c r="CK72">
        <v>2E-3</v>
      </c>
      <c r="CL72">
        <v>1E-3</v>
      </c>
      <c r="CM72">
        <v>1E-3</v>
      </c>
      <c r="CN72" s="58">
        <f t="shared" si="60"/>
        <v>7.0000000000000007E-2</v>
      </c>
      <c r="CO72" s="58">
        <f t="shared" si="32"/>
        <v>3.0000000000000006E-2</v>
      </c>
      <c r="CP72" s="31">
        <f t="shared" si="33"/>
        <v>2.6124086222476654E-5</v>
      </c>
      <c r="CQ72" s="31">
        <f t="shared" si="34"/>
        <v>1.1143981673830322E-5</v>
      </c>
      <c r="CR72">
        <v>4.2000000000000003E-2</v>
      </c>
      <c r="CS72" t="s">
        <v>69</v>
      </c>
      <c r="CT72" t="s">
        <v>69</v>
      </c>
      <c r="CU72" t="s">
        <v>69</v>
      </c>
      <c r="CV72" t="s">
        <v>69</v>
      </c>
      <c r="CW72">
        <v>5</v>
      </c>
      <c r="CX72" s="2">
        <f t="shared" si="68"/>
        <v>12.241999999999999</v>
      </c>
      <c r="CZ72">
        <v>68</v>
      </c>
      <c r="DA72" t="s">
        <v>62</v>
      </c>
      <c r="DB72" t="s">
        <v>88</v>
      </c>
      <c r="DC72" t="s">
        <v>782</v>
      </c>
      <c r="DD72" s="37">
        <f t="shared" si="69"/>
        <v>41.272537997085152</v>
      </c>
      <c r="DE72" s="37">
        <f t="shared" si="63"/>
        <v>41.272537997085152</v>
      </c>
      <c r="DF72" s="37">
        <v>2.5</v>
      </c>
      <c r="DG72" s="37">
        <f t="shared" si="70"/>
        <v>4.4762757385854966E-2</v>
      </c>
      <c r="DH72" s="37">
        <f t="shared" si="36"/>
        <v>4.4762757385854966E-2</v>
      </c>
      <c r="DI72" s="37">
        <f t="shared" si="71"/>
        <v>43.772537997085152</v>
      </c>
      <c r="DJ72" s="37">
        <f t="shared" si="37"/>
        <v>0.7837517994106562</v>
      </c>
      <c r="DK72" s="37">
        <f t="shared" si="38"/>
        <v>0.7837517994106562</v>
      </c>
      <c r="DL72" s="55">
        <f t="shared" si="39"/>
        <v>-5.5223818446804076</v>
      </c>
      <c r="DN72" s="37">
        <f t="shared" si="40"/>
        <v>2.5</v>
      </c>
      <c r="DO72" s="55">
        <f t="shared" si="41"/>
        <v>4.4762757385854966E-2</v>
      </c>
      <c r="DP72" s="55">
        <f t="shared" si="42"/>
        <v>4.4762757385854966E-2</v>
      </c>
      <c r="DQ72" s="37">
        <v>6.9</v>
      </c>
      <c r="DR72" s="37">
        <f t="shared" si="43"/>
        <v>0.12561441835062809</v>
      </c>
      <c r="DS72" s="37">
        <f t="shared" si="44"/>
        <v>0.25122883670125618</v>
      </c>
      <c r="DT72" s="37">
        <f t="shared" si="72"/>
        <v>6.2393458466126583</v>
      </c>
      <c r="DU72" s="37">
        <f t="shared" si="73"/>
        <v>3.1196729233063292</v>
      </c>
      <c r="DV72" s="37">
        <f t="shared" si="74"/>
        <v>50.672537997085151</v>
      </c>
      <c r="DW72" s="37">
        <f t="shared" si="75"/>
        <v>1.0349806361119125</v>
      </c>
      <c r="DX72" t="s">
        <v>113</v>
      </c>
      <c r="DY72" t="s">
        <v>527</v>
      </c>
      <c r="DZ72" s="29">
        <f t="shared" si="84"/>
        <v>1</v>
      </c>
      <c r="EA72" s="30">
        <v>1.7000000000000001E-2</v>
      </c>
      <c r="EB72" s="30">
        <f t="shared" si="47"/>
        <v>2.741935483870968E-4</v>
      </c>
      <c r="EC72" s="30">
        <f t="shared" si="48"/>
        <v>1.370967741935484E-3</v>
      </c>
      <c r="ED72" s="31">
        <f t="shared" si="85"/>
        <v>71</v>
      </c>
      <c r="EE72" s="33">
        <f t="shared" si="83"/>
        <v>87.654320987654316</v>
      </c>
      <c r="EF72" s="37">
        <f t="shared" si="76"/>
        <v>5.9129710597543204</v>
      </c>
      <c r="EG72" s="37">
        <f>$EK70-EK72</f>
        <v>-9.5</v>
      </c>
      <c r="EH72" s="33">
        <f>(EG72/$EK70)*100</f>
        <v>-1900</v>
      </c>
      <c r="EI72" s="37">
        <f t="shared" si="82"/>
        <v>-0.79117218405163436</v>
      </c>
      <c r="EJ72" s="37"/>
      <c r="EK72" s="31">
        <v>10</v>
      </c>
      <c r="EL72" s="31">
        <f t="shared" si="50"/>
        <v>0.10410160316468874</v>
      </c>
      <c r="EM72" s="31">
        <f t="shared" si="51"/>
        <v>0.83281282531750989</v>
      </c>
      <c r="EN72" s="32">
        <f t="shared" si="77"/>
        <v>0.83418379305944534</v>
      </c>
      <c r="EO72" s="39">
        <f t="shared" si="81"/>
        <v>6.9479516958662328</v>
      </c>
      <c r="EP72" s="37">
        <f t="shared" si="78"/>
        <v>3.6158690747767834E-2</v>
      </c>
      <c r="EQ72" s="37">
        <f t="shared" si="79"/>
        <v>0.11280328846801839</v>
      </c>
      <c r="ER72" s="37">
        <f t="shared" si="80"/>
        <v>0.85103802078421376</v>
      </c>
      <c r="ES72" s="39">
        <f t="shared" si="53"/>
        <v>0.29599159408711112</v>
      </c>
      <c r="ET72" s="55">
        <f t="shared" si="54"/>
        <v>15.122982638716817</v>
      </c>
      <c r="EU72" s="55">
        <f t="shared" si="55"/>
        <v>84.877017361283194</v>
      </c>
      <c r="EV72" s="55">
        <f t="shared" si="56"/>
        <v>0</v>
      </c>
      <c r="EW72" t="s">
        <v>209</v>
      </c>
      <c r="EX72" t="s">
        <v>543</v>
      </c>
      <c r="EY72">
        <v>-89</v>
      </c>
      <c r="EZ72" t="s">
        <v>482</v>
      </c>
      <c r="FA72">
        <v>690</v>
      </c>
      <c r="FB72" t="s">
        <v>113</v>
      </c>
      <c r="FC72" t="s">
        <v>88</v>
      </c>
      <c r="FD72" s="39">
        <f t="shared" si="57"/>
        <v>-6.9402165177977135</v>
      </c>
      <c r="FE72" s="39">
        <f t="shared" si="61"/>
        <v>-6.9402053738160392</v>
      </c>
      <c r="FF72" s="39">
        <f t="shared" si="58"/>
        <v>-0.28825641601859159</v>
      </c>
      <c r="FG72" s="39">
        <f t="shared" si="59"/>
        <v>-0.28824527203691774</v>
      </c>
    </row>
    <row r="73" spans="1:163" ht="15.75" x14ac:dyDescent="0.25">
      <c r="A73" s="5" t="s">
        <v>331</v>
      </c>
      <c r="B73" s="5" t="s">
        <v>331</v>
      </c>
      <c r="C73" s="3" t="s">
        <v>862</v>
      </c>
      <c r="D73" s="3" t="s">
        <v>862</v>
      </c>
      <c r="E73" s="3" t="s">
        <v>1197</v>
      </c>
      <c r="F73" s="3" t="s">
        <v>1027</v>
      </c>
      <c r="G73" s="3" t="s">
        <v>774</v>
      </c>
      <c r="H73" s="3" t="str">
        <f t="shared" si="87"/>
        <v>CW_3_Section_2</v>
      </c>
      <c r="I73" s="3" t="str">
        <f t="shared" si="88"/>
        <v>CW_3_MF06</v>
      </c>
      <c r="J73" s="3" t="s">
        <v>1497</v>
      </c>
      <c r="K73" s="3" t="s">
        <v>1484</v>
      </c>
      <c r="L73" s="11" t="s">
        <v>1101</v>
      </c>
      <c r="M73" s="3" t="s">
        <v>1024</v>
      </c>
      <c r="N73" s="3" t="s">
        <v>1024</v>
      </c>
      <c r="O73" s="12" t="s">
        <v>1016</v>
      </c>
      <c r="P73" s="3" t="s">
        <v>1198</v>
      </c>
      <c r="Q73" s="3" t="s">
        <v>1018</v>
      </c>
      <c r="R73" s="3" t="s">
        <v>1158</v>
      </c>
      <c r="S73" s="3" t="str">
        <f t="shared" si="89"/>
        <v>T2_0.60-0.80</v>
      </c>
      <c r="T73" s="13" t="s">
        <v>1159</v>
      </c>
      <c r="U73" s="3" t="s">
        <v>1160</v>
      </c>
      <c r="V73" s="3">
        <v>150</v>
      </c>
      <c r="W73" s="3">
        <v>65</v>
      </c>
      <c r="X73" s="3">
        <v>8.1</v>
      </c>
      <c r="Y73" s="3">
        <v>72</v>
      </c>
      <c r="Z73" t="s">
        <v>544</v>
      </c>
      <c r="AA73" t="s">
        <v>255</v>
      </c>
      <c r="AB73" s="1">
        <v>45644</v>
      </c>
      <c r="AC73">
        <v>8.4</v>
      </c>
      <c r="AD73">
        <v>8.6</v>
      </c>
      <c r="AE73">
        <v>450</v>
      </c>
      <c r="AF73" s="37">
        <f t="shared" si="17"/>
        <v>0.1728331839713225</v>
      </c>
      <c r="AG73">
        <v>29</v>
      </c>
      <c r="AH73" s="37">
        <f t="shared" si="18"/>
        <v>1.1330583894074235E-2</v>
      </c>
      <c r="AI73">
        <v>320</v>
      </c>
      <c r="AJ73" s="37">
        <f t="shared" si="19"/>
        <v>0.12658943204294998</v>
      </c>
      <c r="AK73">
        <v>150</v>
      </c>
      <c r="AL73" s="37">
        <f t="shared" si="20"/>
        <v>5.9338796270132804E-2</v>
      </c>
      <c r="AM73">
        <v>130</v>
      </c>
      <c r="AN73" s="37">
        <f t="shared" si="21"/>
        <v>5.1426956767448434E-2</v>
      </c>
      <c r="AO73">
        <v>280</v>
      </c>
      <c r="AQ73" s="59">
        <v>1079</v>
      </c>
      <c r="AR73" s="59">
        <f t="shared" si="22"/>
        <v>0.31075319990834671</v>
      </c>
      <c r="AS73">
        <v>2000</v>
      </c>
      <c r="AT73" s="37">
        <f t="shared" si="23"/>
        <v>0.74900522743231646</v>
      </c>
      <c r="AU73" t="s">
        <v>780</v>
      </c>
      <c r="AV73" t="s">
        <v>780</v>
      </c>
      <c r="AW73" t="s">
        <v>780</v>
      </c>
      <c r="AX73" t="s">
        <v>780</v>
      </c>
      <c r="AY73" t="s">
        <v>780</v>
      </c>
      <c r="AZ73" t="s">
        <v>780</v>
      </c>
      <c r="BA73" t="s">
        <v>780</v>
      </c>
      <c r="BB73" t="s">
        <v>780</v>
      </c>
      <c r="BC73" t="s">
        <v>780</v>
      </c>
      <c r="BD73" t="s">
        <v>780</v>
      </c>
      <c r="BE73" t="s">
        <v>780</v>
      </c>
      <c r="BF73" t="s">
        <v>780</v>
      </c>
      <c r="BG73" t="s">
        <v>780</v>
      </c>
      <c r="BH73" t="s">
        <v>780</v>
      </c>
      <c r="BI73" t="s">
        <v>780</v>
      </c>
      <c r="BJ73" t="s">
        <v>780</v>
      </c>
      <c r="BK73" t="s">
        <v>780</v>
      </c>
      <c r="BL73" t="s">
        <v>780</v>
      </c>
      <c r="BM73" t="s">
        <v>780</v>
      </c>
      <c r="BN73" t="s">
        <v>780</v>
      </c>
      <c r="BO73" s="58">
        <v>270</v>
      </c>
      <c r="BP73" s="58">
        <v>25</v>
      </c>
      <c r="BQ73" s="58">
        <v>39</v>
      </c>
      <c r="BR73" s="58">
        <v>9.1999999999999993</v>
      </c>
      <c r="BS73" s="58">
        <v>3</v>
      </c>
      <c r="BT73" s="58">
        <v>0.55000000000000004</v>
      </c>
      <c r="BU73" s="58">
        <v>0.09</v>
      </c>
      <c r="BV73" s="58">
        <v>7.0000000000000007E-2</v>
      </c>
      <c r="BW73" s="31">
        <f t="shared" si="24"/>
        <v>0.10111570570336273</v>
      </c>
      <c r="BX73" s="31">
        <f t="shared" si="25"/>
        <v>9.1990275313752548E-3</v>
      </c>
      <c r="BY73" s="31">
        <f t="shared" si="26"/>
        <v>1.4668309448155115E-2</v>
      </c>
      <c r="BZ73" s="31">
        <f t="shared" si="27"/>
        <v>3.4315966790999875E-3</v>
      </c>
      <c r="CA73" s="31">
        <f t="shared" si="28"/>
        <v>1.1109240868540651E-3</v>
      </c>
      <c r="CB73" s="31">
        <f t="shared" si="29"/>
        <v>2.0366941592324524E-4</v>
      </c>
      <c r="CC73" s="31">
        <f t="shared" si="30"/>
        <v>3.2929542645241034E-5</v>
      </c>
      <c r="CD73" s="31">
        <f t="shared" si="31"/>
        <v>2.5611866501854141E-5</v>
      </c>
      <c r="CE73">
        <v>1E-3</v>
      </c>
      <c r="CF73">
        <v>1E-3</v>
      </c>
      <c r="CG73">
        <v>2E-3</v>
      </c>
      <c r="CH73">
        <v>1E-3</v>
      </c>
      <c r="CI73">
        <v>1E-3</v>
      </c>
      <c r="CK73">
        <v>2E-3</v>
      </c>
      <c r="CL73">
        <v>1E-3</v>
      </c>
      <c r="CM73">
        <v>1E-3</v>
      </c>
      <c r="CN73" s="58">
        <f t="shared" si="60"/>
        <v>346.90999999999997</v>
      </c>
      <c r="CO73" s="58">
        <f t="shared" si="32"/>
        <v>76.91</v>
      </c>
      <c r="CP73" s="31">
        <f t="shared" si="33"/>
        <v>0.12978777427391749</v>
      </c>
      <c r="CQ73" s="31">
        <f t="shared" si="34"/>
        <v>2.8672068570554762E-2</v>
      </c>
      <c r="CR73">
        <v>350</v>
      </c>
      <c r="CS73">
        <v>4000</v>
      </c>
      <c r="CT73">
        <v>1000</v>
      </c>
      <c r="CU73" t="s">
        <v>69</v>
      </c>
      <c r="CV73" t="s">
        <v>69</v>
      </c>
      <c r="CW73">
        <v>5000</v>
      </c>
      <c r="CX73" s="2">
        <f t="shared" si="68"/>
        <v>1429</v>
      </c>
      <c r="CZ73">
        <v>70</v>
      </c>
      <c r="DA73" t="s">
        <v>62</v>
      </c>
      <c r="DB73" t="s">
        <v>88</v>
      </c>
      <c r="DC73" t="s">
        <v>782</v>
      </c>
      <c r="DD73" s="37">
        <f t="shared" si="69"/>
        <v>11.626067041432437</v>
      </c>
      <c r="DE73" s="37">
        <f t="shared" si="63"/>
        <v>11.626067041432437</v>
      </c>
      <c r="DF73" s="37">
        <v>0.8</v>
      </c>
      <c r="DG73" s="37">
        <f t="shared" si="70"/>
        <v>1.432408236347359E-2</v>
      </c>
      <c r="DH73" s="37">
        <f t="shared" si="36"/>
        <v>1.432408236347359E-2</v>
      </c>
      <c r="DI73" s="37">
        <f t="shared" si="71"/>
        <v>12.426067041432438</v>
      </c>
      <c r="DJ73" s="37">
        <f t="shared" si="37"/>
        <v>0.22249000969440352</v>
      </c>
      <c r="DK73" s="37">
        <f t="shared" si="38"/>
        <v>0.22249000969440352</v>
      </c>
      <c r="DL73" s="55">
        <f t="shared" si="39"/>
        <v>-1.7439100562148657</v>
      </c>
      <c r="DN73" s="37">
        <f t="shared" si="40"/>
        <v>0.8</v>
      </c>
      <c r="DO73" s="55">
        <f t="shared" si="41"/>
        <v>1.432408236347359E-2</v>
      </c>
      <c r="DP73" s="55">
        <f t="shared" si="42"/>
        <v>1.432408236347359E-2</v>
      </c>
      <c r="DQ73" s="37">
        <v>0.9</v>
      </c>
      <c r="DR73" s="37">
        <f t="shared" si="43"/>
        <v>1.6384489350081924E-2</v>
      </c>
      <c r="DS73" s="37">
        <f t="shared" si="44"/>
        <v>3.2768978700163848E-2</v>
      </c>
      <c r="DT73" s="37">
        <f t="shared" si="72"/>
        <v>13.579306925015095</v>
      </c>
      <c r="DU73" s="37">
        <f t="shared" si="73"/>
        <v>6.7896534625075473</v>
      </c>
      <c r="DV73" s="37">
        <f t="shared" si="74"/>
        <v>13.326067041432438</v>
      </c>
      <c r="DW73" s="37">
        <f t="shared" si="75"/>
        <v>0.2552589883945674</v>
      </c>
      <c r="DX73">
        <v>27</v>
      </c>
      <c r="DY73" t="s">
        <v>257</v>
      </c>
      <c r="DZ73" s="29">
        <f t="shared" si="84"/>
        <v>1</v>
      </c>
      <c r="EA73" s="30">
        <v>1.7000000000000001E-2</v>
      </c>
      <c r="EB73" s="30">
        <f t="shared" si="47"/>
        <v>2.741935483870968E-4</v>
      </c>
      <c r="EC73" s="30">
        <f t="shared" si="48"/>
        <v>1.370967741935484E-3</v>
      </c>
      <c r="ED73" s="31">
        <f t="shared" si="85"/>
        <v>20</v>
      </c>
      <c r="EE73" s="33">
        <f t="shared" si="83"/>
        <v>24.691358024691358</v>
      </c>
      <c r="EF73" s="37">
        <f t="shared" si="76"/>
        <v>1.6656256506350198</v>
      </c>
      <c r="EG73" s="37">
        <f>$EK71-EK73</f>
        <v>-3</v>
      </c>
      <c r="EH73" s="33">
        <f>(EG73/$EK71)*100</f>
        <v>-5.1724137931034484</v>
      </c>
      <c r="EI73" s="37">
        <f t="shared" si="82"/>
        <v>-0.24984384759525297</v>
      </c>
      <c r="EJ73" s="37"/>
      <c r="EK73" s="31">
        <v>61</v>
      </c>
      <c r="EL73" s="31">
        <f t="shared" si="50"/>
        <v>0.6350197793046013</v>
      </c>
      <c r="EM73" s="31">
        <f t="shared" si="51"/>
        <v>5.0801582344368104</v>
      </c>
      <c r="EN73" s="32">
        <f t="shared" si="77"/>
        <v>5.0815292021787455</v>
      </c>
      <c r="EO73" s="39">
        <f t="shared" si="81"/>
        <v>1.9208846390295871</v>
      </c>
      <c r="EP73" s="37">
        <f t="shared" si="78"/>
        <v>1.7059316334956186E-2</v>
      </c>
      <c r="EQ73" s="37">
        <f t="shared" si="79"/>
        <v>0.11582684622164681</v>
      </c>
      <c r="ER73" s="37">
        <f t="shared" si="80"/>
        <v>0.8671138374433971</v>
      </c>
      <c r="ES73" s="39">
        <f t="shared" si="53"/>
        <v>4.7093061063637434E-2</v>
      </c>
      <c r="ET73" s="55">
        <f t="shared" si="54"/>
        <v>30.416545537605383</v>
      </c>
      <c r="EU73" s="55">
        <f t="shared" si="55"/>
        <v>69.583454462394627</v>
      </c>
      <c r="EV73" s="55">
        <f t="shared" si="56"/>
        <v>0</v>
      </c>
      <c r="EW73">
        <v>42</v>
      </c>
      <c r="EX73" t="s">
        <v>491</v>
      </c>
      <c r="EY73">
        <v>-112</v>
      </c>
      <c r="EZ73" t="s">
        <v>545</v>
      </c>
      <c r="FA73">
        <v>844</v>
      </c>
      <c r="FB73" t="s">
        <v>113</v>
      </c>
      <c r="FC73" t="s">
        <v>88</v>
      </c>
      <c r="FD73" s="39">
        <f t="shared" si="57"/>
        <v>-0.86112621168892378</v>
      </c>
      <c r="FE73" s="39">
        <f t="shared" si="61"/>
        <v>-0.83245414311836896</v>
      </c>
      <c r="FF73" s="39">
        <f t="shared" si="58"/>
        <v>1.0126653662770257</v>
      </c>
      <c r="FG73" s="39">
        <f t="shared" si="59"/>
        <v>1.0413374348475806</v>
      </c>
    </row>
    <row r="74" spans="1:163" ht="15.75" x14ac:dyDescent="0.25">
      <c r="A74" s="5" t="s">
        <v>332</v>
      </c>
      <c r="B74" s="5" t="s">
        <v>332</v>
      </c>
      <c r="C74" s="3" t="s">
        <v>863</v>
      </c>
      <c r="D74" s="3" t="s">
        <v>863</v>
      </c>
      <c r="E74" s="3" t="s">
        <v>1199</v>
      </c>
      <c r="F74" s="3" t="s">
        <v>1034</v>
      </c>
      <c r="G74" s="3" t="s">
        <v>774</v>
      </c>
      <c r="H74" s="3" t="str">
        <f t="shared" si="87"/>
        <v>CW_3_Section_3</v>
      </c>
      <c r="I74" s="3" t="str">
        <f t="shared" si="88"/>
        <v>CW_3_MF09</v>
      </c>
      <c r="J74" s="3" t="s">
        <v>1492</v>
      </c>
      <c r="K74" s="3" t="s">
        <v>1484</v>
      </c>
      <c r="L74" s="11" t="s">
        <v>1104</v>
      </c>
      <c r="M74" s="3" t="s">
        <v>1015</v>
      </c>
      <c r="N74" s="3" t="s">
        <v>1015</v>
      </c>
      <c r="O74" s="12" t="s">
        <v>1016</v>
      </c>
      <c r="P74" s="3" t="s">
        <v>1200</v>
      </c>
      <c r="Q74" s="3" t="s">
        <v>1018</v>
      </c>
      <c r="R74" s="3" t="s">
        <v>1158</v>
      </c>
      <c r="S74" s="3" t="str">
        <f t="shared" si="89"/>
        <v>T2_0.15-0.30</v>
      </c>
      <c r="T74" s="13" t="s">
        <v>1159</v>
      </c>
      <c r="U74" s="3" t="s">
        <v>1160</v>
      </c>
      <c r="V74" s="3">
        <v>150</v>
      </c>
      <c r="W74" s="3">
        <v>65</v>
      </c>
      <c r="X74" s="3">
        <v>6.4</v>
      </c>
      <c r="Y74" s="3">
        <v>73</v>
      </c>
      <c r="Z74" t="s">
        <v>546</v>
      </c>
      <c r="AA74" t="s">
        <v>261</v>
      </c>
      <c r="AB74" s="1">
        <v>45644</v>
      </c>
      <c r="AC74">
        <v>13</v>
      </c>
      <c r="AD74">
        <v>14</v>
      </c>
      <c r="AE74">
        <v>170</v>
      </c>
      <c r="AF74" s="37">
        <f t="shared" si="17"/>
        <v>6.5292536166944054E-2</v>
      </c>
      <c r="AG74">
        <v>1.4</v>
      </c>
      <c r="AH74" s="37">
        <f t="shared" si="18"/>
        <v>5.4699370523116997E-4</v>
      </c>
      <c r="AI74">
        <v>25</v>
      </c>
      <c r="AJ74" s="37">
        <f t="shared" si="19"/>
        <v>9.8897993783554679E-3</v>
      </c>
      <c r="AK74">
        <v>13</v>
      </c>
      <c r="AL74" s="37">
        <f t="shared" si="20"/>
        <v>5.1426956767448434E-3</v>
      </c>
      <c r="AM74">
        <v>6.2</v>
      </c>
      <c r="AN74" s="37">
        <f t="shared" si="21"/>
        <v>2.452670245832156E-3</v>
      </c>
      <c r="AO74">
        <v>19.2</v>
      </c>
      <c r="AQ74" s="59">
        <v>215.6</v>
      </c>
      <c r="AR74" s="59">
        <f t="shared" si="22"/>
        <v>7.5729329250530691E-2</v>
      </c>
      <c r="AS74">
        <v>14</v>
      </c>
      <c r="AT74" s="37">
        <f t="shared" si="23"/>
        <v>5.2430365920262149E-3</v>
      </c>
      <c r="AU74" t="s">
        <v>780</v>
      </c>
      <c r="AV74" t="s">
        <v>780</v>
      </c>
      <c r="AW74" t="s">
        <v>780</v>
      </c>
      <c r="AX74" t="s">
        <v>780</v>
      </c>
      <c r="AY74" t="s">
        <v>780</v>
      </c>
      <c r="AZ74" t="s">
        <v>780</v>
      </c>
      <c r="BA74" t="s">
        <v>780</v>
      </c>
      <c r="BB74" t="s">
        <v>780</v>
      </c>
      <c r="BC74" t="s">
        <v>780</v>
      </c>
      <c r="BD74" t="s">
        <v>780</v>
      </c>
      <c r="BE74" t="s">
        <v>780</v>
      </c>
      <c r="BF74" t="s">
        <v>780</v>
      </c>
      <c r="BG74" t="s">
        <v>780</v>
      </c>
      <c r="BH74" t="s">
        <v>780</v>
      </c>
      <c r="BI74" t="s">
        <v>780</v>
      </c>
      <c r="BJ74" t="s">
        <v>780</v>
      </c>
      <c r="BK74" t="s">
        <v>780</v>
      </c>
      <c r="BL74" t="s">
        <v>780</v>
      </c>
      <c r="BM74" t="s">
        <v>780</v>
      </c>
      <c r="BN74" t="s">
        <v>780</v>
      </c>
      <c r="BO74" s="58">
        <v>3.2</v>
      </c>
      <c r="BP74" s="58">
        <v>0.2</v>
      </c>
      <c r="BQ74" s="58">
        <v>0.12</v>
      </c>
      <c r="BR74" s="58">
        <v>5.0000000000000001E-3</v>
      </c>
      <c r="BS74" s="58">
        <v>1E-3</v>
      </c>
      <c r="BT74" s="58">
        <v>1E-3</v>
      </c>
      <c r="BU74" s="58">
        <v>1E-3</v>
      </c>
      <c r="BV74" s="58">
        <v>2E-3</v>
      </c>
      <c r="BW74" s="31">
        <f t="shared" si="24"/>
        <v>1.1984083638917065E-3</v>
      </c>
      <c r="BX74" s="31">
        <f t="shared" si="25"/>
        <v>7.3592220251002044E-5</v>
      </c>
      <c r="BY74" s="31">
        <f t="shared" si="26"/>
        <v>4.513325984047727E-5</v>
      </c>
      <c r="BZ74" s="31">
        <f t="shared" si="27"/>
        <v>1.8649981951630372E-6</v>
      </c>
      <c r="CA74" s="31">
        <f t="shared" si="28"/>
        <v>3.7030802895135499E-7</v>
      </c>
      <c r="CB74" s="31">
        <f t="shared" si="29"/>
        <v>3.7030802895135499E-7</v>
      </c>
      <c r="CC74" s="31">
        <f t="shared" si="30"/>
        <v>3.6588380716934485E-7</v>
      </c>
      <c r="CD74" s="31">
        <f t="shared" si="31"/>
        <v>7.3176761433868969E-7</v>
      </c>
      <c r="CE74">
        <v>1E-3</v>
      </c>
      <c r="CF74">
        <v>1E-3</v>
      </c>
      <c r="CG74">
        <v>2E-3</v>
      </c>
      <c r="CH74">
        <v>1E-3</v>
      </c>
      <c r="CI74">
        <v>1E-3</v>
      </c>
      <c r="CK74">
        <v>2E-3</v>
      </c>
      <c r="CL74">
        <v>1E-3</v>
      </c>
      <c r="CM74">
        <v>1E-3</v>
      </c>
      <c r="CN74" s="58">
        <f t="shared" si="60"/>
        <v>3.53</v>
      </c>
      <c r="CO74" s="58">
        <f t="shared" si="32"/>
        <v>0.33</v>
      </c>
      <c r="CP74" s="31">
        <f t="shared" si="33"/>
        <v>1.3208371096577595E-3</v>
      </c>
      <c r="CQ74" s="31">
        <f t="shared" si="34"/>
        <v>1.2242874576605311E-4</v>
      </c>
      <c r="CR74">
        <v>3.5</v>
      </c>
      <c r="CS74" t="s">
        <v>69</v>
      </c>
      <c r="CT74" t="s">
        <v>69</v>
      </c>
      <c r="CU74" t="s">
        <v>69</v>
      </c>
      <c r="CV74" t="s">
        <v>69</v>
      </c>
      <c r="CW74">
        <v>5</v>
      </c>
      <c r="CX74" s="2">
        <f t="shared" ref="CX74:CX105" si="90">SUM(AQ74+CR74)</f>
        <v>219.1</v>
      </c>
      <c r="CZ74">
        <v>62</v>
      </c>
      <c r="DA74" t="s">
        <v>62</v>
      </c>
      <c r="DB74" t="s">
        <v>88</v>
      </c>
      <c r="DC74" t="s">
        <v>782</v>
      </c>
      <c r="DD74" s="37">
        <f t="shared" ref="DD74:DD105" si="91">$ED74*(55.84/96.06)</f>
        <v>46.794919841765562</v>
      </c>
      <c r="DE74" s="37">
        <f t="shared" si="63"/>
        <v>46.794919841765562</v>
      </c>
      <c r="DF74" s="37">
        <v>24</v>
      </c>
      <c r="DG74" s="37">
        <f t="shared" ref="DG74:DG105" si="92">DF74/55.85</f>
        <v>0.42972247090420768</v>
      </c>
      <c r="DH74" s="37">
        <f t="shared" si="36"/>
        <v>0.42972247090420768</v>
      </c>
      <c r="DI74" s="37">
        <f t="shared" ref="DI74:DI105" si="93">DE74+DF74</f>
        <v>70.794919841765562</v>
      </c>
      <c r="DJ74" s="37">
        <f t="shared" si="37"/>
        <v>1.2675903284112007</v>
      </c>
      <c r="DK74" s="37">
        <f t="shared" si="38"/>
        <v>1.2675903284112007</v>
      </c>
      <c r="DL74" s="55">
        <f t="shared" si="39"/>
        <v>5.5223818446804076</v>
      </c>
      <c r="DM74" s="55">
        <f t="shared" si="39"/>
        <v>5.5223818446804076</v>
      </c>
      <c r="DN74" s="37">
        <f t="shared" si="40"/>
        <v>29.522381844680407</v>
      </c>
      <c r="DO74" s="55">
        <f t="shared" si="41"/>
        <v>0.52860128638639936</v>
      </c>
      <c r="DP74" s="55">
        <f t="shared" si="42"/>
        <v>0.52860128638639936</v>
      </c>
      <c r="DQ74" s="37">
        <v>3.6</v>
      </c>
      <c r="DR74" s="37">
        <f t="shared" si="43"/>
        <v>6.5537957400327695E-2</v>
      </c>
      <c r="DS74" s="37">
        <f t="shared" si="44"/>
        <v>0.13107591480065539</v>
      </c>
      <c r="DT74" s="37">
        <f t="shared" ref="DT74:DT105" si="94">DJ74/DR74</f>
        <v>19.341315761007568</v>
      </c>
      <c r="DU74" s="37">
        <f t="shared" ref="DU74:DU105" si="95">DK74/DS74</f>
        <v>9.6706578805037839</v>
      </c>
      <c r="DV74" s="37">
        <f t="shared" ref="DV74:DV105" si="96">DI74+DQ74</f>
        <v>74.394919841765557</v>
      </c>
      <c r="DW74" s="37">
        <f t="shared" ref="DW74:DW105" si="97">SUM(DK74+DS74)</f>
        <v>1.398666243211856</v>
      </c>
      <c r="DX74">
        <v>19</v>
      </c>
      <c r="DY74" t="s">
        <v>69</v>
      </c>
      <c r="DZ74" s="29">
        <f t="shared" si="84"/>
        <v>1</v>
      </c>
      <c r="EA74" s="30">
        <v>1.7000000000000001E-2</v>
      </c>
      <c r="EB74" s="30">
        <f t="shared" si="47"/>
        <v>2.741935483870968E-4</v>
      </c>
      <c r="EC74" s="30">
        <f t="shared" si="48"/>
        <v>1.370967741935484E-3</v>
      </c>
      <c r="ED74" s="31">
        <f t="shared" si="85"/>
        <v>80.5</v>
      </c>
      <c r="EE74" s="33">
        <f t="shared" si="83"/>
        <v>99.382716049382708</v>
      </c>
      <c r="EF74" s="37">
        <f t="shared" ref="EF74:EF105" si="98">(ED74/96.06)*8</f>
        <v>6.7041432438059543</v>
      </c>
      <c r="EG74" s="37">
        <f>$EK72-EK74</f>
        <v>9.5</v>
      </c>
      <c r="EH74" s="33">
        <f>(EG74/$EK72)*100</f>
        <v>95</v>
      </c>
      <c r="EI74" s="37">
        <f t="shared" si="82"/>
        <v>0.79117218405163436</v>
      </c>
      <c r="EJ74" s="37">
        <f>($EG74/96.06)*8</f>
        <v>0.79117218405163436</v>
      </c>
      <c r="EK74" s="31">
        <v>0.5</v>
      </c>
      <c r="EL74" s="31">
        <f t="shared" si="50"/>
        <v>5.2050801582344368E-3</v>
      </c>
      <c r="EM74" s="31">
        <f t="shared" si="51"/>
        <v>4.1640641265875494E-2</v>
      </c>
      <c r="EN74" s="32">
        <f t="shared" ref="EN74:EN105" si="99">SUM(EC74+EM74)</f>
        <v>4.301160900781098E-2</v>
      </c>
      <c r="EO74" s="39">
        <f t="shared" si="81"/>
        <v>8.1028094870178098</v>
      </c>
      <c r="EP74" s="37">
        <f t="shared" ref="EP74:EP105" si="100">DS74/EO74</f>
        <v>1.6176600845751475E-2</v>
      </c>
      <c r="EQ74" s="37">
        <f t="shared" ref="EQ74:EQ105" si="101">DK74/EO74</f>
        <v>0.15643837244873071</v>
      </c>
      <c r="ER74" s="37">
        <f t="shared" ref="ER74:ER105" si="102">EF74/EO74</f>
        <v>0.82738502670551795</v>
      </c>
      <c r="ES74" s="39">
        <f t="shared" si="53"/>
        <v>1.4508493852386892</v>
      </c>
      <c r="ET74" s="55">
        <f t="shared" si="54"/>
        <v>36.433918762658848</v>
      </c>
      <c r="EU74" s="55">
        <f t="shared" si="55"/>
        <v>9.0344260496130815</v>
      </c>
      <c r="EV74" s="55">
        <f t="shared" si="56"/>
        <v>54.531655187728056</v>
      </c>
      <c r="EW74" t="s">
        <v>48</v>
      </c>
      <c r="EX74" t="s">
        <v>547</v>
      </c>
      <c r="EY74">
        <v>-89</v>
      </c>
      <c r="EZ74" t="s">
        <v>165</v>
      </c>
      <c r="FA74">
        <v>712</v>
      </c>
      <c r="FB74" t="s">
        <v>113</v>
      </c>
      <c r="FC74" t="s">
        <v>88</v>
      </c>
      <c r="FD74" s="39">
        <f t="shared" si="57"/>
        <v>-8.0218371211752526</v>
      </c>
      <c r="FE74" s="39">
        <f t="shared" si="61"/>
        <v>-8.0217146924294873</v>
      </c>
      <c r="FF74" s="39">
        <f t="shared" si="58"/>
        <v>-1.3698770193961323</v>
      </c>
      <c r="FG74" s="39">
        <f t="shared" si="59"/>
        <v>-1.3697545906503663</v>
      </c>
    </row>
    <row r="75" spans="1:163" ht="15.75" x14ac:dyDescent="0.25">
      <c r="A75" s="5" t="s">
        <v>333</v>
      </c>
      <c r="B75" s="5" t="s">
        <v>333</v>
      </c>
      <c r="C75" s="3" t="s">
        <v>864</v>
      </c>
      <c r="D75" s="3" t="s">
        <v>864</v>
      </c>
      <c r="E75" s="3" t="s">
        <v>1201</v>
      </c>
      <c r="F75" s="3" t="s">
        <v>1034</v>
      </c>
      <c r="G75" s="3" t="s">
        <v>774</v>
      </c>
      <c r="H75" s="3" t="str">
        <f t="shared" si="87"/>
        <v>CW_3_Section_3</v>
      </c>
      <c r="I75" s="3" t="str">
        <f t="shared" si="88"/>
        <v>CW_3_MF10</v>
      </c>
      <c r="J75" s="3" t="s">
        <v>1493</v>
      </c>
      <c r="K75" s="3" t="s">
        <v>1484</v>
      </c>
      <c r="L75" s="11" t="s">
        <v>1107</v>
      </c>
      <c r="M75" s="3" t="s">
        <v>1024</v>
      </c>
      <c r="N75" s="3" t="s">
        <v>1024</v>
      </c>
      <c r="O75" s="12" t="s">
        <v>1016</v>
      </c>
      <c r="P75" s="3" t="s">
        <v>1202</v>
      </c>
      <c r="Q75" s="3" t="s">
        <v>1018</v>
      </c>
      <c r="R75" s="3" t="s">
        <v>1158</v>
      </c>
      <c r="S75" s="3" t="str">
        <f t="shared" si="89"/>
        <v>T2_0.60-0.80</v>
      </c>
      <c r="T75" s="13" t="s">
        <v>1159</v>
      </c>
      <c r="U75" s="3" t="s">
        <v>1160</v>
      </c>
      <c r="V75" s="3">
        <v>150</v>
      </c>
      <c r="W75" s="3">
        <v>65</v>
      </c>
      <c r="X75" s="3">
        <v>19.3</v>
      </c>
      <c r="Y75" s="3">
        <v>74</v>
      </c>
      <c r="Z75" t="s">
        <v>548</v>
      </c>
      <c r="AA75" t="s">
        <v>264</v>
      </c>
      <c r="AB75" s="1">
        <v>45644</v>
      </c>
      <c r="AC75">
        <v>10</v>
      </c>
      <c r="AD75">
        <v>11</v>
      </c>
      <c r="AE75">
        <v>750</v>
      </c>
      <c r="AF75" s="37">
        <f t="shared" ref="AF75:AF138" si="103">($AE75/78110)*30</f>
        <v>0.2880553066188708</v>
      </c>
      <c r="AG75">
        <v>38</v>
      </c>
      <c r="AH75" s="37">
        <f t="shared" ref="AH75:AH138" si="104">($AG75/92140)*36</f>
        <v>1.4846971999131757E-2</v>
      </c>
      <c r="AI75">
        <v>550</v>
      </c>
      <c r="AJ75" s="37">
        <f t="shared" ref="AJ75:AJ138" si="105">($AI75/106170)*42</f>
        <v>0.21757558632382029</v>
      </c>
      <c r="AK75">
        <v>240</v>
      </c>
      <c r="AL75" s="37">
        <f t="shared" ref="AL75:AL138" si="106">($AK75/106170)*42</f>
        <v>9.4942074032212498E-2</v>
      </c>
      <c r="AM75">
        <v>200</v>
      </c>
      <c r="AN75" s="37">
        <f t="shared" ref="AN75:AN138" si="107">($AM75/106170)*42</f>
        <v>7.9118395026843744E-2</v>
      </c>
      <c r="AO75">
        <v>440</v>
      </c>
      <c r="AQ75" s="59">
        <v>1778</v>
      </c>
      <c r="AR75" s="59">
        <f t="shared" ref="AR75:AR138" si="108">$AF75+$AH75+$AJ75+$AP75</f>
        <v>0.52047786494182291</v>
      </c>
      <c r="AS75">
        <v>3400</v>
      </c>
      <c r="AT75" s="37">
        <f t="shared" ref="AT75:AT138" si="109">($AS75/128170)*48</f>
        <v>1.273308886634938</v>
      </c>
      <c r="AU75" t="s">
        <v>780</v>
      </c>
      <c r="AV75" t="s">
        <v>780</v>
      </c>
      <c r="AW75" t="s">
        <v>780</v>
      </c>
      <c r="AX75" t="s">
        <v>780</v>
      </c>
      <c r="AY75" t="s">
        <v>780</v>
      </c>
      <c r="AZ75" t="s">
        <v>780</v>
      </c>
      <c r="BA75" t="s">
        <v>780</v>
      </c>
      <c r="BB75" t="s">
        <v>780</v>
      </c>
      <c r="BC75" t="s">
        <v>780</v>
      </c>
      <c r="BD75" t="s">
        <v>780</v>
      </c>
      <c r="BE75" t="s">
        <v>780</v>
      </c>
      <c r="BF75" t="s">
        <v>780</v>
      </c>
      <c r="BG75" t="s">
        <v>780</v>
      </c>
      <c r="BH75" t="s">
        <v>780</v>
      </c>
      <c r="BI75" t="s">
        <v>780</v>
      </c>
      <c r="BJ75" t="s">
        <v>780</v>
      </c>
      <c r="BK75" t="s">
        <v>780</v>
      </c>
      <c r="BL75" t="s">
        <v>780</v>
      </c>
      <c r="BM75" t="s">
        <v>780</v>
      </c>
      <c r="BN75" t="s">
        <v>780</v>
      </c>
      <c r="BO75" s="58">
        <v>2100</v>
      </c>
      <c r="BP75" s="58">
        <v>78</v>
      </c>
      <c r="BQ75" s="58">
        <v>73</v>
      </c>
      <c r="BR75" s="58">
        <v>21</v>
      </c>
      <c r="BS75" s="58">
        <v>5.4</v>
      </c>
      <c r="BT75" s="58">
        <v>0.99</v>
      </c>
      <c r="BU75" s="58">
        <v>0.1</v>
      </c>
      <c r="BV75" s="58">
        <v>0.06</v>
      </c>
      <c r="BW75" s="31">
        <f t="shared" ref="BW75:BW138" si="110">($BO75/128170)*48</f>
        <v>0.78645548880393235</v>
      </c>
      <c r="BX75" s="31">
        <f t="shared" ref="BX75:BX138" si="111">($BP75/152190)*56</f>
        <v>2.8700965897890791E-2</v>
      </c>
      <c r="BY75" s="31">
        <f t="shared" ref="BY75:BY138" si="112">($BQ75/154210)*58</f>
        <v>2.7456066402957006E-2</v>
      </c>
      <c r="BZ75" s="31">
        <f t="shared" ref="BZ75:BZ138" si="113">($BR75/166220)*62</f>
        <v>7.8329924196847561E-3</v>
      </c>
      <c r="CA75" s="31">
        <f t="shared" ref="CA75:CA138" si="114">($BS75/178230)*66</f>
        <v>1.9996633563373169E-3</v>
      </c>
      <c r="CB75" s="31">
        <f t="shared" ref="CB75:CB138" si="115">($BT75/178230)*66</f>
        <v>3.6660494866184144E-4</v>
      </c>
      <c r="CC75" s="31">
        <f t="shared" ref="CC75:CC138" si="116">($BU75/202250)*74</f>
        <v>3.6588380716934496E-5</v>
      </c>
      <c r="CD75" s="31">
        <f t="shared" ref="CD75:CD138" si="117">($BV75/202250)*74</f>
        <v>2.1953028430160689E-5</v>
      </c>
      <c r="CE75">
        <v>1E-3</v>
      </c>
      <c r="CF75">
        <v>1E-3</v>
      </c>
      <c r="CG75">
        <v>2E-3</v>
      </c>
      <c r="CH75">
        <v>1E-3</v>
      </c>
      <c r="CI75">
        <v>1E-3</v>
      </c>
      <c r="CK75">
        <v>2E-3</v>
      </c>
      <c r="CL75">
        <v>1E-3</v>
      </c>
      <c r="CM75">
        <v>1E-3</v>
      </c>
      <c r="CN75" s="58">
        <f t="shared" si="60"/>
        <v>2278.5499999999997</v>
      </c>
      <c r="CO75" s="58">
        <f t="shared" ref="CO75:CO138" si="118">$BP75+$BQ75+$BR75+$BS75+$BT75+$BU75+$BV75</f>
        <v>178.55</v>
      </c>
      <c r="CP75" s="31">
        <f t="shared" ref="CP75:CP138" si="119">$BW75+$BX75+$BY75+$BZ75+$CA75+$CB75+$CC75+$CD75</f>
        <v>0.85287032323861112</v>
      </c>
      <c r="CQ75" s="31">
        <f t="shared" ref="CQ75:CQ138" si="120">$BX75+$BY75+$BZ75+$CA75+$CB75+$CC75+$CD75</f>
        <v>6.6414834434678813E-2</v>
      </c>
      <c r="CR75">
        <v>2300</v>
      </c>
      <c r="CS75">
        <v>5100</v>
      </c>
      <c r="CT75">
        <v>1200</v>
      </c>
      <c r="CU75" t="s">
        <v>69</v>
      </c>
      <c r="CV75" t="s">
        <v>69</v>
      </c>
      <c r="CW75">
        <v>6300</v>
      </c>
      <c r="CX75" s="2">
        <f t="shared" si="90"/>
        <v>4078</v>
      </c>
      <c r="CZ75">
        <v>69</v>
      </c>
      <c r="DA75" t="s">
        <v>62</v>
      </c>
      <c r="DB75" t="s">
        <v>88</v>
      </c>
      <c r="DC75" t="s">
        <v>782</v>
      </c>
      <c r="DD75" s="37">
        <f t="shared" si="91"/>
        <v>20.345617322506765</v>
      </c>
      <c r="DE75" s="37">
        <f t="shared" si="63"/>
        <v>20.345617322506765</v>
      </c>
      <c r="DF75" s="37">
        <v>3.4</v>
      </c>
      <c r="DG75" s="37">
        <f t="shared" si="92"/>
        <v>6.0877350044762753E-2</v>
      </c>
      <c r="DH75" s="37">
        <f t="shared" ref="DH75:DH138" si="121">DG75*1</f>
        <v>6.0877350044762753E-2</v>
      </c>
      <c r="DI75" s="37">
        <f t="shared" si="93"/>
        <v>23.745617322506764</v>
      </c>
      <c r="DJ75" s="37">
        <f t="shared" ref="DJ75:DJ138" si="122">DI75/55.85</f>
        <v>0.4251677228738901</v>
      </c>
      <c r="DK75" s="37">
        <f t="shared" ref="DK75:DK138" si="123">DJ75*1</f>
        <v>0.4251677228738901</v>
      </c>
      <c r="DL75" s="55">
        <f t="shared" ref="DL75:DM138" si="124">$EG75*(55.84/96.06)</f>
        <v>8.7195502810743282</v>
      </c>
      <c r="DM75" s="55">
        <f t="shared" si="124"/>
        <v>8.7195502810743282</v>
      </c>
      <c r="DN75" s="37">
        <f t="shared" ref="DN75:DN138" si="125">DM75+DF75</f>
        <v>12.119550281074329</v>
      </c>
      <c r="DO75" s="55">
        <f t="shared" ref="DO75:DO138" si="126">DN75/55.85</f>
        <v>0.21700179554296023</v>
      </c>
      <c r="DP75" s="55">
        <f t="shared" ref="DP75:DP138" si="127">DO75*1</f>
        <v>0.21700179554296023</v>
      </c>
      <c r="DQ75" s="37">
        <v>1.3</v>
      </c>
      <c r="DR75" s="37">
        <f t="shared" ref="DR75:DR138" si="128">DQ75/54.93</f>
        <v>2.3666484616785E-2</v>
      </c>
      <c r="DS75" s="37">
        <f t="shared" ref="DS75:DS138" si="129">DR75*2</f>
        <v>4.7332969233569999E-2</v>
      </c>
      <c r="DT75" s="37">
        <f t="shared" si="94"/>
        <v>17.964971551894447</v>
      </c>
      <c r="DU75" s="37">
        <f t="shared" si="95"/>
        <v>8.9824857759472234</v>
      </c>
      <c r="DV75" s="37">
        <f t="shared" si="96"/>
        <v>25.045617322506764</v>
      </c>
      <c r="DW75" s="37">
        <f t="shared" si="97"/>
        <v>0.4725006921074601</v>
      </c>
      <c r="DX75">
        <v>27</v>
      </c>
      <c r="DY75" t="s">
        <v>121</v>
      </c>
      <c r="DZ75" s="29">
        <f t="shared" si="84"/>
        <v>1</v>
      </c>
      <c r="EA75" s="30">
        <v>1.7000000000000001E-2</v>
      </c>
      <c r="EB75" s="30">
        <f t="shared" ref="EB75:EB138" si="130">EA75/62</f>
        <v>2.741935483870968E-4</v>
      </c>
      <c r="EC75" s="30">
        <f t="shared" ref="EC75:EC138" si="131">EB75*5</f>
        <v>1.370967741935484E-3</v>
      </c>
      <c r="ED75" s="31">
        <f t="shared" si="85"/>
        <v>35</v>
      </c>
      <c r="EE75" s="33">
        <f t="shared" si="83"/>
        <v>43.209876543209873</v>
      </c>
      <c r="EF75" s="37">
        <f t="shared" si="98"/>
        <v>2.9148448886112845</v>
      </c>
      <c r="EG75" s="29">
        <f>$EK73-EK75</f>
        <v>15</v>
      </c>
      <c r="EH75" s="33">
        <f>(EG75/$EK73)*100</f>
        <v>24.590163934426229</v>
      </c>
      <c r="EI75" s="37">
        <f t="shared" si="82"/>
        <v>1.2492192379762648</v>
      </c>
      <c r="EJ75" s="37">
        <f>($EG75/96.06)*8</f>
        <v>1.2492192379762648</v>
      </c>
      <c r="EK75" s="31">
        <v>46</v>
      </c>
      <c r="EL75" s="31">
        <f t="shared" ref="EL75:EL138" si="132">EK75/96.06</f>
        <v>0.47886737455756817</v>
      </c>
      <c r="EM75" s="31">
        <f t="shared" ref="EM75:EM138" si="133">EL75*8</f>
        <v>3.8309389964605454</v>
      </c>
      <c r="EN75" s="32">
        <f t="shared" si="99"/>
        <v>3.8323099642024809</v>
      </c>
      <c r="EO75" s="39">
        <f t="shared" ref="EO75:EO106" si="134">DK75+DS75+EF75</f>
        <v>3.3873455807187445</v>
      </c>
      <c r="EP75" s="37">
        <f t="shared" si="100"/>
        <v>1.3973469227053783E-2</v>
      </c>
      <c r="EQ75" s="37">
        <f t="shared" si="101"/>
        <v>0.12551648857264686</v>
      </c>
      <c r="ER75" s="37">
        <f t="shared" si="102"/>
        <v>0.86051004220029936</v>
      </c>
      <c r="ES75" s="39">
        <f t="shared" ref="ES75:ES138" si="135">$DP75+$DS75+$EJ75</f>
        <v>1.5135540027527949</v>
      </c>
      <c r="ET75" s="55">
        <f t="shared" ref="ET75:ET138" si="136">($DP75/$ES75)*100</f>
        <v>14.337235086973147</v>
      </c>
      <c r="EU75" s="55">
        <f t="shared" ref="EU75:EU138" si="137">($DS75/$ES75)*100</f>
        <v>3.1272732355424768</v>
      </c>
      <c r="EV75" s="55">
        <f t="shared" ref="EV75:EV138" si="138">($EJ75/$ES75)*100</f>
        <v>82.535491677484387</v>
      </c>
      <c r="EW75" t="s">
        <v>224</v>
      </c>
      <c r="EX75" t="s">
        <v>491</v>
      </c>
      <c r="EY75">
        <v>-105</v>
      </c>
      <c r="EZ75" t="s">
        <v>112</v>
      </c>
      <c r="FA75">
        <v>645</v>
      </c>
      <c r="FB75" t="s">
        <v>113</v>
      </c>
      <c r="FC75" t="s">
        <v>88</v>
      </c>
      <c r="FD75" s="39">
        <f t="shared" ref="FD75:FD138" si="139">$AR75+$AT75-$EO75</f>
        <v>-1.5935588291419835</v>
      </c>
      <c r="FE75" s="39">
        <f t="shared" ref="FE75:FE138" si="140">$AR75+$AT75+$CQ75-$EO75</f>
        <v>-1.5271439947073047</v>
      </c>
      <c r="FF75" s="39">
        <f t="shared" ref="FF75:FF138" si="141">$AR75+$AT75-$ES75</f>
        <v>0.28023274882396598</v>
      </c>
      <c r="FG75" s="39">
        <f t="shared" ref="FG75:FG138" si="142">$AR75+$AT75+$CQ75-$ES75</f>
        <v>0.34664758325864486</v>
      </c>
    </row>
    <row r="76" spans="1:163" s="37" customFormat="1" ht="15.75" x14ac:dyDescent="0.25">
      <c r="A76" s="34" t="s">
        <v>334</v>
      </c>
      <c r="B76" s="34" t="s">
        <v>334</v>
      </c>
      <c r="C76" s="34" t="s">
        <v>865</v>
      </c>
      <c r="D76" s="34" t="s">
        <v>865</v>
      </c>
      <c r="E76" s="34" t="s">
        <v>1203</v>
      </c>
      <c r="F76" s="34" t="s">
        <v>1048</v>
      </c>
      <c r="G76" s="34" t="s">
        <v>1049</v>
      </c>
      <c r="H76" s="34" t="str">
        <f t="shared" si="87"/>
        <v>CW_0_Section_0</v>
      </c>
      <c r="I76" s="34" t="str">
        <f t="shared" si="88"/>
        <v>CW_0_INF</v>
      </c>
      <c r="J76" s="34" t="s">
        <v>1481</v>
      </c>
      <c r="K76" s="34" t="s">
        <v>1481</v>
      </c>
      <c r="L76" s="34" t="s">
        <v>780</v>
      </c>
      <c r="M76" s="34" t="s">
        <v>780</v>
      </c>
      <c r="N76" s="34" t="s">
        <v>1481</v>
      </c>
      <c r="O76" s="35" t="s">
        <v>1016</v>
      </c>
      <c r="P76" s="34" t="s">
        <v>1204</v>
      </c>
      <c r="Q76" s="34" t="s">
        <v>1018</v>
      </c>
      <c r="R76" s="34" t="s">
        <v>1205</v>
      </c>
      <c r="S76" s="34" t="str">
        <f t="shared" si="89"/>
        <v>T3_INF</v>
      </c>
      <c r="T76" s="36" t="s">
        <v>1206</v>
      </c>
      <c r="U76" s="34" t="s">
        <v>1160</v>
      </c>
      <c r="V76" s="34">
        <v>150</v>
      </c>
      <c r="W76" s="34">
        <v>65</v>
      </c>
      <c r="X76" s="42">
        <v>4.8</v>
      </c>
      <c r="Y76" s="34">
        <v>75</v>
      </c>
      <c r="Z76" s="37" t="s">
        <v>555</v>
      </c>
      <c r="AA76" s="37" t="s">
        <v>130</v>
      </c>
      <c r="AB76" s="38">
        <v>45705</v>
      </c>
      <c r="AC76" s="37">
        <v>64</v>
      </c>
      <c r="AD76" s="37">
        <v>17</v>
      </c>
      <c r="AE76" s="37">
        <v>660</v>
      </c>
      <c r="AF76" s="37">
        <f t="shared" si="103"/>
        <v>0.25348866982460633</v>
      </c>
      <c r="AG76" s="37">
        <v>210</v>
      </c>
      <c r="AH76" s="37">
        <f t="shared" si="104"/>
        <v>8.2049055784675501E-2</v>
      </c>
      <c r="AI76" s="37">
        <v>770</v>
      </c>
      <c r="AJ76" s="37">
        <f t="shared" si="105"/>
        <v>0.30460582085334842</v>
      </c>
      <c r="AK76" s="37">
        <v>280</v>
      </c>
      <c r="AL76" s="37">
        <f t="shared" si="106"/>
        <v>0.11076575303758124</v>
      </c>
      <c r="AM76" s="37">
        <v>500</v>
      </c>
      <c r="AN76" s="37">
        <f t="shared" si="107"/>
        <v>0.19779598756710934</v>
      </c>
      <c r="AO76" s="37">
        <v>780</v>
      </c>
      <c r="AQ76" s="59">
        <v>2420</v>
      </c>
      <c r="AR76" s="59">
        <f t="shared" si="108"/>
        <v>0.64014354646263028</v>
      </c>
      <c r="AS76" s="37">
        <v>5900</v>
      </c>
      <c r="AT76" s="37">
        <f t="shared" si="109"/>
        <v>2.2095654209253333</v>
      </c>
      <c r="AU76" s="37" t="s">
        <v>780</v>
      </c>
      <c r="AV76" s="37" t="s">
        <v>780</v>
      </c>
      <c r="AW76" s="37" t="s">
        <v>780</v>
      </c>
      <c r="AX76" s="37" t="s">
        <v>780</v>
      </c>
      <c r="AY76" s="37" t="s">
        <v>780</v>
      </c>
      <c r="AZ76" s="37" t="s">
        <v>780</v>
      </c>
      <c r="BA76" s="37" t="s">
        <v>780</v>
      </c>
      <c r="BB76" s="37" t="s">
        <v>780</v>
      </c>
      <c r="BC76" s="37" t="s">
        <v>780</v>
      </c>
      <c r="BD76" s="37" t="s">
        <v>780</v>
      </c>
      <c r="BE76" s="37" t="s">
        <v>780</v>
      </c>
      <c r="BF76" s="37" t="s">
        <v>780</v>
      </c>
      <c r="BG76" s="37" t="s">
        <v>780</v>
      </c>
      <c r="BH76" s="37" t="s">
        <v>780</v>
      </c>
      <c r="BI76" s="37" t="s">
        <v>780</v>
      </c>
      <c r="BJ76" s="37" t="s">
        <v>780</v>
      </c>
      <c r="BK76" s="37" t="s">
        <v>780</v>
      </c>
      <c r="BL76" s="37" t="s">
        <v>780</v>
      </c>
      <c r="BM76" s="37" t="s">
        <v>780</v>
      </c>
      <c r="BN76" s="37" t="s">
        <v>780</v>
      </c>
      <c r="BO76" s="58">
        <v>7000</v>
      </c>
      <c r="BP76" s="58">
        <v>310</v>
      </c>
      <c r="BQ76" s="58">
        <v>280</v>
      </c>
      <c r="BR76" s="58">
        <v>190</v>
      </c>
      <c r="BS76" s="58">
        <v>180</v>
      </c>
      <c r="BT76" s="58">
        <v>35</v>
      </c>
      <c r="BU76" s="58">
        <v>19</v>
      </c>
      <c r="BV76" s="58">
        <v>21</v>
      </c>
      <c r="BW76" s="31">
        <f t="shared" si="110"/>
        <v>2.6215182960131074</v>
      </c>
      <c r="BX76" s="31">
        <f t="shared" si="111"/>
        <v>0.11406794138905316</v>
      </c>
      <c r="BY76" s="31">
        <f t="shared" si="112"/>
        <v>0.10531093962778031</v>
      </c>
      <c r="BZ76" s="31">
        <f t="shared" si="113"/>
        <v>7.0869931416195395E-2</v>
      </c>
      <c r="CA76" s="31">
        <f t="shared" si="114"/>
        <v>6.6655445211243891E-2</v>
      </c>
      <c r="CB76" s="31">
        <f t="shared" si="115"/>
        <v>1.2960781013297425E-2</v>
      </c>
      <c r="CC76" s="31">
        <f t="shared" si="116"/>
        <v>6.951792336217553E-3</v>
      </c>
      <c r="CD76" s="31">
        <f t="shared" si="117"/>
        <v>7.6835599505562418E-3</v>
      </c>
      <c r="CE76" s="37">
        <v>2.1</v>
      </c>
      <c r="CF76" s="37">
        <v>1.8</v>
      </c>
      <c r="CG76" s="37">
        <v>0.77</v>
      </c>
      <c r="CH76" s="37">
        <v>0.33</v>
      </c>
      <c r="CI76" s="37">
        <v>1</v>
      </c>
      <c r="CK76" s="37">
        <v>0.06</v>
      </c>
      <c r="CL76" s="37">
        <v>0.3</v>
      </c>
      <c r="CM76" s="37">
        <v>0.28999999999999998</v>
      </c>
      <c r="CN76" s="58">
        <f t="shared" ref="CN76:CN139" si="143">$BO76+$BP76+$BQ76+$BR76+$BS76+$BT76+$BU76+$BV76</f>
        <v>8035</v>
      </c>
      <c r="CO76" s="58">
        <f t="shared" si="118"/>
        <v>1035</v>
      </c>
      <c r="CP76" s="31">
        <f t="shared" si="119"/>
        <v>3.006018686957451</v>
      </c>
      <c r="CQ76" s="31">
        <f t="shared" si="120"/>
        <v>0.38450039094434402</v>
      </c>
      <c r="CR76" s="37">
        <v>8000</v>
      </c>
      <c r="CS76" s="37">
        <v>8900</v>
      </c>
      <c r="CT76" s="37">
        <v>4200</v>
      </c>
      <c r="CU76" s="37">
        <v>35</v>
      </c>
      <c r="CV76" s="37" t="s">
        <v>69</v>
      </c>
      <c r="CW76" s="37">
        <v>13000</v>
      </c>
      <c r="CX76" s="40">
        <f t="shared" si="90"/>
        <v>10420</v>
      </c>
      <c r="CZ76" s="37">
        <v>72</v>
      </c>
      <c r="DA76" s="37" t="s">
        <v>62</v>
      </c>
      <c r="DB76" s="37" t="s">
        <v>88</v>
      </c>
      <c r="DC76" s="37" t="s">
        <v>782</v>
      </c>
      <c r="DD76" s="37">
        <f t="shared" si="91"/>
        <v>0</v>
      </c>
      <c r="DE76" s="37">
        <f t="shared" ref="DE76:DE139" si="144">$ED76*(55.84/96.06)</f>
        <v>0</v>
      </c>
      <c r="DF76" s="37">
        <v>0.5</v>
      </c>
      <c r="DG76" s="37">
        <f t="shared" si="92"/>
        <v>8.9525514771709933E-3</v>
      </c>
      <c r="DH76" s="37">
        <f t="shared" si="121"/>
        <v>8.9525514771709933E-3</v>
      </c>
      <c r="DI76" s="37">
        <f t="shared" si="93"/>
        <v>0.5</v>
      </c>
      <c r="DJ76" s="37">
        <f t="shared" si="122"/>
        <v>8.9525514771709933E-3</v>
      </c>
      <c r="DK76" s="37">
        <f t="shared" si="123"/>
        <v>8.9525514771709933E-3</v>
      </c>
      <c r="DL76" s="55">
        <f t="shared" si="124"/>
        <v>0</v>
      </c>
      <c r="DM76" s="55">
        <f t="shared" si="124"/>
        <v>0</v>
      </c>
      <c r="DN76" s="37">
        <f t="shared" si="125"/>
        <v>0.5</v>
      </c>
      <c r="DO76" s="55">
        <f t="shared" si="126"/>
        <v>8.9525514771709933E-3</v>
      </c>
      <c r="DP76" s="55">
        <f t="shared" si="127"/>
        <v>8.9525514771709933E-3</v>
      </c>
      <c r="DQ76" s="37">
        <v>0.8</v>
      </c>
      <c r="DR76" s="37">
        <f t="shared" si="128"/>
        <v>1.4563990533406155E-2</v>
      </c>
      <c r="DS76" s="37">
        <f t="shared" si="129"/>
        <v>2.912798106681231E-2</v>
      </c>
      <c r="DT76" s="37">
        <f t="shared" si="94"/>
        <v>0.61470456580125321</v>
      </c>
      <c r="DU76" s="37">
        <f t="shared" si="95"/>
        <v>0.30735228290062661</v>
      </c>
      <c r="DV76" s="37">
        <f t="shared" si="96"/>
        <v>1.3</v>
      </c>
      <c r="DW76" s="37">
        <f t="shared" si="97"/>
        <v>3.8080532543983303E-2</v>
      </c>
      <c r="DX76" s="37">
        <v>25</v>
      </c>
      <c r="DY76" s="37" t="s">
        <v>65</v>
      </c>
      <c r="DZ76" s="37">
        <f>EA76/$EA$76</f>
        <v>1</v>
      </c>
      <c r="EA76" s="37">
        <v>1.7000000000000001E-2</v>
      </c>
      <c r="EB76" s="37">
        <f t="shared" si="130"/>
        <v>2.741935483870968E-4</v>
      </c>
      <c r="EC76" s="37">
        <f t="shared" si="131"/>
        <v>1.370967741935484E-3</v>
      </c>
      <c r="ED76" s="37">
        <f t="shared" ref="ED76:ED97" si="145">$EK$76-EK76</f>
        <v>0</v>
      </c>
      <c r="EE76" s="39">
        <f t="shared" ref="EE76:EE97" si="146">(ED76/$EK$76)*100</f>
        <v>0</v>
      </c>
      <c r="EF76" s="37">
        <f t="shared" si="98"/>
        <v>0</v>
      </c>
      <c r="EG76" s="37">
        <f>$EK76-EK76</f>
        <v>0</v>
      </c>
      <c r="EH76" s="33">
        <f>(EG76/$EK76)*100</f>
        <v>0</v>
      </c>
      <c r="EI76" s="37">
        <f t="shared" si="82"/>
        <v>0</v>
      </c>
      <c r="EJ76" s="37">
        <f>($EG76/96.06)*8</f>
        <v>0</v>
      </c>
      <c r="EK76" s="37">
        <v>82</v>
      </c>
      <c r="EL76" s="37">
        <f t="shared" si="132"/>
        <v>0.85363314595044759</v>
      </c>
      <c r="EM76" s="37">
        <f t="shared" si="133"/>
        <v>6.8290651676035807</v>
      </c>
      <c r="EN76" s="37">
        <f t="shared" si="99"/>
        <v>6.8304361353455159</v>
      </c>
      <c r="EO76" s="39">
        <f t="shared" si="134"/>
        <v>3.8080532543983303E-2</v>
      </c>
      <c r="EP76" s="37">
        <f t="shared" si="100"/>
        <v>0.76490477209501395</v>
      </c>
      <c r="EQ76" s="37">
        <f t="shared" si="101"/>
        <v>0.23509522790498605</v>
      </c>
      <c r="ER76" s="37">
        <f t="shared" si="102"/>
        <v>0</v>
      </c>
      <c r="ES76" s="39">
        <f t="shared" si="135"/>
        <v>3.8080532543983303E-2</v>
      </c>
      <c r="ET76" s="55">
        <f t="shared" si="136"/>
        <v>23.509522790498604</v>
      </c>
      <c r="EU76" s="55">
        <f t="shared" si="137"/>
        <v>76.490477209501393</v>
      </c>
      <c r="EV76" s="55">
        <f t="shared" si="138"/>
        <v>0</v>
      </c>
      <c r="EW76" s="37" t="s">
        <v>780</v>
      </c>
      <c r="EX76" s="37" t="s">
        <v>780</v>
      </c>
      <c r="EY76" s="37" t="s">
        <v>780</v>
      </c>
      <c r="EZ76" s="37" t="s">
        <v>780</v>
      </c>
      <c r="FA76" s="37" t="s">
        <v>780</v>
      </c>
      <c r="FB76" s="37" t="s">
        <v>780</v>
      </c>
      <c r="FC76" s="37" t="s">
        <v>88</v>
      </c>
      <c r="FD76" s="39">
        <f t="shared" si="139"/>
        <v>2.8116284348439802</v>
      </c>
      <c r="FE76" s="39">
        <f t="shared" si="140"/>
        <v>3.1961288257883242</v>
      </c>
      <c r="FF76" s="39">
        <f t="shared" si="141"/>
        <v>2.8116284348439802</v>
      </c>
      <c r="FG76" s="39">
        <f t="shared" si="142"/>
        <v>3.1961288257883242</v>
      </c>
    </row>
    <row r="77" spans="1:163" ht="15.75" x14ac:dyDescent="0.25">
      <c r="A77" s="6" t="s">
        <v>335</v>
      </c>
      <c r="B77" s="6" t="s">
        <v>335</v>
      </c>
      <c r="C77" s="3" t="s">
        <v>866</v>
      </c>
      <c r="D77" s="3" t="s">
        <v>866</v>
      </c>
      <c r="E77" s="3" t="s">
        <v>1207</v>
      </c>
      <c r="F77" s="3" t="s">
        <v>1055</v>
      </c>
      <c r="G77" s="3" t="s">
        <v>772</v>
      </c>
      <c r="H77" s="3" t="str">
        <f t="shared" si="87"/>
        <v>CW_1_Section_5</v>
      </c>
      <c r="I77" s="3" t="str">
        <f t="shared" si="88"/>
        <v>CW_1_EFF</v>
      </c>
      <c r="J77" s="3" t="s">
        <v>1482</v>
      </c>
      <c r="K77" s="3" t="s">
        <v>1482</v>
      </c>
      <c r="L77" s="3" t="s">
        <v>780</v>
      </c>
      <c r="M77" s="3" t="s">
        <v>780</v>
      </c>
      <c r="N77" s="3" t="s">
        <v>1482</v>
      </c>
      <c r="O77" s="12" t="s">
        <v>1016</v>
      </c>
      <c r="P77" s="3" t="s">
        <v>1208</v>
      </c>
      <c r="Q77" s="3" t="s">
        <v>1018</v>
      </c>
      <c r="R77" s="3" t="s">
        <v>1205</v>
      </c>
      <c r="S77" s="3" t="str">
        <f t="shared" si="89"/>
        <v>T3_EFF</v>
      </c>
      <c r="T77" s="13" t="s">
        <v>1206</v>
      </c>
      <c r="U77" s="3" t="s">
        <v>1160</v>
      </c>
      <c r="V77" s="3">
        <v>150</v>
      </c>
      <c r="W77" s="3">
        <v>65</v>
      </c>
      <c r="X77" s="15">
        <v>5.7</v>
      </c>
      <c r="Y77" s="3">
        <v>76</v>
      </c>
      <c r="Z77" t="s">
        <v>550</v>
      </c>
      <c r="AA77" t="s">
        <v>47</v>
      </c>
      <c r="AB77" s="1">
        <v>45705</v>
      </c>
      <c r="AC77">
        <v>7.2</v>
      </c>
      <c r="AD77">
        <v>7.7</v>
      </c>
      <c r="AE77">
        <v>150</v>
      </c>
      <c r="AF77" s="37">
        <f t="shared" si="103"/>
        <v>5.7611061323774165E-2</v>
      </c>
      <c r="AG77">
        <v>1</v>
      </c>
      <c r="AH77" s="37">
        <f t="shared" si="104"/>
        <v>3.9070978945083569E-4</v>
      </c>
      <c r="AI77">
        <v>100</v>
      </c>
      <c r="AJ77" s="37">
        <f t="shared" si="105"/>
        <v>3.9559197513421872E-2</v>
      </c>
      <c r="AK77">
        <v>33</v>
      </c>
      <c r="AL77" s="37">
        <f t="shared" si="106"/>
        <v>1.3054535179429217E-2</v>
      </c>
      <c r="AM77">
        <v>29</v>
      </c>
      <c r="AN77" s="37">
        <f t="shared" si="107"/>
        <v>1.1472167278892343E-2</v>
      </c>
      <c r="AO77">
        <v>62</v>
      </c>
      <c r="AQ77" s="59">
        <v>319</v>
      </c>
      <c r="AR77" s="59">
        <f t="shared" si="108"/>
        <v>9.7560968626646871E-2</v>
      </c>
      <c r="AS77">
        <v>600</v>
      </c>
      <c r="AT77" s="37">
        <f t="shared" si="109"/>
        <v>0.22470156822969492</v>
      </c>
      <c r="AU77" t="s">
        <v>780</v>
      </c>
      <c r="AV77" t="s">
        <v>780</v>
      </c>
      <c r="AW77" t="s">
        <v>780</v>
      </c>
      <c r="AX77" t="s">
        <v>780</v>
      </c>
      <c r="AY77" t="s">
        <v>780</v>
      </c>
      <c r="AZ77" t="s">
        <v>780</v>
      </c>
      <c r="BA77" t="s">
        <v>780</v>
      </c>
      <c r="BB77" t="s">
        <v>780</v>
      </c>
      <c r="BC77" t="s">
        <v>780</v>
      </c>
      <c r="BD77" t="s">
        <v>780</v>
      </c>
      <c r="BE77" t="s">
        <v>780</v>
      </c>
      <c r="BF77" t="s">
        <v>780</v>
      </c>
      <c r="BG77" t="s">
        <v>780</v>
      </c>
      <c r="BH77" t="s">
        <v>780</v>
      </c>
      <c r="BI77" t="s">
        <v>780</v>
      </c>
      <c r="BJ77" t="s">
        <v>780</v>
      </c>
      <c r="BK77" t="s">
        <v>780</v>
      </c>
      <c r="BL77" t="s">
        <v>780</v>
      </c>
      <c r="BM77" t="s">
        <v>780</v>
      </c>
      <c r="BN77" t="s">
        <v>780</v>
      </c>
      <c r="BO77" s="58">
        <v>320</v>
      </c>
      <c r="BP77" s="58">
        <v>4</v>
      </c>
      <c r="BQ77" s="58">
        <v>4</v>
      </c>
      <c r="BR77" s="58">
        <v>2</v>
      </c>
      <c r="BS77" s="58">
        <v>1.6</v>
      </c>
      <c r="BT77" s="58">
        <v>0.19</v>
      </c>
      <c r="BU77" s="58">
        <v>0.03</v>
      </c>
      <c r="BV77" s="58">
        <v>0.02</v>
      </c>
      <c r="BW77" s="31">
        <f t="shared" si="110"/>
        <v>0.11984083638917062</v>
      </c>
      <c r="BX77" s="31">
        <f t="shared" si="111"/>
        <v>1.4718444050200407E-3</v>
      </c>
      <c r="BY77" s="31">
        <f t="shared" si="112"/>
        <v>1.5044419946825757E-3</v>
      </c>
      <c r="BZ77" s="31">
        <f t="shared" si="113"/>
        <v>7.4599927806521475E-4</v>
      </c>
      <c r="CA77" s="31">
        <f t="shared" si="114"/>
        <v>5.9249284632216796E-4</v>
      </c>
      <c r="CB77" s="31">
        <f t="shared" si="115"/>
        <v>7.0358525500757444E-5</v>
      </c>
      <c r="CC77" s="31">
        <f t="shared" si="116"/>
        <v>1.0976514215080345E-5</v>
      </c>
      <c r="CD77" s="31">
        <f t="shared" si="117"/>
        <v>7.3176761433868973E-6</v>
      </c>
      <c r="CE77">
        <v>1E-3</v>
      </c>
      <c r="CF77">
        <v>1E-3</v>
      </c>
      <c r="CG77">
        <v>2E-3</v>
      </c>
      <c r="CH77">
        <v>1E-3</v>
      </c>
      <c r="CI77">
        <v>1E-3</v>
      </c>
      <c r="CK77">
        <v>2E-3</v>
      </c>
      <c r="CL77">
        <v>1E-3</v>
      </c>
      <c r="CM77">
        <v>1E-3</v>
      </c>
      <c r="CN77" s="58">
        <f t="shared" si="143"/>
        <v>331.84</v>
      </c>
      <c r="CO77" s="58">
        <f t="shared" si="118"/>
        <v>11.839999999999998</v>
      </c>
      <c r="CP77" s="31">
        <f t="shared" si="119"/>
        <v>0.12424426762911986</v>
      </c>
      <c r="CQ77" s="31">
        <f t="shared" si="120"/>
        <v>4.403431239949223E-3</v>
      </c>
      <c r="CR77">
        <v>320</v>
      </c>
      <c r="CS77">
        <v>1100</v>
      </c>
      <c r="CT77">
        <v>280</v>
      </c>
      <c r="CU77" t="s">
        <v>69</v>
      </c>
      <c r="CV77" t="s">
        <v>69</v>
      </c>
      <c r="CW77">
        <v>1400</v>
      </c>
      <c r="CX77" s="2">
        <f t="shared" si="90"/>
        <v>639</v>
      </c>
      <c r="CZ77">
        <v>62</v>
      </c>
      <c r="DA77" t="s">
        <v>62</v>
      </c>
      <c r="DB77" t="s">
        <v>88</v>
      </c>
      <c r="DC77" t="s">
        <v>782</v>
      </c>
      <c r="DD77" s="37">
        <f t="shared" si="91"/>
        <v>33.715594420154069</v>
      </c>
      <c r="DE77" s="37">
        <f t="shared" si="144"/>
        <v>33.715594420154069</v>
      </c>
      <c r="DF77" s="37">
        <v>10</v>
      </c>
      <c r="DG77" s="37">
        <f t="shared" si="92"/>
        <v>0.17905102954341987</v>
      </c>
      <c r="DH77" s="37">
        <f t="shared" si="121"/>
        <v>0.17905102954341987</v>
      </c>
      <c r="DI77" s="37">
        <f t="shared" si="93"/>
        <v>43.715594420154069</v>
      </c>
      <c r="DJ77" s="37">
        <f t="shared" si="122"/>
        <v>0.78273221880311672</v>
      </c>
      <c r="DK77" s="37">
        <f t="shared" si="123"/>
        <v>0.78273221880311672</v>
      </c>
      <c r="DL77" s="55">
        <f t="shared" si="124"/>
        <v>22.08952737872163</v>
      </c>
      <c r="DM77" s="55">
        <f t="shared" si="124"/>
        <v>22.08952737872163</v>
      </c>
      <c r="DN77" s="37">
        <f t="shared" si="125"/>
        <v>32.089527378721627</v>
      </c>
      <c r="DO77" s="55">
        <f t="shared" si="126"/>
        <v>0.57456629147218663</v>
      </c>
      <c r="DP77" s="55">
        <f t="shared" si="127"/>
        <v>0.57456629147218663</v>
      </c>
      <c r="DQ77" s="37">
        <v>2.7</v>
      </c>
      <c r="DR77" s="37">
        <f t="shared" si="128"/>
        <v>4.9153468050245772E-2</v>
      </c>
      <c r="DS77" s="37">
        <f t="shared" si="129"/>
        <v>9.8306936100491543E-2</v>
      </c>
      <c r="DT77" s="37">
        <f t="shared" si="94"/>
        <v>15.924252140316741</v>
      </c>
      <c r="DU77" s="37">
        <f t="shared" si="95"/>
        <v>7.9621260701583703</v>
      </c>
      <c r="DV77" s="37">
        <f t="shared" si="96"/>
        <v>46.415594420154072</v>
      </c>
      <c r="DW77" s="37">
        <f t="shared" si="97"/>
        <v>0.88103915490360829</v>
      </c>
      <c r="DX77">
        <v>20</v>
      </c>
      <c r="DY77" t="s">
        <v>80</v>
      </c>
      <c r="DZ77" s="29">
        <f t="shared" si="84"/>
        <v>1</v>
      </c>
      <c r="EA77" s="30">
        <v>1.7000000000000001E-2</v>
      </c>
      <c r="EB77" s="30">
        <f t="shared" si="130"/>
        <v>2.741935483870968E-4</v>
      </c>
      <c r="EC77" s="30">
        <f t="shared" si="131"/>
        <v>1.370967741935484E-3</v>
      </c>
      <c r="ED77" s="31">
        <f t="shared" si="145"/>
        <v>58</v>
      </c>
      <c r="EE77" s="33">
        <f t="shared" si="146"/>
        <v>70.731707317073173</v>
      </c>
      <c r="EF77" s="37">
        <f t="shared" si="98"/>
        <v>4.8303143868415575</v>
      </c>
      <c r="EG77" s="37">
        <f>$EK85-EK77</f>
        <v>38</v>
      </c>
      <c r="EH77" s="33">
        <f>(EG77/EK85)*100</f>
        <v>61.29032258064516</v>
      </c>
      <c r="EI77" s="37">
        <f t="shared" si="82"/>
        <v>3.1646887362065375</v>
      </c>
      <c r="EJ77" s="37">
        <f>($EG77/96.06)*8</f>
        <v>3.1646887362065375</v>
      </c>
      <c r="EK77" s="31">
        <v>24</v>
      </c>
      <c r="EL77" s="31">
        <f t="shared" si="132"/>
        <v>0.24984384759525297</v>
      </c>
      <c r="EM77" s="31">
        <f t="shared" si="133"/>
        <v>1.9987507807620237</v>
      </c>
      <c r="EN77" s="32">
        <f t="shared" si="99"/>
        <v>2.0001217485039593</v>
      </c>
      <c r="EO77" s="39">
        <f t="shared" si="134"/>
        <v>5.711353541745166</v>
      </c>
      <c r="EP77" s="37">
        <f t="shared" si="100"/>
        <v>1.7212546094713094E-2</v>
      </c>
      <c r="EQ77" s="37">
        <f t="shared" si="101"/>
        <v>0.13704846199451776</v>
      </c>
      <c r="ER77" s="37">
        <f t="shared" si="102"/>
        <v>0.84573899191076907</v>
      </c>
      <c r="ES77" s="39">
        <f t="shared" si="135"/>
        <v>3.8375619637792155</v>
      </c>
      <c r="ET77" s="55">
        <f t="shared" si="136"/>
        <v>14.972169749836588</v>
      </c>
      <c r="EU77" s="55">
        <f t="shared" si="137"/>
        <v>2.5617028996107538</v>
      </c>
      <c r="EV77" s="55">
        <f t="shared" si="138"/>
        <v>82.466127350552668</v>
      </c>
      <c r="EW77" t="s">
        <v>552</v>
      </c>
      <c r="EX77" t="s">
        <v>553</v>
      </c>
      <c r="EY77">
        <v>-83</v>
      </c>
      <c r="EZ77" t="s">
        <v>554</v>
      </c>
      <c r="FA77">
        <v>845</v>
      </c>
      <c r="FB77" t="s">
        <v>113</v>
      </c>
      <c r="FC77" t="s">
        <v>88</v>
      </c>
      <c r="FD77" s="39">
        <f t="shared" si="139"/>
        <v>-5.3890910048888241</v>
      </c>
      <c r="FE77" s="39">
        <f t="shared" si="140"/>
        <v>-5.3846875736488746</v>
      </c>
      <c r="FF77" s="39">
        <f t="shared" si="141"/>
        <v>-3.5152994269228737</v>
      </c>
      <c r="FG77" s="39">
        <f t="shared" si="142"/>
        <v>-3.5108959956829247</v>
      </c>
    </row>
    <row r="78" spans="1:163" ht="15.75" x14ac:dyDescent="0.25">
      <c r="A78" s="6" t="s">
        <v>336</v>
      </c>
      <c r="B78" s="6" t="s">
        <v>336</v>
      </c>
      <c r="C78" s="3" t="s">
        <v>867</v>
      </c>
      <c r="D78" s="3" t="s">
        <v>867</v>
      </c>
      <c r="E78" s="3" t="s">
        <v>1209</v>
      </c>
      <c r="F78" s="3" t="s">
        <v>1055</v>
      </c>
      <c r="G78" s="3" t="s">
        <v>773</v>
      </c>
      <c r="H78" s="3" t="str">
        <f t="shared" si="87"/>
        <v>CW_2_Section_5</v>
      </c>
      <c r="I78" s="3" t="str">
        <f t="shared" si="88"/>
        <v>CW_2_EFF</v>
      </c>
      <c r="J78" s="3" t="s">
        <v>1482</v>
      </c>
      <c r="K78" s="3" t="s">
        <v>1482</v>
      </c>
      <c r="L78" s="3" t="s">
        <v>780</v>
      </c>
      <c r="M78" s="3" t="s">
        <v>780</v>
      </c>
      <c r="N78" s="3" t="s">
        <v>1482</v>
      </c>
      <c r="O78" s="12" t="s">
        <v>1016</v>
      </c>
      <c r="P78" s="3" t="s">
        <v>1210</v>
      </c>
      <c r="Q78" s="3" t="s">
        <v>1018</v>
      </c>
      <c r="R78" s="3" t="s">
        <v>1205</v>
      </c>
      <c r="S78" s="3" t="str">
        <f t="shared" si="89"/>
        <v>T3_EFF</v>
      </c>
      <c r="T78" s="13" t="s">
        <v>1206</v>
      </c>
      <c r="U78" s="3" t="s">
        <v>1160</v>
      </c>
      <c r="V78" s="3">
        <v>150</v>
      </c>
      <c r="W78" s="3">
        <v>65</v>
      </c>
      <c r="X78" s="15">
        <v>3.85</v>
      </c>
      <c r="Y78" s="3">
        <v>77</v>
      </c>
      <c r="Z78" t="s">
        <v>573</v>
      </c>
      <c r="AA78" t="s">
        <v>196</v>
      </c>
      <c r="AB78" s="1">
        <v>45706</v>
      </c>
      <c r="AC78">
        <v>13</v>
      </c>
      <c r="AD78">
        <v>13</v>
      </c>
      <c r="AE78">
        <v>620</v>
      </c>
      <c r="AF78" s="37">
        <f t="shared" si="103"/>
        <v>0.23812572013826652</v>
      </c>
      <c r="AG78">
        <v>8.6999999999999993</v>
      </c>
      <c r="AH78" s="37">
        <f t="shared" si="104"/>
        <v>3.3991751682222703E-3</v>
      </c>
      <c r="AI78">
        <v>560</v>
      </c>
      <c r="AJ78" s="37">
        <f t="shared" si="105"/>
        <v>0.22153150607516248</v>
      </c>
      <c r="AK78">
        <v>180</v>
      </c>
      <c r="AL78" s="37">
        <f t="shared" si="106"/>
        <v>7.120655552415936E-2</v>
      </c>
      <c r="AM78">
        <v>190</v>
      </c>
      <c r="AN78" s="37">
        <f t="shared" si="107"/>
        <v>7.5162475275501545E-2</v>
      </c>
      <c r="AO78">
        <v>370</v>
      </c>
      <c r="AQ78" s="59">
        <v>1558.7</v>
      </c>
      <c r="AR78" s="59">
        <f t="shared" si="108"/>
        <v>0.46305640138165127</v>
      </c>
      <c r="AS78">
        <v>3900</v>
      </c>
      <c r="AT78" s="37">
        <f t="shared" si="109"/>
        <v>1.460560193493017</v>
      </c>
      <c r="AU78" t="s">
        <v>780</v>
      </c>
      <c r="AV78" t="s">
        <v>780</v>
      </c>
      <c r="AW78" t="s">
        <v>780</v>
      </c>
      <c r="AX78" t="s">
        <v>780</v>
      </c>
      <c r="AY78" t="s">
        <v>780</v>
      </c>
      <c r="AZ78" t="s">
        <v>780</v>
      </c>
      <c r="BA78" t="s">
        <v>780</v>
      </c>
      <c r="BB78" t="s">
        <v>780</v>
      </c>
      <c r="BC78" t="s">
        <v>780</v>
      </c>
      <c r="BD78" t="s">
        <v>780</v>
      </c>
      <c r="BE78" t="s">
        <v>780</v>
      </c>
      <c r="BF78" t="s">
        <v>780</v>
      </c>
      <c r="BG78" t="s">
        <v>780</v>
      </c>
      <c r="BH78" t="s">
        <v>780</v>
      </c>
      <c r="BI78" t="s">
        <v>780</v>
      </c>
      <c r="BJ78" t="s">
        <v>780</v>
      </c>
      <c r="BK78" t="s">
        <v>780</v>
      </c>
      <c r="BL78" t="s">
        <v>780</v>
      </c>
      <c r="BM78" t="s">
        <v>780</v>
      </c>
      <c r="BN78" t="s">
        <v>780</v>
      </c>
      <c r="BO78" s="58">
        <v>4900</v>
      </c>
      <c r="BP78" s="58">
        <v>390</v>
      </c>
      <c r="BQ78" s="58">
        <v>220</v>
      </c>
      <c r="BR78" s="58">
        <v>99</v>
      </c>
      <c r="BS78" s="58">
        <v>35</v>
      </c>
      <c r="BT78" s="58">
        <v>1.9</v>
      </c>
      <c r="BU78" s="58">
        <v>0.09</v>
      </c>
      <c r="BV78" s="58">
        <v>0.04</v>
      </c>
      <c r="BW78" s="31">
        <f t="shared" si="110"/>
        <v>1.8350628072091753</v>
      </c>
      <c r="BX78" s="31">
        <f t="shared" si="111"/>
        <v>0.14350482948945398</v>
      </c>
      <c r="BY78" s="31">
        <f t="shared" si="112"/>
        <v>8.2744309707541666E-2</v>
      </c>
      <c r="BZ78" s="31">
        <f t="shared" si="113"/>
        <v>3.6926964264228132E-2</v>
      </c>
      <c r="CA78" s="31">
        <f t="shared" si="114"/>
        <v>1.2960781013297425E-2</v>
      </c>
      <c r="CB78" s="31">
        <f t="shared" si="115"/>
        <v>7.0358525500757447E-4</v>
      </c>
      <c r="CC78" s="31">
        <f t="shared" si="116"/>
        <v>3.2929542645241034E-5</v>
      </c>
      <c r="CD78" s="31">
        <f t="shared" si="117"/>
        <v>1.4635352286773795E-5</v>
      </c>
      <c r="CE78">
        <v>1E-3</v>
      </c>
      <c r="CF78">
        <v>1E-3</v>
      </c>
      <c r="CG78">
        <v>2E-3</v>
      </c>
      <c r="CH78">
        <v>1E-3</v>
      </c>
      <c r="CI78">
        <v>1E-3</v>
      </c>
      <c r="CK78">
        <v>2E-3</v>
      </c>
      <c r="CL78">
        <v>1E-3</v>
      </c>
      <c r="CM78">
        <v>1E-3</v>
      </c>
      <c r="CN78" s="58">
        <f t="shared" si="143"/>
        <v>5646.03</v>
      </c>
      <c r="CO78" s="58">
        <f t="shared" si="118"/>
        <v>746.03</v>
      </c>
      <c r="CP78" s="31">
        <f t="shared" si="119"/>
        <v>2.1119508418336363</v>
      </c>
      <c r="CQ78" s="31">
        <f t="shared" si="120"/>
        <v>0.27688803462446082</v>
      </c>
      <c r="CR78">
        <v>5700</v>
      </c>
      <c r="CS78">
        <v>4800</v>
      </c>
      <c r="CT78">
        <v>1400</v>
      </c>
      <c r="CU78" t="s">
        <v>69</v>
      </c>
      <c r="CV78" t="s">
        <v>69</v>
      </c>
      <c r="CW78">
        <v>6200</v>
      </c>
      <c r="CX78" s="2">
        <f t="shared" si="90"/>
        <v>7258.7</v>
      </c>
      <c r="CZ78">
        <v>68</v>
      </c>
      <c r="DA78" t="s">
        <v>62</v>
      </c>
      <c r="DB78" t="s">
        <v>88</v>
      </c>
      <c r="DC78" t="s">
        <v>782</v>
      </c>
      <c r="DD78" s="37">
        <f t="shared" si="91"/>
        <v>12.207370393504059</v>
      </c>
      <c r="DE78" s="37">
        <f t="shared" si="144"/>
        <v>12.207370393504059</v>
      </c>
      <c r="DF78" s="37">
        <v>1.5</v>
      </c>
      <c r="DG78" s="37">
        <f t="shared" si="92"/>
        <v>2.685765443151298E-2</v>
      </c>
      <c r="DH78" s="37">
        <f t="shared" si="121"/>
        <v>2.685765443151298E-2</v>
      </c>
      <c r="DI78" s="37">
        <f t="shared" si="93"/>
        <v>13.707370393504059</v>
      </c>
      <c r="DJ78" s="37">
        <f t="shared" si="122"/>
        <v>0.24543187812898939</v>
      </c>
      <c r="DK78" s="37">
        <f t="shared" si="123"/>
        <v>0.24543187812898939</v>
      </c>
      <c r="DL78" s="55">
        <f t="shared" si="124"/>
        <v>-2.3252134082864875</v>
      </c>
      <c r="DN78" s="37">
        <f t="shared" si="125"/>
        <v>1.5</v>
      </c>
      <c r="DO78" s="55">
        <f t="shared" si="126"/>
        <v>2.685765443151298E-2</v>
      </c>
      <c r="DP78" s="55">
        <f t="shared" si="127"/>
        <v>2.685765443151298E-2</v>
      </c>
      <c r="DQ78" s="37">
        <v>1.5</v>
      </c>
      <c r="DR78" s="37">
        <f t="shared" si="128"/>
        <v>2.7307482250136537E-2</v>
      </c>
      <c r="DS78" s="37">
        <f t="shared" si="129"/>
        <v>5.4614964500273075E-2</v>
      </c>
      <c r="DT78" s="37">
        <f t="shared" si="94"/>
        <v>8.9877153770835925</v>
      </c>
      <c r="DU78" s="37">
        <f t="shared" si="95"/>
        <v>4.4938576885417962</v>
      </c>
      <c r="DV78" s="37">
        <f t="shared" si="96"/>
        <v>15.207370393504059</v>
      </c>
      <c r="DW78" s="37">
        <f t="shared" si="97"/>
        <v>0.30004684262926246</v>
      </c>
      <c r="DX78">
        <v>25</v>
      </c>
      <c r="DY78" t="s">
        <v>121</v>
      </c>
      <c r="DZ78" s="29">
        <f t="shared" si="84"/>
        <v>1</v>
      </c>
      <c r="EA78" s="30">
        <v>1.7000000000000001E-2</v>
      </c>
      <c r="EB78" s="30">
        <f t="shared" si="130"/>
        <v>2.741935483870968E-4</v>
      </c>
      <c r="EC78" s="30">
        <f t="shared" si="131"/>
        <v>1.370967741935484E-3</v>
      </c>
      <c r="ED78" s="31">
        <f t="shared" si="145"/>
        <v>21</v>
      </c>
      <c r="EE78" s="33">
        <f t="shared" si="146"/>
        <v>25.609756097560975</v>
      </c>
      <c r="EF78" s="37">
        <f t="shared" si="98"/>
        <v>1.7489069331667708</v>
      </c>
      <c r="EG78" s="37">
        <f>$EK91-EK78</f>
        <v>-4</v>
      </c>
      <c r="EH78" s="33">
        <f>(EG78/EK91)*100</f>
        <v>-7.0175438596491224</v>
      </c>
      <c r="EI78" s="37">
        <f t="shared" si="82"/>
        <v>-0.33312513012700395</v>
      </c>
      <c r="EJ78" s="37"/>
      <c r="EK78" s="31">
        <v>61</v>
      </c>
      <c r="EL78" s="31">
        <f t="shared" si="132"/>
        <v>0.6350197793046013</v>
      </c>
      <c r="EM78" s="31">
        <f t="shared" si="133"/>
        <v>5.0801582344368104</v>
      </c>
      <c r="EN78" s="32">
        <f t="shared" si="99"/>
        <v>5.0815292021787455</v>
      </c>
      <c r="EO78" s="39">
        <f t="shared" si="134"/>
        <v>2.0489537757960332</v>
      </c>
      <c r="EP78" s="37">
        <f t="shared" si="100"/>
        <v>2.6655049589420225E-2</v>
      </c>
      <c r="EQ78" s="37">
        <f t="shared" si="101"/>
        <v>0.11978399953587891</v>
      </c>
      <c r="ER78" s="37">
        <f t="shared" si="102"/>
        <v>0.85356095087470085</v>
      </c>
      <c r="ES78" s="39">
        <f t="shared" si="135"/>
        <v>8.1472618931786062E-2</v>
      </c>
      <c r="ET78" s="55">
        <f t="shared" si="136"/>
        <v>32.96525235551821</v>
      </c>
      <c r="EU78" s="55">
        <f t="shared" si="137"/>
        <v>67.034747644481783</v>
      </c>
      <c r="EV78" s="55">
        <f t="shared" si="138"/>
        <v>0</v>
      </c>
      <c r="EW78" t="s">
        <v>574</v>
      </c>
      <c r="EX78" t="s">
        <v>246</v>
      </c>
      <c r="EY78">
        <v>-112</v>
      </c>
      <c r="EZ78" t="s">
        <v>511</v>
      </c>
      <c r="FA78">
        <v>1029</v>
      </c>
      <c r="FB78" t="s">
        <v>113</v>
      </c>
      <c r="FC78" t="s">
        <v>88</v>
      </c>
      <c r="FD78" s="39">
        <f t="shared" si="139"/>
        <v>-0.12533718092136503</v>
      </c>
      <c r="FE78" s="39">
        <f t="shared" si="140"/>
        <v>0.15155085370309562</v>
      </c>
      <c r="FF78" s="39">
        <f t="shared" si="141"/>
        <v>1.8421439759428822</v>
      </c>
      <c r="FG78" s="39">
        <f t="shared" si="142"/>
        <v>2.1190320105673428</v>
      </c>
    </row>
    <row r="79" spans="1:163" ht="15.75" x14ac:dyDescent="0.25">
      <c r="A79" s="6" t="s">
        <v>337</v>
      </c>
      <c r="B79" s="6" t="s">
        <v>337</v>
      </c>
      <c r="C79" s="3" t="s">
        <v>868</v>
      </c>
      <c r="D79" s="3" t="s">
        <v>868</v>
      </c>
      <c r="E79" s="3" t="s">
        <v>1211</v>
      </c>
      <c r="F79" s="3" t="s">
        <v>1055</v>
      </c>
      <c r="G79" s="3" t="s">
        <v>774</v>
      </c>
      <c r="H79" s="3" t="str">
        <f t="shared" si="87"/>
        <v>CW_3_Section_5</v>
      </c>
      <c r="I79" s="3" t="str">
        <f t="shared" si="88"/>
        <v>CW_3_EFF</v>
      </c>
      <c r="J79" s="3" t="s">
        <v>1482</v>
      </c>
      <c r="K79" s="3" t="s">
        <v>1482</v>
      </c>
      <c r="L79" s="3" t="s">
        <v>780</v>
      </c>
      <c r="M79" s="3" t="s">
        <v>780</v>
      </c>
      <c r="N79" s="3" t="s">
        <v>1482</v>
      </c>
      <c r="O79" s="12" t="s">
        <v>1016</v>
      </c>
      <c r="P79" s="3" t="s">
        <v>1212</v>
      </c>
      <c r="Q79" s="3" t="s">
        <v>1018</v>
      </c>
      <c r="R79" s="3" t="s">
        <v>1205</v>
      </c>
      <c r="S79" s="3" t="str">
        <f t="shared" si="89"/>
        <v>T3_EFF</v>
      </c>
      <c r="T79" s="13" t="s">
        <v>1206</v>
      </c>
      <c r="U79" s="3" t="s">
        <v>1160</v>
      </c>
      <c r="V79" s="3">
        <v>150</v>
      </c>
      <c r="W79" s="3">
        <v>65</v>
      </c>
      <c r="X79" s="15">
        <v>2.8</v>
      </c>
      <c r="Y79" s="3">
        <v>78</v>
      </c>
      <c r="Z79" t="s">
        <v>583</v>
      </c>
      <c r="AA79" t="s">
        <v>236</v>
      </c>
      <c r="AB79" s="1">
        <v>45707</v>
      </c>
      <c r="AC79">
        <v>13</v>
      </c>
      <c r="AD79">
        <v>13</v>
      </c>
      <c r="AE79">
        <v>750</v>
      </c>
      <c r="AF79" s="37">
        <f t="shared" si="103"/>
        <v>0.2880553066188708</v>
      </c>
      <c r="AG79">
        <v>2</v>
      </c>
      <c r="AH79" s="37">
        <f t="shared" si="104"/>
        <v>7.8141957890167139E-4</v>
      </c>
      <c r="AI79">
        <v>710</v>
      </c>
      <c r="AJ79" s="37">
        <f t="shared" si="105"/>
        <v>0.28087030234529531</v>
      </c>
      <c r="AK79">
        <v>210</v>
      </c>
      <c r="AL79" s="37">
        <f t="shared" si="106"/>
        <v>8.3074314778185929E-2</v>
      </c>
      <c r="AM79">
        <v>240</v>
      </c>
      <c r="AN79" s="37">
        <f t="shared" si="107"/>
        <v>9.4942074032212498E-2</v>
      </c>
      <c r="AO79">
        <v>450</v>
      </c>
      <c r="AQ79" s="59">
        <v>1924</v>
      </c>
      <c r="AR79" s="59">
        <f t="shared" si="108"/>
        <v>0.56970702854306776</v>
      </c>
      <c r="AS79">
        <v>4400</v>
      </c>
      <c r="AT79" s="37">
        <f t="shared" si="109"/>
        <v>1.647811500351096</v>
      </c>
      <c r="AU79" t="s">
        <v>780</v>
      </c>
      <c r="AV79" t="s">
        <v>780</v>
      </c>
      <c r="AW79" t="s">
        <v>780</v>
      </c>
      <c r="AX79" t="s">
        <v>780</v>
      </c>
      <c r="AY79" t="s">
        <v>780</v>
      </c>
      <c r="AZ79" t="s">
        <v>780</v>
      </c>
      <c r="BA79" t="s">
        <v>780</v>
      </c>
      <c r="BB79" t="s">
        <v>780</v>
      </c>
      <c r="BC79" t="s">
        <v>780</v>
      </c>
      <c r="BD79" t="s">
        <v>780</v>
      </c>
      <c r="BE79" t="s">
        <v>780</v>
      </c>
      <c r="BF79" t="s">
        <v>780</v>
      </c>
      <c r="BG79" t="s">
        <v>780</v>
      </c>
      <c r="BH79" t="s">
        <v>780</v>
      </c>
      <c r="BI79" t="s">
        <v>780</v>
      </c>
      <c r="BJ79" t="s">
        <v>780</v>
      </c>
      <c r="BK79" t="s">
        <v>780</v>
      </c>
      <c r="BL79" t="s">
        <v>780</v>
      </c>
      <c r="BM79" t="s">
        <v>780</v>
      </c>
      <c r="BN79" t="s">
        <v>780</v>
      </c>
      <c r="BO79" s="58">
        <v>3000</v>
      </c>
      <c r="BP79" s="58">
        <v>110</v>
      </c>
      <c r="BQ79" s="58">
        <v>140</v>
      </c>
      <c r="BR79" s="58">
        <v>43</v>
      </c>
      <c r="BS79" s="58">
        <v>20</v>
      </c>
      <c r="BT79" s="58">
        <v>1.6</v>
      </c>
      <c r="BU79" s="58">
        <v>0.08</v>
      </c>
      <c r="BV79" s="58">
        <v>0.04</v>
      </c>
      <c r="BW79" s="31">
        <f t="shared" si="110"/>
        <v>1.1235078411484747</v>
      </c>
      <c r="BX79" s="31">
        <f t="shared" si="111"/>
        <v>4.0475721138051118E-2</v>
      </c>
      <c r="BY79" s="31">
        <f t="shared" si="112"/>
        <v>5.2655469813890153E-2</v>
      </c>
      <c r="BZ79" s="31">
        <f t="shared" si="113"/>
        <v>1.6038984478402119E-2</v>
      </c>
      <c r="CA79" s="31">
        <f t="shared" si="114"/>
        <v>7.4061605790270999E-3</v>
      </c>
      <c r="CB79" s="31">
        <f t="shared" si="115"/>
        <v>5.9249284632216796E-4</v>
      </c>
      <c r="CC79" s="31">
        <f t="shared" si="116"/>
        <v>2.9270704573547589E-5</v>
      </c>
      <c r="CD79" s="31">
        <f t="shared" si="117"/>
        <v>1.4635352286773795E-5</v>
      </c>
      <c r="CE79">
        <v>1E-3</v>
      </c>
      <c r="CF79">
        <v>1E-3</v>
      </c>
      <c r="CG79">
        <v>2E-3</v>
      </c>
      <c r="CH79">
        <v>1E-3</v>
      </c>
      <c r="CI79">
        <v>1E-3</v>
      </c>
      <c r="CK79">
        <v>2E-3</v>
      </c>
      <c r="CL79">
        <v>1E-3</v>
      </c>
      <c r="CM79">
        <v>1E-3</v>
      </c>
      <c r="CN79" s="58">
        <f t="shared" si="143"/>
        <v>3314.72</v>
      </c>
      <c r="CO79" s="58">
        <f t="shared" si="118"/>
        <v>314.72000000000003</v>
      </c>
      <c r="CP79" s="31">
        <f t="shared" si="119"/>
        <v>1.2407205760610276</v>
      </c>
      <c r="CQ79" s="31">
        <f t="shared" si="120"/>
        <v>0.11721273491255298</v>
      </c>
      <c r="CR79">
        <v>3300</v>
      </c>
      <c r="CS79">
        <v>5800</v>
      </c>
      <c r="CT79">
        <v>1400</v>
      </c>
      <c r="CU79" t="s">
        <v>69</v>
      </c>
      <c r="CV79" t="s">
        <v>69</v>
      </c>
      <c r="CW79">
        <v>7200</v>
      </c>
      <c r="CX79" s="2">
        <f t="shared" si="90"/>
        <v>5224</v>
      </c>
      <c r="CZ79">
        <v>67</v>
      </c>
      <c r="DA79" t="s">
        <v>62</v>
      </c>
      <c r="DB79" t="s">
        <v>88</v>
      </c>
      <c r="DC79" t="s">
        <v>782</v>
      </c>
      <c r="DD79" s="37">
        <f t="shared" si="91"/>
        <v>8.7195502810743282</v>
      </c>
      <c r="DE79" s="37">
        <f t="shared" si="144"/>
        <v>8.7195502810743282</v>
      </c>
      <c r="DF79" s="37">
        <v>0.7</v>
      </c>
      <c r="DG79" s="37">
        <f t="shared" si="92"/>
        <v>1.253357206803939E-2</v>
      </c>
      <c r="DH79" s="37">
        <f t="shared" si="121"/>
        <v>1.253357206803939E-2</v>
      </c>
      <c r="DI79" s="37">
        <f t="shared" si="93"/>
        <v>9.4195502810743275</v>
      </c>
      <c r="DJ79" s="37">
        <f t="shared" si="122"/>
        <v>0.16865801756623683</v>
      </c>
      <c r="DK79" s="37">
        <f t="shared" si="123"/>
        <v>0.16865801756623683</v>
      </c>
      <c r="DL79" s="55">
        <f t="shared" si="124"/>
        <v>-1.1626067041432437</v>
      </c>
      <c r="DN79" s="37">
        <f t="shared" si="125"/>
        <v>0.7</v>
      </c>
      <c r="DO79" s="55">
        <f t="shared" si="126"/>
        <v>1.253357206803939E-2</v>
      </c>
      <c r="DP79" s="55">
        <f t="shared" si="127"/>
        <v>1.253357206803939E-2</v>
      </c>
      <c r="DQ79" s="37">
        <v>1.1000000000000001</v>
      </c>
      <c r="DR79" s="37">
        <f t="shared" si="128"/>
        <v>2.0025486983433462E-2</v>
      </c>
      <c r="DS79" s="37">
        <f t="shared" si="129"/>
        <v>4.0050973966866923E-2</v>
      </c>
      <c r="DT79" s="37">
        <f t="shared" si="94"/>
        <v>8.4221680953758078</v>
      </c>
      <c r="DU79" s="37">
        <f t="shared" si="95"/>
        <v>4.2110840476879039</v>
      </c>
      <c r="DV79" s="37">
        <f t="shared" si="96"/>
        <v>10.519550281074327</v>
      </c>
      <c r="DW79" s="37">
        <f t="shared" si="97"/>
        <v>0.20870899153310374</v>
      </c>
      <c r="DX79">
        <v>32</v>
      </c>
      <c r="DY79" t="s">
        <v>65</v>
      </c>
      <c r="DZ79" s="29">
        <f t="shared" si="84"/>
        <v>1</v>
      </c>
      <c r="EA79" s="30">
        <v>1.7000000000000001E-2</v>
      </c>
      <c r="EB79" s="30">
        <f t="shared" si="130"/>
        <v>2.741935483870968E-4</v>
      </c>
      <c r="EC79" s="30">
        <f t="shared" si="131"/>
        <v>1.370967741935484E-3</v>
      </c>
      <c r="ED79" s="31">
        <f t="shared" si="145"/>
        <v>15</v>
      </c>
      <c r="EE79" s="33">
        <f t="shared" si="146"/>
        <v>18.292682926829269</v>
      </c>
      <c r="EF79" s="37">
        <f t="shared" si="98"/>
        <v>1.2492192379762648</v>
      </c>
      <c r="EG79" s="37">
        <f>$EK97-EK79</f>
        <v>-2</v>
      </c>
      <c r="EH79" s="33">
        <f>(EG79/EK97)*100</f>
        <v>-3.0769230769230771</v>
      </c>
      <c r="EI79" s="37">
        <f t="shared" si="82"/>
        <v>-0.16656256506350198</v>
      </c>
      <c r="EJ79" s="37"/>
      <c r="EK79" s="31">
        <v>67</v>
      </c>
      <c r="EL79" s="31">
        <f t="shared" si="132"/>
        <v>0.69748074120341452</v>
      </c>
      <c r="EM79" s="31">
        <f t="shared" si="133"/>
        <v>5.5798459296273162</v>
      </c>
      <c r="EN79" s="32">
        <f t="shared" si="99"/>
        <v>5.5812168973692513</v>
      </c>
      <c r="EO79" s="39">
        <f t="shared" si="134"/>
        <v>1.4579282295093685</v>
      </c>
      <c r="EP79" s="37">
        <f t="shared" si="100"/>
        <v>2.7471156094113863E-2</v>
      </c>
      <c r="EQ79" s="37">
        <f t="shared" si="101"/>
        <v>0.11568334719946724</v>
      </c>
      <c r="ER79" s="37">
        <f t="shared" si="102"/>
        <v>0.85684549670641896</v>
      </c>
      <c r="ES79" s="39">
        <f t="shared" si="135"/>
        <v>5.258454603490631E-2</v>
      </c>
      <c r="ET79" s="55">
        <f t="shared" si="136"/>
        <v>23.835086566535043</v>
      </c>
      <c r="EU79" s="55">
        <f t="shared" si="137"/>
        <v>76.16491343346496</v>
      </c>
      <c r="EV79" s="55">
        <f t="shared" si="138"/>
        <v>0</v>
      </c>
      <c r="EW79" t="s">
        <v>516</v>
      </c>
      <c r="EX79" t="s">
        <v>551</v>
      </c>
      <c r="EY79">
        <v>-101</v>
      </c>
      <c r="EZ79" t="s">
        <v>253</v>
      </c>
      <c r="FA79">
        <v>866</v>
      </c>
      <c r="FB79" t="s">
        <v>113</v>
      </c>
      <c r="FC79" t="s">
        <v>88</v>
      </c>
      <c r="FD79" s="39">
        <f t="shared" si="139"/>
        <v>0.75959029938479516</v>
      </c>
      <c r="FE79" s="39">
        <f t="shared" si="140"/>
        <v>0.87680303429734807</v>
      </c>
      <c r="FF79" s="39">
        <f t="shared" si="141"/>
        <v>2.1649339828592575</v>
      </c>
      <c r="FG79" s="39">
        <f t="shared" si="142"/>
        <v>2.2821467177718104</v>
      </c>
    </row>
    <row r="80" spans="1:163" ht="15.75" x14ac:dyDescent="0.25">
      <c r="A80" s="6" t="s">
        <v>338</v>
      </c>
      <c r="B80" s="6" t="s">
        <v>338</v>
      </c>
      <c r="C80" s="3" t="s">
        <v>869</v>
      </c>
      <c r="D80" s="3" t="s">
        <v>869</v>
      </c>
      <c r="E80" s="3" t="s">
        <v>1213</v>
      </c>
      <c r="F80" s="3" t="s">
        <v>1013</v>
      </c>
      <c r="G80" s="3" t="s">
        <v>772</v>
      </c>
      <c r="H80" s="3" t="str">
        <f t="shared" si="87"/>
        <v>CW_1_Section_1</v>
      </c>
      <c r="I80" s="3" t="str">
        <f t="shared" si="88"/>
        <v>CW_1_MF01</v>
      </c>
      <c r="J80" s="3" t="s">
        <v>1488</v>
      </c>
      <c r="K80" s="3" t="s">
        <v>1484</v>
      </c>
      <c r="L80" s="11" t="s">
        <v>1014</v>
      </c>
      <c r="M80" s="3" t="s">
        <v>1015</v>
      </c>
      <c r="N80" s="3" t="s">
        <v>1015</v>
      </c>
      <c r="O80" s="12" t="s">
        <v>1016</v>
      </c>
      <c r="P80" s="3" t="s">
        <v>1214</v>
      </c>
      <c r="Q80" s="3" t="s">
        <v>1018</v>
      </c>
      <c r="R80" s="3" t="s">
        <v>1205</v>
      </c>
      <c r="S80" s="3" t="str">
        <f t="shared" si="89"/>
        <v>T3_0.15-0.30</v>
      </c>
      <c r="T80" s="13" t="s">
        <v>1206</v>
      </c>
      <c r="U80" s="3" t="s">
        <v>1160</v>
      </c>
      <c r="V80" s="3">
        <v>150</v>
      </c>
      <c r="W80" s="3">
        <v>65</v>
      </c>
      <c r="X80" s="15">
        <v>5.45</v>
      </c>
      <c r="Y80" s="3">
        <v>79</v>
      </c>
      <c r="Z80" t="s">
        <v>557</v>
      </c>
      <c r="AA80" t="s">
        <v>137</v>
      </c>
      <c r="AB80" s="1">
        <v>45705</v>
      </c>
      <c r="AC80">
        <v>12</v>
      </c>
      <c r="AD80">
        <v>11</v>
      </c>
      <c r="AE80">
        <v>550</v>
      </c>
      <c r="AF80" s="37">
        <f t="shared" si="103"/>
        <v>0.21124055818717194</v>
      </c>
      <c r="AG80">
        <v>2</v>
      </c>
      <c r="AH80" s="37">
        <f t="shared" si="104"/>
        <v>7.8141957890167139E-4</v>
      </c>
      <c r="AI80">
        <v>370</v>
      </c>
      <c r="AJ80" s="37">
        <f t="shared" si="105"/>
        <v>0.14636903079966093</v>
      </c>
      <c r="AK80">
        <v>160</v>
      </c>
      <c r="AL80" s="37">
        <f t="shared" si="106"/>
        <v>6.3294716021474989E-2</v>
      </c>
      <c r="AM80">
        <v>150</v>
      </c>
      <c r="AN80" s="37">
        <f t="shared" si="107"/>
        <v>5.9338796270132804E-2</v>
      </c>
      <c r="AO80">
        <v>310</v>
      </c>
      <c r="AQ80" s="59">
        <v>1244</v>
      </c>
      <c r="AR80" s="59">
        <f t="shared" si="108"/>
        <v>0.35839100856573458</v>
      </c>
      <c r="AS80">
        <v>2200</v>
      </c>
      <c r="AT80" s="37">
        <f t="shared" si="109"/>
        <v>0.82390575017554801</v>
      </c>
      <c r="AU80" t="s">
        <v>780</v>
      </c>
      <c r="AV80" t="s">
        <v>780</v>
      </c>
      <c r="AW80" t="s">
        <v>780</v>
      </c>
      <c r="AX80" t="s">
        <v>780</v>
      </c>
      <c r="AY80" t="s">
        <v>780</v>
      </c>
      <c r="AZ80" t="s">
        <v>780</v>
      </c>
      <c r="BA80" t="s">
        <v>780</v>
      </c>
      <c r="BB80" t="s">
        <v>780</v>
      </c>
      <c r="BC80" t="s">
        <v>780</v>
      </c>
      <c r="BD80" t="s">
        <v>780</v>
      </c>
      <c r="BE80" t="s">
        <v>780</v>
      </c>
      <c r="BF80" t="s">
        <v>780</v>
      </c>
      <c r="BG80" t="s">
        <v>780</v>
      </c>
      <c r="BH80" t="s">
        <v>780</v>
      </c>
      <c r="BI80" t="s">
        <v>780</v>
      </c>
      <c r="BJ80" t="s">
        <v>780</v>
      </c>
      <c r="BK80" t="s">
        <v>780</v>
      </c>
      <c r="BL80" t="s">
        <v>780</v>
      </c>
      <c r="BM80" t="s">
        <v>780</v>
      </c>
      <c r="BN80" t="s">
        <v>780</v>
      </c>
      <c r="BO80" s="58">
        <v>3000</v>
      </c>
      <c r="BP80" s="58">
        <v>0.47</v>
      </c>
      <c r="BQ80" s="58">
        <v>0.26</v>
      </c>
      <c r="BR80" s="58">
        <v>0.13</v>
      </c>
      <c r="BS80" s="58">
        <v>0.1</v>
      </c>
      <c r="BT80" s="58">
        <v>0.02</v>
      </c>
      <c r="BU80" s="58">
        <v>0.02</v>
      </c>
      <c r="BV80" s="58">
        <v>2E-3</v>
      </c>
      <c r="BW80" s="31">
        <f t="shared" si="110"/>
        <v>1.1235078411484747</v>
      </c>
      <c r="BX80" s="31">
        <f t="shared" si="111"/>
        <v>1.7294171758985478E-4</v>
      </c>
      <c r="BY80" s="31">
        <f t="shared" si="112"/>
        <v>9.7788729654367423E-5</v>
      </c>
      <c r="BZ80" s="31">
        <f t="shared" si="113"/>
        <v>4.8489953074238965E-5</v>
      </c>
      <c r="CA80" s="31">
        <f t="shared" si="114"/>
        <v>3.7030802895135498E-5</v>
      </c>
      <c r="CB80" s="31">
        <f t="shared" si="115"/>
        <v>7.4061605790270997E-6</v>
      </c>
      <c r="CC80" s="31">
        <f t="shared" si="116"/>
        <v>7.3176761433868973E-6</v>
      </c>
      <c r="CD80" s="31">
        <f t="shared" si="117"/>
        <v>7.3176761433868969E-7</v>
      </c>
      <c r="CE80">
        <v>1E-3</v>
      </c>
      <c r="CF80">
        <v>1E-3</v>
      </c>
      <c r="CG80">
        <v>2E-3</v>
      </c>
      <c r="CH80">
        <v>1E-3</v>
      </c>
      <c r="CI80">
        <v>1E-3</v>
      </c>
      <c r="CK80">
        <v>2E-3</v>
      </c>
      <c r="CL80">
        <v>1E-3</v>
      </c>
      <c r="CM80">
        <v>1E-3</v>
      </c>
      <c r="CN80" s="58">
        <f t="shared" si="143"/>
        <v>3001.002</v>
      </c>
      <c r="CO80" s="58">
        <f t="shared" si="118"/>
        <v>1.002</v>
      </c>
      <c r="CP80" s="31">
        <f t="shared" si="119"/>
        <v>1.1238795479560248</v>
      </c>
      <c r="CQ80" s="31">
        <f t="shared" si="120"/>
        <v>3.7170680755034931E-4</v>
      </c>
      <c r="CR80">
        <v>3000</v>
      </c>
      <c r="CS80">
        <v>4300</v>
      </c>
      <c r="CT80">
        <v>70</v>
      </c>
      <c r="CU80" t="s">
        <v>69</v>
      </c>
      <c r="CV80" t="s">
        <v>69</v>
      </c>
      <c r="CW80">
        <v>4400</v>
      </c>
      <c r="CX80" s="2">
        <f t="shared" si="90"/>
        <v>4244</v>
      </c>
      <c r="CZ80">
        <v>70</v>
      </c>
      <c r="DA80" t="s">
        <v>62</v>
      </c>
      <c r="DB80" t="s">
        <v>88</v>
      </c>
      <c r="DC80" t="s">
        <v>782</v>
      </c>
      <c r="DD80" s="37">
        <f t="shared" si="91"/>
        <v>15.113887153862169</v>
      </c>
      <c r="DE80" s="37">
        <f t="shared" si="144"/>
        <v>15.113887153862169</v>
      </c>
      <c r="DF80" s="37">
        <v>9.6999999999999993</v>
      </c>
      <c r="DG80" s="37">
        <f t="shared" si="92"/>
        <v>0.17367949865711726</v>
      </c>
      <c r="DH80" s="37">
        <f t="shared" si="121"/>
        <v>0.17367949865711726</v>
      </c>
      <c r="DI80" s="37">
        <f t="shared" si="93"/>
        <v>24.813887153862169</v>
      </c>
      <c r="DJ80" s="37">
        <f t="shared" si="122"/>
        <v>0.44429520418732621</v>
      </c>
      <c r="DK80" s="37">
        <f t="shared" si="123"/>
        <v>0.44429520418732621</v>
      </c>
      <c r="DL80" s="55">
        <f t="shared" si="124"/>
        <v>15.113887153862169</v>
      </c>
      <c r="DM80" s="55">
        <f t="shared" si="124"/>
        <v>15.113887153862169</v>
      </c>
      <c r="DN80" s="37">
        <f t="shared" si="125"/>
        <v>24.813887153862169</v>
      </c>
      <c r="DO80" s="55">
        <f t="shared" si="126"/>
        <v>0.44429520418732621</v>
      </c>
      <c r="DP80" s="55">
        <f t="shared" si="127"/>
        <v>0.44429520418732621</v>
      </c>
      <c r="DQ80" s="37">
        <v>2</v>
      </c>
      <c r="DR80" s="37">
        <f t="shared" si="128"/>
        <v>3.6409976333515386E-2</v>
      </c>
      <c r="DS80" s="37">
        <f t="shared" si="129"/>
        <v>7.2819952667030771E-2</v>
      </c>
      <c r="DT80" s="37">
        <f t="shared" si="94"/>
        <v>12.202567783004914</v>
      </c>
      <c r="DU80" s="37">
        <f t="shared" si="95"/>
        <v>6.1012838915024572</v>
      </c>
      <c r="DV80" s="37">
        <f t="shared" si="96"/>
        <v>26.813887153862169</v>
      </c>
      <c r="DW80" s="37">
        <f t="shared" si="97"/>
        <v>0.51711515685435694</v>
      </c>
      <c r="DX80">
        <v>31</v>
      </c>
      <c r="DY80" t="s">
        <v>140</v>
      </c>
      <c r="DZ80" s="29">
        <f t="shared" si="84"/>
        <v>1</v>
      </c>
      <c r="EA80" s="30">
        <v>1.7000000000000001E-2</v>
      </c>
      <c r="EB80" s="30">
        <f t="shared" si="130"/>
        <v>2.741935483870968E-4</v>
      </c>
      <c r="EC80" s="30">
        <f t="shared" si="131"/>
        <v>1.370967741935484E-3</v>
      </c>
      <c r="ED80" s="31">
        <f t="shared" si="145"/>
        <v>26</v>
      </c>
      <c r="EE80" s="33">
        <f t="shared" si="146"/>
        <v>31.707317073170731</v>
      </c>
      <c r="EF80" s="37">
        <f t="shared" si="98"/>
        <v>2.1653133458255258</v>
      </c>
      <c r="EG80" s="37">
        <f>$EK76-EK80</f>
        <v>26</v>
      </c>
      <c r="EH80" s="33">
        <f>(EG80/$EK$76)*100</f>
        <v>31.707317073170731</v>
      </c>
      <c r="EI80" s="37">
        <f t="shared" si="82"/>
        <v>2.1653133458255258</v>
      </c>
      <c r="EJ80" s="37">
        <f>($EG80/96.06)*8</f>
        <v>2.1653133458255258</v>
      </c>
      <c r="EK80" s="31">
        <v>56</v>
      </c>
      <c r="EL80" s="31">
        <f t="shared" si="132"/>
        <v>0.58296897772225686</v>
      </c>
      <c r="EM80" s="31">
        <f t="shared" si="133"/>
        <v>4.6637518217780549</v>
      </c>
      <c r="EN80" s="32">
        <f t="shared" si="99"/>
        <v>4.66512278951999</v>
      </c>
      <c r="EO80" s="39">
        <f t="shared" si="134"/>
        <v>2.6824285026798829</v>
      </c>
      <c r="EP80" s="37">
        <f t="shared" si="100"/>
        <v>2.7147024643631668E-2</v>
      </c>
      <c r="EQ80" s="37">
        <f t="shared" si="101"/>
        <v>0.16563170416041012</v>
      </c>
      <c r="ER80" s="37">
        <f t="shared" si="102"/>
        <v>0.80722127119595821</v>
      </c>
      <c r="ES80" s="39">
        <f t="shared" si="135"/>
        <v>2.6824285026798829</v>
      </c>
      <c r="ET80" s="55">
        <f t="shared" si="136"/>
        <v>16.563170416041011</v>
      </c>
      <c r="EU80" s="55">
        <f t="shared" si="137"/>
        <v>2.7147024643631665</v>
      </c>
      <c r="EV80" s="55">
        <f t="shared" si="138"/>
        <v>80.722127119595825</v>
      </c>
      <c r="EW80" t="s">
        <v>168</v>
      </c>
      <c r="EX80" t="s">
        <v>558</v>
      </c>
      <c r="EY80">
        <v>-109</v>
      </c>
      <c r="EZ80" t="s">
        <v>259</v>
      </c>
      <c r="FA80">
        <v>855</v>
      </c>
      <c r="FB80" t="s">
        <v>113</v>
      </c>
      <c r="FC80" t="s">
        <v>88</v>
      </c>
      <c r="FD80" s="39">
        <f t="shared" si="139"/>
        <v>-1.5001317439386002</v>
      </c>
      <c r="FE80" s="39">
        <f t="shared" si="140"/>
        <v>-1.4997600371310498</v>
      </c>
      <c r="FF80" s="39">
        <f t="shared" si="141"/>
        <v>-1.5001317439386002</v>
      </c>
      <c r="FG80" s="39">
        <f t="shared" si="142"/>
        <v>-1.4997600371310498</v>
      </c>
    </row>
    <row r="81" spans="1:163" ht="15.75" x14ac:dyDescent="0.25">
      <c r="A81" s="6" t="s">
        <v>339</v>
      </c>
      <c r="B81" s="6" t="s">
        <v>339</v>
      </c>
      <c r="C81" s="3" t="s">
        <v>870</v>
      </c>
      <c r="D81" s="3" t="s">
        <v>870</v>
      </c>
      <c r="E81" s="3" t="s">
        <v>1215</v>
      </c>
      <c r="F81" s="3" t="s">
        <v>1013</v>
      </c>
      <c r="G81" s="3" t="s">
        <v>772</v>
      </c>
      <c r="H81" s="3" t="str">
        <f t="shared" si="87"/>
        <v>CW_1_Section_1</v>
      </c>
      <c r="I81" s="3" t="str">
        <f t="shared" si="88"/>
        <v>CW_1_MF02</v>
      </c>
      <c r="J81" s="3" t="s">
        <v>1489</v>
      </c>
      <c r="K81" s="3" t="s">
        <v>1484</v>
      </c>
      <c r="L81" s="11" t="s">
        <v>1023</v>
      </c>
      <c r="M81" s="3" t="s">
        <v>1024</v>
      </c>
      <c r="N81" s="3" t="s">
        <v>1024</v>
      </c>
      <c r="O81" s="12" t="s">
        <v>1016</v>
      </c>
      <c r="P81" s="3" t="s">
        <v>1216</v>
      </c>
      <c r="Q81" s="3" t="s">
        <v>1018</v>
      </c>
      <c r="R81" s="3" t="s">
        <v>1205</v>
      </c>
      <c r="S81" s="3" t="str">
        <f t="shared" si="89"/>
        <v>T3_0.60-0.80</v>
      </c>
      <c r="T81" s="13" t="s">
        <v>1206</v>
      </c>
      <c r="U81" s="3" t="s">
        <v>1160</v>
      </c>
      <c r="V81" s="3">
        <v>150</v>
      </c>
      <c r="W81" s="3">
        <v>65</v>
      </c>
      <c r="X81" s="15">
        <v>4</v>
      </c>
      <c r="Y81" s="3">
        <v>80</v>
      </c>
      <c r="Z81" t="s">
        <v>559</v>
      </c>
      <c r="AA81" t="s">
        <v>153</v>
      </c>
      <c r="AB81" s="1">
        <v>45705</v>
      </c>
      <c r="AC81">
        <v>13</v>
      </c>
      <c r="AD81">
        <v>13</v>
      </c>
      <c r="AE81">
        <v>540</v>
      </c>
      <c r="AF81" s="37">
        <f t="shared" si="103"/>
        <v>0.207399820765587</v>
      </c>
      <c r="AG81">
        <v>65</v>
      </c>
      <c r="AH81" s="37">
        <f t="shared" si="104"/>
        <v>2.5396136314304318E-2</v>
      </c>
      <c r="AI81">
        <v>490</v>
      </c>
      <c r="AJ81" s="37">
        <f t="shared" si="105"/>
        <v>0.19384006781576718</v>
      </c>
      <c r="AK81">
        <v>180</v>
      </c>
      <c r="AL81" s="37">
        <f t="shared" si="106"/>
        <v>7.120655552415936E-2</v>
      </c>
      <c r="AM81">
        <v>270</v>
      </c>
      <c r="AN81" s="37">
        <f t="shared" si="107"/>
        <v>0.10680983328623904</v>
      </c>
      <c r="AO81">
        <v>450</v>
      </c>
      <c r="AQ81" s="59">
        <v>1545</v>
      </c>
      <c r="AR81" s="59">
        <f t="shared" si="108"/>
        <v>0.42663602489565849</v>
      </c>
      <c r="AS81">
        <v>3800</v>
      </c>
      <c r="AT81" s="37">
        <f t="shared" si="109"/>
        <v>1.4231099321214014</v>
      </c>
      <c r="AU81" t="s">
        <v>780</v>
      </c>
      <c r="AV81" t="s">
        <v>780</v>
      </c>
      <c r="AW81" t="s">
        <v>780</v>
      </c>
      <c r="AX81" t="s">
        <v>780</v>
      </c>
      <c r="AY81" t="s">
        <v>780</v>
      </c>
      <c r="AZ81" t="s">
        <v>780</v>
      </c>
      <c r="BA81" t="s">
        <v>780</v>
      </c>
      <c r="BB81" t="s">
        <v>780</v>
      </c>
      <c r="BC81" t="s">
        <v>780</v>
      </c>
      <c r="BD81" t="s">
        <v>780</v>
      </c>
      <c r="BE81" t="s">
        <v>780</v>
      </c>
      <c r="BF81" t="s">
        <v>780</v>
      </c>
      <c r="BG81" t="s">
        <v>780</v>
      </c>
      <c r="BH81" t="s">
        <v>780</v>
      </c>
      <c r="BI81" t="s">
        <v>780</v>
      </c>
      <c r="BJ81" t="s">
        <v>780</v>
      </c>
      <c r="BK81" t="s">
        <v>780</v>
      </c>
      <c r="BL81" t="s">
        <v>780</v>
      </c>
      <c r="BM81" t="s">
        <v>780</v>
      </c>
      <c r="BN81" t="s">
        <v>780</v>
      </c>
      <c r="BO81" s="58">
        <v>6600</v>
      </c>
      <c r="BP81" s="58">
        <v>190</v>
      </c>
      <c r="BQ81" s="58">
        <v>230</v>
      </c>
      <c r="BR81" s="58">
        <v>100</v>
      </c>
      <c r="BS81" s="58">
        <v>62</v>
      </c>
      <c r="BT81" s="58">
        <v>4.3</v>
      </c>
      <c r="BU81" s="58">
        <v>0.74</v>
      </c>
      <c r="BV81" s="58">
        <v>0.63</v>
      </c>
      <c r="BW81" s="31">
        <f t="shared" si="110"/>
        <v>2.4717172505266443</v>
      </c>
      <c r="BX81" s="31">
        <f t="shared" si="111"/>
        <v>6.9912609238451939E-2</v>
      </c>
      <c r="BY81" s="31">
        <f t="shared" si="112"/>
        <v>8.6505414694248106E-2</v>
      </c>
      <c r="BZ81" s="31">
        <f t="shared" si="113"/>
        <v>3.7299963903260742E-2</v>
      </c>
      <c r="CA81" s="31">
        <f t="shared" si="114"/>
        <v>2.2959097794984007E-2</v>
      </c>
      <c r="CB81" s="31">
        <f t="shared" si="115"/>
        <v>1.5923245244908264E-3</v>
      </c>
      <c r="CC81" s="31">
        <f t="shared" si="116"/>
        <v>2.7075401730531522E-4</v>
      </c>
      <c r="CD81" s="31">
        <f t="shared" si="117"/>
        <v>2.3050679851668727E-4</v>
      </c>
      <c r="CE81">
        <v>0.01</v>
      </c>
      <c r="CF81">
        <v>1E-3</v>
      </c>
      <c r="CG81">
        <v>2E-3</v>
      </c>
      <c r="CH81">
        <v>1E-3</v>
      </c>
      <c r="CI81">
        <v>1E-3</v>
      </c>
      <c r="CK81">
        <v>2E-3</v>
      </c>
      <c r="CL81">
        <v>1E-3</v>
      </c>
      <c r="CM81">
        <v>1E-3</v>
      </c>
      <c r="CN81" s="58">
        <f t="shared" si="143"/>
        <v>7187.67</v>
      </c>
      <c r="CO81" s="58">
        <f t="shared" si="118"/>
        <v>587.66999999999996</v>
      </c>
      <c r="CP81" s="31">
        <f t="shared" si="119"/>
        <v>2.6904879214979021</v>
      </c>
      <c r="CQ81" s="31">
        <f t="shared" si="120"/>
        <v>0.2187706709712576</v>
      </c>
      <c r="CR81">
        <v>7200</v>
      </c>
      <c r="CS81">
        <v>7900</v>
      </c>
      <c r="CT81">
        <v>2300</v>
      </c>
      <c r="CU81" t="s">
        <v>69</v>
      </c>
      <c r="CV81" t="s">
        <v>69</v>
      </c>
      <c r="CW81">
        <v>10000</v>
      </c>
      <c r="CX81" s="2">
        <f t="shared" si="90"/>
        <v>8745</v>
      </c>
      <c r="CZ81">
        <v>72</v>
      </c>
      <c r="DA81" t="s">
        <v>62</v>
      </c>
      <c r="DB81" t="s">
        <v>88</v>
      </c>
      <c r="DC81" t="s">
        <v>782</v>
      </c>
      <c r="DD81" s="37">
        <f t="shared" si="91"/>
        <v>5.2317301686445967</v>
      </c>
      <c r="DE81" s="37">
        <f t="shared" si="144"/>
        <v>5.2317301686445967</v>
      </c>
      <c r="DF81" s="37">
        <v>0.3</v>
      </c>
      <c r="DG81" s="37">
        <f t="shared" si="92"/>
        <v>5.3715308863025958E-3</v>
      </c>
      <c r="DH81" s="37">
        <f t="shared" si="121"/>
        <v>5.3715308863025958E-3</v>
      </c>
      <c r="DI81" s="37">
        <f t="shared" si="93"/>
        <v>5.5317301686445965</v>
      </c>
      <c r="DJ81" s="37">
        <f t="shared" si="122"/>
        <v>9.9046198185221063E-2</v>
      </c>
      <c r="DK81" s="37">
        <f t="shared" si="123"/>
        <v>9.9046198185221063E-2</v>
      </c>
      <c r="DL81" s="55">
        <f t="shared" si="124"/>
        <v>5.2317301686445967</v>
      </c>
      <c r="DM81" s="55">
        <f t="shared" si="124"/>
        <v>5.2317301686445967</v>
      </c>
      <c r="DN81" s="37">
        <f t="shared" si="125"/>
        <v>5.5317301686445965</v>
      </c>
      <c r="DO81" s="55">
        <f t="shared" si="126"/>
        <v>9.9046198185221063E-2</v>
      </c>
      <c r="DP81" s="55">
        <f t="shared" si="127"/>
        <v>9.9046198185221063E-2</v>
      </c>
      <c r="DQ81" s="37">
        <v>0.8</v>
      </c>
      <c r="DR81" s="37">
        <f t="shared" si="128"/>
        <v>1.4563990533406155E-2</v>
      </c>
      <c r="DS81" s="37">
        <f t="shared" si="129"/>
        <v>2.912798106681231E-2</v>
      </c>
      <c r="DT81" s="37">
        <f t="shared" si="94"/>
        <v>6.8007595828927405</v>
      </c>
      <c r="DU81" s="37">
        <f t="shared" si="95"/>
        <v>3.4003797914463703</v>
      </c>
      <c r="DV81" s="37">
        <f t="shared" si="96"/>
        <v>6.3317301686445964</v>
      </c>
      <c r="DW81" s="37">
        <f t="shared" si="97"/>
        <v>0.12817417925203337</v>
      </c>
      <c r="DX81">
        <v>33</v>
      </c>
      <c r="DY81" t="s">
        <v>80</v>
      </c>
      <c r="DZ81" s="29">
        <f t="shared" si="84"/>
        <v>1</v>
      </c>
      <c r="EA81" s="30">
        <v>1.7000000000000001E-2</v>
      </c>
      <c r="EB81" s="30">
        <f t="shared" si="130"/>
        <v>2.741935483870968E-4</v>
      </c>
      <c r="EC81" s="30">
        <f t="shared" si="131"/>
        <v>1.370967741935484E-3</v>
      </c>
      <c r="ED81" s="31">
        <f t="shared" si="145"/>
        <v>9</v>
      </c>
      <c r="EE81" s="33">
        <f t="shared" si="146"/>
        <v>10.975609756097562</v>
      </c>
      <c r="EF81" s="37">
        <f t="shared" si="98"/>
        <v>0.74953154278575884</v>
      </c>
      <c r="EG81" s="37">
        <f>$EK76-EK81</f>
        <v>9</v>
      </c>
      <c r="EH81" s="33">
        <f>(EG81/$EK$76)*100</f>
        <v>10.975609756097562</v>
      </c>
      <c r="EI81" s="37">
        <f t="shared" si="82"/>
        <v>0.74953154278575884</v>
      </c>
      <c r="EJ81" s="37">
        <f>($EG81/96.06)*8</f>
        <v>0.74953154278575884</v>
      </c>
      <c r="EK81" s="31">
        <v>73</v>
      </c>
      <c r="EL81" s="31">
        <f t="shared" si="132"/>
        <v>0.75994170310222775</v>
      </c>
      <c r="EM81" s="31">
        <f t="shared" si="133"/>
        <v>6.079533624817822</v>
      </c>
      <c r="EN81" s="32">
        <f t="shared" si="99"/>
        <v>6.0809045925597571</v>
      </c>
      <c r="EO81" s="39">
        <f t="shared" si="134"/>
        <v>0.87770572203779218</v>
      </c>
      <c r="EP81" s="37">
        <f t="shared" si="100"/>
        <v>3.3186500139460319E-2</v>
      </c>
      <c r="EQ81" s="37">
        <f t="shared" si="101"/>
        <v>0.11284670442305302</v>
      </c>
      <c r="ER81" s="37">
        <f t="shared" si="102"/>
        <v>0.85396679543748666</v>
      </c>
      <c r="ES81" s="39">
        <f t="shared" si="135"/>
        <v>0.87770572203779218</v>
      </c>
      <c r="ET81" s="55">
        <f t="shared" si="136"/>
        <v>11.284670442305302</v>
      </c>
      <c r="EU81" s="55">
        <f t="shared" si="137"/>
        <v>3.3186500139460318</v>
      </c>
      <c r="EV81" s="55">
        <f t="shared" si="138"/>
        <v>85.396679543748661</v>
      </c>
      <c r="EW81" t="s">
        <v>510</v>
      </c>
      <c r="EX81" t="s">
        <v>147</v>
      </c>
      <c r="EY81">
        <v>-125</v>
      </c>
      <c r="EZ81" t="s">
        <v>253</v>
      </c>
      <c r="FA81">
        <v>1312</v>
      </c>
      <c r="FB81" t="s">
        <v>113</v>
      </c>
      <c r="FC81" t="s">
        <v>88</v>
      </c>
      <c r="FD81" s="39">
        <f t="shared" si="139"/>
        <v>0.97204023497926761</v>
      </c>
      <c r="FE81" s="39">
        <f t="shared" si="140"/>
        <v>1.1908109059505254</v>
      </c>
      <c r="FF81" s="39">
        <f t="shared" si="141"/>
        <v>0.97204023497926761</v>
      </c>
      <c r="FG81" s="39">
        <f t="shared" si="142"/>
        <v>1.1908109059505254</v>
      </c>
    </row>
    <row r="82" spans="1:163" ht="15.75" x14ac:dyDescent="0.25">
      <c r="A82" s="6" t="s">
        <v>340</v>
      </c>
      <c r="B82" s="6" t="s">
        <v>340</v>
      </c>
      <c r="C82" s="3" t="s">
        <v>871</v>
      </c>
      <c r="D82" s="3" t="s">
        <v>871</v>
      </c>
      <c r="E82" s="3" t="s">
        <v>1217</v>
      </c>
      <c r="F82" s="3" t="s">
        <v>1027</v>
      </c>
      <c r="G82" s="3" t="s">
        <v>772</v>
      </c>
      <c r="H82" s="3" t="str">
        <f t="shared" si="87"/>
        <v>CW_1_Section_2</v>
      </c>
      <c r="I82" s="3" t="str">
        <f t="shared" si="88"/>
        <v>CW_1_MF05</v>
      </c>
      <c r="J82" s="3" t="s">
        <v>1496</v>
      </c>
      <c r="K82" s="3" t="s">
        <v>1484</v>
      </c>
      <c r="L82" s="11" t="s">
        <v>1028</v>
      </c>
      <c r="M82" s="3" t="s">
        <v>1015</v>
      </c>
      <c r="N82" s="3" t="s">
        <v>1015</v>
      </c>
      <c r="O82" s="12" t="s">
        <v>1016</v>
      </c>
      <c r="P82" s="3" t="s">
        <v>1218</v>
      </c>
      <c r="Q82" s="3" t="s">
        <v>1018</v>
      </c>
      <c r="R82" s="3" t="s">
        <v>1205</v>
      </c>
      <c r="S82" s="3" t="str">
        <f t="shared" si="89"/>
        <v>T3_0.15-0.30</v>
      </c>
      <c r="T82" s="13" t="s">
        <v>1206</v>
      </c>
      <c r="U82" s="3" t="s">
        <v>1160</v>
      </c>
      <c r="V82" s="3">
        <v>150</v>
      </c>
      <c r="W82" s="3">
        <v>65</v>
      </c>
      <c r="X82" s="15">
        <v>5.5</v>
      </c>
      <c r="Y82" s="3">
        <v>81</v>
      </c>
      <c r="Z82" t="s">
        <v>560</v>
      </c>
      <c r="AA82" t="s">
        <v>167</v>
      </c>
      <c r="AB82" s="1">
        <v>45705</v>
      </c>
      <c r="AC82">
        <v>10</v>
      </c>
      <c r="AD82">
        <v>9.9</v>
      </c>
      <c r="AE82">
        <v>470</v>
      </c>
      <c r="AF82" s="37">
        <f t="shared" si="103"/>
        <v>0.18051465881449238</v>
      </c>
      <c r="AG82">
        <v>1</v>
      </c>
      <c r="AH82" s="37">
        <f t="shared" si="104"/>
        <v>3.9070978945083569E-4</v>
      </c>
      <c r="AI82">
        <v>260</v>
      </c>
      <c r="AJ82" s="37">
        <f t="shared" si="105"/>
        <v>0.10285391353489687</v>
      </c>
      <c r="AK82">
        <v>150</v>
      </c>
      <c r="AL82" s="37">
        <f t="shared" si="106"/>
        <v>5.9338796270132804E-2</v>
      </c>
      <c r="AM82">
        <v>88</v>
      </c>
      <c r="AN82" s="37">
        <f t="shared" si="107"/>
        <v>3.4812093811811246E-2</v>
      </c>
      <c r="AO82">
        <v>238</v>
      </c>
      <c r="AQ82" s="59">
        <v>975</v>
      </c>
      <c r="AR82" s="59">
        <f t="shared" si="108"/>
        <v>0.28375928213884005</v>
      </c>
      <c r="AS82">
        <v>1800</v>
      </c>
      <c r="AT82" s="37">
        <f t="shared" si="109"/>
        <v>0.6741047046890849</v>
      </c>
      <c r="AU82" t="s">
        <v>780</v>
      </c>
      <c r="AV82" t="s">
        <v>780</v>
      </c>
      <c r="AW82" t="s">
        <v>780</v>
      </c>
      <c r="AX82" t="s">
        <v>780</v>
      </c>
      <c r="AY82" t="s">
        <v>780</v>
      </c>
      <c r="AZ82" t="s">
        <v>780</v>
      </c>
      <c r="BA82" t="s">
        <v>780</v>
      </c>
      <c r="BB82" t="s">
        <v>780</v>
      </c>
      <c r="BC82" t="s">
        <v>780</v>
      </c>
      <c r="BD82" t="s">
        <v>780</v>
      </c>
      <c r="BE82" t="s">
        <v>780</v>
      </c>
      <c r="BF82" t="s">
        <v>780</v>
      </c>
      <c r="BG82" t="s">
        <v>780</v>
      </c>
      <c r="BH82" t="s">
        <v>780</v>
      </c>
      <c r="BI82" t="s">
        <v>780</v>
      </c>
      <c r="BJ82" t="s">
        <v>780</v>
      </c>
      <c r="BK82" t="s">
        <v>780</v>
      </c>
      <c r="BL82" t="s">
        <v>780</v>
      </c>
      <c r="BM82" t="s">
        <v>780</v>
      </c>
      <c r="BN82" t="s">
        <v>780</v>
      </c>
      <c r="BO82" s="58">
        <v>2E-3</v>
      </c>
      <c r="BP82" s="58">
        <v>0.01</v>
      </c>
      <c r="BQ82" s="58">
        <v>0.01</v>
      </c>
      <c r="BR82" s="58">
        <v>0.05</v>
      </c>
      <c r="BS82" s="58">
        <v>0.02</v>
      </c>
      <c r="BT82" s="58">
        <v>1E-3</v>
      </c>
      <c r="BU82" s="58">
        <v>1E-3</v>
      </c>
      <c r="BV82" s="58">
        <v>2E-3</v>
      </c>
      <c r="BW82" s="31">
        <f t="shared" si="110"/>
        <v>7.4900522743231646E-7</v>
      </c>
      <c r="BX82" s="31">
        <f t="shared" si="111"/>
        <v>3.6796110125501018E-6</v>
      </c>
      <c r="BY82" s="31">
        <f t="shared" si="112"/>
        <v>3.7611049867064394E-6</v>
      </c>
      <c r="BZ82" s="31">
        <f t="shared" si="113"/>
        <v>1.864998195163037E-5</v>
      </c>
      <c r="CA82" s="31">
        <f t="shared" si="114"/>
        <v>7.4061605790270997E-6</v>
      </c>
      <c r="CB82" s="31">
        <f t="shared" si="115"/>
        <v>3.7030802895135499E-7</v>
      </c>
      <c r="CC82" s="31">
        <f t="shared" si="116"/>
        <v>3.6588380716934485E-7</v>
      </c>
      <c r="CD82" s="31">
        <f t="shared" si="117"/>
        <v>7.3176761433868969E-7</v>
      </c>
      <c r="CE82">
        <v>1E-3</v>
      </c>
      <c r="CF82">
        <v>1E-3</v>
      </c>
      <c r="CG82">
        <v>2E-3</v>
      </c>
      <c r="CH82">
        <v>1E-3</v>
      </c>
      <c r="CI82">
        <v>1E-3</v>
      </c>
      <c r="CK82">
        <v>2E-3</v>
      </c>
      <c r="CL82">
        <v>1E-3</v>
      </c>
      <c r="CM82">
        <v>1E-3</v>
      </c>
      <c r="CN82" s="58">
        <f t="shared" si="143"/>
        <v>9.6000000000000016E-2</v>
      </c>
      <c r="CO82" s="58">
        <f t="shared" si="118"/>
        <v>9.4000000000000014E-2</v>
      </c>
      <c r="CP82" s="31">
        <f t="shared" si="119"/>
        <v>3.5713823207805717E-5</v>
      </c>
      <c r="CQ82" s="31">
        <f t="shared" si="120"/>
        <v>3.4964817980373396E-5</v>
      </c>
      <c r="CR82">
        <v>4.2000000000000003E-2</v>
      </c>
      <c r="CS82">
        <v>3400</v>
      </c>
      <c r="CT82">
        <v>25</v>
      </c>
      <c r="CU82" t="s">
        <v>69</v>
      </c>
      <c r="CV82" t="s">
        <v>69</v>
      </c>
      <c r="CW82">
        <v>3400</v>
      </c>
      <c r="CX82" s="2">
        <f t="shared" si="90"/>
        <v>975.04200000000003</v>
      </c>
      <c r="CZ82">
        <v>71</v>
      </c>
      <c r="DA82" t="s">
        <v>62</v>
      </c>
      <c r="DB82" t="s">
        <v>88</v>
      </c>
      <c r="DC82" t="s">
        <v>782</v>
      </c>
      <c r="DD82" s="37">
        <f t="shared" si="91"/>
        <v>21.508224026650009</v>
      </c>
      <c r="DE82" s="37">
        <f t="shared" si="144"/>
        <v>21.508224026650009</v>
      </c>
      <c r="DF82" s="37">
        <v>13</v>
      </c>
      <c r="DG82" s="37">
        <f t="shared" si="92"/>
        <v>0.23276633840644584</v>
      </c>
      <c r="DH82" s="37">
        <f t="shared" si="121"/>
        <v>0.23276633840644584</v>
      </c>
      <c r="DI82" s="37">
        <f t="shared" si="93"/>
        <v>34.508224026650012</v>
      </c>
      <c r="DJ82" s="37">
        <f t="shared" si="122"/>
        <v>0.61787330396866624</v>
      </c>
      <c r="DK82" s="37">
        <f t="shared" si="123"/>
        <v>0.61787330396866624</v>
      </c>
      <c r="DL82" s="55">
        <f t="shared" si="124"/>
        <v>6.3943368727878402</v>
      </c>
      <c r="DM82" s="55">
        <f t="shared" si="124"/>
        <v>6.3943368727878402</v>
      </c>
      <c r="DN82" s="37">
        <f t="shared" si="125"/>
        <v>19.394336872787839</v>
      </c>
      <c r="DO82" s="55">
        <f t="shared" si="126"/>
        <v>0.34725759843845727</v>
      </c>
      <c r="DP82" s="55">
        <f t="shared" si="127"/>
        <v>0.34725759843845727</v>
      </c>
      <c r="DQ82" s="37">
        <v>0.05</v>
      </c>
      <c r="DR82" s="37">
        <f t="shared" si="128"/>
        <v>9.1024940833788468E-4</v>
      </c>
      <c r="DS82" s="37">
        <f t="shared" si="129"/>
        <v>1.8204988166757694E-3</v>
      </c>
      <c r="DT82" s="37">
        <f t="shared" si="94"/>
        <v>678.79561173997661</v>
      </c>
      <c r="DU82" s="37">
        <f t="shared" si="95"/>
        <v>339.3978058699883</v>
      </c>
      <c r="DV82" s="37">
        <f t="shared" si="96"/>
        <v>34.558224026650009</v>
      </c>
      <c r="DW82" s="37">
        <f t="shared" si="97"/>
        <v>0.61969380278534203</v>
      </c>
      <c r="DX82">
        <v>31</v>
      </c>
      <c r="DY82" t="s">
        <v>140</v>
      </c>
      <c r="DZ82" s="29">
        <f t="shared" si="84"/>
        <v>1</v>
      </c>
      <c r="EA82" s="30">
        <v>1.7000000000000001E-2</v>
      </c>
      <c r="EB82" s="30">
        <f t="shared" si="130"/>
        <v>2.741935483870968E-4</v>
      </c>
      <c r="EC82" s="30">
        <f t="shared" si="131"/>
        <v>1.370967741935484E-3</v>
      </c>
      <c r="ED82" s="31">
        <f t="shared" si="145"/>
        <v>37</v>
      </c>
      <c r="EE82" s="33">
        <f t="shared" si="146"/>
        <v>45.121951219512198</v>
      </c>
      <c r="EF82" s="37">
        <f t="shared" si="98"/>
        <v>3.0814074536747866</v>
      </c>
      <c r="EG82" s="37">
        <f>$EK80-EK82</f>
        <v>11</v>
      </c>
      <c r="EH82" s="33">
        <f>(EG82/$EK80)*100</f>
        <v>19.642857142857142</v>
      </c>
      <c r="EI82" s="37">
        <f t="shared" si="82"/>
        <v>0.91609410784926082</v>
      </c>
      <c r="EJ82" s="37">
        <f>($EG82/96.06)*8</f>
        <v>0.91609410784926082</v>
      </c>
      <c r="EK82" s="31">
        <v>45</v>
      </c>
      <c r="EL82" s="31">
        <f t="shared" si="132"/>
        <v>0.46845721424109932</v>
      </c>
      <c r="EM82" s="31">
        <f t="shared" si="133"/>
        <v>3.7476577139287945</v>
      </c>
      <c r="EN82" s="32">
        <f t="shared" si="99"/>
        <v>3.7490286816707301</v>
      </c>
      <c r="EO82" s="39">
        <f t="shared" si="134"/>
        <v>3.7011012564601287</v>
      </c>
      <c r="EP82" s="37">
        <f t="shared" si="100"/>
        <v>4.9188030548965916E-4</v>
      </c>
      <c r="EQ82" s="37">
        <f t="shared" si="101"/>
        <v>0.16694309643384989</v>
      </c>
      <c r="ER82" s="37">
        <f t="shared" si="102"/>
        <v>0.8325650232606604</v>
      </c>
      <c r="ES82" s="39">
        <f t="shared" si="135"/>
        <v>1.2651722051043939</v>
      </c>
      <c r="ET82" s="55">
        <f t="shared" si="136"/>
        <v>27.447457115911256</v>
      </c>
      <c r="EU82" s="55">
        <f t="shared" si="137"/>
        <v>0.14389336165708394</v>
      </c>
      <c r="EV82" s="55">
        <f t="shared" si="138"/>
        <v>72.408649522431659</v>
      </c>
      <c r="EW82" t="s">
        <v>116</v>
      </c>
      <c r="EX82" t="s">
        <v>525</v>
      </c>
      <c r="EY82">
        <v>-114</v>
      </c>
      <c r="EZ82" t="s">
        <v>511</v>
      </c>
      <c r="FA82">
        <v>1030</v>
      </c>
      <c r="FB82" t="s">
        <v>113</v>
      </c>
      <c r="FC82" t="s">
        <v>88</v>
      </c>
      <c r="FD82" s="39">
        <f t="shared" si="139"/>
        <v>-2.7432372696322038</v>
      </c>
      <c r="FE82" s="39">
        <f t="shared" si="140"/>
        <v>-2.7432023048142233</v>
      </c>
      <c r="FF82" s="39">
        <f t="shared" si="141"/>
        <v>-0.30730821827646893</v>
      </c>
      <c r="FG82" s="39">
        <f t="shared" si="142"/>
        <v>-0.30727325345848855</v>
      </c>
    </row>
    <row r="83" spans="1:163" ht="15.75" x14ac:dyDescent="0.25">
      <c r="A83" s="6" t="s">
        <v>341</v>
      </c>
      <c r="B83" s="6" t="s">
        <v>341</v>
      </c>
      <c r="C83" s="3" t="s">
        <v>872</v>
      </c>
      <c r="D83" s="3" t="s">
        <v>872</v>
      </c>
      <c r="E83" s="3" t="s">
        <v>1219</v>
      </c>
      <c r="F83" s="3" t="s">
        <v>1027</v>
      </c>
      <c r="G83" s="3" t="s">
        <v>772</v>
      </c>
      <c r="H83" s="3" t="str">
        <f t="shared" si="87"/>
        <v>CW_1_Section_2</v>
      </c>
      <c r="I83" s="3" t="str">
        <f t="shared" si="88"/>
        <v>CW_1_MF06</v>
      </c>
      <c r="J83" s="3" t="s">
        <v>1497</v>
      </c>
      <c r="K83" s="3" t="s">
        <v>1484</v>
      </c>
      <c r="L83" s="11" t="s">
        <v>1031</v>
      </c>
      <c r="M83" s="3" t="s">
        <v>1024</v>
      </c>
      <c r="N83" s="3" t="s">
        <v>1024</v>
      </c>
      <c r="O83" s="12" t="s">
        <v>1016</v>
      </c>
      <c r="P83" s="3" t="s">
        <v>1220</v>
      </c>
      <c r="Q83" s="3" t="s">
        <v>1018</v>
      </c>
      <c r="R83" s="3" t="s">
        <v>1205</v>
      </c>
      <c r="S83" s="3" t="str">
        <f t="shared" si="89"/>
        <v>T3_0.60-0.80</v>
      </c>
      <c r="T83" s="13" t="s">
        <v>1206</v>
      </c>
      <c r="U83" s="3" t="s">
        <v>1160</v>
      </c>
      <c r="V83" s="3">
        <v>150</v>
      </c>
      <c r="W83" s="3">
        <v>65</v>
      </c>
      <c r="X83" s="15">
        <v>5</v>
      </c>
      <c r="Y83" s="3">
        <v>82</v>
      </c>
      <c r="Z83" t="s">
        <v>561</v>
      </c>
      <c r="AA83" t="s">
        <v>115</v>
      </c>
      <c r="AB83" s="1">
        <v>45705</v>
      </c>
      <c r="AC83">
        <v>11</v>
      </c>
      <c r="AD83">
        <v>11</v>
      </c>
      <c r="AE83">
        <v>630</v>
      </c>
      <c r="AF83" s="37">
        <f t="shared" si="103"/>
        <v>0.24196645755985149</v>
      </c>
      <c r="AG83">
        <v>5</v>
      </c>
      <c r="AH83" s="37">
        <f t="shared" si="104"/>
        <v>1.9535489472541786E-3</v>
      </c>
      <c r="AI83">
        <v>370</v>
      </c>
      <c r="AJ83" s="37">
        <f t="shared" si="105"/>
        <v>0.14636903079966093</v>
      </c>
      <c r="AK83">
        <v>110</v>
      </c>
      <c r="AL83" s="37">
        <f t="shared" si="106"/>
        <v>4.3515117264764057E-2</v>
      </c>
      <c r="AM83">
        <v>130</v>
      </c>
      <c r="AN83" s="37">
        <f t="shared" si="107"/>
        <v>5.1426956767448434E-2</v>
      </c>
      <c r="AO83">
        <v>240</v>
      </c>
      <c r="AQ83" s="59">
        <v>1275</v>
      </c>
      <c r="AR83" s="59">
        <f t="shared" si="108"/>
        <v>0.39028903730676662</v>
      </c>
      <c r="AS83">
        <v>2500</v>
      </c>
      <c r="AT83" s="37">
        <f t="shared" si="109"/>
        <v>0.93625653429039557</v>
      </c>
      <c r="AU83" t="s">
        <v>780</v>
      </c>
      <c r="AV83" t="s">
        <v>780</v>
      </c>
      <c r="AW83" t="s">
        <v>780</v>
      </c>
      <c r="AX83" t="s">
        <v>780</v>
      </c>
      <c r="AY83" t="s">
        <v>780</v>
      </c>
      <c r="AZ83" t="s">
        <v>780</v>
      </c>
      <c r="BA83" t="s">
        <v>780</v>
      </c>
      <c r="BB83" t="s">
        <v>780</v>
      </c>
      <c r="BC83" t="s">
        <v>780</v>
      </c>
      <c r="BD83" t="s">
        <v>780</v>
      </c>
      <c r="BE83" t="s">
        <v>780</v>
      </c>
      <c r="BF83" t="s">
        <v>780</v>
      </c>
      <c r="BG83" t="s">
        <v>780</v>
      </c>
      <c r="BH83" t="s">
        <v>780</v>
      </c>
      <c r="BI83" t="s">
        <v>780</v>
      </c>
      <c r="BJ83" t="s">
        <v>780</v>
      </c>
      <c r="BK83" t="s">
        <v>780</v>
      </c>
      <c r="BL83" t="s">
        <v>780</v>
      </c>
      <c r="BM83" t="s">
        <v>780</v>
      </c>
      <c r="BN83" t="s">
        <v>780</v>
      </c>
      <c r="BO83" s="58">
        <v>5600</v>
      </c>
      <c r="BP83" s="58">
        <v>200</v>
      </c>
      <c r="BQ83" s="58">
        <v>230</v>
      </c>
      <c r="BR83" s="58">
        <v>86</v>
      </c>
      <c r="BS83" s="58">
        <v>29</v>
      </c>
      <c r="BT83" s="58">
        <v>1</v>
      </c>
      <c r="BU83" s="58">
        <v>0.04</v>
      </c>
      <c r="BV83" s="58">
        <v>0.02</v>
      </c>
      <c r="BW83" s="31">
        <f t="shared" si="110"/>
        <v>2.0972146368104863</v>
      </c>
      <c r="BX83" s="31">
        <f t="shared" si="111"/>
        <v>7.3592220251002038E-2</v>
      </c>
      <c r="BY83" s="31">
        <f t="shared" si="112"/>
        <v>8.6505414694248106E-2</v>
      </c>
      <c r="BZ83" s="31">
        <f t="shared" si="113"/>
        <v>3.2077968956804238E-2</v>
      </c>
      <c r="CA83" s="31">
        <f t="shared" si="114"/>
        <v>1.0738932839589295E-2</v>
      </c>
      <c r="CB83" s="31">
        <f t="shared" si="115"/>
        <v>3.70308028951355E-4</v>
      </c>
      <c r="CC83" s="31">
        <f t="shared" si="116"/>
        <v>1.4635352286773795E-5</v>
      </c>
      <c r="CD83" s="31">
        <f t="shared" si="117"/>
        <v>7.3176761433868973E-6</v>
      </c>
      <c r="CE83">
        <v>1E-3</v>
      </c>
      <c r="CF83">
        <v>1E-3</v>
      </c>
      <c r="CG83">
        <v>2E-3</v>
      </c>
      <c r="CH83">
        <v>1E-3</v>
      </c>
      <c r="CI83">
        <v>1E-3</v>
      </c>
      <c r="CK83">
        <v>2E-3</v>
      </c>
      <c r="CL83">
        <v>1E-3</v>
      </c>
      <c r="CM83">
        <v>1E-3</v>
      </c>
      <c r="CN83" s="58">
        <f t="shared" si="143"/>
        <v>6146.06</v>
      </c>
      <c r="CO83" s="58">
        <f t="shared" si="118"/>
        <v>546.05999999999995</v>
      </c>
      <c r="CP83" s="31">
        <f t="shared" si="119"/>
        <v>2.3005214346095118</v>
      </c>
      <c r="CQ83" s="31">
        <f t="shared" si="120"/>
        <v>0.20330679779902519</v>
      </c>
      <c r="CR83">
        <v>6200</v>
      </c>
      <c r="CS83">
        <v>6000</v>
      </c>
      <c r="CT83">
        <v>1500</v>
      </c>
      <c r="CU83" t="s">
        <v>69</v>
      </c>
      <c r="CV83" t="s">
        <v>69</v>
      </c>
      <c r="CW83">
        <v>7500</v>
      </c>
      <c r="CX83" s="2">
        <f t="shared" si="90"/>
        <v>7475</v>
      </c>
      <c r="CZ83">
        <v>71</v>
      </c>
      <c r="DA83" t="s">
        <v>62</v>
      </c>
      <c r="DB83" t="s">
        <v>88</v>
      </c>
      <c r="DC83" t="s">
        <v>782</v>
      </c>
      <c r="DD83" s="37">
        <f t="shared" si="91"/>
        <v>13.951280449718926</v>
      </c>
      <c r="DE83" s="37">
        <f t="shared" si="144"/>
        <v>13.951280449718926</v>
      </c>
      <c r="DF83" s="37">
        <v>1.6</v>
      </c>
      <c r="DG83" s="37">
        <f t="shared" si="92"/>
        <v>2.864816472694718E-2</v>
      </c>
      <c r="DH83" s="37">
        <f t="shared" si="121"/>
        <v>2.864816472694718E-2</v>
      </c>
      <c r="DI83" s="37">
        <f t="shared" si="93"/>
        <v>15.551280449718925</v>
      </c>
      <c r="DJ83" s="37">
        <f t="shared" si="122"/>
        <v>0.27844727752406312</v>
      </c>
      <c r="DK83" s="37">
        <f t="shared" si="123"/>
        <v>0.27844727752406312</v>
      </c>
      <c r="DL83" s="55">
        <f t="shared" si="124"/>
        <v>8.7195502810743282</v>
      </c>
      <c r="DM83" s="55">
        <f t="shared" si="124"/>
        <v>8.7195502810743282</v>
      </c>
      <c r="DN83" s="37">
        <f t="shared" si="125"/>
        <v>10.319550281074328</v>
      </c>
      <c r="DO83" s="55">
        <f t="shared" si="126"/>
        <v>0.18477261022514463</v>
      </c>
      <c r="DP83" s="55">
        <f t="shared" si="127"/>
        <v>0.18477261022514463</v>
      </c>
      <c r="DQ83" s="37">
        <v>2.5</v>
      </c>
      <c r="DR83" s="37">
        <f t="shared" si="128"/>
        <v>4.5512470416894227E-2</v>
      </c>
      <c r="DS83" s="37">
        <f t="shared" si="129"/>
        <v>9.1024940833788454E-2</v>
      </c>
      <c r="DT83" s="37">
        <f t="shared" si="94"/>
        <v>6.1180435817587151</v>
      </c>
      <c r="DU83" s="37">
        <f t="shared" si="95"/>
        <v>3.0590217908793575</v>
      </c>
      <c r="DV83" s="37">
        <f t="shared" si="96"/>
        <v>18.051280449718924</v>
      </c>
      <c r="DW83" s="37">
        <f t="shared" si="97"/>
        <v>0.3694722183578516</v>
      </c>
      <c r="DX83">
        <v>33</v>
      </c>
      <c r="DY83" t="s">
        <v>63</v>
      </c>
      <c r="DZ83" s="29">
        <f t="shared" si="84"/>
        <v>1</v>
      </c>
      <c r="EA83" s="30">
        <v>1.7000000000000001E-2</v>
      </c>
      <c r="EB83" s="30">
        <f t="shared" si="130"/>
        <v>2.741935483870968E-4</v>
      </c>
      <c r="EC83" s="30">
        <f t="shared" si="131"/>
        <v>1.370967741935484E-3</v>
      </c>
      <c r="ED83" s="31">
        <f t="shared" si="145"/>
        <v>24</v>
      </c>
      <c r="EE83" s="33">
        <f t="shared" si="146"/>
        <v>29.268292682926827</v>
      </c>
      <c r="EF83" s="37">
        <f t="shared" si="98"/>
        <v>1.9987507807620237</v>
      </c>
      <c r="EG83" s="37">
        <f>$EK81-EK83</f>
        <v>15</v>
      </c>
      <c r="EH83" s="33">
        <f>(EG83/$EK81)*100</f>
        <v>20.547945205479451</v>
      </c>
      <c r="EI83" s="37">
        <f t="shared" ref="EI83:EI114" si="147">($EG83/96.06)*8</f>
        <v>1.2492192379762648</v>
      </c>
      <c r="EJ83" s="37">
        <f>($EG83/96.06)*8</f>
        <v>1.2492192379762648</v>
      </c>
      <c r="EK83" s="31">
        <v>58</v>
      </c>
      <c r="EL83" s="31">
        <f t="shared" si="132"/>
        <v>0.60378929835519468</v>
      </c>
      <c r="EM83" s="31">
        <f t="shared" si="133"/>
        <v>4.8303143868415575</v>
      </c>
      <c r="EN83" s="32">
        <f t="shared" si="99"/>
        <v>4.8316853545834926</v>
      </c>
      <c r="EO83" s="39">
        <f t="shared" si="134"/>
        <v>2.3682229991198751</v>
      </c>
      <c r="EP83" s="37">
        <f t="shared" si="100"/>
        <v>3.8435966911738E-2</v>
      </c>
      <c r="EQ83" s="37">
        <f t="shared" si="101"/>
        <v>0.11757646033652451</v>
      </c>
      <c r="ER83" s="37">
        <f t="shared" si="102"/>
        <v>0.84398757275173752</v>
      </c>
      <c r="ES83" s="39">
        <f t="shared" si="135"/>
        <v>1.525016789035198</v>
      </c>
      <c r="ET83" s="55">
        <f t="shared" si="136"/>
        <v>12.116103347428787</v>
      </c>
      <c r="EU83" s="55">
        <f t="shared" si="137"/>
        <v>5.9687828677201242</v>
      </c>
      <c r="EV83" s="55">
        <f t="shared" si="138"/>
        <v>81.915113784851073</v>
      </c>
      <c r="EW83" t="s">
        <v>501</v>
      </c>
      <c r="EX83">
        <v>8</v>
      </c>
      <c r="EY83">
        <v>-128</v>
      </c>
      <c r="EZ83" t="s">
        <v>562</v>
      </c>
      <c r="FA83">
        <v>1132</v>
      </c>
      <c r="FB83">
        <v>1</v>
      </c>
      <c r="FC83" t="s">
        <v>88</v>
      </c>
      <c r="FD83" s="39">
        <f t="shared" si="139"/>
        <v>-1.041677427522713</v>
      </c>
      <c r="FE83" s="39">
        <f t="shared" si="140"/>
        <v>-0.8383706297236877</v>
      </c>
      <c r="FF83" s="39">
        <f t="shared" si="141"/>
        <v>-0.19847121743803586</v>
      </c>
      <c r="FG83" s="39">
        <f t="shared" si="142"/>
        <v>4.835580360989411E-3</v>
      </c>
    </row>
    <row r="84" spans="1:163" ht="15.75" x14ac:dyDescent="0.25">
      <c r="A84" s="6" t="s">
        <v>342</v>
      </c>
      <c r="B84" s="6" t="s">
        <v>342</v>
      </c>
      <c r="C84" s="3" t="s">
        <v>873</v>
      </c>
      <c r="D84" s="3" t="s">
        <v>873</v>
      </c>
      <c r="E84" s="3" t="s">
        <v>1221</v>
      </c>
      <c r="F84" s="3" t="s">
        <v>1034</v>
      </c>
      <c r="G84" s="3" t="s">
        <v>772</v>
      </c>
      <c r="H84" s="3" t="str">
        <f t="shared" si="87"/>
        <v>CW_1_Section_3</v>
      </c>
      <c r="I84" s="3" t="str">
        <f t="shared" si="88"/>
        <v>CW_1_MF09</v>
      </c>
      <c r="J84" s="3" t="s">
        <v>1492</v>
      </c>
      <c r="K84" s="3" t="s">
        <v>1484</v>
      </c>
      <c r="L84" s="11" t="s">
        <v>1035</v>
      </c>
      <c r="M84" s="3" t="s">
        <v>1015</v>
      </c>
      <c r="N84" s="3" t="s">
        <v>1015</v>
      </c>
      <c r="O84" s="12" t="s">
        <v>1016</v>
      </c>
      <c r="P84" s="3" t="s">
        <v>1222</v>
      </c>
      <c r="Q84" s="3" t="s">
        <v>1018</v>
      </c>
      <c r="R84" s="3" t="s">
        <v>1205</v>
      </c>
      <c r="S84" s="3" t="str">
        <f t="shared" si="89"/>
        <v>T3_0.15-0.30</v>
      </c>
      <c r="T84" s="13" t="s">
        <v>1206</v>
      </c>
      <c r="U84" s="3" t="s">
        <v>1160</v>
      </c>
      <c r="V84" s="3">
        <v>150</v>
      </c>
      <c r="W84" s="3">
        <v>65</v>
      </c>
      <c r="X84" s="15">
        <v>7.1</v>
      </c>
      <c r="Y84" s="3">
        <v>83</v>
      </c>
      <c r="Z84" t="s">
        <v>564</v>
      </c>
      <c r="AA84" t="s">
        <v>74</v>
      </c>
      <c r="AB84" s="1">
        <v>45706</v>
      </c>
      <c r="AC84">
        <v>8.1999999999999993</v>
      </c>
      <c r="AD84">
        <v>8.8000000000000007</v>
      </c>
      <c r="AE84">
        <v>730</v>
      </c>
      <c r="AF84" s="37">
        <f t="shared" si="103"/>
        <v>0.28037383177570091</v>
      </c>
      <c r="AG84">
        <v>6.9</v>
      </c>
      <c r="AH84" s="37">
        <f t="shared" si="104"/>
        <v>2.6958975472107663E-3</v>
      </c>
      <c r="AI84">
        <v>360</v>
      </c>
      <c r="AJ84" s="37">
        <f t="shared" si="105"/>
        <v>0.14241311104831872</v>
      </c>
      <c r="AK84">
        <v>220</v>
      </c>
      <c r="AL84" s="37">
        <f t="shared" si="106"/>
        <v>8.7030234529528114E-2</v>
      </c>
      <c r="AM84">
        <v>120</v>
      </c>
      <c r="AN84" s="37">
        <f t="shared" si="107"/>
        <v>4.7471037016106249E-2</v>
      </c>
      <c r="AO84">
        <v>340</v>
      </c>
      <c r="AQ84" s="59">
        <v>1436.9</v>
      </c>
      <c r="AR84" s="59">
        <f t="shared" si="108"/>
        <v>0.42548284037123041</v>
      </c>
      <c r="AS84">
        <v>1200</v>
      </c>
      <c r="AT84" s="37">
        <f t="shared" si="109"/>
        <v>0.44940313645938984</v>
      </c>
      <c r="AU84" t="s">
        <v>780</v>
      </c>
      <c r="AV84" t="s">
        <v>780</v>
      </c>
      <c r="AW84" t="s">
        <v>780</v>
      </c>
      <c r="AX84" t="s">
        <v>780</v>
      </c>
      <c r="AY84" t="s">
        <v>780</v>
      </c>
      <c r="AZ84" t="s">
        <v>780</v>
      </c>
      <c r="BA84" t="s">
        <v>780</v>
      </c>
      <c r="BB84" t="s">
        <v>780</v>
      </c>
      <c r="BC84" t="s">
        <v>780</v>
      </c>
      <c r="BD84" t="s">
        <v>780</v>
      </c>
      <c r="BE84" t="s">
        <v>780</v>
      </c>
      <c r="BF84" t="s">
        <v>780</v>
      </c>
      <c r="BG84" t="s">
        <v>780</v>
      </c>
      <c r="BH84" t="s">
        <v>780</v>
      </c>
      <c r="BI84" t="s">
        <v>780</v>
      </c>
      <c r="BJ84" t="s">
        <v>780</v>
      </c>
      <c r="BK84" t="s">
        <v>780</v>
      </c>
      <c r="BL84" t="s">
        <v>780</v>
      </c>
      <c r="BM84" t="s">
        <v>780</v>
      </c>
      <c r="BN84" t="s">
        <v>780</v>
      </c>
      <c r="BO84" s="58">
        <v>0.28999999999999998</v>
      </c>
      <c r="BP84" s="58">
        <v>0.01</v>
      </c>
      <c r="BQ84" s="58">
        <v>0.11</v>
      </c>
      <c r="BR84" s="58">
        <v>7.0000000000000007E-2</v>
      </c>
      <c r="BS84" s="58">
        <v>0.04</v>
      </c>
      <c r="BT84" s="58">
        <v>1E-3</v>
      </c>
      <c r="BU84" s="58">
        <v>1E-3</v>
      </c>
      <c r="BV84" s="58">
        <v>2E-3</v>
      </c>
      <c r="BW84" s="31">
        <f t="shared" si="110"/>
        <v>1.0860575797768587E-4</v>
      </c>
      <c r="BX84" s="31">
        <f t="shared" si="111"/>
        <v>3.6796110125501018E-6</v>
      </c>
      <c r="BY84" s="31">
        <f t="shared" si="112"/>
        <v>4.1372154853770834E-5</v>
      </c>
      <c r="BZ84" s="31">
        <f t="shared" si="113"/>
        <v>2.6109974732282519E-5</v>
      </c>
      <c r="CA84" s="31">
        <f t="shared" si="114"/>
        <v>1.4812321158054199E-5</v>
      </c>
      <c r="CB84" s="31">
        <f t="shared" si="115"/>
        <v>3.7030802895135499E-7</v>
      </c>
      <c r="CC84" s="31">
        <f t="shared" si="116"/>
        <v>3.6588380716934485E-7</v>
      </c>
      <c r="CD84" s="31">
        <f t="shared" si="117"/>
        <v>7.3176761433868969E-7</v>
      </c>
      <c r="CE84">
        <v>1E-3</v>
      </c>
      <c r="CF84">
        <v>1E-3</v>
      </c>
      <c r="CG84">
        <v>2E-3</v>
      </c>
      <c r="CH84">
        <v>1E-3</v>
      </c>
      <c r="CI84">
        <v>1E-3</v>
      </c>
      <c r="CK84">
        <v>2E-3</v>
      </c>
      <c r="CL84">
        <v>1E-3</v>
      </c>
      <c r="CM84">
        <v>1E-3</v>
      </c>
      <c r="CN84" s="58">
        <f t="shared" si="143"/>
        <v>0.52400000000000002</v>
      </c>
      <c r="CO84" s="58">
        <f t="shared" si="118"/>
        <v>0.23400000000000001</v>
      </c>
      <c r="CP84" s="31">
        <f t="shared" si="119"/>
        <v>1.9604777918480294E-4</v>
      </c>
      <c r="CQ84" s="31">
        <f t="shared" si="120"/>
        <v>8.7442021207117057E-5</v>
      </c>
      <c r="CR84">
        <v>0.51</v>
      </c>
      <c r="CS84">
        <v>1300</v>
      </c>
      <c r="CT84" t="s">
        <v>69</v>
      </c>
      <c r="CU84" t="s">
        <v>69</v>
      </c>
      <c r="CV84" t="s">
        <v>69</v>
      </c>
      <c r="CW84">
        <v>1300</v>
      </c>
      <c r="CX84" s="2">
        <f t="shared" si="90"/>
        <v>1437.41</v>
      </c>
      <c r="CZ84">
        <v>69</v>
      </c>
      <c r="DA84" t="s">
        <v>62</v>
      </c>
      <c r="DB84" t="s">
        <v>88</v>
      </c>
      <c r="DC84" t="s">
        <v>782</v>
      </c>
      <c r="DD84" s="37">
        <f t="shared" si="91"/>
        <v>25.577347491151361</v>
      </c>
      <c r="DE84" s="37">
        <f t="shared" si="144"/>
        <v>25.577347491151361</v>
      </c>
      <c r="DF84" s="37">
        <v>14</v>
      </c>
      <c r="DG84" s="37">
        <f t="shared" si="92"/>
        <v>0.25067144136078784</v>
      </c>
      <c r="DH84" s="37">
        <f t="shared" si="121"/>
        <v>0.25067144136078784</v>
      </c>
      <c r="DI84" s="37">
        <f t="shared" si="93"/>
        <v>39.577347491151357</v>
      </c>
      <c r="DJ84" s="37">
        <f t="shared" si="122"/>
        <v>0.70863648148883362</v>
      </c>
      <c r="DK84" s="37">
        <f t="shared" si="123"/>
        <v>0.70863648148883362</v>
      </c>
      <c r="DL84" s="55">
        <f t="shared" si="124"/>
        <v>4.0691234645013532</v>
      </c>
      <c r="DM84" s="55">
        <f t="shared" si="124"/>
        <v>4.0691234645013532</v>
      </c>
      <c r="DN84" s="37">
        <f t="shared" si="125"/>
        <v>18.069123464501352</v>
      </c>
      <c r="DO84" s="55">
        <f t="shared" si="126"/>
        <v>0.32352951592661328</v>
      </c>
      <c r="DP84" s="55">
        <f t="shared" si="127"/>
        <v>0.32352951592661328</v>
      </c>
      <c r="DQ84" s="37">
        <v>3.5</v>
      </c>
      <c r="DR84" s="37">
        <f t="shared" si="128"/>
        <v>6.3717458583651923E-2</v>
      </c>
      <c r="DS84" s="37">
        <f t="shared" si="129"/>
        <v>0.12743491716730385</v>
      </c>
      <c r="DT84" s="37">
        <f t="shared" si="94"/>
        <v>11.121543408051894</v>
      </c>
      <c r="DU84" s="37">
        <f t="shared" si="95"/>
        <v>5.5607717040259468</v>
      </c>
      <c r="DV84" s="37">
        <f t="shared" si="96"/>
        <v>43.077347491151357</v>
      </c>
      <c r="DW84" s="37">
        <f t="shared" si="97"/>
        <v>0.83607139865613744</v>
      </c>
      <c r="DX84">
        <v>27</v>
      </c>
      <c r="DY84" t="s">
        <v>100</v>
      </c>
      <c r="DZ84" s="29">
        <f t="shared" si="84"/>
        <v>1</v>
      </c>
      <c r="EA84" s="30">
        <v>1.7000000000000001E-2</v>
      </c>
      <c r="EB84" s="30">
        <f t="shared" si="130"/>
        <v>2.741935483870968E-4</v>
      </c>
      <c r="EC84" s="30">
        <f t="shared" si="131"/>
        <v>1.370967741935484E-3</v>
      </c>
      <c r="ED84" s="31">
        <f t="shared" si="145"/>
        <v>44</v>
      </c>
      <c r="EE84" s="33">
        <f t="shared" si="146"/>
        <v>53.658536585365859</v>
      </c>
      <c r="EF84" s="37">
        <f t="shared" si="98"/>
        <v>3.6643764313970433</v>
      </c>
      <c r="EG84" s="37">
        <f>$EK82-EK84</f>
        <v>7</v>
      </c>
      <c r="EH84" s="33">
        <f>(EG84/$EK82)*100</f>
        <v>15.555555555555555</v>
      </c>
      <c r="EI84" s="37">
        <f t="shared" si="147"/>
        <v>0.58296897772225686</v>
      </c>
      <c r="EJ84" s="37">
        <f>($EG84/96.06)*8</f>
        <v>0.58296897772225686</v>
      </c>
      <c r="EK84" s="31">
        <v>38</v>
      </c>
      <c r="EL84" s="31">
        <f t="shared" si="132"/>
        <v>0.39558609202581718</v>
      </c>
      <c r="EM84" s="31">
        <f t="shared" si="133"/>
        <v>3.1646887362065375</v>
      </c>
      <c r="EN84" s="32">
        <f t="shared" si="99"/>
        <v>3.166059703948473</v>
      </c>
      <c r="EO84" s="39">
        <f t="shared" si="134"/>
        <v>4.5004478300531812</v>
      </c>
      <c r="EP84" s="37">
        <f t="shared" si="100"/>
        <v>2.8316052530665145E-2</v>
      </c>
      <c r="EQ84" s="37">
        <f t="shared" si="101"/>
        <v>0.15745910368223506</v>
      </c>
      <c r="ER84" s="37">
        <f t="shared" si="102"/>
        <v>0.81422484378709969</v>
      </c>
      <c r="ES84" s="39">
        <f t="shared" si="135"/>
        <v>1.033933410816174</v>
      </c>
      <c r="ET84" s="55">
        <f t="shared" si="136"/>
        <v>31.291136599524645</v>
      </c>
      <c r="EU84" s="55">
        <f t="shared" si="137"/>
        <v>12.325253815592276</v>
      </c>
      <c r="EV84" s="55">
        <f t="shared" si="138"/>
        <v>56.383609584883089</v>
      </c>
      <c r="EW84" t="s">
        <v>565</v>
      </c>
      <c r="EX84" t="s">
        <v>558</v>
      </c>
      <c r="EY84">
        <v>-100</v>
      </c>
      <c r="EZ84" t="s">
        <v>259</v>
      </c>
      <c r="FA84">
        <v>1004</v>
      </c>
      <c r="FB84" t="s">
        <v>72</v>
      </c>
      <c r="FC84" t="s">
        <v>88</v>
      </c>
      <c r="FD84" s="39">
        <f t="shared" si="139"/>
        <v>-3.6255618532225609</v>
      </c>
      <c r="FE84" s="39">
        <f t="shared" si="140"/>
        <v>-3.6254744112013535</v>
      </c>
      <c r="FF84" s="39">
        <f t="shared" si="141"/>
        <v>-0.15904743398555365</v>
      </c>
      <c r="FG84" s="39">
        <f t="shared" si="142"/>
        <v>-0.15895999196434651</v>
      </c>
    </row>
    <row r="85" spans="1:163" ht="15.75" x14ac:dyDescent="0.25">
      <c r="A85" s="6" t="s">
        <v>343</v>
      </c>
      <c r="B85" s="6" t="s">
        <v>343</v>
      </c>
      <c r="C85" s="3" t="s">
        <v>874</v>
      </c>
      <c r="D85" s="3" t="s">
        <v>874</v>
      </c>
      <c r="E85" s="3" t="s">
        <v>1223</v>
      </c>
      <c r="F85" s="3" t="s">
        <v>1034</v>
      </c>
      <c r="G85" s="3" t="s">
        <v>772</v>
      </c>
      <c r="H85" s="3" t="str">
        <f t="shared" si="87"/>
        <v>CW_1_Section_3</v>
      </c>
      <c r="I85" s="3" t="str">
        <f t="shared" si="88"/>
        <v>CW_1_MF10</v>
      </c>
      <c r="J85" s="3" t="s">
        <v>1493</v>
      </c>
      <c r="K85" s="3" t="s">
        <v>1484</v>
      </c>
      <c r="L85" s="11" t="s">
        <v>1038</v>
      </c>
      <c r="M85" s="3" t="s">
        <v>1024</v>
      </c>
      <c r="N85" s="3" t="s">
        <v>1024</v>
      </c>
      <c r="O85" s="12" t="s">
        <v>1016</v>
      </c>
      <c r="P85" s="3" t="s">
        <v>1224</v>
      </c>
      <c r="Q85" s="3" t="s">
        <v>1018</v>
      </c>
      <c r="R85" s="3" t="s">
        <v>1205</v>
      </c>
      <c r="S85" s="3" t="str">
        <f t="shared" si="89"/>
        <v>T3_0.60-0.80</v>
      </c>
      <c r="T85" s="13" t="s">
        <v>1206</v>
      </c>
      <c r="U85" s="3" t="s">
        <v>1160</v>
      </c>
      <c r="V85" s="3">
        <v>150</v>
      </c>
      <c r="W85" s="3">
        <v>65</v>
      </c>
      <c r="X85" s="15">
        <v>4.2</v>
      </c>
      <c r="Y85" s="3">
        <v>84</v>
      </c>
      <c r="Z85" t="s">
        <v>563</v>
      </c>
      <c r="AA85" t="s">
        <v>95</v>
      </c>
      <c r="AB85" s="1">
        <v>45705</v>
      </c>
      <c r="AC85">
        <v>11</v>
      </c>
      <c r="AD85">
        <v>11</v>
      </c>
      <c r="AE85">
        <v>510</v>
      </c>
      <c r="AF85" s="37">
        <f t="shared" si="103"/>
        <v>0.19587760850083216</v>
      </c>
      <c r="AG85">
        <v>5</v>
      </c>
      <c r="AH85" s="37">
        <f t="shared" si="104"/>
        <v>1.9535489472541786E-3</v>
      </c>
      <c r="AI85">
        <v>430</v>
      </c>
      <c r="AJ85" s="37">
        <f t="shared" si="105"/>
        <v>0.17010454930771404</v>
      </c>
      <c r="AK85">
        <v>150</v>
      </c>
      <c r="AL85" s="37">
        <f t="shared" si="106"/>
        <v>5.9338796270132804E-2</v>
      </c>
      <c r="AM85">
        <v>150</v>
      </c>
      <c r="AN85" s="37">
        <f t="shared" si="107"/>
        <v>5.9338796270132804E-2</v>
      </c>
      <c r="AO85">
        <v>300</v>
      </c>
      <c r="AQ85" s="59">
        <v>1275</v>
      </c>
      <c r="AR85" s="59">
        <f t="shared" si="108"/>
        <v>0.3679357067558004</v>
      </c>
      <c r="AS85">
        <v>2900</v>
      </c>
      <c r="AT85" s="37">
        <f t="shared" si="109"/>
        <v>1.0860575797768588</v>
      </c>
      <c r="AU85" t="s">
        <v>780</v>
      </c>
      <c r="AV85" t="s">
        <v>780</v>
      </c>
      <c r="AW85" t="s">
        <v>780</v>
      </c>
      <c r="AX85" t="s">
        <v>780</v>
      </c>
      <c r="AY85" t="s">
        <v>780</v>
      </c>
      <c r="AZ85" t="s">
        <v>780</v>
      </c>
      <c r="BA85" t="s">
        <v>780</v>
      </c>
      <c r="BB85" t="s">
        <v>780</v>
      </c>
      <c r="BC85" t="s">
        <v>780</v>
      </c>
      <c r="BD85" t="s">
        <v>780</v>
      </c>
      <c r="BE85" t="s">
        <v>780</v>
      </c>
      <c r="BF85" t="s">
        <v>780</v>
      </c>
      <c r="BG85" t="s">
        <v>780</v>
      </c>
      <c r="BH85" t="s">
        <v>780</v>
      </c>
      <c r="BI85" t="s">
        <v>780</v>
      </c>
      <c r="BJ85" t="s">
        <v>780</v>
      </c>
      <c r="BK85" t="s">
        <v>780</v>
      </c>
      <c r="BL85" t="s">
        <v>780</v>
      </c>
      <c r="BM85" t="s">
        <v>780</v>
      </c>
      <c r="BN85" t="s">
        <v>780</v>
      </c>
      <c r="BO85" s="58">
        <v>4500</v>
      </c>
      <c r="BP85" s="58">
        <v>150</v>
      </c>
      <c r="BQ85" s="58">
        <v>140</v>
      </c>
      <c r="BR85" s="58">
        <v>48</v>
      </c>
      <c r="BS85" s="58">
        <v>18</v>
      </c>
      <c r="BT85" s="58">
        <v>0.53</v>
      </c>
      <c r="BU85" s="58">
        <v>0.05</v>
      </c>
      <c r="BV85" s="58">
        <v>0.03</v>
      </c>
      <c r="BW85" s="31">
        <f t="shared" si="110"/>
        <v>1.6852617617227121</v>
      </c>
      <c r="BX85" s="31">
        <f t="shared" si="111"/>
        <v>5.5194165188251522E-2</v>
      </c>
      <c r="BY85" s="31">
        <f t="shared" si="112"/>
        <v>5.2655469813890153E-2</v>
      </c>
      <c r="BZ85" s="31">
        <f t="shared" si="113"/>
        <v>1.7903982673565154E-2</v>
      </c>
      <c r="CA85" s="31">
        <f t="shared" si="114"/>
        <v>6.66554452112439E-3</v>
      </c>
      <c r="CB85" s="31">
        <f t="shared" si="115"/>
        <v>1.9626325534421817E-4</v>
      </c>
      <c r="CC85" s="31">
        <f t="shared" si="116"/>
        <v>1.8294190358467248E-5</v>
      </c>
      <c r="CD85" s="31">
        <f t="shared" si="117"/>
        <v>1.0976514215080345E-5</v>
      </c>
      <c r="CE85">
        <v>1E-3</v>
      </c>
      <c r="CF85">
        <v>1E-3</v>
      </c>
      <c r="CG85">
        <v>2E-3</v>
      </c>
      <c r="CH85">
        <v>1E-3</v>
      </c>
      <c r="CI85">
        <v>1E-3</v>
      </c>
      <c r="CK85">
        <v>2E-3</v>
      </c>
      <c r="CL85">
        <v>1E-3</v>
      </c>
      <c r="CM85">
        <v>1E-3</v>
      </c>
      <c r="CN85" s="58">
        <f t="shared" si="143"/>
        <v>4856.6099999999997</v>
      </c>
      <c r="CO85" s="58">
        <f t="shared" si="118"/>
        <v>356.60999999999996</v>
      </c>
      <c r="CP85" s="31">
        <f t="shared" si="119"/>
        <v>1.817906457879461</v>
      </c>
      <c r="CQ85" s="31">
        <f t="shared" si="120"/>
        <v>0.13264469615674901</v>
      </c>
      <c r="CR85">
        <v>4800</v>
      </c>
      <c r="CS85">
        <v>5000</v>
      </c>
      <c r="CT85">
        <v>1200</v>
      </c>
      <c r="CU85" t="s">
        <v>69</v>
      </c>
      <c r="CV85" t="s">
        <v>69</v>
      </c>
      <c r="CW85">
        <v>6100</v>
      </c>
      <c r="CX85" s="2">
        <f t="shared" si="90"/>
        <v>6075</v>
      </c>
      <c r="CZ85">
        <v>71</v>
      </c>
      <c r="DA85" t="s">
        <v>62</v>
      </c>
      <c r="DB85" t="s">
        <v>88</v>
      </c>
      <c r="DC85" t="s">
        <v>782</v>
      </c>
      <c r="DD85" s="37">
        <f t="shared" si="91"/>
        <v>11.626067041432437</v>
      </c>
      <c r="DE85" s="37">
        <f t="shared" si="144"/>
        <v>11.626067041432437</v>
      </c>
      <c r="DF85" s="37">
        <v>1</v>
      </c>
      <c r="DG85" s="37">
        <f t="shared" si="92"/>
        <v>1.7905102954341987E-2</v>
      </c>
      <c r="DH85" s="37">
        <f t="shared" si="121"/>
        <v>1.7905102954341987E-2</v>
      </c>
      <c r="DI85" s="37">
        <f t="shared" si="93"/>
        <v>12.626067041432437</v>
      </c>
      <c r="DJ85" s="37">
        <f t="shared" si="122"/>
        <v>0.22607103028527192</v>
      </c>
      <c r="DK85" s="37">
        <f t="shared" si="123"/>
        <v>0.22607103028527192</v>
      </c>
      <c r="DL85" s="55">
        <f t="shared" si="124"/>
        <v>-2.3252134082864875</v>
      </c>
      <c r="DN85" s="37">
        <f t="shared" si="125"/>
        <v>1</v>
      </c>
      <c r="DO85" s="55">
        <f t="shared" si="126"/>
        <v>1.7905102954341987E-2</v>
      </c>
      <c r="DP85" s="55">
        <f t="shared" si="127"/>
        <v>1.7905102954341987E-2</v>
      </c>
      <c r="DQ85" s="37">
        <v>1.3</v>
      </c>
      <c r="DR85" s="37">
        <f t="shared" si="128"/>
        <v>2.3666484616785E-2</v>
      </c>
      <c r="DS85" s="37">
        <f t="shared" si="129"/>
        <v>4.7332969233569999E-2</v>
      </c>
      <c r="DT85" s="37">
        <f t="shared" si="94"/>
        <v>9.5523705335153739</v>
      </c>
      <c r="DU85" s="37">
        <f t="shared" si="95"/>
        <v>4.776185266757687</v>
      </c>
      <c r="DV85" s="37">
        <f t="shared" si="96"/>
        <v>13.926067041432438</v>
      </c>
      <c r="DW85" s="37">
        <f t="shared" si="97"/>
        <v>0.27340399951884192</v>
      </c>
      <c r="DX85">
        <v>31</v>
      </c>
      <c r="DY85" t="s">
        <v>65</v>
      </c>
      <c r="DZ85" s="29">
        <f t="shared" si="84"/>
        <v>1</v>
      </c>
      <c r="EA85" s="30">
        <v>1.7000000000000001E-2</v>
      </c>
      <c r="EB85" s="30">
        <f t="shared" si="130"/>
        <v>2.741935483870968E-4</v>
      </c>
      <c r="EC85" s="30">
        <f t="shared" si="131"/>
        <v>1.370967741935484E-3</v>
      </c>
      <c r="ED85" s="31">
        <f t="shared" si="145"/>
        <v>20</v>
      </c>
      <c r="EE85" s="33">
        <f t="shared" si="146"/>
        <v>24.390243902439025</v>
      </c>
      <c r="EF85" s="37">
        <f t="shared" si="98"/>
        <v>1.6656256506350198</v>
      </c>
      <c r="EG85" s="29">
        <f>$EK83-EK85</f>
        <v>-4</v>
      </c>
      <c r="EH85" s="33">
        <f>(EG85/$EK83)*100</f>
        <v>-6.8965517241379306</v>
      </c>
      <c r="EI85" s="37">
        <f t="shared" si="147"/>
        <v>-0.33312513012700395</v>
      </c>
      <c r="EJ85" s="37"/>
      <c r="EK85" s="31">
        <v>62</v>
      </c>
      <c r="EL85" s="31">
        <f t="shared" si="132"/>
        <v>0.6454299396210702</v>
      </c>
      <c r="EM85" s="31">
        <f t="shared" si="133"/>
        <v>5.1634395169685616</v>
      </c>
      <c r="EN85" s="32">
        <f t="shared" si="99"/>
        <v>5.1648104847104968</v>
      </c>
      <c r="EO85" s="39">
        <f t="shared" si="134"/>
        <v>1.9390296501538618</v>
      </c>
      <c r="EP85" s="37">
        <f t="shared" si="100"/>
        <v>2.441064747504719E-2</v>
      </c>
      <c r="EQ85" s="37">
        <f t="shared" si="101"/>
        <v>0.11658977482233612</v>
      </c>
      <c r="ER85" s="37">
        <f t="shared" si="102"/>
        <v>0.8589995777026167</v>
      </c>
      <c r="ES85" s="39">
        <f t="shared" si="135"/>
        <v>6.5238072187911986E-2</v>
      </c>
      <c r="ET85" s="55">
        <f t="shared" si="136"/>
        <v>27.445787948436095</v>
      </c>
      <c r="EU85" s="55">
        <f t="shared" si="137"/>
        <v>72.554212051563908</v>
      </c>
      <c r="EV85" s="55">
        <f t="shared" si="138"/>
        <v>0</v>
      </c>
      <c r="EW85" t="s">
        <v>66</v>
      </c>
      <c r="EX85" t="s">
        <v>262</v>
      </c>
      <c r="EY85">
        <v>-109</v>
      </c>
      <c r="EZ85" t="s">
        <v>246</v>
      </c>
      <c r="FA85">
        <v>1080</v>
      </c>
      <c r="FB85" t="s">
        <v>113</v>
      </c>
      <c r="FC85" t="s">
        <v>88</v>
      </c>
      <c r="FD85" s="39">
        <f t="shared" si="139"/>
        <v>-0.4850363636212025</v>
      </c>
      <c r="FE85" s="39">
        <f t="shared" si="140"/>
        <v>-0.35239166746445361</v>
      </c>
      <c r="FF85" s="39">
        <f t="shared" si="141"/>
        <v>1.3887552143447472</v>
      </c>
      <c r="FG85" s="39">
        <f t="shared" si="142"/>
        <v>1.5213999105014961</v>
      </c>
    </row>
    <row r="86" spans="1:163" ht="15.75" x14ac:dyDescent="0.25">
      <c r="A86" s="6" t="s">
        <v>344</v>
      </c>
      <c r="B86" s="6" t="s">
        <v>344</v>
      </c>
      <c r="C86" s="3" t="s">
        <v>875</v>
      </c>
      <c r="D86" s="3" t="s">
        <v>875</v>
      </c>
      <c r="E86" s="3" t="s">
        <v>1225</v>
      </c>
      <c r="F86" s="3" t="s">
        <v>1013</v>
      </c>
      <c r="G86" s="3" t="s">
        <v>773</v>
      </c>
      <c r="H86" s="3" t="str">
        <f t="shared" si="87"/>
        <v>CW_2_Section_1</v>
      </c>
      <c r="I86" s="3" t="str">
        <f t="shared" si="88"/>
        <v>CW_2_MF01</v>
      </c>
      <c r="J86" s="3" t="s">
        <v>1488</v>
      </c>
      <c r="K86" s="3" t="s">
        <v>1484</v>
      </c>
      <c r="L86" s="11" t="s">
        <v>1074</v>
      </c>
      <c r="M86" s="3" t="s">
        <v>1015</v>
      </c>
      <c r="N86" s="3" t="s">
        <v>1015</v>
      </c>
      <c r="O86" s="12" t="s">
        <v>1016</v>
      </c>
      <c r="P86" s="3" t="s">
        <v>1226</v>
      </c>
      <c r="Q86" s="3" t="s">
        <v>1018</v>
      </c>
      <c r="R86" s="3" t="s">
        <v>1205</v>
      </c>
      <c r="S86" s="3" t="str">
        <f t="shared" si="89"/>
        <v>T3_0.15-0.30</v>
      </c>
      <c r="T86" s="13" t="s">
        <v>1206</v>
      </c>
      <c r="U86" s="3" t="s">
        <v>1160</v>
      </c>
      <c r="V86" s="3">
        <v>150</v>
      </c>
      <c r="W86" s="3">
        <v>65</v>
      </c>
      <c r="X86" s="15">
        <v>4.4000000000000004</v>
      </c>
      <c r="Y86" s="3">
        <v>85</v>
      </c>
      <c r="Z86" t="s">
        <v>566</v>
      </c>
      <c r="AA86" t="s">
        <v>204</v>
      </c>
      <c r="AB86" s="1">
        <v>45706</v>
      </c>
      <c r="AC86">
        <v>11</v>
      </c>
      <c r="AD86">
        <v>11</v>
      </c>
      <c r="AE86">
        <v>730</v>
      </c>
      <c r="AF86" s="37">
        <f t="shared" si="103"/>
        <v>0.28037383177570091</v>
      </c>
      <c r="AG86">
        <v>2</v>
      </c>
      <c r="AH86" s="37">
        <f t="shared" si="104"/>
        <v>7.8141957890167139E-4</v>
      </c>
      <c r="AI86">
        <v>740</v>
      </c>
      <c r="AJ86" s="37">
        <f t="shared" si="105"/>
        <v>0.29273806159932186</v>
      </c>
      <c r="AK86">
        <v>230</v>
      </c>
      <c r="AL86" s="37">
        <f t="shared" si="106"/>
        <v>9.0986154280870299E-2</v>
      </c>
      <c r="AM86">
        <v>290</v>
      </c>
      <c r="AN86" s="37">
        <f t="shared" si="107"/>
        <v>0.11472167278892344</v>
      </c>
      <c r="AO86">
        <v>520</v>
      </c>
      <c r="AQ86" s="59">
        <v>2004</v>
      </c>
      <c r="AR86" s="59">
        <f t="shared" si="108"/>
        <v>0.57389331295392443</v>
      </c>
      <c r="AS86">
        <v>4700</v>
      </c>
      <c r="AT86" s="37">
        <f t="shared" si="109"/>
        <v>1.7601622844659439</v>
      </c>
      <c r="AU86" t="s">
        <v>780</v>
      </c>
      <c r="AV86" t="s">
        <v>780</v>
      </c>
      <c r="AW86" t="s">
        <v>780</v>
      </c>
      <c r="AX86" t="s">
        <v>780</v>
      </c>
      <c r="AY86" t="s">
        <v>780</v>
      </c>
      <c r="AZ86" t="s">
        <v>780</v>
      </c>
      <c r="BA86" t="s">
        <v>780</v>
      </c>
      <c r="BB86" t="s">
        <v>780</v>
      </c>
      <c r="BC86" t="s">
        <v>780</v>
      </c>
      <c r="BD86" t="s">
        <v>780</v>
      </c>
      <c r="BE86" t="s">
        <v>780</v>
      </c>
      <c r="BF86" t="s">
        <v>780</v>
      </c>
      <c r="BG86" t="s">
        <v>780</v>
      </c>
      <c r="BH86" t="s">
        <v>780</v>
      </c>
      <c r="BI86" t="s">
        <v>780</v>
      </c>
      <c r="BJ86" t="s">
        <v>780</v>
      </c>
      <c r="BK86" t="s">
        <v>780</v>
      </c>
      <c r="BL86" t="s">
        <v>780</v>
      </c>
      <c r="BM86" t="s">
        <v>780</v>
      </c>
      <c r="BN86" t="s">
        <v>780</v>
      </c>
      <c r="BO86" s="58">
        <v>1500</v>
      </c>
      <c r="BP86" s="58">
        <v>4</v>
      </c>
      <c r="BQ86" s="58">
        <v>0.74</v>
      </c>
      <c r="BR86" s="58">
        <v>0.1</v>
      </c>
      <c r="BS86" s="58">
        <v>0.04</v>
      </c>
      <c r="BT86" s="58">
        <v>1E-3</v>
      </c>
      <c r="BU86" s="58">
        <v>1E-3</v>
      </c>
      <c r="BV86" s="58">
        <v>2E-3</v>
      </c>
      <c r="BW86" s="31">
        <f t="shared" si="110"/>
        <v>0.56175392057423734</v>
      </c>
      <c r="BX86" s="31">
        <f t="shared" si="111"/>
        <v>1.4718444050200407E-3</v>
      </c>
      <c r="BY86" s="31">
        <f t="shared" si="112"/>
        <v>2.7832176901627654E-4</v>
      </c>
      <c r="BZ86" s="31">
        <f t="shared" si="113"/>
        <v>3.729996390326074E-5</v>
      </c>
      <c r="CA86" s="31">
        <f t="shared" si="114"/>
        <v>1.4812321158054199E-5</v>
      </c>
      <c r="CB86" s="31">
        <f t="shared" si="115"/>
        <v>3.7030802895135499E-7</v>
      </c>
      <c r="CC86" s="31">
        <f t="shared" si="116"/>
        <v>3.6588380716934485E-7</v>
      </c>
      <c r="CD86" s="31">
        <f t="shared" si="117"/>
        <v>7.3176761433868969E-7</v>
      </c>
      <c r="CE86">
        <v>1E-3</v>
      </c>
      <c r="CF86">
        <v>1E-3</v>
      </c>
      <c r="CG86">
        <v>2E-3</v>
      </c>
      <c r="CH86">
        <v>1E-3</v>
      </c>
      <c r="CI86">
        <v>1E-3</v>
      </c>
      <c r="CK86">
        <v>2E-3</v>
      </c>
      <c r="CL86">
        <v>1E-3</v>
      </c>
      <c r="CM86">
        <v>1E-3</v>
      </c>
      <c r="CN86" s="58">
        <f t="shared" si="143"/>
        <v>1504.8839999999998</v>
      </c>
      <c r="CO86" s="58">
        <f t="shared" si="118"/>
        <v>4.8840000000000003</v>
      </c>
      <c r="CP86" s="31">
        <f t="shared" si="119"/>
        <v>0.56355766699278542</v>
      </c>
      <c r="CQ86" s="31">
        <f t="shared" si="120"/>
        <v>1.8037464185480915E-3</v>
      </c>
      <c r="CR86">
        <v>1500</v>
      </c>
      <c r="CS86">
        <v>5800</v>
      </c>
      <c r="CT86">
        <v>340</v>
      </c>
      <c r="CU86" t="s">
        <v>69</v>
      </c>
      <c r="CV86" t="s">
        <v>69</v>
      </c>
      <c r="CW86">
        <v>6200</v>
      </c>
      <c r="CX86" s="2">
        <f t="shared" si="90"/>
        <v>3504</v>
      </c>
      <c r="CZ86">
        <v>69</v>
      </c>
      <c r="DA86" t="s">
        <v>62</v>
      </c>
      <c r="DB86" t="s">
        <v>88</v>
      </c>
      <c r="DC86" t="s">
        <v>782</v>
      </c>
      <c r="DD86" s="37">
        <f t="shared" si="91"/>
        <v>8.1382469290027064</v>
      </c>
      <c r="DE86" s="37">
        <f t="shared" si="144"/>
        <v>8.1382469290027064</v>
      </c>
      <c r="DF86" s="37">
        <v>5.2</v>
      </c>
      <c r="DG86" s="37">
        <f t="shared" si="92"/>
        <v>9.3106535362578333E-2</v>
      </c>
      <c r="DH86" s="37">
        <f t="shared" si="121"/>
        <v>9.3106535362578333E-2</v>
      </c>
      <c r="DI86" s="37">
        <f t="shared" si="93"/>
        <v>13.338246929002707</v>
      </c>
      <c r="DJ86" s="37">
        <f t="shared" si="122"/>
        <v>0.2388226844942293</v>
      </c>
      <c r="DK86" s="37">
        <f t="shared" si="123"/>
        <v>0.2388226844942293</v>
      </c>
      <c r="DL86" s="55">
        <f t="shared" si="124"/>
        <v>8.1382469290027064</v>
      </c>
      <c r="DM86" s="55">
        <f t="shared" si="124"/>
        <v>8.1382469290027064</v>
      </c>
      <c r="DN86" s="37">
        <f t="shared" si="125"/>
        <v>13.338246929002707</v>
      </c>
      <c r="DO86" s="55">
        <f t="shared" si="126"/>
        <v>0.2388226844942293</v>
      </c>
      <c r="DP86" s="55">
        <f t="shared" si="127"/>
        <v>0.2388226844942293</v>
      </c>
      <c r="DQ86" s="37">
        <v>1.4</v>
      </c>
      <c r="DR86" s="37">
        <f t="shared" si="128"/>
        <v>2.5486983433460765E-2</v>
      </c>
      <c r="DS86" s="37">
        <f t="shared" si="129"/>
        <v>5.097396686692153E-2</v>
      </c>
      <c r="DT86" s="37">
        <f t="shared" si="94"/>
        <v>9.3703786137628686</v>
      </c>
      <c r="DU86" s="37">
        <f t="shared" si="95"/>
        <v>4.6851893068814343</v>
      </c>
      <c r="DV86" s="37">
        <f t="shared" si="96"/>
        <v>14.738246929002708</v>
      </c>
      <c r="DW86" s="37">
        <f t="shared" si="97"/>
        <v>0.28979665136115085</v>
      </c>
      <c r="DX86">
        <v>30</v>
      </c>
      <c r="DY86" t="s">
        <v>100</v>
      </c>
      <c r="DZ86" s="29">
        <f t="shared" si="84"/>
        <v>1</v>
      </c>
      <c r="EA86" s="30">
        <v>1.7000000000000001E-2</v>
      </c>
      <c r="EB86" s="30">
        <f t="shared" si="130"/>
        <v>2.741935483870968E-4</v>
      </c>
      <c r="EC86" s="30">
        <f t="shared" si="131"/>
        <v>1.370967741935484E-3</v>
      </c>
      <c r="ED86" s="31">
        <f t="shared" si="145"/>
        <v>14</v>
      </c>
      <c r="EE86" s="33">
        <f t="shared" si="146"/>
        <v>17.073170731707318</v>
      </c>
      <c r="EF86" s="37">
        <f t="shared" si="98"/>
        <v>1.1659379554445137</v>
      </c>
      <c r="EG86" s="37">
        <f>$EK76-EK86</f>
        <v>14</v>
      </c>
      <c r="EH86" s="33">
        <f>(EG86/$EK$76)*100</f>
        <v>17.073170731707318</v>
      </c>
      <c r="EI86" s="37">
        <f t="shared" si="147"/>
        <v>1.1659379554445137</v>
      </c>
      <c r="EJ86" s="37">
        <f>($EG86/96.06)*8</f>
        <v>1.1659379554445137</v>
      </c>
      <c r="EK86" s="31">
        <v>68</v>
      </c>
      <c r="EL86" s="31">
        <f t="shared" si="132"/>
        <v>0.70789090151988343</v>
      </c>
      <c r="EM86" s="31">
        <f t="shared" si="133"/>
        <v>5.6631272121590674</v>
      </c>
      <c r="EN86" s="32">
        <f t="shared" si="99"/>
        <v>5.6644981799010026</v>
      </c>
      <c r="EO86" s="39">
        <f t="shared" si="134"/>
        <v>1.4557346068056645</v>
      </c>
      <c r="EP86" s="37">
        <f t="shared" si="100"/>
        <v>3.5015975184360219E-2</v>
      </c>
      <c r="EQ86" s="37">
        <f t="shared" si="101"/>
        <v>0.16405647250379018</v>
      </c>
      <c r="ER86" s="37">
        <f t="shared" si="102"/>
        <v>0.80092755231184964</v>
      </c>
      <c r="ES86" s="39">
        <f t="shared" si="135"/>
        <v>1.4557346068056645</v>
      </c>
      <c r="ET86" s="55">
        <f t="shared" si="136"/>
        <v>16.405647250379019</v>
      </c>
      <c r="EU86" s="55">
        <f t="shared" si="137"/>
        <v>3.501597518436022</v>
      </c>
      <c r="EV86" s="55">
        <f t="shared" si="138"/>
        <v>80.092755231184967</v>
      </c>
      <c r="EW86" t="s">
        <v>159</v>
      </c>
      <c r="EX86" t="s">
        <v>246</v>
      </c>
      <c r="EY86">
        <v>-108</v>
      </c>
      <c r="EZ86" t="s">
        <v>217</v>
      </c>
      <c r="FA86">
        <v>944</v>
      </c>
      <c r="FB86" t="s">
        <v>113</v>
      </c>
      <c r="FC86" t="s">
        <v>88</v>
      </c>
      <c r="FD86" s="39">
        <f t="shared" si="139"/>
        <v>0.87832099061420399</v>
      </c>
      <c r="FE86" s="39">
        <f t="shared" si="140"/>
        <v>0.88012473703275207</v>
      </c>
      <c r="FF86" s="39">
        <f t="shared" si="141"/>
        <v>0.87832099061420399</v>
      </c>
      <c r="FG86" s="39">
        <f t="shared" si="142"/>
        <v>0.88012473703275207</v>
      </c>
    </row>
    <row r="87" spans="1:163" ht="15.75" x14ac:dyDescent="0.25">
      <c r="A87" s="6" t="s">
        <v>345</v>
      </c>
      <c r="B87" s="6" t="s">
        <v>345</v>
      </c>
      <c r="C87" s="3" t="s">
        <v>876</v>
      </c>
      <c r="D87" s="3" t="s">
        <v>876</v>
      </c>
      <c r="E87" s="3" t="s">
        <v>1227</v>
      </c>
      <c r="F87" s="3" t="s">
        <v>1013</v>
      </c>
      <c r="G87" s="3" t="s">
        <v>773</v>
      </c>
      <c r="H87" s="3" t="str">
        <f t="shared" si="87"/>
        <v>CW_2_Section_1</v>
      </c>
      <c r="I87" s="3" t="str">
        <f t="shared" si="88"/>
        <v>CW_2_MF02</v>
      </c>
      <c r="J87" s="3" t="s">
        <v>1489</v>
      </c>
      <c r="K87" s="3" t="s">
        <v>1484</v>
      </c>
      <c r="L87" s="11" t="s">
        <v>1077</v>
      </c>
      <c r="M87" s="3" t="s">
        <v>1024</v>
      </c>
      <c r="N87" s="3" t="s">
        <v>1024</v>
      </c>
      <c r="O87" s="12" t="s">
        <v>1016</v>
      </c>
      <c r="P87" s="3" t="s">
        <v>1228</v>
      </c>
      <c r="Q87" s="3" t="s">
        <v>1018</v>
      </c>
      <c r="R87" s="3" t="s">
        <v>1205</v>
      </c>
      <c r="S87" s="3" t="str">
        <f t="shared" si="89"/>
        <v>T3_0.60-0.80</v>
      </c>
      <c r="T87" s="13" t="s">
        <v>1206</v>
      </c>
      <c r="U87" s="3" t="s">
        <v>1160</v>
      </c>
      <c r="V87" s="3">
        <v>150</v>
      </c>
      <c r="W87" s="3">
        <v>65</v>
      </c>
      <c r="X87" s="15">
        <v>3.25</v>
      </c>
      <c r="Y87" s="3">
        <v>86</v>
      </c>
      <c r="Z87" t="s">
        <v>567</v>
      </c>
      <c r="AA87" t="s">
        <v>211</v>
      </c>
      <c r="AB87" s="1">
        <v>45706</v>
      </c>
      <c r="AC87">
        <v>13</v>
      </c>
      <c r="AD87">
        <v>13</v>
      </c>
      <c r="AE87">
        <v>540</v>
      </c>
      <c r="AF87" s="37">
        <f t="shared" si="103"/>
        <v>0.207399820765587</v>
      </c>
      <c r="AG87">
        <v>120</v>
      </c>
      <c r="AH87" s="37">
        <f t="shared" si="104"/>
        <v>4.6885174734100282E-2</v>
      </c>
      <c r="AI87">
        <v>590</v>
      </c>
      <c r="AJ87" s="37">
        <f t="shared" si="105"/>
        <v>0.23339926532918903</v>
      </c>
      <c r="AK87">
        <v>200</v>
      </c>
      <c r="AL87" s="37">
        <f t="shared" si="106"/>
        <v>7.9118395026843744E-2</v>
      </c>
      <c r="AM87">
        <v>340</v>
      </c>
      <c r="AN87" s="37">
        <f t="shared" si="107"/>
        <v>0.13450127154563435</v>
      </c>
      <c r="AO87">
        <v>540</v>
      </c>
      <c r="AQ87" s="59">
        <v>1790</v>
      </c>
      <c r="AR87" s="59">
        <f t="shared" si="108"/>
        <v>0.48768426082887634</v>
      </c>
      <c r="AS87">
        <v>4400</v>
      </c>
      <c r="AT87" s="37">
        <f t="shared" si="109"/>
        <v>1.647811500351096</v>
      </c>
      <c r="AU87" t="s">
        <v>780</v>
      </c>
      <c r="AV87" t="s">
        <v>780</v>
      </c>
      <c r="AW87" t="s">
        <v>780</v>
      </c>
      <c r="AX87" t="s">
        <v>780</v>
      </c>
      <c r="AY87" t="s">
        <v>780</v>
      </c>
      <c r="AZ87" t="s">
        <v>780</v>
      </c>
      <c r="BA87" t="s">
        <v>780</v>
      </c>
      <c r="BB87" t="s">
        <v>780</v>
      </c>
      <c r="BC87" t="s">
        <v>780</v>
      </c>
      <c r="BD87" t="s">
        <v>780</v>
      </c>
      <c r="BE87" t="s">
        <v>780</v>
      </c>
      <c r="BF87" t="s">
        <v>780</v>
      </c>
      <c r="BG87" t="s">
        <v>780</v>
      </c>
      <c r="BH87" t="s">
        <v>780</v>
      </c>
      <c r="BI87" t="s">
        <v>780</v>
      </c>
      <c r="BJ87" t="s">
        <v>780</v>
      </c>
      <c r="BK87" t="s">
        <v>780</v>
      </c>
      <c r="BL87" t="s">
        <v>780</v>
      </c>
      <c r="BM87" t="s">
        <v>780</v>
      </c>
      <c r="BN87" t="s">
        <v>780</v>
      </c>
      <c r="BO87" s="58">
        <v>7600</v>
      </c>
      <c r="BP87" s="58">
        <v>480</v>
      </c>
      <c r="BQ87" s="58">
        <v>310</v>
      </c>
      <c r="BR87" s="58">
        <v>150</v>
      </c>
      <c r="BS87" s="58">
        <v>73</v>
      </c>
      <c r="BT87" s="58">
        <v>11</v>
      </c>
      <c r="BU87" s="58">
        <v>0.94</v>
      </c>
      <c r="BV87" s="58">
        <v>0.77</v>
      </c>
      <c r="BW87" s="31">
        <f t="shared" si="110"/>
        <v>2.8462198642428027</v>
      </c>
      <c r="BX87" s="31">
        <f t="shared" si="111"/>
        <v>0.1766213286024049</v>
      </c>
      <c r="BY87" s="31">
        <f t="shared" si="112"/>
        <v>0.11659425458789963</v>
      </c>
      <c r="BZ87" s="31">
        <f t="shared" si="113"/>
        <v>5.594994585489111E-2</v>
      </c>
      <c r="CA87" s="31">
        <f t="shared" si="114"/>
        <v>2.7032486113448915E-2</v>
      </c>
      <c r="CB87" s="31">
        <f t="shared" si="115"/>
        <v>4.0733883184649045E-3</v>
      </c>
      <c r="CC87" s="31">
        <f t="shared" si="116"/>
        <v>3.4393077873918414E-4</v>
      </c>
      <c r="CD87" s="31">
        <f t="shared" si="117"/>
        <v>2.8173053152039557E-4</v>
      </c>
      <c r="CE87">
        <v>0.02</v>
      </c>
      <c r="CF87">
        <v>0.01</v>
      </c>
      <c r="CG87">
        <v>2E-3</v>
      </c>
      <c r="CH87">
        <v>1E-3</v>
      </c>
      <c r="CI87">
        <v>1E-3</v>
      </c>
      <c r="CK87">
        <v>2E-3</v>
      </c>
      <c r="CL87">
        <v>1E-3</v>
      </c>
      <c r="CM87">
        <v>1E-3</v>
      </c>
      <c r="CN87" s="58">
        <f t="shared" si="143"/>
        <v>8625.7100000000009</v>
      </c>
      <c r="CO87" s="58">
        <f t="shared" si="118"/>
        <v>1025.71</v>
      </c>
      <c r="CP87" s="31">
        <f t="shared" si="119"/>
        <v>3.227116929030172</v>
      </c>
      <c r="CQ87" s="31">
        <f t="shared" si="120"/>
        <v>0.38089706478736901</v>
      </c>
      <c r="CR87">
        <v>8700</v>
      </c>
      <c r="CS87">
        <v>6500</v>
      </c>
      <c r="CT87">
        <v>2400</v>
      </c>
      <c r="CU87" t="s">
        <v>69</v>
      </c>
      <c r="CV87" t="s">
        <v>69</v>
      </c>
      <c r="CW87">
        <v>8900</v>
      </c>
      <c r="CX87" s="2">
        <f t="shared" si="90"/>
        <v>10490</v>
      </c>
      <c r="CZ87">
        <v>71</v>
      </c>
      <c r="DA87" t="s">
        <v>62</v>
      </c>
      <c r="DB87" t="s">
        <v>88</v>
      </c>
      <c r="DC87" t="s">
        <v>782</v>
      </c>
      <c r="DD87" s="37">
        <f t="shared" si="91"/>
        <v>5.2317301686445967</v>
      </c>
      <c r="DE87" s="37">
        <f t="shared" si="144"/>
        <v>5.2317301686445967</v>
      </c>
      <c r="DF87" s="37">
        <v>0.3</v>
      </c>
      <c r="DG87" s="37">
        <f t="shared" si="92"/>
        <v>5.3715308863025958E-3</v>
      </c>
      <c r="DH87" s="37">
        <f t="shared" si="121"/>
        <v>5.3715308863025958E-3</v>
      </c>
      <c r="DI87" s="37">
        <f t="shared" si="93"/>
        <v>5.5317301686445965</v>
      </c>
      <c r="DJ87" s="37">
        <f t="shared" si="122"/>
        <v>9.9046198185221063E-2</v>
      </c>
      <c r="DK87" s="37">
        <f t="shared" si="123"/>
        <v>9.9046198185221063E-2</v>
      </c>
      <c r="DL87" s="55">
        <f t="shared" si="124"/>
        <v>5.2317301686445967</v>
      </c>
      <c r="DM87" s="55">
        <f t="shared" si="124"/>
        <v>5.2317301686445967</v>
      </c>
      <c r="DN87" s="37">
        <f t="shared" si="125"/>
        <v>5.5317301686445965</v>
      </c>
      <c r="DO87" s="55">
        <f t="shared" si="126"/>
        <v>9.9046198185221063E-2</v>
      </c>
      <c r="DP87" s="55">
        <f t="shared" si="127"/>
        <v>9.9046198185221063E-2</v>
      </c>
      <c r="DQ87" s="37">
        <v>0.7</v>
      </c>
      <c r="DR87" s="37">
        <f t="shared" si="128"/>
        <v>1.2743491716730383E-2</v>
      </c>
      <c r="DS87" s="37">
        <f t="shared" si="129"/>
        <v>2.5486983433460765E-2</v>
      </c>
      <c r="DT87" s="37">
        <f t="shared" si="94"/>
        <v>7.7722966661631334</v>
      </c>
      <c r="DU87" s="37">
        <f t="shared" si="95"/>
        <v>3.8861483330815667</v>
      </c>
      <c r="DV87" s="37">
        <f t="shared" si="96"/>
        <v>6.2317301686445967</v>
      </c>
      <c r="DW87" s="37">
        <f t="shared" si="97"/>
        <v>0.12453318161868182</v>
      </c>
      <c r="DX87">
        <v>28</v>
      </c>
      <c r="DY87" t="s">
        <v>65</v>
      </c>
      <c r="DZ87" s="29">
        <f t="shared" si="84"/>
        <v>1</v>
      </c>
      <c r="EA87" s="30">
        <v>1.7000000000000001E-2</v>
      </c>
      <c r="EB87" s="30">
        <f t="shared" si="130"/>
        <v>2.741935483870968E-4</v>
      </c>
      <c r="EC87" s="30">
        <f t="shared" si="131"/>
        <v>1.370967741935484E-3</v>
      </c>
      <c r="ED87" s="31">
        <f t="shared" si="145"/>
        <v>9</v>
      </c>
      <c r="EE87" s="33">
        <f t="shared" si="146"/>
        <v>10.975609756097562</v>
      </c>
      <c r="EF87" s="37">
        <f t="shared" si="98"/>
        <v>0.74953154278575884</v>
      </c>
      <c r="EG87" s="37">
        <f>$EK76-EK87</f>
        <v>9</v>
      </c>
      <c r="EH87" s="33">
        <f>(EG87/$EK$76)*100</f>
        <v>10.975609756097562</v>
      </c>
      <c r="EI87" s="37">
        <f t="shared" si="147"/>
        <v>0.74953154278575884</v>
      </c>
      <c r="EJ87" s="37">
        <f>($EG87/96.06)*8</f>
        <v>0.74953154278575884</v>
      </c>
      <c r="EK87" s="31">
        <v>73</v>
      </c>
      <c r="EL87" s="31">
        <f t="shared" si="132"/>
        <v>0.75994170310222775</v>
      </c>
      <c r="EM87" s="31">
        <f t="shared" si="133"/>
        <v>6.079533624817822</v>
      </c>
      <c r="EN87" s="32">
        <f t="shared" si="99"/>
        <v>6.0809045925597571</v>
      </c>
      <c r="EO87" s="39">
        <f t="shared" si="134"/>
        <v>0.87406472440444061</v>
      </c>
      <c r="EP87" s="37">
        <f t="shared" si="100"/>
        <v>2.9159148884342369E-2</v>
      </c>
      <c r="EQ87" s="37">
        <f t="shared" si="101"/>
        <v>0.11331677783096433</v>
      </c>
      <c r="ER87" s="37">
        <f t="shared" si="102"/>
        <v>0.85752407328469338</v>
      </c>
      <c r="ES87" s="39">
        <f t="shared" si="135"/>
        <v>0.87406472440444061</v>
      </c>
      <c r="ET87" s="55">
        <f t="shared" si="136"/>
        <v>11.331677783096433</v>
      </c>
      <c r="EU87" s="55">
        <f t="shared" si="137"/>
        <v>2.9159148884342367</v>
      </c>
      <c r="EV87" s="55">
        <f t="shared" si="138"/>
        <v>85.752407328469332</v>
      </c>
      <c r="EW87" t="s">
        <v>54</v>
      </c>
      <c r="EX87">
        <v>7</v>
      </c>
      <c r="EY87">
        <v>-152</v>
      </c>
      <c r="EZ87" t="s">
        <v>511</v>
      </c>
      <c r="FA87">
        <v>1059</v>
      </c>
      <c r="FB87" t="s">
        <v>113</v>
      </c>
      <c r="FC87" t="s">
        <v>88</v>
      </c>
      <c r="FD87" s="39">
        <f t="shared" si="139"/>
        <v>1.2614310367755319</v>
      </c>
      <c r="FE87" s="39">
        <f t="shared" si="140"/>
        <v>1.6423281015629008</v>
      </c>
      <c r="FF87" s="39">
        <f t="shared" si="141"/>
        <v>1.2614310367755319</v>
      </c>
      <c r="FG87" s="39">
        <f t="shared" si="142"/>
        <v>1.6423281015629008</v>
      </c>
    </row>
    <row r="88" spans="1:163" ht="15.75" x14ac:dyDescent="0.25">
      <c r="A88" s="6" t="s">
        <v>346</v>
      </c>
      <c r="B88" s="6" t="s">
        <v>346</v>
      </c>
      <c r="C88" s="3" t="s">
        <v>877</v>
      </c>
      <c r="D88" s="3" t="s">
        <v>877</v>
      </c>
      <c r="E88" s="3" t="s">
        <v>1229</v>
      </c>
      <c r="F88" s="3" t="s">
        <v>1027</v>
      </c>
      <c r="G88" s="3" t="s">
        <v>773</v>
      </c>
      <c r="H88" s="3" t="str">
        <f t="shared" si="87"/>
        <v>CW_2_Section_2</v>
      </c>
      <c r="I88" s="3" t="str">
        <f t="shared" si="88"/>
        <v>CW_2_MF05</v>
      </c>
      <c r="J88" s="3" t="s">
        <v>1496</v>
      </c>
      <c r="K88" s="3" t="s">
        <v>1484</v>
      </c>
      <c r="L88" s="11" t="s">
        <v>1080</v>
      </c>
      <c r="M88" s="3" t="s">
        <v>1015</v>
      </c>
      <c r="N88" s="3" t="s">
        <v>1015</v>
      </c>
      <c r="O88" s="12" t="s">
        <v>1016</v>
      </c>
      <c r="P88" s="3" t="s">
        <v>1230</v>
      </c>
      <c r="Q88" s="3" t="s">
        <v>1018</v>
      </c>
      <c r="R88" s="3" t="s">
        <v>1205</v>
      </c>
      <c r="S88" s="3" t="str">
        <f t="shared" si="89"/>
        <v>T3_0.15-0.30</v>
      </c>
      <c r="T88" s="13" t="s">
        <v>1206</v>
      </c>
      <c r="U88" s="3" t="s">
        <v>1160</v>
      </c>
      <c r="V88" s="3">
        <v>150</v>
      </c>
      <c r="W88" s="3">
        <v>65</v>
      </c>
      <c r="X88" s="15">
        <v>8</v>
      </c>
      <c r="Y88" s="3">
        <v>87</v>
      </c>
      <c r="Z88" t="s">
        <v>568</v>
      </c>
      <c r="AA88" t="s">
        <v>176</v>
      </c>
      <c r="AB88" s="1">
        <v>45706</v>
      </c>
      <c r="AC88">
        <v>14</v>
      </c>
      <c r="AD88">
        <v>14</v>
      </c>
      <c r="AE88">
        <v>180</v>
      </c>
      <c r="AF88" s="37">
        <f t="shared" si="103"/>
        <v>6.9133273588528998E-2</v>
      </c>
      <c r="AG88">
        <v>1.8</v>
      </c>
      <c r="AH88" s="37">
        <f t="shared" si="104"/>
        <v>7.0327762101150425E-4</v>
      </c>
      <c r="AI88">
        <v>30</v>
      </c>
      <c r="AJ88" s="37">
        <f t="shared" si="105"/>
        <v>1.1867759254026562E-2</v>
      </c>
      <c r="AK88">
        <v>15</v>
      </c>
      <c r="AL88" s="37">
        <f t="shared" si="106"/>
        <v>5.9338796270132811E-3</v>
      </c>
      <c r="AM88">
        <v>9.9</v>
      </c>
      <c r="AN88" s="37">
        <f t="shared" si="107"/>
        <v>3.9163605538287656E-3</v>
      </c>
      <c r="AO88">
        <v>24.9</v>
      </c>
      <c r="AQ88" s="59">
        <v>236.7</v>
      </c>
      <c r="AR88" s="59">
        <f t="shared" si="108"/>
        <v>8.1704310463567076E-2</v>
      </c>
      <c r="AS88">
        <v>19</v>
      </c>
      <c r="AT88" s="37">
        <f t="shared" si="109"/>
        <v>7.1155496606070054E-3</v>
      </c>
      <c r="AU88" t="s">
        <v>780</v>
      </c>
      <c r="AV88" t="s">
        <v>780</v>
      </c>
      <c r="AW88" t="s">
        <v>780</v>
      </c>
      <c r="AX88" t="s">
        <v>780</v>
      </c>
      <c r="AY88" t="s">
        <v>780</v>
      </c>
      <c r="AZ88" t="s">
        <v>780</v>
      </c>
      <c r="BA88" t="s">
        <v>780</v>
      </c>
      <c r="BB88" t="s">
        <v>780</v>
      </c>
      <c r="BC88" t="s">
        <v>780</v>
      </c>
      <c r="BD88" t="s">
        <v>780</v>
      </c>
      <c r="BE88" t="s">
        <v>780</v>
      </c>
      <c r="BF88" t="s">
        <v>780</v>
      </c>
      <c r="BG88" t="s">
        <v>780</v>
      </c>
      <c r="BH88" t="s">
        <v>780</v>
      </c>
      <c r="BI88" t="s">
        <v>780</v>
      </c>
      <c r="BJ88" t="s">
        <v>780</v>
      </c>
      <c r="BK88" t="s">
        <v>780</v>
      </c>
      <c r="BL88" t="s">
        <v>780</v>
      </c>
      <c r="BM88" t="s">
        <v>780</v>
      </c>
      <c r="BN88" t="s">
        <v>780</v>
      </c>
      <c r="BO88" s="58">
        <v>13</v>
      </c>
      <c r="BP88" s="58">
        <v>0.18</v>
      </c>
      <c r="BQ88" s="58">
        <v>0.01</v>
      </c>
      <c r="BR88" s="58">
        <v>5.0000000000000001E-3</v>
      </c>
      <c r="BS88" s="58">
        <v>1E-3</v>
      </c>
      <c r="BT88" s="58">
        <v>1E-3</v>
      </c>
      <c r="BU88" s="58">
        <v>1E-3</v>
      </c>
      <c r="BV88" s="58">
        <v>2E-3</v>
      </c>
      <c r="BW88" s="31">
        <f t="shared" si="110"/>
        <v>4.8685339783100566E-3</v>
      </c>
      <c r="BX88" s="31">
        <f t="shared" si="111"/>
        <v>6.6232998225901826E-5</v>
      </c>
      <c r="BY88" s="31">
        <f t="shared" si="112"/>
        <v>3.7611049867064394E-6</v>
      </c>
      <c r="BZ88" s="31">
        <f t="shared" si="113"/>
        <v>1.8649981951630372E-6</v>
      </c>
      <c r="CA88" s="31">
        <f t="shared" si="114"/>
        <v>3.7030802895135499E-7</v>
      </c>
      <c r="CB88" s="31">
        <f t="shared" si="115"/>
        <v>3.7030802895135499E-7</v>
      </c>
      <c r="CC88" s="31">
        <f t="shared" si="116"/>
        <v>3.6588380716934485E-7</v>
      </c>
      <c r="CD88" s="31">
        <f t="shared" si="117"/>
        <v>7.3176761433868969E-7</v>
      </c>
      <c r="CE88">
        <v>1E-3</v>
      </c>
      <c r="CF88">
        <v>1E-3</v>
      </c>
      <c r="CG88">
        <v>2E-3</v>
      </c>
      <c r="CH88">
        <v>1E-3</v>
      </c>
      <c r="CI88">
        <v>1E-3</v>
      </c>
      <c r="CK88">
        <v>2E-3</v>
      </c>
      <c r="CL88">
        <v>1E-3</v>
      </c>
      <c r="CM88">
        <v>1E-3</v>
      </c>
      <c r="CN88" s="58">
        <f t="shared" si="143"/>
        <v>13.2</v>
      </c>
      <c r="CO88" s="58">
        <f t="shared" si="118"/>
        <v>0.2</v>
      </c>
      <c r="CP88" s="31">
        <f t="shared" si="119"/>
        <v>4.9422313471972389E-3</v>
      </c>
      <c r="CQ88" s="31">
        <f t="shared" si="120"/>
        <v>7.3697368887182054E-5</v>
      </c>
      <c r="CR88">
        <v>13</v>
      </c>
      <c r="CS88" t="s">
        <v>69</v>
      </c>
      <c r="CT88" t="s">
        <v>69</v>
      </c>
      <c r="CU88" t="s">
        <v>69</v>
      </c>
      <c r="CV88" t="s">
        <v>69</v>
      </c>
      <c r="CW88">
        <v>50</v>
      </c>
      <c r="CX88" s="2">
        <f t="shared" si="90"/>
        <v>249.7</v>
      </c>
      <c r="CZ88">
        <v>60</v>
      </c>
      <c r="DA88" t="s">
        <v>62</v>
      </c>
      <c r="DB88" t="s">
        <v>88</v>
      </c>
      <c r="DC88" t="s">
        <v>782</v>
      </c>
      <c r="DD88" s="37">
        <f t="shared" si="91"/>
        <v>44.062794087028934</v>
      </c>
      <c r="DE88" s="37">
        <f t="shared" si="144"/>
        <v>44.062794087028934</v>
      </c>
      <c r="DF88" s="37">
        <v>31</v>
      </c>
      <c r="DG88" s="37">
        <f t="shared" si="92"/>
        <v>0.55505819158460157</v>
      </c>
      <c r="DH88" s="37">
        <f t="shared" si="121"/>
        <v>0.55505819158460157</v>
      </c>
      <c r="DI88" s="37">
        <f t="shared" si="93"/>
        <v>75.062794087028934</v>
      </c>
      <c r="DJ88" s="37">
        <f t="shared" si="122"/>
        <v>1.344007056168826</v>
      </c>
      <c r="DK88" s="37">
        <f t="shared" si="123"/>
        <v>1.344007056168826</v>
      </c>
      <c r="DL88" s="55">
        <f t="shared" si="124"/>
        <v>35.924547158026229</v>
      </c>
      <c r="DM88" s="55">
        <f t="shared" si="124"/>
        <v>35.924547158026229</v>
      </c>
      <c r="DN88" s="37">
        <f t="shared" si="125"/>
        <v>66.924547158026229</v>
      </c>
      <c r="DO88" s="55">
        <f t="shared" si="126"/>
        <v>1.198290907037175</v>
      </c>
      <c r="DP88" s="55">
        <f t="shared" si="127"/>
        <v>1.198290907037175</v>
      </c>
      <c r="DQ88" s="37">
        <v>5.6</v>
      </c>
      <c r="DR88" s="37">
        <f t="shared" si="128"/>
        <v>0.10194793373384306</v>
      </c>
      <c r="DS88" s="37">
        <f t="shared" si="129"/>
        <v>0.20389586746768612</v>
      </c>
      <c r="DT88" s="37">
        <f t="shared" si="94"/>
        <v>13.183269213456004</v>
      </c>
      <c r="DU88" s="37">
        <f t="shared" si="95"/>
        <v>6.5916346067280021</v>
      </c>
      <c r="DV88" s="37">
        <f t="shared" si="96"/>
        <v>80.662794087028928</v>
      </c>
      <c r="DW88" s="37">
        <f t="shared" si="97"/>
        <v>1.5479029236365121</v>
      </c>
      <c r="DX88">
        <v>14</v>
      </c>
      <c r="DY88" t="s">
        <v>213</v>
      </c>
      <c r="DZ88" s="29">
        <f t="shared" si="84"/>
        <v>1</v>
      </c>
      <c r="EA88" s="30">
        <v>1.7000000000000001E-2</v>
      </c>
      <c r="EB88" s="30">
        <f t="shared" si="130"/>
        <v>2.741935483870968E-4</v>
      </c>
      <c r="EC88" s="30">
        <f t="shared" si="131"/>
        <v>1.370967741935484E-3</v>
      </c>
      <c r="ED88" s="31">
        <f t="shared" si="145"/>
        <v>75.8</v>
      </c>
      <c r="EE88" s="33">
        <f t="shared" si="146"/>
        <v>92.439024390243901</v>
      </c>
      <c r="EF88" s="37">
        <f t="shared" si="98"/>
        <v>6.3127212159067243</v>
      </c>
      <c r="EG88" s="37">
        <f>$EK86-EK88</f>
        <v>61.8</v>
      </c>
      <c r="EH88" s="33">
        <f>(EG88/$EK86)*100</f>
        <v>90.882352941176464</v>
      </c>
      <c r="EI88" s="37">
        <f t="shared" si="147"/>
        <v>5.146783260462211</v>
      </c>
      <c r="EJ88" s="37">
        <f>($EG88/96.06)*8</f>
        <v>5.146783260462211</v>
      </c>
      <c r="EK88" s="31">
        <v>6.2</v>
      </c>
      <c r="EL88" s="31">
        <f t="shared" si="132"/>
        <v>6.4542993962107012E-2</v>
      </c>
      <c r="EM88" s="31">
        <f t="shared" si="133"/>
        <v>0.5163439516968561</v>
      </c>
      <c r="EN88" s="32">
        <f t="shared" si="99"/>
        <v>0.51771491943879155</v>
      </c>
      <c r="EO88" s="39">
        <f t="shared" si="134"/>
        <v>7.8606241395432361</v>
      </c>
      <c r="EP88" s="37">
        <f t="shared" si="100"/>
        <v>2.5938890328311013E-2</v>
      </c>
      <c r="EQ88" s="37">
        <f t="shared" si="101"/>
        <v>0.17097968714821712</v>
      </c>
      <c r="ER88" s="37">
        <f t="shared" si="102"/>
        <v>0.80308142252347192</v>
      </c>
      <c r="ES88" s="39">
        <f t="shared" si="135"/>
        <v>6.5489700349670716</v>
      </c>
      <c r="ET88" s="55">
        <f t="shared" si="136"/>
        <v>18.29739486727091</v>
      </c>
      <c r="EU88" s="55">
        <f t="shared" si="137"/>
        <v>3.1134035791738253</v>
      </c>
      <c r="EV88" s="55">
        <f t="shared" si="138"/>
        <v>78.58920155355527</v>
      </c>
      <c r="EW88" t="s">
        <v>224</v>
      </c>
      <c r="EX88" t="s">
        <v>551</v>
      </c>
      <c r="EY88">
        <v>-135</v>
      </c>
      <c r="EZ88" t="s">
        <v>253</v>
      </c>
      <c r="FA88">
        <v>920</v>
      </c>
      <c r="FB88" t="s">
        <v>72</v>
      </c>
      <c r="FC88" t="s">
        <v>88</v>
      </c>
      <c r="FD88" s="39">
        <f t="shared" si="139"/>
        <v>-7.7718042794190616</v>
      </c>
      <c r="FE88" s="39">
        <f t="shared" si="140"/>
        <v>-7.771730582050175</v>
      </c>
      <c r="FF88" s="39">
        <f t="shared" si="141"/>
        <v>-6.460150174842898</v>
      </c>
      <c r="FG88" s="39">
        <f t="shared" si="142"/>
        <v>-6.4600764774740105</v>
      </c>
    </row>
    <row r="89" spans="1:163" ht="15.75" x14ac:dyDescent="0.25">
      <c r="A89" s="6" t="s">
        <v>347</v>
      </c>
      <c r="B89" s="6" t="s">
        <v>347</v>
      </c>
      <c r="C89" s="3" t="s">
        <v>878</v>
      </c>
      <c r="D89" s="3" t="s">
        <v>878</v>
      </c>
      <c r="E89" s="3" t="s">
        <v>1231</v>
      </c>
      <c r="F89" s="3" t="s">
        <v>1027</v>
      </c>
      <c r="G89" s="3" t="s">
        <v>773</v>
      </c>
      <c r="H89" s="3" t="str">
        <f t="shared" si="87"/>
        <v>CW_2_Section_2</v>
      </c>
      <c r="I89" s="3" t="str">
        <f t="shared" si="88"/>
        <v>CW_2_MF06</v>
      </c>
      <c r="J89" s="3" t="s">
        <v>1497</v>
      </c>
      <c r="K89" s="3" t="s">
        <v>1484</v>
      </c>
      <c r="L89" s="11" t="s">
        <v>1083</v>
      </c>
      <c r="M89" s="3" t="s">
        <v>1024</v>
      </c>
      <c r="N89" s="3" t="s">
        <v>1024</v>
      </c>
      <c r="O89" s="12" t="s">
        <v>1016</v>
      </c>
      <c r="P89" s="3" t="s">
        <v>1232</v>
      </c>
      <c r="Q89" s="3" t="s">
        <v>1018</v>
      </c>
      <c r="R89" s="3" t="s">
        <v>1205</v>
      </c>
      <c r="S89" s="3" t="str">
        <f t="shared" si="89"/>
        <v>T3_0.60-0.80</v>
      </c>
      <c r="T89" s="13" t="s">
        <v>1206</v>
      </c>
      <c r="U89" s="3" t="s">
        <v>1160</v>
      </c>
      <c r="V89" s="3">
        <v>150</v>
      </c>
      <c r="W89" s="3">
        <v>65</v>
      </c>
      <c r="X89" s="15">
        <v>4.45</v>
      </c>
      <c r="Y89" s="3">
        <v>88</v>
      </c>
      <c r="Z89" t="s">
        <v>569</v>
      </c>
      <c r="AA89" t="s">
        <v>186</v>
      </c>
      <c r="AB89" s="1">
        <v>45706</v>
      </c>
      <c r="AC89">
        <v>11</v>
      </c>
      <c r="AD89">
        <v>11</v>
      </c>
      <c r="AE89">
        <v>710</v>
      </c>
      <c r="AF89" s="37">
        <f t="shared" si="103"/>
        <v>0.27269235693253108</v>
      </c>
      <c r="AG89">
        <v>2</v>
      </c>
      <c r="AH89" s="37">
        <f t="shared" si="104"/>
        <v>7.8141957890167139E-4</v>
      </c>
      <c r="AI89">
        <v>710</v>
      </c>
      <c r="AJ89" s="37">
        <f t="shared" si="105"/>
        <v>0.28087030234529531</v>
      </c>
      <c r="AK89">
        <v>250</v>
      </c>
      <c r="AL89" s="37">
        <f t="shared" si="106"/>
        <v>9.8897993783554669E-2</v>
      </c>
      <c r="AM89">
        <v>300</v>
      </c>
      <c r="AN89" s="37">
        <f t="shared" si="107"/>
        <v>0.11867759254026561</v>
      </c>
      <c r="AO89">
        <v>550</v>
      </c>
      <c r="AQ89" s="59">
        <v>1984</v>
      </c>
      <c r="AR89" s="59">
        <f t="shared" si="108"/>
        <v>0.55434407885672798</v>
      </c>
      <c r="AS89">
        <v>3900</v>
      </c>
      <c r="AT89" s="37">
        <f t="shared" si="109"/>
        <v>1.460560193493017</v>
      </c>
      <c r="AU89" t="s">
        <v>780</v>
      </c>
      <c r="AV89" t="s">
        <v>780</v>
      </c>
      <c r="AW89" t="s">
        <v>780</v>
      </c>
      <c r="AX89" t="s">
        <v>780</v>
      </c>
      <c r="AY89" t="s">
        <v>780</v>
      </c>
      <c r="AZ89" t="s">
        <v>780</v>
      </c>
      <c r="BA89" t="s">
        <v>780</v>
      </c>
      <c r="BB89" t="s">
        <v>780</v>
      </c>
      <c r="BC89" t="s">
        <v>780</v>
      </c>
      <c r="BD89" t="s">
        <v>780</v>
      </c>
      <c r="BE89" t="s">
        <v>780</v>
      </c>
      <c r="BF89" t="s">
        <v>780</v>
      </c>
      <c r="BG89" t="s">
        <v>780</v>
      </c>
      <c r="BH89" t="s">
        <v>780</v>
      </c>
      <c r="BI89" t="s">
        <v>780</v>
      </c>
      <c r="BJ89" t="s">
        <v>780</v>
      </c>
      <c r="BK89" t="s">
        <v>780</v>
      </c>
      <c r="BL89" t="s">
        <v>780</v>
      </c>
      <c r="BM89" t="s">
        <v>780</v>
      </c>
      <c r="BN89" t="s">
        <v>780</v>
      </c>
      <c r="BO89" s="58">
        <v>3600</v>
      </c>
      <c r="BP89" s="58">
        <v>170</v>
      </c>
      <c r="BQ89" s="58">
        <v>91</v>
      </c>
      <c r="BR89" s="58">
        <v>39</v>
      </c>
      <c r="BS89" s="58">
        <v>15</v>
      </c>
      <c r="BT89" s="58">
        <v>0.7</v>
      </c>
      <c r="BU89" s="58">
        <v>7.0000000000000007E-2</v>
      </c>
      <c r="BV89" s="58">
        <v>0.05</v>
      </c>
      <c r="BW89" s="31">
        <f t="shared" si="110"/>
        <v>1.3482094093781698</v>
      </c>
      <c r="BX89" s="31">
        <f t="shared" si="111"/>
        <v>6.2553387213351727E-2</v>
      </c>
      <c r="BY89" s="31">
        <f t="shared" si="112"/>
        <v>3.4226055379028592E-2</v>
      </c>
      <c r="BZ89" s="31">
        <f t="shared" si="113"/>
        <v>1.4546985922271688E-2</v>
      </c>
      <c r="CA89" s="31">
        <f t="shared" si="114"/>
        <v>5.5546204342703251E-3</v>
      </c>
      <c r="CB89" s="31">
        <f t="shared" si="115"/>
        <v>2.5921562026594844E-4</v>
      </c>
      <c r="CC89" s="31">
        <f t="shared" si="116"/>
        <v>2.5611866501854141E-5</v>
      </c>
      <c r="CD89" s="31">
        <f t="shared" si="117"/>
        <v>1.8294190358467248E-5</v>
      </c>
      <c r="CE89">
        <v>1E-3</v>
      </c>
      <c r="CF89">
        <v>1E-3</v>
      </c>
      <c r="CG89">
        <v>2E-3</v>
      </c>
      <c r="CH89">
        <v>1E-3</v>
      </c>
      <c r="CI89">
        <v>1E-3</v>
      </c>
      <c r="CK89">
        <v>2E-3</v>
      </c>
      <c r="CL89">
        <v>1E-3</v>
      </c>
      <c r="CM89">
        <v>1E-3</v>
      </c>
      <c r="CN89" s="58">
        <f t="shared" si="143"/>
        <v>3915.82</v>
      </c>
      <c r="CO89" s="58">
        <f t="shared" si="118"/>
        <v>315.82</v>
      </c>
      <c r="CP89" s="31">
        <f t="shared" si="119"/>
        <v>1.4653935800042182</v>
      </c>
      <c r="CQ89" s="31">
        <f t="shared" si="120"/>
        <v>0.11718417062604859</v>
      </c>
      <c r="CR89">
        <v>3900</v>
      </c>
      <c r="CS89">
        <v>5300</v>
      </c>
      <c r="CT89">
        <v>1400</v>
      </c>
      <c r="CU89" t="s">
        <v>69</v>
      </c>
      <c r="CV89" t="s">
        <v>69</v>
      </c>
      <c r="CW89">
        <v>6700</v>
      </c>
      <c r="CX89" s="2">
        <f t="shared" si="90"/>
        <v>5884</v>
      </c>
      <c r="CZ89">
        <v>68</v>
      </c>
      <c r="DA89" t="s">
        <v>62</v>
      </c>
      <c r="DB89" t="s">
        <v>88</v>
      </c>
      <c r="DC89" t="s">
        <v>782</v>
      </c>
      <c r="DD89" s="37">
        <f t="shared" si="91"/>
        <v>20.345617322506765</v>
      </c>
      <c r="DE89" s="37">
        <f t="shared" si="144"/>
        <v>20.345617322506765</v>
      </c>
      <c r="DF89" s="37">
        <v>2.7</v>
      </c>
      <c r="DG89" s="37">
        <f t="shared" si="92"/>
        <v>4.8343777976723366E-2</v>
      </c>
      <c r="DH89" s="37">
        <f t="shared" si="121"/>
        <v>4.8343777976723366E-2</v>
      </c>
      <c r="DI89" s="37">
        <f t="shared" si="93"/>
        <v>23.045617322506764</v>
      </c>
      <c r="DJ89" s="37">
        <f t="shared" si="122"/>
        <v>0.41263415080585075</v>
      </c>
      <c r="DK89" s="37">
        <f t="shared" si="123"/>
        <v>0.41263415080585075</v>
      </c>
      <c r="DL89" s="55">
        <f t="shared" si="124"/>
        <v>15.113887153862169</v>
      </c>
      <c r="DM89" s="55">
        <f t="shared" si="124"/>
        <v>15.113887153862169</v>
      </c>
      <c r="DN89" s="37">
        <f t="shared" si="125"/>
        <v>17.813887153862169</v>
      </c>
      <c r="DO89" s="55">
        <f t="shared" si="126"/>
        <v>0.31895948350693226</v>
      </c>
      <c r="DP89" s="55">
        <f t="shared" si="127"/>
        <v>0.31895948350693226</v>
      </c>
      <c r="DQ89" s="37">
        <v>1.7</v>
      </c>
      <c r="DR89" s="37">
        <f t="shared" si="128"/>
        <v>3.0948479883488075E-2</v>
      </c>
      <c r="DS89" s="37">
        <f t="shared" si="129"/>
        <v>6.1896959766976151E-2</v>
      </c>
      <c r="DT89" s="37">
        <f t="shared" si="94"/>
        <v>13.332937590450225</v>
      </c>
      <c r="DU89" s="37">
        <f t="shared" si="95"/>
        <v>6.6664687952251125</v>
      </c>
      <c r="DV89" s="37">
        <f t="shared" si="96"/>
        <v>24.745617322506764</v>
      </c>
      <c r="DW89" s="37">
        <f t="shared" si="97"/>
        <v>0.47453111057282693</v>
      </c>
      <c r="DX89">
        <v>25</v>
      </c>
      <c r="DY89" t="s">
        <v>80</v>
      </c>
      <c r="DZ89" s="29">
        <f t="shared" si="84"/>
        <v>1</v>
      </c>
      <c r="EA89" s="30">
        <v>1.7000000000000001E-2</v>
      </c>
      <c r="EB89" s="30">
        <f t="shared" si="130"/>
        <v>2.741935483870968E-4</v>
      </c>
      <c r="EC89" s="30">
        <f t="shared" si="131"/>
        <v>1.370967741935484E-3</v>
      </c>
      <c r="ED89" s="31">
        <f t="shared" si="145"/>
        <v>35</v>
      </c>
      <c r="EE89" s="33">
        <f t="shared" si="146"/>
        <v>42.68292682926829</v>
      </c>
      <c r="EF89" s="37">
        <f t="shared" si="98"/>
        <v>2.9148448886112845</v>
      </c>
      <c r="EG89" s="37">
        <f>$EK87-EK89</f>
        <v>26</v>
      </c>
      <c r="EH89" s="33">
        <f>(EG89/$EK87)*100</f>
        <v>35.61643835616438</v>
      </c>
      <c r="EI89" s="37">
        <f t="shared" si="147"/>
        <v>2.1653133458255258</v>
      </c>
      <c r="EJ89" s="37">
        <f>($EG89/96.06)*8</f>
        <v>2.1653133458255258</v>
      </c>
      <c r="EK89" s="31">
        <v>47</v>
      </c>
      <c r="EL89" s="31">
        <f t="shared" si="132"/>
        <v>0.48927753487403702</v>
      </c>
      <c r="EM89" s="31">
        <f t="shared" si="133"/>
        <v>3.9142202789922962</v>
      </c>
      <c r="EN89" s="32">
        <f t="shared" si="99"/>
        <v>3.9155912467342318</v>
      </c>
      <c r="EO89" s="39">
        <f t="shared" si="134"/>
        <v>3.3893759991841117</v>
      </c>
      <c r="EP89" s="37">
        <f t="shared" si="100"/>
        <v>1.8262051711546889E-2</v>
      </c>
      <c r="EQ89" s="37">
        <f t="shared" si="101"/>
        <v>0.12174339787181468</v>
      </c>
      <c r="ER89" s="37">
        <f t="shared" si="102"/>
        <v>0.8599945504166383</v>
      </c>
      <c r="ES89" s="39">
        <f t="shared" si="135"/>
        <v>2.5461697890994341</v>
      </c>
      <c r="ET89" s="55">
        <f t="shared" si="136"/>
        <v>12.527031185133433</v>
      </c>
      <c r="EU89" s="55">
        <f t="shared" si="137"/>
        <v>2.4309831980556469</v>
      </c>
      <c r="EV89" s="55">
        <f t="shared" si="138"/>
        <v>85.041985616810919</v>
      </c>
      <c r="EW89" t="s">
        <v>54</v>
      </c>
      <c r="EX89" t="s">
        <v>558</v>
      </c>
      <c r="EY89">
        <v>-138</v>
      </c>
      <c r="EZ89" t="s">
        <v>253</v>
      </c>
      <c r="FA89">
        <v>110</v>
      </c>
      <c r="FB89" t="s">
        <v>113</v>
      </c>
      <c r="FC89" t="s">
        <v>88</v>
      </c>
      <c r="FD89" s="39">
        <f t="shared" si="139"/>
        <v>-1.3744717268343667</v>
      </c>
      <c r="FE89" s="39">
        <f t="shared" si="140"/>
        <v>-1.2572875562083179</v>
      </c>
      <c r="FF89" s="39">
        <f t="shared" si="141"/>
        <v>-0.53126551674968914</v>
      </c>
      <c r="FG89" s="39">
        <f t="shared" si="142"/>
        <v>-0.41408134612364034</v>
      </c>
    </row>
    <row r="90" spans="1:163" ht="15.75" x14ac:dyDescent="0.25">
      <c r="A90" s="6" t="s">
        <v>348</v>
      </c>
      <c r="B90" s="6" t="s">
        <v>348</v>
      </c>
      <c r="C90" s="3" t="s">
        <v>879</v>
      </c>
      <c r="D90" s="3" t="s">
        <v>879</v>
      </c>
      <c r="E90" s="3" t="s">
        <v>1233</v>
      </c>
      <c r="F90" s="3" t="s">
        <v>1034</v>
      </c>
      <c r="G90" s="3" t="s">
        <v>773</v>
      </c>
      <c r="H90" s="3" t="str">
        <f t="shared" si="87"/>
        <v>CW_2_Section_3</v>
      </c>
      <c r="I90" s="3" t="str">
        <f t="shared" si="88"/>
        <v>CW_2_MF09</v>
      </c>
      <c r="J90" s="3" t="s">
        <v>1492</v>
      </c>
      <c r="K90" s="3" t="s">
        <v>1484</v>
      </c>
      <c r="L90" s="11" t="s">
        <v>1086</v>
      </c>
      <c r="M90" s="3" t="s">
        <v>1015</v>
      </c>
      <c r="N90" s="3" t="s">
        <v>1015</v>
      </c>
      <c r="O90" s="12" t="s">
        <v>1016</v>
      </c>
      <c r="P90" s="3" t="s">
        <v>1234</v>
      </c>
      <c r="Q90" s="3" t="s">
        <v>1018</v>
      </c>
      <c r="R90" s="3" t="s">
        <v>1205</v>
      </c>
      <c r="S90" s="3" t="str">
        <f t="shared" si="89"/>
        <v>T3_0.15-0.30</v>
      </c>
      <c r="T90" s="13" t="s">
        <v>1206</v>
      </c>
      <c r="U90" s="3" t="s">
        <v>1160</v>
      </c>
      <c r="V90" s="3">
        <v>150</v>
      </c>
      <c r="W90" s="3">
        <v>65</v>
      </c>
      <c r="X90" s="15">
        <v>6.45</v>
      </c>
      <c r="Y90" s="3">
        <v>89</v>
      </c>
      <c r="Z90" t="s">
        <v>570</v>
      </c>
      <c r="AA90" t="s">
        <v>219</v>
      </c>
      <c r="AB90" s="1">
        <v>45706</v>
      </c>
      <c r="AC90">
        <v>9.3000000000000007</v>
      </c>
      <c r="AD90">
        <v>9.4</v>
      </c>
      <c r="AE90">
        <v>880</v>
      </c>
      <c r="AF90" s="37">
        <f t="shared" si="103"/>
        <v>0.3379848930994751</v>
      </c>
      <c r="AG90">
        <v>16</v>
      </c>
      <c r="AH90" s="37">
        <f t="shared" si="104"/>
        <v>6.2513566312133711E-3</v>
      </c>
      <c r="AI90">
        <v>610</v>
      </c>
      <c r="AJ90" s="37">
        <f t="shared" si="105"/>
        <v>0.2413111048318734</v>
      </c>
      <c r="AK90">
        <v>180</v>
      </c>
      <c r="AL90" s="37">
        <f t="shared" si="106"/>
        <v>7.120655552415936E-2</v>
      </c>
      <c r="AM90">
        <v>150</v>
      </c>
      <c r="AN90" s="37">
        <f t="shared" si="107"/>
        <v>5.9338796270132804E-2</v>
      </c>
      <c r="AO90">
        <v>330</v>
      </c>
      <c r="AQ90" s="59">
        <v>1836</v>
      </c>
      <c r="AR90" s="59">
        <f t="shared" si="108"/>
        <v>0.58554735456256179</v>
      </c>
      <c r="AS90">
        <v>710</v>
      </c>
      <c r="AT90" s="37">
        <f t="shared" si="109"/>
        <v>0.26589685573847233</v>
      </c>
      <c r="AU90" t="s">
        <v>780</v>
      </c>
      <c r="AV90" t="s">
        <v>780</v>
      </c>
      <c r="AW90" t="s">
        <v>780</v>
      </c>
      <c r="AX90" t="s">
        <v>780</v>
      </c>
      <c r="AY90" t="s">
        <v>780</v>
      </c>
      <c r="AZ90" t="s">
        <v>780</v>
      </c>
      <c r="BA90" t="s">
        <v>780</v>
      </c>
      <c r="BB90" t="s">
        <v>780</v>
      </c>
      <c r="BC90" t="s">
        <v>780</v>
      </c>
      <c r="BD90" t="s">
        <v>780</v>
      </c>
      <c r="BE90" t="s">
        <v>780</v>
      </c>
      <c r="BF90" t="s">
        <v>780</v>
      </c>
      <c r="BG90" t="s">
        <v>780</v>
      </c>
      <c r="BH90" t="s">
        <v>780</v>
      </c>
      <c r="BI90" t="s">
        <v>780</v>
      </c>
      <c r="BJ90" t="s">
        <v>780</v>
      </c>
      <c r="BK90" t="s">
        <v>780</v>
      </c>
      <c r="BL90" t="s">
        <v>780</v>
      </c>
      <c r="BM90" t="s">
        <v>780</v>
      </c>
      <c r="BN90" t="s">
        <v>780</v>
      </c>
      <c r="BO90" s="58">
        <v>0.12</v>
      </c>
      <c r="BP90" s="58">
        <v>0.01</v>
      </c>
      <c r="BQ90" s="58">
        <v>0.14000000000000001</v>
      </c>
      <c r="BR90" s="58">
        <v>0.06</v>
      </c>
      <c r="BS90" s="58">
        <v>0.03</v>
      </c>
      <c r="BT90" s="58">
        <v>1E-3</v>
      </c>
      <c r="BU90" s="58">
        <v>1E-3</v>
      </c>
      <c r="BV90" s="58">
        <v>2E-3</v>
      </c>
      <c r="BW90" s="31">
        <f t="shared" si="110"/>
        <v>4.4940313645938987E-5</v>
      </c>
      <c r="BX90" s="31">
        <f t="shared" si="111"/>
        <v>3.6796110125501018E-6</v>
      </c>
      <c r="BY90" s="31">
        <f t="shared" si="112"/>
        <v>5.2655469813890153E-5</v>
      </c>
      <c r="BZ90" s="31">
        <f t="shared" si="113"/>
        <v>2.2379978341956443E-5</v>
      </c>
      <c r="CA90" s="31">
        <f t="shared" si="114"/>
        <v>1.110924086854065E-5</v>
      </c>
      <c r="CB90" s="31">
        <f t="shared" si="115"/>
        <v>3.7030802895135499E-7</v>
      </c>
      <c r="CC90" s="31">
        <f t="shared" si="116"/>
        <v>3.6588380716934485E-7</v>
      </c>
      <c r="CD90" s="31">
        <f t="shared" si="117"/>
        <v>7.3176761433868969E-7</v>
      </c>
      <c r="CE90">
        <v>1E-3</v>
      </c>
      <c r="CF90">
        <v>1E-3</v>
      </c>
      <c r="CG90">
        <v>2E-3</v>
      </c>
      <c r="CH90">
        <v>1E-3</v>
      </c>
      <c r="CI90">
        <v>1E-3</v>
      </c>
      <c r="CK90">
        <v>2E-3</v>
      </c>
      <c r="CL90">
        <v>1E-3</v>
      </c>
      <c r="CM90">
        <v>1E-3</v>
      </c>
      <c r="CN90" s="58">
        <f t="shared" si="143"/>
        <v>0.36399999999999999</v>
      </c>
      <c r="CO90" s="58">
        <f t="shared" si="118"/>
        <v>0.24400000000000002</v>
      </c>
      <c r="CP90" s="31">
        <f t="shared" si="119"/>
        <v>1.3623257313333573E-4</v>
      </c>
      <c r="CQ90" s="31">
        <f t="shared" si="120"/>
        <v>9.1292259487396745E-5</v>
      </c>
      <c r="CR90">
        <v>4.2000000000000003E-2</v>
      </c>
      <c r="CS90">
        <v>830</v>
      </c>
      <c r="CT90" t="s">
        <v>69</v>
      </c>
      <c r="CU90" t="s">
        <v>69</v>
      </c>
      <c r="CV90" t="s">
        <v>69</v>
      </c>
      <c r="CW90">
        <v>830</v>
      </c>
      <c r="CX90" s="2">
        <f t="shared" si="90"/>
        <v>1836.0419999999999</v>
      </c>
      <c r="CZ90">
        <v>68</v>
      </c>
      <c r="DA90" t="s">
        <v>62</v>
      </c>
      <c r="DB90" t="s">
        <v>88</v>
      </c>
      <c r="DC90" t="s">
        <v>782</v>
      </c>
      <c r="DD90" s="37">
        <f t="shared" si="91"/>
        <v>25.577347491151361</v>
      </c>
      <c r="DE90" s="37">
        <f t="shared" si="144"/>
        <v>25.577347491151361</v>
      </c>
      <c r="DF90" s="37">
        <v>16</v>
      </c>
      <c r="DG90" s="37">
        <f t="shared" si="92"/>
        <v>0.28648164726947178</v>
      </c>
      <c r="DH90" s="37">
        <f t="shared" si="121"/>
        <v>0.28648164726947178</v>
      </c>
      <c r="DI90" s="37">
        <f t="shared" si="93"/>
        <v>41.577347491151357</v>
      </c>
      <c r="DJ90" s="37">
        <f t="shared" si="122"/>
        <v>0.74444668739751763</v>
      </c>
      <c r="DK90" s="37">
        <f t="shared" si="123"/>
        <v>0.74444668739751763</v>
      </c>
      <c r="DL90" s="55">
        <f t="shared" si="124"/>
        <v>-18.485446595877576</v>
      </c>
      <c r="DN90" s="37">
        <f t="shared" si="125"/>
        <v>16</v>
      </c>
      <c r="DO90" s="55">
        <f t="shared" si="126"/>
        <v>0.28648164726947178</v>
      </c>
      <c r="DP90" s="55">
        <f t="shared" si="127"/>
        <v>0.28648164726947178</v>
      </c>
      <c r="DQ90" s="37">
        <v>4.4000000000000004</v>
      </c>
      <c r="DR90" s="37">
        <f t="shared" si="128"/>
        <v>8.0101947933733847E-2</v>
      </c>
      <c r="DS90" s="37">
        <f t="shared" si="129"/>
        <v>0.16020389586746769</v>
      </c>
      <c r="DT90" s="37">
        <f t="shared" si="94"/>
        <v>9.2937401224421912</v>
      </c>
      <c r="DU90" s="37">
        <f t="shared" si="95"/>
        <v>4.6468700612210956</v>
      </c>
      <c r="DV90" s="37">
        <f t="shared" si="96"/>
        <v>45.977347491151356</v>
      </c>
      <c r="DW90" s="37">
        <f t="shared" si="97"/>
        <v>0.90465058326498538</v>
      </c>
      <c r="DX90">
        <v>28</v>
      </c>
      <c r="DY90" t="s">
        <v>104</v>
      </c>
      <c r="DZ90" s="29">
        <f t="shared" si="84"/>
        <v>1</v>
      </c>
      <c r="EA90" s="30">
        <v>1.7000000000000001E-2</v>
      </c>
      <c r="EB90" s="30">
        <f t="shared" si="130"/>
        <v>2.741935483870968E-4</v>
      </c>
      <c r="EC90" s="30">
        <f t="shared" si="131"/>
        <v>1.370967741935484E-3</v>
      </c>
      <c r="ED90" s="31">
        <f t="shared" si="145"/>
        <v>44</v>
      </c>
      <c r="EE90" s="33">
        <f t="shared" si="146"/>
        <v>53.658536585365859</v>
      </c>
      <c r="EF90" s="37">
        <f t="shared" si="98"/>
        <v>3.6643764313970433</v>
      </c>
      <c r="EG90" s="37">
        <f>$EK88-EK90</f>
        <v>-31.8</v>
      </c>
      <c r="EH90" s="33">
        <f>(EG90/$EK88)*100</f>
        <v>-512.90322580645159</v>
      </c>
      <c r="EI90" s="37">
        <f t="shared" si="147"/>
        <v>-2.6483447845096815</v>
      </c>
      <c r="EJ90" s="37"/>
      <c r="EK90" s="31">
        <v>38</v>
      </c>
      <c r="EL90" s="31">
        <f t="shared" si="132"/>
        <v>0.39558609202581718</v>
      </c>
      <c r="EM90" s="31">
        <f t="shared" si="133"/>
        <v>3.1646887362065375</v>
      </c>
      <c r="EN90" s="32">
        <f t="shared" si="99"/>
        <v>3.166059703948473</v>
      </c>
      <c r="EO90" s="39">
        <f t="shared" si="134"/>
        <v>4.5690270146620282</v>
      </c>
      <c r="EP90" s="37">
        <f t="shared" si="100"/>
        <v>3.5063022248144449E-2</v>
      </c>
      <c r="EQ90" s="37">
        <f t="shared" si="101"/>
        <v>0.16293330834083161</v>
      </c>
      <c r="ER90" s="37">
        <f t="shared" si="102"/>
        <v>0.80200366941102397</v>
      </c>
      <c r="ES90" s="39">
        <f t="shared" si="135"/>
        <v>0.44668554313693948</v>
      </c>
      <c r="ET90" s="55">
        <f t="shared" si="136"/>
        <v>64.134971832219264</v>
      </c>
      <c r="EU90" s="55">
        <f t="shared" si="137"/>
        <v>35.865028167780736</v>
      </c>
      <c r="EV90" s="55">
        <f t="shared" si="138"/>
        <v>0</v>
      </c>
      <c r="EW90" t="s">
        <v>571</v>
      </c>
      <c r="EX90" t="s">
        <v>212</v>
      </c>
      <c r="EY90">
        <v>-109</v>
      </c>
      <c r="EZ90" t="s">
        <v>551</v>
      </c>
      <c r="FA90">
        <v>508</v>
      </c>
      <c r="FB90" t="s">
        <v>72</v>
      </c>
      <c r="FC90" t="s">
        <v>88</v>
      </c>
      <c r="FD90" s="39">
        <f t="shared" si="139"/>
        <v>-3.717582804360994</v>
      </c>
      <c r="FE90" s="39">
        <f t="shared" si="140"/>
        <v>-3.7174915121015069</v>
      </c>
      <c r="FF90" s="39">
        <f t="shared" si="141"/>
        <v>0.40475866716409464</v>
      </c>
      <c r="FG90" s="39">
        <f t="shared" si="142"/>
        <v>0.4048499594235821</v>
      </c>
    </row>
    <row r="91" spans="1:163" ht="15.75" x14ac:dyDescent="0.25">
      <c r="A91" s="6" t="s">
        <v>349</v>
      </c>
      <c r="B91" s="6" t="s">
        <v>349</v>
      </c>
      <c r="C91" s="3" t="s">
        <v>880</v>
      </c>
      <c r="D91" s="3" t="s">
        <v>880</v>
      </c>
      <c r="E91" s="3" t="s">
        <v>1235</v>
      </c>
      <c r="F91" s="3" t="s">
        <v>1034</v>
      </c>
      <c r="G91" s="3" t="s">
        <v>773</v>
      </c>
      <c r="H91" s="3" t="str">
        <f t="shared" si="87"/>
        <v>CW_2_Section_3</v>
      </c>
      <c r="I91" s="3" t="str">
        <f t="shared" si="88"/>
        <v>CW_2_MF10</v>
      </c>
      <c r="J91" s="3" t="s">
        <v>1493</v>
      </c>
      <c r="K91" s="3" t="s">
        <v>1484</v>
      </c>
      <c r="L91" s="11" t="s">
        <v>1089</v>
      </c>
      <c r="M91" s="3" t="s">
        <v>1024</v>
      </c>
      <c r="N91" s="3" t="s">
        <v>1024</v>
      </c>
      <c r="O91" s="12" t="s">
        <v>1016</v>
      </c>
      <c r="P91" s="3" t="s">
        <v>1236</v>
      </c>
      <c r="Q91" s="3" t="s">
        <v>1018</v>
      </c>
      <c r="R91" s="3" t="s">
        <v>1205</v>
      </c>
      <c r="S91" s="3" t="str">
        <f t="shared" si="89"/>
        <v>T3_0.60-0.80</v>
      </c>
      <c r="T91" s="13" t="s">
        <v>1206</v>
      </c>
      <c r="U91" s="3" t="s">
        <v>1160</v>
      </c>
      <c r="V91" s="3">
        <v>150</v>
      </c>
      <c r="W91" s="3">
        <v>65</v>
      </c>
      <c r="X91" s="15">
        <v>4.75</v>
      </c>
      <c r="Y91" s="3">
        <v>90</v>
      </c>
      <c r="Z91" t="s">
        <v>572</v>
      </c>
      <c r="AA91" t="s">
        <v>228</v>
      </c>
      <c r="AB91" s="1">
        <v>45706</v>
      </c>
      <c r="AC91">
        <v>13</v>
      </c>
      <c r="AD91">
        <v>13</v>
      </c>
      <c r="AE91">
        <v>920</v>
      </c>
      <c r="AF91" s="37">
        <f t="shared" si="103"/>
        <v>0.35334784278581488</v>
      </c>
      <c r="AG91">
        <v>8.6999999999999993</v>
      </c>
      <c r="AH91" s="37">
        <f t="shared" si="104"/>
        <v>3.3991751682222703E-3</v>
      </c>
      <c r="AI91">
        <v>860</v>
      </c>
      <c r="AJ91" s="37">
        <f t="shared" si="105"/>
        <v>0.34020909861542808</v>
      </c>
      <c r="AK91">
        <v>280</v>
      </c>
      <c r="AL91" s="37">
        <f t="shared" si="106"/>
        <v>0.11076575303758124</v>
      </c>
      <c r="AM91">
        <v>290</v>
      </c>
      <c r="AN91" s="37">
        <f t="shared" si="107"/>
        <v>0.11472167278892344</v>
      </c>
      <c r="AO91">
        <v>570</v>
      </c>
      <c r="AQ91" s="59">
        <v>2358.6999999999998</v>
      </c>
      <c r="AR91" s="59">
        <f t="shared" si="108"/>
        <v>0.69695611656946521</v>
      </c>
      <c r="AS91">
        <v>4000</v>
      </c>
      <c r="AT91" s="37">
        <f t="shared" si="109"/>
        <v>1.4980104548646329</v>
      </c>
      <c r="AU91" t="s">
        <v>780</v>
      </c>
      <c r="AV91" t="s">
        <v>780</v>
      </c>
      <c r="AW91" t="s">
        <v>780</v>
      </c>
      <c r="AX91" t="s">
        <v>780</v>
      </c>
      <c r="AY91" t="s">
        <v>780</v>
      </c>
      <c r="AZ91" t="s">
        <v>780</v>
      </c>
      <c r="BA91" t="s">
        <v>780</v>
      </c>
      <c r="BB91" t="s">
        <v>780</v>
      </c>
      <c r="BC91" t="s">
        <v>780</v>
      </c>
      <c r="BD91" t="s">
        <v>780</v>
      </c>
      <c r="BE91" t="s">
        <v>780</v>
      </c>
      <c r="BF91" t="s">
        <v>780</v>
      </c>
      <c r="BG91" t="s">
        <v>780</v>
      </c>
      <c r="BH91" t="s">
        <v>780</v>
      </c>
      <c r="BI91" t="s">
        <v>780</v>
      </c>
      <c r="BJ91" t="s">
        <v>780</v>
      </c>
      <c r="BK91" t="s">
        <v>780</v>
      </c>
      <c r="BL91" t="s">
        <v>780</v>
      </c>
      <c r="BM91" t="s">
        <v>780</v>
      </c>
      <c r="BN91" t="s">
        <v>780</v>
      </c>
      <c r="BO91" s="58">
        <v>2900</v>
      </c>
      <c r="BP91" s="58">
        <v>290</v>
      </c>
      <c r="BQ91" s="58">
        <v>170</v>
      </c>
      <c r="BR91" s="58">
        <v>71</v>
      </c>
      <c r="BS91" s="58">
        <v>24</v>
      </c>
      <c r="BT91" s="58">
        <v>1.6</v>
      </c>
      <c r="BU91" s="58">
        <v>0.12</v>
      </c>
      <c r="BV91" s="58">
        <v>0.06</v>
      </c>
      <c r="BW91" s="31">
        <f t="shared" si="110"/>
        <v>1.0860575797768588</v>
      </c>
      <c r="BX91" s="31">
        <f t="shared" si="111"/>
        <v>0.10670871936395296</v>
      </c>
      <c r="BY91" s="31">
        <f t="shared" si="112"/>
        <v>6.3938784774009466E-2</v>
      </c>
      <c r="BZ91" s="31">
        <f t="shared" si="113"/>
        <v>2.6482974371315127E-2</v>
      </c>
      <c r="CA91" s="31">
        <f t="shared" si="114"/>
        <v>8.8873926948325205E-3</v>
      </c>
      <c r="CB91" s="31">
        <f t="shared" si="115"/>
        <v>5.9249284632216796E-4</v>
      </c>
      <c r="CC91" s="31">
        <f t="shared" si="116"/>
        <v>4.3906056860321379E-5</v>
      </c>
      <c r="CD91" s="31">
        <f t="shared" si="117"/>
        <v>2.1953028430160689E-5</v>
      </c>
      <c r="CE91">
        <v>1E-3</v>
      </c>
      <c r="CF91">
        <v>1E-3</v>
      </c>
      <c r="CG91">
        <v>2E-3</v>
      </c>
      <c r="CH91">
        <v>1E-3</v>
      </c>
      <c r="CI91">
        <v>1E-3</v>
      </c>
      <c r="CK91">
        <v>2E-3</v>
      </c>
      <c r="CL91">
        <v>1E-3</v>
      </c>
      <c r="CM91">
        <v>1E-3</v>
      </c>
      <c r="CN91" s="58">
        <f t="shared" si="143"/>
        <v>3456.7799999999997</v>
      </c>
      <c r="CO91" s="58">
        <f t="shared" si="118"/>
        <v>556.78</v>
      </c>
      <c r="CP91" s="31">
        <f t="shared" si="119"/>
        <v>1.2927338029125812</v>
      </c>
      <c r="CQ91" s="31">
        <f t="shared" si="120"/>
        <v>0.20667622313572276</v>
      </c>
      <c r="CR91">
        <v>3400</v>
      </c>
      <c r="CS91">
        <v>5000</v>
      </c>
      <c r="CT91">
        <v>1200</v>
      </c>
      <c r="CU91" t="s">
        <v>69</v>
      </c>
      <c r="CV91" t="s">
        <v>69</v>
      </c>
      <c r="CW91">
        <v>6300</v>
      </c>
      <c r="CX91" s="2">
        <f t="shared" si="90"/>
        <v>5758.7</v>
      </c>
      <c r="CZ91">
        <v>70</v>
      </c>
      <c r="DA91" t="s">
        <v>62</v>
      </c>
      <c r="DB91" t="s">
        <v>88</v>
      </c>
      <c r="DC91" t="s">
        <v>782</v>
      </c>
      <c r="DD91" s="37">
        <f t="shared" si="91"/>
        <v>14.532583801790548</v>
      </c>
      <c r="DE91" s="37">
        <f t="shared" si="144"/>
        <v>14.532583801790548</v>
      </c>
      <c r="DF91" s="37">
        <v>1.4</v>
      </c>
      <c r="DG91" s="37">
        <f t="shared" si="92"/>
        <v>2.506714413607878E-2</v>
      </c>
      <c r="DH91" s="37">
        <f t="shared" si="121"/>
        <v>2.506714413607878E-2</v>
      </c>
      <c r="DI91" s="37">
        <f t="shared" si="93"/>
        <v>15.932583801790548</v>
      </c>
      <c r="DJ91" s="37">
        <f t="shared" si="122"/>
        <v>0.28527455329974122</v>
      </c>
      <c r="DK91" s="37">
        <f t="shared" si="123"/>
        <v>0.28527455329974122</v>
      </c>
      <c r="DL91" s="55">
        <f t="shared" si="124"/>
        <v>-5.8130335207162185</v>
      </c>
      <c r="DN91" s="37">
        <f t="shared" si="125"/>
        <v>1.4</v>
      </c>
      <c r="DO91" s="55">
        <f t="shared" si="126"/>
        <v>2.506714413607878E-2</v>
      </c>
      <c r="DP91" s="55">
        <f t="shared" si="127"/>
        <v>2.506714413607878E-2</v>
      </c>
      <c r="DQ91" s="37">
        <v>1.5</v>
      </c>
      <c r="DR91" s="37">
        <f t="shared" si="128"/>
        <v>2.7307482250136537E-2</v>
      </c>
      <c r="DS91" s="37">
        <f t="shared" si="129"/>
        <v>5.4614964500273075E-2</v>
      </c>
      <c r="DT91" s="37">
        <f t="shared" si="94"/>
        <v>10.446754141836523</v>
      </c>
      <c r="DU91" s="37">
        <f t="shared" si="95"/>
        <v>5.2233770709182616</v>
      </c>
      <c r="DV91" s="37">
        <f t="shared" si="96"/>
        <v>17.43258380179055</v>
      </c>
      <c r="DW91" s="37">
        <f t="shared" si="97"/>
        <v>0.33988951780001431</v>
      </c>
      <c r="DX91">
        <v>25</v>
      </c>
      <c r="DY91" t="s">
        <v>65</v>
      </c>
      <c r="DZ91" s="29">
        <f t="shared" si="84"/>
        <v>1</v>
      </c>
      <c r="EA91" s="30">
        <v>1.7000000000000001E-2</v>
      </c>
      <c r="EB91" s="30">
        <f t="shared" si="130"/>
        <v>2.741935483870968E-4</v>
      </c>
      <c r="EC91" s="30">
        <f t="shared" si="131"/>
        <v>1.370967741935484E-3</v>
      </c>
      <c r="ED91" s="31">
        <f t="shared" si="145"/>
        <v>25</v>
      </c>
      <c r="EE91" s="33">
        <f t="shared" si="146"/>
        <v>30.487804878048781</v>
      </c>
      <c r="EF91" s="37">
        <f t="shared" si="98"/>
        <v>2.0820320632937745</v>
      </c>
      <c r="EG91" s="29">
        <f>$EK89-EK91</f>
        <v>-10</v>
      </c>
      <c r="EH91" s="33">
        <f>(EG91/$EK89)*100</f>
        <v>-21.276595744680851</v>
      </c>
      <c r="EI91" s="37">
        <f t="shared" si="147"/>
        <v>-0.83281282531750989</v>
      </c>
      <c r="EJ91" s="37"/>
      <c r="EK91" s="31">
        <v>57</v>
      </c>
      <c r="EL91" s="31">
        <f t="shared" si="132"/>
        <v>0.59337913803872577</v>
      </c>
      <c r="EM91" s="31">
        <f t="shared" si="133"/>
        <v>4.7470331043098062</v>
      </c>
      <c r="EN91" s="32">
        <f t="shared" si="99"/>
        <v>4.7484040720517413</v>
      </c>
      <c r="EO91" s="39">
        <f t="shared" si="134"/>
        <v>2.4219215810937889</v>
      </c>
      <c r="EP91" s="37">
        <f t="shared" si="100"/>
        <v>2.2550261299380241E-2</v>
      </c>
      <c r="EQ91" s="37">
        <f t="shared" si="101"/>
        <v>0.11778851781439821</v>
      </c>
      <c r="ER91" s="37">
        <f t="shared" si="102"/>
        <v>0.85966122088622154</v>
      </c>
      <c r="ES91" s="39">
        <f t="shared" si="135"/>
        <v>7.9682108636351862E-2</v>
      </c>
      <c r="ET91" s="55">
        <f t="shared" si="136"/>
        <v>31.458936723773988</v>
      </c>
      <c r="EU91" s="55">
        <f t="shared" si="137"/>
        <v>68.541063276225998</v>
      </c>
      <c r="EV91" s="55">
        <f t="shared" si="138"/>
        <v>0</v>
      </c>
      <c r="EW91" t="s">
        <v>224</v>
      </c>
      <c r="EX91" t="s">
        <v>558</v>
      </c>
      <c r="EY91">
        <v>-130</v>
      </c>
      <c r="EZ91" t="s">
        <v>217</v>
      </c>
      <c r="FA91">
        <v>509</v>
      </c>
      <c r="FB91" t="s">
        <v>113</v>
      </c>
      <c r="FC91" t="s">
        <v>88</v>
      </c>
      <c r="FD91" s="39">
        <f t="shared" si="139"/>
        <v>-0.22695500965969062</v>
      </c>
      <c r="FE91" s="39">
        <f t="shared" si="140"/>
        <v>-2.0278786523967973E-2</v>
      </c>
      <c r="FF91" s="39">
        <f t="shared" si="141"/>
        <v>2.1152844627977463</v>
      </c>
      <c r="FG91" s="39">
        <f t="shared" si="142"/>
        <v>2.3219606859334689</v>
      </c>
    </row>
    <row r="92" spans="1:163" ht="15.75" x14ac:dyDescent="0.25">
      <c r="A92" s="6" t="s">
        <v>350</v>
      </c>
      <c r="B92" s="6" t="s">
        <v>350</v>
      </c>
      <c r="C92" s="3" t="s">
        <v>881</v>
      </c>
      <c r="D92" s="3" t="s">
        <v>881</v>
      </c>
      <c r="E92" s="3" t="s">
        <v>1237</v>
      </c>
      <c r="F92" s="3" t="s">
        <v>1013</v>
      </c>
      <c r="G92" s="3" t="s">
        <v>774</v>
      </c>
      <c r="H92" s="3" t="str">
        <f t="shared" si="87"/>
        <v>CW_3_Section_1</v>
      </c>
      <c r="I92" s="3" t="str">
        <f t="shared" si="88"/>
        <v>CW_3_MF01</v>
      </c>
      <c r="J92" s="3" t="s">
        <v>1488</v>
      </c>
      <c r="K92" s="3" t="s">
        <v>1484</v>
      </c>
      <c r="L92" s="11" t="s">
        <v>1092</v>
      </c>
      <c r="M92" s="3" t="s">
        <v>1015</v>
      </c>
      <c r="N92" s="3" t="s">
        <v>1015</v>
      </c>
      <c r="O92" s="12" t="s">
        <v>1016</v>
      </c>
      <c r="P92" s="3" t="s">
        <v>1238</v>
      </c>
      <c r="Q92" s="3" t="s">
        <v>1018</v>
      </c>
      <c r="R92" s="3" t="s">
        <v>1205</v>
      </c>
      <c r="S92" s="3" t="str">
        <f t="shared" si="89"/>
        <v>T3_0.15-0.30</v>
      </c>
      <c r="T92" s="13" t="s">
        <v>1206</v>
      </c>
      <c r="U92" s="3" t="s">
        <v>1160</v>
      </c>
      <c r="V92" s="3">
        <v>150</v>
      </c>
      <c r="W92" s="16">
        <v>100</v>
      </c>
      <c r="X92" s="15">
        <v>7.15</v>
      </c>
      <c r="Y92" s="3">
        <v>91</v>
      </c>
      <c r="Z92" t="s">
        <v>575</v>
      </c>
      <c r="AA92" t="s">
        <v>241</v>
      </c>
      <c r="AB92" s="1">
        <v>45707</v>
      </c>
      <c r="AC92">
        <v>8.9</v>
      </c>
      <c r="AD92">
        <v>11</v>
      </c>
      <c r="AE92">
        <v>620</v>
      </c>
      <c r="AF92" s="37">
        <f t="shared" si="103"/>
        <v>0.23812572013826652</v>
      </c>
      <c r="AG92">
        <v>10</v>
      </c>
      <c r="AH92" s="37">
        <f t="shared" si="104"/>
        <v>3.9070978945083571E-3</v>
      </c>
      <c r="AI92">
        <v>330</v>
      </c>
      <c r="AJ92" s="37">
        <f t="shared" si="105"/>
        <v>0.13054535179429219</v>
      </c>
      <c r="AK92">
        <v>190</v>
      </c>
      <c r="AL92" s="37">
        <f t="shared" si="106"/>
        <v>7.5162475275501545E-2</v>
      </c>
      <c r="AM92">
        <v>98</v>
      </c>
      <c r="AN92" s="37">
        <f t="shared" si="107"/>
        <v>3.8768013563153431E-2</v>
      </c>
      <c r="AO92">
        <v>288</v>
      </c>
      <c r="AQ92" s="59">
        <v>1248</v>
      </c>
      <c r="AR92" s="59">
        <f t="shared" si="108"/>
        <v>0.37257816982706704</v>
      </c>
      <c r="AS92">
        <v>150</v>
      </c>
      <c r="AT92" s="37">
        <f t="shared" si="109"/>
        <v>5.617539205742373E-2</v>
      </c>
      <c r="AU92" t="s">
        <v>780</v>
      </c>
      <c r="AV92" t="s">
        <v>780</v>
      </c>
      <c r="AW92" t="s">
        <v>780</v>
      </c>
      <c r="AX92" t="s">
        <v>780</v>
      </c>
      <c r="AY92" t="s">
        <v>780</v>
      </c>
      <c r="AZ92" t="s">
        <v>780</v>
      </c>
      <c r="BA92" t="s">
        <v>780</v>
      </c>
      <c r="BB92" t="s">
        <v>780</v>
      </c>
      <c r="BC92" t="s">
        <v>780</v>
      </c>
      <c r="BD92" t="s">
        <v>780</v>
      </c>
      <c r="BE92" t="s">
        <v>780</v>
      </c>
      <c r="BF92" t="s">
        <v>780</v>
      </c>
      <c r="BG92" t="s">
        <v>780</v>
      </c>
      <c r="BH92" t="s">
        <v>780</v>
      </c>
      <c r="BI92" t="s">
        <v>780</v>
      </c>
      <c r="BJ92" t="s">
        <v>780</v>
      </c>
      <c r="BK92" t="s">
        <v>780</v>
      </c>
      <c r="BL92" t="s">
        <v>780</v>
      </c>
      <c r="BM92" t="s">
        <v>780</v>
      </c>
      <c r="BN92" t="s">
        <v>780</v>
      </c>
      <c r="BO92" s="58">
        <v>88</v>
      </c>
      <c r="BP92" s="58">
        <v>0.17</v>
      </c>
      <c r="BQ92" s="58">
        <v>0.11</v>
      </c>
      <c r="BR92" s="58">
        <v>5.0000000000000001E-3</v>
      </c>
      <c r="BS92" s="58">
        <v>0.02</v>
      </c>
      <c r="BT92" s="58">
        <v>1E-3</v>
      </c>
      <c r="BU92" s="58">
        <v>1E-3</v>
      </c>
      <c r="BV92" s="58">
        <v>2E-3</v>
      </c>
      <c r="BW92" s="31">
        <f t="shared" si="110"/>
        <v>3.2956230007021921E-2</v>
      </c>
      <c r="BX92" s="31">
        <f t="shared" si="111"/>
        <v>6.2553387213351737E-5</v>
      </c>
      <c r="BY92" s="31">
        <f t="shared" si="112"/>
        <v>4.1372154853770834E-5</v>
      </c>
      <c r="BZ92" s="31">
        <f t="shared" si="113"/>
        <v>1.8649981951630372E-6</v>
      </c>
      <c r="CA92" s="31">
        <f t="shared" si="114"/>
        <v>7.4061605790270997E-6</v>
      </c>
      <c r="CB92" s="31">
        <f t="shared" si="115"/>
        <v>3.7030802895135499E-7</v>
      </c>
      <c r="CC92" s="31">
        <f t="shared" si="116"/>
        <v>3.6588380716934485E-7</v>
      </c>
      <c r="CD92" s="31">
        <f t="shared" si="117"/>
        <v>7.3176761433868969E-7</v>
      </c>
      <c r="CE92">
        <v>1E-3</v>
      </c>
      <c r="CF92">
        <v>1E-3</v>
      </c>
      <c r="CG92">
        <v>2E-3</v>
      </c>
      <c r="CH92">
        <v>1E-3</v>
      </c>
      <c r="CI92">
        <v>1E-3</v>
      </c>
      <c r="CK92">
        <v>2E-3</v>
      </c>
      <c r="CL92">
        <v>1E-3</v>
      </c>
      <c r="CM92">
        <v>1E-3</v>
      </c>
      <c r="CN92" s="58">
        <f t="shared" si="143"/>
        <v>88.308999999999997</v>
      </c>
      <c r="CO92" s="58">
        <f t="shared" si="118"/>
        <v>0.30900000000000005</v>
      </c>
      <c r="CP92" s="31">
        <f t="shared" si="119"/>
        <v>3.3070894667313687E-2</v>
      </c>
      <c r="CQ92" s="31">
        <f t="shared" si="120"/>
        <v>1.146646602917721E-4</v>
      </c>
      <c r="CR92">
        <v>89</v>
      </c>
      <c r="CS92">
        <v>370</v>
      </c>
      <c r="CT92">
        <v>55</v>
      </c>
      <c r="CU92">
        <v>30</v>
      </c>
      <c r="CV92">
        <v>30</v>
      </c>
      <c r="CW92">
        <v>480</v>
      </c>
      <c r="CX92" s="2">
        <f t="shared" si="90"/>
        <v>1337</v>
      </c>
      <c r="CZ92">
        <v>67</v>
      </c>
      <c r="DA92" t="s">
        <v>62</v>
      </c>
      <c r="DB92" t="s">
        <v>88</v>
      </c>
      <c r="DC92" t="s">
        <v>782</v>
      </c>
      <c r="DD92" s="37">
        <f t="shared" si="91"/>
        <v>38.366021236727043</v>
      </c>
      <c r="DE92" s="37">
        <f t="shared" si="144"/>
        <v>38.366021236727043</v>
      </c>
      <c r="DF92" s="37">
        <v>18</v>
      </c>
      <c r="DG92" s="37">
        <f t="shared" si="92"/>
        <v>0.32229185317815578</v>
      </c>
      <c r="DH92" s="37">
        <f t="shared" si="121"/>
        <v>0.32229185317815578</v>
      </c>
      <c r="DI92" s="37">
        <f t="shared" si="93"/>
        <v>56.366021236727043</v>
      </c>
      <c r="DJ92" s="37">
        <f t="shared" si="122"/>
        <v>1.0092394133702245</v>
      </c>
      <c r="DK92" s="37">
        <f t="shared" si="123"/>
        <v>1.0092394133702245</v>
      </c>
      <c r="DL92" s="55">
        <f t="shared" si="124"/>
        <v>38.366021236727043</v>
      </c>
      <c r="DM92" s="55">
        <f t="shared" si="124"/>
        <v>38.366021236727043</v>
      </c>
      <c r="DN92" s="37">
        <f t="shared" si="125"/>
        <v>56.366021236727043</v>
      </c>
      <c r="DO92" s="55">
        <f t="shared" si="126"/>
        <v>1.0092394133702245</v>
      </c>
      <c r="DP92" s="55">
        <f t="shared" si="127"/>
        <v>1.0092394133702245</v>
      </c>
      <c r="DQ92" s="37">
        <v>3</v>
      </c>
      <c r="DR92" s="37">
        <f t="shared" si="128"/>
        <v>5.4614964500273075E-2</v>
      </c>
      <c r="DS92" s="37">
        <f t="shared" si="129"/>
        <v>0.10922992900054615</v>
      </c>
      <c r="DT92" s="37">
        <f t="shared" si="94"/>
        <v>18.479173658808811</v>
      </c>
      <c r="DU92" s="37">
        <f t="shared" si="95"/>
        <v>9.2395868294044057</v>
      </c>
      <c r="DV92" s="37">
        <f t="shared" si="96"/>
        <v>59.366021236727043</v>
      </c>
      <c r="DW92" s="37">
        <f t="shared" si="97"/>
        <v>1.1184693423707706</v>
      </c>
      <c r="DX92">
        <v>29</v>
      </c>
      <c r="DY92" t="s">
        <v>63</v>
      </c>
      <c r="DZ92" s="29">
        <f t="shared" si="84"/>
        <v>1</v>
      </c>
      <c r="EA92" s="30">
        <v>1.7000000000000001E-2</v>
      </c>
      <c r="EB92" s="30">
        <f t="shared" si="130"/>
        <v>2.741935483870968E-4</v>
      </c>
      <c r="EC92" s="30">
        <f t="shared" si="131"/>
        <v>1.370967741935484E-3</v>
      </c>
      <c r="ED92" s="31">
        <f t="shared" si="145"/>
        <v>66</v>
      </c>
      <c r="EE92" s="33">
        <f t="shared" si="146"/>
        <v>80.487804878048792</v>
      </c>
      <c r="EF92" s="37">
        <f t="shared" si="98"/>
        <v>5.4965646470955649</v>
      </c>
      <c r="EG92" s="37">
        <f>$EK76-EK92</f>
        <v>66</v>
      </c>
      <c r="EH92" s="33">
        <f>(EG92/$EK$76)*100</f>
        <v>80.487804878048792</v>
      </c>
      <c r="EI92" s="37">
        <f t="shared" si="147"/>
        <v>5.4965646470955649</v>
      </c>
      <c r="EJ92" s="37">
        <f>($EG92/96.06)*8</f>
        <v>5.4965646470955649</v>
      </c>
      <c r="EK92" s="31">
        <v>16</v>
      </c>
      <c r="EL92" s="31">
        <f t="shared" si="132"/>
        <v>0.16656256506350198</v>
      </c>
      <c r="EM92" s="31">
        <f t="shared" si="133"/>
        <v>1.3325005205080158</v>
      </c>
      <c r="EN92" s="32">
        <f t="shared" si="99"/>
        <v>1.3338714882499514</v>
      </c>
      <c r="EO92" s="39">
        <f t="shared" si="134"/>
        <v>6.615033989466335</v>
      </c>
      <c r="EP92" s="37">
        <f t="shared" si="100"/>
        <v>1.6512376077656137E-2</v>
      </c>
      <c r="EQ92" s="37">
        <f t="shared" si="101"/>
        <v>0.15256753252928401</v>
      </c>
      <c r="ER92" s="37">
        <f t="shared" si="102"/>
        <v>0.83092009139305989</v>
      </c>
      <c r="ES92" s="39">
        <f t="shared" si="135"/>
        <v>6.615033989466335</v>
      </c>
      <c r="ET92" s="55">
        <f t="shared" si="136"/>
        <v>15.256753252928402</v>
      </c>
      <c r="EU92" s="55">
        <f t="shared" si="137"/>
        <v>1.6512376077656137</v>
      </c>
      <c r="EV92" s="55">
        <f t="shared" si="138"/>
        <v>83.092009139305986</v>
      </c>
      <c r="EW92" t="s">
        <v>576</v>
      </c>
      <c r="EX92" t="s">
        <v>558</v>
      </c>
      <c r="EY92">
        <v>-118</v>
      </c>
      <c r="EZ92" t="s">
        <v>259</v>
      </c>
      <c r="FA92">
        <v>940</v>
      </c>
      <c r="FB92" t="s">
        <v>113</v>
      </c>
      <c r="FC92" t="s">
        <v>88</v>
      </c>
      <c r="FD92" s="39">
        <f t="shared" si="139"/>
        <v>-6.1862804275818446</v>
      </c>
      <c r="FE92" s="39">
        <f t="shared" si="140"/>
        <v>-6.1861657629215525</v>
      </c>
      <c r="FF92" s="39">
        <f t="shared" si="141"/>
        <v>-6.1862804275818446</v>
      </c>
      <c r="FG92" s="39">
        <f t="shared" si="142"/>
        <v>-6.1861657629215525</v>
      </c>
    </row>
    <row r="93" spans="1:163" ht="15.75" x14ac:dyDescent="0.25">
      <c r="A93" s="6" t="s">
        <v>351</v>
      </c>
      <c r="B93" s="6" t="s">
        <v>351</v>
      </c>
      <c r="C93" s="3" t="s">
        <v>882</v>
      </c>
      <c r="D93" s="3" t="s">
        <v>882</v>
      </c>
      <c r="E93" s="3" t="s">
        <v>1239</v>
      </c>
      <c r="F93" s="3" t="s">
        <v>1013</v>
      </c>
      <c r="G93" s="3" t="s">
        <v>774</v>
      </c>
      <c r="H93" s="3" t="str">
        <f t="shared" si="87"/>
        <v>CW_3_Section_1</v>
      </c>
      <c r="I93" s="3" t="str">
        <f t="shared" si="88"/>
        <v>CW_3_MF02</v>
      </c>
      <c r="J93" s="3" t="s">
        <v>1489</v>
      </c>
      <c r="K93" s="3" t="s">
        <v>1484</v>
      </c>
      <c r="L93" s="11" t="s">
        <v>1095</v>
      </c>
      <c r="M93" s="3" t="s">
        <v>1024</v>
      </c>
      <c r="N93" s="3" t="s">
        <v>1024</v>
      </c>
      <c r="O93" s="12" t="s">
        <v>1016</v>
      </c>
      <c r="P93" s="3" t="s">
        <v>1240</v>
      </c>
      <c r="Q93" s="3" t="s">
        <v>1018</v>
      </c>
      <c r="R93" s="3" t="s">
        <v>1205</v>
      </c>
      <c r="S93" s="3" t="str">
        <f t="shared" si="89"/>
        <v>T3_0.60-0.80</v>
      </c>
      <c r="T93" s="13" t="s">
        <v>1206</v>
      </c>
      <c r="U93" s="3" t="s">
        <v>1160</v>
      </c>
      <c r="V93" s="3">
        <v>150</v>
      </c>
      <c r="W93" s="16">
        <v>100</v>
      </c>
      <c r="X93" s="15">
        <v>3.6</v>
      </c>
      <c r="Y93" s="3">
        <v>92</v>
      </c>
      <c r="Z93" t="s">
        <v>577</v>
      </c>
      <c r="AA93" t="s">
        <v>245</v>
      </c>
      <c r="AB93" s="1">
        <v>45707</v>
      </c>
      <c r="AC93">
        <v>13</v>
      </c>
      <c r="AD93">
        <v>15</v>
      </c>
      <c r="AE93">
        <v>760</v>
      </c>
      <c r="AF93" s="37">
        <f t="shared" si="103"/>
        <v>0.29189604404045577</v>
      </c>
      <c r="AG93">
        <v>57</v>
      </c>
      <c r="AH93" s="37">
        <f t="shared" si="104"/>
        <v>2.2270457998697635E-2</v>
      </c>
      <c r="AI93">
        <v>630</v>
      </c>
      <c r="AJ93" s="37">
        <f t="shared" si="105"/>
        <v>0.24922294433455777</v>
      </c>
      <c r="AK93">
        <v>250</v>
      </c>
      <c r="AL93" s="37">
        <f t="shared" si="106"/>
        <v>9.8897993783554669E-2</v>
      </c>
      <c r="AM93">
        <v>330</v>
      </c>
      <c r="AN93" s="37">
        <f t="shared" si="107"/>
        <v>0.13054535179429219</v>
      </c>
      <c r="AO93">
        <v>580</v>
      </c>
      <c r="AQ93" s="59">
        <v>2027</v>
      </c>
      <c r="AR93" s="59">
        <f t="shared" si="108"/>
        <v>0.56338944637371124</v>
      </c>
      <c r="AS93">
        <v>4500</v>
      </c>
      <c r="AT93" s="37">
        <f t="shared" si="109"/>
        <v>1.6852617617227121</v>
      </c>
      <c r="AU93" t="s">
        <v>780</v>
      </c>
      <c r="AV93" t="s">
        <v>780</v>
      </c>
      <c r="AW93" t="s">
        <v>780</v>
      </c>
      <c r="AX93" t="s">
        <v>780</v>
      </c>
      <c r="AY93" t="s">
        <v>780</v>
      </c>
      <c r="AZ93" t="s">
        <v>780</v>
      </c>
      <c r="BA93" t="s">
        <v>780</v>
      </c>
      <c r="BB93" t="s">
        <v>780</v>
      </c>
      <c r="BC93" t="s">
        <v>780</v>
      </c>
      <c r="BD93" t="s">
        <v>780</v>
      </c>
      <c r="BE93" t="s">
        <v>780</v>
      </c>
      <c r="BF93" t="s">
        <v>780</v>
      </c>
      <c r="BG93" t="s">
        <v>780</v>
      </c>
      <c r="BH93" t="s">
        <v>780</v>
      </c>
      <c r="BI93" t="s">
        <v>780</v>
      </c>
      <c r="BJ93" t="s">
        <v>780</v>
      </c>
      <c r="BK93" t="s">
        <v>780</v>
      </c>
      <c r="BL93" t="s">
        <v>780</v>
      </c>
      <c r="BM93" t="s">
        <v>780</v>
      </c>
      <c r="BN93" t="s">
        <v>780</v>
      </c>
      <c r="BO93" s="58">
        <v>6400</v>
      </c>
      <c r="BP93" s="58">
        <v>120</v>
      </c>
      <c r="BQ93" s="58">
        <v>260</v>
      </c>
      <c r="BR93" s="58">
        <v>86</v>
      </c>
      <c r="BS93" s="58">
        <v>47</v>
      </c>
      <c r="BT93" s="58">
        <v>1.8</v>
      </c>
      <c r="BU93" s="58">
        <v>0.4</v>
      </c>
      <c r="BV93" s="58">
        <v>0.31</v>
      </c>
      <c r="BW93" s="31">
        <f t="shared" si="110"/>
        <v>2.3968167277834125</v>
      </c>
      <c r="BX93" s="31">
        <f t="shared" si="111"/>
        <v>4.4155332150601224E-2</v>
      </c>
      <c r="BY93" s="31">
        <f t="shared" si="112"/>
        <v>9.7788729654367426E-2</v>
      </c>
      <c r="BZ93" s="31">
        <f t="shared" si="113"/>
        <v>3.2077968956804238E-2</v>
      </c>
      <c r="CA93" s="31">
        <f t="shared" si="114"/>
        <v>1.7404477360713686E-2</v>
      </c>
      <c r="CB93" s="31">
        <f t="shared" si="115"/>
        <v>6.6655445211243904E-4</v>
      </c>
      <c r="CC93" s="31">
        <f t="shared" si="116"/>
        <v>1.4635352286773798E-4</v>
      </c>
      <c r="CD93" s="31">
        <f t="shared" si="117"/>
        <v>1.1342398022249691E-4</v>
      </c>
      <c r="CE93">
        <v>1E-3</v>
      </c>
      <c r="CF93">
        <v>1E-3</v>
      </c>
      <c r="CG93">
        <v>2E-3</v>
      </c>
      <c r="CH93">
        <v>1E-3</v>
      </c>
      <c r="CI93">
        <v>1E-3</v>
      </c>
      <c r="CK93">
        <v>2E-3</v>
      </c>
      <c r="CL93">
        <v>1E-3</v>
      </c>
      <c r="CM93">
        <v>1E-3</v>
      </c>
      <c r="CN93" s="58">
        <f t="shared" si="143"/>
        <v>6915.51</v>
      </c>
      <c r="CO93" s="58">
        <f t="shared" si="118"/>
        <v>515.50999999999988</v>
      </c>
      <c r="CP93" s="31">
        <f t="shared" si="119"/>
        <v>2.5891695678611018</v>
      </c>
      <c r="CQ93" s="31">
        <f t="shared" si="120"/>
        <v>0.19235284007768924</v>
      </c>
      <c r="CR93">
        <v>6900</v>
      </c>
      <c r="CS93">
        <v>6300</v>
      </c>
      <c r="CT93">
        <v>2100</v>
      </c>
      <c r="CU93">
        <v>25</v>
      </c>
      <c r="CV93" t="s">
        <v>69</v>
      </c>
      <c r="CW93">
        <v>8400</v>
      </c>
      <c r="CX93" s="2">
        <f t="shared" si="90"/>
        <v>8927</v>
      </c>
      <c r="CZ93">
        <v>69</v>
      </c>
      <c r="DA93" t="s">
        <v>62</v>
      </c>
      <c r="DB93" t="s">
        <v>88</v>
      </c>
      <c r="DC93" t="s">
        <v>782</v>
      </c>
      <c r="DD93" s="37">
        <f t="shared" si="91"/>
        <v>6.9756402248594629</v>
      </c>
      <c r="DE93" s="37">
        <f t="shared" si="144"/>
        <v>6.9756402248594629</v>
      </c>
      <c r="DF93" s="37">
        <v>0.4</v>
      </c>
      <c r="DG93" s="37">
        <f t="shared" si="92"/>
        <v>7.162041181736795E-3</v>
      </c>
      <c r="DH93" s="37">
        <f t="shared" si="121"/>
        <v>7.162041181736795E-3</v>
      </c>
      <c r="DI93" s="37">
        <f t="shared" si="93"/>
        <v>7.3756402248594632</v>
      </c>
      <c r="DJ93" s="37">
        <f t="shared" si="122"/>
        <v>0.13206159758029476</v>
      </c>
      <c r="DK93" s="37">
        <f t="shared" si="123"/>
        <v>0.13206159758029476</v>
      </c>
      <c r="DL93" s="55">
        <f t="shared" si="124"/>
        <v>6.9756402248594629</v>
      </c>
      <c r="DM93" s="55">
        <f t="shared" si="124"/>
        <v>6.9756402248594629</v>
      </c>
      <c r="DN93" s="37">
        <f t="shared" si="125"/>
        <v>7.3756402248594632</v>
      </c>
      <c r="DO93" s="55">
        <f t="shared" si="126"/>
        <v>0.13206159758029476</v>
      </c>
      <c r="DP93" s="55">
        <f t="shared" si="127"/>
        <v>0.13206159758029476</v>
      </c>
      <c r="DQ93" s="37">
        <v>1</v>
      </c>
      <c r="DR93" s="37">
        <f t="shared" si="128"/>
        <v>1.8204988166757693E-2</v>
      </c>
      <c r="DS93" s="37">
        <f t="shared" si="129"/>
        <v>3.6409976333515386E-2</v>
      </c>
      <c r="DT93" s="37">
        <f t="shared" si="94"/>
        <v>7.2541435550855908</v>
      </c>
      <c r="DU93" s="37">
        <f t="shared" si="95"/>
        <v>3.6270717775427954</v>
      </c>
      <c r="DV93" s="37">
        <f t="shared" si="96"/>
        <v>8.3756402248594632</v>
      </c>
      <c r="DW93" s="37">
        <f t="shared" si="97"/>
        <v>0.16847157391381015</v>
      </c>
      <c r="DX93">
        <v>31</v>
      </c>
      <c r="DY93" t="s">
        <v>65</v>
      </c>
      <c r="DZ93" s="29">
        <f t="shared" si="84"/>
        <v>1</v>
      </c>
      <c r="EA93" s="30">
        <v>1.7000000000000001E-2</v>
      </c>
      <c r="EB93" s="30">
        <f t="shared" si="130"/>
        <v>2.741935483870968E-4</v>
      </c>
      <c r="EC93" s="30">
        <f t="shared" si="131"/>
        <v>1.370967741935484E-3</v>
      </c>
      <c r="ED93" s="31">
        <f t="shared" si="145"/>
        <v>12</v>
      </c>
      <c r="EE93" s="33">
        <f t="shared" si="146"/>
        <v>14.634146341463413</v>
      </c>
      <c r="EF93" s="37">
        <f t="shared" si="98"/>
        <v>0.99937539038101186</v>
      </c>
      <c r="EG93" s="37">
        <f>$EK76-EK93</f>
        <v>12</v>
      </c>
      <c r="EH93" s="33">
        <f>(EG93/$EK$76)*100</f>
        <v>14.634146341463413</v>
      </c>
      <c r="EI93" s="37">
        <f t="shared" si="147"/>
        <v>0.99937539038101186</v>
      </c>
      <c r="EJ93" s="37">
        <f>($EG93/96.06)*8</f>
        <v>0.99937539038101186</v>
      </c>
      <c r="EK93" s="31">
        <v>70</v>
      </c>
      <c r="EL93" s="31">
        <f t="shared" si="132"/>
        <v>0.72871122215282114</v>
      </c>
      <c r="EM93" s="31">
        <f t="shared" si="133"/>
        <v>5.8296897772225691</v>
      </c>
      <c r="EN93" s="32">
        <f t="shared" si="99"/>
        <v>5.8310607449645042</v>
      </c>
      <c r="EO93" s="39">
        <f t="shared" si="134"/>
        <v>1.1678469642948219</v>
      </c>
      <c r="EP93" s="37">
        <f t="shared" si="100"/>
        <v>3.1177009870895823E-2</v>
      </c>
      <c r="EQ93" s="37">
        <f t="shared" si="101"/>
        <v>0.11308125261089939</v>
      </c>
      <c r="ER93" s="37">
        <f t="shared" si="102"/>
        <v>0.85574173751820481</v>
      </c>
      <c r="ES93" s="39">
        <f t="shared" si="135"/>
        <v>1.1678469642948219</v>
      </c>
      <c r="ET93" s="55">
        <f t="shared" si="136"/>
        <v>11.308125261089939</v>
      </c>
      <c r="EU93" s="55">
        <f t="shared" si="137"/>
        <v>3.1177009870895822</v>
      </c>
      <c r="EV93" s="55">
        <f t="shared" si="138"/>
        <v>85.574173751820481</v>
      </c>
      <c r="EW93" t="s">
        <v>162</v>
      </c>
      <c r="EX93" t="s">
        <v>246</v>
      </c>
      <c r="EY93">
        <v>-133</v>
      </c>
      <c r="EZ93" t="s">
        <v>253</v>
      </c>
      <c r="FA93">
        <v>740</v>
      </c>
      <c r="FB93" t="s">
        <v>113</v>
      </c>
      <c r="FC93" t="s">
        <v>88</v>
      </c>
      <c r="FD93" s="39">
        <f t="shared" si="139"/>
        <v>1.0808042438016014</v>
      </c>
      <c r="FE93" s="39">
        <f t="shared" si="140"/>
        <v>1.2731570838792907</v>
      </c>
      <c r="FF93" s="39">
        <f t="shared" si="141"/>
        <v>1.0808042438016014</v>
      </c>
      <c r="FG93" s="39">
        <f t="shared" si="142"/>
        <v>1.2731570838792907</v>
      </c>
    </row>
    <row r="94" spans="1:163" ht="15.75" x14ac:dyDescent="0.25">
      <c r="A94" s="6" t="s">
        <v>352</v>
      </c>
      <c r="B94" s="6" t="s">
        <v>352</v>
      </c>
      <c r="C94" s="3" t="s">
        <v>883</v>
      </c>
      <c r="D94" s="3" t="s">
        <v>883</v>
      </c>
      <c r="E94" s="3" t="s">
        <v>1241</v>
      </c>
      <c r="F94" s="3" t="s">
        <v>1027</v>
      </c>
      <c r="G94" s="3" t="s">
        <v>774</v>
      </c>
      <c r="H94" s="3" t="str">
        <f t="shared" si="87"/>
        <v>CW_3_Section_2</v>
      </c>
      <c r="I94" s="3" t="str">
        <f t="shared" si="88"/>
        <v>CW_3_MF05</v>
      </c>
      <c r="J94" s="3" t="s">
        <v>1496</v>
      </c>
      <c r="K94" s="3" t="s">
        <v>1484</v>
      </c>
      <c r="L94" s="11" t="s">
        <v>1098</v>
      </c>
      <c r="M94" s="3" t="s">
        <v>1015</v>
      </c>
      <c r="N94" s="3" t="s">
        <v>1015</v>
      </c>
      <c r="O94" s="12" t="s">
        <v>1016</v>
      </c>
      <c r="P94" s="3" t="s">
        <v>1242</v>
      </c>
      <c r="Q94" s="3" t="s">
        <v>1018</v>
      </c>
      <c r="R94" s="3" t="s">
        <v>1205</v>
      </c>
      <c r="S94" s="3" t="str">
        <f t="shared" si="89"/>
        <v>T3_0.15-0.30</v>
      </c>
      <c r="T94" s="13" t="s">
        <v>1206</v>
      </c>
      <c r="U94" s="3" t="s">
        <v>1160</v>
      </c>
      <c r="V94" s="3">
        <v>150</v>
      </c>
      <c r="W94" s="16">
        <v>100</v>
      </c>
      <c r="X94" s="15">
        <v>6.15</v>
      </c>
      <c r="Y94" s="3">
        <v>93</v>
      </c>
      <c r="Z94" t="s">
        <v>578</v>
      </c>
      <c r="AA94" t="s">
        <v>250</v>
      </c>
      <c r="AB94" s="1">
        <v>45707</v>
      </c>
      <c r="AC94">
        <v>0.05</v>
      </c>
      <c r="AD94">
        <v>0.05</v>
      </c>
      <c r="AE94">
        <v>0.76</v>
      </c>
      <c r="AF94" s="37">
        <f t="shared" si="103"/>
        <v>2.9189604404045578E-4</v>
      </c>
      <c r="AG94">
        <v>0.02</v>
      </c>
      <c r="AH94" s="37">
        <f t="shared" si="104"/>
        <v>7.8141957890167132E-6</v>
      </c>
      <c r="AI94">
        <v>1.9</v>
      </c>
      <c r="AJ94" s="37">
        <f t="shared" si="105"/>
        <v>7.5162475275501544E-4</v>
      </c>
      <c r="AK94">
        <v>0.62</v>
      </c>
      <c r="AL94" s="37">
        <f t="shared" si="106"/>
        <v>2.4526702458321558E-4</v>
      </c>
      <c r="AM94">
        <v>0.69</v>
      </c>
      <c r="AN94" s="37">
        <f t="shared" si="107"/>
        <v>2.7295846284261087E-4</v>
      </c>
      <c r="AO94">
        <v>1.31</v>
      </c>
      <c r="AQ94" s="59">
        <v>4.1100000000000003</v>
      </c>
      <c r="AR94" s="59">
        <f t="shared" si="108"/>
        <v>1.0513349925844878E-3</v>
      </c>
      <c r="AS94">
        <v>7.1</v>
      </c>
      <c r="AT94" s="37">
        <f t="shared" si="109"/>
        <v>2.6589685573847233E-3</v>
      </c>
      <c r="AU94" t="s">
        <v>780</v>
      </c>
      <c r="AV94" t="s">
        <v>780</v>
      </c>
      <c r="AW94" t="s">
        <v>780</v>
      </c>
      <c r="AX94" t="s">
        <v>780</v>
      </c>
      <c r="AY94" t="s">
        <v>780</v>
      </c>
      <c r="AZ94" t="s">
        <v>780</v>
      </c>
      <c r="BA94" t="s">
        <v>780</v>
      </c>
      <c r="BB94" t="s">
        <v>780</v>
      </c>
      <c r="BC94" t="s">
        <v>780</v>
      </c>
      <c r="BD94" t="s">
        <v>780</v>
      </c>
      <c r="BE94" t="s">
        <v>780</v>
      </c>
      <c r="BF94" t="s">
        <v>780</v>
      </c>
      <c r="BG94" t="s">
        <v>780</v>
      </c>
      <c r="BH94" t="s">
        <v>780</v>
      </c>
      <c r="BI94" t="s">
        <v>780</v>
      </c>
      <c r="BJ94" t="s">
        <v>780</v>
      </c>
      <c r="BK94" t="s">
        <v>780</v>
      </c>
      <c r="BL94" t="s">
        <v>780</v>
      </c>
      <c r="BM94" t="s">
        <v>780</v>
      </c>
      <c r="BN94" t="s">
        <v>780</v>
      </c>
      <c r="BO94" s="58">
        <v>4.4000000000000004</v>
      </c>
      <c r="BP94" s="58">
        <v>0.01</v>
      </c>
      <c r="BQ94" s="58">
        <v>0.01</v>
      </c>
      <c r="BR94" s="58">
        <v>5.0000000000000001E-3</v>
      </c>
      <c r="BS94" s="58">
        <v>1E-3</v>
      </c>
      <c r="BT94" s="58">
        <v>1E-3</v>
      </c>
      <c r="BU94" s="58">
        <v>1E-3</v>
      </c>
      <c r="BV94" s="58">
        <v>2E-3</v>
      </c>
      <c r="BW94" s="31">
        <f t="shared" si="110"/>
        <v>1.6478115003510964E-3</v>
      </c>
      <c r="BX94" s="31">
        <f t="shared" si="111"/>
        <v>3.6796110125501018E-6</v>
      </c>
      <c r="BY94" s="31">
        <f t="shared" si="112"/>
        <v>3.7611049867064394E-6</v>
      </c>
      <c r="BZ94" s="31">
        <f t="shared" si="113"/>
        <v>1.8649981951630372E-6</v>
      </c>
      <c r="CA94" s="31">
        <f t="shared" si="114"/>
        <v>3.7030802895135499E-7</v>
      </c>
      <c r="CB94" s="31">
        <f t="shared" si="115"/>
        <v>3.7030802895135499E-7</v>
      </c>
      <c r="CC94" s="31">
        <f t="shared" si="116"/>
        <v>3.6588380716934485E-7</v>
      </c>
      <c r="CD94" s="31">
        <f t="shared" si="117"/>
        <v>7.3176761433868969E-7</v>
      </c>
      <c r="CE94">
        <v>1E-3</v>
      </c>
      <c r="CF94">
        <v>1E-3</v>
      </c>
      <c r="CG94">
        <v>2E-3</v>
      </c>
      <c r="CH94">
        <v>1E-3</v>
      </c>
      <c r="CI94">
        <v>1E-3</v>
      </c>
      <c r="CK94">
        <v>2E-3</v>
      </c>
      <c r="CL94">
        <v>1E-3</v>
      </c>
      <c r="CM94">
        <v>1E-3</v>
      </c>
      <c r="CN94" s="58">
        <f t="shared" si="143"/>
        <v>4.4300000000000006</v>
      </c>
      <c r="CO94" s="58">
        <f t="shared" si="118"/>
        <v>3.0000000000000006E-2</v>
      </c>
      <c r="CP94" s="31">
        <f t="shared" si="119"/>
        <v>1.6589554820249269E-3</v>
      </c>
      <c r="CQ94" s="31">
        <f t="shared" si="120"/>
        <v>1.1143981673830322E-5</v>
      </c>
      <c r="CR94">
        <v>4.4000000000000004</v>
      </c>
      <c r="CS94" t="s">
        <v>69</v>
      </c>
      <c r="CT94" t="s">
        <v>69</v>
      </c>
      <c r="CU94" t="s">
        <v>69</v>
      </c>
      <c r="CV94" t="s">
        <v>69</v>
      </c>
      <c r="CW94">
        <v>5</v>
      </c>
      <c r="CX94" s="2">
        <f t="shared" si="90"/>
        <v>8.5100000000000016</v>
      </c>
      <c r="CZ94">
        <v>68</v>
      </c>
      <c r="DA94" t="s">
        <v>62</v>
      </c>
      <c r="DB94" t="s">
        <v>88</v>
      </c>
      <c r="DC94" t="s">
        <v>782</v>
      </c>
      <c r="DD94" s="37">
        <f t="shared" si="91"/>
        <v>6.9756402248594629</v>
      </c>
      <c r="DE94" s="37">
        <f t="shared" si="144"/>
        <v>6.9756402248594629</v>
      </c>
      <c r="DF94" s="37">
        <v>0.9</v>
      </c>
      <c r="DG94" s="37">
        <f t="shared" si="92"/>
        <v>1.611459265890779E-2</v>
      </c>
      <c r="DH94" s="37">
        <f t="shared" si="121"/>
        <v>1.611459265890779E-2</v>
      </c>
      <c r="DI94" s="37">
        <f t="shared" si="93"/>
        <v>7.8756402248594632</v>
      </c>
      <c r="DJ94" s="37">
        <f t="shared" si="122"/>
        <v>0.14101414905746576</v>
      </c>
      <c r="DK94" s="37">
        <f t="shared" si="123"/>
        <v>0.14101414905746576</v>
      </c>
      <c r="DL94" s="55">
        <f t="shared" si="124"/>
        <v>-31.390381011867582</v>
      </c>
      <c r="DN94" s="37">
        <f t="shared" si="125"/>
        <v>0.9</v>
      </c>
      <c r="DO94" s="55">
        <f t="shared" si="126"/>
        <v>1.611459265890779E-2</v>
      </c>
      <c r="DP94" s="55">
        <f t="shared" si="127"/>
        <v>1.611459265890779E-2</v>
      </c>
      <c r="DQ94" s="37">
        <v>4.7</v>
      </c>
      <c r="DR94" s="37">
        <f t="shared" si="128"/>
        <v>8.556344438376115E-2</v>
      </c>
      <c r="DS94" s="37">
        <f t="shared" si="129"/>
        <v>0.1711268887675223</v>
      </c>
      <c r="DT94" s="37">
        <f t="shared" si="94"/>
        <v>1.6480653633460838</v>
      </c>
      <c r="DU94" s="37">
        <f t="shared" si="95"/>
        <v>0.82403268167304189</v>
      </c>
      <c r="DV94" s="37">
        <f t="shared" si="96"/>
        <v>12.575640224859463</v>
      </c>
      <c r="DW94" s="37">
        <f t="shared" si="97"/>
        <v>0.31214103782498803</v>
      </c>
      <c r="DX94" t="s">
        <v>113</v>
      </c>
      <c r="DY94">
        <v>1</v>
      </c>
      <c r="DZ94" s="29">
        <f t="shared" si="84"/>
        <v>1</v>
      </c>
      <c r="EA94" s="30">
        <v>1.7000000000000001E-2</v>
      </c>
      <c r="EB94" s="30">
        <f t="shared" si="130"/>
        <v>2.741935483870968E-4</v>
      </c>
      <c r="EC94" s="30">
        <f t="shared" si="131"/>
        <v>1.370967741935484E-3</v>
      </c>
      <c r="ED94" s="31">
        <f t="shared" si="145"/>
        <v>12</v>
      </c>
      <c r="EE94" s="33">
        <f t="shared" si="146"/>
        <v>14.634146341463413</v>
      </c>
      <c r="EF94" s="37">
        <f t="shared" si="98"/>
        <v>0.99937539038101186</v>
      </c>
      <c r="EG94" s="37">
        <f>$EK92-EK94</f>
        <v>-54</v>
      </c>
      <c r="EH94" s="33">
        <f>(EG94/$EK92)*100</f>
        <v>-337.5</v>
      </c>
      <c r="EI94" s="37">
        <f t="shared" si="147"/>
        <v>-4.4971892567145533</v>
      </c>
      <c r="EJ94" s="37"/>
      <c r="EK94" s="31">
        <v>70</v>
      </c>
      <c r="EL94" s="31">
        <f t="shared" si="132"/>
        <v>0.72871122215282114</v>
      </c>
      <c r="EM94" s="31">
        <f t="shared" si="133"/>
        <v>5.8296897772225691</v>
      </c>
      <c r="EN94" s="32">
        <f t="shared" si="99"/>
        <v>5.8310607449645042</v>
      </c>
      <c r="EO94" s="39">
        <f t="shared" si="134"/>
        <v>1.3115164282059999</v>
      </c>
      <c r="EP94" s="37">
        <f t="shared" si="100"/>
        <v>0.13048017172122178</v>
      </c>
      <c r="EQ94" s="37">
        <f t="shared" si="101"/>
        <v>0.1075199258085974</v>
      </c>
      <c r="ER94" s="37">
        <f t="shared" si="102"/>
        <v>0.7619999024701809</v>
      </c>
      <c r="ES94" s="39">
        <f t="shared" si="135"/>
        <v>0.1872414814264301</v>
      </c>
      <c r="ET94" s="55">
        <f t="shared" si="136"/>
        <v>8.6063155109352447</v>
      </c>
      <c r="EU94" s="55">
        <f t="shared" si="137"/>
        <v>91.393684489064754</v>
      </c>
      <c r="EV94" s="55">
        <f t="shared" si="138"/>
        <v>0</v>
      </c>
      <c r="EW94" t="s">
        <v>482</v>
      </c>
      <c r="EX94" t="s">
        <v>212</v>
      </c>
      <c r="EY94">
        <v>-78</v>
      </c>
      <c r="EZ94" t="s">
        <v>503</v>
      </c>
      <c r="FA94">
        <v>712</v>
      </c>
      <c r="FB94" t="s">
        <v>113</v>
      </c>
      <c r="FC94" t="s">
        <v>88</v>
      </c>
      <c r="FD94" s="39">
        <f t="shared" si="139"/>
        <v>-1.3078061246560306</v>
      </c>
      <c r="FE94" s="39">
        <f t="shared" si="140"/>
        <v>-1.307794980674357</v>
      </c>
      <c r="FF94" s="39">
        <f t="shared" si="141"/>
        <v>-0.18353117787646089</v>
      </c>
      <c r="FG94" s="39">
        <f t="shared" si="142"/>
        <v>-0.18352003389478705</v>
      </c>
    </row>
    <row r="95" spans="1:163" ht="15.75" x14ac:dyDescent="0.25">
      <c r="A95" s="6" t="s">
        <v>353</v>
      </c>
      <c r="B95" s="6" t="s">
        <v>353</v>
      </c>
      <c r="C95" s="3" t="s">
        <v>884</v>
      </c>
      <c r="D95" s="3" t="s">
        <v>884</v>
      </c>
      <c r="E95" s="3" t="s">
        <v>1243</v>
      </c>
      <c r="F95" s="3" t="s">
        <v>1027</v>
      </c>
      <c r="G95" s="3" t="s">
        <v>774</v>
      </c>
      <c r="H95" s="3" t="str">
        <f t="shared" si="87"/>
        <v>CW_3_Section_2</v>
      </c>
      <c r="I95" s="3" t="str">
        <f t="shared" si="88"/>
        <v>CW_3_MF06</v>
      </c>
      <c r="J95" s="3" t="s">
        <v>1497</v>
      </c>
      <c r="K95" s="3" t="s">
        <v>1484</v>
      </c>
      <c r="L95" s="11" t="s">
        <v>1101</v>
      </c>
      <c r="M95" s="3" t="s">
        <v>1024</v>
      </c>
      <c r="N95" s="3" t="s">
        <v>1024</v>
      </c>
      <c r="O95" s="12" t="s">
        <v>1016</v>
      </c>
      <c r="P95" s="3" t="s">
        <v>1244</v>
      </c>
      <c r="Q95" s="3" t="s">
        <v>1018</v>
      </c>
      <c r="R95" s="3" t="s">
        <v>1205</v>
      </c>
      <c r="S95" s="3" t="str">
        <f t="shared" si="89"/>
        <v>T3_0.60-0.80</v>
      </c>
      <c r="T95" s="13" t="s">
        <v>1206</v>
      </c>
      <c r="U95" s="3" t="s">
        <v>1160</v>
      </c>
      <c r="V95" s="3">
        <v>150</v>
      </c>
      <c r="W95" s="16">
        <v>100</v>
      </c>
      <c r="X95" s="15">
        <v>5</v>
      </c>
      <c r="Y95" s="3">
        <v>94</v>
      </c>
      <c r="Z95" t="s">
        <v>579</v>
      </c>
      <c r="AA95" t="s">
        <v>255</v>
      </c>
      <c r="AB95" s="1">
        <v>45707</v>
      </c>
      <c r="AC95">
        <v>9.5</v>
      </c>
      <c r="AD95">
        <v>11</v>
      </c>
      <c r="AE95">
        <v>380</v>
      </c>
      <c r="AF95" s="37">
        <f t="shared" si="103"/>
        <v>0.14594802202022789</v>
      </c>
      <c r="AG95">
        <v>54</v>
      </c>
      <c r="AH95" s="37">
        <f t="shared" si="104"/>
        <v>2.1098328630345126E-2</v>
      </c>
      <c r="AI95">
        <v>380</v>
      </c>
      <c r="AJ95" s="37">
        <f t="shared" si="105"/>
        <v>0.15032495055100309</v>
      </c>
      <c r="AK95">
        <v>130</v>
      </c>
      <c r="AL95" s="37">
        <f t="shared" si="106"/>
        <v>5.1426956767448434E-2</v>
      </c>
      <c r="AM95">
        <v>200</v>
      </c>
      <c r="AN95" s="37">
        <f t="shared" si="107"/>
        <v>7.9118395026843744E-2</v>
      </c>
      <c r="AO95">
        <v>330</v>
      </c>
      <c r="AQ95" s="59">
        <v>1144</v>
      </c>
      <c r="AR95" s="59">
        <f t="shared" si="108"/>
        <v>0.31737130120157608</v>
      </c>
      <c r="AS95">
        <v>2400</v>
      </c>
      <c r="AT95" s="37">
        <f t="shared" si="109"/>
        <v>0.89880627291877968</v>
      </c>
      <c r="AU95" t="s">
        <v>780</v>
      </c>
      <c r="AV95" t="s">
        <v>780</v>
      </c>
      <c r="AW95" t="s">
        <v>780</v>
      </c>
      <c r="AX95" t="s">
        <v>780</v>
      </c>
      <c r="AY95" t="s">
        <v>780</v>
      </c>
      <c r="AZ95" t="s">
        <v>780</v>
      </c>
      <c r="BA95" t="s">
        <v>780</v>
      </c>
      <c r="BB95" t="s">
        <v>780</v>
      </c>
      <c r="BC95" t="s">
        <v>780</v>
      </c>
      <c r="BD95" t="s">
        <v>780</v>
      </c>
      <c r="BE95" t="s">
        <v>780</v>
      </c>
      <c r="BF95" t="s">
        <v>780</v>
      </c>
      <c r="BG95" t="s">
        <v>780</v>
      </c>
      <c r="BH95" t="s">
        <v>780</v>
      </c>
      <c r="BI95" t="s">
        <v>780</v>
      </c>
      <c r="BJ95" t="s">
        <v>780</v>
      </c>
      <c r="BK95" t="s">
        <v>780</v>
      </c>
      <c r="BL95" t="s">
        <v>780</v>
      </c>
      <c r="BM95" t="s">
        <v>780</v>
      </c>
      <c r="BN95" t="s">
        <v>780</v>
      </c>
      <c r="BO95" s="58">
        <v>4700</v>
      </c>
      <c r="BP95" s="58">
        <v>110</v>
      </c>
      <c r="BQ95" s="58">
        <v>150</v>
      </c>
      <c r="BR95" s="58">
        <v>72</v>
      </c>
      <c r="BS95" s="58">
        <v>50</v>
      </c>
      <c r="BT95" s="58">
        <v>3.4</v>
      </c>
      <c r="BU95" s="58">
        <v>0.86</v>
      </c>
      <c r="BV95" s="58">
        <v>0.83</v>
      </c>
      <c r="BW95" s="31">
        <f t="shared" si="110"/>
        <v>1.7601622844659439</v>
      </c>
      <c r="BX95" s="31">
        <f t="shared" si="111"/>
        <v>4.0475721138051118E-2</v>
      </c>
      <c r="BY95" s="31">
        <f t="shared" si="112"/>
        <v>5.6416574800596593E-2</v>
      </c>
      <c r="BZ95" s="31">
        <f t="shared" si="113"/>
        <v>2.6855974010347734E-2</v>
      </c>
      <c r="CA95" s="31">
        <f t="shared" si="114"/>
        <v>1.8515401447567748E-2</v>
      </c>
      <c r="CB95" s="31">
        <f t="shared" si="115"/>
        <v>1.259047298434607E-3</v>
      </c>
      <c r="CC95" s="31">
        <f t="shared" si="116"/>
        <v>3.146600741656366E-4</v>
      </c>
      <c r="CD95" s="31">
        <f t="shared" si="117"/>
        <v>3.0368355995055626E-4</v>
      </c>
      <c r="CE95">
        <v>0.01</v>
      </c>
      <c r="CF95">
        <v>1E-3</v>
      </c>
      <c r="CG95">
        <v>2E-3</v>
      </c>
      <c r="CH95">
        <v>1E-3</v>
      </c>
      <c r="CI95">
        <v>1E-3</v>
      </c>
      <c r="CK95">
        <v>2E-3</v>
      </c>
      <c r="CL95">
        <v>1E-3</v>
      </c>
      <c r="CM95">
        <v>1E-3</v>
      </c>
      <c r="CN95" s="58">
        <f t="shared" si="143"/>
        <v>5087.0899999999992</v>
      </c>
      <c r="CO95" s="58">
        <f t="shared" si="118"/>
        <v>387.09</v>
      </c>
      <c r="CP95" s="31">
        <f t="shared" si="119"/>
        <v>1.9043033467950581</v>
      </c>
      <c r="CQ95" s="31">
        <f t="shared" si="120"/>
        <v>0.14414106232911397</v>
      </c>
      <c r="CR95">
        <v>5100</v>
      </c>
      <c r="CS95">
        <v>4900</v>
      </c>
      <c r="CT95">
        <v>1600</v>
      </c>
      <c r="CU95" t="s">
        <v>69</v>
      </c>
      <c r="CV95" t="s">
        <v>69</v>
      </c>
      <c r="CW95">
        <v>6400</v>
      </c>
      <c r="CX95" s="2">
        <f t="shared" si="90"/>
        <v>6244</v>
      </c>
      <c r="CZ95">
        <v>69</v>
      </c>
      <c r="DA95" t="s">
        <v>62</v>
      </c>
      <c r="DB95" t="s">
        <v>88</v>
      </c>
      <c r="DC95" t="s">
        <v>782</v>
      </c>
      <c r="DD95" s="37">
        <f t="shared" si="91"/>
        <v>7.5569435769310846</v>
      </c>
      <c r="DE95" s="37">
        <f t="shared" si="144"/>
        <v>7.5569435769310846</v>
      </c>
      <c r="DF95" s="37">
        <v>0.2</v>
      </c>
      <c r="DG95" s="37">
        <f t="shared" si="92"/>
        <v>3.5810205908683975E-3</v>
      </c>
      <c r="DH95" s="37">
        <f t="shared" si="121"/>
        <v>3.5810205908683975E-3</v>
      </c>
      <c r="DI95" s="37">
        <f t="shared" si="93"/>
        <v>7.7569435769310848</v>
      </c>
      <c r="DJ95" s="37">
        <f t="shared" si="122"/>
        <v>0.13888887335597286</v>
      </c>
      <c r="DK95" s="37">
        <f t="shared" si="123"/>
        <v>0.13888887335597286</v>
      </c>
      <c r="DL95" s="55">
        <f t="shared" si="124"/>
        <v>0.58130335207162187</v>
      </c>
      <c r="DM95" s="55">
        <f t="shared" si="124"/>
        <v>0.58130335207162187</v>
      </c>
      <c r="DN95" s="37">
        <f t="shared" si="125"/>
        <v>0.78130335207162194</v>
      </c>
      <c r="DO95" s="55">
        <f t="shared" si="126"/>
        <v>1.3989316957414896E-2</v>
      </c>
      <c r="DP95" s="55">
        <f t="shared" si="127"/>
        <v>1.3989316957414896E-2</v>
      </c>
      <c r="DQ95" s="37">
        <v>0.9</v>
      </c>
      <c r="DR95" s="37">
        <f t="shared" si="128"/>
        <v>1.6384489350081924E-2</v>
      </c>
      <c r="DS95" s="37">
        <f t="shared" si="129"/>
        <v>3.2768978700163848E-2</v>
      </c>
      <c r="DT95" s="37">
        <f t="shared" si="94"/>
        <v>8.4768509038262092</v>
      </c>
      <c r="DU95" s="37">
        <f t="shared" si="95"/>
        <v>4.2384254519131046</v>
      </c>
      <c r="DV95" s="37">
        <f t="shared" si="96"/>
        <v>8.6569435769310843</v>
      </c>
      <c r="DW95" s="37">
        <f t="shared" si="97"/>
        <v>0.17165785205613671</v>
      </c>
      <c r="DX95">
        <v>27</v>
      </c>
      <c r="DY95" t="s">
        <v>65</v>
      </c>
      <c r="DZ95" s="29">
        <f t="shared" si="84"/>
        <v>1</v>
      </c>
      <c r="EA95" s="30">
        <v>1.7000000000000001E-2</v>
      </c>
      <c r="EB95" s="30">
        <f t="shared" si="130"/>
        <v>2.741935483870968E-4</v>
      </c>
      <c r="EC95" s="30">
        <f t="shared" si="131"/>
        <v>1.370967741935484E-3</v>
      </c>
      <c r="ED95" s="31">
        <f t="shared" si="145"/>
        <v>13</v>
      </c>
      <c r="EE95" s="33">
        <f t="shared" si="146"/>
        <v>15.853658536585366</v>
      </c>
      <c r="EF95" s="37">
        <f t="shared" si="98"/>
        <v>1.0826566729127629</v>
      </c>
      <c r="EG95" s="37">
        <f>$EK93-EK95</f>
        <v>1</v>
      </c>
      <c r="EH95" s="33">
        <f>(EG95/$EK93)*100</f>
        <v>1.4285714285714286</v>
      </c>
      <c r="EI95" s="37">
        <f t="shared" si="147"/>
        <v>8.3281282531750989E-2</v>
      </c>
      <c r="EJ95" s="37">
        <f>($EG95/96.06)*8</f>
        <v>8.3281282531750989E-2</v>
      </c>
      <c r="EK95" s="31">
        <v>69</v>
      </c>
      <c r="EL95" s="31">
        <f t="shared" si="132"/>
        <v>0.71830106183635223</v>
      </c>
      <c r="EM95" s="31">
        <f t="shared" si="133"/>
        <v>5.7464084946908178</v>
      </c>
      <c r="EN95" s="32">
        <f t="shared" si="99"/>
        <v>5.747779462432753</v>
      </c>
      <c r="EO95" s="39">
        <f t="shared" si="134"/>
        <v>1.2543145249688996</v>
      </c>
      <c r="EP95" s="37">
        <f t="shared" si="100"/>
        <v>2.6125009355987761E-2</v>
      </c>
      <c r="EQ95" s="37">
        <f t="shared" si="101"/>
        <v>0.11072890458588652</v>
      </c>
      <c r="ER95" s="37">
        <f t="shared" si="102"/>
        <v>0.86314608605812571</v>
      </c>
      <c r="ES95" s="39">
        <f t="shared" si="135"/>
        <v>0.13003957818932974</v>
      </c>
      <c r="ET95" s="55">
        <f t="shared" si="136"/>
        <v>10.757737876577313</v>
      </c>
      <c r="EU95" s="55">
        <f t="shared" si="137"/>
        <v>25.199234845605389</v>
      </c>
      <c r="EV95" s="55">
        <f t="shared" si="138"/>
        <v>64.043027277817288</v>
      </c>
      <c r="EW95" t="s">
        <v>499</v>
      </c>
      <c r="EX95" t="s">
        <v>558</v>
      </c>
      <c r="EY95">
        <v>-108</v>
      </c>
      <c r="EZ95" t="s">
        <v>259</v>
      </c>
      <c r="FA95">
        <v>735</v>
      </c>
      <c r="FB95" t="s">
        <v>113</v>
      </c>
      <c r="FC95" t="s">
        <v>88</v>
      </c>
      <c r="FD95" s="39">
        <f t="shared" si="139"/>
        <v>-3.8136950848543849E-2</v>
      </c>
      <c r="FE95" s="39">
        <f t="shared" si="140"/>
        <v>0.1060041114805701</v>
      </c>
      <c r="FF95" s="39">
        <f t="shared" si="141"/>
        <v>1.086137995931026</v>
      </c>
      <c r="FG95" s="39">
        <f t="shared" si="142"/>
        <v>1.2302790582601399</v>
      </c>
    </row>
    <row r="96" spans="1:163" ht="15.75" x14ac:dyDescent="0.25">
      <c r="A96" s="6" t="s">
        <v>354</v>
      </c>
      <c r="B96" s="6" t="s">
        <v>354</v>
      </c>
      <c r="C96" s="3" t="s">
        <v>885</v>
      </c>
      <c r="D96" s="3" t="s">
        <v>885</v>
      </c>
      <c r="E96" s="3" t="s">
        <v>1245</v>
      </c>
      <c r="F96" s="3" t="s">
        <v>1034</v>
      </c>
      <c r="G96" s="3" t="s">
        <v>774</v>
      </c>
      <c r="H96" s="3" t="str">
        <f t="shared" si="87"/>
        <v>CW_3_Section_3</v>
      </c>
      <c r="I96" s="3" t="str">
        <f t="shared" si="88"/>
        <v>CW_3_MF09</v>
      </c>
      <c r="J96" s="3" t="s">
        <v>1492</v>
      </c>
      <c r="K96" s="3" t="s">
        <v>1484</v>
      </c>
      <c r="L96" s="11" t="s">
        <v>1104</v>
      </c>
      <c r="M96" s="3" t="s">
        <v>1015</v>
      </c>
      <c r="N96" s="3" t="s">
        <v>1015</v>
      </c>
      <c r="O96" s="12" t="s">
        <v>1016</v>
      </c>
      <c r="P96" s="3" t="s">
        <v>1246</v>
      </c>
      <c r="Q96" s="3" t="s">
        <v>1018</v>
      </c>
      <c r="R96" s="3" t="s">
        <v>1205</v>
      </c>
      <c r="S96" s="3" t="str">
        <f t="shared" si="89"/>
        <v>T3_0.15-0.30</v>
      </c>
      <c r="T96" s="13" t="s">
        <v>1206</v>
      </c>
      <c r="U96" s="3" t="s">
        <v>1160</v>
      </c>
      <c r="V96" s="3">
        <v>150</v>
      </c>
      <c r="W96" s="16">
        <v>100</v>
      </c>
      <c r="X96" s="15">
        <v>8.6999999999999993</v>
      </c>
      <c r="Y96" s="3">
        <v>95</v>
      </c>
      <c r="Z96" t="s">
        <v>580</v>
      </c>
      <c r="AA96" t="s">
        <v>261</v>
      </c>
      <c r="AB96" s="1">
        <v>45707</v>
      </c>
      <c r="AC96">
        <v>9.4</v>
      </c>
      <c r="AD96">
        <v>10</v>
      </c>
      <c r="AE96">
        <v>210</v>
      </c>
      <c r="AF96" s="37">
        <f t="shared" si="103"/>
        <v>8.0655485853283831E-2</v>
      </c>
      <c r="AG96">
        <v>1.4</v>
      </c>
      <c r="AH96" s="37">
        <f t="shared" si="104"/>
        <v>5.4699370523116997E-4</v>
      </c>
      <c r="AI96">
        <v>33</v>
      </c>
      <c r="AJ96" s="37">
        <f t="shared" si="105"/>
        <v>1.3054535179429217E-2</v>
      </c>
      <c r="AK96">
        <v>17</v>
      </c>
      <c r="AL96" s="37">
        <f t="shared" si="106"/>
        <v>6.725063577281718E-3</v>
      </c>
      <c r="AM96">
        <v>7.9</v>
      </c>
      <c r="AN96" s="37">
        <f t="shared" si="107"/>
        <v>3.1251766035603279E-3</v>
      </c>
      <c r="AO96">
        <v>24.9</v>
      </c>
      <c r="AQ96" s="59">
        <v>269.3</v>
      </c>
      <c r="AR96" s="59">
        <f t="shared" si="108"/>
        <v>9.425701473794422E-2</v>
      </c>
      <c r="AS96">
        <v>40</v>
      </c>
      <c r="AT96" s="37">
        <f t="shared" si="109"/>
        <v>1.4980104548646327E-2</v>
      </c>
      <c r="AU96" t="s">
        <v>780</v>
      </c>
      <c r="AV96" t="s">
        <v>780</v>
      </c>
      <c r="AW96" t="s">
        <v>780</v>
      </c>
      <c r="AX96" t="s">
        <v>780</v>
      </c>
      <c r="AY96" t="s">
        <v>780</v>
      </c>
      <c r="AZ96" t="s">
        <v>780</v>
      </c>
      <c r="BA96" t="s">
        <v>780</v>
      </c>
      <c r="BB96" t="s">
        <v>780</v>
      </c>
      <c r="BC96" t="s">
        <v>780</v>
      </c>
      <c r="BD96" t="s">
        <v>780</v>
      </c>
      <c r="BE96" t="s">
        <v>780</v>
      </c>
      <c r="BF96" t="s">
        <v>780</v>
      </c>
      <c r="BG96" t="s">
        <v>780</v>
      </c>
      <c r="BH96" t="s">
        <v>780</v>
      </c>
      <c r="BI96" t="s">
        <v>780</v>
      </c>
      <c r="BJ96" t="s">
        <v>780</v>
      </c>
      <c r="BK96" t="s">
        <v>780</v>
      </c>
      <c r="BL96" t="s">
        <v>780</v>
      </c>
      <c r="BM96" t="s">
        <v>780</v>
      </c>
      <c r="BN96" t="s">
        <v>780</v>
      </c>
      <c r="BO96" s="58">
        <v>21</v>
      </c>
      <c r="BP96" s="58">
        <v>0.4</v>
      </c>
      <c r="BQ96" s="58">
        <v>0.22</v>
      </c>
      <c r="BR96" s="58">
        <v>0.06</v>
      </c>
      <c r="BS96" s="58">
        <v>0.01</v>
      </c>
      <c r="BT96" s="58">
        <v>1E-3</v>
      </c>
      <c r="BU96" s="58">
        <v>1E-3</v>
      </c>
      <c r="BV96" s="58">
        <v>2E-3</v>
      </c>
      <c r="BW96" s="31">
        <f t="shared" si="110"/>
        <v>7.8645548880393219E-3</v>
      </c>
      <c r="BX96" s="31">
        <f t="shared" si="111"/>
        <v>1.4718444050200409E-4</v>
      </c>
      <c r="BY96" s="31">
        <f t="shared" si="112"/>
        <v>8.2744309707541669E-5</v>
      </c>
      <c r="BZ96" s="31">
        <f t="shared" si="113"/>
        <v>2.2379978341956443E-5</v>
      </c>
      <c r="CA96" s="31">
        <f t="shared" si="114"/>
        <v>3.7030802895135499E-6</v>
      </c>
      <c r="CB96" s="31">
        <f t="shared" si="115"/>
        <v>3.7030802895135499E-7</v>
      </c>
      <c r="CC96" s="31">
        <f t="shared" si="116"/>
        <v>3.6588380716934485E-7</v>
      </c>
      <c r="CD96" s="31">
        <f t="shared" si="117"/>
        <v>7.3176761433868969E-7</v>
      </c>
      <c r="CE96">
        <v>1E-3</v>
      </c>
      <c r="CF96">
        <v>1E-3</v>
      </c>
      <c r="CG96">
        <v>2E-3</v>
      </c>
      <c r="CH96">
        <v>1E-3</v>
      </c>
      <c r="CI96">
        <v>1E-3</v>
      </c>
      <c r="CK96">
        <v>2E-3</v>
      </c>
      <c r="CL96">
        <v>1E-3</v>
      </c>
      <c r="CM96">
        <v>1E-3</v>
      </c>
      <c r="CN96" s="58">
        <f t="shared" si="143"/>
        <v>21.693999999999999</v>
      </c>
      <c r="CO96" s="58">
        <f t="shared" si="118"/>
        <v>0.69399999999999995</v>
      </c>
      <c r="CP96" s="31">
        <f t="shared" si="119"/>
        <v>8.1220346563307972E-3</v>
      </c>
      <c r="CQ96" s="31">
        <f t="shared" si="120"/>
        <v>2.5747976829147511E-4</v>
      </c>
      <c r="CR96">
        <v>22</v>
      </c>
      <c r="CS96">
        <v>60</v>
      </c>
      <c r="CT96">
        <v>30</v>
      </c>
      <c r="CU96" t="s">
        <v>69</v>
      </c>
      <c r="CV96" t="s">
        <v>69</v>
      </c>
      <c r="CW96">
        <v>120</v>
      </c>
      <c r="CX96" s="2">
        <f t="shared" si="90"/>
        <v>291.3</v>
      </c>
      <c r="CZ96">
        <v>63</v>
      </c>
      <c r="DA96" t="s">
        <v>62</v>
      </c>
      <c r="DB96" t="s">
        <v>88</v>
      </c>
      <c r="DC96" t="s">
        <v>782</v>
      </c>
      <c r="DD96" s="37">
        <f t="shared" si="91"/>
        <v>47.376223193837184</v>
      </c>
      <c r="DE96" s="37">
        <f t="shared" si="144"/>
        <v>47.376223193837184</v>
      </c>
      <c r="DF96" s="37">
        <v>21</v>
      </c>
      <c r="DG96" s="37">
        <f t="shared" si="92"/>
        <v>0.37600716204118173</v>
      </c>
      <c r="DH96" s="37">
        <f t="shared" si="121"/>
        <v>0.37600716204118173</v>
      </c>
      <c r="DI96" s="37">
        <f t="shared" si="93"/>
        <v>68.376223193837177</v>
      </c>
      <c r="DJ96" s="37">
        <f t="shared" si="122"/>
        <v>1.2242833159147211</v>
      </c>
      <c r="DK96" s="37">
        <f t="shared" si="123"/>
        <v>1.2242833159147211</v>
      </c>
      <c r="DL96" s="55">
        <f t="shared" si="124"/>
        <v>40.400582968977723</v>
      </c>
      <c r="DM96" s="55">
        <f t="shared" si="124"/>
        <v>40.400582968977723</v>
      </c>
      <c r="DN96" s="37">
        <f t="shared" si="125"/>
        <v>61.400582968977723</v>
      </c>
      <c r="DO96" s="55">
        <f t="shared" si="126"/>
        <v>1.0993837595161633</v>
      </c>
      <c r="DP96" s="55">
        <f t="shared" si="127"/>
        <v>1.0993837595161633</v>
      </c>
      <c r="DQ96" s="37">
        <v>4.5999999999999996</v>
      </c>
      <c r="DR96" s="37">
        <f t="shared" si="128"/>
        <v>8.3742945567085378E-2</v>
      </c>
      <c r="DS96" s="37">
        <f t="shared" si="129"/>
        <v>0.16748589113417076</v>
      </c>
      <c r="DT96" s="37">
        <f t="shared" si="94"/>
        <v>14.619539683303397</v>
      </c>
      <c r="DU96" s="37">
        <f t="shared" si="95"/>
        <v>7.3097698416516987</v>
      </c>
      <c r="DV96" s="37">
        <f t="shared" si="96"/>
        <v>72.976223193837171</v>
      </c>
      <c r="DW96" s="37">
        <f t="shared" si="97"/>
        <v>1.3917692070488918</v>
      </c>
      <c r="DX96">
        <v>24</v>
      </c>
      <c r="DY96" t="s">
        <v>120</v>
      </c>
      <c r="DZ96" s="29">
        <f t="shared" si="84"/>
        <v>1</v>
      </c>
      <c r="EA96" s="30">
        <v>1.7000000000000001E-2</v>
      </c>
      <c r="EB96" s="30">
        <f t="shared" si="130"/>
        <v>2.741935483870968E-4</v>
      </c>
      <c r="EC96" s="30">
        <f t="shared" si="131"/>
        <v>1.370967741935484E-3</v>
      </c>
      <c r="ED96" s="31">
        <f t="shared" si="145"/>
        <v>81.5</v>
      </c>
      <c r="EE96" s="33">
        <f t="shared" si="146"/>
        <v>99.390243902439025</v>
      </c>
      <c r="EF96" s="37">
        <f t="shared" si="98"/>
        <v>6.7874245263377055</v>
      </c>
      <c r="EG96" s="37">
        <f>$EK94-EK96</f>
        <v>69.5</v>
      </c>
      <c r="EH96" s="33">
        <f>(EG96/$EK94)*100</f>
        <v>99.285714285714292</v>
      </c>
      <c r="EI96" s="37">
        <f t="shared" si="147"/>
        <v>5.7880491359566939</v>
      </c>
      <c r="EJ96" s="37">
        <f>($EG96/96.06)*8</f>
        <v>5.7880491359566939</v>
      </c>
      <c r="EK96" s="31">
        <v>0.5</v>
      </c>
      <c r="EL96" s="31">
        <f t="shared" si="132"/>
        <v>5.2050801582344368E-3</v>
      </c>
      <c r="EM96" s="31">
        <f t="shared" si="133"/>
        <v>4.1640641265875494E-2</v>
      </c>
      <c r="EN96" s="32">
        <f t="shared" si="99"/>
        <v>4.301160900781098E-2</v>
      </c>
      <c r="EO96" s="39">
        <f t="shared" si="134"/>
        <v>8.1791937333865974</v>
      </c>
      <c r="EP96" s="37">
        <f t="shared" si="100"/>
        <v>2.0477066150238157E-2</v>
      </c>
      <c r="EQ96" s="37">
        <f t="shared" si="101"/>
        <v>0.14968264059051775</v>
      </c>
      <c r="ER96" s="37">
        <f t="shared" si="102"/>
        <v>0.82984029325924413</v>
      </c>
      <c r="ES96" s="39">
        <f t="shared" si="135"/>
        <v>7.0549187866070282</v>
      </c>
      <c r="ET96" s="55">
        <f t="shared" si="136"/>
        <v>15.583223461100928</v>
      </c>
      <c r="EU96" s="55">
        <f t="shared" si="137"/>
        <v>2.3740300377677475</v>
      </c>
      <c r="EV96" s="55">
        <f t="shared" si="138"/>
        <v>82.042746501131319</v>
      </c>
      <c r="EW96" t="s">
        <v>581</v>
      </c>
      <c r="EX96" t="s">
        <v>160</v>
      </c>
      <c r="EY96">
        <v>-86</v>
      </c>
      <c r="EZ96" t="s">
        <v>174</v>
      </c>
      <c r="FA96">
        <v>822</v>
      </c>
      <c r="FB96" t="s">
        <v>113</v>
      </c>
      <c r="FC96" t="s">
        <v>88</v>
      </c>
      <c r="FD96" s="39">
        <f t="shared" si="139"/>
        <v>-8.0699566141000076</v>
      </c>
      <c r="FE96" s="39">
        <f t="shared" si="140"/>
        <v>-8.0696991343317155</v>
      </c>
      <c r="FF96" s="39">
        <f t="shared" si="141"/>
        <v>-6.9456816673204376</v>
      </c>
      <c r="FG96" s="39">
        <f t="shared" si="142"/>
        <v>-6.9454241875521463</v>
      </c>
    </row>
    <row r="97" spans="1:163" ht="15.75" x14ac:dyDescent="0.25">
      <c r="A97" s="6" t="s">
        <v>355</v>
      </c>
      <c r="B97" s="6" t="s">
        <v>355</v>
      </c>
      <c r="C97" s="3" t="s">
        <v>886</v>
      </c>
      <c r="D97" s="3" t="s">
        <v>886</v>
      </c>
      <c r="E97" s="3" t="s">
        <v>1247</v>
      </c>
      <c r="F97" s="3" t="s">
        <v>1034</v>
      </c>
      <c r="G97" s="3" t="s">
        <v>774</v>
      </c>
      <c r="H97" s="3" t="str">
        <f t="shared" si="87"/>
        <v>CW_3_Section_3</v>
      </c>
      <c r="I97" s="3" t="str">
        <f t="shared" si="88"/>
        <v>CW_3_MF10</v>
      </c>
      <c r="J97" s="3" t="s">
        <v>1493</v>
      </c>
      <c r="K97" s="3" t="s">
        <v>1484</v>
      </c>
      <c r="L97" s="11" t="s">
        <v>1107</v>
      </c>
      <c r="M97" s="3" t="s">
        <v>1024</v>
      </c>
      <c r="N97" s="3" t="s">
        <v>1024</v>
      </c>
      <c r="O97" s="12" t="s">
        <v>1016</v>
      </c>
      <c r="P97" s="3" t="s">
        <v>1248</v>
      </c>
      <c r="Q97" s="3" t="s">
        <v>1018</v>
      </c>
      <c r="R97" s="3" t="s">
        <v>1205</v>
      </c>
      <c r="S97" s="3" t="str">
        <f t="shared" si="89"/>
        <v>T3_0.60-0.80</v>
      </c>
      <c r="T97" s="13" t="s">
        <v>1206</v>
      </c>
      <c r="U97" s="3" t="s">
        <v>1160</v>
      </c>
      <c r="V97" s="3">
        <v>150</v>
      </c>
      <c r="W97" s="16">
        <v>100</v>
      </c>
      <c r="X97" s="15">
        <v>3.25</v>
      </c>
      <c r="Y97" s="3">
        <v>96</v>
      </c>
      <c r="Z97" t="s">
        <v>582</v>
      </c>
      <c r="AA97" t="s">
        <v>264</v>
      </c>
      <c r="AB97" s="1">
        <v>45707</v>
      </c>
      <c r="AC97">
        <v>11</v>
      </c>
      <c r="AD97">
        <v>12</v>
      </c>
      <c r="AE97">
        <v>560</v>
      </c>
      <c r="AF97" s="37">
        <f t="shared" si="103"/>
        <v>0.21508129560875688</v>
      </c>
      <c r="AG97">
        <v>2</v>
      </c>
      <c r="AH97" s="37">
        <f t="shared" si="104"/>
        <v>7.8141957890167139E-4</v>
      </c>
      <c r="AI97">
        <v>390</v>
      </c>
      <c r="AJ97" s="37">
        <f t="shared" si="105"/>
        <v>0.1542808703023453</v>
      </c>
      <c r="AK97">
        <v>130</v>
      </c>
      <c r="AL97" s="37">
        <f t="shared" si="106"/>
        <v>5.1426956767448434E-2</v>
      </c>
      <c r="AM97">
        <v>150</v>
      </c>
      <c r="AN97" s="37">
        <f t="shared" si="107"/>
        <v>5.9338796270132804E-2</v>
      </c>
      <c r="AO97">
        <v>280</v>
      </c>
      <c r="AQ97" s="59">
        <v>1244</v>
      </c>
      <c r="AR97" s="59">
        <f t="shared" si="108"/>
        <v>0.37014358549000387</v>
      </c>
      <c r="AS97">
        <v>2600</v>
      </c>
      <c r="AT97" s="37">
        <f t="shared" si="109"/>
        <v>0.97370679566201146</v>
      </c>
      <c r="AU97" t="s">
        <v>780</v>
      </c>
      <c r="AV97" t="s">
        <v>780</v>
      </c>
      <c r="AW97" t="s">
        <v>780</v>
      </c>
      <c r="AX97" t="s">
        <v>780</v>
      </c>
      <c r="AY97" t="s">
        <v>780</v>
      </c>
      <c r="AZ97" t="s">
        <v>780</v>
      </c>
      <c r="BA97" t="s">
        <v>780</v>
      </c>
      <c r="BB97" t="s">
        <v>780</v>
      </c>
      <c r="BC97" t="s">
        <v>780</v>
      </c>
      <c r="BD97" t="s">
        <v>780</v>
      </c>
      <c r="BE97" t="s">
        <v>780</v>
      </c>
      <c r="BF97" t="s">
        <v>780</v>
      </c>
      <c r="BG97" t="s">
        <v>780</v>
      </c>
      <c r="BH97" t="s">
        <v>780</v>
      </c>
      <c r="BI97" t="s">
        <v>780</v>
      </c>
      <c r="BJ97" t="s">
        <v>780</v>
      </c>
      <c r="BK97" t="s">
        <v>780</v>
      </c>
      <c r="BL97" t="s">
        <v>780</v>
      </c>
      <c r="BM97" t="s">
        <v>780</v>
      </c>
      <c r="BN97" t="s">
        <v>780</v>
      </c>
      <c r="BO97" s="58">
        <v>2700</v>
      </c>
      <c r="BP97" s="58">
        <v>95</v>
      </c>
      <c r="BQ97" s="58">
        <v>130</v>
      </c>
      <c r="BR97" s="58">
        <v>40</v>
      </c>
      <c r="BS97" s="58">
        <v>20</v>
      </c>
      <c r="BT97" s="58">
        <v>1.6</v>
      </c>
      <c r="BU97" s="58">
        <v>7.0000000000000007E-2</v>
      </c>
      <c r="BV97" s="58">
        <v>0.03</v>
      </c>
      <c r="BW97" s="31">
        <f t="shared" si="110"/>
        <v>1.0111570570336272</v>
      </c>
      <c r="BX97" s="31">
        <f t="shared" si="111"/>
        <v>3.495630461922597E-2</v>
      </c>
      <c r="BY97" s="31">
        <f t="shared" si="112"/>
        <v>4.8894364827183713E-2</v>
      </c>
      <c r="BZ97" s="31">
        <f t="shared" si="113"/>
        <v>1.4919985561304295E-2</v>
      </c>
      <c r="CA97" s="31">
        <f t="shared" si="114"/>
        <v>7.4061605790270999E-3</v>
      </c>
      <c r="CB97" s="31">
        <f t="shared" si="115"/>
        <v>5.9249284632216796E-4</v>
      </c>
      <c r="CC97" s="31">
        <f t="shared" si="116"/>
        <v>2.5611866501854141E-5</v>
      </c>
      <c r="CD97" s="31">
        <f t="shared" si="117"/>
        <v>1.0976514215080345E-5</v>
      </c>
      <c r="CE97">
        <v>1E-3</v>
      </c>
      <c r="CF97">
        <v>1E-3</v>
      </c>
      <c r="CG97">
        <v>2E-3</v>
      </c>
      <c r="CH97">
        <v>1E-3</v>
      </c>
      <c r="CI97">
        <v>1E-3</v>
      </c>
      <c r="CK97">
        <v>2E-3</v>
      </c>
      <c r="CL97">
        <v>1E-3</v>
      </c>
      <c r="CM97">
        <v>1E-3</v>
      </c>
      <c r="CN97" s="58">
        <f t="shared" si="143"/>
        <v>2986.7000000000003</v>
      </c>
      <c r="CO97" s="58">
        <f t="shared" si="118"/>
        <v>286.7</v>
      </c>
      <c r="CP97" s="31">
        <f t="shared" si="119"/>
        <v>1.1179629538474076</v>
      </c>
      <c r="CQ97" s="31">
        <f t="shared" si="120"/>
        <v>0.10680589681378017</v>
      </c>
      <c r="CR97">
        <v>3000</v>
      </c>
      <c r="CS97">
        <v>5200</v>
      </c>
      <c r="CT97">
        <v>1500</v>
      </c>
      <c r="CU97" t="s">
        <v>69</v>
      </c>
      <c r="CV97" t="s">
        <v>69</v>
      </c>
      <c r="CW97">
        <v>6700</v>
      </c>
      <c r="CX97" s="2">
        <f t="shared" si="90"/>
        <v>4244</v>
      </c>
      <c r="CZ97">
        <v>68</v>
      </c>
      <c r="DA97" t="s">
        <v>62</v>
      </c>
      <c r="DB97" t="s">
        <v>88</v>
      </c>
      <c r="DC97" t="s">
        <v>782</v>
      </c>
      <c r="DD97" s="37">
        <f t="shared" si="91"/>
        <v>9.8821569852175717</v>
      </c>
      <c r="DE97" s="37">
        <f t="shared" si="144"/>
        <v>9.8821569852175717</v>
      </c>
      <c r="DF97" s="37">
        <v>0.6</v>
      </c>
      <c r="DG97" s="37">
        <f t="shared" si="92"/>
        <v>1.0743061772605192E-2</v>
      </c>
      <c r="DH97" s="37">
        <f t="shared" si="121"/>
        <v>1.0743061772605192E-2</v>
      </c>
      <c r="DI97" s="37">
        <f t="shared" si="93"/>
        <v>10.482156985217571</v>
      </c>
      <c r="DJ97" s="37">
        <f t="shared" si="122"/>
        <v>0.18768410000389563</v>
      </c>
      <c r="DK97" s="37">
        <f t="shared" si="123"/>
        <v>0.18768410000389563</v>
      </c>
      <c r="DL97" s="55">
        <f t="shared" si="124"/>
        <v>2.3252134082864875</v>
      </c>
      <c r="DM97" s="55">
        <f t="shared" si="124"/>
        <v>2.3252134082864875</v>
      </c>
      <c r="DN97" s="37">
        <f t="shared" si="125"/>
        <v>2.9252134082864876</v>
      </c>
      <c r="DO97" s="55">
        <f t="shared" si="126"/>
        <v>5.2376247238791182E-2</v>
      </c>
      <c r="DP97" s="55">
        <f t="shared" si="127"/>
        <v>5.2376247238791182E-2</v>
      </c>
      <c r="DQ97" s="37">
        <v>1.2</v>
      </c>
      <c r="DR97" s="37">
        <f t="shared" si="128"/>
        <v>2.1845985800109231E-2</v>
      </c>
      <c r="DS97" s="37">
        <f t="shared" si="129"/>
        <v>4.3691971600218461E-2</v>
      </c>
      <c r="DT97" s="37">
        <f t="shared" si="94"/>
        <v>8.5912396776783222</v>
      </c>
      <c r="DU97" s="37">
        <f t="shared" si="95"/>
        <v>4.2956198388391611</v>
      </c>
      <c r="DV97" s="37">
        <f t="shared" si="96"/>
        <v>11.682156985217571</v>
      </c>
      <c r="DW97" s="37">
        <f t="shared" si="97"/>
        <v>0.23137607160411408</v>
      </c>
      <c r="DX97">
        <v>32</v>
      </c>
      <c r="DY97" t="s">
        <v>55</v>
      </c>
      <c r="DZ97" s="29">
        <f t="shared" si="84"/>
        <v>1</v>
      </c>
      <c r="EA97" s="30">
        <v>1.7000000000000001E-2</v>
      </c>
      <c r="EB97" s="30">
        <f t="shared" si="130"/>
        <v>2.741935483870968E-4</v>
      </c>
      <c r="EC97" s="30">
        <f t="shared" si="131"/>
        <v>1.370967741935484E-3</v>
      </c>
      <c r="ED97" s="31">
        <f t="shared" si="145"/>
        <v>17</v>
      </c>
      <c r="EE97" s="33">
        <f t="shared" si="146"/>
        <v>20.73170731707317</v>
      </c>
      <c r="EF97" s="37">
        <f t="shared" si="98"/>
        <v>1.4157818030397669</v>
      </c>
      <c r="EG97" s="29">
        <f>$EK95-EK97</f>
        <v>4</v>
      </c>
      <c r="EH97" s="33">
        <f>(EG97/$EK95)*100</f>
        <v>5.7971014492753623</v>
      </c>
      <c r="EI97" s="37">
        <f t="shared" si="147"/>
        <v>0.33312513012700395</v>
      </c>
      <c r="EJ97" s="37">
        <f>($EG97/96.06)*8</f>
        <v>0.33312513012700395</v>
      </c>
      <c r="EK97" s="31">
        <v>65</v>
      </c>
      <c r="EL97" s="31">
        <f t="shared" si="132"/>
        <v>0.67666042057047682</v>
      </c>
      <c r="EM97" s="31">
        <f t="shared" si="133"/>
        <v>5.4132833645638145</v>
      </c>
      <c r="EN97" s="32">
        <f t="shared" si="99"/>
        <v>5.4146543323057497</v>
      </c>
      <c r="EO97" s="39">
        <f t="shared" si="134"/>
        <v>1.6471578746438809</v>
      </c>
      <c r="EP97" s="37">
        <f t="shared" si="100"/>
        <v>2.6525673265936797E-2</v>
      </c>
      <c r="EQ97" s="37">
        <f t="shared" si="101"/>
        <v>0.11394420831972366</v>
      </c>
      <c r="ER97" s="37">
        <f t="shared" si="102"/>
        <v>0.85953011841433957</v>
      </c>
      <c r="ES97" s="39">
        <f t="shared" si="135"/>
        <v>0.42919334896601358</v>
      </c>
      <c r="ET97" s="55">
        <f t="shared" si="136"/>
        <v>12.203415398904209</v>
      </c>
      <c r="EU97" s="55">
        <f t="shared" si="137"/>
        <v>10.180020660962825</v>
      </c>
      <c r="EV97" s="55">
        <f t="shared" si="138"/>
        <v>77.616563940132963</v>
      </c>
      <c r="EW97" t="s">
        <v>58</v>
      </c>
      <c r="EX97" t="s">
        <v>212</v>
      </c>
      <c r="EY97">
        <v>-98</v>
      </c>
      <c r="EZ97" t="s">
        <v>194</v>
      </c>
      <c r="FA97">
        <v>690</v>
      </c>
      <c r="FB97" t="s">
        <v>113</v>
      </c>
      <c r="FC97" t="s">
        <v>88</v>
      </c>
      <c r="FD97" s="39">
        <f t="shared" si="139"/>
        <v>-0.30330749349186559</v>
      </c>
      <c r="FE97" s="39">
        <f t="shared" si="140"/>
        <v>-0.19650159667808542</v>
      </c>
      <c r="FF97" s="39">
        <f t="shared" si="141"/>
        <v>0.91465703218600169</v>
      </c>
      <c r="FG97" s="39">
        <f t="shared" si="142"/>
        <v>1.0214629289997819</v>
      </c>
    </row>
    <row r="98" spans="1:163" s="37" customFormat="1" ht="15.75" x14ac:dyDescent="0.25">
      <c r="A98" s="34" t="s">
        <v>356</v>
      </c>
      <c r="B98" s="34" t="s">
        <v>356</v>
      </c>
      <c r="C98" s="34" t="s">
        <v>887</v>
      </c>
      <c r="D98" s="34" t="s">
        <v>887</v>
      </c>
      <c r="E98" s="34" t="s">
        <v>1249</v>
      </c>
      <c r="F98" s="34" t="s">
        <v>1048</v>
      </c>
      <c r="G98" s="34" t="s">
        <v>1049</v>
      </c>
      <c r="H98" s="34" t="str">
        <f t="shared" si="87"/>
        <v>CW_0_Section_0</v>
      </c>
      <c r="I98" s="34" t="str">
        <f t="shared" si="88"/>
        <v>CW_0_INF</v>
      </c>
      <c r="J98" s="34" t="s">
        <v>1481</v>
      </c>
      <c r="K98" s="34" t="s">
        <v>1481</v>
      </c>
      <c r="L98" s="34" t="s">
        <v>780</v>
      </c>
      <c r="M98" s="34" t="s">
        <v>780</v>
      </c>
      <c r="N98" s="34" t="s">
        <v>1481</v>
      </c>
      <c r="O98" s="35" t="s">
        <v>1016</v>
      </c>
      <c r="P98" s="34" t="s">
        <v>1250</v>
      </c>
      <c r="Q98" s="34" t="s">
        <v>1018</v>
      </c>
      <c r="R98" s="34" t="s">
        <v>1251</v>
      </c>
      <c r="S98" s="34" t="str">
        <f t="shared" si="89"/>
        <v>T4_INF</v>
      </c>
      <c r="T98" s="36" t="s">
        <v>1252</v>
      </c>
      <c r="U98" s="34" t="s">
        <v>1021</v>
      </c>
      <c r="V98" s="34">
        <v>150</v>
      </c>
      <c r="W98" s="34">
        <v>65</v>
      </c>
      <c r="X98" s="43">
        <v>4.55</v>
      </c>
      <c r="Y98" s="34">
        <v>97</v>
      </c>
      <c r="Z98" s="37" t="s">
        <v>598</v>
      </c>
      <c r="AA98" s="37" t="s">
        <v>130</v>
      </c>
      <c r="AB98" s="38">
        <v>45762</v>
      </c>
      <c r="AC98" s="37">
        <v>16</v>
      </c>
      <c r="AD98" s="37">
        <v>16</v>
      </c>
      <c r="AE98" s="37">
        <v>570</v>
      </c>
      <c r="AF98" s="37">
        <f t="shared" si="103"/>
        <v>0.21892203303034183</v>
      </c>
      <c r="AG98" s="37">
        <v>150</v>
      </c>
      <c r="AH98" s="37">
        <f t="shared" si="104"/>
        <v>5.8606468417625353E-2</v>
      </c>
      <c r="AI98" s="37">
        <v>660</v>
      </c>
      <c r="AJ98" s="37">
        <f t="shared" si="105"/>
        <v>0.26109070358858438</v>
      </c>
      <c r="AK98" s="37">
        <v>210</v>
      </c>
      <c r="AL98" s="37">
        <f t="shared" si="106"/>
        <v>8.3074314778185929E-2</v>
      </c>
      <c r="AM98" s="37">
        <v>390</v>
      </c>
      <c r="AN98" s="37">
        <f t="shared" si="107"/>
        <v>0.1542808703023453</v>
      </c>
      <c r="AO98" s="37">
        <v>600</v>
      </c>
      <c r="AQ98" s="59">
        <v>1980</v>
      </c>
      <c r="AR98" s="59">
        <f t="shared" si="108"/>
        <v>0.53861920503655158</v>
      </c>
      <c r="AS98" s="37">
        <v>4000</v>
      </c>
      <c r="AT98" s="37">
        <f t="shared" si="109"/>
        <v>1.4980104548646329</v>
      </c>
      <c r="AU98" s="37" t="s">
        <v>780</v>
      </c>
      <c r="AV98" s="37" t="s">
        <v>780</v>
      </c>
      <c r="AW98" s="37" t="s">
        <v>780</v>
      </c>
      <c r="AX98" s="37" t="s">
        <v>780</v>
      </c>
      <c r="AY98" s="37" t="s">
        <v>780</v>
      </c>
      <c r="AZ98" s="37" t="s">
        <v>780</v>
      </c>
      <c r="BA98" s="37" t="s">
        <v>780</v>
      </c>
      <c r="BB98" s="37" t="s">
        <v>780</v>
      </c>
      <c r="BC98" s="37" t="s">
        <v>780</v>
      </c>
      <c r="BD98" s="37" t="s">
        <v>780</v>
      </c>
      <c r="BE98" s="37" t="s">
        <v>780</v>
      </c>
      <c r="BF98" s="37" t="s">
        <v>780</v>
      </c>
      <c r="BG98" s="37" t="s">
        <v>780</v>
      </c>
      <c r="BH98" s="37" t="s">
        <v>780</v>
      </c>
      <c r="BI98" s="37" t="s">
        <v>780</v>
      </c>
      <c r="BJ98" s="37" t="s">
        <v>780</v>
      </c>
      <c r="BK98" s="37" t="s">
        <v>780</v>
      </c>
      <c r="BL98" s="37" t="s">
        <v>780</v>
      </c>
      <c r="BM98" s="37" t="s">
        <v>780</v>
      </c>
      <c r="BN98" s="37" t="s">
        <v>780</v>
      </c>
      <c r="BO98" s="58">
        <v>4800</v>
      </c>
      <c r="BP98" s="58">
        <v>160</v>
      </c>
      <c r="BQ98" s="58">
        <v>210</v>
      </c>
      <c r="BR98" s="58">
        <v>120</v>
      </c>
      <c r="BS98" s="58">
        <v>120</v>
      </c>
      <c r="BT98" s="58">
        <v>22</v>
      </c>
      <c r="BU98" s="58">
        <v>12</v>
      </c>
      <c r="BV98" s="58">
        <v>14</v>
      </c>
      <c r="BW98" s="31">
        <f t="shared" si="110"/>
        <v>1.7976125458375594</v>
      </c>
      <c r="BX98" s="31">
        <f t="shared" si="111"/>
        <v>5.8873776200801628E-2</v>
      </c>
      <c r="BY98" s="31">
        <f t="shared" si="112"/>
        <v>7.8983204720835226E-2</v>
      </c>
      <c r="BZ98" s="31">
        <f t="shared" si="113"/>
        <v>4.4759956683912888E-2</v>
      </c>
      <c r="CA98" s="31">
        <f t="shared" si="114"/>
        <v>4.4436963474162601E-2</v>
      </c>
      <c r="CB98" s="31">
        <f t="shared" si="115"/>
        <v>8.1467766369298089E-3</v>
      </c>
      <c r="CC98" s="31">
        <f t="shared" si="116"/>
        <v>4.3906056860321388E-3</v>
      </c>
      <c r="CD98" s="31">
        <f t="shared" si="117"/>
        <v>5.1223733003708284E-3</v>
      </c>
      <c r="CE98" s="37">
        <v>2.8</v>
      </c>
      <c r="CF98" s="37">
        <v>2.8</v>
      </c>
      <c r="CG98" s="37">
        <v>1.4</v>
      </c>
      <c r="CH98" s="37">
        <v>0.5</v>
      </c>
      <c r="CI98" s="37">
        <v>1.7</v>
      </c>
      <c r="CK98" s="37">
        <v>0.13</v>
      </c>
      <c r="CL98" s="37">
        <v>0.63</v>
      </c>
      <c r="CM98" s="37">
        <v>0.59</v>
      </c>
      <c r="CN98" s="58">
        <f t="shared" si="143"/>
        <v>5458</v>
      </c>
      <c r="CO98" s="58">
        <f t="shared" si="118"/>
        <v>658</v>
      </c>
      <c r="CP98" s="31">
        <f t="shared" si="119"/>
        <v>2.0423262025406048</v>
      </c>
      <c r="CQ98" s="31">
        <f t="shared" si="120"/>
        <v>0.2447136567030451</v>
      </c>
      <c r="CR98" s="37">
        <v>5400</v>
      </c>
      <c r="CS98" s="37">
        <v>7600</v>
      </c>
      <c r="CT98" s="37">
        <v>3800</v>
      </c>
      <c r="CU98" s="37" t="s">
        <v>69</v>
      </c>
      <c r="CV98" s="37" t="s">
        <v>69</v>
      </c>
      <c r="CW98" s="37">
        <v>11000</v>
      </c>
      <c r="CX98" s="40">
        <f t="shared" si="90"/>
        <v>7380</v>
      </c>
      <c r="CZ98" s="37">
        <v>71</v>
      </c>
      <c r="DA98" s="37" t="s">
        <v>62</v>
      </c>
      <c r="DB98" s="37" t="s">
        <v>88</v>
      </c>
      <c r="DC98" s="37" t="s">
        <v>782</v>
      </c>
      <c r="DD98" s="37">
        <f t="shared" si="91"/>
        <v>0</v>
      </c>
      <c r="DE98" s="37">
        <f t="shared" si="144"/>
        <v>0</v>
      </c>
      <c r="DF98" s="37">
        <v>0.6</v>
      </c>
      <c r="DG98" s="37">
        <f t="shared" si="92"/>
        <v>1.0743061772605192E-2</v>
      </c>
      <c r="DH98" s="37">
        <f t="shared" si="121"/>
        <v>1.0743061772605192E-2</v>
      </c>
      <c r="DI98" s="37">
        <f t="shared" si="93"/>
        <v>0.6</v>
      </c>
      <c r="DJ98" s="37">
        <f t="shared" si="122"/>
        <v>1.0743061772605192E-2</v>
      </c>
      <c r="DK98" s="37">
        <f t="shared" si="123"/>
        <v>1.0743061772605192E-2</v>
      </c>
      <c r="DL98" s="55">
        <f t="shared" si="124"/>
        <v>0</v>
      </c>
      <c r="DM98" s="55">
        <f t="shared" si="124"/>
        <v>0</v>
      </c>
      <c r="DN98" s="37">
        <f t="shared" si="125"/>
        <v>0.6</v>
      </c>
      <c r="DO98" s="55">
        <f t="shared" si="126"/>
        <v>1.0743061772605192E-2</v>
      </c>
      <c r="DP98" s="55">
        <f t="shared" si="127"/>
        <v>1.0743061772605192E-2</v>
      </c>
      <c r="DQ98" s="37">
        <v>0.8</v>
      </c>
      <c r="DR98" s="37">
        <f t="shared" si="128"/>
        <v>1.4563990533406155E-2</v>
      </c>
      <c r="DS98" s="37">
        <f t="shared" si="129"/>
        <v>2.912798106681231E-2</v>
      </c>
      <c r="DT98" s="37">
        <f t="shared" si="94"/>
        <v>0.7376454789615039</v>
      </c>
      <c r="DU98" s="37">
        <f t="shared" si="95"/>
        <v>0.36882273948075195</v>
      </c>
      <c r="DV98" s="37">
        <f t="shared" si="96"/>
        <v>1.4</v>
      </c>
      <c r="DW98" s="37">
        <f t="shared" si="97"/>
        <v>3.9871042839417503E-2</v>
      </c>
      <c r="DX98" s="37" t="s">
        <v>780</v>
      </c>
      <c r="DY98" s="37" t="s">
        <v>229</v>
      </c>
      <c r="DZ98" s="37">
        <f>EA98/$EA$98</f>
        <v>1</v>
      </c>
      <c r="EA98" s="37">
        <v>1.7000000000000001E-2</v>
      </c>
      <c r="EB98" s="37">
        <f t="shared" si="130"/>
        <v>2.741935483870968E-4</v>
      </c>
      <c r="EC98" s="37">
        <f t="shared" si="131"/>
        <v>1.370967741935484E-3</v>
      </c>
      <c r="ED98" s="37">
        <f>$EK$98-EK98</f>
        <v>0</v>
      </c>
      <c r="EE98" s="39">
        <f t="shared" ref="EE98:EE119" si="148">(ED98/$EK$98)*100</f>
        <v>0</v>
      </c>
      <c r="EF98" s="37">
        <f t="shared" si="98"/>
        <v>0</v>
      </c>
      <c r="EG98" s="37">
        <f>$EK98-EK98</f>
        <v>0</v>
      </c>
      <c r="EH98" s="33">
        <f>(EG98/$EK98)*100</f>
        <v>0</v>
      </c>
      <c r="EI98" s="37">
        <f t="shared" si="147"/>
        <v>0</v>
      </c>
      <c r="EJ98" s="37">
        <f>($EG98/96.06)*8</f>
        <v>0</v>
      </c>
      <c r="EK98" s="37">
        <v>87</v>
      </c>
      <c r="EL98" s="37">
        <f t="shared" si="132"/>
        <v>0.90568394753279202</v>
      </c>
      <c r="EM98" s="37">
        <f t="shared" si="133"/>
        <v>7.2454715802623362</v>
      </c>
      <c r="EN98" s="37">
        <f t="shared" si="99"/>
        <v>7.2468425480042713</v>
      </c>
      <c r="EO98" s="39">
        <f t="shared" si="134"/>
        <v>3.9871042839417503E-2</v>
      </c>
      <c r="EP98" s="37">
        <f t="shared" si="100"/>
        <v>0.7305547834333459</v>
      </c>
      <c r="EQ98" s="37">
        <f t="shared" si="101"/>
        <v>0.2694452165666541</v>
      </c>
      <c r="ER98" s="37">
        <f t="shared" si="102"/>
        <v>0</v>
      </c>
      <c r="ES98" s="39">
        <f t="shared" si="135"/>
        <v>3.9871042839417503E-2</v>
      </c>
      <c r="ET98" s="55">
        <f t="shared" si="136"/>
        <v>26.944521656665408</v>
      </c>
      <c r="EU98" s="55">
        <f t="shared" si="137"/>
        <v>73.055478343334585</v>
      </c>
      <c r="EV98" s="55">
        <f t="shared" si="138"/>
        <v>0</v>
      </c>
      <c r="EW98" s="37" t="s">
        <v>780</v>
      </c>
      <c r="EX98" s="37" t="s">
        <v>780</v>
      </c>
      <c r="EY98" s="37" t="s">
        <v>780</v>
      </c>
      <c r="EZ98" s="37" t="s">
        <v>780</v>
      </c>
      <c r="FA98" s="37" t="s">
        <v>780</v>
      </c>
      <c r="FB98" s="37" t="s">
        <v>780</v>
      </c>
      <c r="FC98" s="37" t="s">
        <v>88</v>
      </c>
      <c r="FD98" s="39">
        <f t="shared" si="139"/>
        <v>1.9967586170617668</v>
      </c>
      <c r="FE98" s="39">
        <f t="shared" si="140"/>
        <v>2.2414722737648121</v>
      </c>
      <c r="FF98" s="39">
        <f t="shared" si="141"/>
        <v>1.9967586170617668</v>
      </c>
      <c r="FG98" s="39">
        <f t="shared" si="142"/>
        <v>2.2414722737648121</v>
      </c>
    </row>
    <row r="99" spans="1:163" ht="15.75" x14ac:dyDescent="0.25">
      <c r="A99" s="7" t="s">
        <v>357</v>
      </c>
      <c r="B99" s="7" t="s">
        <v>357</v>
      </c>
      <c r="C99" s="3" t="s">
        <v>888</v>
      </c>
      <c r="D99" s="3" t="s">
        <v>888</v>
      </c>
      <c r="E99" s="3" t="s">
        <v>1253</v>
      </c>
      <c r="F99" s="3" t="s">
        <v>1055</v>
      </c>
      <c r="G99" s="3" t="s">
        <v>772</v>
      </c>
      <c r="H99" s="3" t="str">
        <f t="shared" si="87"/>
        <v>CW_1_Section_5</v>
      </c>
      <c r="I99" s="3" t="str">
        <f t="shared" si="88"/>
        <v>CW_1_EFF</v>
      </c>
      <c r="J99" s="3" t="s">
        <v>1482</v>
      </c>
      <c r="K99" s="3" t="s">
        <v>1482</v>
      </c>
      <c r="L99" s="3" t="s">
        <v>780</v>
      </c>
      <c r="M99" s="3" t="s">
        <v>780</v>
      </c>
      <c r="N99" s="3" t="s">
        <v>1482</v>
      </c>
      <c r="O99" s="12" t="s">
        <v>1016</v>
      </c>
      <c r="P99" s="3" t="s">
        <v>1254</v>
      </c>
      <c r="Q99" s="3" t="s">
        <v>1018</v>
      </c>
      <c r="R99" s="3" t="s">
        <v>1251</v>
      </c>
      <c r="S99" s="3" t="str">
        <f t="shared" si="89"/>
        <v>T4_EFF</v>
      </c>
      <c r="T99" s="13" t="s">
        <v>1252</v>
      </c>
      <c r="U99" s="3" t="s">
        <v>1021</v>
      </c>
      <c r="V99" s="3">
        <v>150</v>
      </c>
      <c r="W99" s="3">
        <v>65</v>
      </c>
      <c r="X99" s="17">
        <v>4.9000000000000004</v>
      </c>
      <c r="Y99" s="3">
        <v>98</v>
      </c>
      <c r="Z99" t="s">
        <v>584</v>
      </c>
      <c r="AA99" t="s">
        <v>47</v>
      </c>
      <c r="AB99" s="1">
        <v>45762</v>
      </c>
      <c r="AC99">
        <v>9.6999999999999993</v>
      </c>
      <c r="AD99">
        <v>9.8000000000000007</v>
      </c>
      <c r="AE99">
        <v>190</v>
      </c>
      <c r="AF99" s="37">
        <f t="shared" si="103"/>
        <v>7.2974011010113943E-2</v>
      </c>
      <c r="AG99">
        <v>0.5</v>
      </c>
      <c r="AH99" s="37">
        <f t="shared" si="104"/>
        <v>1.9535489472541785E-4</v>
      </c>
      <c r="AI99">
        <v>160</v>
      </c>
      <c r="AJ99" s="37">
        <f t="shared" si="105"/>
        <v>6.3294716021474989E-2</v>
      </c>
      <c r="AK99">
        <v>36</v>
      </c>
      <c r="AL99" s="37">
        <f t="shared" si="106"/>
        <v>1.4241311104831874E-2</v>
      </c>
      <c r="AM99">
        <v>31</v>
      </c>
      <c r="AN99" s="37">
        <f t="shared" si="107"/>
        <v>1.2263351229160779E-2</v>
      </c>
      <c r="AO99">
        <v>67</v>
      </c>
      <c r="AQ99" s="59">
        <v>420.5</v>
      </c>
      <c r="AR99" s="59">
        <f t="shared" si="108"/>
        <v>0.13646408192631435</v>
      </c>
      <c r="AS99">
        <v>960</v>
      </c>
      <c r="AT99" s="37">
        <f t="shared" si="109"/>
        <v>0.35952250916751188</v>
      </c>
      <c r="AU99" t="s">
        <v>780</v>
      </c>
      <c r="AV99" t="s">
        <v>780</v>
      </c>
      <c r="AW99" t="s">
        <v>780</v>
      </c>
      <c r="AX99" t="s">
        <v>780</v>
      </c>
      <c r="AY99" t="s">
        <v>780</v>
      </c>
      <c r="AZ99" t="s">
        <v>780</v>
      </c>
      <c r="BA99" t="s">
        <v>780</v>
      </c>
      <c r="BB99" t="s">
        <v>780</v>
      </c>
      <c r="BC99" t="s">
        <v>780</v>
      </c>
      <c r="BD99" t="s">
        <v>780</v>
      </c>
      <c r="BE99" t="s">
        <v>780</v>
      </c>
      <c r="BF99" t="s">
        <v>780</v>
      </c>
      <c r="BG99" t="s">
        <v>780</v>
      </c>
      <c r="BH99" t="s">
        <v>780</v>
      </c>
      <c r="BI99" t="s">
        <v>780</v>
      </c>
      <c r="BJ99" t="s">
        <v>780</v>
      </c>
      <c r="BK99" t="s">
        <v>780</v>
      </c>
      <c r="BL99" t="s">
        <v>780</v>
      </c>
      <c r="BM99" t="s">
        <v>780</v>
      </c>
      <c r="BN99" t="s">
        <v>780</v>
      </c>
      <c r="BO99" s="58">
        <v>730</v>
      </c>
      <c r="BP99" s="58">
        <v>4</v>
      </c>
      <c r="BQ99" s="58">
        <v>44</v>
      </c>
      <c r="BR99" s="58">
        <v>2</v>
      </c>
      <c r="BS99" s="58">
        <v>1.9</v>
      </c>
      <c r="BT99" s="58">
        <v>0.27</v>
      </c>
      <c r="BU99" s="58">
        <v>0.04</v>
      </c>
      <c r="BV99" s="58">
        <v>0.03</v>
      </c>
      <c r="BW99" s="31">
        <f t="shared" si="110"/>
        <v>0.27338690801279553</v>
      </c>
      <c r="BX99" s="31">
        <f t="shared" si="111"/>
        <v>1.4718444050200407E-3</v>
      </c>
      <c r="BY99" s="31">
        <f t="shared" si="112"/>
        <v>1.6548861941508335E-2</v>
      </c>
      <c r="BZ99" s="31">
        <f t="shared" si="113"/>
        <v>7.4599927806521475E-4</v>
      </c>
      <c r="CA99" s="31">
        <f t="shared" si="114"/>
        <v>7.0358525500757447E-4</v>
      </c>
      <c r="CB99" s="31">
        <f t="shared" si="115"/>
        <v>9.9983167816865867E-5</v>
      </c>
      <c r="CC99" s="31">
        <f t="shared" si="116"/>
        <v>1.4635352286773795E-5</v>
      </c>
      <c r="CD99" s="31">
        <f t="shared" si="117"/>
        <v>1.0976514215080345E-5</v>
      </c>
      <c r="CE99">
        <v>1E-3</v>
      </c>
      <c r="CF99">
        <v>1E-3</v>
      </c>
      <c r="CG99">
        <v>2E-3</v>
      </c>
      <c r="CH99">
        <v>1E-3</v>
      </c>
      <c r="CI99">
        <v>1E-3</v>
      </c>
      <c r="CK99">
        <v>2E-3</v>
      </c>
      <c r="CL99">
        <v>1E-3</v>
      </c>
      <c r="CM99">
        <v>1E-3</v>
      </c>
      <c r="CN99" s="58">
        <f t="shared" si="143"/>
        <v>782.2399999999999</v>
      </c>
      <c r="CO99" s="58">
        <f t="shared" si="118"/>
        <v>52.24</v>
      </c>
      <c r="CP99" s="31">
        <f t="shared" si="119"/>
        <v>0.29298279392671539</v>
      </c>
      <c r="CQ99" s="31">
        <f t="shared" si="120"/>
        <v>1.9595885913919885E-2</v>
      </c>
      <c r="CR99">
        <v>770</v>
      </c>
      <c r="CS99">
        <v>1600</v>
      </c>
      <c r="CT99">
        <v>420</v>
      </c>
      <c r="CU99" t="s">
        <v>69</v>
      </c>
      <c r="CV99" t="s">
        <v>69</v>
      </c>
      <c r="CW99">
        <v>2000</v>
      </c>
      <c r="CX99" s="2">
        <f t="shared" si="90"/>
        <v>1190.5</v>
      </c>
      <c r="CZ99">
        <v>73</v>
      </c>
      <c r="DA99" t="s">
        <v>62</v>
      </c>
      <c r="DB99" t="s">
        <v>88</v>
      </c>
      <c r="DC99" t="s">
        <v>782</v>
      </c>
      <c r="DD99" s="37">
        <f t="shared" si="91"/>
        <v>41.272537997085152</v>
      </c>
      <c r="DE99" s="37">
        <f t="shared" si="144"/>
        <v>41.272537997085152</v>
      </c>
      <c r="DF99" s="37">
        <v>5.5</v>
      </c>
      <c r="DG99" s="37">
        <f t="shared" si="92"/>
        <v>9.8478066248880933E-2</v>
      </c>
      <c r="DH99" s="37">
        <f t="shared" si="121"/>
        <v>9.8478066248880933E-2</v>
      </c>
      <c r="DI99" s="37">
        <f t="shared" si="93"/>
        <v>46.772537997085152</v>
      </c>
      <c r="DJ99" s="37">
        <f t="shared" si="122"/>
        <v>0.8374671082736822</v>
      </c>
      <c r="DK99" s="37">
        <f t="shared" si="123"/>
        <v>0.8374671082736822</v>
      </c>
      <c r="DL99" s="55">
        <f t="shared" si="124"/>
        <v>26.158650843222983</v>
      </c>
      <c r="DM99" s="55">
        <f t="shared" si="124"/>
        <v>26.158650843222983</v>
      </c>
      <c r="DN99" s="37">
        <f t="shared" si="125"/>
        <v>31.658650843222983</v>
      </c>
      <c r="DO99" s="55">
        <f t="shared" si="126"/>
        <v>0.56685140274347323</v>
      </c>
      <c r="DP99" s="55">
        <f t="shared" si="127"/>
        <v>0.56685140274347323</v>
      </c>
      <c r="DQ99" s="37">
        <v>1.7</v>
      </c>
      <c r="DR99" s="37">
        <f t="shared" si="128"/>
        <v>3.0948479883488075E-2</v>
      </c>
      <c r="DS99" s="37">
        <f t="shared" si="129"/>
        <v>6.1896959766976151E-2</v>
      </c>
      <c r="DT99" s="37">
        <f t="shared" si="94"/>
        <v>27.06004015145492</v>
      </c>
      <c r="DU99" s="37">
        <f t="shared" si="95"/>
        <v>13.53002007572746</v>
      </c>
      <c r="DV99" s="37">
        <f t="shared" si="96"/>
        <v>48.472537997085155</v>
      </c>
      <c r="DW99" s="37">
        <f t="shared" si="97"/>
        <v>0.89936406804065838</v>
      </c>
      <c r="DX99" t="s">
        <v>780</v>
      </c>
      <c r="DY99" t="s">
        <v>84</v>
      </c>
      <c r="DZ99" s="29">
        <f t="shared" si="84"/>
        <v>1</v>
      </c>
      <c r="EA99" s="30">
        <v>1.7000000000000001E-2</v>
      </c>
      <c r="EB99" s="30">
        <f t="shared" si="130"/>
        <v>2.741935483870968E-4</v>
      </c>
      <c r="EC99" s="30">
        <f t="shared" si="131"/>
        <v>1.370967741935484E-3</v>
      </c>
      <c r="ED99" s="31">
        <f t="shared" ref="ED99:ED119" si="149">$EK$98-EK99</f>
        <v>71</v>
      </c>
      <c r="EE99" s="33">
        <f t="shared" si="148"/>
        <v>81.609195402298852</v>
      </c>
      <c r="EF99" s="37">
        <f t="shared" si="98"/>
        <v>5.9129710597543204</v>
      </c>
      <c r="EG99" s="37">
        <f>$EK107-EK99</f>
        <v>45</v>
      </c>
      <c r="EH99" s="33">
        <f>(EG99/EK107)*100</f>
        <v>73.770491803278688</v>
      </c>
      <c r="EI99" s="37">
        <f t="shared" si="147"/>
        <v>3.7476577139287945</v>
      </c>
      <c r="EJ99" s="37">
        <f>($EG99/96.06)*8</f>
        <v>3.7476577139287945</v>
      </c>
      <c r="EK99" s="31">
        <v>16</v>
      </c>
      <c r="EL99" s="31">
        <f t="shared" si="132"/>
        <v>0.16656256506350198</v>
      </c>
      <c r="EM99" s="31">
        <f t="shared" si="133"/>
        <v>1.3325005205080158</v>
      </c>
      <c r="EN99" s="32">
        <f t="shared" si="99"/>
        <v>1.3338714882499514</v>
      </c>
      <c r="EO99" s="39">
        <f t="shared" si="134"/>
        <v>6.8123351277949791</v>
      </c>
      <c r="EP99" s="37">
        <f t="shared" si="100"/>
        <v>9.0860121538106128E-3</v>
      </c>
      <c r="EQ99" s="37">
        <f t="shared" si="101"/>
        <v>0.12293392684936129</v>
      </c>
      <c r="ER99" s="37">
        <f t="shared" si="102"/>
        <v>0.86798006099682801</v>
      </c>
      <c r="ES99" s="39">
        <f t="shared" si="135"/>
        <v>4.3764060764392436</v>
      </c>
      <c r="ET99" s="55">
        <f t="shared" si="136"/>
        <v>12.952440720598718</v>
      </c>
      <c r="EU99" s="55">
        <f t="shared" si="137"/>
        <v>1.4143331008565163</v>
      </c>
      <c r="EV99" s="55">
        <f t="shared" si="138"/>
        <v>85.633226178544774</v>
      </c>
      <c r="EW99" t="s">
        <v>585</v>
      </c>
      <c r="EX99" t="s">
        <v>586</v>
      </c>
      <c r="EY99">
        <v>-91</v>
      </c>
      <c r="EZ99" t="s">
        <v>202</v>
      </c>
      <c r="FA99">
        <v>866</v>
      </c>
      <c r="FB99" t="s">
        <v>108</v>
      </c>
      <c r="FC99" t="s">
        <v>88</v>
      </c>
      <c r="FD99" s="39">
        <f t="shared" si="139"/>
        <v>-6.3163485367011525</v>
      </c>
      <c r="FE99" s="39">
        <f t="shared" si="140"/>
        <v>-6.2967526507872327</v>
      </c>
      <c r="FF99" s="39">
        <f t="shared" si="141"/>
        <v>-3.8804194853454175</v>
      </c>
      <c r="FG99" s="39">
        <f t="shared" si="142"/>
        <v>-3.8608235994314972</v>
      </c>
    </row>
    <row r="100" spans="1:163" ht="15.75" x14ac:dyDescent="0.25">
      <c r="A100" s="7" t="s">
        <v>358</v>
      </c>
      <c r="B100" s="7" t="s">
        <v>358</v>
      </c>
      <c r="C100" s="3" t="s">
        <v>889</v>
      </c>
      <c r="D100" s="3" t="s">
        <v>889</v>
      </c>
      <c r="E100" s="3" t="s">
        <v>1255</v>
      </c>
      <c r="F100" s="3" t="s">
        <v>1055</v>
      </c>
      <c r="G100" s="3" t="s">
        <v>773</v>
      </c>
      <c r="H100" s="3" t="str">
        <f t="shared" si="87"/>
        <v>CW_2_Section_5</v>
      </c>
      <c r="I100" s="3" t="str">
        <f t="shared" si="88"/>
        <v>CW_2_EFF</v>
      </c>
      <c r="J100" s="3" t="s">
        <v>1482</v>
      </c>
      <c r="K100" s="3" t="s">
        <v>1482</v>
      </c>
      <c r="L100" s="3" t="s">
        <v>780</v>
      </c>
      <c r="M100" s="3" t="s">
        <v>780</v>
      </c>
      <c r="N100" s="3" t="s">
        <v>1482</v>
      </c>
      <c r="O100" s="12" t="s">
        <v>1016</v>
      </c>
      <c r="P100" s="3" t="s">
        <v>1256</v>
      </c>
      <c r="Q100" s="3" t="s">
        <v>1018</v>
      </c>
      <c r="R100" s="3" t="s">
        <v>1251</v>
      </c>
      <c r="S100" s="3" t="str">
        <f t="shared" si="89"/>
        <v>T4_EFF</v>
      </c>
      <c r="T100" s="13" t="s">
        <v>1252</v>
      </c>
      <c r="U100" s="3" t="s">
        <v>1021</v>
      </c>
      <c r="V100" s="3">
        <v>150</v>
      </c>
      <c r="W100" s="3">
        <v>65</v>
      </c>
      <c r="X100" s="17">
        <v>6.9</v>
      </c>
      <c r="Y100" s="3">
        <v>99</v>
      </c>
      <c r="Z100" t="s">
        <v>599</v>
      </c>
      <c r="AA100" t="s">
        <v>196</v>
      </c>
      <c r="AB100" s="1">
        <v>45762</v>
      </c>
      <c r="AC100">
        <v>12</v>
      </c>
      <c r="AD100">
        <v>11</v>
      </c>
      <c r="AE100">
        <v>580</v>
      </c>
      <c r="AF100" s="37">
        <f t="shared" si="103"/>
        <v>0.22276277045192677</v>
      </c>
      <c r="AG100">
        <v>0.5</v>
      </c>
      <c r="AH100" s="37">
        <f t="shared" si="104"/>
        <v>1.9535489472541785E-4</v>
      </c>
      <c r="AI100">
        <v>450</v>
      </c>
      <c r="AJ100" s="37">
        <f t="shared" si="105"/>
        <v>0.17801638881039844</v>
      </c>
      <c r="AK100">
        <v>130</v>
      </c>
      <c r="AL100" s="37">
        <f t="shared" si="106"/>
        <v>5.1426956767448434E-2</v>
      </c>
      <c r="AM100">
        <v>110</v>
      </c>
      <c r="AN100" s="37">
        <f t="shared" si="107"/>
        <v>4.3515117264764057E-2</v>
      </c>
      <c r="AO100">
        <v>240</v>
      </c>
      <c r="AQ100" s="59">
        <v>1273.5</v>
      </c>
      <c r="AR100" s="59">
        <f t="shared" si="108"/>
        <v>0.40097451415705065</v>
      </c>
      <c r="AS100">
        <v>2800</v>
      </c>
      <c r="AT100" s="37">
        <f t="shared" si="109"/>
        <v>1.0486073184052431</v>
      </c>
      <c r="AU100" t="s">
        <v>780</v>
      </c>
      <c r="AV100" t="s">
        <v>780</v>
      </c>
      <c r="AW100" t="s">
        <v>780</v>
      </c>
      <c r="AX100" t="s">
        <v>780</v>
      </c>
      <c r="AY100" t="s">
        <v>780</v>
      </c>
      <c r="AZ100" t="s">
        <v>780</v>
      </c>
      <c r="BA100" t="s">
        <v>780</v>
      </c>
      <c r="BB100" t="s">
        <v>780</v>
      </c>
      <c r="BC100" t="s">
        <v>780</v>
      </c>
      <c r="BD100" t="s">
        <v>780</v>
      </c>
      <c r="BE100" t="s">
        <v>780</v>
      </c>
      <c r="BF100" t="s">
        <v>780</v>
      </c>
      <c r="BG100" t="s">
        <v>780</v>
      </c>
      <c r="BH100" t="s">
        <v>780</v>
      </c>
      <c r="BI100" t="s">
        <v>780</v>
      </c>
      <c r="BJ100" t="s">
        <v>780</v>
      </c>
      <c r="BK100" t="s">
        <v>780</v>
      </c>
      <c r="BL100" t="s">
        <v>780</v>
      </c>
      <c r="BM100" t="s">
        <v>780</v>
      </c>
      <c r="BN100" t="s">
        <v>780</v>
      </c>
      <c r="BO100" s="58">
        <v>2600</v>
      </c>
      <c r="BP100" s="58">
        <v>130</v>
      </c>
      <c r="BQ100" s="58">
        <v>110</v>
      </c>
      <c r="BR100" s="58">
        <v>53</v>
      </c>
      <c r="BS100" s="58">
        <v>22</v>
      </c>
      <c r="BT100" s="58">
        <v>4</v>
      </c>
      <c r="BU100" s="58">
        <v>0.23</v>
      </c>
      <c r="BV100" s="58">
        <v>0.11</v>
      </c>
      <c r="BW100" s="31">
        <f t="shared" si="110"/>
        <v>0.97370679566201146</v>
      </c>
      <c r="BX100" s="31">
        <f t="shared" si="111"/>
        <v>4.7834943163151324E-2</v>
      </c>
      <c r="BY100" s="31">
        <f t="shared" si="112"/>
        <v>4.1372154853770833E-2</v>
      </c>
      <c r="BZ100" s="31">
        <f t="shared" si="113"/>
        <v>1.9768980868728192E-2</v>
      </c>
      <c r="CA100" s="31">
        <f t="shared" si="114"/>
        <v>8.1467766369298089E-3</v>
      </c>
      <c r="CB100" s="31">
        <f t="shared" si="115"/>
        <v>1.48123211580542E-3</v>
      </c>
      <c r="CC100" s="31">
        <f t="shared" si="116"/>
        <v>8.4153275648949323E-5</v>
      </c>
      <c r="CD100" s="31">
        <f t="shared" si="117"/>
        <v>4.0247218788627937E-5</v>
      </c>
      <c r="CE100">
        <v>1E-3</v>
      </c>
      <c r="CF100">
        <v>1E-3</v>
      </c>
      <c r="CG100">
        <v>2E-3</v>
      </c>
      <c r="CH100">
        <v>1E-3</v>
      </c>
      <c r="CI100">
        <v>1E-3</v>
      </c>
      <c r="CK100">
        <v>2E-3</v>
      </c>
      <c r="CL100">
        <v>1E-3</v>
      </c>
      <c r="CM100">
        <v>1E-3</v>
      </c>
      <c r="CN100" s="58">
        <f t="shared" si="143"/>
        <v>2919.34</v>
      </c>
      <c r="CO100" s="58">
        <f t="shared" si="118"/>
        <v>319.34000000000003</v>
      </c>
      <c r="CP100" s="31">
        <f t="shared" si="119"/>
        <v>1.092435283794835</v>
      </c>
      <c r="CQ100" s="31">
        <f t="shared" si="120"/>
        <v>0.11872848813282316</v>
      </c>
      <c r="CR100">
        <v>2900</v>
      </c>
      <c r="CS100">
        <v>4100</v>
      </c>
      <c r="CT100">
        <v>1600</v>
      </c>
      <c r="CU100" t="s">
        <v>69</v>
      </c>
      <c r="CV100" t="s">
        <v>69</v>
      </c>
      <c r="CW100">
        <v>5700</v>
      </c>
      <c r="CX100" s="2">
        <f t="shared" si="90"/>
        <v>4173.5</v>
      </c>
      <c r="CZ100">
        <v>68</v>
      </c>
      <c r="DA100" t="s">
        <v>62</v>
      </c>
      <c r="DB100" t="s">
        <v>88</v>
      </c>
      <c r="DC100" t="s">
        <v>782</v>
      </c>
      <c r="DD100" s="37">
        <f t="shared" si="91"/>
        <v>18.020403914220278</v>
      </c>
      <c r="DE100" s="37">
        <f t="shared" si="144"/>
        <v>18.020403914220278</v>
      </c>
      <c r="DF100" s="37">
        <v>0.6</v>
      </c>
      <c r="DG100" s="37">
        <f t="shared" si="92"/>
        <v>1.0743061772605192E-2</v>
      </c>
      <c r="DH100" s="37">
        <f t="shared" si="121"/>
        <v>1.0743061772605192E-2</v>
      </c>
      <c r="DI100" s="37">
        <f t="shared" si="93"/>
        <v>18.62040391422028</v>
      </c>
      <c r="DJ100" s="37">
        <f t="shared" si="122"/>
        <v>0.33340024913554661</v>
      </c>
      <c r="DK100" s="37">
        <f t="shared" si="123"/>
        <v>0.33340024913554661</v>
      </c>
      <c r="DL100" s="55">
        <f t="shared" si="124"/>
        <v>-9.8821569852175717</v>
      </c>
      <c r="DN100" s="37">
        <f t="shared" si="125"/>
        <v>0.6</v>
      </c>
      <c r="DO100" s="55">
        <f t="shared" si="126"/>
        <v>1.0743061772605192E-2</v>
      </c>
      <c r="DP100" s="55">
        <f t="shared" si="127"/>
        <v>1.0743061772605192E-2</v>
      </c>
      <c r="DQ100" s="37">
        <v>1.3</v>
      </c>
      <c r="DR100" s="37">
        <f t="shared" si="128"/>
        <v>2.3666484616785E-2</v>
      </c>
      <c r="DS100" s="37">
        <f t="shared" si="129"/>
        <v>4.7332969233569999E-2</v>
      </c>
      <c r="DT100" s="37">
        <f t="shared" si="94"/>
        <v>14.087442834627366</v>
      </c>
      <c r="DU100" s="37">
        <f t="shared" si="95"/>
        <v>7.0437214173136828</v>
      </c>
      <c r="DV100" s="37">
        <f t="shared" si="96"/>
        <v>19.92040391422028</v>
      </c>
      <c r="DW100" s="37">
        <f t="shared" si="97"/>
        <v>0.38073321836911661</v>
      </c>
      <c r="DX100" t="s">
        <v>780</v>
      </c>
      <c r="DY100" t="s">
        <v>98</v>
      </c>
      <c r="DZ100" s="29">
        <f t="shared" si="84"/>
        <v>1</v>
      </c>
      <c r="EA100" s="30">
        <v>1.7000000000000001E-2</v>
      </c>
      <c r="EB100" s="30">
        <f t="shared" si="130"/>
        <v>2.741935483870968E-4</v>
      </c>
      <c r="EC100" s="30">
        <f t="shared" si="131"/>
        <v>1.370967741935484E-3</v>
      </c>
      <c r="ED100" s="31">
        <f t="shared" si="149"/>
        <v>31</v>
      </c>
      <c r="EE100" s="33">
        <f t="shared" si="148"/>
        <v>35.632183908045981</v>
      </c>
      <c r="EF100" s="37">
        <f t="shared" si="98"/>
        <v>2.5817197584842808</v>
      </c>
      <c r="EG100" s="37">
        <f>$EK113-EK100</f>
        <v>-17</v>
      </c>
      <c r="EH100" s="33">
        <f>(EG100/EK113)*100</f>
        <v>-43.589743589743591</v>
      </c>
      <c r="EI100" s="37">
        <f t="shared" si="147"/>
        <v>-1.4157818030397669</v>
      </c>
      <c r="EJ100" s="37"/>
      <c r="EK100" s="31">
        <v>56</v>
      </c>
      <c r="EL100" s="31">
        <f t="shared" si="132"/>
        <v>0.58296897772225686</v>
      </c>
      <c r="EM100" s="31">
        <f t="shared" si="133"/>
        <v>4.6637518217780549</v>
      </c>
      <c r="EN100" s="32">
        <f t="shared" si="99"/>
        <v>4.66512278951999</v>
      </c>
      <c r="EO100" s="39">
        <f t="shared" si="134"/>
        <v>2.9624529768533976</v>
      </c>
      <c r="EP100" s="37">
        <f t="shared" si="100"/>
        <v>1.5977627190506577E-2</v>
      </c>
      <c r="EQ100" s="37">
        <f t="shared" si="101"/>
        <v>0.11254195483962463</v>
      </c>
      <c r="ER100" s="37">
        <f t="shared" si="102"/>
        <v>0.87148041796986875</v>
      </c>
      <c r="ES100" s="39">
        <f t="shared" si="135"/>
        <v>5.8076031006175192E-2</v>
      </c>
      <c r="ET100" s="55">
        <f t="shared" si="136"/>
        <v>18.498271294508552</v>
      </c>
      <c r="EU100" s="55">
        <f t="shared" si="137"/>
        <v>81.501728705491445</v>
      </c>
      <c r="EV100" s="55">
        <f t="shared" si="138"/>
        <v>0</v>
      </c>
      <c r="EW100" t="s">
        <v>146</v>
      </c>
      <c r="EX100" t="s">
        <v>589</v>
      </c>
      <c r="EY100">
        <v>-42</v>
      </c>
      <c r="EZ100" t="s">
        <v>594</v>
      </c>
      <c r="FA100">
        <v>689</v>
      </c>
      <c r="FB100" t="s">
        <v>108</v>
      </c>
      <c r="FC100" t="s">
        <v>88</v>
      </c>
      <c r="FD100" s="39">
        <f t="shared" si="139"/>
        <v>-1.5128711442911038</v>
      </c>
      <c r="FE100" s="39">
        <f t="shared" si="140"/>
        <v>-1.3941426561582806</v>
      </c>
      <c r="FF100" s="39">
        <f t="shared" si="141"/>
        <v>1.3915058015561186</v>
      </c>
      <c r="FG100" s="39">
        <f t="shared" si="142"/>
        <v>1.5102342896889418</v>
      </c>
    </row>
    <row r="101" spans="1:163" ht="15.75" x14ac:dyDescent="0.25">
      <c r="A101" s="7" t="s">
        <v>359</v>
      </c>
      <c r="B101" s="7" t="s">
        <v>359</v>
      </c>
      <c r="C101" s="3" t="s">
        <v>890</v>
      </c>
      <c r="D101" s="3" t="s">
        <v>890</v>
      </c>
      <c r="E101" s="3" t="s">
        <v>1257</v>
      </c>
      <c r="F101" s="3" t="s">
        <v>1055</v>
      </c>
      <c r="G101" s="3" t="s">
        <v>774</v>
      </c>
      <c r="H101" s="3" t="str">
        <f t="shared" si="87"/>
        <v>CW_3_Section_5</v>
      </c>
      <c r="I101" s="3" t="str">
        <f t="shared" si="88"/>
        <v>CW_3_EFF</v>
      </c>
      <c r="J101" s="3" t="s">
        <v>1482</v>
      </c>
      <c r="K101" s="3" t="s">
        <v>1482</v>
      </c>
      <c r="L101" s="3" t="s">
        <v>780</v>
      </c>
      <c r="M101" s="3" t="s">
        <v>780</v>
      </c>
      <c r="N101" s="3" t="s">
        <v>1482</v>
      </c>
      <c r="O101" s="12" t="s">
        <v>1016</v>
      </c>
      <c r="P101" s="3" t="s">
        <v>1258</v>
      </c>
      <c r="Q101" s="3" t="s">
        <v>1018</v>
      </c>
      <c r="R101" s="3" t="s">
        <v>1251</v>
      </c>
      <c r="S101" s="3" t="str">
        <f t="shared" si="89"/>
        <v>T4_EFF</v>
      </c>
      <c r="T101" s="13" t="s">
        <v>1252</v>
      </c>
      <c r="U101" s="3" t="s">
        <v>1021</v>
      </c>
      <c r="V101" s="3">
        <v>150</v>
      </c>
      <c r="W101" s="3">
        <v>65</v>
      </c>
      <c r="X101" s="17">
        <v>49.15</v>
      </c>
      <c r="Y101" s="3">
        <v>100</v>
      </c>
      <c r="Z101" t="s">
        <v>610</v>
      </c>
      <c r="AA101" t="s">
        <v>236</v>
      </c>
      <c r="AB101" s="1">
        <v>45763</v>
      </c>
      <c r="AC101">
        <v>18</v>
      </c>
      <c r="AD101">
        <v>16</v>
      </c>
      <c r="AE101">
        <v>540</v>
      </c>
      <c r="AF101" s="37">
        <f t="shared" si="103"/>
        <v>0.207399820765587</v>
      </c>
      <c r="AG101">
        <v>2</v>
      </c>
      <c r="AH101" s="37">
        <f t="shared" si="104"/>
        <v>7.8141957890167139E-4</v>
      </c>
      <c r="AI101">
        <v>430</v>
      </c>
      <c r="AJ101" s="37">
        <f t="shared" si="105"/>
        <v>0.17010454930771404</v>
      </c>
      <c r="AK101">
        <v>120</v>
      </c>
      <c r="AL101" s="37">
        <f t="shared" si="106"/>
        <v>4.7471037016106249E-2</v>
      </c>
      <c r="AM101">
        <v>87</v>
      </c>
      <c r="AN101" s="37">
        <f t="shared" si="107"/>
        <v>3.4416501836677028E-2</v>
      </c>
      <c r="AO101">
        <v>207</v>
      </c>
      <c r="AQ101" s="59">
        <v>1191</v>
      </c>
      <c r="AR101" s="59">
        <f t="shared" si="108"/>
        <v>0.37828578965220272</v>
      </c>
      <c r="AS101">
        <v>3000</v>
      </c>
      <c r="AT101" s="37">
        <f t="shared" si="109"/>
        <v>1.1235078411484747</v>
      </c>
      <c r="AU101" t="s">
        <v>780</v>
      </c>
      <c r="AV101" t="s">
        <v>780</v>
      </c>
      <c r="AW101" t="s">
        <v>780</v>
      </c>
      <c r="AX101" t="s">
        <v>780</v>
      </c>
      <c r="AY101" t="s">
        <v>780</v>
      </c>
      <c r="AZ101" t="s">
        <v>780</v>
      </c>
      <c r="BA101" t="s">
        <v>780</v>
      </c>
      <c r="BB101" t="s">
        <v>780</v>
      </c>
      <c r="BC101" t="s">
        <v>780</v>
      </c>
      <c r="BD101" t="s">
        <v>780</v>
      </c>
      <c r="BE101" t="s">
        <v>780</v>
      </c>
      <c r="BF101" t="s">
        <v>780</v>
      </c>
      <c r="BG101" t="s">
        <v>780</v>
      </c>
      <c r="BH101" t="s">
        <v>780</v>
      </c>
      <c r="BI101" t="s">
        <v>780</v>
      </c>
      <c r="BJ101" t="s">
        <v>780</v>
      </c>
      <c r="BK101" t="s">
        <v>780</v>
      </c>
      <c r="BL101" t="s">
        <v>780</v>
      </c>
      <c r="BM101" t="s">
        <v>780</v>
      </c>
      <c r="BN101" t="s">
        <v>780</v>
      </c>
      <c r="BO101" s="58">
        <v>8300</v>
      </c>
      <c r="BP101" s="58">
        <v>30</v>
      </c>
      <c r="BQ101" s="58">
        <v>150</v>
      </c>
      <c r="BR101" s="58">
        <v>39</v>
      </c>
      <c r="BS101" s="58">
        <v>15</v>
      </c>
      <c r="BT101" s="58">
        <v>1.9</v>
      </c>
      <c r="BU101" s="58">
        <v>2.5000000000000001E-2</v>
      </c>
      <c r="BV101" s="58">
        <v>0.05</v>
      </c>
      <c r="BW101" s="31">
        <f t="shared" si="110"/>
        <v>3.1083716938441137</v>
      </c>
      <c r="BX101" s="31">
        <f t="shared" si="111"/>
        <v>1.1038833037650306E-2</v>
      </c>
      <c r="BY101" s="31">
        <f t="shared" si="112"/>
        <v>5.6416574800596593E-2</v>
      </c>
      <c r="BZ101" s="31">
        <f t="shared" si="113"/>
        <v>1.4546985922271688E-2</v>
      </c>
      <c r="CA101" s="31">
        <f t="shared" si="114"/>
        <v>5.5546204342703251E-3</v>
      </c>
      <c r="CB101" s="31">
        <f t="shared" si="115"/>
        <v>7.0358525500757447E-4</v>
      </c>
      <c r="CC101" s="31">
        <f t="shared" si="116"/>
        <v>9.147095179233624E-6</v>
      </c>
      <c r="CD101" s="31">
        <f t="shared" si="117"/>
        <v>1.8294190358467248E-5</v>
      </c>
      <c r="CE101">
        <v>1E-3</v>
      </c>
      <c r="CF101">
        <v>1E-3</v>
      </c>
      <c r="CG101">
        <v>2E-3</v>
      </c>
      <c r="CH101">
        <v>1E-3</v>
      </c>
      <c r="CI101">
        <v>1E-3</v>
      </c>
      <c r="CK101">
        <v>2E-3</v>
      </c>
      <c r="CL101">
        <v>1E-3</v>
      </c>
      <c r="CM101">
        <v>1E-3</v>
      </c>
      <c r="CN101" s="58">
        <f t="shared" si="143"/>
        <v>8535.9749999999985</v>
      </c>
      <c r="CO101" s="58">
        <f t="shared" si="118"/>
        <v>235.97500000000002</v>
      </c>
      <c r="CP101" s="31">
        <f t="shared" si="119"/>
        <v>3.1966597345794479</v>
      </c>
      <c r="CQ101" s="31">
        <f t="shared" si="120"/>
        <v>8.8288040735334194E-2</v>
      </c>
      <c r="CR101">
        <v>8600</v>
      </c>
      <c r="CS101">
        <v>4400</v>
      </c>
      <c r="CT101">
        <v>1400</v>
      </c>
      <c r="CU101" t="s">
        <v>69</v>
      </c>
      <c r="CV101" t="s">
        <v>69</v>
      </c>
      <c r="CW101">
        <v>5900</v>
      </c>
      <c r="CX101" s="2">
        <f t="shared" si="90"/>
        <v>9791</v>
      </c>
      <c r="CZ101">
        <v>73</v>
      </c>
      <c r="DA101" t="s">
        <v>62</v>
      </c>
      <c r="DB101" t="s">
        <v>88</v>
      </c>
      <c r="DC101" t="s">
        <v>782</v>
      </c>
      <c r="DD101" s="37">
        <f t="shared" si="91"/>
        <v>24.996044139079739</v>
      </c>
      <c r="DE101" s="37">
        <f t="shared" si="144"/>
        <v>24.996044139079739</v>
      </c>
      <c r="DF101" s="37">
        <v>1.2</v>
      </c>
      <c r="DG101" s="37">
        <f t="shared" si="92"/>
        <v>2.1486123545210383E-2</v>
      </c>
      <c r="DH101" s="37">
        <f t="shared" si="121"/>
        <v>2.1486123545210383E-2</v>
      </c>
      <c r="DI101" s="37">
        <f t="shared" si="93"/>
        <v>26.196044139079738</v>
      </c>
      <c r="DJ101" s="37">
        <f t="shared" si="122"/>
        <v>0.46904286730670974</v>
      </c>
      <c r="DK101" s="37">
        <f t="shared" si="123"/>
        <v>0.46904286730670974</v>
      </c>
      <c r="DL101" s="55">
        <f t="shared" si="124"/>
        <v>7.5569435769310846</v>
      </c>
      <c r="DM101" s="55">
        <f t="shared" si="124"/>
        <v>7.5569435769310846</v>
      </c>
      <c r="DN101" s="37">
        <f t="shared" si="125"/>
        <v>8.7569435769310839</v>
      </c>
      <c r="DO101" s="55">
        <f t="shared" si="126"/>
        <v>0.15679397631031483</v>
      </c>
      <c r="DP101" s="55">
        <f t="shared" si="127"/>
        <v>0.15679397631031483</v>
      </c>
      <c r="DQ101" s="37">
        <v>1.2</v>
      </c>
      <c r="DR101" s="37">
        <f t="shared" si="128"/>
        <v>2.1845985800109231E-2</v>
      </c>
      <c r="DS101" s="37">
        <f t="shared" si="129"/>
        <v>4.3691971600218461E-2</v>
      </c>
      <c r="DT101" s="37">
        <f t="shared" si="94"/>
        <v>21.470437250964636</v>
      </c>
      <c r="DU101" s="37">
        <f t="shared" si="95"/>
        <v>10.735218625482318</v>
      </c>
      <c r="DV101" s="37">
        <f t="shared" si="96"/>
        <v>27.396044139079738</v>
      </c>
      <c r="DW101" s="37">
        <f t="shared" si="97"/>
        <v>0.51273483890692817</v>
      </c>
      <c r="DX101" t="s">
        <v>780</v>
      </c>
      <c r="DY101" t="s">
        <v>122</v>
      </c>
      <c r="DZ101" s="29">
        <f t="shared" si="84"/>
        <v>1</v>
      </c>
      <c r="EA101" s="30">
        <v>1.7000000000000001E-2</v>
      </c>
      <c r="EB101" s="30">
        <f t="shared" si="130"/>
        <v>2.741935483870968E-4</v>
      </c>
      <c r="EC101" s="30">
        <f t="shared" si="131"/>
        <v>1.370967741935484E-3</v>
      </c>
      <c r="ED101" s="31">
        <f t="shared" si="149"/>
        <v>43</v>
      </c>
      <c r="EE101" s="33">
        <f t="shared" si="148"/>
        <v>49.425287356321839</v>
      </c>
      <c r="EF101" s="37">
        <f t="shared" si="98"/>
        <v>3.5810951488652925</v>
      </c>
      <c r="EG101" s="37">
        <f>$EK119-EK101</f>
        <v>13</v>
      </c>
      <c r="EH101" s="33">
        <f>(EG101/EK119)*100</f>
        <v>22.807017543859647</v>
      </c>
      <c r="EI101" s="37">
        <f t="shared" si="147"/>
        <v>1.0826566729127629</v>
      </c>
      <c r="EJ101" s="37">
        <f>($EG101/96.06)*8</f>
        <v>1.0826566729127629</v>
      </c>
      <c r="EK101" s="31">
        <v>44</v>
      </c>
      <c r="EL101" s="31">
        <f t="shared" si="132"/>
        <v>0.45804705392463041</v>
      </c>
      <c r="EM101" s="31">
        <f t="shared" si="133"/>
        <v>3.6643764313970433</v>
      </c>
      <c r="EN101" s="32">
        <f t="shared" si="99"/>
        <v>3.6657473991389788</v>
      </c>
      <c r="EO101" s="39">
        <f t="shared" si="134"/>
        <v>4.0938299877722208</v>
      </c>
      <c r="EP101" s="37">
        <f t="shared" si="100"/>
        <v>1.0672639491801354E-2</v>
      </c>
      <c r="EQ101" s="37">
        <f t="shared" si="101"/>
        <v>0.11457311825544406</v>
      </c>
      <c r="ER101" s="37">
        <f t="shared" si="102"/>
        <v>0.87475424225275455</v>
      </c>
      <c r="ES101" s="39">
        <f t="shared" si="135"/>
        <v>1.2831426208232961</v>
      </c>
      <c r="ET101" s="55">
        <f t="shared" si="136"/>
        <v>12.219528349055379</v>
      </c>
      <c r="EU101" s="55">
        <f t="shared" si="137"/>
        <v>3.4050752341298276</v>
      </c>
      <c r="EV101" s="55">
        <f t="shared" si="138"/>
        <v>84.375396416814795</v>
      </c>
      <c r="EW101" t="s">
        <v>556</v>
      </c>
      <c r="EX101" t="s">
        <v>589</v>
      </c>
      <c r="EY101">
        <v>-51</v>
      </c>
      <c r="EZ101" t="s">
        <v>93</v>
      </c>
      <c r="FA101">
        <v>742</v>
      </c>
      <c r="FB101" t="s">
        <v>113</v>
      </c>
      <c r="FC101" t="s">
        <v>88</v>
      </c>
      <c r="FD101" s="39">
        <f t="shared" si="139"/>
        <v>-2.5920363569715432</v>
      </c>
      <c r="FE101" s="39">
        <f t="shared" si="140"/>
        <v>-2.5037483162362095</v>
      </c>
      <c r="FF101" s="39">
        <f t="shared" si="141"/>
        <v>0.21865100997738129</v>
      </c>
      <c r="FG101" s="39">
        <f t="shared" si="142"/>
        <v>0.30693905071271543</v>
      </c>
    </row>
    <row r="102" spans="1:163" ht="15.75" x14ac:dyDescent="0.25">
      <c r="A102" s="7" t="s">
        <v>360</v>
      </c>
      <c r="B102" s="7" t="s">
        <v>360</v>
      </c>
      <c r="C102" s="3" t="s">
        <v>891</v>
      </c>
      <c r="D102" s="3" t="s">
        <v>891</v>
      </c>
      <c r="E102" s="3" t="s">
        <v>1259</v>
      </c>
      <c r="F102" s="3" t="s">
        <v>1013</v>
      </c>
      <c r="G102" s="3" t="s">
        <v>772</v>
      </c>
      <c r="H102" s="3" t="str">
        <f t="shared" si="87"/>
        <v>CW_1_Section_1</v>
      </c>
      <c r="I102" s="3" t="str">
        <f t="shared" si="88"/>
        <v>CW_1_MF01</v>
      </c>
      <c r="J102" s="3" t="s">
        <v>1488</v>
      </c>
      <c r="K102" s="3" t="s">
        <v>1484</v>
      </c>
      <c r="L102" s="11" t="s">
        <v>1014</v>
      </c>
      <c r="M102" s="3" t="s">
        <v>1015</v>
      </c>
      <c r="N102" s="3" t="s">
        <v>1015</v>
      </c>
      <c r="O102" s="12" t="s">
        <v>1016</v>
      </c>
      <c r="P102" s="3" t="s">
        <v>1260</v>
      </c>
      <c r="Q102" s="3" t="s">
        <v>1018</v>
      </c>
      <c r="R102" s="3" t="s">
        <v>1251</v>
      </c>
      <c r="S102" s="3" t="str">
        <f t="shared" si="89"/>
        <v>T4_0.15-0.30</v>
      </c>
      <c r="T102" s="13" t="s">
        <v>1252</v>
      </c>
      <c r="U102" s="3" t="s">
        <v>1021</v>
      </c>
      <c r="V102" s="3">
        <v>150</v>
      </c>
      <c r="W102" s="3">
        <v>65</v>
      </c>
      <c r="X102" s="17">
        <v>4.95</v>
      </c>
      <c r="Y102" s="3">
        <v>101</v>
      </c>
      <c r="Z102" t="s">
        <v>587</v>
      </c>
      <c r="AA102" t="s">
        <v>137</v>
      </c>
      <c r="AB102" s="1">
        <v>45762</v>
      </c>
      <c r="AC102">
        <v>12</v>
      </c>
      <c r="AD102">
        <v>12</v>
      </c>
      <c r="AE102">
        <v>350</v>
      </c>
      <c r="AF102" s="37">
        <f t="shared" si="103"/>
        <v>0.13442580975547305</v>
      </c>
      <c r="AG102">
        <v>2</v>
      </c>
      <c r="AH102" s="37">
        <f t="shared" si="104"/>
        <v>7.8141957890167139E-4</v>
      </c>
      <c r="AI102">
        <v>340</v>
      </c>
      <c r="AJ102" s="37">
        <f t="shared" si="105"/>
        <v>0.13450127154563435</v>
      </c>
      <c r="AK102">
        <v>130</v>
      </c>
      <c r="AL102" s="37">
        <f t="shared" si="106"/>
        <v>5.1426956767448434E-2</v>
      </c>
      <c r="AM102">
        <v>130</v>
      </c>
      <c r="AN102" s="37">
        <f t="shared" si="107"/>
        <v>5.1426956767448434E-2</v>
      </c>
      <c r="AO102">
        <v>260</v>
      </c>
      <c r="AQ102" s="59">
        <v>964</v>
      </c>
      <c r="AR102" s="59">
        <f t="shared" si="108"/>
        <v>0.26970850088000908</v>
      </c>
      <c r="AS102">
        <v>2600</v>
      </c>
      <c r="AT102" s="37">
        <f t="shared" si="109"/>
        <v>0.97370679566201146</v>
      </c>
      <c r="AU102" t="s">
        <v>780</v>
      </c>
      <c r="AV102" t="s">
        <v>780</v>
      </c>
      <c r="AW102" t="s">
        <v>780</v>
      </c>
      <c r="AX102" t="s">
        <v>780</v>
      </c>
      <c r="AY102" t="s">
        <v>780</v>
      </c>
      <c r="AZ102" t="s">
        <v>780</v>
      </c>
      <c r="BA102" t="s">
        <v>780</v>
      </c>
      <c r="BB102" t="s">
        <v>780</v>
      </c>
      <c r="BC102" t="s">
        <v>780</v>
      </c>
      <c r="BD102" t="s">
        <v>780</v>
      </c>
      <c r="BE102" t="s">
        <v>780</v>
      </c>
      <c r="BF102" t="s">
        <v>780</v>
      </c>
      <c r="BG102" t="s">
        <v>780</v>
      </c>
      <c r="BH102" t="s">
        <v>780</v>
      </c>
      <c r="BI102" t="s">
        <v>780</v>
      </c>
      <c r="BJ102" t="s">
        <v>780</v>
      </c>
      <c r="BK102" t="s">
        <v>780</v>
      </c>
      <c r="BL102" t="s">
        <v>780</v>
      </c>
      <c r="BM102" t="s">
        <v>780</v>
      </c>
      <c r="BN102" t="s">
        <v>780</v>
      </c>
      <c r="BO102" s="58">
        <v>3400</v>
      </c>
      <c r="BP102" s="58">
        <v>3.8</v>
      </c>
      <c r="BQ102" s="58">
        <v>1.2</v>
      </c>
      <c r="BR102" s="58">
        <v>0.22</v>
      </c>
      <c r="BS102" s="58">
        <v>0.23</v>
      </c>
      <c r="BT102" s="58">
        <v>0.05</v>
      </c>
      <c r="BU102" s="58">
        <v>0.03</v>
      </c>
      <c r="BV102" s="58">
        <v>0.03</v>
      </c>
      <c r="BW102" s="31">
        <f t="shared" si="110"/>
        <v>1.273308886634938</v>
      </c>
      <c r="BX102" s="31">
        <f t="shared" si="111"/>
        <v>1.3982521847690386E-3</v>
      </c>
      <c r="BY102" s="31">
        <f t="shared" si="112"/>
        <v>4.5133259840477265E-4</v>
      </c>
      <c r="BZ102" s="31">
        <f t="shared" si="113"/>
        <v>8.2059920587173625E-5</v>
      </c>
      <c r="CA102" s="31">
        <f t="shared" si="114"/>
        <v>8.5170846658811649E-5</v>
      </c>
      <c r="CB102" s="31">
        <f t="shared" si="115"/>
        <v>1.8515401447567749E-5</v>
      </c>
      <c r="CC102" s="31">
        <f t="shared" si="116"/>
        <v>1.0976514215080345E-5</v>
      </c>
      <c r="CD102" s="31">
        <f t="shared" si="117"/>
        <v>1.0976514215080345E-5</v>
      </c>
      <c r="CE102">
        <v>1E-3</v>
      </c>
      <c r="CF102">
        <v>1E-3</v>
      </c>
      <c r="CG102">
        <v>2E-3</v>
      </c>
      <c r="CH102">
        <v>1E-3</v>
      </c>
      <c r="CI102">
        <v>1E-3</v>
      </c>
      <c r="CK102">
        <v>2E-3</v>
      </c>
      <c r="CL102">
        <v>1E-3</v>
      </c>
      <c r="CM102">
        <v>1E-3</v>
      </c>
      <c r="CN102" s="58">
        <f t="shared" si="143"/>
        <v>3405.5600000000004</v>
      </c>
      <c r="CO102" s="58">
        <f t="shared" si="118"/>
        <v>5.5600000000000005</v>
      </c>
      <c r="CP102" s="31">
        <f t="shared" si="119"/>
        <v>1.2753661706152355</v>
      </c>
      <c r="CQ102" s="31">
        <f t="shared" si="120"/>
        <v>2.057283980297525E-3</v>
      </c>
      <c r="CR102">
        <v>3400</v>
      </c>
      <c r="CS102">
        <v>4400</v>
      </c>
      <c r="CT102">
        <v>170</v>
      </c>
      <c r="CU102" t="s">
        <v>69</v>
      </c>
      <c r="CV102" t="s">
        <v>69</v>
      </c>
      <c r="CW102">
        <v>4600</v>
      </c>
      <c r="CX102" s="2">
        <f t="shared" si="90"/>
        <v>4364</v>
      </c>
      <c r="CZ102">
        <v>67</v>
      </c>
      <c r="DA102" t="s">
        <v>62</v>
      </c>
      <c r="DB102" t="s">
        <v>88</v>
      </c>
      <c r="DC102" t="s">
        <v>782</v>
      </c>
      <c r="DD102" s="37">
        <f t="shared" si="91"/>
        <v>23.252134082864874</v>
      </c>
      <c r="DE102" s="37">
        <f t="shared" si="144"/>
        <v>23.252134082864874</v>
      </c>
      <c r="DF102" s="37">
        <v>5.6</v>
      </c>
      <c r="DG102" s="37">
        <f t="shared" si="92"/>
        <v>0.10026857654431512</v>
      </c>
      <c r="DH102" s="37">
        <f t="shared" si="121"/>
        <v>0.10026857654431512</v>
      </c>
      <c r="DI102" s="37">
        <f t="shared" si="93"/>
        <v>28.852134082864872</v>
      </c>
      <c r="DJ102" s="37">
        <f t="shared" si="122"/>
        <v>0.51660043120617494</v>
      </c>
      <c r="DK102" s="37">
        <f t="shared" si="123"/>
        <v>0.51660043120617494</v>
      </c>
      <c r="DL102" s="55">
        <f t="shared" si="124"/>
        <v>23.252134082864874</v>
      </c>
      <c r="DM102" s="55">
        <f t="shared" si="124"/>
        <v>23.252134082864874</v>
      </c>
      <c r="DN102" s="37">
        <f t="shared" si="125"/>
        <v>28.852134082864872</v>
      </c>
      <c r="DO102" s="55">
        <f t="shared" si="126"/>
        <v>0.51660043120617494</v>
      </c>
      <c r="DP102" s="55">
        <f t="shared" si="127"/>
        <v>0.51660043120617494</v>
      </c>
      <c r="DQ102" s="37">
        <v>1.5</v>
      </c>
      <c r="DR102" s="37">
        <f t="shared" si="128"/>
        <v>2.7307482250136537E-2</v>
      </c>
      <c r="DS102" s="37">
        <f t="shared" si="129"/>
        <v>5.4614964500273075E-2</v>
      </c>
      <c r="DT102" s="37">
        <f t="shared" si="94"/>
        <v>18.917907790770126</v>
      </c>
      <c r="DU102" s="37">
        <f t="shared" si="95"/>
        <v>9.4589538953850631</v>
      </c>
      <c r="DV102" s="37">
        <f t="shared" si="96"/>
        <v>30.352134082864872</v>
      </c>
      <c r="DW102" s="37">
        <f t="shared" si="97"/>
        <v>0.57121539570644797</v>
      </c>
      <c r="DX102" t="s">
        <v>780</v>
      </c>
      <c r="DY102" t="s">
        <v>549</v>
      </c>
      <c r="DZ102" s="29">
        <f t="shared" si="84"/>
        <v>1</v>
      </c>
      <c r="EA102" s="30">
        <v>1.7000000000000001E-2</v>
      </c>
      <c r="EB102" s="30">
        <f t="shared" si="130"/>
        <v>2.741935483870968E-4</v>
      </c>
      <c r="EC102" s="30">
        <f t="shared" si="131"/>
        <v>1.370967741935484E-3</v>
      </c>
      <c r="ED102" s="31">
        <f t="shared" si="149"/>
        <v>40</v>
      </c>
      <c r="EE102" s="33">
        <f t="shared" si="148"/>
        <v>45.977011494252871</v>
      </c>
      <c r="EF102" s="37">
        <f t="shared" si="98"/>
        <v>3.3312513012700395</v>
      </c>
      <c r="EG102" s="37">
        <f>$EK98-EK102</f>
        <v>40</v>
      </c>
      <c r="EH102" s="33">
        <f>(EG102/$EK$98)*100</f>
        <v>45.977011494252871</v>
      </c>
      <c r="EI102" s="37">
        <f t="shared" si="147"/>
        <v>3.3312513012700395</v>
      </c>
      <c r="EJ102" s="37">
        <f>($EG102/96.06)*8</f>
        <v>3.3312513012700395</v>
      </c>
      <c r="EK102" s="31">
        <v>47</v>
      </c>
      <c r="EL102" s="31">
        <f t="shared" si="132"/>
        <v>0.48927753487403702</v>
      </c>
      <c r="EM102" s="31">
        <f t="shared" si="133"/>
        <v>3.9142202789922962</v>
      </c>
      <c r="EN102" s="32">
        <f t="shared" si="99"/>
        <v>3.9155912467342318</v>
      </c>
      <c r="EO102" s="39">
        <f t="shared" si="134"/>
        <v>3.9024666969764876</v>
      </c>
      <c r="EP102" s="37">
        <f t="shared" si="100"/>
        <v>1.3994985413350763E-2</v>
      </c>
      <c r="EQ102" s="37">
        <f t="shared" si="101"/>
        <v>0.13237792179147134</v>
      </c>
      <c r="ER102" s="37">
        <f t="shared" si="102"/>
        <v>0.8536270927951779</v>
      </c>
      <c r="ES102" s="39">
        <f t="shared" si="135"/>
        <v>3.9024666969764876</v>
      </c>
      <c r="ET102" s="55">
        <f t="shared" si="136"/>
        <v>13.237792179147135</v>
      </c>
      <c r="EU102" s="55">
        <f t="shared" si="137"/>
        <v>1.3994985413350762</v>
      </c>
      <c r="EV102" s="55">
        <f t="shared" si="138"/>
        <v>85.362709279517787</v>
      </c>
      <c r="EW102" t="s">
        <v>75</v>
      </c>
      <c r="EX102" t="s">
        <v>492</v>
      </c>
      <c r="EY102">
        <v>-108</v>
      </c>
      <c r="EZ102" t="s">
        <v>194</v>
      </c>
      <c r="FA102">
        <v>815</v>
      </c>
      <c r="FB102" t="s">
        <v>113</v>
      </c>
      <c r="FC102" t="s">
        <v>88</v>
      </c>
      <c r="FD102" s="39">
        <f t="shared" si="139"/>
        <v>-2.6590514004344672</v>
      </c>
      <c r="FE102" s="39">
        <f t="shared" si="140"/>
        <v>-2.6569941164541699</v>
      </c>
      <c r="FF102" s="39">
        <f t="shared" si="141"/>
        <v>-2.6590514004344672</v>
      </c>
      <c r="FG102" s="39">
        <f t="shared" si="142"/>
        <v>-2.6569941164541699</v>
      </c>
    </row>
    <row r="103" spans="1:163" ht="15.75" x14ac:dyDescent="0.25">
      <c r="A103" s="7" t="s">
        <v>361</v>
      </c>
      <c r="B103" s="7" t="s">
        <v>361</v>
      </c>
      <c r="C103" s="3" t="s">
        <v>892</v>
      </c>
      <c r="D103" s="3" t="s">
        <v>892</v>
      </c>
      <c r="E103" s="3" t="s">
        <v>1261</v>
      </c>
      <c r="F103" s="3" t="s">
        <v>1013</v>
      </c>
      <c r="G103" s="3" t="s">
        <v>772</v>
      </c>
      <c r="H103" s="3" t="str">
        <f t="shared" si="87"/>
        <v>CW_1_Section_1</v>
      </c>
      <c r="I103" s="3" t="str">
        <f t="shared" si="88"/>
        <v>CW_1_MF02</v>
      </c>
      <c r="J103" s="3" t="s">
        <v>1489</v>
      </c>
      <c r="K103" s="3" t="s">
        <v>1484</v>
      </c>
      <c r="L103" s="11" t="s">
        <v>1023</v>
      </c>
      <c r="M103" s="3" t="s">
        <v>1024</v>
      </c>
      <c r="N103" s="3" t="s">
        <v>1024</v>
      </c>
      <c r="O103" s="12" t="s">
        <v>1016</v>
      </c>
      <c r="P103" s="3" t="s">
        <v>1262</v>
      </c>
      <c r="Q103" s="3" t="s">
        <v>1018</v>
      </c>
      <c r="R103" s="3" t="s">
        <v>1251</v>
      </c>
      <c r="S103" s="3" t="str">
        <f t="shared" si="89"/>
        <v>T4_0.60-0.80</v>
      </c>
      <c r="T103" s="13" t="s">
        <v>1252</v>
      </c>
      <c r="U103" s="3" t="s">
        <v>1021</v>
      </c>
      <c r="V103" s="3">
        <v>150</v>
      </c>
      <c r="W103" s="3">
        <v>65</v>
      </c>
      <c r="X103" s="17">
        <v>6.85</v>
      </c>
      <c r="Y103" s="3">
        <v>102</v>
      </c>
      <c r="Z103" t="s">
        <v>588</v>
      </c>
      <c r="AA103" t="s">
        <v>153</v>
      </c>
      <c r="AB103" s="1">
        <v>45762</v>
      </c>
      <c r="AC103">
        <v>12</v>
      </c>
      <c r="AD103">
        <v>13</v>
      </c>
      <c r="AE103">
        <v>210</v>
      </c>
      <c r="AF103" s="37">
        <f t="shared" si="103"/>
        <v>8.0655485853283831E-2</v>
      </c>
      <c r="AG103">
        <v>1</v>
      </c>
      <c r="AH103" s="37">
        <f t="shared" si="104"/>
        <v>3.9070978945083569E-4</v>
      </c>
      <c r="AI103">
        <v>200</v>
      </c>
      <c r="AJ103" s="37">
        <f t="shared" si="105"/>
        <v>7.9118395026843744E-2</v>
      </c>
      <c r="AK103">
        <v>88</v>
      </c>
      <c r="AL103" s="37">
        <f t="shared" si="106"/>
        <v>3.4812093811811246E-2</v>
      </c>
      <c r="AM103">
        <v>99</v>
      </c>
      <c r="AN103" s="37">
        <f t="shared" si="107"/>
        <v>3.9163605538287648E-2</v>
      </c>
      <c r="AO103">
        <v>187</v>
      </c>
      <c r="AQ103" s="59">
        <v>604</v>
      </c>
      <c r="AR103" s="59">
        <f t="shared" si="108"/>
        <v>0.16016459066957842</v>
      </c>
      <c r="AS103">
        <v>1400</v>
      </c>
      <c r="AT103" s="37">
        <f t="shared" si="109"/>
        <v>0.52430365920262156</v>
      </c>
      <c r="AU103" t="s">
        <v>780</v>
      </c>
      <c r="AV103" t="s">
        <v>780</v>
      </c>
      <c r="AW103" t="s">
        <v>780</v>
      </c>
      <c r="AX103" t="s">
        <v>780</v>
      </c>
      <c r="AY103" t="s">
        <v>780</v>
      </c>
      <c r="AZ103" t="s">
        <v>780</v>
      </c>
      <c r="BA103" t="s">
        <v>780</v>
      </c>
      <c r="BB103" t="s">
        <v>780</v>
      </c>
      <c r="BC103" t="s">
        <v>780</v>
      </c>
      <c r="BD103" t="s">
        <v>780</v>
      </c>
      <c r="BE103" t="s">
        <v>780</v>
      </c>
      <c r="BF103" t="s">
        <v>780</v>
      </c>
      <c r="BG103" t="s">
        <v>780</v>
      </c>
      <c r="BH103" t="s">
        <v>780</v>
      </c>
      <c r="BI103" t="s">
        <v>780</v>
      </c>
      <c r="BJ103" t="s">
        <v>780</v>
      </c>
      <c r="BK103" t="s">
        <v>780</v>
      </c>
      <c r="BL103" t="s">
        <v>780</v>
      </c>
      <c r="BM103" t="s">
        <v>780</v>
      </c>
      <c r="BN103" t="s">
        <v>780</v>
      </c>
      <c r="BO103" s="58">
        <v>3100</v>
      </c>
      <c r="BP103" s="58">
        <v>43</v>
      </c>
      <c r="BQ103" s="58">
        <v>260</v>
      </c>
      <c r="BR103" s="58">
        <v>69</v>
      </c>
      <c r="BS103" s="58">
        <v>32</v>
      </c>
      <c r="BT103" s="58">
        <v>5.0999999999999996</v>
      </c>
      <c r="BU103" s="58">
        <v>0.82</v>
      </c>
      <c r="BV103" s="58">
        <v>0.71</v>
      </c>
      <c r="BW103" s="31">
        <f t="shared" si="110"/>
        <v>1.1609581025200906</v>
      </c>
      <c r="BX103" s="31">
        <f t="shared" si="111"/>
        <v>1.5822327353965437E-2</v>
      </c>
      <c r="BY103" s="31">
        <f t="shared" si="112"/>
        <v>9.7788729654367426E-2</v>
      </c>
      <c r="BZ103" s="31">
        <f t="shared" si="113"/>
        <v>2.573697509324991E-2</v>
      </c>
      <c r="CA103" s="31">
        <f t="shared" si="114"/>
        <v>1.184985692644336E-2</v>
      </c>
      <c r="CB103" s="31">
        <f t="shared" si="115"/>
        <v>1.8885709476519103E-3</v>
      </c>
      <c r="CC103" s="31">
        <f t="shared" si="116"/>
        <v>3.0002472187886276E-4</v>
      </c>
      <c r="CD103" s="31">
        <f t="shared" si="117"/>
        <v>2.5977750309023483E-4</v>
      </c>
      <c r="CE103">
        <v>0.03</v>
      </c>
      <c r="CF103">
        <v>0.03</v>
      </c>
      <c r="CG103">
        <v>2E-3</v>
      </c>
      <c r="CH103">
        <v>1E-3</v>
      </c>
      <c r="CI103">
        <v>0.02</v>
      </c>
      <c r="CK103">
        <v>2E-3</v>
      </c>
      <c r="CL103">
        <v>1E-3</v>
      </c>
      <c r="CM103">
        <v>1E-3</v>
      </c>
      <c r="CN103" s="58">
        <f t="shared" si="143"/>
        <v>3510.63</v>
      </c>
      <c r="CO103" s="58">
        <f t="shared" si="118"/>
        <v>410.63</v>
      </c>
      <c r="CP103" s="31">
        <f t="shared" si="119"/>
        <v>1.3146043647207377</v>
      </c>
      <c r="CQ103" s="31">
        <f t="shared" si="120"/>
        <v>0.15364626220064714</v>
      </c>
      <c r="CR103">
        <v>3500</v>
      </c>
      <c r="CS103">
        <v>5100</v>
      </c>
      <c r="CT103">
        <v>2100</v>
      </c>
      <c r="CU103" t="s">
        <v>69</v>
      </c>
      <c r="CV103" t="s">
        <v>69</v>
      </c>
      <c r="CW103">
        <v>7200</v>
      </c>
      <c r="CX103" s="2">
        <f t="shared" si="90"/>
        <v>4104</v>
      </c>
      <c r="CZ103">
        <v>70</v>
      </c>
      <c r="DA103" t="s">
        <v>62</v>
      </c>
      <c r="DB103" t="s">
        <v>88</v>
      </c>
      <c r="DC103" t="s">
        <v>782</v>
      </c>
      <c r="DD103" s="37">
        <f t="shared" si="91"/>
        <v>5.8130335207162185</v>
      </c>
      <c r="DE103" s="37">
        <f t="shared" si="144"/>
        <v>5.8130335207162185</v>
      </c>
      <c r="DF103" s="37">
        <v>0.4</v>
      </c>
      <c r="DG103" s="37">
        <f t="shared" si="92"/>
        <v>7.162041181736795E-3</v>
      </c>
      <c r="DH103" s="37">
        <f t="shared" si="121"/>
        <v>7.162041181736795E-3</v>
      </c>
      <c r="DI103" s="37">
        <f t="shared" si="93"/>
        <v>6.2130335207162188</v>
      </c>
      <c r="DJ103" s="37">
        <f t="shared" si="122"/>
        <v>0.11124500484720176</v>
      </c>
      <c r="DK103" s="37">
        <f t="shared" si="123"/>
        <v>0.11124500484720176</v>
      </c>
      <c r="DL103" s="55">
        <f t="shared" si="124"/>
        <v>5.8130335207162185</v>
      </c>
      <c r="DM103" s="55">
        <f t="shared" si="124"/>
        <v>5.8130335207162185</v>
      </c>
      <c r="DN103" s="37">
        <f t="shared" si="125"/>
        <v>6.2130335207162188</v>
      </c>
      <c r="DO103" s="55">
        <f t="shared" si="126"/>
        <v>0.11124500484720176</v>
      </c>
      <c r="DP103" s="55">
        <f t="shared" si="127"/>
        <v>0.11124500484720176</v>
      </c>
      <c r="DQ103" s="37">
        <v>0.8</v>
      </c>
      <c r="DR103" s="37">
        <f t="shared" si="128"/>
        <v>1.4563990533406155E-2</v>
      </c>
      <c r="DS103" s="37">
        <f t="shared" si="129"/>
        <v>2.912798106681231E-2</v>
      </c>
      <c r="DT103" s="37">
        <f t="shared" si="94"/>
        <v>7.6383601453209904</v>
      </c>
      <c r="DU103" s="37">
        <f t="shared" si="95"/>
        <v>3.8191800726604952</v>
      </c>
      <c r="DV103" s="37">
        <f t="shared" si="96"/>
        <v>7.0130335207162187</v>
      </c>
      <c r="DW103" s="37">
        <f t="shared" si="97"/>
        <v>0.14037298591401406</v>
      </c>
      <c r="DX103" t="s">
        <v>780</v>
      </c>
      <c r="DY103" t="s">
        <v>229</v>
      </c>
      <c r="DZ103" s="29">
        <f t="shared" si="84"/>
        <v>1</v>
      </c>
      <c r="EA103" s="30">
        <v>1.7000000000000001E-2</v>
      </c>
      <c r="EB103" s="30">
        <f t="shared" si="130"/>
        <v>2.741935483870968E-4</v>
      </c>
      <c r="EC103" s="30">
        <f t="shared" si="131"/>
        <v>1.370967741935484E-3</v>
      </c>
      <c r="ED103" s="31">
        <f t="shared" si="149"/>
        <v>10</v>
      </c>
      <c r="EE103" s="33">
        <f t="shared" si="148"/>
        <v>11.494252873563218</v>
      </c>
      <c r="EF103" s="37">
        <f t="shared" si="98"/>
        <v>0.83281282531750989</v>
      </c>
      <c r="EG103" s="37">
        <f>$EK98-EK103</f>
        <v>10</v>
      </c>
      <c r="EH103" s="33">
        <f>(EG103/$EK$98)*100</f>
        <v>11.494252873563218</v>
      </c>
      <c r="EI103" s="37">
        <f t="shared" si="147"/>
        <v>0.83281282531750989</v>
      </c>
      <c r="EJ103" s="37">
        <f>($EG103/96.06)*8</f>
        <v>0.83281282531750989</v>
      </c>
      <c r="EK103" s="31">
        <v>77</v>
      </c>
      <c r="EL103" s="31">
        <f t="shared" si="132"/>
        <v>0.80158234436810327</v>
      </c>
      <c r="EM103" s="31">
        <f t="shared" si="133"/>
        <v>6.4126587549448262</v>
      </c>
      <c r="EN103" s="32">
        <f t="shared" si="99"/>
        <v>6.4140297226867613</v>
      </c>
      <c r="EO103" s="39">
        <f t="shared" si="134"/>
        <v>0.97318581123152392</v>
      </c>
      <c r="EP103" s="37">
        <f t="shared" si="100"/>
        <v>2.9930544332486854E-2</v>
      </c>
      <c r="EQ103" s="37">
        <f t="shared" si="101"/>
        <v>0.11431013847851532</v>
      </c>
      <c r="ER103" s="37">
        <f t="shared" si="102"/>
        <v>0.85575931718899789</v>
      </c>
      <c r="ES103" s="39">
        <f t="shared" si="135"/>
        <v>0.97318581123152392</v>
      </c>
      <c r="ET103" s="55">
        <f t="shared" si="136"/>
        <v>11.431013847851531</v>
      </c>
      <c r="EU103" s="55">
        <f t="shared" si="137"/>
        <v>2.9930544332486853</v>
      </c>
      <c r="EV103" s="55">
        <f t="shared" si="138"/>
        <v>85.575931718899795</v>
      </c>
      <c r="EW103" t="s">
        <v>79</v>
      </c>
      <c r="EX103" t="s">
        <v>589</v>
      </c>
      <c r="EY103">
        <v>-145</v>
      </c>
      <c r="EZ103" t="s">
        <v>253</v>
      </c>
      <c r="FA103">
        <v>855</v>
      </c>
      <c r="FB103" t="s">
        <v>113</v>
      </c>
      <c r="FC103" t="s">
        <v>88</v>
      </c>
      <c r="FD103" s="39">
        <f t="shared" si="139"/>
        <v>-0.28871756135932392</v>
      </c>
      <c r="FE103" s="39">
        <f t="shared" si="140"/>
        <v>-0.13507129915867677</v>
      </c>
      <c r="FF103" s="39">
        <f t="shared" si="141"/>
        <v>-0.28871756135932392</v>
      </c>
      <c r="FG103" s="39">
        <f t="shared" si="142"/>
        <v>-0.13507129915867677</v>
      </c>
    </row>
    <row r="104" spans="1:163" ht="15.75" x14ac:dyDescent="0.25">
      <c r="A104" s="7" t="s">
        <v>362</v>
      </c>
      <c r="B104" s="7" t="s">
        <v>362</v>
      </c>
      <c r="C104" s="3" t="s">
        <v>893</v>
      </c>
      <c r="D104" s="3" t="s">
        <v>893</v>
      </c>
      <c r="E104" s="3" t="s">
        <v>1263</v>
      </c>
      <c r="F104" s="3" t="s">
        <v>1027</v>
      </c>
      <c r="G104" s="3" t="s">
        <v>772</v>
      </c>
      <c r="H104" s="3" t="str">
        <f t="shared" si="87"/>
        <v>CW_1_Section_2</v>
      </c>
      <c r="I104" s="3" t="str">
        <f t="shared" si="88"/>
        <v>CW_1_MF05</v>
      </c>
      <c r="J104" s="3" t="s">
        <v>1496</v>
      </c>
      <c r="K104" s="3" t="s">
        <v>1484</v>
      </c>
      <c r="L104" s="11" t="s">
        <v>1028</v>
      </c>
      <c r="M104" s="3" t="s">
        <v>1015</v>
      </c>
      <c r="N104" s="3" t="s">
        <v>1015</v>
      </c>
      <c r="O104" s="12" t="s">
        <v>1016</v>
      </c>
      <c r="P104" s="3" t="s">
        <v>1264</v>
      </c>
      <c r="Q104" s="3" t="s">
        <v>1018</v>
      </c>
      <c r="R104" s="3" t="s">
        <v>1251</v>
      </c>
      <c r="S104" s="3" t="str">
        <f t="shared" si="89"/>
        <v>T4_0.15-0.30</v>
      </c>
      <c r="T104" s="13" t="s">
        <v>1252</v>
      </c>
      <c r="U104" s="3" t="s">
        <v>1021</v>
      </c>
      <c r="V104" s="3">
        <v>150</v>
      </c>
      <c r="W104" s="3">
        <v>65</v>
      </c>
      <c r="X104" s="17">
        <v>6.25</v>
      </c>
      <c r="Y104" s="3">
        <v>103</v>
      </c>
      <c r="Z104" t="s">
        <v>590</v>
      </c>
      <c r="AA104" t="s">
        <v>167</v>
      </c>
      <c r="AB104" s="1">
        <v>45762</v>
      </c>
      <c r="AC104">
        <v>11</v>
      </c>
      <c r="AD104">
        <v>12</v>
      </c>
      <c r="AE104">
        <v>380</v>
      </c>
      <c r="AF104" s="37">
        <f t="shared" si="103"/>
        <v>0.14594802202022789</v>
      </c>
      <c r="AG104">
        <v>1</v>
      </c>
      <c r="AH104" s="37">
        <f t="shared" si="104"/>
        <v>3.9070978945083569E-4</v>
      </c>
      <c r="AI104">
        <v>300</v>
      </c>
      <c r="AJ104" s="37">
        <f t="shared" si="105"/>
        <v>0.11867759254026561</v>
      </c>
      <c r="AK104">
        <v>110</v>
      </c>
      <c r="AL104" s="37">
        <f t="shared" si="106"/>
        <v>4.3515117264764057E-2</v>
      </c>
      <c r="AM104">
        <v>85</v>
      </c>
      <c r="AN104" s="37">
        <f t="shared" si="107"/>
        <v>3.3625317886408587E-2</v>
      </c>
      <c r="AO104">
        <v>195</v>
      </c>
      <c r="AQ104" s="59">
        <v>882</v>
      </c>
      <c r="AR104" s="59">
        <f t="shared" si="108"/>
        <v>0.26501632434994432</v>
      </c>
      <c r="AS104">
        <v>2400</v>
      </c>
      <c r="AT104" s="37">
        <f t="shared" si="109"/>
        <v>0.89880627291877968</v>
      </c>
      <c r="AU104" t="s">
        <v>780</v>
      </c>
      <c r="AV104" t="s">
        <v>780</v>
      </c>
      <c r="AW104" t="s">
        <v>780</v>
      </c>
      <c r="AX104" t="s">
        <v>780</v>
      </c>
      <c r="AY104" t="s">
        <v>780</v>
      </c>
      <c r="AZ104" t="s">
        <v>780</v>
      </c>
      <c r="BA104" t="s">
        <v>780</v>
      </c>
      <c r="BB104" t="s">
        <v>780</v>
      </c>
      <c r="BC104" t="s">
        <v>780</v>
      </c>
      <c r="BD104" t="s">
        <v>780</v>
      </c>
      <c r="BE104" t="s">
        <v>780</v>
      </c>
      <c r="BF104" t="s">
        <v>780</v>
      </c>
      <c r="BG104" t="s">
        <v>780</v>
      </c>
      <c r="BH104" t="s">
        <v>780</v>
      </c>
      <c r="BI104" t="s">
        <v>780</v>
      </c>
      <c r="BJ104" t="s">
        <v>780</v>
      </c>
      <c r="BK104" t="s">
        <v>780</v>
      </c>
      <c r="BL104" t="s">
        <v>780</v>
      </c>
      <c r="BM104" t="s">
        <v>780</v>
      </c>
      <c r="BN104" t="s">
        <v>780</v>
      </c>
      <c r="BO104" s="58">
        <v>16</v>
      </c>
      <c r="BP104" s="58">
        <v>0.1</v>
      </c>
      <c r="BQ104" s="58">
        <v>0.11</v>
      </c>
      <c r="BR104" s="58">
        <v>0.08</v>
      </c>
      <c r="BS104" s="58">
        <v>0.04</v>
      </c>
      <c r="BT104" s="58">
        <v>0.01</v>
      </c>
      <c r="BU104" s="58">
        <v>0.01</v>
      </c>
      <c r="BV104" s="58">
        <v>2E-3</v>
      </c>
      <c r="BW104" s="31">
        <f t="shared" si="110"/>
        <v>5.9920418194585306E-3</v>
      </c>
      <c r="BX104" s="31">
        <f t="shared" si="111"/>
        <v>3.6796110125501022E-5</v>
      </c>
      <c r="BY104" s="31">
        <f t="shared" si="112"/>
        <v>4.1372154853770834E-5</v>
      </c>
      <c r="BZ104" s="31">
        <f t="shared" si="113"/>
        <v>2.9839971122608595E-5</v>
      </c>
      <c r="CA104" s="31">
        <f t="shared" si="114"/>
        <v>1.4812321158054199E-5</v>
      </c>
      <c r="CB104" s="31">
        <f t="shared" si="115"/>
        <v>3.7030802895135499E-6</v>
      </c>
      <c r="CC104" s="31">
        <f t="shared" si="116"/>
        <v>3.6588380716934487E-6</v>
      </c>
      <c r="CD104" s="31">
        <f t="shared" si="117"/>
        <v>7.3176761433868969E-7</v>
      </c>
      <c r="CE104">
        <v>1E-3</v>
      </c>
      <c r="CF104">
        <v>1E-3</v>
      </c>
      <c r="CG104">
        <v>2E-3</v>
      </c>
      <c r="CH104">
        <v>1E-3</v>
      </c>
      <c r="CI104">
        <v>1E-3</v>
      </c>
      <c r="CK104">
        <v>2E-3</v>
      </c>
      <c r="CL104">
        <v>1E-3</v>
      </c>
      <c r="CM104">
        <v>1E-3</v>
      </c>
      <c r="CN104" s="58">
        <f t="shared" si="143"/>
        <v>16.352</v>
      </c>
      <c r="CO104" s="58">
        <f t="shared" si="118"/>
        <v>0.35200000000000004</v>
      </c>
      <c r="CP104" s="31">
        <f t="shared" si="119"/>
        <v>6.122956062694012E-3</v>
      </c>
      <c r="CQ104" s="31">
        <f t="shared" si="120"/>
        <v>1.3091424323548033E-4</v>
      </c>
      <c r="CR104">
        <v>17</v>
      </c>
      <c r="CS104">
        <v>3300</v>
      </c>
      <c r="CT104">
        <v>40</v>
      </c>
      <c r="CU104" t="s">
        <v>69</v>
      </c>
      <c r="CV104" t="s">
        <v>69</v>
      </c>
      <c r="CW104">
        <v>3400</v>
      </c>
      <c r="CX104" s="2">
        <f t="shared" si="90"/>
        <v>899</v>
      </c>
      <c r="CZ104">
        <v>67</v>
      </c>
      <c r="DA104" t="s">
        <v>62</v>
      </c>
      <c r="DB104" t="s">
        <v>88</v>
      </c>
      <c r="DC104" t="s">
        <v>782</v>
      </c>
      <c r="DD104" s="37">
        <f t="shared" si="91"/>
        <v>41.853841349156774</v>
      </c>
      <c r="DE104" s="37">
        <f t="shared" si="144"/>
        <v>41.853841349156774</v>
      </c>
      <c r="DF104" s="37">
        <v>8.1999999999999993</v>
      </c>
      <c r="DG104" s="37">
        <f t="shared" si="92"/>
        <v>0.14682184422560429</v>
      </c>
      <c r="DH104" s="37">
        <f t="shared" si="121"/>
        <v>0.14682184422560429</v>
      </c>
      <c r="DI104" s="37">
        <f t="shared" si="93"/>
        <v>50.05384134915677</v>
      </c>
      <c r="DJ104" s="37">
        <f t="shared" si="122"/>
        <v>0.89621918261695199</v>
      </c>
      <c r="DK104" s="37">
        <f t="shared" si="123"/>
        <v>0.89621918261695199</v>
      </c>
      <c r="DL104" s="55">
        <f t="shared" si="124"/>
        <v>18.6017072662919</v>
      </c>
      <c r="DM104" s="55">
        <f t="shared" si="124"/>
        <v>18.6017072662919</v>
      </c>
      <c r="DN104" s="37">
        <f t="shared" si="125"/>
        <v>26.801707266291899</v>
      </c>
      <c r="DO104" s="55">
        <f t="shared" si="126"/>
        <v>0.4798873279550922</v>
      </c>
      <c r="DP104" s="55">
        <f t="shared" si="127"/>
        <v>0.4798873279550922</v>
      </c>
      <c r="DQ104" s="37">
        <v>2.5</v>
      </c>
      <c r="DR104" s="37">
        <f t="shared" si="128"/>
        <v>4.5512470416894227E-2</v>
      </c>
      <c r="DS104" s="37">
        <f t="shared" si="129"/>
        <v>9.1024940833788454E-2</v>
      </c>
      <c r="DT104" s="37">
        <f t="shared" si="94"/>
        <v>19.69172788045967</v>
      </c>
      <c r="DU104" s="37">
        <f t="shared" si="95"/>
        <v>9.8458639402298349</v>
      </c>
      <c r="DV104" s="37">
        <f t="shared" si="96"/>
        <v>52.55384134915677</v>
      </c>
      <c r="DW104" s="37">
        <f t="shared" si="97"/>
        <v>0.98724412345074042</v>
      </c>
      <c r="DX104" t="s">
        <v>780</v>
      </c>
      <c r="DY104" t="s">
        <v>121</v>
      </c>
      <c r="DZ104" s="29">
        <f t="shared" si="84"/>
        <v>1</v>
      </c>
      <c r="EA104" s="30">
        <v>1.7000000000000001E-2</v>
      </c>
      <c r="EB104" s="30">
        <f t="shared" si="130"/>
        <v>2.741935483870968E-4</v>
      </c>
      <c r="EC104" s="30">
        <f t="shared" si="131"/>
        <v>1.370967741935484E-3</v>
      </c>
      <c r="ED104" s="31">
        <f t="shared" si="149"/>
        <v>72</v>
      </c>
      <c r="EE104" s="33">
        <f t="shared" si="148"/>
        <v>82.758620689655174</v>
      </c>
      <c r="EF104" s="37">
        <f t="shared" si="98"/>
        <v>5.9962523422860707</v>
      </c>
      <c r="EG104" s="37">
        <f>$EK102-EK104</f>
        <v>32</v>
      </c>
      <c r="EH104" s="33">
        <f>(EG104/$EK102)*100</f>
        <v>68.085106382978722</v>
      </c>
      <c r="EI104" s="37">
        <f t="shared" si="147"/>
        <v>2.6650010410160316</v>
      </c>
      <c r="EJ104" s="37">
        <f>($EG104/96.06)*8</f>
        <v>2.6650010410160316</v>
      </c>
      <c r="EK104" s="31">
        <v>15</v>
      </c>
      <c r="EL104" s="31">
        <f t="shared" si="132"/>
        <v>0.1561524047470331</v>
      </c>
      <c r="EM104" s="31">
        <f t="shared" si="133"/>
        <v>1.2492192379762648</v>
      </c>
      <c r="EN104" s="32">
        <f t="shared" si="99"/>
        <v>1.2505902057182003</v>
      </c>
      <c r="EO104" s="39">
        <f t="shared" si="134"/>
        <v>6.9834964657368115</v>
      </c>
      <c r="EP104" s="37">
        <f t="shared" si="100"/>
        <v>1.3034293248430051E-2</v>
      </c>
      <c r="EQ104" s="37">
        <f t="shared" si="101"/>
        <v>0.12833387788109865</v>
      </c>
      <c r="ER104" s="37">
        <f t="shared" si="102"/>
        <v>0.85863182887047129</v>
      </c>
      <c r="ES104" s="39">
        <f t="shared" si="135"/>
        <v>3.2359133098049124</v>
      </c>
      <c r="ET104" s="55">
        <f t="shared" si="136"/>
        <v>14.830042773427197</v>
      </c>
      <c r="EU104" s="55">
        <f t="shared" si="137"/>
        <v>2.8129598082241634</v>
      </c>
      <c r="EV104" s="55">
        <f t="shared" si="138"/>
        <v>82.356997418348627</v>
      </c>
      <c r="EW104" t="s">
        <v>133</v>
      </c>
      <c r="EX104" t="s">
        <v>591</v>
      </c>
      <c r="EY104">
        <v>-108</v>
      </c>
      <c r="EZ104" t="s">
        <v>523</v>
      </c>
      <c r="FA104">
        <v>435</v>
      </c>
      <c r="FB104" t="s">
        <v>113</v>
      </c>
      <c r="FC104" t="s">
        <v>88</v>
      </c>
      <c r="FD104" s="39">
        <f t="shared" si="139"/>
        <v>-5.8196738684680875</v>
      </c>
      <c r="FE104" s="39">
        <f t="shared" si="140"/>
        <v>-5.8195429542248522</v>
      </c>
      <c r="FF104" s="39">
        <f t="shared" si="141"/>
        <v>-2.0720907125361885</v>
      </c>
      <c r="FG104" s="39">
        <f t="shared" si="142"/>
        <v>-2.0719597982929532</v>
      </c>
    </row>
    <row r="105" spans="1:163" ht="15.75" x14ac:dyDescent="0.25">
      <c r="A105" s="7" t="s">
        <v>363</v>
      </c>
      <c r="B105" s="7" t="s">
        <v>363</v>
      </c>
      <c r="C105" s="3" t="s">
        <v>894</v>
      </c>
      <c r="D105" s="3" t="s">
        <v>894</v>
      </c>
      <c r="E105" s="3" t="s">
        <v>1265</v>
      </c>
      <c r="F105" s="3" t="s">
        <v>1027</v>
      </c>
      <c r="G105" s="3" t="s">
        <v>772</v>
      </c>
      <c r="H105" s="3" t="str">
        <f t="shared" si="87"/>
        <v>CW_1_Section_2</v>
      </c>
      <c r="I105" s="3" t="str">
        <f t="shared" si="88"/>
        <v>CW_1_MF06</v>
      </c>
      <c r="J105" s="3" t="s">
        <v>1497</v>
      </c>
      <c r="K105" s="3" t="s">
        <v>1484</v>
      </c>
      <c r="L105" s="11" t="s">
        <v>1031</v>
      </c>
      <c r="M105" s="3" t="s">
        <v>1024</v>
      </c>
      <c r="N105" s="3" t="s">
        <v>1024</v>
      </c>
      <c r="O105" s="12" t="s">
        <v>1016</v>
      </c>
      <c r="P105" s="3" t="s">
        <v>1266</v>
      </c>
      <c r="Q105" s="3" t="s">
        <v>1018</v>
      </c>
      <c r="R105" s="3" t="s">
        <v>1251</v>
      </c>
      <c r="S105" s="3" t="str">
        <f t="shared" si="89"/>
        <v>T4_0.60-0.80</v>
      </c>
      <c r="T105" s="13" t="s">
        <v>1252</v>
      </c>
      <c r="U105" s="3" t="s">
        <v>1021</v>
      </c>
      <c r="V105" s="3">
        <v>150</v>
      </c>
      <c r="W105" s="3">
        <v>65</v>
      </c>
      <c r="X105" s="17">
        <v>5.5</v>
      </c>
      <c r="Y105" s="3">
        <v>104</v>
      </c>
      <c r="Z105" t="s">
        <v>592</v>
      </c>
      <c r="AA105" t="s">
        <v>115</v>
      </c>
      <c r="AB105" s="1">
        <v>45762</v>
      </c>
      <c r="AC105">
        <v>11</v>
      </c>
      <c r="AD105">
        <v>12</v>
      </c>
      <c r="AE105">
        <v>290</v>
      </c>
      <c r="AF105" s="37">
        <f t="shared" si="103"/>
        <v>0.11138138522596339</v>
      </c>
      <c r="AG105">
        <v>1</v>
      </c>
      <c r="AH105" s="37">
        <f t="shared" si="104"/>
        <v>3.9070978945083569E-4</v>
      </c>
      <c r="AI105">
        <v>280</v>
      </c>
      <c r="AJ105" s="37">
        <f t="shared" si="105"/>
        <v>0.11076575303758124</v>
      </c>
      <c r="AK105">
        <v>75</v>
      </c>
      <c r="AL105" s="37">
        <f t="shared" si="106"/>
        <v>2.9669398135066402E-2</v>
      </c>
      <c r="AM105">
        <v>60</v>
      </c>
      <c r="AN105" s="37">
        <f t="shared" si="107"/>
        <v>2.3735518508053124E-2</v>
      </c>
      <c r="AO105">
        <v>135</v>
      </c>
      <c r="AQ105" s="59">
        <v>712</v>
      </c>
      <c r="AR105" s="59">
        <f t="shared" si="108"/>
        <v>0.22253784805299548</v>
      </c>
      <c r="AS105">
        <v>1400</v>
      </c>
      <c r="AT105" s="37">
        <f t="shared" si="109"/>
        <v>0.52430365920262156</v>
      </c>
      <c r="AU105" t="s">
        <v>780</v>
      </c>
      <c r="AV105" t="s">
        <v>780</v>
      </c>
      <c r="AW105" t="s">
        <v>780</v>
      </c>
      <c r="AX105" t="s">
        <v>780</v>
      </c>
      <c r="AY105" t="s">
        <v>780</v>
      </c>
      <c r="AZ105" t="s">
        <v>780</v>
      </c>
      <c r="BA105" t="s">
        <v>780</v>
      </c>
      <c r="BB105" t="s">
        <v>780</v>
      </c>
      <c r="BC105" t="s">
        <v>780</v>
      </c>
      <c r="BD105" t="s">
        <v>780</v>
      </c>
      <c r="BE105" t="s">
        <v>780</v>
      </c>
      <c r="BF105" t="s">
        <v>780</v>
      </c>
      <c r="BG105" t="s">
        <v>780</v>
      </c>
      <c r="BH105" t="s">
        <v>780</v>
      </c>
      <c r="BI105" t="s">
        <v>780</v>
      </c>
      <c r="BJ105" t="s">
        <v>780</v>
      </c>
      <c r="BK105" t="s">
        <v>780</v>
      </c>
      <c r="BL105" t="s">
        <v>780</v>
      </c>
      <c r="BM105" t="s">
        <v>780</v>
      </c>
      <c r="BN105" t="s">
        <v>780</v>
      </c>
      <c r="BO105" s="58">
        <v>2800</v>
      </c>
      <c r="BP105" s="58">
        <v>63</v>
      </c>
      <c r="BQ105" s="58">
        <v>210</v>
      </c>
      <c r="BR105" s="58">
        <v>53</v>
      </c>
      <c r="BS105" s="58">
        <v>13</v>
      </c>
      <c r="BT105" s="58">
        <v>1.4</v>
      </c>
      <c r="BU105" s="58">
        <v>0.06</v>
      </c>
      <c r="BV105" s="58">
        <v>0.04</v>
      </c>
      <c r="BW105" s="31">
        <f t="shared" si="110"/>
        <v>1.0486073184052431</v>
      </c>
      <c r="BX105" s="31">
        <f t="shared" si="111"/>
        <v>2.3181549379065643E-2</v>
      </c>
      <c r="BY105" s="31">
        <f t="shared" si="112"/>
        <v>7.8983204720835226E-2</v>
      </c>
      <c r="BZ105" s="31">
        <f t="shared" si="113"/>
        <v>1.9768980868728192E-2</v>
      </c>
      <c r="CA105" s="31">
        <f t="shared" si="114"/>
        <v>4.8140043763676144E-3</v>
      </c>
      <c r="CB105" s="31">
        <f t="shared" si="115"/>
        <v>5.1843124053189689E-4</v>
      </c>
      <c r="CC105" s="31">
        <f t="shared" si="116"/>
        <v>2.1953028430160689E-5</v>
      </c>
      <c r="CD105" s="31">
        <f t="shared" si="117"/>
        <v>1.4635352286773795E-5</v>
      </c>
      <c r="CE105">
        <v>1E-3</v>
      </c>
      <c r="CF105">
        <v>1E-3</v>
      </c>
      <c r="CG105">
        <v>2E-3</v>
      </c>
      <c r="CH105">
        <v>1E-3</v>
      </c>
      <c r="CI105">
        <v>1E-3</v>
      </c>
      <c r="CK105">
        <v>2E-3</v>
      </c>
      <c r="CL105">
        <v>1E-3</v>
      </c>
      <c r="CM105">
        <v>1E-3</v>
      </c>
      <c r="CN105" s="58">
        <f t="shared" si="143"/>
        <v>3140.5</v>
      </c>
      <c r="CO105" s="58">
        <f t="shared" si="118"/>
        <v>340.5</v>
      </c>
      <c r="CP105" s="31">
        <f t="shared" si="119"/>
        <v>1.1759100773714888</v>
      </c>
      <c r="CQ105" s="31">
        <f t="shared" si="120"/>
        <v>0.12730275896624549</v>
      </c>
      <c r="CR105">
        <v>3100</v>
      </c>
      <c r="CS105">
        <v>3800</v>
      </c>
      <c r="CT105">
        <v>1300</v>
      </c>
      <c r="CU105" t="s">
        <v>69</v>
      </c>
      <c r="CV105" t="s">
        <v>69</v>
      </c>
      <c r="CW105">
        <v>5100</v>
      </c>
      <c r="CX105" s="2">
        <f t="shared" si="90"/>
        <v>3812</v>
      </c>
      <c r="CZ105">
        <v>69</v>
      </c>
      <c r="DA105" t="s">
        <v>62</v>
      </c>
      <c r="DB105" t="s">
        <v>88</v>
      </c>
      <c r="DC105" t="s">
        <v>782</v>
      </c>
      <c r="DD105" s="37">
        <f t="shared" si="91"/>
        <v>16.857797210077035</v>
      </c>
      <c r="DE105" s="37">
        <f t="shared" si="144"/>
        <v>16.857797210077035</v>
      </c>
      <c r="DF105" s="37">
        <v>0.5</v>
      </c>
      <c r="DG105" s="37">
        <f t="shared" si="92"/>
        <v>8.9525514771709933E-3</v>
      </c>
      <c r="DH105" s="37">
        <f t="shared" si="121"/>
        <v>8.9525514771709933E-3</v>
      </c>
      <c r="DI105" s="37">
        <f t="shared" si="93"/>
        <v>17.357797210077035</v>
      </c>
      <c r="DJ105" s="37">
        <f t="shared" si="122"/>
        <v>0.31079314610701941</v>
      </c>
      <c r="DK105" s="37">
        <f t="shared" si="123"/>
        <v>0.31079314610701941</v>
      </c>
      <c r="DL105" s="55">
        <f t="shared" si="124"/>
        <v>11.044763689360815</v>
      </c>
      <c r="DM105" s="55">
        <f t="shared" si="124"/>
        <v>11.044763689360815</v>
      </c>
      <c r="DN105" s="37">
        <f t="shared" si="125"/>
        <v>11.544763689360815</v>
      </c>
      <c r="DO105" s="55">
        <f t="shared" si="126"/>
        <v>0.20671018244155442</v>
      </c>
      <c r="DP105" s="55">
        <f t="shared" si="127"/>
        <v>0.20671018244155442</v>
      </c>
      <c r="DQ105" s="37">
        <v>0.9</v>
      </c>
      <c r="DR105" s="37">
        <f t="shared" si="128"/>
        <v>1.6384489350081924E-2</v>
      </c>
      <c r="DS105" s="37">
        <f t="shared" si="129"/>
        <v>3.2768978700163848E-2</v>
      </c>
      <c r="DT105" s="37">
        <f t="shared" si="94"/>
        <v>18.968741684065083</v>
      </c>
      <c r="DU105" s="37">
        <f t="shared" si="95"/>
        <v>9.4843708420325417</v>
      </c>
      <c r="DV105" s="37">
        <f t="shared" si="96"/>
        <v>18.257797210077033</v>
      </c>
      <c r="DW105" s="37">
        <f t="shared" si="97"/>
        <v>0.34356212480718329</v>
      </c>
      <c r="DX105" t="s">
        <v>780</v>
      </c>
      <c r="DY105" t="s">
        <v>178</v>
      </c>
      <c r="DZ105" s="29">
        <f t="shared" si="84"/>
        <v>1</v>
      </c>
      <c r="EA105" s="30">
        <v>1.7000000000000001E-2</v>
      </c>
      <c r="EB105" s="30">
        <f t="shared" si="130"/>
        <v>2.741935483870968E-4</v>
      </c>
      <c r="EC105" s="30">
        <f t="shared" si="131"/>
        <v>1.370967741935484E-3</v>
      </c>
      <c r="ED105" s="31">
        <f t="shared" si="149"/>
        <v>29</v>
      </c>
      <c r="EE105" s="33">
        <f t="shared" si="148"/>
        <v>33.333333333333329</v>
      </c>
      <c r="EF105" s="37">
        <f t="shared" si="98"/>
        <v>2.4151571934207787</v>
      </c>
      <c r="EG105" s="37">
        <f>$EK103-EK105</f>
        <v>19</v>
      </c>
      <c r="EH105" s="33">
        <f>(EG105/$EK103)*100</f>
        <v>24.675324675324674</v>
      </c>
      <c r="EI105" s="37">
        <f t="shared" si="147"/>
        <v>1.5823443681032687</v>
      </c>
      <c r="EJ105" s="37">
        <f>($EG105/96.06)*8</f>
        <v>1.5823443681032687</v>
      </c>
      <c r="EK105" s="31">
        <v>58</v>
      </c>
      <c r="EL105" s="31">
        <f t="shared" si="132"/>
        <v>0.60378929835519468</v>
      </c>
      <c r="EM105" s="31">
        <f t="shared" si="133"/>
        <v>4.8303143868415575</v>
      </c>
      <c r="EN105" s="32">
        <f t="shared" si="99"/>
        <v>4.8316853545834926</v>
      </c>
      <c r="EO105" s="39">
        <f t="shared" si="134"/>
        <v>2.7587193182279619</v>
      </c>
      <c r="EP105" s="37">
        <f t="shared" si="100"/>
        <v>1.1878330094564567E-2</v>
      </c>
      <c r="EQ105" s="37">
        <f t="shared" si="101"/>
        <v>0.11265848760092584</v>
      </c>
      <c r="ER105" s="37">
        <f t="shared" si="102"/>
        <v>0.87546318230450959</v>
      </c>
      <c r="ES105" s="39">
        <f t="shared" si="135"/>
        <v>1.8218235292449869</v>
      </c>
      <c r="ET105" s="55">
        <f t="shared" si="136"/>
        <v>11.346333995764162</v>
      </c>
      <c r="EU105" s="55">
        <f t="shared" si="137"/>
        <v>1.798691156093708</v>
      </c>
      <c r="EV105" s="55">
        <f t="shared" si="138"/>
        <v>86.854974848142135</v>
      </c>
      <c r="EW105" t="s">
        <v>593</v>
      </c>
      <c r="EX105">
        <v>14</v>
      </c>
      <c r="EY105">
        <v>-137</v>
      </c>
      <c r="EZ105" t="s">
        <v>594</v>
      </c>
      <c r="FA105">
        <v>1080</v>
      </c>
      <c r="FB105" t="s">
        <v>113</v>
      </c>
      <c r="FC105" t="s">
        <v>88</v>
      </c>
      <c r="FD105" s="39">
        <f t="shared" si="139"/>
        <v>-2.011877810972345</v>
      </c>
      <c r="FE105" s="39">
        <f t="shared" si="140"/>
        <v>-1.8845750520060993</v>
      </c>
      <c r="FF105" s="39">
        <f t="shared" si="141"/>
        <v>-1.0749820219893698</v>
      </c>
      <c r="FG105" s="39">
        <f t="shared" si="142"/>
        <v>-0.94767926302312433</v>
      </c>
    </row>
    <row r="106" spans="1:163" ht="15.75" x14ac:dyDescent="0.25">
      <c r="A106" s="7" t="s">
        <v>364</v>
      </c>
      <c r="B106" s="7" t="s">
        <v>364</v>
      </c>
      <c r="C106" s="3" t="s">
        <v>895</v>
      </c>
      <c r="D106" s="3" t="s">
        <v>895</v>
      </c>
      <c r="E106" s="3" t="s">
        <v>1267</v>
      </c>
      <c r="F106" s="3" t="s">
        <v>1034</v>
      </c>
      <c r="G106" s="3" t="s">
        <v>772</v>
      </c>
      <c r="H106" s="3" t="str">
        <f t="shared" si="87"/>
        <v>CW_1_Section_3</v>
      </c>
      <c r="I106" s="3" t="str">
        <f t="shared" si="88"/>
        <v>CW_1_MF09</v>
      </c>
      <c r="J106" s="3" t="s">
        <v>1492</v>
      </c>
      <c r="K106" s="3" t="s">
        <v>1484</v>
      </c>
      <c r="L106" s="11" t="s">
        <v>1035</v>
      </c>
      <c r="M106" s="3" t="s">
        <v>1015</v>
      </c>
      <c r="N106" s="3" t="s">
        <v>1015</v>
      </c>
      <c r="O106" s="12" t="s">
        <v>1016</v>
      </c>
      <c r="P106" s="3" t="s">
        <v>1268</v>
      </c>
      <c r="Q106" s="3" t="s">
        <v>1018</v>
      </c>
      <c r="R106" s="3" t="s">
        <v>1251</v>
      </c>
      <c r="S106" s="3" t="str">
        <f t="shared" si="89"/>
        <v>T4_0.15-0.30</v>
      </c>
      <c r="T106" s="13" t="s">
        <v>1252</v>
      </c>
      <c r="U106" s="3" t="s">
        <v>1021</v>
      </c>
      <c r="V106" s="3">
        <v>150</v>
      </c>
      <c r="W106" s="3">
        <v>65</v>
      </c>
      <c r="X106" s="17">
        <v>6.9</v>
      </c>
      <c r="Y106" s="3">
        <v>105</v>
      </c>
      <c r="Z106" t="s">
        <v>595</v>
      </c>
      <c r="AA106" t="s">
        <v>74</v>
      </c>
      <c r="AB106" s="1">
        <v>45762</v>
      </c>
      <c r="AC106">
        <v>11</v>
      </c>
      <c r="AD106">
        <v>11</v>
      </c>
      <c r="AE106">
        <v>270</v>
      </c>
      <c r="AF106" s="37">
        <f t="shared" si="103"/>
        <v>0.1036999103827935</v>
      </c>
      <c r="AG106">
        <v>0.5</v>
      </c>
      <c r="AH106" s="37">
        <f t="shared" si="104"/>
        <v>1.9535489472541785E-4</v>
      </c>
      <c r="AI106">
        <v>290</v>
      </c>
      <c r="AJ106" s="37">
        <f t="shared" si="105"/>
        <v>0.11472167278892344</v>
      </c>
      <c r="AK106">
        <v>110</v>
      </c>
      <c r="AL106" s="37">
        <f t="shared" si="106"/>
        <v>4.3515117264764057E-2</v>
      </c>
      <c r="AM106">
        <v>100</v>
      </c>
      <c r="AN106" s="37">
        <f t="shared" si="107"/>
        <v>3.9559197513421872E-2</v>
      </c>
      <c r="AO106">
        <v>210</v>
      </c>
      <c r="AQ106" s="59">
        <v>773.5</v>
      </c>
      <c r="AR106" s="59">
        <f t="shared" si="108"/>
        <v>0.21861693806644233</v>
      </c>
      <c r="AS106">
        <v>1300</v>
      </c>
      <c r="AT106" s="37">
        <f t="shared" si="109"/>
        <v>0.48685339783100573</v>
      </c>
      <c r="AU106" t="s">
        <v>780</v>
      </c>
      <c r="AV106" t="s">
        <v>780</v>
      </c>
      <c r="AW106" t="s">
        <v>780</v>
      </c>
      <c r="AX106" t="s">
        <v>780</v>
      </c>
      <c r="AY106" t="s">
        <v>780</v>
      </c>
      <c r="AZ106" t="s">
        <v>780</v>
      </c>
      <c r="BA106" t="s">
        <v>780</v>
      </c>
      <c r="BB106" t="s">
        <v>780</v>
      </c>
      <c r="BC106" t="s">
        <v>780</v>
      </c>
      <c r="BD106" t="s">
        <v>780</v>
      </c>
      <c r="BE106" t="s">
        <v>780</v>
      </c>
      <c r="BF106" t="s">
        <v>780</v>
      </c>
      <c r="BG106" t="s">
        <v>780</v>
      </c>
      <c r="BH106" t="s">
        <v>780</v>
      </c>
      <c r="BI106" t="s">
        <v>780</v>
      </c>
      <c r="BJ106" t="s">
        <v>780</v>
      </c>
      <c r="BK106" t="s">
        <v>780</v>
      </c>
      <c r="BL106" t="s">
        <v>780</v>
      </c>
      <c r="BM106" t="s">
        <v>780</v>
      </c>
      <c r="BN106" t="s">
        <v>780</v>
      </c>
      <c r="BO106" s="58">
        <v>980</v>
      </c>
      <c r="BP106" s="58">
        <v>0.31</v>
      </c>
      <c r="BQ106" s="58">
        <v>0.79</v>
      </c>
      <c r="BR106" s="58">
        <v>0.28999999999999998</v>
      </c>
      <c r="BS106" s="58">
        <v>0.18</v>
      </c>
      <c r="BT106" s="58">
        <v>0.03</v>
      </c>
      <c r="BU106" s="58">
        <v>0.01</v>
      </c>
      <c r="BV106" s="58">
        <v>2E-3</v>
      </c>
      <c r="BW106" s="31">
        <f t="shared" si="110"/>
        <v>0.36701256144183508</v>
      </c>
      <c r="BX106" s="31">
        <f t="shared" si="111"/>
        <v>1.1406794138905315E-4</v>
      </c>
      <c r="BY106" s="31">
        <f t="shared" si="112"/>
        <v>2.9712729394980872E-4</v>
      </c>
      <c r="BZ106" s="31">
        <f t="shared" si="113"/>
        <v>1.0816989531945613E-4</v>
      </c>
      <c r="CA106" s="31">
        <f t="shared" si="114"/>
        <v>6.6655445211243893E-5</v>
      </c>
      <c r="CB106" s="31">
        <f t="shared" si="115"/>
        <v>1.110924086854065E-5</v>
      </c>
      <c r="CC106" s="31">
        <f t="shared" si="116"/>
        <v>3.6588380716934487E-6</v>
      </c>
      <c r="CD106" s="31">
        <f t="shared" si="117"/>
        <v>7.3176761433868969E-7</v>
      </c>
      <c r="CE106">
        <v>1E-3</v>
      </c>
      <c r="CF106">
        <v>1E-3</v>
      </c>
      <c r="CG106">
        <v>2E-3</v>
      </c>
      <c r="CH106">
        <v>1E-3</v>
      </c>
      <c r="CI106">
        <v>1E-3</v>
      </c>
      <c r="CK106">
        <v>2E-3</v>
      </c>
      <c r="CL106">
        <v>1E-3</v>
      </c>
      <c r="CM106">
        <v>1E-3</v>
      </c>
      <c r="CN106" s="58">
        <f t="shared" si="143"/>
        <v>981.61199999999974</v>
      </c>
      <c r="CO106" s="58">
        <f t="shared" si="118"/>
        <v>1.6120000000000001</v>
      </c>
      <c r="CP106" s="31">
        <f t="shared" si="119"/>
        <v>0.36761408186425926</v>
      </c>
      <c r="CQ106" s="31">
        <f t="shared" si="120"/>
        <v>6.0152042242413465E-4</v>
      </c>
      <c r="CR106">
        <v>980</v>
      </c>
      <c r="CS106">
        <v>2000</v>
      </c>
      <c r="CT106">
        <v>25</v>
      </c>
      <c r="CU106" t="s">
        <v>69</v>
      </c>
      <c r="CV106" t="s">
        <v>69</v>
      </c>
      <c r="CW106">
        <v>2000</v>
      </c>
      <c r="CX106" s="2">
        <f t="shared" ref="CX106:CX137" si="150">SUM(AQ106+CR106)</f>
        <v>1753.5</v>
      </c>
      <c r="CZ106">
        <v>62</v>
      </c>
      <c r="DA106" t="s">
        <v>62</v>
      </c>
      <c r="DB106" t="s">
        <v>88</v>
      </c>
      <c r="DC106" t="s">
        <v>782</v>
      </c>
      <c r="DD106" s="37">
        <f t="shared" ref="DD106:DD137" si="151">$ED106*(55.84/96.06)</f>
        <v>37.2034145325838</v>
      </c>
      <c r="DE106" s="37">
        <f t="shared" si="144"/>
        <v>37.2034145325838</v>
      </c>
      <c r="DF106" s="37">
        <v>8.6999999999999993</v>
      </c>
      <c r="DG106" s="37">
        <f t="shared" ref="DG106:DG137" si="152">DF106/55.85</f>
        <v>0.15577439570277526</v>
      </c>
      <c r="DH106" s="37">
        <f t="shared" si="121"/>
        <v>0.15577439570277526</v>
      </c>
      <c r="DI106" s="37">
        <f t="shared" ref="DI106:DI137" si="153">DE106+DF106</f>
        <v>45.903414532583795</v>
      </c>
      <c r="DJ106" s="37">
        <f t="shared" si="122"/>
        <v>0.821905363161751</v>
      </c>
      <c r="DK106" s="37">
        <f t="shared" si="123"/>
        <v>0.821905363161751</v>
      </c>
      <c r="DL106" s="55">
        <f t="shared" si="124"/>
        <v>-4.650426816572975</v>
      </c>
      <c r="DN106" s="37">
        <f t="shared" si="125"/>
        <v>8.6999999999999993</v>
      </c>
      <c r="DO106" s="55">
        <f t="shared" si="126"/>
        <v>0.15577439570277526</v>
      </c>
      <c r="DP106" s="55">
        <f t="shared" si="127"/>
        <v>0.15577439570277526</v>
      </c>
      <c r="DQ106" s="37">
        <v>1.2</v>
      </c>
      <c r="DR106" s="37">
        <f t="shared" si="128"/>
        <v>2.1845985800109231E-2</v>
      </c>
      <c r="DS106" s="37">
        <f t="shared" si="129"/>
        <v>4.3691971600218461E-2</v>
      </c>
      <c r="DT106" s="37">
        <f t="shared" ref="DT106:DT137" si="154">DJ106/DR106</f>
        <v>37.622717998729151</v>
      </c>
      <c r="DU106" s="37">
        <f t="shared" ref="DU106:DU137" si="155">DK106/DS106</f>
        <v>18.811358999364575</v>
      </c>
      <c r="DV106" s="37">
        <f t="shared" ref="DV106:DV137" si="156">DI106+DQ106</f>
        <v>47.103414532583798</v>
      </c>
      <c r="DW106" s="37">
        <f t="shared" ref="DW106:DW137" si="157">SUM(DK106+DS106)</f>
        <v>0.86559733476196943</v>
      </c>
      <c r="DX106" t="s">
        <v>780</v>
      </c>
      <c r="DY106" t="s">
        <v>55</v>
      </c>
      <c r="DZ106" s="29">
        <f t="shared" si="84"/>
        <v>1</v>
      </c>
      <c r="EA106" s="30">
        <v>1.7000000000000001E-2</v>
      </c>
      <c r="EB106" s="30">
        <f t="shared" si="130"/>
        <v>2.741935483870968E-4</v>
      </c>
      <c r="EC106" s="30">
        <f t="shared" si="131"/>
        <v>1.370967741935484E-3</v>
      </c>
      <c r="ED106" s="31">
        <f t="shared" si="149"/>
        <v>64</v>
      </c>
      <c r="EE106" s="33">
        <f t="shared" si="148"/>
        <v>73.563218390804593</v>
      </c>
      <c r="EF106" s="37">
        <f t="shared" ref="EF106:EF137" si="158">(ED106/96.06)*8</f>
        <v>5.3300020820320633</v>
      </c>
      <c r="EG106" s="37">
        <f>$EK104-EK106</f>
        <v>-8</v>
      </c>
      <c r="EH106" s="33">
        <f>(EG106/$EK104)*100</f>
        <v>-53.333333333333336</v>
      </c>
      <c r="EI106" s="37">
        <f t="shared" si="147"/>
        <v>-0.66625026025400791</v>
      </c>
      <c r="EJ106" s="37"/>
      <c r="EK106" s="31">
        <v>23</v>
      </c>
      <c r="EL106" s="31">
        <f t="shared" si="132"/>
        <v>0.23943368727878409</v>
      </c>
      <c r="EM106" s="31">
        <f t="shared" si="133"/>
        <v>1.9154694982302727</v>
      </c>
      <c r="EN106" s="32">
        <f t="shared" ref="EN106:EN137" si="159">SUM(EC106+EM106)</f>
        <v>1.9168404659722083</v>
      </c>
      <c r="EO106" s="39">
        <f t="shared" si="134"/>
        <v>6.1955994167940327</v>
      </c>
      <c r="EP106" s="37">
        <f t="shared" ref="EP106:EP137" si="160">DS106/EO106</f>
        <v>7.052097571348029E-3</v>
      </c>
      <c r="EQ106" s="37">
        <f t="shared" ref="EQ106:EQ137" si="161">DK106/EO106</f>
        <v>0.1326595391131748</v>
      </c>
      <c r="ER106" s="37">
        <f t="shared" ref="ER106:ER137" si="162">EF106/EO106</f>
        <v>0.8602883633154772</v>
      </c>
      <c r="ES106" s="39">
        <f t="shared" si="135"/>
        <v>0.19946636730299372</v>
      </c>
      <c r="ET106" s="55">
        <f t="shared" si="136"/>
        <v>78.09556959853316</v>
      </c>
      <c r="EU106" s="55">
        <f t="shared" si="137"/>
        <v>21.904430401466836</v>
      </c>
      <c r="EV106" s="55">
        <f t="shared" si="138"/>
        <v>0</v>
      </c>
      <c r="EW106" t="s">
        <v>596</v>
      </c>
      <c r="EX106" t="s">
        <v>492</v>
      </c>
      <c r="EY106">
        <v>-101</v>
      </c>
      <c r="EZ106" t="s">
        <v>112</v>
      </c>
      <c r="FA106">
        <v>749</v>
      </c>
      <c r="FB106" t="s">
        <v>113</v>
      </c>
      <c r="FC106" t="s">
        <v>88</v>
      </c>
      <c r="FD106" s="39">
        <f t="shared" si="139"/>
        <v>-5.490129080896585</v>
      </c>
      <c r="FE106" s="39">
        <f t="shared" si="140"/>
        <v>-5.4895275604741602</v>
      </c>
      <c r="FF106" s="39">
        <f t="shared" si="141"/>
        <v>0.5060039685944544</v>
      </c>
      <c r="FG106" s="39">
        <f t="shared" si="142"/>
        <v>0.50660548901687852</v>
      </c>
    </row>
    <row r="107" spans="1:163" ht="15.75" x14ac:dyDescent="0.25">
      <c r="A107" s="7" t="s">
        <v>365</v>
      </c>
      <c r="B107" s="7" t="s">
        <v>365</v>
      </c>
      <c r="C107" s="3" t="s">
        <v>896</v>
      </c>
      <c r="D107" s="3" t="s">
        <v>896</v>
      </c>
      <c r="E107" s="3" t="s">
        <v>1269</v>
      </c>
      <c r="F107" s="3" t="s">
        <v>1034</v>
      </c>
      <c r="G107" s="3" t="s">
        <v>772</v>
      </c>
      <c r="H107" s="3" t="str">
        <f t="shared" si="87"/>
        <v>CW_1_Section_3</v>
      </c>
      <c r="I107" s="3" t="str">
        <f t="shared" si="88"/>
        <v>CW_1_MF10</v>
      </c>
      <c r="J107" s="3" t="s">
        <v>1493</v>
      </c>
      <c r="K107" s="3" t="s">
        <v>1484</v>
      </c>
      <c r="L107" s="11" t="s">
        <v>1038</v>
      </c>
      <c r="M107" s="3" t="s">
        <v>1024</v>
      </c>
      <c r="N107" s="3" t="s">
        <v>1024</v>
      </c>
      <c r="O107" s="12" t="s">
        <v>1016</v>
      </c>
      <c r="P107" s="3" t="s">
        <v>1270</v>
      </c>
      <c r="Q107" s="3" t="s">
        <v>1018</v>
      </c>
      <c r="R107" s="3" t="s">
        <v>1251</v>
      </c>
      <c r="S107" s="3" t="str">
        <f t="shared" si="89"/>
        <v>T4_0.60-0.80</v>
      </c>
      <c r="T107" s="13" t="s">
        <v>1252</v>
      </c>
      <c r="U107" s="3" t="s">
        <v>1021</v>
      </c>
      <c r="V107" s="3">
        <v>150</v>
      </c>
      <c r="W107" s="3">
        <v>65</v>
      </c>
      <c r="X107" s="17">
        <v>4</v>
      </c>
      <c r="Y107" s="3">
        <v>106</v>
      </c>
      <c r="Z107" t="s">
        <v>597</v>
      </c>
      <c r="AA107" t="s">
        <v>95</v>
      </c>
      <c r="AB107" s="1">
        <v>45762</v>
      </c>
      <c r="AC107">
        <v>11</v>
      </c>
      <c r="AD107">
        <v>12</v>
      </c>
      <c r="AE107">
        <v>260</v>
      </c>
      <c r="AF107" s="37">
        <f t="shared" si="103"/>
        <v>9.9859172961208553E-2</v>
      </c>
      <c r="AG107">
        <v>1</v>
      </c>
      <c r="AH107" s="37">
        <f t="shared" si="104"/>
        <v>3.9070978945083569E-4</v>
      </c>
      <c r="AI107">
        <v>230</v>
      </c>
      <c r="AJ107" s="37">
        <f t="shared" si="105"/>
        <v>9.0986154280870299E-2</v>
      </c>
      <c r="AK107">
        <v>70</v>
      </c>
      <c r="AL107" s="37">
        <f t="shared" si="106"/>
        <v>2.769143825939531E-2</v>
      </c>
      <c r="AM107">
        <v>62</v>
      </c>
      <c r="AN107" s="37">
        <f t="shared" si="107"/>
        <v>2.4526702458321559E-2</v>
      </c>
      <c r="AO107">
        <v>132</v>
      </c>
      <c r="AQ107" s="59">
        <v>629</v>
      </c>
      <c r="AR107" s="59">
        <f t="shared" si="108"/>
        <v>0.19123603703152969</v>
      </c>
      <c r="AS107">
        <v>1800</v>
      </c>
      <c r="AT107" s="37">
        <f t="shared" si="109"/>
        <v>0.6741047046890849</v>
      </c>
      <c r="AU107" t="s">
        <v>780</v>
      </c>
      <c r="AV107" t="s">
        <v>780</v>
      </c>
      <c r="AW107" t="s">
        <v>780</v>
      </c>
      <c r="AX107" t="s">
        <v>780</v>
      </c>
      <c r="AY107" t="s">
        <v>780</v>
      </c>
      <c r="AZ107" t="s">
        <v>780</v>
      </c>
      <c r="BA107" t="s">
        <v>780</v>
      </c>
      <c r="BB107" t="s">
        <v>780</v>
      </c>
      <c r="BC107" t="s">
        <v>780</v>
      </c>
      <c r="BD107" t="s">
        <v>780</v>
      </c>
      <c r="BE107" t="s">
        <v>780</v>
      </c>
      <c r="BF107" t="s">
        <v>780</v>
      </c>
      <c r="BG107" t="s">
        <v>780</v>
      </c>
      <c r="BH107" t="s">
        <v>780</v>
      </c>
      <c r="BI107" t="s">
        <v>780</v>
      </c>
      <c r="BJ107" t="s">
        <v>780</v>
      </c>
      <c r="BK107" t="s">
        <v>780</v>
      </c>
      <c r="BL107" t="s">
        <v>780</v>
      </c>
      <c r="BM107" t="s">
        <v>780</v>
      </c>
      <c r="BN107" t="s">
        <v>780</v>
      </c>
      <c r="BO107" s="58">
        <v>2400</v>
      </c>
      <c r="BP107" s="58">
        <v>89</v>
      </c>
      <c r="BQ107" s="58">
        <v>120</v>
      </c>
      <c r="BR107" s="58">
        <v>30</v>
      </c>
      <c r="BS107" s="58">
        <v>0.72</v>
      </c>
      <c r="BT107" s="58">
        <v>0.52</v>
      </c>
      <c r="BU107" s="58">
        <v>0.03</v>
      </c>
      <c r="BV107" s="58">
        <v>2E-3</v>
      </c>
      <c r="BW107" s="31">
        <f t="shared" si="110"/>
        <v>0.89880627291877968</v>
      </c>
      <c r="BX107" s="31">
        <f t="shared" si="111"/>
        <v>3.2748538011695909E-2</v>
      </c>
      <c r="BY107" s="31">
        <f t="shared" si="112"/>
        <v>4.5133259840477273E-2</v>
      </c>
      <c r="BZ107" s="31">
        <f t="shared" si="113"/>
        <v>1.1189989170978222E-2</v>
      </c>
      <c r="CA107" s="31">
        <f t="shared" si="114"/>
        <v>2.6662178084497557E-4</v>
      </c>
      <c r="CB107" s="31">
        <f t="shared" si="115"/>
        <v>1.925601750547046E-4</v>
      </c>
      <c r="CC107" s="31">
        <f t="shared" si="116"/>
        <v>1.0976514215080345E-5</v>
      </c>
      <c r="CD107" s="31">
        <f t="shared" si="117"/>
        <v>7.3176761433868969E-7</v>
      </c>
      <c r="CE107">
        <v>1E-3</v>
      </c>
      <c r="CF107">
        <v>1E-3</v>
      </c>
      <c r="CG107">
        <v>2E-3</v>
      </c>
      <c r="CH107">
        <v>1E-3</v>
      </c>
      <c r="CI107">
        <v>1E-3</v>
      </c>
      <c r="CK107">
        <v>2E-3</v>
      </c>
      <c r="CL107">
        <v>1E-3</v>
      </c>
      <c r="CM107">
        <v>1E-3</v>
      </c>
      <c r="CN107" s="58">
        <f t="shared" si="143"/>
        <v>2640.2719999999999</v>
      </c>
      <c r="CO107" s="58">
        <f t="shared" si="118"/>
        <v>240.27200000000002</v>
      </c>
      <c r="CP107" s="31">
        <f t="shared" si="119"/>
        <v>0.98834895017966029</v>
      </c>
      <c r="CQ107" s="31">
        <f t="shared" si="120"/>
        <v>8.9542677260880513E-2</v>
      </c>
      <c r="CR107">
        <v>2600</v>
      </c>
      <c r="CS107">
        <v>4200</v>
      </c>
      <c r="CT107">
        <v>1300</v>
      </c>
      <c r="CU107" t="s">
        <v>69</v>
      </c>
      <c r="CV107" t="s">
        <v>69</v>
      </c>
      <c r="CW107">
        <v>5500</v>
      </c>
      <c r="CX107" s="2">
        <f t="shared" si="150"/>
        <v>3229</v>
      </c>
      <c r="CZ107">
        <v>69</v>
      </c>
      <c r="DA107" t="s">
        <v>62</v>
      </c>
      <c r="DB107" t="s">
        <v>88</v>
      </c>
      <c r="DC107" t="s">
        <v>782</v>
      </c>
      <c r="DD107" s="37">
        <f t="shared" si="151"/>
        <v>15.113887153862169</v>
      </c>
      <c r="DE107" s="37">
        <f t="shared" si="144"/>
        <v>15.113887153862169</v>
      </c>
      <c r="DF107" s="37">
        <v>0.8</v>
      </c>
      <c r="DG107" s="37">
        <f t="shared" si="152"/>
        <v>1.432408236347359E-2</v>
      </c>
      <c r="DH107" s="37">
        <f t="shared" si="121"/>
        <v>1.432408236347359E-2</v>
      </c>
      <c r="DI107" s="37">
        <f t="shared" si="153"/>
        <v>15.91388715386217</v>
      </c>
      <c r="DJ107" s="37">
        <f t="shared" si="122"/>
        <v>0.28493978789368252</v>
      </c>
      <c r="DK107" s="37">
        <f t="shared" si="123"/>
        <v>0.28493978789368252</v>
      </c>
      <c r="DL107" s="55">
        <f t="shared" si="124"/>
        <v>-1.7439100562148657</v>
      </c>
      <c r="DN107" s="37">
        <f t="shared" si="125"/>
        <v>0.8</v>
      </c>
      <c r="DO107" s="55">
        <f t="shared" si="126"/>
        <v>1.432408236347359E-2</v>
      </c>
      <c r="DP107" s="55">
        <f t="shared" si="127"/>
        <v>1.432408236347359E-2</v>
      </c>
      <c r="DQ107" s="37">
        <v>1.1000000000000001</v>
      </c>
      <c r="DR107" s="37">
        <f t="shared" si="128"/>
        <v>2.0025486983433462E-2</v>
      </c>
      <c r="DS107" s="37">
        <f t="shared" si="129"/>
        <v>4.0050973966866923E-2</v>
      </c>
      <c r="DT107" s="37">
        <f t="shared" si="154"/>
        <v>14.228856862727254</v>
      </c>
      <c r="DU107" s="37">
        <f t="shared" si="155"/>
        <v>7.1144284313636268</v>
      </c>
      <c r="DV107" s="37">
        <f t="shared" si="156"/>
        <v>17.013887153862171</v>
      </c>
      <c r="DW107" s="37">
        <f t="shared" si="157"/>
        <v>0.32499076186054943</v>
      </c>
      <c r="DX107" t="s">
        <v>780</v>
      </c>
      <c r="DY107" t="s">
        <v>468</v>
      </c>
      <c r="DZ107" s="29">
        <f t="shared" si="84"/>
        <v>1</v>
      </c>
      <c r="EA107" s="30">
        <v>1.7000000000000001E-2</v>
      </c>
      <c r="EB107" s="30">
        <f t="shared" si="130"/>
        <v>2.741935483870968E-4</v>
      </c>
      <c r="EC107" s="30">
        <f t="shared" si="131"/>
        <v>1.370967741935484E-3</v>
      </c>
      <c r="ED107" s="31">
        <f t="shared" si="149"/>
        <v>26</v>
      </c>
      <c r="EE107" s="33">
        <f t="shared" si="148"/>
        <v>29.885057471264371</v>
      </c>
      <c r="EF107" s="37">
        <f t="shared" si="158"/>
        <v>2.1653133458255258</v>
      </c>
      <c r="EG107" s="29">
        <f>$EK105-EK107</f>
        <v>-3</v>
      </c>
      <c r="EH107" s="33">
        <f>(EG107/$EK105)*100</f>
        <v>-5.1724137931034484</v>
      </c>
      <c r="EI107" s="37">
        <f t="shared" si="147"/>
        <v>-0.24984384759525297</v>
      </c>
      <c r="EJ107" s="37"/>
      <c r="EK107" s="31">
        <v>61</v>
      </c>
      <c r="EL107" s="31">
        <f t="shared" si="132"/>
        <v>0.6350197793046013</v>
      </c>
      <c r="EM107" s="31">
        <f t="shared" si="133"/>
        <v>5.0801582344368104</v>
      </c>
      <c r="EN107" s="32">
        <f t="shared" si="159"/>
        <v>5.0815292021787455</v>
      </c>
      <c r="EO107" s="39">
        <f t="shared" ref="EO107:EO138" si="163">DK107+DS107+EF107</f>
        <v>2.4903041076860752</v>
      </c>
      <c r="EP107" s="37">
        <f t="shared" si="160"/>
        <v>1.6082764287001571E-2</v>
      </c>
      <c r="EQ107" s="37">
        <f t="shared" si="161"/>
        <v>0.11441967549836354</v>
      </c>
      <c r="ER107" s="37">
        <f t="shared" si="162"/>
        <v>0.86949756021463487</v>
      </c>
      <c r="ES107" s="39">
        <f t="shared" si="135"/>
        <v>5.437505633034051E-2</v>
      </c>
      <c r="ET107" s="55">
        <f t="shared" si="136"/>
        <v>26.343112688383467</v>
      </c>
      <c r="EU107" s="55">
        <f t="shared" si="137"/>
        <v>73.656887311616543</v>
      </c>
      <c r="EV107" s="55">
        <f t="shared" si="138"/>
        <v>0</v>
      </c>
      <c r="EW107" t="s">
        <v>125</v>
      </c>
      <c r="EX107" t="s">
        <v>586</v>
      </c>
      <c r="EY107">
        <v>-148</v>
      </c>
      <c r="EZ107" t="s">
        <v>253</v>
      </c>
      <c r="FA107">
        <v>802</v>
      </c>
      <c r="FB107" t="s">
        <v>113</v>
      </c>
      <c r="FC107" t="s">
        <v>88</v>
      </c>
      <c r="FD107" s="39">
        <f t="shared" si="139"/>
        <v>-1.6249633659654608</v>
      </c>
      <c r="FE107" s="39">
        <f t="shared" si="140"/>
        <v>-1.5354206887045803</v>
      </c>
      <c r="FF107" s="39">
        <f t="shared" si="141"/>
        <v>0.81096568539027403</v>
      </c>
      <c r="FG107" s="39">
        <f t="shared" si="142"/>
        <v>0.90050836265115453</v>
      </c>
    </row>
    <row r="108" spans="1:163" ht="15.75" x14ac:dyDescent="0.25">
      <c r="A108" s="7" t="s">
        <v>366</v>
      </c>
      <c r="B108" s="7" t="s">
        <v>366</v>
      </c>
      <c r="C108" s="3" t="s">
        <v>897</v>
      </c>
      <c r="D108" s="3" t="s">
        <v>897</v>
      </c>
      <c r="E108" s="3" t="s">
        <v>1271</v>
      </c>
      <c r="F108" s="3" t="s">
        <v>1013</v>
      </c>
      <c r="G108" s="3" t="s">
        <v>773</v>
      </c>
      <c r="H108" s="3" t="str">
        <f t="shared" si="87"/>
        <v>CW_2_Section_1</v>
      </c>
      <c r="I108" s="3" t="str">
        <f t="shared" si="88"/>
        <v>CW_2_MF01</v>
      </c>
      <c r="J108" s="3" t="s">
        <v>1488</v>
      </c>
      <c r="K108" s="3" t="s">
        <v>1484</v>
      </c>
      <c r="L108" s="11" t="s">
        <v>1074</v>
      </c>
      <c r="M108" s="3" t="s">
        <v>1015</v>
      </c>
      <c r="N108" s="3" t="s">
        <v>1015</v>
      </c>
      <c r="O108" s="12" t="s">
        <v>1016</v>
      </c>
      <c r="P108" s="3" t="s">
        <v>1272</v>
      </c>
      <c r="Q108" s="3" t="s">
        <v>1018</v>
      </c>
      <c r="R108" s="3" t="s">
        <v>1251</v>
      </c>
      <c r="S108" s="3" t="str">
        <f t="shared" si="89"/>
        <v>T4_0.15-0.30</v>
      </c>
      <c r="T108" s="13" t="s">
        <v>1252</v>
      </c>
      <c r="U108" s="3" t="s">
        <v>1021</v>
      </c>
      <c r="V108" s="3">
        <v>150</v>
      </c>
      <c r="W108" s="3">
        <v>65</v>
      </c>
      <c r="X108" s="17">
        <v>5.2</v>
      </c>
      <c r="Y108" s="3">
        <v>107</v>
      </c>
      <c r="Z108" t="s">
        <v>600</v>
      </c>
      <c r="AA108" t="s">
        <v>204</v>
      </c>
      <c r="AB108" s="1">
        <v>45762</v>
      </c>
      <c r="AC108">
        <v>11</v>
      </c>
      <c r="AD108">
        <v>11</v>
      </c>
      <c r="AE108">
        <v>390</v>
      </c>
      <c r="AF108" s="37">
        <f t="shared" si="103"/>
        <v>0.14978875944181283</v>
      </c>
      <c r="AG108">
        <v>2</v>
      </c>
      <c r="AH108" s="37">
        <f t="shared" si="104"/>
        <v>7.8141957890167139E-4</v>
      </c>
      <c r="AI108">
        <v>240</v>
      </c>
      <c r="AJ108" s="37">
        <f t="shared" si="105"/>
        <v>9.4942074032212498E-2</v>
      </c>
      <c r="AK108">
        <v>62</v>
      </c>
      <c r="AL108" s="37">
        <f t="shared" si="106"/>
        <v>2.4526702458321559E-2</v>
      </c>
      <c r="AM108">
        <v>68</v>
      </c>
      <c r="AN108" s="37">
        <f t="shared" si="107"/>
        <v>2.6900254309126872E-2</v>
      </c>
      <c r="AO108">
        <v>130</v>
      </c>
      <c r="AQ108" s="59">
        <v>774</v>
      </c>
      <c r="AR108" s="59">
        <f t="shared" si="108"/>
        <v>0.24551225305292701</v>
      </c>
      <c r="AS108">
        <v>2800</v>
      </c>
      <c r="AT108" s="37">
        <f t="shared" si="109"/>
        <v>1.0486073184052431</v>
      </c>
      <c r="AU108" t="s">
        <v>780</v>
      </c>
      <c r="AV108" t="s">
        <v>780</v>
      </c>
      <c r="AW108" t="s">
        <v>780</v>
      </c>
      <c r="AX108" t="s">
        <v>780</v>
      </c>
      <c r="AY108" t="s">
        <v>780</v>
      </c>
      <c r="AZ108" t="s">
        <v>780</v>
      </c>
      <c r="BA108" t="s">
        <v>780</v>
      </c>
      <c r="BB108" t="s">
        <v>780</v>
      </c>
      <c r="BC108" t="s">
        <v>780</v>
      </c>
      <c r="BD108" t="s">
        <v>780</v>
      </c>
      <c r="BE108" t="s">
        <v>780</v>
      </c>
      <c r="BF108" t="s">
        <v>780</v>
      </c>
      <c r="BG108" t="s">
        <v>780</v>
      </c>
      <c r="BH108" t="s">
        <v>780</v>
      </c>
      <c r="BI108" t="s">
        <v>780</v>
      </c>
      <c r="BJ108" t="s">
        <v>780</v>
      </c>
      <c r="BK108" t="s">
        <v>780</v>
      </c>
      <c r="BL108" t="s">
        <v>780</v>
      </c>
      <c r="BM108" t="s">
        <v>780</v>
      </c>
      <c r="BN108" t="s">
        <v>780</v>
      </c>
      <c r="BO108" s="58">
        <v>600</v>
      </c>
      <c r="BP108" s="58">
        <v>4</v>
      </c>
      <c r="BQ108" s="58">
        <v>5</v>
      </c>
      <c r="BR108" s="58">
        <v>7.0000000000000007E-2</v>
      </c>
      <c r="BS108" s="58">
        <v>0.05</v>
      </c>
      <c r="BT108" s="58">
        <v>0.01</v>
      </c>
      <c r="BU108" s="58">
        <v>1E-3</v>
      </c>
      <c r="BV108" s="58">
        <v>2E-3</v>
      </c>
      <c r="BW108" s="31">
        <f t="shared" si="110"/>
        <v>0.22470156822969492</v>
      </c>
      <c r="BX108" s="31">
        <f t="shared" si="111"/>
        <v>1.4718444050200407E-3</v>
      </c>
      <c r="BY108" s="31">
        <f t="shared" si="112"/>
        <v>1.8805524933532196E-3</v>
      </c>
      <c r="BZ108" s="31">
        <f t="shared" si="113"/>
        <v>2.6109974732282519E-5</v>
      </c>
      <c r="CA108" s="31">
        <f t="shared" si="114"/>
        <v>1.8515401447567749E-5</v>
      </c>
      <c r="CB108" s="31">
        <f t="shared" si="115"/>
        <v>3.7030802895135499E-6</v>
      </c>
      <c r="CC108" s="31">
        <f t="shared" si="116"/>
        <v>3.6588380716934485E-7</v>
      </c>
      <c r="CD108" s="31">
        <f t="shared" si="117"/>
        <v>7.3176761433868969E-7</v>
      </c>
      <c r="CE108">
        <v>1E-3</v>
      </c>
      <c r="CF108">
        <v>1E-3</v>
      </c>
      <c r="CG108">
        <v>2E-3</v>
      </c>
      <c r="CH108">
        <v>1E-3</v>
      </c>
      <c r="CI108">
        <v>1E-3</v>
      </c>
      <c r="CK108">
        <v>2E-3</v>
      </c>
      <c r="CL108">
        <v>1E-3</v>
      </c>
      <c r="CM108">
        <v>1E-3</v>
      </c>
      <c r="CN108" s="58">
        <f t="shared" si="143"/>
        <v>609.13299999999992</v>
      </c>
      <c r="CO108" s="58">
        <f t="shared" si="118"/>
        <v>9.1330000000000009</v>
      </c>
      <c r="CP108" s="31">
        <f t="shared" si="119"/>
        <v>0.22810339123595907</v>
      </c>
      <c r="CQ108" s="31">
        <f t="shared" si="120"/>
        <v>3.401823006264132E-3</v>
      </c>
      <c r="CR108">
        <v>600</v>
      </c>
      <c r="CS108">
        <v>5300</v>
      </c>
      <c r="CT108">
        <v>570</v>
      </c>
      <c r="CU108" t="s">
        <v>69</v>
      </c>
      <c r="CV108" t="s">
        <v>69</v>
      </c>
      <c r="CW108">
        <v>5900</v>
      </c>
      <c r="CX108" s="2">
        <f t="shared" si="150"/>
        <v>1374</v>
      </c>
      <c r="CZ108">
        <v>67</v>
      </c>
      <c r="DA108" t="s">
        <v>62</v>
      </c>
      <c r="DB108" t="s">
        <v>88</v>
      </c>
      <c r="DC108" t="s">
        <v>782</v>
      </c>
      <c r="DD108" s="37">
        <f t="shared" si="151"/>
        <v>19.183010618363522</v>
      </c>
      <c r="DE108" s="37">
        <f t="shared" si="144"/>
        <v>19.183010618363522</v>
      </c>
      <c r="DF108" s="37">
        <v>3.3</v>
      </c>
      <c r="DG108" s="37">
        <f t="shared" si="152"/>
        <v>5.9086839749328553E-2</v>
      </c>
      <c r="DH108" s="37">
        <f t="shared" si="121"/>
        <v>5.9086839749328553E-2</v>
      </c>
      <c r="DI108" s="37">
        <f t="shared" si="153"/>
        <v>22.483010618363522</v>
      </c>
      <c r="DJ108" s="37">
        <f t="shared" si="122"/>
        <v>0.40256061984536295</v>
      </c>
      <c r="DK108" s="37">
        <f t="shared" si="123"/>
        <v>0.40256061984536295</v>
      </c>
      <c r="DL108" s="55">
        <f t="shared" si="124"/>
        <v>19.183010618363522</v>
      </c>
      <c r="DM108" s="55">
        <f t="shared" si="124"/>
        <v>19.183010618363522</v>
      </c>
      <c r="DN108" s="37">
        <f t="shared" si="125"/>
        <v>22.483010618363522</v>
      </c>
      <c r="DO108" s="55">
        <f t="shared" si="126"/>
        <v>0.40256061984536295</v>
      </c>
      <c r="DP108" s="55">
        <f t="shared" si="127"/>
        <v>0.40256061984536295</v>
      </c>
      <c r="DQ108" s="37">
        <v>1.2</v>
      </c>
      <c r="DR108" s="37">
        <f t="shared" si="128"/>
        <v>2.1845985800109231E-2</v>
      </c>
      <c r="DS108" s="37">
        <f t="shared" si="129"/>
        <v>4.3691971600218461E-2</v>
      </c>
      <c r="DT108" s="37">
        <f t="shared" si="154"/>
        <v>18.42721237342149</v>
      </c>
      <c r="DU108" s="37">
        <f t="shared" si="155"/>
        <v>9.213606186710745</v>
      </c>
      <c r="DV108" s="37">
        <f t="shared" si="156"/>
        <v>23.683010618363522</v>
      </c>
      <c r="DW108" s="37">
        <f t="shared" si="157"/>
        <v>0.44625259144558144</v>
      </c>
      <c r="DX108" t="s">
        <v>780</v>
      </c>
      <c r="DY108" t="s">
        <v>156</v>
      </c>
      <c r="DZ108" s="29">
        <f t="shared" si="84"/>
        <v>1</v>
      </c>
      <c r="EA108" s="30">
        <v>1.7000000000000001E-2</v>
      </c>
      <c r="EB108" s="30">
        <f t="shared" si="130"/>
        <v>2.741935483870968E-4</v>
      </c>
      <c r="EC108" s="30">
        <f t="shared" si="131"/>
        <v>1.370967741935484E-3</v>
      </c>
      <c r="ED108" s="31">
        <f t="shared" si="149"/>
        <v>33</v>
      </c>
      <c r="EE108" s="33">
        <f t="shared" si="148"/>
        <v>37.931034482758619</v>
      </c>
      <c r="EF108" s="37">
        <f t="shared" si="158"/>
        <v>2.7482823235477825</v>
      </c>
      <c r="EG108" s="37">
        <f>$EK98-EK108</f>
        <v>33</v>
      </c>
      <c r="EH108" s="33">
        <f>(EG108/$EK$98)*100</f>
        <v>37.931034482758619</v>
      </c>
      <c r="EI108" s="37">
        <f t="shared" si="147"/>
        <v>2.7482823235477825</v>
      </c>
      <c r="EJ108" s="37">
        <f t="shared" ref="EJ108:EJ115" si="164">($EG108/96.06)*8</f>
        <v>2.7482823235477825</v>
      </c>
      <c r="EK108" s="31">
        <v>54</v>
      </c>
      <c r="EL108" s="31">
        <f t="shared" si="132"/>
        <v>0.56214865708931916</v>
      </c>
      <c r="EM108" s="31">
        <f t="shared" si="133"/>
        <v>4.4971892567145533</v>
      </c>
      <c r="EN108" s="32">
        <f t="shared" si="159"/>
        <v>4.4985602244564884</v>
      </c>
      <c r="EO108" s="39">
        <f t="shared" si="163"/>
        <v>3.1945349149933637</v>
      </c>
      <c r="EP108" s="37">
        <f t="shared" si="160"/>
        <v>1.3677099409730267E-2</v>
      </c>
      <c r="EQ108" s="37">
        <f t="shared" si="161"/>
        <v>0.12601540773774866</v>
      </c>
      <c r="ER108" s="37">
        <f t="shared" si="162"/>
        <v>0.86030749285252117</v>
      </c>
      <c r="ES108" s="39">
        <f t="shared" si="135"/>
        <v>3.1945349149933637</v>
      </c>
      <c r="ET108" s="55">
        <f t="shared" si="136"/>
        <v>12.601540773774866</v>
      </c>
      <c r="EU108" s="55">
        <f t="shared" si="137"/>
        <v>1.3677099409730267</v>
      </c>
      <c r="EV108" s="55">
        <f t="shared" si="138"/>
        <v>86.030749285252114</v>
      </c>
      <c r="EW108" t="s">
        <v>601</v>
      </c>
      <c r="EX108" t="s">
        <v>586</v>
      </c>
      <c r="EY108">
        <v>-65</v>
      </c>
      <c r="EZ108" t="s">
        <v>523</v>
      </c>
      <c r="FA108">
        <v>708</v>
      </c>
      <c r="FB108" t="s">
        <v>113</v>
      </c>
      <c r="FC108" t="s">
        <v>88</v>
      </c>
      <c r="FD108" s="39">
        <f t="shared" si="139"/>
        <v>-1.9004153435351936</v>
      </c>
      <c r="FE108" s="39">
        <f t="shared" si="140"/>
        <v>-1.8970135205289294</v>
      </c>
      <c r="FF108" s="39">
        <f t="shared" si="141"/>
        <v>-1.9004153435351936</v>
      </c>
      <c r="FG108" s="39">
        <f t="shared" si="142"/>
        <v>-1.8970135205289294</v>
      </c>
    </row>
    <row r="109" spans="1:163" ht="15.75" x14ac:dyDescent="0.25">
      <c r="A109" s="7" t="s">
        <v>367</v>
      </c>
      <c r="B109" s="7" t="s">
        <v>367</v>
      </c>
      <c r="C109" s="3" t="s">
        <v>898</v>
      </c>
      <c r="D109" s="3" t="s">
        <v>898</v>
      </c>
      <c r="E109" s="3" t="s">
        <v>1273</v>
      </c>
      <c r="F109" s="3" t="s">
        <v>1013</v>
      </c>
      <c r="G109" s="3" t="s">
        <v>773</v>
      </c>
      <c r="H109" s="3" t="str">
        <f t="shared" si="87"/>
        <v>CW_2_Section_1</v>
      </c>
      <c r="I109" s="3" t="str">
        <f t="shared" si="88"/>
        <v>CW_2_MF02</v>
      </c>
      <c r="J109" s="3" t="s">
        <v>1489</v>
      </c>
      <c r="K109" s="3" t="s">
        <v>1484</v>
      </c>
      <c r="L109" s="11" t="s">
        <v>1077</v>
      </c>
      <c r="M109" s="3" t="s">
        <v>1024</v>
      </c>
      <c r="N109" s="3" t="s">
        <v>1024</v>
      </c>
      <c r="O109" s="12" t="s">
        <v>1016</v>
      </c>
      <c r="P109" s="3" t="s">
        <v>1274</v>
      </c>
      <c r="Q109" s="3" t="s">
        <v>1018</v>
      </c>
      <c r="R109" s="3" t="s">
        <v>1251</v>
      </c>
      <c r="S109" s="3" t="str">
        <f t="shared" si="89"/>
        <v>T4_0.60-0.80</v>
      </c>
      <c r="T109" s="13" t="s">
        <v>1252</v>
      </c>
      <c r="U109" s="3" t="s">
        <v>1021</v>
      </c>
      <c r="V109" s="3">
        <v>150</v>
      </c>
      <c r="W109" s="3">
        <v>65</v>
      </c>
      <c r="X109" s="17">
        <v>5.75</v>
      </c>
      <c r="Y109" s="3">
        <v>108</v>
      </c>
      <c r="Z109" t="s">
        <v>602</v>
      </c>
      <c r="AA109" t="s">
        <v>211</v>
      </c>
      <c r="AB109" s="1">
        <v>45762</v>
      </c>
      <c r="AC109">
        <v>10</v>
      </c>
      <c r="AD109">
        <v>11</v>
      </c>
      <c r="AE109">
        <v>220</v>
      </c>
      <c r="AF109" s="37">
        <f t="shared" si="103"/>
        <v>8.4496223274868776E-2</v>
      </c>
      <c r="AG109">
        <v>13</v>
      </c>
      <c r="AH109" s="37">
        <f t="shared" si="104"/>
        <v>5.0792272628608645E-3</v>
      </c>
      <c r="AI109">
        <v>190</v>
      </c>
      <c r="AJ109" s="37">
        <f t="shared" si="105"/>
        <v>7.5162475275501545E-2</v>
      </c>
      <c r="AK109">
        <v>69</v>
      </c>
      <c r="AL109" s="37">
        <f t="shared" si="106"/>
        <v>2.7295846284261092E-2</v>
      </c>
      <c r="AM109">
        <v>96</v>
      </c>
      <c r="AN109" s="37">
        <f t="shared" si="107"/>
        <v>3.7976829612884996E-2</v>
      </c>
      <c r="AO109">
        <v>165</v>
      </c>
      <c r="AQ109" s="59">
        <v>588</v>
      </c>
      <c r="AR109" s="59">
        <f t="shared" si="108"/>
        <v>0.16473792581323118</v>
      </c>
      <c r="AS109">
        <v>1400</v>
      </c>
      <c r="AT109" s="37">
        <f t="shared" si="109"/>
        <v>0.52430365920262156</v>
      </c>
      <c r="AU109" t="s">
        <v>780</v>
      </c>
      <c r="AV109" t="s">
        <v>780</v>
      </c>
      <c r="AW109" t="s">
        <v>780</v>
      </c>
      <c r="AX109" t="s">
        <v>780</v>
      </c>
      <c r="AY109" t="s">
        <v>780</v>
      </c>
      <c r="AZ109" t="s">
        <v>780</v>
      </c>
      <c r="BA109" t="s">
        <v>780</v>
      </c>
      <c r="BB109" t="s">
        <v>780</v>
      </c>
      <c r="BC109" t="s">
        <v>780</v>
      </c>
      <c r="BD109" t="s">
        <v>780</v>
      </c>
      <c r="BE109" t="s">
        <v>780</v>
      </c>
      <c r="BF109" t="s">
        <v>780</v>
      </c>
      <c r="BG109" t="s">
        <v>780</v>
      </c>
      <c r="BH109" t="s">
        <v>780</v>
      </c>
      <c r="BI109" t="s">
        <v>780</v>
      </c>
      <c r="BJ109" t="s">
        <v>780</v>
      </c>
      <c r="BK109" t="s">
        <v>780</v>
      </c>
      <c r="BL109" t="s">
        <v>780</v>
      </c>
      <c r="BM109" t="s">
        <v>780</v>
      </c>
      <c r="BN109" t="s">
        <v>780</v>
      </c>
      <c r="BO109" s="58">
        <v>3800</v>
      </c>
      <c r="BP109" s="58">
        <v>130</v>
      </c>
      <c r="BQ109" s="58">
        <v>140</v>
      </c>
      <c r="BR109" s="58">
        <v>65</v>
      </c>
      <c r="BS109" s="58">
        <v>35</v>
      </c>
      <c r="BT109" s="58">
        <v>5.3</v>
      </c>
      <c r="BU109" s="58">
        <v>1.2</v>
      </c>
      <c r="BV109" s="58">
        <v>1</v>
      </c>
      <c r="BW109" s="31">
        <f t="shared" si="110"/>
        <v>1.4231099321214014</v>
      </c>
      <c r="BX109" s="31">
        <f t="shared" si="111"/>
        <v>4.7834943163151324E-2</v>
      </c>
      <c r="BY109" s="31">
        <f t="shared" si="112"/>
        <v>5.2655469813890153E-2</v>
      </c>
      <c r="BZ109" s="31">
        <f t="shared" si="113"/>
        <v>2.4244976537119479E-2</v>
      </c>
      <c r="CA109" s="31">
        <f t="shared" si="114"/>
        <v>1.2960781013297425E-2</v>
      </c>
      <c r="CB109" s="31">
        <f t="shared" si="115"/>
        <v>1.9626325534421812E-3</v>
      </c>
      <c r="CC109" s="31">
        <f t="shared" si="116"/>
        <v>4.3906056860321384E-4</v>
      </c>
      <c r="CD109" s="31">
        <f t="shared" si="117"/>
        <v>3.6588380716934482E-4</v>
      </c>
      <c r="CE109">
        <v>0.05</v>
      </c>
      <c r="CF109">
        <v>0.04</v>
      </c>
      <c r="CG109">
        <v>2E-3</v>
      </c>
      <c r="CH109">
        <v>0.01</v>
      </c>
      <c r="CI109">
        <v>0.03</v>
      </c>
      <c r="CK109">
        <v>2E-3</v>
      </c>
      <c r="CL109">
        <v>1E-3</v>
      </c>
      <c r="CM109">
        <v>1E-3</v>
      </c>
      <c r="CN109" s="58">
        <f t="shared" si="143"/>
        <v>4177.5</v>
      </c>
      <c r="CO109" s="58">
        <f t="shared" si="118"/>
        <v>377.5</v>
      </c>
      <c r="CP109" s="31">
        <f t="shared" si="119"/>
        <v>1.5635736795780746</v>
      </c>
      <c r="CQ109" s="31">
        <f t="shared" si="120"/>
        <v>0.14046374745667312</v>
      </c>
      <c r="CR109">
        <v>4200</v>
      </c>
      <c r="CS109">
        <v>5600</v>
      </c>
      <c r="CT109">
        <v>2100</v>
      </c>
      <c r="CU109" t="s">
        <v>69</v>
      </c>
      <c r="CV109" t="s">
        <v>69</v>
      </c>
      <c r="CW109">
        <v>7700</v>
      </c>
      <c r="CX109" s="2">
        <f t="shared" si="150"/>
        <v>4788</v>
      </c>
      <c r="CZ109">
        <v>66</v>
      </c>
      <c r="DA109" t="s">
        <v>62</v>
      </c>
      <c r="DB109" t="s">
        <v>88</v>
      </c>
      <c r="DC109" t="s">
        <v>782</v>
      </c>
      <c r="DD109" s="37">
        <f t="shared" si="151"/>
        <v>6.3943368727878402</v>
      </c>
      <c r="DE109" s="37">
        <f t="shared" si="144"/>
        <v>6.3943368727878402</v>
      </c>
      <c r="DF109" s="37">
        <v>0.3</v>
      </c>
      <c r="DG109" s="37">
        <f t="shared" si="152"/>
        <v>5.3715308863025958E-3</v>
      </c>
      <c r="DH109" s="37">
        <f t="shared" si="121"/>
        <v>5.3715308863025958E-3</v>
      </c>
      <c r="DI109" s="37">
        <f t="shared" si="153"/>
        <v>6.6943368727878401</v>
      </c>
      <c r="DJ109" s="37">
        <f t="shared" si="122"/>
        <v>0.11986279091831406</v>
      </c>
      <c r="DK109" s="37">
        <f t="shared" si="123"/>
        <v>0.11986279091831406</v>
      </c>
      <c r="DL109" s="55">
        <f t="shared" si="124"/>
        <v>6.3943368727878402</v>
      </c>
      <c r="DM109" s="55">
        <f t="shared" si="124"/>
        <v>6.3943368727878402</v>
      </c>
      <c r="DN109" s="37">
        <f t="shared" si="125"/>
        <v>6.6943368727878401</v>
      </c>
      <c r="DO109" s="55">
        <f t="shared" si="126"/>
        <v>0.11986279091831406</v>
      </c>
      <c r="DP109" s="55">
        <f t="shared" si="127"/>
        <v>0.11986279091831406</v>
      </c>
      <c r="DQ109" s="37">
        <v>0.7</v>
      </c>
      <c r="DR109" s="37">
        <f t="shared" si="128"/>
        <v>1.2743491716730383E-2</v>
      </c>
      <c r="DS109" s="37">
        <f t="shared" si="129"/>
        <v>2.5486983433460765E-2</v>
      </c>
      <c r="DT109" s="37">
        <f t="shared" si="154"/>
        <v>9.4058044359185597</v>
      </c>
      <c r="DU109" s="37">
        <f t="shared" si="155"/>
        <v>4.7029022179592799</v>
      </c>
      <c r="DV109" s="37">
        <f t="shared" si="156"/>
        <v>7.3943368727878402</v>
      </c>
      <c r="DW109" s="37">
        <f t="shared" si="157"/>
        <v>0.14534977435177482</v>
      </c>
      <c r="DX109" t="s">
        <v>780</v>
      </c>
      <c r="DY109" t="s">
        <v>146</v>
      </c>
      <c r="DZ109" s="29">
        <f t="shared" si="84"/>
        <v>1</v>
      </c>
      <c r="EA109" s="30">
        <v>1.7000000000000001E-2</v>
      </c>
      <c r="EB109" s="30">
        <f t="shared" si="130"/>
        <v>2.741935483870968E-4</v>
      </c>
      <c r="EC109" s="30">
        <f t="shared" si="131"/>
        <v>1.370967741935484E-3</v>
      </c>
      <c r="ED109" s="31">
        <f t="shared" si="149"/>
        <v>11</v>
      </c>
      <c r="EE109" s="33">
        <f t="shared" si="148"/>
        <v>12.643678160919542</v>
      </c>
      <c r="EF109" s="37">
        <f t="shared" si="158"/>
        <v>0.91609410784926082</v>
      </c>
      <c r="EG109" s="37">
        <f>$EK98-EK109</f>
        <v>11</v>
      </c>
      <c r="EH109" s="33">
        <f>(EG109/$EK$98)*100</f>
        <v>12.643678160919542</v>
      </c>
      <c r="EI109" s="37">
        <f t="shared" si="147"/>
        <v>0.91609410784926082</v>
      </c>
      <c r="EJ109" s="37">
        <f t="shared" si="164"/>
        <v>0.91609410784926082</v>
      </c>
      <c r="EK109" s="31">
        <v>76</v>
      </c>
      <c r="EL109" s="31">
        <f t="shared" si="132"/>
        <v>0.79117218405163436</v>
      </c>
      <c r="EM109" s="31">
        <f t="shared" si="133"/>
        <v>6.3293774724130749</v>
      </c>
      <c r="EN109" s="32">
        <f t="shared" si="159"/>
        <v>6.33074844015501</v>
      </c>
      <c r="EO109" s="39">
        <f t="shared" si="163"/>
        <v>1.0614438822010357</v>
      </c>
      <c r="EP109" s="37">
        <f t="shared" si="160"/>
        <v>2.4011616497906927E-2</v>
      </c>
      <c r="EQ109" s="37">
        <f t="shared" si="161"/>
        <v>0.11292428448479412</v>
      </c>
      <c r="ER109" s="37">
        <f t="shared" si="162"/>
        <v>0.86306409901729886</v>
      </c>
      <c r="ES109" s="39">
        <f t="shared" si="135"/>
        <v>1.0614438822010357</v>
      </c>
      <c r="ET109" s="55">
        <f t="shared" si="136"/>
        <v>11.292428448479413</v>
      </c>
      <c r="EU109" s="55">
        <f t="shared" si="137"/>
        <v>2.4011616497906929</v>
      </c>
      <c r="EV109" s="55">
        <f t="shared" si="138"/>
        <v>86.306409901729893</v>
      </c>
      <c r="EW109" t="s">
        <v>191</v>
      </c>
      <c r="EX109" t="s">
        <v>589</v>
      </c>
      <c r="EY109">
        <v>-85</v>
      </c>
      <c r="EZ109" t="s">
        <v>534</v>
      </c>
      <c r="FA109">
        <v>890</v>
      </c>
      <c r="FB109" t="s">
        <v>113</v>
      </c>
      <c r="FC109" t="s">
        <v>88</v>
      </c>
      <c r="FD109" s="39">
        <f t="shared" si="139"/>
        <v>-0.37240229718518292</v>
      </c>
      <c r="FE109" s="39">
        <f t="shared" si="140"/>
        <v>-0.2319385497285098</v>
      </c>
      <c r="FF109" s="39">
        <f t="shared" si="141"/>
        <v>-0.37240229718518292</v>
      </c>
      <c r="FG109" s="39">
        <f t="shared" si="142"/>
        <v>-0.2319385497285098</v>
      </c>
    </row>
    <row r="110" spans="1:163" ht="15.75" x14ac:dyDescent="0.25">
      <c r="A110" s="7" t="s">
        <v>368</v>
      </c>
      <c r="B110" s="7" t="s">
        <v>368</v>
      </c>
      <c r="C110" s="3" t="s">
        <v>899</v>
      </c>
      <c r="D110" s="3" t="s">
        <v>899</v>
      </c>
      <c r="E110" s="3" t="s">
        <v>1275</v>
      </c>
      <c r="F110" s="3" t="s">
        <v>1027</v>
      </c>
      <c r="G110" s="3" t="s">
        <v>773</v>
      </c>
      <c r="H110" s="3" t="str">
        <f t="shared" si="87"/>
        <v>CW_2_Section_2</v>
      </c>
      <c r="I110" s="3" t="str">
        <f t="shared" si="88"/>
        <v>CW_2_MF05</v>
      </c>
      <c r="J110" s="3" t="s">
        <v>1496</v>
      </c>
      <c r="K110" s="3" t="s">
        <v>1484</v>
      </c>
      <c r="L110" s="11" t="s">
        <v>1080</v>
      </c>
      <c r="M110" s="3" t="s">
        <v>1015</v>
      </c>
      <c r="N110" s="3" t="s">
        <v>1015</v>
      </c>
      <c r="O110" s="12" t="s">
        <v>1016</v>
      </c>
      <c r="P110" s="3" t="s">
        <v>1276</v>
      </c>
      <c r="Q110" s="3" t="s">
        <v>1018</v>
      </c>
      <c r="R110" s="3" t="s">
        <v>1251</v>
      </c>
      <c r="S110" s="3" t="str">
        <f t="shared" si="89"/>
        <v>T4_0.15-0.30</v>
      </c>
      <c r="T110" s="13" t="s">
        <v>1252</v>
      </c>
      <c r="U110" s="3" t="s">
        <v>1021</v>
      </c>
      <c r="V110" s="3">
        <v>150</v>
      </c>
      <c r="W110" s="3">
        <v>65</v>
      </c>
      <c r="X110" s="17">
        <v>19.850000000000001</v>
      </c>
      <c r="Y110" s="3">
        <v>109</v>
      </c>
      <c r="Z110" t="s">
        <v>603</v>
      </c>
      <c r="AA110" t="s">
        <v>176</v>
      </c>
      <c r="AB110" s="1">
        <v>45762</v>
      </c>
      <c r="AC110">
        <v>18</v>
      </c>
      <c r="AD110">
        <v>18</v>
      </c>
      <c r="AE110">
        <v>61</v>
      </c>
      <c r="AF110" s="37">
        <f t="shared" si="103"/>
        <v>2.3428498271668159E-2</v>
      </c>
      <c r="AG110">
        <v>0.83</v>
      </c>
      <c r="AH110" s="37">
        <f t="shared" si="104"/>
        <v>3.2428912524419361E-4</v>
      </c>
      <c r="AI110">
        <v>12</v>
      </c>
      <c r="AJ110" s="37">
        <f t="shared" si="105"/>
        <v>4.7471037016106245E-3</v>
      </c>
      <c r="AK110">
        <v>5.4</v>
      </c>
      <c r="AL110" s="37">
        <f t="shared" si="106"/>
        <v>2.1361966657247812E-3</v>
      </c>
      <c r="AM110">
        <v>3.4</v>
      </c>
      <c r="AN110" s="37">
        <f t="shared" si="107"/>
        <v>1.3450127154563435E-3</v>
      </c>
      <c r="AO110">
        <v>8.8000000000000007</v>
      </c>
      <c r="AQ110" s="59">
        <v>82.63</v>
      </c>
      <c r="AR110" s="59">
        <f t="shared" si="108"/>
        <v>2.8499891098522974E-2</v>
      </c>
      <c r="AS110">
        <v>15</v>
      </c>
      <c r="AT110" s="37">
        <f t="shared" si="109"/>
        <v>5.6175392057423732E-3</v>
      </c>
      <c r="AU110" t="s">
        <v>780</v>
      </c>
      <c r="AV110" t="s">
        <v>780</v>
      </c>
      <c r="AW110" t="s">
        <v>780</v>
      </c>
      <c r="AX110" t="s">
        <v>780</v>
      </c>
      <c r="AY110" t="s">
        <v>780</v>
      </c>
      <c r="AZ110" t="s">
        <v>780</v>
      </c>
      <c r="BA110" t="s">
        <v>780</v>
      </c>
      <c r="BB110" t="s">
        <v>780</v>
      </c>
      <c r="BC110" t="s">
        <v>780</v>
      </c>
      <c r="BD110" t="s">
        <v>780</v>
      </c>
      <c r="BE110" t="s">
        <v>780</v>
      </c>
      <c r="BF110" t="s">
        <v>780</v>
      </c>
      <c r="BG110" t="s">
        <v>780</v>
      </c>
      <c r="BH110" t="s">
        <v>780</v>
      </c>
      <c r="BI110" t="s">
        <v>780</v>
      </c>
      <c r="BJ110" t="s">
        <v>780</v>
      </c>
      <c r="BK110" t="s">
        <v>780</v>
      </c>
      <c r="BL110" t="s">
        <v>780</v>
      </c>
      <c r="BM110" t="s">
        <v>780</v>
      </c>
      <c r="BN110" t="s">
        <v>780</v>
      </c>
      <c r="BO110" s="58">
        <v>5.6</v>
      </c>
      <c r="BP110" s="58">
        <v>0.01</v>
      </c>
      <c r="BQ110" s="58">
        <v>0.01</v>
      </c>
      <c r="BR110" s="58">
        <v>5.0000000000000001E-3</v>
      </c>
      <c r="BS110" s="58">
        <v>1E-3</v>
      </c>
      <c r="BT110" s="58">
        <v>1E-3</v>
      </c>
      <c r="BU110" s="58">
        <v>1E-3</v>
      </c>
      <c r="BV110" s="58">
        <v>2E-3</v>
      </c>
      <c r="BW110" s="31">
        <f t="shared" si="110"/>
        <v>2.0972146368104859E-3</v>
      </c>
      <c r="BX110" s="31">
        <f t="shared" si="111"/>
        <v>3.6796110125501018E-6</v>
      </c>
      <c r="BY110" s="31">
        <f t="shared" si="112"/>
        <v>3.7611049867064394E-6</v>
      </c>
      <c r="BZ110" s="31">
        <f t="shared" si="113"/>
        <v>1.8649981951630372E-6</v>
      </c>
      <c r="CA110" s="31">
        <f t="shared" si="114"/>
        <v>3.7030802895135499E-7</v>
      </c>
      <c r="CB110" s="31">
        <f t="shared" si="115"/>
        <v>3.7030802895135499E-7</v>
      </c>
      <c r="CC110" s="31">
        <f t="shared" si="116"/>
        <v>3.6588380716934485E-7</v>
      </c>
      <c r="CD110" s="31">
        <f t="shared" si="117"/>
        <v>7.3176761433868969E-7</v>
      </c>
      <c r="CE110">
        <v>1E-3</v>
      </c>
      <c r="CF110">
        <v>1E-3</v>
      </c>
      <c r="CG110">
        <v>2E-3</v>
      </c>
      <c r="CH110">
        <v>1E-3</v>
      </c>
      <c r="CI110">
        <v>1E-3</v>
      </c>
      <c r="CK110">
        <v>2E-3</v>
      </c>
      <c r="CL110">
        <v>1E-3</v>
      </c>
      <c r="CM110">
        <v>1E-3</v>
      </c>
      <c r="CN110" s="58">
        <f t="shared" si="143"/>
        <v>5.63</v>
      </c>
      <c r="CO110" s="58">
        <f t="shared" si="118"/>
        <v>3.0000000000000006E-2</v>
      </c>
      <c r="CP110" s="31">
        <f t="shared" si="119"/>
        <v>2.1083586184843161E-3</v>
      </c>
      <c r="CQ110" s="31">
        <f t="shared" si="120"/>
        <v>1.1143981673830322E-5</v>
      </c>
      <c r="CR110">
        <v>5.6</v>
      </c>
      <c r="CS110" t="s">
        <v>69</v>
      </c>
      <c r="CT110" t="s">
        <v>69</v>
      </c>
      <c r="CU110" t="s">
        <v>69</v>
      </c>
      <c r="CV110" t="s">
        <v>69</v>
      </c>
      <c r="CW110">
        <v>50</v>
      </c>
      <c r="CX110" s="2">
        <f t="shared" si="150"/>
        <v>88.22999999999999</v>
      </c>
      <c r="CZ110">
        <v>63</v>
      </c>
      <c r="DA110" t="s">
        <v>62</v>
      </c>
      <c r="DB110" t="s">
        <v>88</v>
      </c>
      <c r="DC110" t="s">
        <v>782</v>
      </c>
      <c r="DD110" s="37">
        <f t="shared" si="151"/>
        <v>46.969310847387042</v>
      </c>
      <c r="DE110" s="37">
        <f t="shared" si="144"/>
        <v>46.969310847387042</v>
      </c>
      <c r="DF110" s="37">
        <v>10</v>
      </c>
      <c r="DG110" s="37">
        <f t="shared" si="152"/>
        <v>0.17905102954341987</v>
      </c>
      <c r="DH110" s="37">
        <f t="shared" si="121"/>
        <v>0.17905102954341987</v>
      </c>
      <c r="DI110" s="37">
        <f t="shared" si="153"/>
        <v>56.969310847387042</v>
      </c>
      <c r="DJ110" s="37">
        <f t="shared" si="122"/>
        <v>1.0200413759603768</v>
      </c>
      <c r="DK110" s="37">
        <f t="shared" si="123"/>
        <v>1.0200413759603768</v>
      </c>
      <c r="DL110" s="55">
        <f t="shared" si="124"/>
        <v>27.786300229023524</v>
      </c>
      <c r="DM110" s="55">
        <f t="shared" si="124"/>
        <v>27.786300229023524</v>
      </c>
      <c r="DN110" s="37">
        <f t="shared" si="125"/>
        <v>37.786300229023524</v>
      </c>
      <c r="DO110" s="55">
        <f t="shared" si="126"/>
        <v>0.67656759586434245</v>
      </c>
      <c r="DP110" s="55">
        <f t="shared" si="127"/>
        <v>0.67656759586434245</v>
      </c>
      <c r="DQ110" s="37">
        <v>8.6</v>
      </c>
      <c r="DR110" s="37">
        <f t="shared" si="128"/>
        <v>0.15656289823411615</v>
      </c>
      <c r="DS110" s="37">
        <f t="shared" si="129"/>
        <v>0.3131257964682323</v>
      </c>
      <c r="DT110" s="37">
        <f t="shared" si="154"/>
        <v>6.5152177652911041</v>
      </c>
      <c r="DU110" s="37">
        <f t="shared" si="155"/>
        <v>3.257608882645552</v>
      </c>
      <c r="DV110" s="37">
        <f t="shared" si="156"/>
        <v>65.569310847387044</v>
      </c>
      <c r="DW110" s="37">
        <f t="shared" si="157"/>
        <v>1.3331671724286092</v>
      </c>
      <c r="DX110" t="s">
        <v>780</v>
      </c>
      <c r="DY110" t="s">
        <v>63</v>
      </c>
      <c r="DZ110" s="29">
        <f t="shared" si="84"/>
        <v>1</v>
      </c>
      <c r="EA110" s="30">
        <v>1.7000000000000001E-2</v>
      </c>
      <c r="EB110" s="30">
        <f t="shared" si="130"/>
        <v>2.741935483870968E-4</v>
      </c>
      <c r="EC110" s="30">
        <f t="shared" si="131"/>
        <v>1.370967741935484E-3</v>
      </c>
      <c r="ED110" s="31">
        <f t="shared" si="149"/>
        <v>80.8</v>
      </c>
      <c r="EE110" s="33">
        <f t="shared" si="148"/>
        <v>92.8735632183908</v>
      </c>
      <c r="EF110" s="37">
        <f t="shared" si="158"/>
        <v>6.7291276285654797</v>
      </c>
      <c r="EG110" s="37">
        <f>$EK108-EK110</f>
        <v>47.8</v>
      </c>
      <c r="EH110" s="33">
        <f>(EG110/$EK108)*100</f>
        <v>88.518518518518519</v>
      </c>
      <c r="EI110" s="37">
        <f t="shared" si="147"/>
        <v>3.9808453050176968</v>
      </c>
      <c r="EJ110" s="37">
        <f t="shared" si="164"/>
        <v>3.9808453050176968</v>
      </c>
      <c r="EK110" s="31">
        <v>6.2</v>
      </c>
      <c r="EL110" s="31">
        <f t="shared" si="132"/>
        <v>6.4542993962107012E-2</v>
      </c>
      <c r="EM110" s="31">
        <f t="shared" si="133"/>
        <v>0.5163439516968561</v>
      </c>
      <c r="EN110" s="32">
        <f t="shared" si="159"/>
        <v>0.51771491943879155</v>
      </c>
      <c r="EO110" s="39">
        <f t="shared" si="163"/>
        <v>8.0622948009940885</v>
      </c>
      <c r="EP110" s="37">
        <f t="shared" si="160"/>
        <v>3.8838296564102766E-2</v>
      </c>
      <c r="EQ110" s="37">
        <f t="shared" si="161"/>
        <v>0.1265199798740434</v>
      </c>
      <c r="ER110" s="37">
        <f t="shared" si="162"/>
        <v>0.83464172356185384</v>
      </c>
      <c r="ES110" s="39">
        <f t="shared" si="135"/>
        <v>4.9705386973502712</v>
      </c>
      <c r="ET110" s="55">
        <f t="shared" si="136"/>
        <v>13.611554744056448</v>
      </c>
      <c r="EU110" s="55">
        <f t="shared" si="137"/>
        <v>6.2996350201469227</v>
      </c>
      <c r="EV110" s="55">
        <f t="shared" si="138"/>
        <v>80.088810235796643</v>
      </c>
      <c r="EW110" t="s">
        <v>604</v>
      </c>
      <c r="EX110" t="s">
        <v>589</v>
      </c>
      <c r="EY110">
        <v>-29</v>
      </c>
      <c r="EZ110" t="s">
        <v>253</v>
      </c>
      <c r="FA110">
        <v>436</v>
      </c>
      <c r="FB110" t="s">
        <v>72</v>
      </c>
      <c r="FC110" t="s">
        <v>88</v>
      </c>
      <c r="FD110" s="39">
        <f t="shared" si="139"/>
        <v>-8.0281773706898232</v>
      </c>
      <c r="FE110" s="39">
        <f t="shared" si="140"/>
        <v>-8.0281662267081497</v>
      </c>
      <c r="FF110" s="39">
        <f t="shared" si="141"/>
        <v>-4.9364212670460059</v>
      </c>
      <c r="FG110" s="39">
        <f t="shared" si="142"/>
        <v>-4.9364101230643325</v>
      </c>
    </row>
    <row r="111" spans="1:163" ht="15.75" x14ac:dyDescent="0.25">
      <c r="A111" s="7" t="s">
        <v>369</v>
      </c>
      <c r="B111" s="7" t="s">
        <v>369</v>
      </c>
      <c r="C111" s="3" t="s">
        <v>900</v>
      </c>
      <c r="D111" s="3" t="s">
        <v>900</v>
      </c>
      <c r="E111" s="3" t="s">
        <v>1277</v>
      </c>
      <c r="F111" s="3" t="s">
        <v>1027</v>
      </c>
      <c r="G111" s="3" t="s">
        <v>773</v>
      </c>
      <c r="H111" s="3" t="str">
        <f t="shared" si="87"/>
        <v>CW_2_Section_2</v>
      </c>
      <c r="I111" s="3" t="str">
        <f t="shared" si="88"/>
        <v>CW_2_MF06</v>
      </c>
      <c r="J111" s="3" t="s">
        <v>1497</v>
      </c>
      <c r="K111" s="3" t="s">
        <v>1484</v>
      </c>
      <c r="L111" s="11" t="s">
        <v>1083</v>
      </c>
      <c r="M111" s="3" t="s">
        <v>1024</v>
      </c>
      <c r="N111" s="3" t="s">
        <v>1024</v>
      </c>
      <c r="O111" s="12" t="s">
        <v>1016</v>
      </c>
      <c r="P111" s="3" t="s">
        <v>1278</v>
      </c>
      <c r="Q111" s="3" t="s">
        <v>1018</v>
      </c>
      <c r="R111" s="3" t="s">
        <v>1251</v>
      </c>
      <c r="S111" s="3" t="str">
        <f t="shared" si="89"/>
        <v>T4_0.60-0.80</v>
      </c>
      <c r="T111" s="13" t="s">
        <v>1252</v>
      </c>
      <c r="U111" s="3" t="s">
        <v>1021</v>
      </c>
      <c r="V111" s="3">
        <v>150</v>
      </c>
      <c r="W111" s="3">
        <v>65</v>
      </c>
      <c r="X111" s="17">
        <v>6.5</v>
      </c>
      <c r="Y111" s="3">
        <v>110</v>
      </c>
      <c r="Z111" t="s">
        <v>605</v>
      </c>
      <c r="AA111" t="s">
        <v>186</v>
      </c>
      <c r="AB111" s="1">
        <v>45762</v>
      </c>
      <c r="AC111">
        <v>11</v>
      </c>
      <c r="AD111">
        <v>11</v>
      </c>
      <c r="AE111">
        <v>350</v>
      </c>
      <c r="AF111" s="37">
        <f t="shared" si="103"/>
        <v>0.13442580975547305</v>
      </c>
      <c r="AG111">
        <v>4.3</v>
      </c>
      <c r="AH111" s="37">
        <f t="shared" si="104"/>
        <v>1.6800520946385934E-3</v>
      </c>
      <c r="AI111">
        <v>250</v>
      </c>
      <c r="AJ111" s="37">
        <f t="shared" si="105"/>
        <v>9.8897993783554669E-2</v>
      </c>
      <c r="AK111">
        <v>100</v>
      </c>
      <c r="AL111" s="37">
        <f t="shared" si="106"/>
        <v>3.9559197513421872E-2</v>
      </c>
      <c r="AM111">
        <v>81</v>
      </c>
      <c r="AN111" s="37">
        <f t="shared" si="107"/>
        <v>3.2042949985871712E-2</v>
      </c>
      <c r="AO111">
        <v>181</v>
      </c>
      <c r="AQ111" s="59">
        <v>785.3</v>
      </c>
      <c r="AR111" s="59">
        <f t="shared" si="108"/>
        <v>0.23500385563366633</v>
      </c>
      <c r="AS111">
        <v>1500</v>
      </c>
      <c r="AT111" s="37">
        <f t="shared" si="109"/>
        <v>0.56175392057423734</v>
      </c>
      <c r="AU111" t="s">
        <v>780</v>
      </c>
      <c r="AV111" t="s">
        <v>780</v>
      </c>
      <c r="AW111" t="s">
        <v>780</v>
      </c>
      <c r="AX111" t="s">
        <v>780</v>
      </c>
      <c r="AY111" t="s">
        <v>780</v>
      </c>
      <c r="AZ111" t="s">
        <v>780</v>
      </c>
      <c r="BA111" t="s">
        <v>780</v>
      </c>
      <c r="BB111" t="s">
        <v>780</v>
      </c>
      <c r="BC111" t="s">
        <v>780</v>
      </c>
      <c r="BD111" t="s">
        <v>780</v>
      </c>
      <c r="BE111" t="s">
        <v>780</v>
      </c>
      <c r="BF111" t="s">
        <v>780</v>
      </c>
      <c r="BG111" t="s">
        <v>780</v>
      </c>
      <c r="BH111" t="s">
        <v>780</v>
      </c>
      <c r="BI111" t="s">
        <v>780</v>
      </c>
      <c r="BJ111" t="s">
        <v>780</v>
      </c>
      <c r="BK111" t="s">
        <v>780</v>
      </c>
      <c r="BL111" t="s">
        <v>780</v>
      </c>
      <c r="BM111" t="s">
        <v>780</v>
      </c>
      <c r="BN111" t="s">
        <v>780</v>
      </c>
      <c r="BO111" s="58">
        <v>2000</v>
      </c>
      <c r="BP111" s="58">
        <v>74</v>
      </c>
      <c r="BQ111" s="58">
        <v>60</v>
      </c>
      <c r="BR111" s="58">
        <v>23</v>
      </c>
      <c r="BS111" s="58">
        <v>5.9</v>
      </c>
      <c r="BT111" s="58">
        <v>1.2</v>
      </c>
      <c r="BU111" s="58">
        <v>0.13</v>
      </c>
      <c r="BV111" s="58">
        <v>0.1</v>
      </c>
      <c r="BW111" s="31">
        <f t="shared" si="110"/>
        <v>0.74900522743231646</v>
      </c>
      <c r="BX111" s="31">
        <f t="shared" si="111"/>
        <v>2.7229121492870753E-2</v>
      </c>
      <c r="BY111" s="31">
        <f t="shared" si="112"/>
        <v>2.2566629920238637E-2</v>
      </c>
      <c r="BZ111" s="31">
        <f t="shared" si="113"/>
        <v>8.57899169774997E-3</v>
      </c>
      <c r="CA111" s="31">
        <f t="shared" si="114"/>
        <v>2.1848173708129944E-3</v>
      </c>
      <c r="CB111" s="31">
        <f t="shared" si="115"/>
        <v>4.4436963474162597E-4</v>
      </c>
      <c r="CC111" s="31">
        <f t="shared" si="116"/>
        <v>4.7564894932014834E-5</v>
      </c>
      <c r="CD111" s="31">
        <f t="shared" si="117"/>
        <v>3.6588380716934496E-5</v>
      </c>
      <c r="CE111">
        <v>1E-3</v>
      </c>
      <c r="CF111">
        <v>1E-3</v>
      </c>
      <c r="CG111">
        <v>2E-3</v>
      </c>
      <c r="CH111">
        <v>1E-3</v>
      </c>
      <c r="CI111">
        <v>1E-3</v>
      </c>
      <c r="CK111">
        <v>2E-3</v>
      </c>
      <c r="CL111">
        <v>1E-3</v>
      </c>
      <c r="CM111">
        <v>1E-3</v>
      </c>
      <c r="CN111" s="58">
        <f t="shared" si="143"/>
        <v>2164.33</v>
      </c>
      <c r="CO111" s="58">
        <f t="shared" si="118"/>
        <v>164.32999999999998</v>
      </c>
      <c r="CP111" s="31">
        <f t="shared" si="119"/>
        <v>0.8100933108243793</v>
      </c>
      <c r="CQ111" s="31">
        <f t="shared" si="120"/>
        <v>6.1088083392062939E-2</v>
      </c>
      <c r="CR111">
        <v>2100</v>
      </c>
      <c r="CS111">
        <v>2900</v>
      </c>
      <c r="CT111">
        <v>790</v>
      </c>
      <c r="CU111" t="s">
        <v>69</v>
      </c>
      <c r="CV111" t="s">
        <v>69</v>
      </c>
      <c r="CW111">
        <v>3700</v>
      </c>
      <c r="CX111" s="2">
        <f t="shared" si="150"/>
        <v>2885.3</v>
      </c>
      <c r="CZ111">
        <v>66</v>
      </c>
      <c r="DA111" t="s">
        <v>62</v>
      </c>
      <c r="DB111" t="s">
        <v>88</v>
      </c>
      <c r="DC111" t="s">
        <v>782</v>
      </c>
      <c r="DD111" s="37">
        <f t="shared" si="151"/>
        <v>26.158650843222983</v>
      </c>
      <c r="DE111" s="37">
        <f t="shared" si="144"/>
        <v>26.158650843222983</v>
      </c>
      <c r="DF111" s="37">
        <v>5.7</v>
      </c>
      <c r="DG111" s="37">
        <f t="shared" si="152"/>
        <v>0.10205908683974933</v>
      </c>
      <c r="DH111" s="37">
        <f t="shared" si="121"/>
        <v>0.10205908683974933</v>
      </c>
      <c r="DI111" s="37">
        <f t="shared" si="153"/>
        <v>31.858650843222982</v>
      </c>
      <c r="DJ111" s="37">
        <f t="shared" si="122"/>
        <v>0.57043242333434163</v>
      </c>
      <c r="DK111" s="37">
        <f t="shared" si="123"/>
        <v>0.57043242333434163</v>
      </c>
      <c r="DL111" s="55">
        <f t="shared" si="124"/>
        <v>19.764313970435143</v>
      </c>
      <c r="DM111" s="55">
        <f t="shared" si="124"/>
        <v>19.764313970435143</v>
      </c>
      <c r="DN111" s="37">
        <f t="shared" si="125"/>
        <v>25.464313970435143</v>
      </c>
      <c r="DO111" s="55">
        <f t="shared" si="126"/>
        <v>0.4559411633023302</v>
      </c>
      <c r="DP111" s="55">
        <f t="shared" si="127"/>
        <v>0.4559411633023302</v>
      </c>
      <c r="DQ111" s="37">
        <v>2.6</v>
      </c>
      <c r="DR111" s="37">
        <f t="shared" si="128"/>
        <v>4.7332969233569999E-2</v>
      </c>
      <c r="DS111" s="37">
        <f t="shared" si="129"/>
        <v>9.4665938467139998E-2</v>
      </c>
      <c r="DT111" s="37">
        <f t="shared" si="154"/>
        <v>12.051481928367457</v>
      </c>
      <c r="DU111" s="37">
        <f t="shared" si="155"/>
        <v>6.0257409641837283</v>
      </c>
      <c r="DV111" s="37">
        <f t="shared" si="156"/>
        <v>34.458650843222983</v>
      </c>
      <c r="DW111" s="37">
        <f t="shared" si="157"/>
        <v>0.66509836180148163</v>
      </c>
      <c r="DX111" t="s">
        <v>780</v>
      </c>
      <c r="DY111" t="s">
        <v>188</v>
      </c>
      <c r="DZ111" s="29">
        <f t="shared" si="84"/>
        <v>1</v>
      </c>
      <c r="EA111" s="30">
        <v>1.7000000000000001E-2</v>
      </c>
      <c r="EB111" s="30">
        <f t="shared" si="130"/>
        <v>2.741935483870968E-4</v>
      </c>
      <c r="EC111" s="30">
        <f t="shared" si="131"/>
        <v>1.370967741935484E-3</v>
      </c>
      <c r="ED111" s="31">
        <f t="shared" si="149"/>
        <v>45</v>
      </c>
      <c r="EE111" s="33">
        <f t="shared" si="148"/>
        <v>51.724137931034484</v>
      </c>
      <c r="EF111" s="37">
        <f t="shared" si="158"/>
        <v>3.7476577139287945</v>
      </c>
      <c r="EG111" s="37">
        <f>$EK109-EK111</f>
        <v>34</v>
      </c>
      <c r="EH111" s="33">
        <f>(EG111/$EK109)*100</f>
        <v>44.736842105263158</v>
      </c>
      <c r="EI111" s="37">
        <f t="shared" si="147"/>
        <v>2.8315636060795337</v>
      </c>
      <c r="EJ111" s="37">
        <f t="shared" si="164"/>
        <v>2.8315636060795337</v>
      </c>
      <c r="EK111" s="31">
        <v>42</v>
      </c>
      <c r="EL111" s="31">
        <f t="shared" si="132"/>
        <v>0.4372267332916927</v>
      </c>
      <c r="EM111" s="31">
        <f t="shared" si="133"/>
        <v>3.4978138663335416</v>
      </c>
      <c r="EN111" s="32">
        <f t="shared" si="159"/>
        <v>3.4991848340754772</v>
      </c>
      <c r="EO111" s="39">
        <f t="shared" si="163"/>
        <v>4.4127560757302762</v>
      </c>
      <c r="EP111" s="37">
        <f t="shared" si="160"/>
        <v>2.1452792051614485E-2</v>
      </c>
      <c r="EQ111" s="37">
        <f t="shared" si="161"/>
        <v>0.12926896786152847</v>
      </c>
      <c r="ER111" s="37">
        <f t="shared" si="162"/>
        <v>0.84927824008685704</v>
      </c>
      <c r="ES111" s="39">
        <f t="shared" si="135"/>
        <v>3.3821707078490038</v>
      </c>
      <c r="ET111" s="55">
        <f t="shared" si="136"/>
        <v>13.480725920907172</v>
      </c>
      <c r="EU111" s="55">
        <f t="shared" si="137"/>
        <v>2.7989698523332591</v>
      </c>
      <c r="EV111" s="55">
        <f t="shared" si="138"/>
        <v>83.720304226759581</v>
      </c>
      <c r="EW111" t="s">
        <v>54</v>
      </c>
      <c r="EX111" t="s">
        <v>589</v>
      </c>
      <c r="EY111">
        <v>-55</v>
      </c>
      <c r="EZ111" t="s">
        <v>259</v>
      </c>
      <c r="FA111">
        <v>780</v>
      </c>
      <c r="FB111" t="s">
        <v>113</v>
      </c>
      <c r="FC111" t="s">
        <v>88</v>
      </c>
      <c r="FD111" s="39">
        <f t="shared" si="139"/>
        <v>-3.6159982995223725</v>
      </c>
      <c r="FE111" s="39">
        <f t="shared" si="140"/>
        <v>-3.5549102161303097</v>
      </c>
      <c r="FF111" s="39">
        <f t="shared" si="141"/>
        <v>-2.5854129316411001</v>
      </c>
      <c r="FG111" s="39">
        <f t="shared" si="142"/>
        <v>-2.5243248482490372</v>
      </c>
    </row>
    <row r="112" spans="1:163" ht="15.75" x14ac:dyDescent="0.25">
      <c r="A112" s="7" t="s">
        <v>370</v>
      </c>
      <c r="B112" s="7" t="s">
        <v>370</v>
      </c>
      <c r="C112" s="3" t="s">
        <v>901</v>
      </c>
      <c r="D112" s="3" t="s">
        <v>901</v>
      </c>
      <c r="E112" s="3" t="s">
        <v>1279</v>
      </c>
      <c r="F112" s="3" t="s">
        <v>1034</v>
      </c>
      <c r="G112" s="3" t="s">
        <v>773</v>
      </c>
      <c r="H112" s="3" t="str">
        <f t="shared" si="87"/>
        <v>CW_2_Section_3</v>
      </c>
      <c r="I112" s="3" t="str">
        <f t="shared" si="88"/>
        <v>CW_2_MF09</v>
      </c>
      <c r="J112" s="3" t="s">
        <v>1492</v>
      </c>
      <c r="K112" s="3" t="s">
        <v>1484</v>
      </c>
      <c r="L112" s="11" t="s">
        <v>1086</v>
      </c>
      <c r="M112" s="3" t="s">
        <v>1015</v>
      </c>
      <c r="N112" s="3" t="s">
        <v>1015</v>
      </c>
      <c r="O112" s="12" t="s">
        <v>1016</v>
      </c>
      <c r="P112" s="3" t="s">
        <v>1280</v>
      </c>
      <c r="Q112" s="3" t="s">
        <v>1018</v>
      </c>
      <c r="R112" s="3" t="s">
        <v>1251</v>
      </c>
      <c r="S112" s="3" t="str">
        <f t="shared" si="89"/>
        <v>T4_0.15-0.30</v>
      </c>
      <c r="T112" s="13" t="s">
        <v>1252</v>
      </c>
      <c r="U112" s="3" t="s">
        <v>1021</v>
      </c>
      <c r="V112" s="3">
        <v>150</v>
      </c>
      <c r="W112" s="3">
        <v>65</v>
      </c>
      <c r="X112" s="17">
        <v>7.8</v>
      </c>
      <c r="Y112" s="3">
        <v>111</v>
      </c>
      <c r="Z112" t="s">
        <v>606</v>
      </c>
      <c r="AA112" t="s">
        <v>219</v>
      </c>
      <c r="AB112" s="1">
        <v>45762</v>
      </c>
      <c r="AC112">
        <v>11</v>
      </c>
      <c r="AD112">
        <v>12</v>
      </c>
      <c r="AE112">
        <v>470</v>
      </c>
      <c r="AF112" s="37">
        <f t="shared" si="103"/>
        <v>0.18051465881449238</v>
      </c>
      <c r="AG112">
        <v>0.5</v>
      </c>
      <c r="AH112" s="37">
        <f t="shared" si="104"/>
        <v>1.9535489472541785E-4</v>
      </c>
      <c r="AI112">
        <v>320</v>
      </c>
      <c r="AJ112" s="37">
        <f t="shared" si="105"/>
        <v>0.12658943204294998</v>
      </c>
      <c r="AK112">
        <v>82</v>
      </c>
      <c r="AL112" s="37">
        <f t="shared" si="106"/>
        <v>3.2438541961005936E-2</v>
      </c>
      <c r="AM112">
        <v>90</v>
      </c>
      <c r="AN112" s="37">
        <f t="shared" si="107"/>
        <v>3.560327776207968E-2</v>
      </c>
      <c r="AO112">
        <v>172</v>
      </c>
      <c r="AQ112" s="59">
        <v>965.5</v>
      </c>
      <c r="AR112" s="59">
        <f t="shared" si="108"/>
        <v>0.30729944575216778</v>
      </c>
      <c r="AS112">
        <v>820</v>
      </c>
      <c r="AT112" s="37">
        <f t="shared" si="109"/>
        <v>0.30709214324724976</v>
      </c>
      <c r="AU112" t="s">
        <v>780</v>
      </c>
      <c r="AV112" t="s">
        <v>780</v>
      </c>
      <c r="AW112" t="s">
        <v>780</v>
      </c>
      <c r="AX112" t="s">
        <v>780</v>
      </c>
      <c r="AY112" t="s">
        <v>780</v>
      </c>
      <c r="AZ112" t="s">
        <v>780</v>
      </c>
      <c r="BA112" t="s">
        <v>780</v>
      </c>
      <c r="BB112" t="s">
        <v>780</v>
      </c>
      <c r="BC112" t="s">
        <v>780</v>
      </c>
      <c r="BD112" t="s">
        <v>780</v>
      </c>
      <c r="BE112" t="s">
        <v>780</v>
      </c>
      <c r="BF112" t="s">
        <v>780</v>
      </c>
      <c r="BG112" t="s">
        <v>780</v>
      </c>
      <c r="BH112" t="s">
        <v>780</v>
      </c>
      <c r="BI112" t="s">
        <v>780</v>
      </c>
      <c r="BJ112" t="s">
        <v>780</v>
      </c>
      <c r="BK112" t="s">
        <v>780</v>
      </c>
      <c r="BL112" t="s">
        <v>780</v>
      </c>
      <c r="BM112" t="s">
        <v>780</v>
      </c>
      <c r="BN112" t="s">
        <v>780</v>
      </c>
      <c r="BO112" s="58">
        <v>930</v>
      </c>
      <c r="BP112" s="58">
        <v>0.15</v>
      </c>
      <c r="BQ112" s="58">
        <v>0.23</v>
      </c>
      <c r="BR112" s="58">
        <v>0.11</v>
      </c>
      <c r="BS112" s="58">
        <v>7.0000000000000007E-2</v>
      </c>
      <c r="BT112" s="58">
        <v>0.01</v>
      </c>
      <c r="BU112" s="58">
        <v>0.01</v>
      </c>
      <c r="BV112" s="58">
        <v>2E-3</v>
      </c>
      <c r="BW112" s="31">
        <f t="shared" si="110"/>
        <v>0.34828743075602714</v>
      </c>
      <c r="BX112" s="31">
        <f t="shared" si="111"/>
        <v>5.5194165188251526E-5</v>
      </c>
      <c r="BY112" s="31">
        <f t="shared" si="112"/>
        <v>8.6505414694248097E-5</v>
      </c>
      <c r="BZ112" s="31">
        <f t="shared" si="113"/>
        <v>4.1029960293586813E-5</v>
      </c>
      <c r="CA112" s="31">
        <f t="shared" si="114"/>
        <v>2.5921562026594851E-5</v>
      </c>
      <c r="CB112" s="31">
        <f t="shared" si="115"/>
        <v>3.7030802895135499E-6</v>
      </c>
      <c r="CC112" s="31">
        <f t="shared" si="116"/>
        <v>3.6588380716934487E-6</v>
      </c>
      <c r="CD112" s="31">
        <f t="shared" si="117"/>
        <v>7.3176761433868969E-7</v>
      </c>
      <c r="CE112">
        <v>1E-3</v>
      </c>
      <c r="CF112">
        <v>1E-3</v>
      </c>
      <c r="CG112">
        <v>2E-3</v>
      </c>
      <c r="CH112">
        <v>1E-3</v>
      </c>
      <c r="CI112">
        <v>1E-3</v>
      </c>
      <c r="CK112">
        <v>2E-3</v>
      </c>
      <c r="CL112">
        <v>1E-3</v>
      </c>
      <c r="CM112">
        <v>1E-3</v>
      </c>
      <c r="CN112" s="58">
        <f t="shared" si="143"/>
        <v>930.58199999999999</v>
      </c>
      <c r="CO112" s="58">
        <f t="shared" si="118"/>
        <v>0.58200000000000007</v>
      </c>
      <c r="CP112" s="31">
        <f t="shared" si="119"/>
        <v>0.34850417554420532</v>
      </c>
      <c r="CQ112" s="31">
        <f t="shared" si="120"/>
        <v>2.1674478817822697E-4</v>
      </c>
      <c r="CR112">
        <v>930</v>
      </c>
      <c r="CS112">
        <v>1400</v>
      </c>
      <c r="CT112" t="s">
        <v>69</v>
      </c>
      <c r="CU112" t="s">
        <v>69</v>
      </c>
      <c r="CV112" t="s">
        <v>69</v>
      </c>
      <c r="CW112">
        <v>1400</v>
      </c>
      <c r="CX112" s="2">
        <f t="shared" si="150"/>
        <v>1895.5</v>
      </c>
      <c r="CZ112">
        <v>67</v>
      </c>
      <c r="DA112" t="s">
        <v>62</v>
      </c>
      <c r="DB112" t="s">
        <v>88</v>
      </c>
      <c r="DC112" t="s">
        <v>782</v>
      </c>
      <c r="DD112" s="37">
        <f t="shared" si="151"/>
        <v>50.282739954195293</v>
      </c>
      <c r="DE112" s="37">
        <f t="shared" si="144"/>
        <v>50.282739954195293</v>
      </c>
      <c r="DF112" s="37">
        <v>11</v>
      </c>
      <c r="DG112" s="37">
        <f t="shared" si="152"/>
        <v>0.19695613249776187</v>
      </c>
      <c r="DH112" s="37">
        <f t="shared" si="121"/>
        <v>0.19695613249776187</v>
      </c>
      <c r="DI112" s="37">
        <f t="shared" si="153"/>
        <v>61.282739954195293</v>
      </c>
      <c r="DJ112" s="37">
        <f t="shared" si="122"/>
        <v>1.0972737682040339</v>
      </c>
      <c r="DK112" s="37">
        <f t="shared" si="123"/>
        <v>1.0972737682040339</v>
      </c>
      <c r="DL112" s="55">
        <f t="shared" si="124"/>
        <v>3.3134291068082447</v>
      </c>
      <c r="DM112" s="55">
        <f t="shared" si="124"/>
        <v>3.3134291068082447</v>
      </c>
      <c r="DN112" s="37">
        <f t="shared" si="125"/>
        <v>14.313429106808245</v>
      </c>
      <c r="DO112" s="55">
        <f t="shared" si="126"/>
        <v>0.25628342178707691</v>
      </c>
      <c r="DP112" s="55">
        <f t="shared" si="127"/>
        <v>0.25628342178707691</v>
      </c>
      <c r="DQ112" s="37">
        <v>3.5</v>
      </c>
      <c r="DR112" s="37">
        <f t="shared" si="128"/>
        <v>6.3717458583651923E-2</v>
      </c>
      <c r="DS112" s="37">
        <f t="shared" si="129"/>
        <v>0.12743491716730385</v>
      </c>
      <c r="DT112" s="37">
        <f t="shared" si="154"/>
        <v>17.220928024985021</v>
      </c>
      <c r="DU112" s="37">
        <f t="shared" si="155"/>
        <v>8.6104640124925105</v>
      </c>
      <c r="DV112" s="37">
        <f t="shared" si="156"/>
        <v>64.782739954195293</v>
      </c>
      <c r="DW112" s="37">
        <f t="shared" si="157"/>
        <v>1.2247086853713378</v>
      </c>
      <c r="DX112" t="s">
        <v>780</v>
      </c>
      <c r="DY112" t="s">
        <v>100</v>
      </c>
      <c r="DZ112" s="29">
        <f t="shared" si="84"/>
        <v>1</v>
      </c>
      <c r="EA112" s="30">
        <v>1.7000000000000001E-2</v>
      </c>
      <c r="EB112" s="30">
        <f t="shared" si="130"/>
        <v>2.741935483870968E-4</v>
      </c>
      <c r="EC112" s="30">
        <f t="shared" si="131"/>
        <v>1.370967741935484E-3</v>
      </c>
      <c r="ED112" s="31">
        <f t="shared" si="149"/>
        <v>86.5</v>
      </c>
      <c r="EE112" s="33">
        <f t="shared" si="148"/>
        <v>99.425287356321832</v>
      </c>
      <c r="EF112" s="37">
        <f t="shared" si="158"/>
        <v>7.2038309389964601</v>
      </c>
      <c r="EG112" s="37">
        <f>$EK110-EK112</f>
        <v>5.7</v>
      </c>
      <c r="EH112" s="33">
        <f>(EG112/$EK110)*100</f>
        <v>91.935483870967744</v>
      </c>
      <c r="EI112" s="37">
        <f t="shared" si="147"/>
        <v>0.47470331043098063</v>
      </c>
      <c r="EJ112" s="37">
        <f t="shared" si="164"/>
        <v>0.47470331043098063</v>
      </c>
      <c r="EK112" s="31">
        <v>0.5</v>
      </c>
      <c r="EL112" s="31">
        <f t="shared" si="132"/>
        <v>5.2050801582344368E-3</v>
      </c>
      <c r="EM112" s="31">
        <f t="shared" si="133"/>
        <v>4.1640641265875494E-2</v>
      </c>
      <c r="EN112" s="32">
        <f t="shared" si="159"/>
        <v>4.301160900781098E-2</v>
      </c>
      <c r="EO112" s="39">
        <f t="shared" si="163"/>
        <v>8.4285396243677972</v>
      </c>
      <c r="EP112" s="37">
        <f t="shared" si="160"/>
        <v>1.5119454003499734E-2</v>
      </c>
      <c r="EQ112" s="37">
        <f t="shared" si="161"/>
        <v>0.13018551458567029</v>
      </c>
      <c r="ER112" s="37">
        <f t="shared" si="162"/>
        <v>0.85469503141083003</v>
      </c>
      <c r="ES112" s="39">
        <f t="shared" si="135"/>
        <v>0.85842164938536136</v>
      </c>
      <c r="ET112" s="55">
        <f t="shared" si="136"/>
        <v>29.855190857613906</v>
      </c>
      <c r="EU112" s="55">
        <f t="shared" si="137"/>
        <v>14.845259000463065</v>
      </c>
      <c r="EV112" s="55">
        <f t="shared" si="138"/>
        <v>55.299550141923028</v>
      </c>
      <c r="EW112" t="s">
        <v>607</v>
      </c>
      <c r="EX112" t="s">
        <v>586</v>
      </c>
      <c r="EY112">
        <v>-25</v>
      </c>
      <c r="EZ112" t="s">
        <v>503</v>
      </c>
      <c r="FA112">
        <v>743</v>
      </c>
      <c r="FB112" t="s">
        <v>72</v>
      </c>
      <c r="FC112" t="s">
        <v>88</v>
      </c>
      <c r="FD112" s="39">
        <f t="shared" si="139"/>
        <v>-7.8141480353683797</v>
      </c>
      <c r="FE112" s="39">
        <f t="shared" si="140"/>
        <v>-7.8139312905802019</v>
      </c>
      <c r="FF112" s="39">
        <f t="shared" si="141"/>
        <v>-0.24403006038594377</v>
      </c>
      <c r="FG112" s="39">
        <f t="shared" si="142"/>
        <v>-0.24381331559776553</v>
      </c>
    </row>
    <row r="113" spans="1:163" ht="15.75" x14ac:dyDescent="0.25">
      <c r="A113" s="7" t="s">
        <v>371</v>
      </c>
      <c r="B113" s="7" t="s">
        <v>371</v>
      </c>
      <c r="C113" s="3" t="s">
        <v>902</v>
      </c>
      <c r="D113" s="3" t="s">
        <v>902</v>
      </c>
      <c r="E113" s="3" t="s">
        <v>1281</v>
      </c>
      <c r="F113" s="3" t="s">
        <v>1034</v>
      </c>
      <c r="G113" s="3" t="s">
        <v>773</v>
      </c>
      <c r="H113" s="3" t="str">
        <f t="shared" si="87"/>
        <v>CW_2_Section_3</v>
      </c>
      <c r="I113" s="3" t="str">
        <f t="shared" si="88"/>
        <v>CW_2_MF10</v>
      </c>
      <c r="J113" s="3" t="s">
        <v>1493</v>
      </c>
      <c r="K113" s="3" t="s">
        <v>1484</v>
      </c>
      <c r="L113" s="11" t="s">
        <v>1089</v>
      </c>
      <c r="M113" s="3" t="s">
        <v>1024</v>
      </c>
      <c r="N113" s="3" t="s">
        <v>1024</v>
      </c>
      <c r="O113" s="12" t="s">
        <v>1016</v>
      </c>
      <c r="P113" s="3" t="s">
        <v>1282</v>
      </c>
      <c r="Q113" s="3" t="s">
        <v>1018</v>
      </c>
      <c r="R113" s="3" t="s">
        <v>1251</v>
      </c>
      <c r="S113" s="3" t="str">
        <f t="shared" si="89"/>
        <v>T4_0.60-0.80</v>
      </c>
      <c r="T113" s="13" t="s">
        <v>1252</v>
      </c>
      <c r="U113" s="3" t="s">
        <v>1021</v>
      </c>
      <c r="V113" s="3">
        <v>150</v>
      </c>
      <c r="W113" s="3">
        <v>65</v>
      </c>
      <c r="X113" s="17">
        <v>4.4000000000000004</v>
      </c>
      <c r="Y113" s="3">
        <v>112</v>
      </c>
      <c r="Z113" t="s">
        <v>608</v>
      </c>
      <c r="AA113" t="s">
        <v>228</v>
      </c>
      <c r="AB113" s="1">
        <v>45762</v>
      </c>
      <c r="AC113">
        <v>9.9</v>
      </c>
      <c r="AD113">
        <v>10</v>
      </c>
      <c r="AE113">
        <v>290</v>
      </c>
      <c r="AF113" s="37">
        <f t="shared" si="103"/>
        <v>0.11138138522596339</v>
      </c>
      <c r="AG113">
        <v>1</v>
      </c>
      <c r="AH113" s="37">
        <f t="shared" si="104"/>
        <v>3.9070978945083569E-4</v>
      </c>
      <c r="AI113">
        <v>230</v>
      </c>
      <c r="AJ113" s="37">
        <f t="shared" si="105"/>
        <v>9.0986154280870299E-2</v>
      </c>
      <c r="AK113">
        <v>50</v>
      </c>
      <c r="AL113" s="37">
        <f t="shared" si="106"/>
        <v>1.9779598756710936E-2</v>
      </c>
      <c r="AM113">
        <v>50</v>
      </c>
      <c r="AN113" s="37">
        <f t="shared" si="107"/>
        <v>1.9779598756710936E-2</v>
      </c>
      <c r="AO113">
        <v>100</v>
      </c>
      <c r="AQ113" s="59">
        <v>627</v>
      </c>
      <c r="AR113" s="59">
        <f t="shared" si="108"/>
        <v>0.20275824929628453</v>
      </c>
      <c r="AS113">
        <v>1300</v>
      </c>
      <c r="AT113" s="37">
        <f t="shared" si="109"/>
        <v>0.48685339783100573</v>
      </c>
      <c r="AU113" t="s">
        <v>780</v>
      </c>
      <c r="AV113" t="s">
        <v>780</v>
      </c>
      <c r="AW113" t="s">
        <v>780</v>
      </c>
      <c r="AX113" t="s">
        <v>780</v>
      </c>
      <c r="AY113" t="s">
        <v>780</v>
      </c>
      <c r="AZ113" t="s">
        <v>780</v>
      </c>
      <c r="BA113" t="s">
        <v>780</v>
      </c>
      <c r="BB113" t="s">
        <v>780</v>
      </c>
      <c r="BC113" t="s">
        <v>780</v>
      </c>
      <c r="BD113" t="s">
        <v>780</v>
      </c>
      <c r="BE113" t="s">
        <v>780</v>
      </c>
      <c r="BF113" t="s">
        <v>780</v>
      </c>
      <c r="BG113" t="s">
        <v>780</v>
      </c>
      <c r="BH113" t="s">
        <v>780</v>
      </c>
      <c r="BI113" t="s">
        <v>780</v>
      </c>
      <c r="BJ113" t="s">
        <v>780</v>
      </c>
      <c r="BK113" t="s">
        <v>780</v>
      </c>
      <c r="BL113" t="s">
        <v>780</v>
      </c>
      <c r="BM113" t="s">
        <v>780</v>
      </c>
      <c r="BN113" t="s">
        <v>780</v>
      </c>
      <c r="BO113" s="58">
        <v>2300</v>
      </c>
      <c r="BP113" s="58">
        <v>130</v>
      </c>
      <c r="BQ113" s="58">
        <v>86</v>
      </c>
      <c r="BR113" s="58">
        <v>34</v>
      </c>
      <c r="BS113" s="58">
        <v>2.2000000000000002</v>
      </c>
      <c r="BT113" s="58">
        <v>1.8</v>
      </c>
      <c r="BU113" s="58">
        <v>0.14000000000000001</v>
      </c>
      <c r="BV113" s="58">
        <v>7.0000000000000007E-2</v>
      </c>
      <c r="BW113" s="31">
        <f t="shared" si="110"/>
        <v>0.8613560115471639</v>
      </c>
      <c r="BX113" s="31">
        <f t="shared" si="111"/>
        <v>4.7834943163151324E-2</v>
      </c>
      <c r="BY113" s="31">
        <f t="shared" si="112"/>
        <v>3.2345502885675378E-2</v>
      </c>
      <c r="BZ113" s="31">
        <f t="shared" si="113"/>
        <v>1.2681987727108652E-2</v>
      </c>
      <c r="CA113" s="31">
        <f t="shared" si="114"/>
        <v>8.1467766369298098E-4</v>
      </c>
      <c r="CB113" s="31">
        <f t="shared" si="115"/>
        <v>6.6655445211243904E-4</v>
      </c>
      <c r="CC113" s="31">
        <f t="shared" si="116"/>
        <v>5.1223733003708282E-5</v>
      </c>
      <c r="CD113" s="31">
        <f t="shared" si="117"/>
        <v>2.5611866501854141E-5</v>
      </c>
      <c r="CE113">
        <v>1E-3</v>
      </c>
      <c r="CF113">
        <v>1E-3</v>
      </c>
      <c r="CG113">
        <v>2E-3</v>
      </c>
      <c r="CH113">
        <v>1E-3</v>
      </c>
      <c r="CI113">
        <v>1E-3</v>
      </c>
      <c r="CK113">
        <v>2E-3</v>
      </c>
      <c r="CL113">
        <v>1E-3</v>
      </c>
      <c r="CM113">
        <v>1E-3</v>
      </c>
      <c r="CN113" s="58">
        <f t="shared" si="143"/>
        <v>2554.21</v>
      </c>
      <c r="CO113" s="58">
        <f t="shared" si="118"/>
        <v>254.20999999999998</v>
      </c>
      <c r="CP113" s="31">
        <f t="shared" si="119"/>
        <v>0.95577651303841016</v>
      </c>
      <c r="CQ113" s="31">
        <f t="shared" si="120"/>
        <v>9.4420501491246339E-2</v>
      </c>
      <c r="CR113">
        <v>2500</v>
      </c>
      <c r="CS113">
        <v>3500</v>
      </c>
      <c r="CT113">
        <v>1000</v>
      </c>
      <c r="CU113" t="s">
        <v>69</v>
      </c>
      <c r="CV113" t="s">
        <v>69</v>
      </c>
      <c r="CW113">
        <v>4500</v>
      </c>
      <c r="CX113" s="2">
        <f t="shared" si="150"/>
        <v>3127</v>
      </c>
      <c r="CZ113">
        <v>65</v>
      </c>
      <c r="DA113" t="s">
        <v>62</v>
      </c>
      <c r="DB113" t="s">
        <v>88</v>
      </c>
      <c r="DC113" t="s">
        <v>782</v>
      </c>
      <c r="DD113" s="37">
        <f t="shared" si="151"/>
        <v>27.902560899437852</v>
      </c>
      <c r="DE113" s="37">
        <f t="shared" si="144"/>
        <v>27.902560899437852</v>
      </c>
      <c r="DF113" s="37">
        <v>1.4</v>
      </c>
      <c r="DG113" s="37">
        <f t="shared" si="152"/>
        <v>2.506714413607878E-2</v>
      </c>
      <c r="DH113" s="37">
        <f t="shared" si="121"/>
        <v>2.506714413607878E-2</v>
      </c>
      <c r="DI113" s="37">
        <f t="shared" si="153"/>
        <v>29.30256089943785</v>
      </c>
      <c r="DJ113" s="37">
        <f t="shared" si="122"/>
        <v>0.52466536973031064</v>
      </c>
      <c r="DK113" s="37">
        <f t="shared" si="123"/>
        <v>0.52466536973031064</v>
      </c>
      <c r="DL113" s="55">
        <f t="shared" si="124"/>
        <v>1.7439100562148657</v>
      </c>
      <c r="DM113" s="55">
        <f t="shared" si="124"/>
        <v>1.7439100562148657</v>
      </c>
      <c r="DN113" s="37">
        <f t="shared" si="125"/>
        <v>3.1439100562148656</v>
      </c>
      <c r="DO113" s="55">
        <f t="shared" si="126"/>
        <v>5.6292033235718276E-2</v>
      </c>
      <c r="DP113" s="55">
        <f t="shared" si="127"/>
        <v>5.6292033235718276E-2</v>
      </c>
      <c r="DQ113" s="37">
        <v>1.5</v>
      </c>
      <c r="DR113" s="37">
        <f t="shared" si="128"/>
        <v>2.7307482250136537E-2</v>
      </c>
      <c r="DS113" s="37">
        <f t="shared" si="129"/>
        <v>5.4614964500273075E-2</v>
      </c>
      <c r="DT113" s="37">
        <f t="shared" si="154"/>
        <v>19.213245839523974</v>
      </c>
      <c r="DU113" s="37">
        <f t="shared" si="155"/>
        <v>9.6066229197619872</v>
      </c>
      <c r="DV113" s="37">
        <f t="shared" si="156"/>
        <v>30.80256089943785</v>
      </c>
      <c r="DW113" s="37">
        <f t="shared" si="157"/>
        <v>0.57928033423058367</v>
      </c>
      <c r="DX113" t="s">
        <v>780</v>
      </c>
      <c r="DY113" t="s">
        <v>230</v>
      </c>
      <c r="DZ113" s="29">
        <f t="shared" si="84"/>
        <v>1</v>
      </c>
      <c r="EA113" s="30">
        <v>1.7000000000000001E-2</v>
      </c>
      <c r="EB113" s="30">
        <f t="shared" si="130"/>
        <v>2.741935483870968E-4</v>
      </c>
      <c r="EC113" s="30">
        <f t="shared" si="131"/>
        <v>1.370967741935484E-3</v>
      </c>
      <c r="ED113" s="31">
        <f t="shared" si="149"/>
        <v>48</v>
      </c>
      <c r="EE113" s="33">
        <f t="shared" si="148"/>
        <v>55.172413793103445</v>
      </c>
      <c r="EF113" s="37">
        <f t="shared" si="158"/>
        <v>3.9975015615240475</v>
      </c>
      <c r="EG113" s="29">
        <f>$EK111-EK113</f>
        <v>3</v>
      </c>
      <c r="EH113" s="33">
        <f>(EG113/$EK111)*100</f>
        <v>7.1428571428571423</v>
      </c>
      <c r="EI113" s="37">
        <f t="shared" si="147"/>
        <v>0.24984384759525297</v>
      </c>
      <c r="EJ113" s="37">
        <f t="shared" si="164"/>
        <v>0.24984384759525297</v>
      </c>
      <c r="EK113" s="31">
        <v>39</v>
      </c>
      <c r="EL113" s="31">
        <f t="shared" si="132"/>
        <v>0.40599625234228603</v>
      </c>
      <c r="EM113" s="31">
        <f t="shared" si="133"/>
        <v>3.2479700187382883</v>
      </c>
      <c r="EN113" s="32">
        <f t="shared" si="159"/>
        <v>3.2493409864802238</v>
      </c>
      <c r="EO113" s="39">
        <f t="shared" si="163"/>
        <v>4.5767818957546309</v>
      </c>
      <c r="EP113" s="37">
        <f t="shared" si="160"/>
        <v>1.1933049409877555E-2</v>
      </c>
      <c r="EQ113" s="37">
        <f t="shared" si="161"/>
        <v>0.11463630596358199</v>
      </c>
      <c r="ER113" s="37">
        <f t="shared" si="162"/>
        <v>0.87343064462654052</v>
      </c>
      <c r="ES113" s="39">
        <f t="shared" si="135"/>
        <v>0.36075084533124435</v>
      </c>
      <c r="ET113" s="55">
        <f t="shared" si="136"/>
        <v>15.604130652564507</v>
      </c>
      <c r="EU113" s="55">
        <f t="shared" si="137"/>
        <v>15.139247823556772</v>
      </c>
      <c r="EV113" s="55">
        <f t="shared" si="138"/>
        <v>69.256621523878721</v>
      </c>
      <c r="EW113" t="s">
        <v>609</v>
      </c>
      <c r="EX113" t="s">
        <v>589</v>
      </c>
      <c r="EY113">
        <v>-27</v>
      </c>
      <c r="EZ113" t="s">
        <v>174</v>
      </c>
      <c r="FA113">
        <v>721</v>
      </c>
      <c r="FB113" t="s">
        <v>113</v>
      </c>
      <c r="FC113" t="s">
        <v>88</v>
      </c>
      <c r="FD113" s="39">
        <f t="shared" si="139"/>
        <v>-3.8871702486273407</v>
      </c>
      <c r="FE113" s="39">
        <f t="shared" si="140"/>
        <v>-3.792749747136094</v>
      </c>
      <c r="FF113" s="39">
        <f t="shared" si="141"/>
        <v>0.32886080179604593</v>
      </c>
      <c r="FG113" s="39">
        <f t="shared" si="142"/>
        <v>0.4232813032872923</v>
      </c>
    </row>
    <row r="114" spans="1:163" ht="15.75" x14ac:dyDescent="0.25">
      <c r="A114" s="7" t="s">
        <v>372</v>
      </c>
      <c r="B114" s="7" t="s">
        <v>372</v>
      </c>
      <c r="C114" s="3" t="s">
        <v>903</v>
      </c>
      <c r="D114" s="3" t="s">
        <v>903</v>
      </c>
      <c r="E114" s="3" t="s">
        <v>1283</v>
      </c>
      <c r="F114" s="3" t="s">
        <v>1013</v>
      </c>
      <c r="G114" s="3" t="s">
        <v>774</v>
      </c>
      <c r="H114" s="3" t="str">
        <f t="shared" si="87"/>
        <v>CW_3_Section_1</v>
      </c>
      <c r="I114" s="3" t="str">
        <f t="shared" si="88"/>
        <v>CW_3_MF01</v>
      </c>
      <c r="J114" s="3" t="s">
        <v>1488</v>
      </c>
      <c r="K114" s="3" t="s">
        <v>1484</v>
      </c>
      <c r="L114" s="11" t="s">
        <v>1092</v>
      </c>
      <c r="M114" s="3" t="s">
        <v>1015</v>
      </c>
      <c r="N114" s="3" t="s">
        <v>1015</v>
      </c>
      <c r="O114" s="12" t="s">
        <v>1016</v>
      </c>
      <c r="P114" s="3" t="s">
        <v>1284</v>
      </c>
      <c r="Q114" s="3" t="s">
        <v>1018</v>
      </c>
      <c r="R114" s="3" t="s">
        <v>1251</v>
      </c>
      <c r="S114" s="3" t="str">
        <f t="shared" si="89"/>
        <v>T4_0.15-0.30</v>
      </c>
      <c r="T114" s="13" t="s">
        <v>1252</v>
      </c>
      <c r="U114" s="3" t="s">
        <v>1021</v>
      </c>
      <c r="V114" s="3">
        <v>150</v>
      </c>
      <c r="W114" s="3">
        <v>65</v>
      </c>
      <c r="X114" s="17">
        <v>14.1</v>
      </c>
      <c r="Y114" s="3">
        <v>113</v>
      </c>
      <c r="Z114" t="s">
        <v>611</v>
      </c>
      <c r="AA114" t="s">
        <v>241</v>
      </c>
      <c r="AB114" s="1">
        <v>45763</v>
      </c>
      <c r="AC114">
        <v>13</v>
      </c>
      <c r="AD114">
        <v>14</v>
      </c>
      <c r="AE114">
        <v>490</v>
      </c>
      <c r="AF114" s="37">
        <f t="shared" si="103"/>
        <v>0.18819613365766227</v>
      </c>
      <c r="AG114">
        <v>4.2</v>
      </c>
      <c r="AH114" s="37">
        <f t="shared" si="104"/>
        <v>1.64098111569351E-3</v>
      </c>
      <c r="AI114">
        <v>410</v>
      </c>
      <c r="AJ114" s="37">
        <f t="shared" si="105"/>
        <v>0.16219270980502967</v>
      </c>
      <c r="AK114">
        <v>210</v>
      </c>
      <c r="AL114" s="37">
        <f t="shared" si="106"/>
        <v>8.3074314778185929E-2</v>
      </c>
      <c r="AM114">
        <v>130</v>
      </c>
      <c r="AN114" s="37">
        <f t="shared" si="107"/>
        <v>5.1426956767448434E-2</v>
      </c>
      <c r="AO114">
        <v>340</v>
      </c>
      <c r="AQ114" s="59">
        <v>1244.2</v>
      </c>
      <c r="AR114" s="59">
        <f t="shared" si="108"/>
        <v>0.3520298245783855</v>
      </c>
      <c r="AS114">
        <v>460</v>
      </c>
      <c r="AT114" s="37">
        <f t="shared" si="109"/>
        <v>0.17227120230943277</v>
      </c>
      <c r="AU114" t="s">
        <v>780</v>
      </c>
      <c r="AV114" t="s">
        <v>780</v>
      </c>
      <c r="AW114" t="s">
        <v>780</v>
      </c>
      <c r="AX114" t="s">
        <v>780</v>
      </c>
      <c r="AY114" t="s">
        <v>780</v>
      </c>
      <c r="AZ114" t="s">
        <v>780</v>
      </c>
      <c r="BA114" t="s">
        <v>780</v>
      </c>
      <c r="BB114" t="s">
        <v>780</v>
      </c>
      <c r="BC114" t="s">
        <v>780</v>
      </c>
      <c r="BD114" t="s">
        <v>780</v>
      </c>
      <c r="BE114" t="s">
        <v>780</v>
      </c>
      <c r="BF114" t="s">
        <v>780</v>
      </c>
      <c r="BG114" t="s">
        <v>780</v>
      </c>
      <c r="BH114" t="s">
        <v>780</v>
      </c>
      <c r="BI114" t="s">
        <v>780</v>
      </c>
      <c r="BJ114" t="s">
        <v>780</v>
      </c>
      <c r="BK114" t="s">
        <v>780</v>
      </c>
      <c r="BL114" t="s">
        <v>780</v>
      </c>
      <c r="BM114" t="s">
        <v>780</v>
      </c>
      <c r="BN114" t="s">
        <v>780</v>
      </c>
      <c r="BO114" s="58">
        <v>670</v>
      </c>
      <c r="BP114" s="58">
        <v>4</v>
      </c>
      <c r="BQ114" s="58">
        <v>4</v>
      </c>
      <c r="BR114" s="58">
        <v>2</v>
      </c>
      <c r="BS114" s="58">
        <v>0.4</v>
      </c>
      <c r="BT114" s="58">
        <v>0.4</v>
      </c>
      <c r="BU114" s="58">
        <v>0.4</v>
      </c>
      <c r="BV114" s="58">
        <v>0.8</v>
      </c>
      <c r="BW114" s="31">
        <f t="shared" si="110"/>
        <v>0.25091675118982604</v>
      </c>
      <c r="BX114" s="31">
        <f t="shared" si="111"/>
        <v>1.4718444050200407E-3</v>
      </c>
      <c r="BY114" s="31">
        <f t="shared" si="112"/>
        <v>1.5044419946825757E-3</v>
      </c>
      <c r="BZ114" s="31">
        <f t="shared" si="113"/>
        <v>7.4599927806521475E-4</v>
      </c>
      <c r="CA114" s="31">
        <f t="shared" si="114"/>
        <v>1.4812321158054199E-4</v>
      </c>
      <c r="CB114" s="31">
        <f t="shared" si="115"/>
        <v>1.4812321158054199E-4</v>
      </c>
      <c r="CC114" s="31">
        <f t="shared" si="116"/>
        <v>1.4635352286773798E-4</v>
      </c>
      <c r="CD114" s="31">
        <f t="shared" si="117"/>
        <v>2.9270704573547597E-4</v>
      </c>
      <c r="CE114">
        <v>0.4</v>
      </c>
      <c r="CF114">
        <v>0.4</v>
      </c>
      <c r="CG114">
        <v>0.8</v>
      </c>
      <c r="CH114">
        <v>0.4</v>
      </c>
      <c r="CI114">
        <v>0.4</v>
      </c>
      <c r="CK114">
        <v>0.8</v>
      </c>
      <c r="CL114">
        <v>0.4</v>
      </c>
      <c r="CM114">
        <v>0.4</v>
      </c>
      <c r="CN114" s="58">
        <f t="shared" si="143"/>
        <v>681.99999999999989</v>
      </c>
      <c r="CO114" s="58">
        <f t="shared" si="118"/>
        <v>12.000000000000002</v>
      </c>
      <c r="CP114" s="31">
        <f t="shared" si="119"/>
        <v>0.25537434385935814</v>
      </c>
      <c r="CQ114" s="31">
        <f t="shared" si="120"/>
        <v>4.4575926695321292E-3</v>
      </c>
      <c r="CR114">
        <v>670</v>
      </c>
      <c r="CS114">
        <v>690</v>
      </c>
      <c r="CT114" t="s">
        <v>69</v>
      </c>
      <c r="CU114" t="s">
        <v>69</v>
      </c>
      <c r="CV114" t="s">
        <v>69</v>
      </c>
      <c r="CW114">
        <v>710</v>
      </c>
      <c r="CX114" s="2">
        <f t="shared" si="150"/>
        <v>1914.2</v>
      </c>
      <c r="CZ114">
        <v>68</v>
      </c>
      <c r="DA114" t="s">
        <v>62</v>
      </c>
      <c r="DB114" t="s">
        <v>88</v>
      </c>
      <c r="DC114" t="s">
        <v>782</v>
      </c>
      <c r="DD114" s="37">
        <f t="shared" si="151"/>
        <v>50.282739954195293</v>
      </c>
      <c r="DE114" s="37">
        <f t="shared" si="144"/>
        <v>50.282739954195293</v>
      </c>
      <c r="DF114" s="37">
        <v>14</v>
      </c>
      <c r="DG114" s="37">
        <f t="shared" si="152"/>
        <v>0.25067144136078784</v>
      </c>
      <c r="DH114" s="37">
        <f t="shared" si="121"/>
        <v>0.25067144136078784</v>
      </c>
      <c r="DI114" s="37">
        <f t="shared" si="153"/>
        <v>64.282739954195293</v>
      </c>
      <c r="DJ114" s="37">
        <f t="shared" si="122"/>
        <v>1.1509890770670599</v>
      </c>
      <c r="DK114" s="37">
        <f t="shared" si="123"/>
        <v>1.1509890770670599</v>
      </c>
      <c r="DL114" s="55">
        <f t="shared" si="124"/>
        <v>50.282739954195293</v>
      </c>
      <c r="DM114" s="55">
        <f t="shared" si="124"/>
        <v>50.282739954195293</v>
      </c>
      <c r="DN114" s="37">
        <f t="shared" si="125"/>
        <v>64.282739954195293</v>
      </c>
      <c r="DO114" s="55">
        <f t="shared" si="126"/>
        <v>1.1509890770670599</v>
      </c>
      <c r="DP114" s="55">
        <f t="shared" si="127"/>
        <v>1.1509890770670599</v>
      </c>
      <c r="DQ114" s="37">
        <v>4.3</v>
      </c>
      <c r="DR114" s="37">
        <f t="shared" si="128"/>
        <v>7.8281449117058075E-2</v>
      </c>
      <c r="DS114" s="37">
        <f t="shared" si="129"/>
        <v>0.15656289823411615</v>
      </c>
      <c r="DT114" s="37">
        <f t="shared" si="154"/>
        <v>14.70321627983572</v>
      </c>
      <c r="DU114" s="37">
        <f t="shared" si="155"/>
        <v>7.3516081399178601</v>
      </c>
      <c r="DV114" s="37">
        <f t="shared" si="156"/>
        <v>68.58273995419529</v>
      </c>
      <c r="DW114" s="37">
        <f t="shared" si="157"/>
        <v>1.307551975301176</v>
      </c>
      <c r="DX114" t="s">
        <v>780</v>
      </c>
      <c r="DY114" t="s">
        <v>120</v>
      </c>
      <c r="DZ114" s="29">
        <f t="shared" si="84"/>
        <v>1</v>
      </c>
      <c r="EA114" s="30">
        <v>1.7000000000000001E-2</v>
      </c>
      <c r="EB114" s="30">
        <f t="shared" si="130"/>
        <v>2.741935483870968E-4</v>
      </c>
      <c r="EC114" s="30">
        <f t="shared" si="131"/>
        <v>1.370967741935484E-3</v>
      </c>
      <c r="ED114" s="31">
        <f t="shared" si="149"/>
        <v>86.5</v>
      </c>
      <c r="EE114" s="33">
        <f t="shared" si="148"/>
        <v>99.425287356321832</v>
      </c>
      <c r="EF114" s="37">
        <f t="shared" si="158"/>
        <v>7.2038309389964601</v>
      </c>
      <c r="EG114" s="37">
        <f>$EK98-EK114</f>
        <v>86.5</v>
      </c>
      <c r="EH114" s="33">
        <f>(EG114/$EK$98)*100</f>
        <v>99.425287356321832</v>
      </c>
      <c r="EI114" s="37">
        <f t="shared" si="147"/>
        <v>7.2038309389964601</v>
      </c>
      <c r="EJ114" s="37">
        <f t="shared" si="164"/>
        <v>7.2038309389964601</v>
      </c>
      <c r="EK114" s="31">
        <v>0.5</v>
      </c>
      <c r="EL114" s="31">
        <f t="shared" si="132"/>
        <v>5.2050801582344368E-3</v>
      </c>
      <c r="EM114" s="31">
        <f t="shared" si="133"/>
        <v>4.1640641265875494E-2</v>
      </c>
      <c r="EN114" s="32">
        <f t="shared" si="159"/>
        <v>4.301160900781098E-2</v>
      </c>
      <c r="EO114" s="39">
        <f t="shared" si="163"/>
        <v>8.511382914297636</v>
      </c>
      <c r="EP114" s="37">
        <f t="shared" si="160"/>
        <v>1.8394531160279233E-2</v>
      </c>
      <c r="EQ114" s="37">
        <f t="shared" si="161"/>
        <v>0.13522938500788154</v>
      </c>
      <c r="ER114" s="37">
        <f t="shared" si="162"/>
        <v>0.84637608383183927</v>
      </c>
      <c r="ES114" s="39">
        <f t="shared" si="135"/>
        <v>8.511382914297636</v>
      </c>
      <c r="ET114" s="55">
        <f t="shared" si="136"/>
        <v>13.522938500788154</v>
      </c>
      <c r="EU114" s="55">
        <f t="shared" si="137"/>
        <v>1.8394531160279233</v>
      </c>
      <c r="EV114" s="55">
        <f t="shared" si="138"/>
        <v>84.637608383183931</v>
      </c>
      <c r="EW114" t="s">
        <v>612</v>
      </c>
      <c r="EX114">
        <v>14</v>
      </c>
      <c r="EY114">
        <v>-52</v>
      </c>
      <c r="EZ114" t="s">
        <v>234</v>
      </c>
      <c r="FA114">
        <v>682</v>
      </c>
      <c r="FB114" t="s">
        <v>113</v>
      </c>
      <c r="FC114" t="s">
        <v>88</v>
      </c>
      <c r="FD114" s="39">
        <f t="shared" si="139"/>
        <v>-7.9870818874098175</v>
      </c>
      <c r="FE114" s="39">
        <f t="shared" si="140"/>
        <v>-7.9826242947402859</v>
      </c>
      <c r="FF114" s="39">
        <f t="shared" si="141"/>
        <v>-7.9870818874098175</v>
      </c>
      <c r="FG114" s="39">
        <f t="shared" si="142"/>
        <v>-7.9826242947402859</v>
      </c>
    </row>
    <row r="115" spans="1:163" ht="15.75" x14ac:dyDescent="0.25">
      <c r="A115" s="7" t="s">
        <v>373</v>
      </c>
      <c r="B115" s="7" t="s">
        <v>373</v>
      </c>
      <c r="C115" s="3" t="s">
        <v>904</v>
      </c>
      <c r="D115" s="3" t="s">
        <v>904</v>
      </c>
      <c r="E115" s="3" t="s">
        <v>1285</v>
      </c>
      <c r="F115" s="3" t="s">
        <v>1013</v>
      </c>
      <c r="G115" s="3" t="s">
        <v>774</v>
      </c>
      <c r="H115" s="3" t="str">
        <f t="shared" si="87"/>
        <v>CW_3_Section_1</v>
      </c>
      <c r="I115" s="3" t="str">
        <f t="shared" si="88"/>
        <v>CW_3_MF02</v>
      </c>
      <c r="J115" s="3" t="s">
        <v>1489</v>
      </c>
      <c r="K115" s="3" t="s">
        <v>1484</v>
      </c>
      <c r="L115" s="11" t="s">
        <v>1095</v>
      </c>
      <c r="M115" s="3" t="s">
        <v>1024</v>
      </c>
      <c r="N115" s="3" t="s">
        <v>1024</v>
      </c>
      <c r="O115" s="12" t="s">
        <v>1016</v>
      </c>
      <c r="P115" s="3" t="s">
        <v>1286</v>
      </c>
      <c r="Q115" s="3" t="s">
        <v>1018</v>
      </c>
      <c r="R115" s="3" t="s">
        <v>1251</v>
      </c>
      <c r="S115" s="3" t="str">
        <f t="shared" si="89"/>
        <v>T4_0.60-0.80</v>
      </c>
      <c r="T115" s="13" t="s">
        <v>1252</v>
      </c>
      <c r="U115" s="3" t="s">
        <v>1021</v>
      </c>
      <c r="V115" s="3">
        <v>150</v>
      </c>
      <c r="W115" s="3">
        <v>65</v>
      </c>
      <c r="X115" s="17">
        <v>6.2</v>
      </c>
      <c r="Y115" s="3">
        <v>114</v>
      </c>
      <c r="Z115" t="s">
        <v>613</v>
      </c>
      <c r="AA115" t="s">
        <v>245</v>
      </c>
      <c r="AB115" s="1">
        <v>45763</v>
      </c>
      <c r="AC115">
        <v>12</v>
      </c>
      <c r="AD115">
        <v>14</v>
      </c>
      <c r="AE115">
        <v>560</v>
      </c>
      <c r="AF115" s="37">
        <f t="shared" si="103"/>
        <v>0.21508129560875688</v>
      </c>
      <c r="AG115">
        <v>5</v>
      </c>
      <c r="AH115" s="37">
        <f t="shared" si="104"/>
        <v>1.9535489472541786E-3</v>
      </c>
      <c r="AI115">
        <v>520</v>
      </c>
      <c r="AJ115" s="37">
        <f t="shared" si="105"/>
        <v>0.20570782706979374</v>
      </c>
      <c r="AK115">
        <v>170</v>
      </c>
      <c r="AL115" s="37">
        <f t="shared" si="106"/>
        <v>6.7250635772817174E-2</v>
      </c>
      <c r="AM115">
        <v>180</v>
      </c>
      <c r="AN115" s="37">
        <f t="shared" si="107"/>
        <v>7.120655552415936E-2</v>
      </c>
      <c r="AO115">
        <v>350</v>
      </c>
      <c r="AQ115" s="59">
        <v>1465</v>
      </c>
      <c r="AR115" s="59">
        <f t="shared" si="108"/>
        <v>0.42274267162580481</v>
      </c>
      <c r="AS115">
        <v>4800</v>
      </c>
      <c r="AT115" s="37">
        <f t="shared" si="109"/>
        <v>1.7976125458375594</v>
      </c>
      <c r="AU115" t="s">
        <v>780</v>
      </c>
      <c r="AV115" t="s">
        <v>780</v>
      </c>
      <c r="AW115" t="s">
        <v>780</v>
      </c>
      <c r="AX115" t="s">
        <v>780</v>
      </c>
      <c r="AY115" t="s">
        <v>780</v>
      </c>
      <c r="AZ115" t="s">
        <v>780</v>
      </c>
      <c r="BA115" t="s">
        <v>780</v>
      </c>
      <c r="BB115" t="s">
        <v>780</v>
      </c>
      <c r="BC115" t="s">
        <v>780</v>
      </c>
      <c r="BD115" t="s">
        <v>780</v>
      </c>
      <c r="BE115" t="s">
        <v>780</v>
      </c>
      <c r="BF115" t="s">
        <v>780</v>
      </c>
      <c r="BG115" t="s">
        <v>780</v>
      </c>
      <c r="BH115" t="s">
        <v>780</v>
      </c>
      <c r="BI115" t="s">
        <v>780</v>
      </c>
      <c r="BJ115" t="s">
        <v>780</v>
      </c>
      <c r="BK115" t="s">
        <v>780</v>
      </c>
      <c r="BL115" t="s">
        <v>780</v>
      </c>
      <c r="BM115" t="s">
        <v>780</v>
      </c>
      <c r="BN115" t="s">
        <v>780</v>
      </c>
      <c r="BO115" s="58">
        <v>4300</v>
      </c>
      <c r="BP115" s="58">
        <v>4</v>
      </c>
      <c r="BQ115" s="58">
        <v>290</v>
      </c>
      <c r="BR115" s="58">
        <v>66</v>
      </c>
      <c r="BS115" s="58">
        <v>36</v>
      </c>
      <c r="BT115" s="58">
        <v>0.4</v>
      </c>
      <c r="BU115" s="58">
        <v>0.4</v>
      </c>
      <c r="BV115" s="58">
        <v>0.8</v>
      </c>
      <c r="BW115" s="31">
        <f t="shared" si="110"/>
        <v>1.6103612389794804</v>
      </c>
      <c r="BX115" s="31">
        <f t="shared" si="111"/>
        <v>1.4718444050200407E-3</v>
      </c>
      <c r="BY115" s="31">
        <f t="shared" si="112"/>
        <v>0.10907204461448673</v>
      </c>
      <c r="BZ115" s="31">
        <f t="shared" si="113"/>
        <v>2.4617976176152086E-2</v>
      </c>
      <c r="CA115" s="31">
        <f t="shared" si="114"/>
        <v>1.333108904224878E-2</v>
      </c>
      <c r="CB115" s="31">
        <f t="shared" si="115"/>
        <v>1.4812321158054199E-4</v>
      </c>
      <c r="CC115" s="31">
        <f t="shared" si="116"/>
        <v>1.4635352286773798E-4</v>
      </c>
      <c r="CD115" s="31">
        <f t="shared" si="117"/>
        <v>2.9270704573547597E-4</v>
      </c>
      <c r="CE115">
        <v>0.4</v>
      </c>
      <c r="CF115">
        <v>0.4</v>
      </c>
      <c r="CG115">
        <v>0.8</v>
      </c>
      <c r="CH115">
        <v>0.4</v>
      </c>
      <c r="CI115">
        <v>0.4</v>
      </c>
      <c r="CK115">
        <v>0.8</v>
      </c>
      <c r="CL115">
        <v>0.4</v>
      </c>
      <c r="CM115">
        <v>0.4</v>
      </c>
      <c r="CN115" s="58">
        <f t="shared" si="143"/>
        <v>4697.5999999999995</v>
      </c>
      <c r="CO115" s="58">
        <f t="shared" si="118"/>
        <v>397.59999999999997</v>
      </c>
      <c r="CP115" s="31">
        <f t="shared" si="119"/>
        <v>1.7594413769975721</v>
      </c>
      <c r="CQ115" s="31">
        <f t="shared" si="120"/>
        <v>0.14908013801809139</v>
      </c>
      <c r="CR115">
        <v>4700</v>
      </c>
      <c r="CS115">
        <v>6000</v>
      </c>
      <c r="CT115">
        <v>2000</v>
      </c>
      <c r="CU115" t="s">
        <v>69</v>
      </c>
      <c r="CV115" t="s">
        <v>69</v>
      </c>
      <c r="CW115">
        <v>8000</v>
      </c>
      <c r="CX115" s="2">
        <f t="shared" si="150"/>
        <v>6165</v>
      </c>
      <c r="CZ115">
        <v>70</v>
      </c>
      <c r="DA115" t="s">
        <v>62</v>
      </c>
      <c r="DB115" t="s">
        <v>88</v>
      </c>
      <c r="DC115" t="s">
        <v>782</v>
      </c>
      <c r="DD115" s="37">
        <f t="shared" si="151"/>
        <v>11.626067041432437</v>
      </c>
      <c r="DE115" s="37">
        <f t="shared" si="144"/>
        <v>11.626067041432437</v>
      </c>
      <c r="DF115" s="37">
        <v>0.3</v>
      </c>
      <c r="DG115" s="37">
        <f t="shared" si="152"/>
        <v>5.3715308863025958E-3</v>
      </c>
      <c r="DH115" s="37">
        <f t="shared" si="121"/>
        <v>5.3715308863025958E-3</v>
      </c>
      <c r="DI115" s="37">
        <f t="shared" si="153"/>
        <v>11.926067041432438</v>
      </c>
      <c r="DJ115" s="37">
        <f t="shared" si="122"/>
        <v>0.21353745821723255</v>
      </c>
      <c r="DK115" s="37">
        <f t="shared" si="123"/>
        <v>0.21353745821723255</v>
      </c>
      <c r="DL115" s="55">
        <f t="shared" si="124"/>
        <v>11.626067041432437</v>
      </c>
      <c r="DM115" s="55">
        <f t="shared" si="124"/>
        <v>11.626067041432437</v>
      </c>
      <c r="DN115" s="37">
        <f t="shared" si="125"/>
        <v>11.926067041432438</v>
      </c>
      <c r="DO115" s="55">
        <f t="shared" si="126"/>
        <v>0.21353745821723255</v>
      </c>
      <c r="DP115" s="55">
        <f t="shared" si="127"/>
        <v>0.21353745821723255</v>
      </c>
      <c r="DQ115" s="37">
        <v>0.9</v>
      </c>
      <c r="DR115" s="37">
        <f t="shared" si="128"/>
        <v>1.6384489350081924E-2</v>
      </c>
      <c r="DS115" s="37">
        <f t="shared" si="129"/>
        <v>3.2768978700163848E-2</v>
      </c>
      <c r="DT115" s="37">
        <f t="shared" si="154"/>
        <v>13.032902866525092</v>
      </c>
      <c r="DU115" s="37">
        <f t="shared" si="155"/>
        <v>6.5164514332625458</v>
      </c>
      <c r="DV115" s="37">
        <f t="shared" si="156"/>
        <v>12.826067041432438</v>
      </c>
      <c r="DW115" s="37">
        <f t="shared" si="157"/>
        <v>0.2463064369173964</v>
      </c>
      <c r="DX115" t="s">
        <v>780</v>
      </c>
      <c r="DY115" t="s">
        <v>101</v>
      </c>
      <c r="DZ115" s="29">
        <f t="shared" si="84"/>
        <v>1</v>
      </c>
      <c r="EA115" s="30">
        <v>1.7000000000000001E-2</v>
      </c>
      <c r="EB115" s="30">
        <f t="shared" si="130"/>
        <v>2.741935483870968E-4</v>
      </c>
      <c r="EC115" s="30">
        <f t="shared" si="131"/>
        <v>1.370967741935484E-3</v>
      </c>
      <c r="ED115" s="31">
        <f t="shared" si="149"/>
        <v>20</v>
      </c>
      <c r="EE115" s="33">
        <f t="shared" si="148"/>
        <v>22.988505747126435</v>
      </c>
      <c r="EF115" s="37">
        <f t="shared" si="158"/>
        <v>1.6656256506350198</v>
      </c>
      <c r="EG115" s="37">
        <f>$EK98-EK115</f>
        <v>20</v>
      </c>
      <c r="EH115" s="33">
        <f>(EG115/$EK$98)*100</f>
        <v>22.988505747126435</v>
      </c>
      <c r="EI115" s="37">
        <f t="shared" ref="EI115:EI146" si="165">($EG115/96.06)*8</f>
        <v>1.6656256506350198</v>
      </c>
      <c r="EJ115" s="37">
        <f t="shared" si="164"/>
        <v>1.6656256506350198</v>
      </c>
      <c r="EK115" s="31">
        <v>67</v>
      </c>
      <c r="EL115" s="31">
        <f t="shared" si="132"/>
        <v>0.69748074120341452</v>
      </c>
      <c r="EM115" s="31">
        <f t="shared" si="133"/>
        <v>5.5798459296273162</v>
      </c>
      <c r="EN115" s="32">
        <f t="shared" si="159"/>
        <v>5.5812168973692513</v>
      </c>
      <c r="EO115" s="39">
        <f t="shared" si="163"/>
        <v>1.9119320875524162</v>
      </c>
      <c r="EP115" s="37">
        <f t="shared" si="160"/>
        <v>1.7139195954451219E-2</v>
      </c>
      <c r="EQ115" s="37">
        <f t="shared" si="161"/>
        <v>0.11168673804235128</v>
      </c>
      <c r="ER115" s="37">
        <f t="shared" si="162"/>
        <v>0.87117406600319747</v>
      </c>
      <c r="ES115" s="39">
        <f t="shared" si="135"/>
        <v>1.9119320875524162</v>
      </c>
      <c r="ET115" s="55">
        <f t="shared" si="136"/>
        <v>11.168673804235128</v>
      </c>
      <c r="EU115" s="55">
        <f t="shared" si="137"/>
        <v>1.7139195954451218</v>
      </c>
      <c r="EV115" s="55">
        <f t="shared" si="138"/>
        <v>87.117406600319754</v>
      </c>
      <c r="EW115" t="s">
        <v>84</v>
      </c>
      <c r="EX115" t="s">
        <v>492</v>
      </c>
      <c r="EY115">
        <v>-88</v>
      </c>
      <c r="EZ115" t="s">
        <v>112</v>
      </c>
      <c r="FA115">
        <v>744</v>
      </c>
      <c r="FB115" t="s">
        <v>113</v>
      </c>
      <c r="FC115" t="s">
        <v>88</v>
      </c>
      <c r="FD115" s="39">
        <f t="shared" si="139"/>
        <v>0.30842312991094811</v>
      </c>
      <c r="FE115" s="39">
        <f t="shared" si="140"/>
        <v>0.45750326792903939</v>
      </c>
      <c r="FF115" s="39">
        <f t="shared" si="141"/>
        <v>0.30842312991094811</v>
      </c>
      <c r="FG115" s="39">
        <f t="shared" si="142"/>
        <v>0.45750326792903939</v>
      </c>
    </row>
    <row r="116" spans="1:163" ht="15.75" x14ac:dyDescent="0.25">
      <c r="A116" s="7" t="s">
        <v>374</v>
      </c>
      <c r="B116" s="7" t="s">
        <v>374</v>
      </c>
      <c r="C116" s="3" t="s">
        <v>905</v>
      </c>
      <c r="D116" s="3" t="s">
        <v>905</v>
      </c>
      <c r="E116" s="3" t="s">
        <v>1287</v>
      </c>
      <c r="F116" s="3" t="s">
        <v>1027</v>
      </c>
      <c r="G116" s="3" t="s">
        <v>774</v>
      </c>
      <c r="H116" s="3" t="str">
        <f t="shared" si="87"/>
        <v>CW_3_Section_2</v>
      </c>
      <c r="I116" s="3" t="str">
        <f t="shared" si="88"/>
        <v>CW_3_MF05</v>
      </c>
      <c r="J116" s="3" t="s">
        <v>1496</v>
      </c>
      <c r="K116" s="3" t="s">
        <v>1484</v>
      </c>
      <c r="L116" s="11" t="s">
        <v>1098</v>
      </c>
      <c r="M116" s="3" t="s">
        <v>1015</v>
      </c>
      <c r="N116" s="3" t="s">
        <v>1015</v>
      </c>
      <c r="O116" s="12" t="s">
        <v>1016</v>
      </c>
      <c r="P116" s="3" t="s">
        <v>1288</v>
      </c>
      <c r="Q116" s="3" t="s">
        <v>1018</v>
      </c>
      <c r="R116" s="3" t="s">
        <v>1251</v>
      </c>
      <c r="S116" s="3" t="str">
        <f t="shared" si="89"/>
        <v>T4_0.15-0.30</v>
      </c>
      <c r="T116" s="13" t="s">
        <v>1252</v>
      </c>
      <c r="U116" s="3" t="s">
        <v>1021</v>
      </c>
      <c r="V116" s="3">
        <v>150</v>
      </c>
      <c r="W116" s="3">
        <v>65</v>
      </c>
      <c r="X116" s="17">
        <v>16.2</v>
      </c>
      <c r="Y116" s="3">
        <v>115</v>
      </c>
      <c r="Z116" t="s">
        <v>614</v>
      </c>
      <c r="AA116" t="s">
        <v>250</v>
      </c>
      <c r="AB116" s="1">
        <v>45763</v>
      </c>
      <c r="AC116">
        <v>1.4</v>
      </c>
      <c r="AD116">
        <v>1.6</v>
      </c>
      <c r="AE116">
        <v>0.89</v>
      </c>
      <c r="AF116" s="37">
        <f t="shared" si="103"/>
        <v>3.4182563052106009E-4</v>
      </c>
      <c r="AG116">
        <v>0.02</v>
      </c>
      <c r="AH116" s="37">
        <f t="shared" si="104"/>
        <v>7.8141957890167132E-6</v>
      </c>
      <c r="AI116">
        <v>1.8</v>
      </c>
      <c r="AJ116" s="37">
        <f t="shared" si="105"/>
        <v>7.120655552415937E-4</v>
      </c>
      <c r="AK116">
        <v>0.72</v>
      </c>
      <c r="AL116" s="37">
        <f t="shared" si="106"/>
        <v>2.8482622209663748E-4</v>
      </c>
      <c r="AM116">
        <v>0.52</v>
      </c>
      <c r="AN116" s="37">
        <f t="shared" si="107"/>
        <v>2.0570782706979374E-4</v>
      </c>
      <c r="AO116">
        <v>1.24</v>
      </c>
      <c r="AQ116" s="59">
        <v>4.07</v>
      </c>
      <c r="AR116" s="59">
        <f t="shared" si="108"/>
        <v>1.0617053815516705E-3</v>
      </c>
      <c r="AS116">
        <v>9.6</v>
      </c>
      <c r="AT116" s="37">
        <f t="shared" si="109"/>
        <v>3.5952250916751185E-3</v>
      </c>
      <c r="AU116" t="s">
        <v>780</v>
      </c>
      <c r="AV116" t="s">
        <v>780</v>
      </c>
      <c r="AW116" t="s">
        <v>780</v>
      </c>
      <c r="AX116" t="s">
        <v>780</v>
      </c>
      <c r="AY116" t="s">
        <v>780</v>
      </c>
      <c r="AZ116" t="s">
        <v>780</v>
      </c>
      <c r="BA116" t="s">
        <v>780</v>
      </c>
      <c r="BB116" t="s">
        <v>780</v>
      </c>
      <c r="BC116" t="s">
        <v>780</v>
      </c>
      <c r="BD116" t="s">
        <v>780</v>
      </c>
      <c r="BE116" t="s">
        <v>780</v>
      </c>
      <c r="BF116" t="s">
        <v>780</v>
      </c>
      <c r="BG116" t="s">
        <v>780</v>
      </c>
      <c r="BH116" t="s">
        <v>780</v>
      </c>
      <c r="BI116" t="s">
        <v>780</v>
      </c>
      <c r="BJ116" t="s">
        <v>780</v>
      </c>
      <c r="BK116" t="s">
        <v>780</v>
      </c>
      <c r="BL116" t="s">
        <v>780</v>
      </c>
      <c r="BM116" t="s">
        <v>780</v>
      </c>
      <c r="BN116" t="s">
        <v>780</v>
      </c>
      <c r="BO116" s="58">
        <v>1100</v>
      </c>
      <c r="BP116" s="58">
        <v>4</v>
      </c>
      <c r="BQ116" s="58">
        <v>4</v>
      </c>
      <c r="BR116" s="58">
        <v>2</v>
      </c>
      <c r="BS116" s="58">
        <v>0.4</v>
      </c>
      <c r="BT116" s="58">
        <v>1E-3</v>
      </c>
      <c r="BU116" s="58">
        <v>1E-3</v>
      </c>
      <c r="BV116" s="58">
        <v>2E-3</v>
      </c>
      <c r="BW116" s="31">
        <f t="shared" si="110"/>
        <v>0.41195287508777401</v>
      </c>
      <c r="BX116" s="31">
        <f t="shared" si="111"/>
        <v>1.4718444050200407E-3</v>
      </c>
      <c r="BY116" s="31">
        <f t="shared" si="112"/>
        <v>1.5044419946825757E-3</v>
      </c>
      <c r="BZ116" s="31">
        <f t="shared" si="113"/>
        <v>7.4599927806521475E-4</v>
      </c>
      <c r="CA116" s="31">
        <f t="shared" si="114"/>
        <v>1.4812321158054199E-4</v>
      </c>
      <c r="CB116" s="31">
        <f t="shared" si="115"/>
        <v>3.7030802895135499E-7</v>
      </c>
      <c r="CC116" s="31">
        <f t="shared" si="116"/>
        <v>3.6588380716934485E-7</v>
      </c>
      <c r="CD116" s="31">
        <f t="shared" si="117"/>
        <v>7.3176761433868969E-7</v>
      </c>
      <c r="CE116">
        <v>1E-3</v>
      </c>
      <c r="CF116">
        <v>1E-3</v>
      </c>
      <c r="CG116">
        <v>2E-3</v>
      </c>
      <c r="CH116">
        <v>1E-3</v>
      </c>
      <c r="CI116">
        <v>1E-3</v>
      </c>
      <c r="CK116">
        <v>2E-3</v>
      </c>
      <c r="CL116">
        <v>1E-3</v>
      </c>
      <c r="CM116">
        <v>1E-3</v>
      </c>
      <c r="CN116" s="58">
        <f t="shared" si="143"/>
        <v>1110.404</v>
      </c>
      <c r="CO116" s="58">
        <f t="shared" si="118"/>
        <v>10.404</v>
      </c>
      <c r="CP116" s="31">
        <f t="shared" si="119"/>
        <v>0.41582475193657287</v>
      </c>
      <c r="CQ116" s="31">
        <f t="shared" si="120"/>
        <v>3.8718768487988327E-3</v>
      </c>
      <c r="CR116">
        <v>1100</v>
      </c>
      <c r="CS116" t="s">
        <v>69</v>
      </c>
      <c r="CT116" t="s">
        <v>69</v>
      </c>
      <c r="CU116" t="s">
        <v>69</v>
      </c>
      <c r="CV116" t="s">
        <v>69</v>
      </c>
      <c r="CW116">
        <v>5</v>
      </c>
      <c r="CX116" s="2">
        <f t="shared" si="150"/>
        <v>1104.07</v>
      </c>
      <c r="CZ116">
        <v>65</v>
      </c>
      <c r="DA116" t="s">
        <v>62</v>
      </c>
      <c r="DB116" t="s">
        <v>88</v>
      </c>
      <c r="DC116" t="s">
        <v>782</v>
      </c>
      <c r="DD116" s="37">
        <f t="shared" si="151"/>
        <v>11.044763689360815</v>
      </c>
      <c r="DE116" s="37">
        <f t="shared" si="144"/>
        <v>11.044763689360815</v>
      </c>
      <c r="DF116" s="37">
        <v>0.9</v>
      </c>
      <c r="DG116" s="37">
        <f t="shared" si="152"/>
        <v>1.611459265890779E-2</v>
      </c>
      <c r="DH116" s="37">
        <f t="shared" si="121"/>
        <v>1.611459265890779E-2</v>
      </c>
      <c r="DI116" s="37">
        <f t="shared" si="153"/>
        <v>11.944763689360816</v>
      </c>
      <c r="DJ116" s="37">
        <f t="shared" si="122"/>
        <v>0.21387222362329122</v>
      </c>
      <c r="DK116" s="37">
        <f t="shared" si="123"/>
        <v>0.21387222362329122</v>
      </c>
      <c r="DL116" s="55">
        <f t="shared" si="124"/>
        <v>-39.237976264834479</v>
      </c>
      <c r="DN116" s="37">
        <f t="shared" si="125"/>
        <v>0.9</v>
      </c>
      <c r="DO116" s="55">
        <f t="shared" si="126"/>
        <v>1.611459265890779E-2</v>
      </c>
      <c r="DP116" s="55">
        <f t="shared" si="127"/>
        <v>1.611459265890779E-2</v>
      </c>
      <c r="DQ116" s="37">
        <v>6.6</v>
      </c>
      <c r="DR116" s="37">
        <f t="shared" si="128"/>
        <v>0.12015292190060076</v>
      </c>
      <c r="DS116" s="37">
        <f t="shared" si="129"/>
        <v>0.24030584380120151</v>
      </c>
      <c r="DT116" s="37">
        <f t="shared" si="154"/>
        <v>1.780000188428392</v>
      </c>
      <c r="DU116" s="37">
        <f t="shared" si="155"/>
        <v>0.89000009421419601</v>
      </c>
      <c r="DV116" s="37">
        <f t="shared" si="156"/>
        <v>18.544763689360813</v>
      </c>
      <c r="DW116" s="37">
        <f t="shared" si="157"/>
        <v>0.45417806742449274</v>
      </c>
      <c r="DX116" t="s">
        <v>780</v>
      </c>
      <c r="DY116" t="s">
        <v>615</v>
      </c>
      <c r="DZ116" s="29">
        <f t="shared" si="84"/>
        <v>1</v>
      </c>
      <c r="EA116" s="30">
        <v>1.7000000000000001E-2</v>
      </c>
      <c r="EB116" s="30">
        <f t="shared" si="130"/>
        <v>2.741935483870968E-4</v>
      </c>
      <c r="EC116" s="30">
        <f t="shared" si="131"/>
        <v>1.370967741935484E-3</v>
      </c>
      <c r="ED116" s="31">
        <f t="shared" si="149"/>
        <v>19</v>
      </c>
      <c r="EE116" s="33">
        <f t="shared" si="148"/>
        <v>21.839080459770116</v>
      </c>
      <c r="EF116" s="37">
        <f t="shared" si="158"/>
        <v>1.5823443681032687</v>
      </c>
      <c r="EG116" s="37">
        <f>$EK114-EK116</f>
        <v>-67.5</v>
      </c>
      <c r="EH116" s="33">
        <f>(EG116/$EK114)*100</f>
        <v>-13500</v>
      </c>
      <c r="EI116" s="37">
        <f t="shared" si="165"/>
        <v>-5.6214865708931914</v>
      </c>
      <c r="EJ116" s="37"/>
      <c r="EK116" s="31">
        <v>68</v>
      </c>
      <c r="EL116" s="31">
        <f t="shared" si="132"/>
        <v>0.70789090151988343</v>
      </c>
      <c r="EM116" s="31">
        <f t="shared" si="133"/>
        <v>5.6631272121590674</v>
      </c>
      <c r="EN116" s="32">
        <f t="shared" si="159"/>
        <v>5.6644981799010026</v>
      </c>
      <c r="EO116" s="39">
        <f t="shared" si="163"/>
        <v>2.0365224355277616</v>
      </c>
      <c r="EP116" s="37">
        <f t="shared" si="160"/>
        <v>0.11799813231074306</v>
      </c>
      <c r="EQ116" s="37">
        <f t="shared" si="161"/>
        <v>0.10501834887366049</v>
      </c>
      <c r="ER116" s="37">
        <f t="shared" si="162"/>
        <v>0.77698351881559635</v>
      </c>
      <c r="ES116" s="39">
        <f t="shared" si="135"/>
        <v>0.25642043646010931</v>
      </c>
      <c r="ET116" s="55">
        <f t="shared" si="136"/>
        <v>6.2844416308505489</v>
      </c>
      <c r="EU116" s="55">
        <f t="shared" si="137"/>
        <v>93.715558369149448</v>
      </c>
      <c r="EV116" s="55">
        <f t="shared" si="138"/>
        <v>0</v>
      </c>
      <c r="EW116" t="s">
        <v>616</v>
      </c>
      <c r="EX116" t="s">
        <v>586</v>
      </c>
      <c r="EY116" t="s">
        <v>617</v>
      </c>
      <c r="EZ116" t="s">
        <v>618</v>
      </c>
      <c r="FA116">
        <v>694</v>
      </c>
      <c r="FB116" t="s">
        <v>113</v>
      </c>
      <c r="FC116" t="s">
        <v>88</v>
      </c>
      <c r="FD116" s="39">
        <f t="shared" si="139"/>
        <v>-2.0318655050545349</v>
      </c>
      <c r="FE116" s="39">
        <f t="shared" si="140"/>
        <v>-2.0279936282057358</v>
      </c>
      <c r="FF116" s="39">
        <f t="shared" si="141"/>
        <v>-0.25176350598688252</v>
      </c>
      <c r="FG116" s="39">
        <f t="shared" si="142"/>
        <v>-0.24789162913808369</v>
      </c>
    </row>
    <row r="117" spans="1:163" ht="15.75" x14ac:dyDescent="0.25">
      <c r="A117" s="7" t="s">
        <v>375</v>
      </c>
      <c r="B117" s="7" t="s">
        <v>375</v>
      </c>
      <c r="C117" s="3" t="s">
        <v>906</v>
      </c>
      <c r="D117" s="3" t="s">
        <v>906</v>
      </c>
      <c r="E117" s="3" t="s">
        <v>1289</v>
      </c>
      <c r="F117" s="3" t="s">
        <v>1027</v>
      </c>
      <c r="G117" s="3" t="s">
        <v>774</v>
      </c>
      <c r="H117" s="3" t="str">
        <f t="shared" si="87"/>
        <v>CW_3_Section_2</v>
      </c>
      <c r="I117" s="3" t="str">
        <f t="shared" si="88"/>
        <v>CW_3_MF06</v>
      </c>
      <c r="J117" s="3" t="s">
        <v>1497</v>
      </c>
      <c r="K117" s="3" t="s">
        <v>1484</v>
      </c>
      <c r="L117" s="11" t="s">
        <v>1101</v>
      </c>
      <c r="M117" s="3" t="s">
        <v>1024</v>
      </c>
      <c r="N117" s="3" t="s">
        <v>1024</v>
      </c>
      <c r="O117" s="12" t="s">
        <v>1016</v>
      </c>
      <c r="P117" s="3" t="s">
        <v>1290</v>
      </c>
      <c r="Q117" s="3" t="s">
        <v>1018</v>
      </c>
      <c r="R117" s="3" t="s">
        <v>1251</v>
      </c>
      <c r="S117" s="3" t="str">
        <f t="shared" si="89"/>
        <v>T4_0.60-0.80</v>
      </c>
      <c r="T117" s="13" t="s">
        <v>1252</v>
      </c>
      <c r="U117" s="3" t="s">
        <v>1021</v>
      </c>
      <c r="V117" s="3">
        <v>150</v>
      </c>
      <c r="W117" s="3">
        <v>65</v>
      </c>
      <c r="X117" s="17">
        <v>8.75</v>
      </c>
      <c r="Y117" s="3">
        <v>116</v>
      </c>
      <c r="Z117" t="s">
        <v>619</v>
      </c>
      <c r="AA117" t="s">
        <v>255</v>
      </c>
      <c r="AB117" s="1">
        <v>45763</v>
      </c>
      <c r="AC117">
        <v>10</v>
      </c>
      <c r="AD117">
        <v>12</v>
      </c>
      <c r="AE117">
        <v>470</v>
      </c>
      <c r="AF117" s="37">
        <f t="shared" si="103"/>
        <v>0.18051465881449238</v>
      </c>
      <c r="AG117">
        <v>25</v>
      </c>
      <c r="AH117" s="37">
        <f t="shared" si="104"/>
        <v>9.7677447362708933E-3</v>
      </c>
      <c r="AI117">
        <v>410</v>
      </c>
      <c r="AJ117" s="37">
        <f t="shared" si="105"/>
        <v>0.16219270980502967</v>
      </c>
      <c r="AK117">
        <v>140</v>
      </c>
      <c r="AL117" s="37">
        <f t="shared" si="106"/>
        <v>5.5382876518790619E-2</v>
      </c>
      <c r="AM117">
        <v>140</v>
      </c>
      <c r="AN117" s="37">
        <f t="shared" si="107"/>
        <v>5.5382876518790619E-2</v>
      </c>
      <c r="AO117">
        <v>280</v>
      </c>
      <c r="AQ117" s="59">
        <v>1185</v>
      </c>
      <c r="AR117" s="59">
        <f t="shared" si="108"/>
        <v>0.35247511335579296</v>
      </c>
      <c r="AS117">
        <v>2700</v>
      </c>
      <c r="AT117" s="37">
        <f t="shared" si="109"/>
        <v>1.0111570570336272</v>
      </c>
      <c r="AU117" t="s">
        <v>780</v>
      </c>
      <c r="AV117" t="s">
        <v>780</v>
      </c>
      <c r="AW117" t="s">
        <v>780</v>
      </c>
      <c r="AX117" t="s">
        <v>780</v>
      </c>
      <c r="AY117" t="s">
        <v>780</v>
      </c>
      <c r="AZ117" t="s">
        <v>780</v>
      </c>
      <c r="BA117" t="s">
        <v>780</v>
      </c>
      <c r="BB117" t="s">
        <v>780</v>
      </c>
      <c r="BC117" t="s">
        <v>780</v>
      </c>
      <c r="BD117" t="s">
        <v>780</v>
      </c>
      <c r="BE117" t="s">
        <v>780</v>
      </c>
      <c r="BF117" t="s">
        <v>780</v>
      </c>
      <c r="BG117" t="s">
        <v>780</v>
      </c>
      <c r="BH117" t="s">
        <v>780</v>
      </c>
      <c r="BI117" t="s">
        <v>780</v>
      </c>
      <c r="BJ117" t="s">
        <v>780</v>
      </c>
      <c r="BK117" t="s">
        <v>780</v>
      </c>
      <c r="BL117" t="s">
        <v>780</v>
      </c>
      <c r="BM117" t="s">
        <v>780</v>
      </c>
      <c r="BN117" t="s">
        <v>780</v>
      </c>
      <c r="BO117" s="58">
        <v>8100</v>
      </c>
      <c r="BP117" s="58">
        <v>150</v>
      </c>
      <c r="BQ117" s="58">
        <v>550</v>
      </c>
      <c r="BR117" s="58">
        <v>180</v>
      </c>
      <c r="BS117" s="58">
        <v>120</v>
      </c>
      <c r="BT117" s="58">
        <v>16</v>
      </c>
      <c r="BU117" s="58">
        <v>5.6</v>
      </c>
      <c r="BV117" s="58">
        <v>0.8</v>
      </c>
      <c r="BW117" s="31">
        <f t="shared" si="110"/>
        <v>3.0334711711008815</v>
      </c>
      <c r="BX117" s="31">
        <f t="shared" si="111"/>
        <v>5.5194165188251522E-2</v>
      </c>
      <c r="BY117" s="31">
        <f t="shared" si="112"/>
        <v>0.20686077426885416</v>
      </c>
      <c r="BZ117" s="31">
        <f t="shared" si="113"/>
        <v>6.7139935025869332E-2</v>
      </c>
      <c r="CA117" s="31">
        <f t="shared" si="114"/>
        <v>4.4436963474162601E-2</v>
      </c>
      <c r="CB117" s="31">
        <f t="shared" si="115"/>
        <v>5.9249284632216801E-3</v>
      </c>
      <c r="CC117" s="31">
        <f t="shared" si="116"/>
        <v>2.048949320148331E-3</v>
      </c>
      <c r="CD117" s="31">
        <f t="shared" si="117"/>
        <v>2.9270704573547597E-4</v>
      </c>
      <c r="CE117">
        <v>0.4</v>
      </c>
      <c r="CF117">
        <v>0.4</v>
      </c>
      <c r="CG117">
        <v>0.8</v>
      </c>
      <c r="CH117">
        <v>0.4</v>
      </c>
      <c r="CI117">
        <v>0.4</v>
      </c>
      <c r="CK117">
        <v>0.8</v>
      </c>
      <c r="CL117">
        <v>0.4</v>
      </c>
      <c r="CM117">
        <v>0.4</v>
      </c>
      <c r="CN117" s="58">
        <f t="shared" si="143"/>
        <v>9122.4</v>
      </c>
      <c r="CO117" s="58">
        <f t="shared" si="118"/>
        <v>1022.4</v>
      </c>
      <c r="CP117" s="31">
        <f t="shared" si="119"/>
        <v>3.4153695938871254</v>
      </c>
      <c r="CQ117" s="31">
        <f t="shared" si="120"/>
        <v>0.38189842278624309</v>
      </c>
      <c r="CR117">
        <v>9100</v>
      </c>
      <c r="CS117">
        <v>4000</v>
      </c>
      <c r="CT117">
        <v>1500</v>
      </c>
      <c r="CU117" t="s">
        <v>69</v>
      </c>
      <c r="CV117" t="s">
        <v>69</v>
      </c>
      <c r="CW117">
        <v>5500</v>
      </c>
      <c r="CX117" s="2">
        <f t="shared" si="150"/>
        <v>10285</v>
      </c>
      <c r="CZ117">
        <v>70</v>
      </c>
      <c r="DA117" t="s">
        <v>62</v>
      </c>
      <c r="DB117" t="s">
        <v>88</v>
      </c>
      <c r="DC117" t="s">
        <v>782</v>
      </c>
      <c r="DD117" s="37">
        <f t="shared" si="151"/>
        <v>9.8821569852175717</v>
      </c>
      <c r="DE117" s="37">
        <f t="shared" si="144"/>
        <v>9.8821569852175717</v>
      </c>
      <c r="DF117" s="37">
        <v>0.3</v>
      </c>
      <c r="DG117" s="37">
        <f t="shared" si="152"/>
        <v>5.3715308863025958E-3</v>
      </c>
      <c r="DH117" s="37">
        <f t="shared" si="121"/>
        <v>5.3715308863025958E-3</v>
      </c>
      <c r="DI117" s="37">
        <f t="shared" si="153"/>
        <v>10.182156985217572</v>
      </c>
      <c r="DJ117" s="37">
        <f t="shared" si="122"/>
        <v>0.18231256911759305</v>
      </c>
      <c r="DK117" s="37">
        <f t="shared" si="123"/>
        <v>0.18231256911759305</v>
      </c>
      <c r="DL117" s="55">
        <f t="shared" si="124"/>
        <v>-1.7439100562148657</v>
      </c>
      <c r="DN117" s="37">
        <f t="shared" si="125"/>
        <v>0.3</v>
      </c>
      <c r="DO117" s="55">
        <f t="shared" si="126"/>
        <v>5.3715308863025958E-3</v>
      </c>
      <c r="DP117" s="55">
        <f t="shared" si="127"/>
        <v>5.3715308863025958E-3</v>
      </c>
      <c r="DQ117" s="37">
        <v>0.8</v>
      </c>
      <c r="DR117" s="37">
        <f t="shared" si="128"/>
        <v>1.4563990533406155E-2</v>
      </c>
      <c r="DS117" s="37">
        <f t="shared" si="129"/>
        <v>2.912798106681231E-2</v>
      </c>
      <c r="DT117" s="37">
        <f t="shared" si="154"/>
        <v>12.518036777036732</v>
      </c>
      <c r="DU117" s="37">
        <f t="shared" si="155"/>
        <v>6.2590183885183661</v>
      </c>
      <c r="DV117" s="37">
        <f t="shared" si="156"/>
        <v>10.982156985217573</v>
      </c>
      <c r="DW117" s="37">
        <f t="shared" si="157"/>
        <v>0.21144055018440536</v>
      </c>
      <c r="DX117" t="s">
        <v>780</v>
      </c>
      <c r="DY117" t="s">
        <v>238</v>
      </c>
      <c r="DZ117" s="29">
        <f t="shared" si="84"/>
        <v>1</v>
      </c>
      <c r="EA117" s="30">
        <v>1.7000000000000001E-2</v>
      </c>
      <c r="EB117" s="30">
        <f t="shared" si="130"/>
        <v>2.741935483870968E-4</v>
      </c>
      <c r="EC117" s="30">
        <f t="shared" si="131"/>
        <v>1.370967741935484E-3</v>
      </c>
      <c r="ED117" s="31">
        <f t="shared" si="149"/>
        <v>17</v>
      </c>
      <c r="EE117" s="33">
        <f t="shared" si="148"/>
        <v>19.540229885057471</v>
      </c>
      <c r="EF117" s="37">
        <f t="shared" si="158"/>
        <v>1.4157818030397669</v>
      </c>
      <c r="EG117" s="37">
        <f>$EK115-EK117</f>
        <v>-3</v>
      </c>
      <c r="EH117" s="33">
        <f>(EG117/$EK115)*100</f>
        <v>-4.4776119402985071</v>
      </c>
      <c r="EI117" s="37">
        <f t="shared" si="165"/>
        <v>-0.24984384759525297</v>
      </c>
      <c r="EJ117" s="37"/>
      <c r="EK117" s="31">
        <v>70</v>
      </c>
      <c r="EL117" s="31">
        <f t="shared" si="132"/>
        <v>0.72871122215282114</v>
      </c>
      <c r="EM117" s="31">
        <f t="shared" si="133"/>
        <v>5.8296897772225691</v>
      </c>
      <c r="EN117" s="32">
        <f t="shared" si="159"/>
        <v>5.8310607449645042</v>
      </c>
      <c r="EO117" s="39">
        <f t="shared" si="163"/>
        <v>1.6272223532241723</v>
      </c>
      <c r="EP117" s="37">
        <f t="shared" si="160"/>
        <v>1.7900430761105413E-2</v>
      </c>
      <c r="EQ117" s="37">
        <f t="shared" si="161"/>
        <v>0.11203912529615857</v>
      </c>
      <c r="ER117" s="37">
        <f t="shared" si="162"/>
        <v>0.87006044394273596</v>
      </c>
      <c r="ES117" s="39">
        <f t="shared" si="135"/>
        <v>3.4499511953114903E-2</v>
      </c>
      <c r="ET117" s="55">
        <f t="shared" si="136"/>
        <v>15.569874998818959</v>
      </c>
      <c r="EU117" s="55">
        <f t="shared" si="137"/>
        <v>84.43012500118104</v>
      </c>
      <c r="EV117" s="55">
        <f t="shared" si="138"/>
        <v>0</v>
      </c>
      <c r="EW117" t="s">
        <v>56</v>
      </c>
      <c r="EX117" t="s">
        <v>586</v>
      </c>
      <c r="EY117">
        <v>-61</v>
      </c>
      <c r="EZ117" t="s">
        <v>523</v>
      </c>
      <c r="FA117">
        <v>722</v>
      </c>
      <c r="FB117" t="s">
        <v>780</v>
      </c>
      <c r="FC117" t="s">
        <v>88</v>
      </c>
      <c r="FD117" s="39">
        <f t="shared" si="139"/>
        <v>-0.263590182834752</v>
      </c>
      <c r="FE117" s="39">
        <f t="shared" si="140"/>
        <v>0.11830823995149098</v>
      </c>
      <c r="FF117" s="39">
        <f t="shared" si="141"/>
        <v>1.3291326584363055</v>
      </c>
      <c r="FG117" s="39">
        <f t="shared" si="142"/>
        <v>1.7110310812225484</v>
      </c>
    </row>
    <row r="118" spans="1:163" ht="15.75" x14ac:dyDescent="0.25">
      <c r="A118" s="7" t="s">
        <v>376</v>
      </c>
      <c r="B118" s="7" t="s">
        <v>376</v>
      </c>
      <c r="C118" s="3" t="s">
        <v>907</v>
      </c>
      <c r="D118" s="3" t="s">
        <v>907</v>
      </c>
      <c r="E118" s="3" t="s">
        <v>1291</v>
      </c>
      <c r="F118" s="3" t="s">
        <v>1034</v>
      </c>
      <c r="G118" s="3" t="s">
        <v>774</v>
      </c>
      <c r="H118" s="3" t="str">
        <f t="shared" si="87"/>
        <v>CW_3_Section_3</v>
      </c>
      <c r="I118" s="3" t="str">
        <f t="shared" si="88"/>
        <v>CW_3_MF09</v>
      </c>
      <c r="J118" s="3" t="s">
        <v>1492</v>
      </c>
      <c r="K118" s="3" t="s">
        <v>1484</v>
      </c>
      <c r="L118" s="11" t="s">
        <v>1104</v>
      </c>
      <c r="M118" s="3" t="s">
        <v>1015</v>
      </c>
      <c r="N118" s="3" t="s">
        <v>1015</v>
      </c>
      <c r="O118" s="12" t="s">
        <v>1016</v>
      </c>
      <c r="P118" s="3" t="s">
        <v>1292</v>
      </c>
      <c r="Q118" s="3" t="s">
        <v>1018</v>
      </c>
      <c r="R118" s="3" t="s">
        <v>1251</v>
      </c>
      <c r="S118" s="3" t="str">
        <f t="shared" si="89"/>
        <v>T4_0.15-0.30</v>
      </c>
      <c r="T118" s="13" t="s">
        <v>1252</v>
      </c>
      <c r="U118" s="3" t="s">
        <v>1021</v>
      </c>
      <c r="V118" s="3">
        <v>150</v>
      </c>
      <c r="W118" s="3">
        <v>65</v>
      </c>
      <c r="X118" s="17">
        <v>12.3</v>
      </c>
      <c r="Y118" s="3">
        <v>117</v>
      </c>
      <c r="Z118" t="s">
        <v>620</v>
      </c>
      <c r="AA118" t="s">
        <v>261</v>
      </c>
      <c r="AB118" s="1">
        <v>45763</v>
      </c>
      <c r="AC118">
        <v>13</v>
      </c>
      <c r="AD118">
        <v>14</v>
      </c>
      <c r="AE118">
        <v>340</v>
      </c>
      <c r="AF118" s="37">
        <f t="shared" si="103"/>
        <v>0.13058507233388811</v>
      </c>
      <c r="AG118">
        <v>1.7</v>
      </c>
      <c r="AH118" s="37">
        <f t="shared" si="104"/>
        <v>6.6420664206642062E-4</v>
      </c>
      <c r="AI118">
        <v>80</v>
      </c>
      <c r="AJ118" s="37">
        <f t="shared" si="105"/>
        <v>3.1647358010737495E-2</v>
      </c>
      <c r="AK118">
        <v>31</v>
      </c>
      <c r="AL118" s="37">
        <f t="shared" si="106"/>
        <v>1.2263351229160779E-2</v>
      </c>
      <c r="AM118">
        <v>12</v>
      </c>
      <c r="AN118" s="37">
        <f t="shared" si="107"/>
        <v>4.7471037016106245E-3</v>
      </c>
      <c r="AO118">
        <v>43</v>
      </c>
      <c r="AQ118" s="59">
        <v>464.7</v>
      </c>
      <c r="AR118" s="59">
        <f t="shared" si="108"/>
        <v>0.16289663698669204</v>
      </c>
      <c r="AS118">
        <v>7.8</v>
      </c>
      <c r="AT118" s="37">
        <f t="shared" si="109"/>
        <v>2.9211203869860341E-3</v>
      </c>
      <c r="AU118" t="s">
        <v>780</v>
      </c>
      <c r="AV118" t="s">
        <v>780</v>
      </c>
      <c r="AW118" t="s">
        <v>780</v>
      </c>
      <c r="AX118" t="s">
        <v>780</v>
      </c>
      <c r="AY118" t="s">
        <v>780</v>
      </c>
      <c r="AZ118" t="s">
        <v>780</v>
      </c>
      <c r="BA118" t="s">
        <v>780</v>
      </c>
      <c r="BB118" t="s">
        <v>780</v>
      </c>
      <c r="BC118" t="s">
        <v>780</v>
      </c>
      <c r="BD118" t="s">
        <v>780</v>
      </c>
      <c r="BE118" t="s">
        <v>780</v>
      </c>
      <c r="BF118" t="s">
        <v>780</v>
      </c>
      <c r="BG118" t="s">
        <v>780</v>
      </c>
      <c r="BH118" t="s">
        <v>780</v>
      </c>
      <c r="BI118" t="s">
        <v>780</v>
      </c>
      <c r="BJ118" t="s">
        <v>780</v>
      </c>
      <c r="BK118" t="s">
        <v>780</v>
      </c>
      <c r="BL118" t="s">
        <v>780</v>
      </c>
      <c r="BM118" t="s">
        <v>780</v>
      </c>
      <c r="BN118" t="s">
        <v>780</v>
      </c>
      <c r="BO118" s="58">
        <v>5.3</v>
      </c>
      <c r="BP118" s="58">
        <v>0.01</v>
      </c>
      <c r="BQ118" s="58">
        <v>0.01</v>
      </c>
      <c r="BR118" s="58">
        <v>5.0000000000000001E-3</v>
      </c>
      <c r="BS118" s="58">
        <v>0.01</v>
      </c>
      <c r="BT118" s="58">
        <v>1E-3</v>
      </c>
      <c r="BU118" s="58">
        <v>1E-3</v>
      </c>
      <c r="BV118" s="58">
        <v>2E-3</v>
      </c>
      <c r="BW118" s="31">
        <f t="shared" si="110"/>
        <v>1.9848638526956384E-3</v>
      </c>
      <c r="BX118" s="31">
        <f t="shared" si="111"/>
        <v>3.6796110125501018E-6</v>
      </c>
      <c r="BY118" s="31">
        <f t="shared" si="112"/>
        <v>3.7611049867064394E-6</v>
      </c>
      <c r="BZ118" s="31">
        <f t="shared" si="113"/>
        <v>1.8649981951630372E-6</v>
      </c>
      <c r="CA118" s="31">
        <f t="shared" si="114"/>
        <v>3.7030802895135499E-6</v>
      </c>
      <c r="CB118" s="31">
        <f t="shared" si="115"/>
        <v>3.7030802895135499E-7</v>
      </c>
      <c r="CC118" s="31">
        <f t="shared" si="116"/>
        <v>3.6588380716934485E-7</v>
      </c>
      <c r="CD118" s="31">
        <f t="shared" si="117"/>
        <v>7.3176761433868969E-7</v>
      </c>
      <c r="CE118">
        <v>1E-3</v>
      </c>
      <c r="CF118">
        <v>1E-3</v>
      </c>
      <c r="CG118">
        <v>2E-3</v>
      </c>
      <c r="CH118">
        <v>1E-3</v>
      </c>
      <c r="CI118">
        <v>1E-3</v>
      </c>
      <c r="CK118">
        <v>2E-3</v>
      </c>
      <c r="CL118">
        <v>1E-3</v>
      </c>
      <c r="CM118">
        <v>1E-3</v>
      </c>
      <c r="CN118" s="58">
        <f t="shared" si="143"/>
        <v>5.3389999999999995</v>
      </c>
      <c r="CO118" s="58">
        <f t="shared" si="118"/>
        <v>3.9000000000000007E-2</v>
      </c>
      <c r="CP118" s="31">
        <f t="shared" si="119"/>
        <v>1.999340606630031E-3</v>
      </c>
      <c r="CQ118" s="31">
        <f t="shared" si="120"/>
        <v>1.4476753934392517E-5</v>
      </c>
      <c r="CR118">
        <v>5.3</v>
      </c>
      <c r="CS118" t="s">
        <v>69</v>
      </c>
      <c r="CT118" t="s">
        <v>69</v>
      </c>
      <c r="CU118" t="s">
        <v>69</v>
      </c>
      <c r="CV118" t="s">
        <v>69</v>
      </c>
      <c r="CW118">
        <v>5</v>
      </c>
      <c r="CX118" s="2">
        <f t="shared" si="150"/>
        <v>470</v>
      </c>
      <c r="CZ118">
        <v>66</v>
      </c>
      <c r="DA118" t="s">
        <v>62</v>
      </c>
      <c r="DB118" t="s">
        <v>88</v>
      </c>
      <c r="DC118" t="s">
        <v>782</v>
      </c>
      <c r="DD118" s="37">
        <f t="shared" si="151"/>
        <v>50.282739954195293</v>
      </c>
      <c r="DE118" s="37">
        <f t="shared" si="144"/>
        <v>50.282739954195293</v>
      </c>
      <c r="DF118" s="37">
        <v>20</v>
      </c>
      <c r="DG118" s="37">
        <f t="shared" si="152"/>
        <v>0.35810205908683973</v>
      </c>
      <c r="DH118" s="37">
        <f t="shared" si="121"/>
        <v>0.35810205908683973</v>
      </c>
      <c r="DI118" s="37">
        <f t="shared" si="153"/>
        <v>70.282739954195293</v>
      </c>
      <c r="DJ118" s="37">
        <f t="shared" si="122"/>
        <v>1.2584196947931117</v>
      </c>
      <c r="DK118" s="37">
        <f t="shared" si="123"/>
        <v>1.2584196947931117</v>
      </c>
      <c r="DL118" s="55">
        <f t="shared" si="124"/>
        <v>39.237976264834479</v>
      </c>
      <c r="DM118" s="55">
        <f t="shared" si="124"/>
        <v>39.237976264834479</v>
      </c>
      <c r="DN118" s="37">
        <f t="shared" si="125"/>
        <v>59.237976264834479</v>
      </c>
      <c r="DO118" s="55">
        <f t="shared" si="126"/>
        <v>1.0606620638287283</v>
      </c>
      <c r="DP118" s="55">
        <f t="shared" si="127"/>
        <v>1.0606620638287283</v>
      </c>
      <c r="DQ118" s="37">
        <v>4.2</v>
      </c>
      <c r="DR118" s="37">
        <f t="shared" si="128"/>
        <v>7.6460950300382302E-2</v>
      </c>
      <c r="DS118" s="37">
        <f t="shared" si="129"/>
        <v>0.1529219006007646</v>
      </c>
      <c r="DT118" s="37">
        <f t="shared" si="154"/>
        <v>16.458331865472768</v>
      </c>
      <c r="DU118" s="37">
        <f t="shared" si="155"/>
        <v>8.2291659327363842</v>
      </c>
      <c r="DV118" s="37">
        <f t="shared" si="156"/>
        <v>74.482739954195296</v>
      </c>
      <c r="DW118" s="37">
        <f t="shared" si="157"/>
        <v>1.4113415953938762</v>
      </c>
      <c r="DX118" t="s">
        <v>780</v>
      </c>
      <c r="DY118" t="s">
        <v>140</v>
      </c>
      <c r="DZ118" s="29">
        <f t="shared" si="84"/>
        <v>1</v>
      </c>
      <c r="EA118" s="30">
        <v>1.7000000000000001E-2</v>
      </c>
      <c r="EB118" s="30">
        <f t="shared" si="130"/>
        <v>2.741935483870968E-4</v>
      </c>
      <c r="EC118" s="30">
        <f t="shared" si="131"/>
        <v>1.370967741935484E-3</v>
      </c>
      <c r="ED118" s="31">
        <f t="shared" si="149"/>
        <v>86.5</v>
      </c>
      <c r="EE118" s="33">
        <f t="shared" si="148"/>
        <v>99.425287356321832</v>
      </c>
      <c r="EF118" s="37">
        <f t="shared" si="158"/>
        <v>7.2038309389964601</v>
      </c>
      <c r="EG118" s="37">
        <f>$EK116-EK118</f>
        <v>67.5</v>
      </c>
      <c r="EH118" s="33">
        <f>(EG118/$EK116)*100</f>
        <v>99.264705882352942</v>
      </c>
      <c r="EI118" s="37">
        <f t="shared" si="165"/>
        <v>5.6214865708931914</v>
      </c>
      <c r="EJ118" s="37">
        <f t="shared" ref="EJ118:EJ128" si="166">($EG118/96.06)*8</f>
        <v>5.6214865708931914</v>
      </c>
      <c r="EK118" s="31">
        <v>0.5</v>
      </c>
      <c r="EL118" s="31">
        <f t="shared" si="132"/>
        <v>5.2050801582344368E-3</v>
      </c>
      <c r="EM118" s="31">
        <f t="shared" si="133"/>
        <v>4.1640641265875494E-2</v>
      </c>
      <c r="EN118" s="32">
        <f t="shared" si="159"/>
        <v>4.301160900781098E-2</v>
      </c>
      <c r="EO118" s="39">
        <f t="shared" si="163"/>
        <v>8.6151725343903358</v>
      </c>
      <c r="EP118" s="37">
        <f t="shared" si="160"/>
        <v>1.7750300413639519E-2</v>
      </c>
      <c r="EQ118" s="37">
        <f t="shared" si="161"/>
        <v>0.14607016745975887</v>
      </c>
      <c r="ER118" s="37">
        <f t="shared" si="162"/>
        <v>0.83617953212660168</v>
      </c>
      <c r="ES118" s="39">
        <f t="shared" si="135"/>
        <v>6.8350705353226839</v>
      </c>
      <c r="ET118" s="55">
        <f t="shared" si="136"/>
        <v>15.517938817856756</v>
      </c>
      <c r="EU118" s="55">
        <f t="shared" si="137"/>
        <v>2.2373126921000406</v>
      </c>
      <c r="EV118" s="55">
        <f t="shared" si="138"/>
        <v>82.244748490043207</v>
      </c>
      <c r="EW118" t="s">
        <v>621</v>
      </c>
      <c r="EX118">
        <v>14</v>
      </c>
      <c r="EY118">
        <v>-30</v>
      </c>
      <c r="EZ118" t="s">
        <v>234</v>
      </c>
      <c r="FA118">
        <v>705</v>
      </c>
      <c r="FB118" t="s">
        <v>72</v>
      </c>
      <c r="FC118" t="s">
        <v>88</v>
      </c>
      <c r="FD118" s="39">
        <f t="shared" si="139"/>
        <v>-8.4493547770166586</v>
      </c>
      <c r="FE118" s="39">
        <f t="shared" si="140"/>
        <v>-8.4493403002627225</v>
      </c>
      <c r="FF118" s="39">
        <f t="shared" si="141"/>
        <v>-6.6692527779490058</v>
      </c>
      <c r="FG118" s="39">
        <f t="shared" si="142"/>
        <v>-6.6692383011950715</v>
      </c>
    </row>
    <row r="119" spans="1:163" ht="16.5" customHeight="1" x14ac:dyDescent="0.25">
      <c r="A119" s="7" t="s">
        <v>377</v>
      </c>
      <c r="B119" s="7" t="s">
        <v>377</v>
      </c>
      <c r="C119" s="3" t="s">
        <v>908</v>
      </c>
      <c r="D119" s="3" t="s">
        <v>908</v>
      </c>
      <c r="E119" s="3" t="s">
        <v>1293</v>
      </c>
      <c r="F119" s="3" t="s">
        <v>1034</v>
      </c>
      <c r="G119" s="3" t="s">
        <v>774</v>
      </c>
      <c r="H119" s="3" t="str">
        <f t="shared" si="87"/>
        <v>CW_3_Section_3</v>
      </c>
      <c r="I119" s="3" t="str">
        <f t="shared" si="88"/>
        <v>CW_3_MF10</v>
      </c>
      <c r="J119" s="3" t="s">
        <v>1493</v>
      </c>
      <c r="K119" s="3" t="s">
        <v>1484</v>
      </c>
      <c r="L119" s="11" t="s">
        <v>1107</v>
      </c>
      <c r="M119" s="3" t="s">
        <v>1024</v>
      </c>
      <c r="N119" s="3" t="s">
        <v>1024</v>
      </c>
      <c r="O119" s="12" t="s">
        <v>1016</v>
      </c>
      <c r="P119" s="3" t="s">
        <v>1294</v>
      </c>
      <c r="Q119" s="3" t="s">
        <v>1018</v>
      </c>
      <c r="R119" s="3" t="s">
        <v>1251</v>
      </c>
      <c r="S119" s="3" t="str">
        <f t="shared" si="89"/>
        <v>T4_0.60-0.80</v>
      </c>
      <c r="T119" s="13" t="s">
        <v>1252</v>
      </c>
      <c r="U119" s="3" t="s">
        <v>1021</v>
      </c>
      <c r="V119" s="3">
        <v>150</v>
      </c>
      <c r="W119" s="3">
        <v>65</v>
      </c>
      <c r="X119" s="17">
        <v>5.5</v>
      </c>
      <c r="Y119" s="3">
        <v>118</v>
      </c>
      <c r="Z119" t="s">
        <v>622</v>
      </c>
      <c r="AA119" t="s">
        <v>264</v>
      </c>
      <c r="AB119" s="1">
        <v>45763</v>
      </c>
      <c r="AC119">
        <v>12</v>
      </c>
      <c r="AD119">
        <v>12</v>
      </c>
      <c r="AE119">
        <v>680</v>
      </c>
      <c r="AF119" s="37">
        <f t="shared" si="103"/>
        <v>0.26117014466777622</v>
      </c>
      <c r="AG119">
        <v>1</v>
      </c>
      <c r="AH119" s="37">
        <f t="shared" si="104"/>
        <v>3.9070978945083569E-4</v>
      </c>
      <c r="AI119">
        <v>530</v>
      </c>
      <c r="AJ119" s="37">
        <f t="shared" si="105"/>
        <v>0.20966374682113592</v>
      </c>
      <c r="AK119">
        <v>130</v>
      </c>
      <c r="AL119" s="37">
        <f t="shared" si="106"/>
        <v>5.1426956767448434E-2</v>
      </c>
      <c r="AM119">
        <v>93</v>
      </c>
      <c r="AN119" s="37">
        <f t="shared" si="107"/>
        <v>3.6790053687482338E-2</v>
      </c>
      <c r="AO119">
        <v>223</v>
      </c>
      <c r="AQ119" s="59">
        <v>1440</v>
      </c>
      <c r="AR119" s="59">
        <f t="shared" si="108"/>
        <v>0.47122460127836296</v>
      </c>
      <c r="AS119">
        <v>2800</v>
      </c>
      <c r="AT119" s="37">
        <f t="shared" si="109"/>
        <v>1.0486073184052431</v>
      </c>
      <c r="AU119" t="s">
        <v>780</v>
      </c>
      <c r="AV119" t="s">
        <v>780</v>
      </c>
      <c r="AW119" t="s">
        <v>780</v>
      </c>
      <c r="AX119" t="s">
        <v>780</v>
      </c>
      <c r="AY119" t="s">
        <v>780</v>
      </c>
      <c r="AZ119" t="s">
        <v>780</v>
      </c>
      <c r="BA119" t="s">
        <v>780</v>
      </c>
      <c r="BB119" t="s">
        <v>780</v>
      </c>
      <c r="BC119" t="s">
        <v>780</v>
      </c>
      <c r="BD119" t="s">
        <v>780</v>
      </c>
      <c r="BE119" t="s">
        <v>780</v>
      </c>
      <c r="BF119" t="s">
        <v>780</v>
      </c>
      <c r="BG119" t="s">
        <v>780</v>
      </c>
      <c r="BH119" t="s">
        <v>780</v>
      </c>
      <c r="BI119" t="s">
        <v>780</v>
      </c>
      <c r="BJ119" t="s">
        <v>780</v>
      </c>
      <c r="BK119" t="s">
        <v>780</v>
      </c>
      <c r="BL119" t="s">
        <v>780</v>
      </c>
      <c r="BM119" t="s">
        <v>780</v>
      </c>
      <c r="BN119" t="s">
        <v>780</v>
      </c>
      <c r="BO119" s="58">
        <v>3500</v>
      </c>
      <c r="BP119" s="58">
        <v>4</v>
      </c>
      <c r="BQ119" s="58">
        <v>280</v>
      </c>
      <c r="BR119" s="58">
        <v>60</v>
      </c>
      <c r="BS119" s="58">
        <v>27</v>
      </c>
      <c r="BT119" s="58">
        <v>0.4</v>
      </c>
      <c r="BU119" s="58">
        <v>0.4</v>
      </c>
      <c r="BV119" s="58">
        <v>0.8</v>
      </c>
      <c r="BW119" s="31">
        <f t="shared" si="110"/>
        <v>1.3107591480065537</v>
      </c>
      <c r="BX119" s="31">
        <f t="shared" si="111"/>
        <v>1.4718444050200407E-3</v>
      </c>
      <c r="BY119" s="31">
        <f t="shared" si="112"/>
        <v>0.10531093962778031</v>
      </c>
      <c r="BZ119" s="31">
        <f t="shared" si="113"/>
        <v>2.2379978341956444E-2</v>
      </c>
      <c r="CA119" s="31">
        <f t="shared" si="114"/>
        <v>9.9983167816865854E-3</v>
      </c>
      <c r="CB119" s="31">
        <f t="shared" si="115"/>
        <v>1.4812321158054199E-4</v>
      </c>
      <c r="CC119" s="31">
        <f t="shared" si="116"/>
        <v>1.4635352286773798E-4</v>
      </c>
      <c r="CD119" s="31">
        <f t="shared" si="117"/>
        <v>2.9270704573547597E-4</v>
      </c>
      <c r="CE119">
        <v>1E-3</v>
      </c>
      <c r="CF119">
        <v>1E-3</v>
      </c>
      <c r="CG119">
        <v>2E-3</v>
      </c>
      <c r="CH119">
        <v>1E-3</v>
      </c>
      <c r="CI119">
        <v>1E-3</v>
      </c>
      <c r="CK119">
        <v>2E-3</v>
      </c>
      <c r="CL119">
        <v>1E-3</v>
      </c>
      <c r="CM119">
        <v>1E-3</v>
      </c>
      <c r="CN119" s="58">
        <f t="shared" si="143"/>
        <v>3872.6000000000004</v>
      </c>
      <c r="CO119" s="58">
        <f t="shared" si="118"/>
        <v>372.59999999999997</v>
      </c>
      <c r="CP119" s="31">
        <f t="shared" si="119"/>
        <v>1.450507410943181</v>
      </c>
      <c r="CQ119" s="31">
        <f t="shared" si="120"/>
        <v>0.13974826293662712</v>
      </c>
      <c r="CR119">
        <v>3900</v>
      </c>
      <c r="CS119">
        <v>4100</v>
      </c>
      <c r="CT119">
        <v>1400</v>
      </c>
      <c r="CU119" t="s">
        <v>69</v>
      </c>
      <c r="CV119" t="s">
        <v>69</v>
      </c>
      <c r="CW119">
        <v>5500</v>
      </c>
      <c r="CX119" s="2">
        <f t="shared" si="150"/>
        <v>5340</v>
      </c>
      <c r="CZ119">
        <v>69</v>
      </c>
      <c r="DA119" t="s">
        <v>62</v>
      </c>
      <c r="DB119" t="s">
        <v>88</v>
      </c>
      <c r="DC119" t="s">
        <v>782</v>
      </c>
      <c r="DD119" s="37">
        <f t="shared" si="151"/>
        <v>17.439100562148656</v>
      </c>
      <c r="DE119" s="37">
        <f t="shared" si="144"/>
        <v>17.439100562148656</v>
      </c>
      <c r="DF119" s="37">
        <v>0.4</v>
      </c>
      <c r="DG119" s="37">
        <f t="shared" si="152"/>
        <v>7.162041181736795E-3</v>
      </c>
      <c r="DH119" s="37">
        <f t="shared" si="121"/>
        <v>7.162041181736795E-3</v>
      </c>
      <c r="DI119" s="37">
        <f t="shared" si="153"/>
        <v>17.839100562148655</v>
      </c>
      <c r="DJ119" s="37">
        <f t="shared" si="122"/>
        <v>0.31941093217813166</v>
      </c>
      <c r="DK119" s="37">
        <f t="shared" si="123"/>
        <v>0.31941093217813166</v>
      </c>
      <c r="DL119" s="55">
        <f t="shared" si="124"/>
        <v>7.5569435769310846</v>
      </c>
      <c r="DM119" s="55">
        <f t="shared" si="124"/>
        <v>7.5569435769310846</v>
      </c>
      <c r="DN119" s="37">
        <f t="shared" si="125"/>
        <v>7.956943576931085</v>
      </c>
      <c r="DO119" s="55">
        <f t="shared" si="126"/>
        <v>0.14246989394684126</v>
      </c>
      <c r="DP119" s="55">
        <f t="shared" si="127"/>
        <v>0.14246989394684126</v>
      </c>
      <c r="DQ119" s="37">
        <v>1.1000000000000001</v>
      </c>
      <c r="DR119" s="37">
        <f t="shared" si="128"/>
        <v>2.0025486983433462E-2</v>
      </c>
      <c r="DS119" s="37">
        <f t="shared" si="129"/>
        <v>4.0050973966866923E-2</v>
      </c>
      <c r="DT119" s="37">
        <f t="shared" si="154"/>
        <v>15.950220458677064</v>
      </c>
      <c r="DU119" s="37">
        <f t="shared" si="155"/>
        <v>7.9751102293385321</v>
      </c>
      <c r="DV119" s="37">
        <f t="shared" si="156"/>
        <v>18.939100562148656</v>
      </c>
      <c r="DW119" s="37">
        <f t="shared" si="157"/>
        <v>0.35946190614499857</v>
      </c>
      <c r="DX119" t="s">
        <v>780</v>
      </c>
      <c r="DY119" t="s">
        <v>66</v>
      </c>
      <c r="DZ119" s="29">
        <f t="shared" ref="DZ119:DZ182" si="167">EA119/$EA$54</f>
        <v>1</v>
      </c>
      <c r="EA119" s="30">
        <v>1.7000000000000001E-2</v>
      </c>
      <c r="EB119" s="30">
        <f t="shared" si="130"/>
        <v>2.741935483870968E-4</v>
      </c>
      <c r="EC119" s="30">
        <f t="shared" si="131"/>
        <v>1.370967741935484E-3</v>
      </c>
      <c r="ED119" s="31">
        <f t="shared" si="149"/>
        <v>30</v>
      </c>
      <c r="EE119" s="33">
        <f t="shared" si="148"/>
        <v>34.482758620689658</v>
      </c>
      <c r="EF119" s="37">
        <f t="shared" si="158"/>
        <v>2.4984384759525295</v>
      </c>
      <c r="EG119" s="29">
        <f>$EK117-EK119</f>
        <v>13</v>
      </c>
      <c r="EH119" s="33">
        <f>(EG119/$EK117)*100</f>
        <v>18.571428571428573</v>
      </c>
      <c r="EI119" s="37">
        <f t="shared" si="165"/>
        <v>1.0826566729127629</v>
      </c>
      <c r="EJ119" s="37">
        <f t="shared" si="166"/>
        <v>1.0826566729127629</v>
      </c>
      <c r="EK119" s="31">
        <v>57</v>
      </c>
      <c r="EL119" s="31">
        <f t="shared" si="132"/>
        <v>0.59337913803872577</v>
      </c>
      <c r="EM119" s="31">
        <f t="shared" si="133"/>
        <v>4.7470331043098062</v>
      </c>
      <c r="EN119" s="32">
        <f t="shared" si="159"/>
        <v>4.7484040720517413</v>
      </c>
      <c r="EO119" s="39">
        <f t="shared" si="163"/>
        <v>2.8579003820975282</v>
      </c>
      <c r="EP119" s="37">
        <f t="shared" si="160"/>
        <v>1.4014125271039679E-2</v>
      </c>
      <c r="EQ119" s="37">
        <f t="shared" si="161"/>
        <v>0.11176419380430018</v>
      </c>
      <c r="ER119" s="37">
        <f t="shared" si="162"/>
        <v>0.87422168092466013</v>
      </c>
      <c r="ES119" s="39">
        <f t="shared" si="135"/>
        <v>1.2651775408264712</v>
      </c>
      <c r="ET119" s="55">
        <f t="shared" si="136"/>
        <v>11.260861764410826</v>
      </c>
      <c r="EU119" s="55">
        <f t="shared" si="137"/>
        <v>3.1656406057211401</v>
      </c>
      <c r="EV119" s="55">
        <f t="shared" si="138"/>
        <v>85.573497629868029</v>
      </c>
      <c r="EW119" t="s">
        <v>53</v>
      </c>
      <c r="EX119">
        <v>14</v>
      </c>
      <c r="EY119">
        <v>-47</v>
      </c>
      <c r="EZ119" t="s">
        <v>217</v>
      </c>
      <c r="FA119">
        <v>772</v>
      </c>
      <c r="FB119" t="s">
        <v>113</v>
      </c>
      <c r="FC119" t="s">
        <v>88</v>
      </c>
      <c r="FD119" s="39">
        <f t="shared" si="139"/>
        <v>-1.3380684624139221</v>
      </c>
      <c r="FE119" s="39">
        <f t="shared" si="140"/>
        <v>-1.198320199477295</v>
      </c>
      <c r="FF119" s="39">
        <f t="shared" si="141"/>
        <v>0.25465437885713493</v>
      </c>
      <c r="FG119" s="39">
        <f t="shared" si="142"/>
        <v>0.39440264179376205</v>
      </c>
    </row>
    <row r="120" spans="1:163" s="37" customFormat="1" ht="15.75" x14ac:dyDescent="0.25">
      <c r="A120" s="34" t="s">
        <v>378</v>
      </c>
      <c r="B120" s="34" t="s">
        <v>378</v>
      </c>
      <c r="C120" s="34" t="s">
        <v>909</v>
      </c>
      <c r="D120" s="34" t="s">
        <v>909</v>
      </c>
      <c r="E120" s="34" t="s">
        <v>1295</v>
      </c>
      <c r="F120" s="34" t="s">
        <v>1048</v>
      </c>
      <c r="G120" s="34" t="s">
        <v>1049</v>
      </c>
      <c r="H120" s="34" t="str">
        <f t="shared" si="87"/>
        <v>CW_0_Section_0</v>
      </c>
      <c r="I120" s="34" t="str">
        <f t="shared" si="88"/>
        <v>CW_0_INF</v>
      </c>
      <c r="J120" s="34" t="s">
        <v>1481</v>
      </c>
      <c r="K120" s="34" t="s">
        <v>1481</v>
      </c>
      <c r="L120" s="34" t="s">
        <v>780</v>
      </c>
      <c r="M120" s="34" t="s">
        <v>780</v>
      </c>
      <c r="N120" s="34" t="s">
        <v>1481</v>
      </c>
      <c r="O120" s="35" t="s">
        <v>1016</v>
      </c>
      <c r="P120" s="34" t="s">
        <v>1296</v>
      </c>
      <c r="Q120" s="34" t="s">
        <v>1018</v>
      </c>
      <c r="R120" s="34" t="s">
        <v>1297</v>
      </c>
      <c r="S120" s="34" t="str">
        <f t="shared" si="89"/>
        <v>T5_INF</v>
      </c>
      <c r="T120" s="36" t="s">
        <v>1298</v>
      </c>
      <c r="U120" s="34" t="s">
        <v>1053</v>
      </c>
      <c r="V120" s="34">
        <v>150</v>
      </c>
      <c r="W120" s="34">
        <v>65</v>
      </c>
      <c r="X120" s="34">
        <v>5</v>
      </c>
      <c r="Y120" s="34">
        <v>119</v>
      </c>
      <c r="Z120" s="37" t="s">
        <v>623</v>
      </c>
      <c r="AA120" s="37" t="s">
        <v>130</v>
      </c>
      <c r="AB120" s="38">
        <v>45825</v>
      </c>
      <c r="AC120" s="37">
        <v>18</v>
      </c>
      <c r="AD120" s="37">
        <v>88</v>
      </c>
      <c r="AE120" s="37">
        <v>650</v>
      </c>
      <c r="AF120" s="37">
        <f t="shared" si="103"/>
        <v>0.24964793240302136</v>
      </c>
      <c r="AG120" s="37">
        <v>180</v>
      </c>
      <c r="AH120" s="37">
        <f t="shared" si="104"/>
        <v>7.0327762101150423E-2</v>
      </c>
      <c r="AI120" s="37">
        <v>800</v>
      </c>
      <c r="AJ120" s="37">
        <f t="shared" si="105"/>
        <v>0.31647358010737497</v>
      </c>
      <c r="AK120" s="37">
        <v>270</v>
      </c>
      <c r="AL120" s="37">
        <f t="shared" si="106"/>
        <v>0.10680983328623904</v>
      </c>
      <c r="AM120" s="37">
        <v>450</v>
      </c>
      <c r="AN120" s="37">
        <f t="shared" si="107"/>
        <v>0.17801638881039844</v>
      </c>
      <c r="AO120" s="37">
        <v>720</v>
      </c>
      <c r="AQ120" s="59">
        <v>2350</v>
      </c>
      <c r="AR120" s="59">
        <f t="shared" si="108"/>
        <v>0.63644927461154677</v>
      </c>
      <c r="AS120" s="37">
        <v>5700</v>
      </c>
      <c r="AT120" s="37">
        <f t="shared" si="109"/>
        <v>2.1346648981821019</v>
      </c>
      <c r="AU120" s="37" t="s">
        <v>780</v>
      </c>
      <c r="AV120" s="37" t="s">
        <v>780</v>
      </c>
      <c r="AW120" s="37" t="s">
        <v>780</v>
      </c>
      <c r="AX120" s="37" t="s">
        <v>780</v>
      </c>
      <c r="AY120" s="37" t="s">
        <v>780</v>
      </c>
      <c r="AZ120" s="37" t="s">
        <v>780</v>
      </c>
      <c r="BA120" s="37" t="s">
        <v>780</v>
      </c>
      <c r="BB120" s="37" t="s">
        <v>780</v>
      </c>
      <c r="BC120" s="37" t="s">
        <v>780</v>
      </c>
      <c r="BD120" s="37" t="s">
        <v>780</v>
      </c>
      <c r="BE120" s="37" t="s">
        <v>780</v>
      </c>
      <c r="BF120" s="37" t="s">
        <v>780</v>
      </c>
      <c r="BG120" s="37" t="s">
        <v>780</v>
      </c>
      <c r="BH120" s="37" t="s">
        <v>780</v>
      </c>
      <c r="BI120" s="37" t="s">
        <v>780</v>
      </c>
      <c r="BJ120" s="37" t="s">
        <v>780</v>
      </c>
      <c r="BK120" s="37" t="s">
        <v>780</v>
      </c>
      <c r="BL120" s="37" t="s">
        <v>780</v>
      </c>
      <c r="BM120" s="37" t="s">
        <v>780</v>
      </c>
      <c r="BN120" s="37" t="s">
        <v>780</v>
      </c>
      <c r="BO120" s="58">
        <v>7600</v>
      </c>
      <c r="BP120" s="58">
        <v>1500</v>
      </c>
      <c r="BQ120" s="58">
        <v>1700</v>
      </c>
      <c r="BR120" s="58">
        <v>1800</v>
      </c>
      <c r="BS120" s="58">
        <v>4000</v>
      </c>
      <c r="BT120" s="58">
        <v>1200</v>
      </c>
      <c r="BU120" s="58">
        <v>1300</v>
      </c>
      <c r="BV120" s="58">
        <v>1700</v>
      </c>
      <c r="BW120" s="31">
        <f t="shared" si="110"/>
        <v>2.8462198642428027</v>
      </c>
      <c r="BX120" s="31">
        <f t="shared" si="111"/>
        <v>0.55194165188251532</v>
      </c>
      <c r="BY120" s="31">
        <f t="shared" si="112"/>
        <v>0.63938784774009472</v>
      </c>
      <c r="BZ120" s="31">
        <f t="shared" si="113"/>
        <v>0.67139935025869324</v>
      </c>
      <c r="CA120" s="31">
        <f t="shared" si="114"/>
        <v>1.4812321158054198</v>
      </c>
      <c r="CB120" s="31">
        <f t="shared" si="115"/>
        <v>0.444369634741626</v>
      </c>
      <c r="CC120" s="31">
        <f t="shared" si="116"/>
        <v>0.47564894932014834</v>
      </c>
      <c r="CD120" s="31">
        <f t="shared" si="117"/>
        <v>0.62200247218788629</v>
      </c>
      <c r="CE120" s="37">
        <v>660</v>
      </c>
      <c r="CF120" s="37">
        <v>540</v>
      </c>
      <c r="CG120" s="37">
        <v>400</v>
      </c>
      <c r="CH120" s="37">
        <v>160</v>
      </c>
      <c r="CI120" s="37">
        <v>560</v>
      </c>
      <c r="CK120" s="37">
        <v>39</v>
      </c>
      <c r="CL120" s="37">
        <v>170</v>
      </c>
      <c r="CM120" s="37">
        <v>220</v>
      </c>
      <c r="CN120" s="58">
        <f t="shared" si="143"/>
        <v>20800</v>
      </c>
      <c r="CO120" s="58">
        <f t="shared" si="118"/>
        <v>13200</v>
      </c>
      <c r="CP120" s="31">
        <f t="shared" si="119"/>
        <v>7.7322018861791868</v>
      </c>
      <c r="CQ120" s="31">
        <f t="shared" si="120"/>
        <v>4.8859820219363836</v>
      </c>
      <c r="CR120" s="37">
        <v>24000</v>
      </c>
      <c r="CS120" s="37">
        <v>9100</v>
      </c>
      <c r="CT120" s="37">
        <v>5600</v>
      </c>
      <c r="CU120" s="37">
        <v>75</v>
      </c>
      <c r="CV120" s="37" t="s">
        <v>69</v>
      </c>
      <c r="CW120" s="37">
        <v>15000</v>
      </c>
      <c r="CX120" s="40">
        <f t="shared" si="150"/>
        <v>26350</v>
      </c>
      <c r="CZ120" s="37">
        <v>68</v>
      </c>
      <c r="DA120" s="37" t="s">
        <v>62</v>
      </c>
      <c r="DB120" s="37" t="s">
        <v>88</v>
      </c>
      <c r="DC120" s="37" t="s">
        <v>782</v>
      </c>
      <c r="DD120" s="37">
        <f t="shared" si="151"/>
        <v>0</v>
      </c>
      <c r="DE120" s="37">
        <f t="shared" si="144"/>
        <v>0</v>
      </c>
      <c r="DF120" s="37">
        <v>20</v>
      </c>
      <c r="DG120" s="37">
        <f t="shared" si="152"/>
        <v>0.35810205908683973</v>
      </c>
      <c r="DH120" s="37">
        <f t="shared" si="121"/>
        <v>0.35810205908683973</v>
      </c>
      <c r="DI120" s="37">
        <f t="shared" si="153"/>
        <v>20</v>
      </c>
      <c r="DJ120" s="37">
        <f t="shared" si="122"/>
        <v>0.35810205908683973</v>
      </c>
      <c r="DK120" s="37">
        <f t="shared" si="123"/>
        <v>0.35810205908683973</v>
      </c>
      <c r="DL120" s="55">
        <f t="shared" si="124"/>
        <v>0</v>
      </c>
      <c r="DM120" s="55">
        <f t="shared" si="124"/>
        <v>0</v>
      </c>
      <c r="DN120" s="37">
        <f t="shared" si="125"/>
        <v>20</v>
      </c>
      <c r="DO120" s="55">
        <f t="shared" si="126"/>
        <v>0.35810205908683973</v>
      </c>
      <c r="DP120" s="55">
        <f t="shared" si="127"/>
        <v>0.35810205908683973</v>
      </c>
      <c r="DQ120" s="37">
        <v>1.7</v>
      </c>
      <c r="DR120" s="37">
        <f t="shared" si="128"/>
        <v>3.0948479883488075E-2</v>
      </c>
      <c r="DS120" s="37">
        <f t="shared" si="129"/>
        <v>6.1896959766976151E-2</v>
      </c>
      <c r="DT120" s="37">
        <f t="shared" si="154"/>
        <v>11.570909473905946</v>
      </c>
      <c r="DU120" s="37">
        <f t="shared" si="155"/>
        <v>5.785454736952973</v>
      </c>
      <c r="DV120" s="37">
        <f t="shared" si="156"/>
        <v>21.7</v>
      </c>
      <c r="DW120" s="37">
        <f t="shared" si="157"/>
        <v>0.41999901885381585</v>
      </c>
      <c r="DX120" s="37" t="s">
        <v>780</v>
      </c>
      <c r="DY120" s="37" t="s">
        <v>132</v>
      </c>
      <c r="DZ120" s="37">
        <f>EA120/$EA$120</f>
        <v>1</v>
      </c>
      <c r="EA120" s="37">
        <v>1.7000000000000001E-2</v>
      </c>
      <c r="EB120" s="37">
        <f t="shared" si="130"/>
        <v>2.741935483870968E-4</v>
      </c>
      <c r="EC120" s="37">
        <f t="shared" si="131"/>
        <v>1.370967741935484E-3</v>
      </c>
      <c r="ED120" s="37">
        <f t="shared" ref="ED120:ED141" si="168">$EK$120-EK120</f>
        <v>0</v>
      </c>
      <c r="EE120" s="39">
        <f t="shared" ref="EE120:EE141" si="169">(ED120/$EK$120)*100</f>
        <v>0</v>
      </c>
      <c r="EF120" s="37">
        <f t="shared" si="158"/>
        <v>0</v>
      </c>
      <c r="EG120" s="37">
        <f>$EK120-EK120</f>
        <v>0</v>
      </c>
      <c r="EH120" s="33">
        <f>(EG120/$EK120)*100</f>
        <v>0</v>
      </c>
      <c r="EI120" s="37">
        <f t="shared" si="165"/>
        <v>0</v>
      </c>
      <c r="EJ120" s="37">
        <f t="shared" si="166"/>
        <v>0</v>
      </c>
      <c r="EK120" s="37">
        <v>79</v>
      </c>
      <c r="EL120" s="37">
        <f t="shared" si="132"/>
        <v>0.82240266500104098</v>
      </c>
      <c r="EM120" s="37">
        <f t="shared" si="133"/>
        <v>6.5792213200083278</v>
      </c>
      <c r="EN120" s="37">
        <f t="shared" si="159"/>
        <v>6.5805922877502629</v>
      </c>
      <c r="EO120" s="39">
        <f t="shared" si="163"/>
        <v>0.41999901885381585</v>
      </c>
      <c r="EP120" s="37">
        <f t="shared" si="160"/>
        <v>0.14737405800588288</v>
      </c>
      <c r="EQ120" s="37">
        <f t="shared" si="161"/>
        <v>0.85262594199411723</v>
      </c>
      <c r="ER120" s="37">
        <f t="shared" si="162"/>
        <v>0</v>
      </c>
      <c r="ES120" s="39">
        <f t="shared" si="135"/>
        <v>0.41999901885381585</v>
      </c>
      <c r="ET120" s="55">
        <f t="shared" si="136"/>
        <v>85.262594199411723</v>
      </c>
      <c r="EU120" s="55">
        <f t="shared" si="137"/>
        <v>14.737405800588288</v>
      </c>
      <c r="EV120" s="55">
        <f t="shared" si="138"/>
        <v>0</v>
      </c>
      <c r="EW120" s="37" t="s">
        <v>780</v>
      </c>
      <c r="EX120" s="37" t="s">
        <v>780</v>
      </c>
      <c r="EY120" s="37" t="s">
        <v>780</v>
      </c>
      <c r="EZ120" s="37" t="s">
        <v>780</v>
      </c>
      <c r="FA120" s="37" t="s">
        <v>780</v>
      </c>
      <c r="FB120" s="37" t="s">
        <v>780</v>
      </c>
      <c r="FC120" s="37" t="s">
        <v>88</v>
      </c>
      <c r="FD120" s="39">
        <f t="shared" si="139"/>
        <v>2.3511151539398325</v>
      </c>
      <c r="FE120" s="39">
        <f t="shared" si="140"/>
        <v>7.2370971758762161</v>
      </c>
      <c r="FF120" s="39">
        <f t="shared" si="141"/>
        <v>2.3511151539398325</v>
      </c>
      <c r="FG120" s="39">
        <f t="shared" si="142"/>
        <v>7.2370971758762161</v>
      </c>
    </row>
    <row r="121" spans="1:163" ht="15.75" x14ac:dyDescent="0.25">
      <c r="A121" s="8" t="s">
        <v>379</v>
      </c>
      <c r="B121" s="8" t="s">
        <v>379</v>
      </c>
      <c r="C121" s="3" t="s">
        <v>910</v>
      </c>
      <c r="D121" s="3" t="s">
        <v>910</v>
      </c>
      <c r="E121" s="3" t="s">
        <v>1299</v>
      </c>
      <c r="F121" s="3" t="s">
        <v>1055</v>
      </c>
      <c r="G121" s="3" t="s">
        <v>772</v>
      </c>
      <c r="H121" s="3" t="str">
        <f t="shared" si="87"/>
        <v>CW_1_Section_5</v>
      </c>
      <c r="I121" s="3" t="str">
        <f t="shared" si="88"/>
        <v>CW_1_EFF</v>
      </c>
      <c r="J121" s="3" t="s">
        <v>1482</v>
      </c>
      <c r="K121" s="3" t="s">
        <v>1482</v>
      </c>
      <c r="L121" s="3" t="s">
        <v>780</v>
      </c>
      <c r="M121" s="3" t="s">
        <v>780</v>
      </c>
      <c r="N121" s="3" t="s">
        <v>1482</v>
      </c>
      <c r="O121" s="12" t="s">
        <v>1016</v>
      </c>
      <c r="P121" s="3" t="s">
        <v>1300</v>
      </c>
      <c r="Q121" s="3" t="s">
        <v>1018</v>
      </c>
      <c r="R121" s="3" t="s">
        <v>1297</v>
      </c>
      <c r="S121" s="3" t="str">
        <f t="shared" si="89"/>
        <v>T5_EFF</v>
      </c>
      <c r="T121" s="13" t="s">
        <v>1298</v>
      </c>
      <c r="U121" s="3" t="s">
        <v>1053</v>
      </c>
      <c r="V121" s="3">
        <v>150</v>
      </c>
      <c r="W121" s="3">
        <v>65</v>
      </c>
      <c r="X121" s="3">
        <v>5.65</v>
      </c>
      <c r="Y121" s="3">
        <v>120</v>
      </c>
      <c r="Z121" t="s">
        <v>639</v>
      </c>
      <c r="AA121" t="s">
        <v>47</v>
      </c>
      <c r="AB121" s="1">
        <v>45826</v>
      </c>
      <c r="AC121">
        <v>11</v>
      </c>
      <c r="AD121">
        <v>11</v>
      </c>
      <c r="AE121">
        <v>45</v>
      </c>
      <c r="AF121" s="37">
        <f t="shared" si="103"/>
        <v>1.728331839713225E-2</v>
      </c>
      <c r="AG121">
        <v>0.1</v>
      </c>
      <c r="AH121" s="37">
        <f t="shared" si="104"/>
        <v>3.9070978945083576E-5</v>
      </c>
      <c r="AI121">
        <v>38</v>
      </c>
      <c r="AJ121" s="37">
        <f t="shared" si="105"/>
        <v>1.5032495055100311E-2</v>
      </c>
      <c r="AK121">
        <v>5.8</v>
      </c>
      <c r="AL121" s="37">
        <f t="shared" si="106"/>
        <v>2.2944334557784686E-3</v>
      </c>
      <c r="AM121">
        <v>3.1</v>
      </c>
      <c r="AN121" s="37">
        <f t="shared" si="107"/>
        <v>1.226335122916078E-3</v>
      </c>
      <c r="AO121">
        <v>8.9</v>
      </c>
      <c r="AQ121" s="59">
        <v>92.6</v>
      </c>
      <c r="AR121" s="59">
        <f t="shared" si="108"/>
        <v>3.2354884431177643E-2</v>
      </c>
      <c r="AS121">
        <v>180</v>
      </c>
      <c r="AT121" s="37">
        <f t="shared" si="109"/>
        <v>6.7410470468908482E-2</v>
      </c>
      <c r="AU121" t="s">
        <v>780</v>
      </c>
      <c r="AV121" t="s">
        <v>780</v>
      </c>
      <c r="AW121" t="s">
        <v>780</v>
      </c>
      <c r="AX121" t="s">
        <v>780</v>
      </c>
      <c r="AY121" t="s">
        <v>780</v>
      </c>
      <c r="AZ121" t="s">
        <v>780</v>
      </c>
      <c r="BA121" t="s">
        <v>780</v>
      </c>
      <c r="BB121" t="s">
        <v>780</v>
      </c>
      <c r="BC121" t="s">
        <v>780</v>
      </c>
      <c r="BD121" t="s">
        <v>780</v>
      </c>
      <c r="BE121" t="s">
        <v>780</v>
      </c>
      <c r="BF121" t="s">
        <v>780</v>
      </c>
      <c r="BG121" t="s">
        <v>780</v>
      </c>
      <c r="BH121" t="s">
        <v>780</v>
      </c>
      <c r="BI121" t="s">
        <v>780</v>
      </c>
      <c r="BJ121" t="s">
        <v>780</v>
      </c>
      <c r="BK121" t="s">
        <v>780</v>
      </c>
      <c r="BL121" t="s">
        <v>780</v>
      </c>
      <c r="BM121" t="s">
        <v>780</v>
      </c>
      <c r="BN121" t="s">
        <v>780</v>
      </c>
      <c r="BO121" s="58">
        <v>2E-3</v>
      </c>
      <c r="BP121" s="58">
        <v>0.01</v>
      </c>
      <c r="BQ121" s="58">
        <v>0.01</v>
      </c>
      <c r="BR121" s="58">
        <v>5.0000000000000001E-3</v>
      </c>
      <c r="BS121" s="58">
        <v>1E-3</v>
      </c>
      <c r="BT121" s="58">
        <v>1E-3</v>
      </c>
      <c r="BU121" s="58">
        <v>1E-3</v>
      </c>
      <c r="BV121" s="58">
        <v>2E-3</v>
      </c>
      <c r="BW121" s="31">
        <f t="shared" si="110"/>
        <v>7.4900522743231646E-7</v>
      </c>
      <c r="BX121" s="31">
        <f t="shared" si="111"/>
        <v>3.6796110125501018E-6</v>
      </c>
      <c r="BY121" s="31">
        <f t="shared" si="112"/>
        <v>3.7611049867064394E-6</v>
      </c>
      <c r="BZ121" s="31">
        <f t="shared" si="113"/>
        <v>1.8649981951630372E-6</v>
      </c>
      <c r="CA121" s="31">
        <f t="shared" si="114"/>
        <v>3.7030802895135499E-7</v>
      </c>
      <c r="CB121" s="31">
        <f t="shared" si="115"/>
        <v>3.7030802895135499E-7</v>
      </c>
      <c r="CC121" s="31">
        <f t="shared" si="116"/>
        <v>3.6588380716934485E-7</v>
      </c>
      <c r="CD121" s="31">
        <f t="shared" si="117"/>
        <v>7.3176761433868969E-7</v>
      </c>
      <c r="CE121">
        <v>1E-3</v>
      </c>
      <c r="CF121">
        <v>1E-3</v>
      </c>
      <c r="CG121">
        <v>2E-3</v>
      </c>
      <c r="CH121">
        <v>1E-3</v>
      </c>
      <c r="CI121">
        <v>1E-3</v>
      </c>
      <c r="CK121">
        <v>2E-3</v>
      </c>
      <c r="CL121">
        <v>1E-3</v>
      </c>
      <c r="CM121">
        <v>1E-3</v>
      </c>
      <c r="CN121" s="58">
        <f t="shared" si="143"/>
        <v>3.2000000000000001E-2</v>
      </c>
      <c r="CO121" s="58">
        <f t="shared" si="118"/>
        <v>3.0000000000000006E-2</v>
      </c>
      <c r="CP121" s="31">
        <f t="shared" si="119"/>
        <v>1.1892986901262639E-5</v>
      </c>
      <c r="CQ121" s="31">
        <f t="shared" si="120"/>
        <v>1.1143981673830322E-5</v>
      </c>
      <c r="CR121">
        <v>4.2000000000000003E-2</v>
      </c>
      <c r="CS121">
        <v>270</v>
      </c>
      <c r="CT121">
        <v>80</v>
      </c>
      <c r="CU121" t="s">
        <v>69</v>
      </c>
      <c r="CV121" t="s">
        <v>69</v>
      </c>
      <c r="CW121">
        <v>350</v>
      </c>
      <c r="CX121" s="2">
        <f t="shared" si="150"/>
        <v>92.641999999999996</v>
      </c>
      <c r="CZ121">
        <v>46</v>
      </c>
      <c r="DA121" t="s">
        <v>62</v>
      </c>
      <c r="DB121" t="s">
        <v>88</v>
      </c>
      <c r="DC121" t="s">
        <v>782</v>
      </c>
      <c r="DD121" s="37">
        <f t="shared" si="151"/>
        <v>38.947324588798665</v>
      </c>
      <c r="DE121" s="37">
        <f t="shared" si="144"/>
        <v>38.947324588798665</v>
      </c>
      <c r="DF121" s="37">
        <v>3.1</v>
      </c>
      <c r="DG121" s="37">
        <f t="shared" si="152"/>
        <v>5.550581915846016E-2</v>
      </c>
      <c r="DH121" s="37">
        <f t="shared" si="121"/>
        <v>5.550581915846016E-2</v>
      </c>
      <c r="DI121" s="37">
        <f t="shared" si="153"/>
        <v>42.047324588798666</v>
      </c>
      <c r="DJ121" s="37">
        <f t="shared" si="122"/>
        <v>0.75286167571707552</v>
      </c>
      <c r="DK121" s="37">
        <f t="shared" si="123"/>
        <v>0.75286167571707552</v>
      </c>
      <c r="DL121" s="55">
        <f t="shared" si="124"/>
        <v>20.926920674578387</v>
      </c>
      <c r="DM121" s="55">
        <f t="shared" si="124"/>
        <v>20.926920674578387</v>
      </c>
      <c r="DN121" s="37">
        <f t="shared" si="125"/>
        <v>24.026920674578388</v>
      </c>
      <c r="DO121" s="55">
        <f t="shared" si="126"/>
        <v>0.43020448835413405</v>
      </c>
      <c r="DP121" s="55">
        <f t="shared" si="127"/>
        <v>0.43020448835413405</v>
      </c>
      <c r="DQ121" s="37">
        <v>1.2</v>
      </c>
      <c r="DR121" s="37">
        <f t="shared" si="128"/>
        <v>2.1845985800109231E-2</v>
      </c>
      <c r="DS121" s="37">
        <f t="shared" si="129"/>
        <v>4.3691971600218461E-2</v>
      </c>
      <c r="DT121" s="37">
        <f t="shared" si="154"/>
        <v>34.462243205949129</v>
      </c>
      <c r="DU121" s="37">
        <f t="shared" si="155"/>
        <v>17.231121602974564</v>
      </c>
      <c r="DV121" s="37">
        <f t="shared" si="156"/>
        <v>43.247324588798669</v>
      </c>
      <c r="DW121" s="37">
        <f t="shared" si="157"/>
        <v>0.79655364731729394</v>
      </c>
      <c r="DX121" t="s">
        <v>780</v>
      </c>
      <c r="DY121" t="s">
        <v>248</v>
      </c>
      <c r="DZ121" s="29">
        <f t="shared" si="167"/>
        <v>1</v>
      </c>
      <c r="EA121" s="30">
        <v>1.7000000000000001E-2</v>
      </c>
      <c r="EB121" s="30">
        <f t="shared" si="130"/>
        <v>2.741935483870968E-4</v>
      </c>
      <c r="EC121" s="30">
        <f t="shared" si="131"/>
        <v>1.370967741935484E-3</v>
      </c>
      <c r="ED121" s="31">
        <f t="shared" si="168"/>
        <v>67</v>
      </c>
      <c r="EE121" s="33">
        <f t="shared" si="169"/>
        <v>84.810126582278471</v>
      </c>
      <c r="EF121" s="37">
        <f t="shared" si="158"/>
        <v>5.5798459296273162</v>
      </c>
      <c r="EG121" s="37">
        <f>$EK129-EK121</f>
        <v>36</v>
      </c>
      <c r="EH121" s="33">
        <f>(EG121/EK129)*100</f>
        <v>75</v>
      </c>
      <c r="EI121" s="37">
        <f t="shared" si="165"/>
        <v>2.9981261711430354</v>
      </c>
      <c r="EJ121" s="37">
        <f t="shared" si="166"/>
        <v>2.9981261711430354</v>
      </c>
      <c r="EK121" s="31">
        <v>12</v>
      </c>
      <c r="EL121" s="31">
        <f t="shared" si="132"/>
        <v>0.12492192379762648</v>
      </c>
      <c r="EM121" s="31">
        <f t="shared" si="133"/>
        <v>0.99937539038101186</v>
      </c>
      <c r="EN121" s="32">
        <f t="shared" si="159"/>
        <v>1.0007463581229474</v>
      </c>
      <c r="EO121" s="39">
        <f t="shared" si="163"/>
        <v>6.3763995769446105</v>
      </c>
      <c r="EP121" s="37">
        <f t="shared" si="160"/>
        <v>6.8521382753673685E-3</v>
      </c>
      <c r="EQ121" s="37">
        <f t="shared" si="161"/>
        <v>0.11807002786325155</v>
      </c>
      <c r="ER121" s="37">
        <f t="shared" si="162"/>
        <v>0.87507783386138105</v>
      </c>
      <c r="ES121" s="39">
        <f t="shared" si="135"/>
        <v>3.4720226310973881</v>
      </c>
      <c r="ET121" s="55">
        <f t="shared" si="136"/>
        <v>12.390601504177438</v>
      </c>
      <c r="EU121" s="55">
        <f t="shared" si="137"/>
        <v>1.2584011178063352</v>
      </c>
      <c r="EV121" s="55">
        <f t="shared" si="138"/>
        <v>86.350997378016231</v>
      </c>
      <c r="EW121" t="s">
        <v>49</v>
      </c>
      <c r="EX121" t="s">
        <v>110</v>
      </c>
      <c r="EY121">
        <v>-78</v>
      </c>
      <c r="EZ121" t="s">
        <v>217</v>
      </c>
      <c r="FA121">
        <v>705</v>
      </c>
      <c r="FB121">
        <v>1</v>
      </c>
      <c r="FC121" t="s">
        <v>88</v>
      </c>
      <c r="FD121" s="39">
        <f t="shared" si="139"/>
        <v>-6.2766342220445246</v>
      </c>
      <c r="FE121" s="39">
        <f t="shared" si="140"/>
        <v>-6.2766230780628502</v>
      </c>
      <c r="FF121" s="39">
        <f t="shared" si="141"/>
        <v>-3.3722572761973018</v>
      </c>
      <c r="FG121" s="39">
        <f t="shared" si="142"/>
        <v>-3.3722461322156283</v>
      </c>
    </row>
    <row r="122" spans="1:163" ht="15.75" x14ac:dyDescent="0.25">
      <c r="A122" s="8" t="s">
        <v>380</v>
      </c>
      <c r="B122" s="8" t="s">
        <v>380</v>
      </c>
      <c r="C122" s="3" t="s">
        <v>911</v>
      </c>
      <c r="D122" s="3" t="s">
        <v>911</v>
      </c>
      <c r="E122" s="3" t="s">
        <v>1301</v>
      </c>
      <c r="F122" s="3" t="s">
        <v>1055</v>
      </c>
      <c r="G122" s="3" t="s">
        <v>773</v>
      </c>
      <c r="H122" s="3" t="str">
        <f t="shared" si="87"/>
        <v>CW_2_Section_5</v>
      </c>
      <c r="I122" s="3" t="str">
        <f t="shared" si="88"/>
        <v>CW_2_EFF</v>
      </c>
      <c r="J122" s="3" t="s">
        <v>1482</v>
      </c>
      <c r="K122" s="3" t="s">
        <v>1482</v>
      </c>
      <c r="L122" s="3" t="s">
        <v>780</v>
      </c>
      <c r="M122" s="3" t="s">
        <v>780</v>
      </c>
      <c r="N122" s="3" t="s">
        <v>1482</v>
      </c>
      <c r="O122" s="12" t="s">
        <v>1016</v>
      </c>
      <c r="P122" s="3" t="s">
        <v>1302</v>
      </c>
      <c r="Q122" s="3" t="s">
        <v>1018</v>
      </c>
      <c r="R122" s="3" t="s">
        <v>1297</v>
      </c>
      <c r="S122" s="3" t="str">
        <f t="shared" si="89"/>
        <v>T5_EFF</v>
      </c>
      <c r="T122" s="13" t="s">
        <v>1298</v>
      </c>
      <c r="U122" s="3" t="s">
        <v>1053</v>
      </c>
      <c r="V122" s="3">
        <v>150</v>
      </c>
      <c r="W122" s="3">
        <v>65</v>
      </c>
      <c r="X122" s="3">
        <v>6</v>
      </c>
      <c r="Y122" s="3">
        <v>121</v>
      </c>
      <c r="Z122" t="s">
        <v>640</v>
      </c>
      <c r="AA122" t="s">
        <v>196</v>
      </c>
      <c r="AB122" s="1">
        <v>45826</v>
      </c>
      <c r="AC122">
        <v>8.9</v>
      </c>
      <c r="AD122">
        <v>9.1999999999999993</v>
      </c>
      <c r="AE122">
        <v>29</v>
      </c>
      <c r="AF122" s="37">
        <f t="shared" si="103"/>
        <v>1.1138138522596338E-2</v>
      </c>
      <c r="AG122">
        <v>0.37</v>
      </c>
      <c r="AH122" s="37">
        <f t="shared" si="104"/>
        <v>1.445626220968092E-4</v>
      </c>
      <c r="AI122">
        <v>34</v>
      </c>
      <c r="AJ122" s="37">
        <f t="shared" si="105"/>
        <v>1.3450127154563436E-2</v>
      </c>
      <c r="AK122">
        <v>7</v>
      </c>
      <c r="AL122" s="37">
        <f t="shared" si="106"/>
        <v>2.7691438259395311E-3</v>
      </c>
      <c r="AM122">
        <v>7.8</v>
      </c>
      <c r="AN122" s="37">
        <f t="shared" si="107"/>
        <v>3.0856174060469059E-3</v>
      </c>
      <c r="AO122">
        <v>14.8</v>
      </c>
      <c r="AQ122" s="59">
        <v>78.17</v>
      </c>
      <c r="AR122" s="59">
        <f t="shared" si="108"/>
        <v>2.4732828299256583E-2</v>
      </c>
      <c r="AS122">
        <v>95</v>
      </c>
      <c r="AT122" s="37">
        <f t="shared" si="109"/>
        <v>3.5577748303035034E-2</v>
      </c>
      <c r="AU122" t="s">
        <v>780</v>
      </c>
      <c r="AV122" t="s">
        <v>780</v>
      </c>
      <c r="AW122" t="s">
        <v>780</v>
      </c>
      <c r="AX122" t="s">
        <v>780</v>
      </c>
      <c r="AY122" t="s">
        <v>780</v>
      </c>
      <c r="AZ122" t="s">
        <v>780</v>
      </c>
      <c r="BA122" t="s">
        <v>780</v>
      </c>
      <c r="BB122" t="s">
        <v>780</v>
      </c>
      <c r="BC122" t="s">
        <v>780</v>
      </c>
      <c r="BD122" t="s">
        <v>780</v>
      </c>
      <c r="BE122" t="s">
        <v>780</v>
      </c>
      <c r="BF122" t="s">
        <v>780</v>
      </c>
      <c r="BG122" t="s">
        <v>780</v>
      </c>
      <c r="BH122" t="s">
        <v>780</v>
      </c>
      <c r="BI122" t="s">
        <v>780</v>
      </c>
      <c r="BJ122" t="s">
        <v>780</v>
      </c>
      <c r="BK122" t="s">
        <v>780</v>
      </c>
      <c r="BL122" t="s">
        <v>780</v>
      </c>
      <c r="BM122" t="s">
        <v>780</v>
      </c>
      <c r="BN122" t="s">
        <v>780</v>
      </c>
      <c r="BO122" s="58">
        <v>2E-3</v>
      </c>
      <c r="BP122" s="58">
        <v>0.01</v>
      </c>
      <c r="BQ122" s="58">
        <v>0.01</v>
      </c>
      <c r="BR122" s="58">
        <v>5.0000000000000001E-3</v>
      </c>
      <c r="BS122" s="58">
        <v>1E-3</v>
      </c>
      <c r="BT122" s="58">
        <v>1E-3</v>
      </c>
      <c r="BU122" s="58">
        <v>1E-3</v>
      </c>
      <c r="BV122" s="58">
        <v>2E-3</v>
      </c>
      <c r="BW122" s="31">
        <f t="shared" si="110"/>
        <v>7.4900522743231646E-7</v>
      </c>
      <c r="BX122" s="31">
        <f t="shared" si="111"/>
        <v>3.6796110125501018E-6</v>
      </c>
      <c r="BY122" s="31">
        <f t="shared" si="112"/>
        <v>3.7611049867064394E-6</v>
      </c>
      <c r="BZ122" s="31">
        <f t="shared" si="113"/>
        <v>1.8649981951630372E-6</v>
      </c>
      <c r="CA122" s="31">
        <f t="shared" si="114"/>
        <v>3.7030802895135499E-7</v>
      </c>
      <c r="CB122" s="31">
        <f t="shared" si="115"/>
        <v>3.7030802895135499E-7</v>
      </c>
      <c r="CC122" s="31">
        <f t="shared" si="116"/>
        <v>3.6588380716934485E-7</v>
      </c>
      <c r="CD122" s="31">
        <f t="shared" si="117"/>
        <v>7.3176761433868969E-7</v>
      </c>
      <c r="CE122">
        <v>1E-3</v>
      </c>
      <c r="CF122">
        <v>1E-3</v>
      </c>
      <c r="CG122">
        <v>2E-3</v>
      </c>
      <c r="CH122">
        <v>1E-3</v>
      </c>
      <c r="CI122">
        <v>1E-3</v>
      </c>
      <c r="CK122">
        <v>2E-3</v>
      </c>
      <c r="CL122">
        <v>1E-3</v>
      </c>
      <c r="CM122">
        <v>1E-3</v>
      </c>
      <c r="CN122" s="58">
        <f t="shared" si="143"/>
        <v>3.2000000000000001E-2</v>
      </c>
      <c r="CO122" s="58">
        <f t="shared" si="118"/>
        <v>3.0000000000000006E-2</v>
      </c>
      <c r="CP122" s="31">
        <f t="shared" si="119"/>
        <v>1.1892986901262639E-5</v>
      </c>
      <c r="CQ122" s="31">
        <f t="shared" si="120"/>
        <v>1.1143981673830322E-5</v>
      </c>
      <c r="CR122">
        <v>4.2000000000000003E-2</v>
      </c>
      <c r="CS122">
        <v>290</v>
      </c>
      <c r="CT122">
        <v>210</v>
      </c>
      <c r="CU122" t="s">
        <v>69</v>
      </c>
      <c r="CV122" t="s">
        <v>69</v>
      </c>
      <c r="CW122">
        <v>500</v>
      </c>
      <c r="CX122" s="2">
        <f t="shared" si="150"/>
        <v>78.212000000000003</v>
      </c>
      <c r="CZ122">
        <v>44</v>
      </c>
      <c r="DA122" t="s">
        <v>62</v>
      </c>
      <c r="DB122" t="s">
        <v>88</v>
      </c>
      <c r="DC122" t="s">
        <v>782</v>
      </c>
      <c r="DD122" s="37">
        <f t="shared" si="151"/>
        <v>33.715594420154069</v>
      </c>
      <c r="DE122" s="37">
        <f t="shared" si="144"/>
        <v>33.715594420154069</v>
      </c>
      <c r="DF122" s="37">
        <v>0.9</v>
      </c>
      <c r="DG122" s="37">
        <f t="shared" si="152"/>
        <v>1.611459265890779E-2</v>
      </c>
      <c r="DH122" s="37">
        <f t="shared" si="121"/>
        <v>1.611459265890779E-2</v>
      </c>
      <c r="DI122" s="37">
        <f t="shared" si="153"/>
        <v>34.615594420154068</v>
      </c>
      <c r="DJ122" s="37">
        <f t="shared" si="122"/>
        <v>0.61979578191860463</v>
      </c>
      <c r="DK122" s="37">
        <f t="shared" si="123"/>
        <v>0.61979578191860463</v>
      </c>
      <c r="DL122" s="55">
        <f t="shared" si="124"/>
        <v>6.3943368727878402</v>
      </c>
      <c r="DM122" s="55">
        <f t="shared" si="124"/>
        <v>6.3943368727878402</v>
      </c>
      <c r="DN122" s="37">
        <f t="shared" si="125"/>
        <v>7.2943368727878406</v>
      </c>
      <c r="DO122" s="55">
        <f t="shared" si="126"/>
        <v>0.13060585269091926</v>
      </c>
      <c r="DP122" s="55">
        <f t="shared" si="127"/>
        <v>0.13060585269091926</v>
      </c>
      <c r="DQ122" s="37">
        <v>1.1000000000000001</v>
      </c>
      <c r="DR122" s="37">
        <f t="shared" si="128"/>
        <v>2.0025486983433462E-2</v>
      </c>
      <c r="DS122" s="37">
        <f t="shared" si="129"/>
        <v>4.0050973966866923E-2</v>
      </c>
      <c r="DT122" s="37">
        <f t="shared" si="154"/>
        <v>30.950347546171773</v>
      </c>
      <c r="DU122" s="37">
        <f t="shared" si="155"/>
        <v>15.475173773085887</v>
      </c>
      <c r="DV122" s="37">
        <f t="shared" si="156"/>
        <v>35.715594420154069</v>
      </c>
      <c r="DW122" s="37">
        <f t="shared" si="157"/>
        <v>0.65984675588547159</v>
      </c>
      <c r="DX122" t="s">
        <v>780</v>
      </c>
      <c r="DY122" t="s">
        <v>216</v>
      </c>
      <c r="DZ122" s="29">
        <f t="shared" si="167"/>
        <v>1</v>
      </c>
      <c r="EA122" s="30">
        <v>1.7000000000000001E-2</v>
      </c>
      <c r="EB122" s="30">
        <f t="shared" si="130"/>
        <v>2.741935483870968E-4</v>
      </c>
      <c r="EC122" s="30">
        <f t="shared" si="131"/>
        <v>1.370967741935484E-3</v>
      </c>
      <c r="ED122" s="31">
        <f t="shared" si="168"/>
        <v>58</v>
      </c>
      <c r="EE122" s="33">
        <f t="shared" si="169"/>
        <v>73.417721518987349</v>
      </c>
      <c r="EF122" s="37">
        <f t="shared" si="158"/>
        <v>4.8303143868415575</v>
      </c>
      <c r="EG122" s="37">
        <f>$EK135-EK122</f>
        <v>11</v>
      </c>
      <c r="EH122" s="33">
        <f>(EG122/EK135)*100</f>
        <v>34.375</v>
      </c>
      <c r="EI122" s="37">
        <f t="shared" si="165"/>
        <v>0.91609410784926082</v>
      </c>
      <c r="EJ122" s="37">
        <f t="shared" si="166"/>
        <v>0.91609410784926082</v>
      </c>
      <c r="EK122" s="31">
        <v>21</v>
      </c>
      <c r="EL122" s="31">
        <f t="shared" si="132"/>
        <v>0.21861336664584635</v>
      </c>
      <c r="EM122" s="31">
        <f t="shared" si="133"/>
        <v>1.7489069331667708</v>
      </c>
      <c r="EN122" s="32">
        <f t="shared" si="159"/>
        <v>1.7502779009087064</v>
      </c>
      <c r="EO122" s="39">
        <f t="shared" si="163"/>
        <v>5.4901611427270289</v>
      </c>
      <c r="EP122" s="37">
        <f t="shared" si="160"/>
        <v>7.2950452501605667E-3</v>
      </c>
      <c r="EQ122" s="37">
        <f t="shared" si="161"/>
        <v>0.11289209292875958</v>
      </c>
      <c r="ER122" s="37">
        <f t="shared" si="162"/>
        <v>0.87981286182107987</v>
      </c>
      <c r="ES122" s="39">
        <f t="shared" si="135"/>
        <v>1.086750934507047</v>
      </c>
      <c r="ET122" s="55">
        <f t="shared" si="136"/>
        <v>12.018011537313507</v>
      </c>
      <c r="EU122" s="55">
        <f t="shared" si="137"/>
        <v>3.6853866599189211</v>
      </c>
      <c r="EV122" s="55">
        <f t="shared" si="138"/>
        <v>84.296601802767583</v>
      </c>
      <c r="EW122">
        <v>69</v>
      </c>
      <c r="EX122" t="s">
        <v>641</v>
      </c>
      <c r="EY122">
        <v>-89</v>
      </c>
      <c r="EZ122" t="s">
        <v>259</v>
      </c>
      <c r="FA122">
        <v>625</v>
      </c>
      <c r="FB122">
        <v>2</v>
      </c>
      <c r="FC122" t="s">
        <v>88</v>
      </c>
      <c r="FD122" s="39">
        <f t="shared" si="139"/>
        <v>-5.4298505661247374</v>
      </c>
      <c r="FE122" s="39">
        <f t="shared" si="140"/>
        <v>-5.4298394221430639</v>
      </c>
      <c r="FF122" s="39">
        <f t="shared" si="141"/>
        <v>-1.0264403579047554</v>
      </c>
      <c r="FG122" s="39">
        <f t="shared" si="142"/>
        <v>-1.0264292139230815</v>
      </c>
    </row>
    <row r="123" spans="1:163" ht="15.75" x14ac:dyDescent="0.25">
      <c r="A123" s="8" t="s">
        <v>381</v>
      </c>
      <c r="B123" s="8" t="s">
        <v>381</v>
      </c>
      <c r="C123" s="3" t="s">
        <v>912</v>
      </c>
      <c r="D123" s="3" t="s">
        <v>912</v>
      </c>
      <c r="E123" s="3" t="s">
        <v>1303</v>
      </c>
      <c r="F123" s="3" t="s">
        <v>1055</v>
      </c>
      <c r="G123" s="3" t="s">
        <v>774</v>
      </c>
      <c r="H123" s="3" t="str">
        <f t="shared" si="87"/>
        <v>CW_3_Section_5</v>
      </c>
      <c r="I123" s="3" t="str">
        <f t="shared" si="88"/>
        <v>CW_3_EFF</v>
      </c>
      <c r="J123" s="3" t="s">
        <v>1482</v>
      </c>
      <c r="K123" s="3" t="s">
        <v>1482</v>
      </c>
      <c r="L123" s="3" t="s">
        <v>780</v>
      </c>
      <c r="M123" s="3" t="s">
        <v>780</v>
      </c>
      <c r="N123" s="3" t="s">
        <v>1482</v>
      </c>
      <c r="O123" s="12" t="s">
        <v>1016</v>
      </c>
      <c r="P123" s="3" t="s">
        <v>1304</v>
      </c>
      <c r="Q123" s="3" t="s">
        <v>1018</v>
      </c>
      <c r="R123" s="3" t="s">
        <v>1297</v>
      </c>
      <c r="S123" s="3" t="str">
        <f t="shared" si="89"/>
        <v>T5_EFF</v>
      </c>
      <c r="T123" s="13" t="s">
        <v>1298</v>
      </c>
      <c r="U123" s="3" t="s">
        <v>1053</v>
      </c>
      <c r="V123" s="3">
        <v>150</v>
      </c>
      <c r="W123" s="3">
        <v>65</v>
      </c>
      <c r="X123" s="3">
        <v>4.5</v>
      </c>
      <c r="Y123" s="3">
        <v>122</v>
      </c>
      <c r="Z123" t="s">
        <v>654</v>
      </c>
      <c r="AA123" t="s">
        <v>236</v>
      </c>
      <c r="AB123" s="1">
        <v>45827</v>
      </c>
      <c r="AC123">
        <v>10</v>
      </c>
      <c r="AD123">
        <v>11</v>
      </c>
      <c r="AE123">
        <v>700</v>
      </c>
      <c r="AF123" s="37">
        <f t="shared" si="103"/>
        <v>0.2688516195109461</v>
      </c>
      <c r="AG123">
        <v>8</v>
      </c>
      <c r="AH123" s="37">
        <f t="shared" si="104"/>
        <v>3.1256783156066855E-3</v>
      </c>
      <c r="AI123">
        <v>640</v>
      </c>
      <c r="AJ123" s="37">
        <f t="shared" si="105"/>
        <v>0.25317886408589996</v>
      </c>
      <c r="AK123">
        <v>120</v>
      </c>
      <c r="AL123" s="37">
        <f t="shared" si="106"/>
        <v>4.7471037016106249E-2</v>
      </c>
      <c r="AM123">
        <v>91</v>
      </c>
      <c r="AN123" s="37">
        <f t="shared" si="107"/>
        <v>3.5998869737213904E-2</v>
      </c>
      <c r="AO123">
        <v>211</v>
      </c>
      <c r="AQ123" s="59">
        <v>1559</v>
      </c>
      <c r="AR123" s="59">
        <f t="shared" si="108"/>
        <v>0.52515616191245273</v>
      </c>
      <c r="AS123">
        <v>1800</v>
      </c>
      <c r="AT123" s="37">
        <f t="shared" si="109"/>
        <v>0.6741047046890849</v>
      </c>
      <c r="AU123" t="s">
        <v>780</v>
      </c>
      <c r="AV123" t="s">
        <v>780</v>
      </c>
      <c r="AW123" t="s">
        <v>780</v>
      </c>
      <c r="AX123" t="s">
        <v>780</v>
      </c>
      <c r="AY123" t="s">
        <v>780</v>
      </c>
      <c r="AZ123" t="s">
        <v>780</v>
      </c>
      <c r="BA123" t="s">
        <v>780</v>
      </c>
      <c r="BB123" t="s">
        <v>780</v>
      </c>
      <c r="BC123" t="s">
        <v>780</v>
      </c>
      <c r="BD123" t="s">
        <v>780</v>
      </c>
      <c r="BE123" t="s">
        <v>780</v>
      </c>
      <c r="BF123" t="s">
        <v>780</v>
      </c>
      <c r="BG123" t="s">
        <v>780</v>
      </c>
      <c r="BH123" t="s">
        <v>780</v>
      </c>
      <c r="BI123" t="s">
        <v>780</v>
      </c>
      <c r="BJ123" t="s">
        <v>780</v>
      </c>
      <c r="BK123" t="s">
        <v>780</v>
      </c>
      <c r="BL123" t="s">
        <v>780</v>
      </c>
      <c r="BM123" t="s">
        <v>780</v>
      </c>
      <c r="BN123" t="s">
        <v>780</v>
      </c>
      <c r="BO123" s="58">
        <v>3100</v>
      </c>
      <c r="BP123" s="58">
        <v>4</v>
      </c>
      <c r="BQ123" s="58">
        <v>510</v>
      </c>
      <c r="BR123" s="58">
        <v>100</v>
      </c>
      <c r="BS123" s="58">
        <v>66</v>
      </c>
      <c r="BT123" s="58">
        <v>3.7</v>
      </c>
      <c r="BU123" s="58">
        <v>0.24</v>
      </c>
      <c r="BV123" s="58">
        <v>0.13</v>
      </c>
      <c r="BW123" s="31">
        <f t="shared" si="110"/>
        <v>1.1609581025200906</v>
      </c>
      <c r="BX123" s="31">
        <f t="shared" si="111"/>
        <v>1.4718444050200407E-3</v>
      </c>
      <c r="BY123" s="31">
        <f t="shared" si="112"/>
        <v>0.1918163543220284</v>
      </c>
      <c r="BZ123" s="31">
        <f t="shared" si="113"/>
        <v>3.7299963903260742E-2</v>
      </c>
      <c r="CA123" s="31">
        <f t="shared" si="114"/>
        <v>2.444032991078943E-2</v>
      </c>
      <c r="CB123" s="31">
        <f t="shared" si="115"/>
        <v>1.3701397071200136E-3</v>
      </c>
      <c r="CC123" s="31">
        <f t="shared" si="116"/>
        <v>8.7812113720642758E-5</v>
      </c>
      <c r="CD123" s="31">
        <f t="shared" si="117"/>
        <v>4.7564894932014834E-5</v>
      </c>
      <c r="CE123">
        <v>1E-3</v>
      </c>
      <c r="CF123">
        <v>1E-3</v>
      </c>
      <c r="CG123">
        <v>2E-3</v>
      </c>
      <c r="CH123">
        <v>1E-3</v>
      </c>
      <c r="CI123">
        <v>1E-3</v>
      </c>
      <c r="CK123">
        <v>2E-3</v>
      </c>
      <c r="CL123">
        <v>1E-3</v>
      </c>
      <c r="CM123">
        <v>1E-3</v>
      </c>
      <c r="CN123" s="58">
        <f t="shared" si="143"/>
        <v>3784.0699999999997</v>
      </c>
      <c r="CO123" s="58">
        <f t="shared" si="118"/>
        <v>684.07</v>
      </c>
      <c r="CP123" s="31">
        <f t="shared" si="119"/>
        <v>1.4174921117769619</v>
      </c>
      <c r="CQ123" s="31">
        <f t="shared" si="120"/>
        <v>0.25653400925687131</v>
      </c>
      <c r="CR123">
        <v>3700</v>
      </c>
      <c r="CS123">
        <v>3000</v>
      </c>
      <c r="CT123">
        <v>1400</v>
      </c>
      <c r="CU123" t="s">
        <v>69</v>
      </c>
      <c r="CV123" t="s">
        <v>69</v>
      </c>
      <c r="CW123">
        <v>4400</v>
      </c>
      <c r="CX123" s="2">
        <f t="shared" si="150"/>
        <v>5259</v>
      </c>
      <c r="CZ123">
        <v>68</v>
      </c>
      <c r="DA123" t="s">
        <v>62</v>
      </c>
      <c r="DB123" t="s">
        <v>88</v>
      </c>
      <c r="DC123" t="s">
        <v>782</v>
      </c>
      <c r="DD123" s="37">
        <f t="shared" si="151"/>
        <v>24.996044139079739</v>
      </c>
      <c r="DE123" s="37">
        <f t="shared" si="144"/>
        <v>24.996044139079739</v>
      </c>
      <c r="DF123" s="37">
        <v>1.1000000000000001</v>
      </c>
      <c r="DG123" s="37">
        <f t="shared" si="152"/>
        <v>1.9695613249776187E-2</v>
      </c>
      <c r="DH123" s="37">
        <f t="shared" si="121"/>
        <v>1.9695613249776187E-2</v>
      </c>
      <c r="DI123" s="37">
        <f t="shared" si="153"/>
        <v>26.096044139079741</v>
      </c>
      <c r="DJ123" s="37">
        <f t="shared" si="122"/>
        <v>0.46725235701127554</v>
      </c>
      <c r="DK123" s="37">
        <f t="shared" si="123"/>
        <v>0.46725235701127554</v>
      </c>
      <c r="DL123" s="55">
        <f t="shared" si="124"/>
        <v>3.4878201124297314</v>
      </c>
      <c r="DM123" s="55">
        <f t="shared" si="124"/>
        <v>3.4878201124297314</v>
      </c>
      <c r="DN123" s="37">
        <f t="shared" si="125"/>
        <v>4.587820112429732</v>
      </c>
      <c r="DO123" s="55">
        <f t="shared" si="126"/>
        <v>8.214539144905518E-2</v>
      </c>
      <c r="DP123" s="55">
        <f t="shared" si="127"/>
        <v>8.214539144905518E-2</v>
      </c>
      <c r="DQ123" s="37">
        <v>1.1000000000000001</v>
      </c>
      <c r="DR123" s="37">
        <f t="shared" si="128"/>
        <v>2.0025486983433462E-2</v>
      </c>
      <c r="DS123" s="37">
        <f t="shared" si="129"/>
        <v>4.0050973966866923E-2</v>
      </c>
      <c r="DT123" s="37">
        <f t="shared" si="154"/>
        <v>23.332883609663057</v>
      </c>
      <c r="DU123" s="37">
        <f t="shared" si="155"/>
        <v>11.666441804831528</v>
      </c>
      <c r="DV123" s="37">
        <f t="shared" si="156"/>
        <v>27.196044139079742</v>
      </c>
      <c r="DW123" s="37">
        <f t="shared" si="157"/>
        <v>0.50730333097814251</v>
      </c>
      <c r="DX123" t="s">
        <v>780</v>
      </c>
      <c r="DY123" t="s">
        <v>501</v>
      </c>
      <c r="DZ123" s="29">
        <f t="shared" si="167"/>
        <v>1</v>
      </c>
      <c r="EA123" s="30">
        <v>1.7000000000000001E-2</v>
      </c>
      <c r="EB123" s="30">
        <f t="shared" si="130"/>
        <v>2.741935483870968E-4</v>
      </c>
      <c r="EC123" s="30">
        <f t="shared" si="131"/>
        <v>1.370967741935484E-3</v>
      </c>
      <c r="ED123" s="31">
        <f t="shared" si="168"/>
        <v>43</v>
      </c>
      <c r="EE123" s="33">
        <f t="shared" si="169"/>
        <v>54.430379746835442</v>
      </c>
      <c r="EF123" s="37">
        <f t="shared" si="158"/>
        <v>3.5810951488652925</v>
      </c>
      <c r="EG123" s="37">
        <f>$EK141-EK123</f>
        <v>6</v>
      </c>
      <c r="EH123" s="33">
        <f>(EG123/EK141)*100</f>
        <v>14.285714285714285</v>
      </c>
      <c r="EI123" s="37">
        <f t="shared" si="165"/>
        <v>0.49968769519050593</v>
      </c>
      <c r="EJ123" s="37">
        <f t="shared" si="166"/>
        <v>0.49968769519050593</v>
      </c>
      <c r="EK123" s="31">
        <v>36</v>
      </c>
      <c r="EL123" s="31">
        <f t="shared" si="132"/>
        <v>0.37476577139287942</v>
      </c>
      <c r="EM123" s="31">
        <f t="shared" si="133"/>
        <v>2.9981261711430354</v>
      </c>
      <c r="EN123" s="32">
        <f t="shared" si="159"/>
        <v>2.9994971388849709</v>
      </c>
      <c r="EO123" s="39">
        <f t="shared" si="163"/>
        <v>4.088398479843435</v>
      </c>
      <c r="EP123" s="37">
        <f t="shared" si="160"/>
        <v>9.7962500877362309E-3</v>
      </c>
      <c r="EQ123" s="37">
        <f t="shared" si="161"/>
        <v>0.1142873815541505</v>
      </c>
      <c r="ER123" s="37">
        <f t="shared" si="162"/>
        <v>0.87591636835811326</v>
      </c>
      <c r="ES123" s="39">
        <f t="shared" si="135"/>
        <v>0.62188406060642798</v>
      </c>
      <c r="ET123" s="55">
        <f t="shared" si="136"/>
        <v>13.209116723292667</v>
      </c>
      <c r="EU123" s="55">
        <f t="shared" si="137"/>
        <v>6.4402637893325911</v>
      </c>
      <c r="EV123" s="55">
        <f t="shared" si="138"/>
        <v>80.350619487374757</v>
      </c>
      <c r="EW123" t="s">
        <v>54</v>
      </c>
      <c r="EX123" t="s">
        <v>533</v>
      </c>
      <c r="EY123">
        <v>-63</v>
      </c>
      <c r="EZ123" t="s">
        <v>184</v>
      </c>
      <c r="FA123">
        <v>809</v>
      </c>
      <c r="FB123" t="s">
        <v>113</v>
      </c>
      <c r="FC123" t="s">
        <v>88</v>
      </c>
      <c r="FD123" s="39">
        <f t="shared" si="139"/>
        <v>-2.8891376132418971</v>
      </c>
      <c r="FE123" s="39">
        <f t="shared" si="140"/>
        <v>-2.632603603985026</v>
      </c>
      <c r="FF123" s="39">
        <f t="shared" si="141"/>
        <v>0.57737680599510965</v>
      </c>
      <c r="FG123" s="39">
        <f t="shared" si="142"/>
        <v>0.83391081525198096</v>
      </c>
    </row>
    <row r="124" spans="1:163" ht="15.75" x14ac:dyDescent="0.25">
      <c r="A124" s="8" t="s">
        <v>382</v>
      </c>
      <c r="B124" s="8" t="s">
        <v>382</v>
      </c>
      <c r="C124" s="3" t="s">
        <v>913</v>
      </c>
      <c r="D124" s="3" t="s">
        <v>913</v>
      </c>
      <c r="E124" s="3" t="s">
        <v>1305</v>
      </c>
      <c r="F124" s="3" t="s">
        <v>1013</v>
      </c>
      <c r="G124" s="3" t="s">
        <v>772</v>
      </c>
      <c r="H124" s="3" t="str">
        <f t="shared" si="87"/>
        <v>CW_1_Section_1</v>
      </c>
      <c r="I124" s="3" t="str">
        <f t="shared" si="88"/>
        <v>CW_1_MF01</v>
      </c>
      <c r="J124" s="3" t="s">
        <v>1488</v>
      </c>
      <c r="K124" s="3" t="s">
        <v>1484</v>
      </c>
      <c r="L124" s="11" t="s">
        <v>1014</v>
      </c>
      <c r="M124" s="3" t="s">
        <v>1015</v>
      </c>
      <c r="N124" s="3" t="s">
        <v>1015</v>
      </c>
      <c r="O124" s="12" t="s">
        <v>1016</v>
      </c>
      <c r="P124" s="3" t="s">
        <v>1306</v>
      </c>
      <c r="Q124" s="3" t="s">
        <v>1018</v>
      </c>
      <c r="R124" s="3" t="s">
        <v>1297</v>
      </c>
      <c r="S124" s="3" t="str">
        <f t="shared" si="89"/>
        <v>T5_0.15-0.30</v>
      </c>
      <c r="T124" s="13" t="s">
        <v>1298</v>
      </c>
      <c r="U124" s="3" t="s">
        <v>1053</v>
      </c>
      <c r="V124" s="3">
        <v>150</v>
      </c>
      <c r="W124" s="3">
        <v>65</v>
      </c>
      <c r="X124" s="3">
        <v>10.95</v>
      </c>
      <c r="Y124" s="3">
        <v>123</v>
      </c>
      <c r="Z124" t="s">
        <v>624</v>
      </c>
      <c r="AA124" t="s">
        <v>137</v>
      </c>
      <c r="AB124" s="1">
        <v>45825</v>
      </c>
      <c r="AC124">
        <v>12</v>
      </c>
      <c r="AD124">
        <v>12</v>
      </c>
      <c r="AE124">
        <v>500</v>
      </c>
      <c r="AF124" s="37">
        <f t="shared" si="103"/>
        <v>0.19203687107924722</v>
      </c>
      <c r="AG124">
        <v>1</v>
      </c>
      <c r="AH124" s="37">
        <f t="shared" si="104"/>
        <v>3.9070978945083569E-4</v>
      </c>
      <c r="AI124">
        <v>310</v>
      </c>
      <c r="AJ124" s="37">
        <f t="shared" si="105"/>
        <v>0.12263351229160781</v>
      </c>
      <c r="AK124">
        <v>75</v>
      </c>
      <c r="AL124" s="37">
        <f t="shared" si="106"/>
        <v>2.9669398135066402E-2</v>
      </c>
      <c r="AM124">
        <v>50</v>
      </c>
      <c r="AN124" s="37">
        <f t="shared" si="107"/>
        <v>1.9779598756710936E-2</v>
      </c>
      <c r="AO124">
        <v>125</v>
      </c>
      <c r="AQ124" s="59">
        <v>942</v>
      </c>
      <c r="AR124" s="59">
        <f t="shared" si="108"/>
        <v>0.31506109316030584</v>
      </c>
      <c r="AS124">
        <v>2300</v>
      </c>
      <c r="AT124" s="37">
        <f t="shared" si="109"/>
        <v>0.8613560115471639</v>
      </c>
      <c r="AU124" t="s">
        <v>780</v>
      </c>
      <c r="AV124" t="s">
        <v>780</v>
      </c>
      <c r="AW124" t="s">
        <v>780</v>
      </c>
      <c r="AX124" t="s">
        <v>780</v>
      </c>
      <c r="AY124" t="s">
        <v>780</v>
      </c>
      <c r="AZ124" t="s">
        <v>780</v>
      </c>
      <c r="BA124" t="s">
        <v>780</v>
      </c>
      <c r="BB124" t="s">
        <v>780</v>
      </c>
      <c r="BC124" t="s">
        <v>780</v>
      </c>
      <c r="BD124" t="s">
        <v>780</v>
      </c>
      <c r="BE124" t="s">
        <v>780</v>
      </c>
      <c r="BF124" t="s">
        <v>780</v>
      </c>
      <c r="BG124" t="s">
        <v>780</v>
      </c>
      <c r="BH124" t="s">
        <v>780</v>
      </c>
      <c r="BI124" t="s">
        <v>780</v>
      </c>
      <c r="BJ124" t="s">
        <v>780</v>
      </c>
      <c r="BK124" t="s">
        <v>780</v>
      </c>
      <c r="BL124" t="s">
        <v>780</v>
      </c>
      <c r="BM124" t="s">
        <v>780</v>
      </c>
      <c r="BN124" t="s">
        <v>780</v>
      </c>
      <c r="BO124" s="58">
        <v>2200</v>
      </c>
      <c r="BP124" s="58">
        <v>2</v>
      </c>
      <c r="BQ124" s="58">
        <v>2</v>
      </c>
      <c r="BR124" s="58">
        <v>0.18</v>
      </c>
      <c r="BS124" s="58">
        <v>0.16</v>
      </c>
      <c r="BT124" s="58">
        <v>0.03</v>
      </c>
      <c r="BU124" s="58">
        <v>0.02</v>
      </c>
      <c r="BV124" s="58">
        <v>2E-3</v>
      </c>
      <c r="BW124" s="31">
        <f t="shared" si="110"/>
        <v>0.82390575017554801</v>
      </c>
      <c r="BX124" s="31">
        <f t="shared" si="111"/>
        <v>7.3592220251002033E-4</v>
      </c>
      <c r="BY124" s="31">
        <f t="shared" si="112"/>
        <v>7.5222099734128785E-4</v>
      </c>
      <c r="BZ124" s="31">
        <f t="shared" si="113"/>
        <v>6.7139935025869335E-5</v>
      </c>
      <c r="CA124" s="31">
        <f t="shared" si="114"/>
        <v>5.9249284632216798E-5</v>
      </c>
      <c r="CB124" s="31">
        <f t="shared" si="115"/>
        <v>1.110924086854065E-5</v>
      </c>
      <c r="CC124" s="31">
        <f t="shared" si="116"/>
        <v>7.3176761433868973E-6</v>
      </c>
      <c r="CD124" s="31">
        <f t="shared" si="117"/>
        <v>7.3176761433868969E-7</v>
      </c>
      <c r="CE124">
        <v>1E-3</v>
      </c>
      <c r="CF124">
        <v>1E-3</v>
      </c>
      <c r="CG124">
        <v>2E-3</v>
      </c>
      <c r="CH124">
        <v>1E-3</v>
      </c>
      <c r="CI124">
        <v>1E-3</v>
      </c>
      <c r="CK124">
        <v>2E-3</v>
      </c>
      <c r="CL124">
        <v>1E-3</v>
      </c>
      <c r="CM124">
        <v>1E-3</v>
      </c>
      <c r="CN124" s="58">
        <f t="shared" si="143"/>
        <v>2204.3919999999998</v>
      </c>
      <c r="CO124" s="58">
        <f t="shared" si="118"/>
        <v>4.3919999999999995</v>
      </c>
      <c r="CP124" s="31">
        <f t="shared" si="119"/>
        <v>0.82553944127968371</v>
      </c>
      <c r="CQ124" s="31">
        <f t="shared" si="120"/>
        <v>1.6336911041356606E-3</v>
      </c>
      <c r="CR124">
        <v>2200</v>
      </c>
      <c r="CS124">
        <v>3100</v>
      </c>
      <c r="CT124">
        <v>230</v>
      </c>
      <c r="CU124" t="s">
        <v>69</v>
      </c>
      <c r="CV124" t="s">
        <v>69</v>
      </c>
      <c r="CW124">
        <v>3400</v>
      </c>
      <c r="CX124" s="2">
        <f t="shared" si="150"/>
        <v>3142</v>
      </c>
      <c r="CZ124">
        <v>70</v>
      </c>
      <c r="DA124" t="s">
        <v>62</v>
      </c>
      <c r="DB124" t="s">
        <v>88</v>
      </c>
      <c r="DC124" t="s">
        <v>782</v>
      </c>
      <c r="DD124" s="37">
        <f t="shared" si="151"/>
        <v>33.715594420154069</v>
      </c>
      <c r="DE124" s="37">
        <f t="shared" si="144"/>
        <v>33.715594420154069</v>
      </c>
      <c r="DF124" s="37">
        <v>5</v>
      </c>
      <c r="DG124" s="37">
        <f t="shared" si="152"/>
        <v>8.9525514771709933E-2</v>
      </c>
      <c r="DH124" s="37">
        <f t="shared" si="121"/>
        <v>8.9525514771709933E-2</v>
      </c>
      <c r="DI124" s="37">
        <f t="shared" si="153"/>
        <v>38.715594420154069</v>
      </c>
      <c r="DJ124" s="37">
        <f t="shared" si="122"/>
        <v>0.69320670403140672</v>
      </c>
      <c r="DK124" s="37">
        <f t="shared" si="123"/>
        <v>0.69320670403140672</v>
      </c>
      <c r="DL124" s="55">
        <f t="shared" si="124"/>
        <v>33.715594420154069</v>
      </c>
      <c r="DM124" s="55">
        <f t="shared" si="124"/>
        <v>33.715594420154069</v>
      </c>
      <c r="DN124" s="37">
        <f t="shared" si="125"/>
        <v>38.715594420154069</v>
      </c>
      <c r="DO124" s="55">
        <f t="shared" si="126"/>
        <v>0.69320670403140672</v>
      </c>
      <c r="DP124" s="55">
        <f t="shared" si="127"/>
        <v>0.69320670403140672</v>
      </c>
      <c r="DQ124" s="37">
        <v>1.8</v>
      </c>
      <c r="DR124" s="37">
        <f t="shared" si="128"/>
        <v>3.2768978700163848E-2</v>
      </c>
      <c r="DS124" s="37">
        <f t="shared" si="129"/>
        <v>6.5537957400327695E-2</v>
      </c>
      <c r="DT124" s="37">
        <f t="shared" si="154"/>
        <v>21.154357918025092</v>
      </c>
      <c r="DU124" s="37">
        <f t="shared" si="155"/>
        <v>10.577178959012546</v>
      </c>
      <c r="DV124" s="37">
        <f t="shared" si="156"/>
        <v>40.515594420154066</v>
      </c>
      <c r="DW124" s="37">
        <f t="shared" si="157"/>
        <v>0.75874466143173436</v>
      </c>
      <c r="DX124" t="s">
        <v>780</v>
      </c>
      <c r="DY124" t="s">
        <v>470</v>
      </c>
      <c r="DZ124" s="29">
        <f t="shared" si="167"/>
        <v>1</v>
      </c>
      <c r="EA124" s="30">
        <v>1.7000000000000001E-2</v>
      </c>
      <c r="EB124" s="30">
        <f t="shared" si="130"/>
        <v>2.741935483870968E-4</v>
      </c>
      <c r="EC124" s="30">
        <f t="shared" si="131"/>
        <v>1.370967741935484E-3</v>
      </c>
      <c r="ED124" s="31">
        <f t="shared" si="168"/>
        <v>58</v>
      </c>
      <c r="EE124" s="33">
        <f t="shared" si="169"/>
        <v>73.417721518987349</v>
      </c>
      <c r="EF124" s="37">
        <f t="shared" si="158"/>
        <v>4.8303143868415575</v>
      </c>
      <c r="EG124" s="37">
        <f>$EK120-EK124</f>
        <v>58</v>
      </c>
      <c r="EH124" s="33">
        <f>(EG124/$EK$120)*100</f>
        <v>73.417721518987349</v>
      </c>
      <c r="EI124" s="37">
        <f t="shared" si="165"/>
        <v>4.8303143868415575</v>
      </c>
      <c r="EJ124" s="37">
        <f t="shared" si="166"/>
        <v>4.8303143868415575</v>
      </c>
      <c r="EK124" s="31">
        <v>21</v>
      </c>
      <c r="EL124" s="31">
        <f t="shared" si="132"/>
        <v>0.21861336664584635</v>
      </c>
      <c r="EM124" s="31">
        <f t="shared" si="133"/>
        <v>1.7489069331667708</v>
      </c>
      <c r="EN124" s="32">
        <f t="shared" si="159"/>
        <v>1.7502779009087064</v>
      </c>
      <c r="EO124" s="39">
        <f t="shared" si="163"/>
        <v>5.5890590482732918</v>
      </c>
      <c r="EP124" s="37">
        <f t="shared" si="160"/>
        <v>1.1726116477616259E-2</v>
      </c>
      <c r="EQ124" s="37">
        <f t="shared" si="161"/>
        <v>0.12402923247797301</v>
      </c>
      <c r="ER124" s="37">
        <f t="shared" si="162"/>
        <v>0.86424465104441073</v>
      </c>
      <c r="ES124" s="39">
        <f t="shared" si="135"/>
        <v>5.5890590482732918</v>
      </c>
      <c r="ET124" s="55">
        <f t="shared" si="136"/>
        <v>12.4029232477973</v>
      </c>
      <c r="EU124" s="55">
        <f t="shared" si="137"/>
        <v>1.172611647761626</v>
      </c>
      <c r="EV124" s="55">
        <f t="shared" si="138"/>
        <v>86.424465104441069</v>
      </c>
      <c r="EW124" t="s">
        <v>214</v>
      </c>
      <c r="EX124" t="s">
        <v>625</v>
      </c>
      <c r="EY124">
        <v>-77</v>
      </c>
      <c r="EZ124" t="s">
        <v>253</v>
      </c>
      <c r="FA124">
        <v>809</v>
      </c>
      <c r="FB124" t="s">
        <v>113</v>
      </c>
      <c r="FC124" t="s">
        <v>88</v>
      </c>
      <c r="FD124" s="39">
        <f t="shared" si="139"/>
        <v>-4.4126419435658217</v>
      </c>
      <c r="FE124" s="39">
        <f t="shared" si="140"/>
        <v>-4.411008252461686</v>
      </c>
      <c r="FF124" s="39">
        <f t="shared" si="141"/>
        <v>-4.4126419435658217</v>
      </c>
      <c r="FG124" s="39">
        <f t="shared" si="142"/>
        <v>-4.411008252461686</v>
      </c>
    </row>
    <row r="125" spans="1:163" ht="15.75" x14ac:dyDescent="0.25">
      <c r="A125" s="8" t="s">
        <v>383</v>
      </c>
      <c r="B125" s="8" t="s">
        <v>383</v>
      </c>
      <c r="C125" s="3" t="s">
        <v>914</v>
      </c>
      <c r="D125" s="3" t="s">
        <v>914</v>
      </c>
      <c r="E125" s="3" t="s">
        <v>1307</v>
      </c>
      <c r="F125" s="3" t="s">
        <v>1013</v>
      </c>
      <c r="G125" s="3" t="s">
        <v>772</v>
      </c>
      <c r="H125" s="3" t="str">
        <f t="shared" si="87"/>
        <v>CW_1_Section_1</v>
      </c>
      <c r="I125" s="3" t="str">
        <f t="shared" si="88"/>
        <v>CW_1_MF02</v>
      </c>
      <c r="J125" s="3" t="s">
        <v>1489</v>
      </c>
      <c r="K125" s="3" t="s">
        <v>1484</v>
      </c>
      <c r="L125" s="11" t="s">
        <v>1023</v>
      </c>
      <c r="M125" s="3" t="s">
        <v>1024</v>
      </c>
      <c r="N125" s="3" t="s">
        <v>1024</v>
      </c>
      <c r="O125" s="12" t="s">
        <v>1016</v>
      </c>
      <c r="P125" s="3" t="s">
        <v>1308</v>
      </c>
      <c r="Q125" s="3" t="s">
        <v>1018</v>
      </c>
      <c r="R125" s="3" t="s">
        <v>1297</v>
      </c>
      <c r="S125" s="3" t="str">
        <f t="shared" si="89"/>
        <v>T5_0.60-0.80</v>
      </c>
      <c r="T125" s="13" t="s">
        <v>1298</v>
      </c>
      <c r="U125" s="3" t="s">
        <v>1053</v>
      </c>
      <c r="V125" s="3">
        <v>150</v>
      </c>
      <c r="W125" s="3">
        <v>65</v>
      </c>
      <c r="X125" s="3">
        <v>4.3</v>
      </c>
      <c r="Y125" s="3">
        <v>124</v>
      </c>
      <c r="Z125" t="s">
        <v>626</v>
      </c>
      <c r="AA125" t="s">
        <v>153</v>
      </c>
      <c r="AB125" s="1">
        <v>45825</v>
      </c>
      <c r="AC125">
        <v>12</v>
      </c>
      <c r="AD125">
        <v>12</v>
      </c>
      <c r="AE125">
        <v>630</v>
      </c>
      <c r="AF125" s="37">
        <f t="shared" si="103"/>
        <v>0.24196645755985149</v>
      </c>
      <c r="AG125">
        <v>43</v>
      </c>
      <c r="AH125" s="37">
        <f t="shared" si="104"/>
        <v>1.6800520946385934E-2</v>
      </c>
      <c r="AI125">
        <v>610</v>
      </c>
      <c r="AJ125" s="37">
        <f t="shared" si="105"/>
        <v>0.2413111048318734</v>
      </c>
      <c r="AK125">
        <v>210</v>
      </c>
      <c r="AL125" s="37">
        <f t="shared" si="106"/>
        <v>8.3074314778185929E-2</v>
      </c>
      <c r="AM125">
        <v>140</v>
      </c>
      <c r="AN125" s="37">
        <f t="shared" si="107"/>
        <v>5.5382876518790619E-2</v>
      </c>
      <c r="AO125">
        <v>350</v>
      </c>
      <c r="AQ125" s="59">
        <v>1633</v>
      </c>
      <c r="AR125" s="59">
        <f t="shared" si="108"/>
        <v>0.50007808333811088</v>
      </c>
      <c r="AS125">
        <v>3400</v>
      </c>
      <c r="AT125" s="37">
        <f t="shared" si="109"/>
        <v>1.273308886634938</v>
      </c>
      <c r="AU125" t="s">
        <v>780</v>
      </c>
      <c r="AV125" t="s">
        <v>780</v>
      </c>
      <c r="AW125" t="s">
        <v>780</v>
      </c>
      <c r="AX125" t="s">
        <v>780</v>
      </c>
      <c r="AY125" t="s">
        <v>780</v>
      </c>
      <c r="AZ125" t="s">
        <v>780</v>
      </c>
      <c r="BA125" t="s">
        <v>780</v>
      </c>
      <c r="BB125" t="s">
        <v>780</v>
      </c>
      <c r="BC125" t="s">
        <v>780</v>
      </c>
      <c r="BD125" t="s">
        <v>780</v>
      </c>
      <c r="BE125" t="s">
        <v>780</v>
      </c>
      <c r="BF125" t="s">
        <v>780</v>
      </c>
      <c r="BG125" t="s">
        <v>780</v>
      </c>
      <c r="BH125" t="s">
        <v>780</v>
      </c>
      <c r="BI125" t="s">
        <v>780</v>
      </c>
      <c r="BJ125" t="s">
        <v>780</v>
      </c>
      <c r="BK125" t="s">
        <v>780</v>
      </c>
      <c r="BL125" t="s">
        <v>780</v>
      </c>
      <c r="BM125" t="s">
        <v>780</v>
      </c>
      <c r="BN125" t="s">
        <v>780</v>
      </c>
      <c r="BO125" s="58">
        <v>3600</v>
      </c>
      <c r="BP125" s="58">
        <v>4</v>
      </c>
      <c r="BQ125" s="58">
        <v>300</v>
      </c>
      <c r="BR125" s="58">
        <v>74</v>
      </c>
      <c r="BS125" s="58">
        <v>45</v>
      </c>
      <c r="BT125" s="58">
        <v>6.3</v>
      </c>
      <c r="BU125" s="58">
        <v>1</v>
      </c>
      <c r="BV125" s="58">
        <v>0.89</v>
      </c>
      <c r="BW125" s="31">
        <f t="shared" si="110"/>
        <v>1.3482094093781698</v>
      </c>
      <c r="BX125" s="31">
        <f t="shared" si="111"/>
        <v>1.4718444050200407E-3</v>
      </c>
      <c r="BY125" s="31">
        <f t="shared" si="112"/>
        <v>0.11283314960119319</v>
      </c>
      <c r="BZ125" s="31">
        <f t="shared" si="113"/>
        <v>2.7601973288412948E-2</v>
      </c>
      <c r="CA125" s="31">
        <f t="shared" si="114"/>
        <v>1.6663861302810973E-2</v>
      </c>
      <c r="CB125" s="31">
        <f t="shared" si="115"/>
        <v>2.3329405823935365E-3</v>
      </c>
      <c r="CC125" s="31">
        <f t="shared" si="116"/>
        <v>3.6588380716934482E-4</v>
      </c>
      <c r="CD125" s="31">
        <f t="shared" si="117"/>
        <v>3.2563658838071695E-4</v>
      </c>
      <c r="CE125">
        <v>0.01</v>
      </c>
      <c r="CF125">
        <v>0.01</v>
      </c>
      <c r="CG125">
        <v>2E-3</v>
      </c>
      <c r="CH125">
        <v>1E-3</v>
      </c>
      <c r="CI125">
        <v>1E-3</v>
      </c>
      <c r="CK125">
        <v>2E-3</v>
      </c>
      <c r="CL125">
        <v>1E-3</v>
      </c>
      <c r="CM125">
        <v>1E-3</v>
      </c>
      <c r="CN125" s="58">
        <f t="shared" si="143"/>
        <v>4031.19</v>
      </c>
      <c r="CO125" s="58">
        <f t="shared" si="118"/>
        <v>431.19</v>
      </c>
      <c r="CP125" s="31">
        <f t="shared" si="119"/>
        <v>1.5098046989535507</v>
      </c>
      <c r="CQ125" s="31">
        <f t="shared" si="120"/>
        <v>0.16159528957538075</v>
      </c>
      <c r="CR125">
        <v>4000</v>
      </c>
      <c r="CS125">
        <v>5100</v>
      </c>
      <c r="CT125">
        <v>1800</v>
      </c>
      <c r="CU125" t="s">
        <v>69</v>
      </c>
      <c r="CV125" t="s">
        <v>69</v>
      </c>
      <c r="CW125">
        <v>7000</v>
      </c>
      <c r="CX125" s="2">
        <f t="shared" si="150"/>
        <v>5633</v>
      </c>
      <c r="CZ125">
        <v>72</v>
      </c>
      <c r="DA125" t="s">
        <v>62</v>
      </c>
      <c r="DB125" t="s">
        <v>88</v>
      </c>
      <c r="DC125" t="s">
        <v>782</v>
      </c>
      <c r="DD125" s="37">
        <f t="shared" si="151"/>
        <v>11.044763689360815</v>
      </c>
      <c r="DE125" s="37">
        <f t="shared" si="144"/>
        <v>11.044763689360815</v>
      </c>
      <c r="DF125" s="37">
        <v>0.02</v>
      </c>
      <c r="DG125" s="37">
        <f t="shared" si="152"/>
        <v>3.5810205908683976E-4</v>
      </c>
      <c r="DH125" s="37">
        <f t="shared" si="121"/>
        <v>3.5810205908683976E-4</v>
      </c>
      <c r="DI125" s="37">
        <f t="shared" si="153"/>
        <v>11.064763689360815</v>
      </c>
      <c r="DJ125" s="37">
        <f t="shared" si="122"/>
        <v>0.19811573302347027</v>
      </c>
      <c r="DK125" s="37">
        <f t="shared" si="123"/>
        <v>0.19811573302347027</v>
      </c>
      <c r="DL125" s="55">
        <f t="shared" si="124"/>
        <v>11.044763689360815</v>
      </c>
      <c r="DM125" s="55">
        <f t="shared" si="124"/>
        <v>11.044763689360815</v>
      </c>
      <c r="DN125" s="37">
        <f t="shared" si="125"/>
        <v>11.064763689360815</v>
      </c>
      <c r="DO125" s="55">
        <f t="shared" si="126"/>
        <v>0.19811573302347027</v>
      </c>
      <c r="DP125" s="55">
        <f t="shared" si="127"/>
        <v>0.19811573302347027</v>
      </c>
      <c r="DQ125" s="37">
        <v>0.8</v>
      </c>
      <c r="DR125" s="37">
        <f t="shared" si="128"/>
        <v>1.4563990533406155E-2</v>
      </c>
      <c r="DS125" s="37">
        <f t="shared" si="129"/>
        <v>2.912798106681231E-2</v>
      </c>
      <c r="DT125" s="37">
        <f t="shared" si="154"/>
        <v>13.603121518724025</v>
      </c>
      <c r="DU125" s="37">
        <f t="shared" si="155"/>
        <v>6.8015607593620127</v>
      </c>
      <c r="DV125" s="37">
        <f t="shared" si="156"/>
        <v>11.864763689360815</v>
      </c>
      <c r="DW125" s="37">
        <f t="shared" si="157"/>
        <v>0.22724371409028257</v>
      </c>
      <c r="DX125" t="s">
        <v>780</v>
      </c>
      <c r="DY125" t="s">
        <v>135</v>
      </c>
      <c r="DZ125" s="29">
        <f t="shared" si="167"/>
        <v>1</v>
      </c>
      <c r="EA125" s="30">
        <v>1.7000000000000001E-2</v>
      </c>
      <c r="EB125" s="30">
        <f t="shared" si="130"/>
        <v>2.741935483870968E-4</v>
      </c>
      <c r="EC125" s="30">
        <f t="shared" si="131"/>
        <v>1.370967741935484E-3</v>
      </c>
      <c r="ED125" s="31">
        <f t="shared" si="168"/>
        <v>19</v>
      </c>
      <c r="EE125" s="33">
        <f t="shared" si="169"/>
        <v>24.050632911392405</v>
      </c>
      <c r="EF125" s="37">
        <f t="shared" si="158"/>
        <v>1.5823443681032687</v>
      </c>
      <c r="EG125" s="37">
        <f>$EK120-EK125</f>
        <v>19</v>
      </c>
      <c r="EH125" s="33">
        <f>(EG125/$EK$120)*100</f>
        <v>24.050632911392405</v>
      </c>
      <c r="EI125" s="37">
        <f t="shared" si="165"/>
        <v>1.5823443681032687</v>
      </c>
      <c r="EJ125" s="37">
        <f t="shared" si="166"/>
        <v>1.5823443681032687</v>
      </c>
      <c r="EK125" s="31">
        <v>60</v>
      </c>
      <c r="EL125" s="31">
        <f t="shared" si="132"/>
        <v>0.62460961898813239</v>
      </c>
      <c r="EM125" s="31">
        <f t="shared" si="133"/>
        <v>4.9968769519050591</v>
      </c>
      <c r="EN125" s="32">
        <f t="shared" si="159"/>
        <v>4.9982479196469942</v>
      </c>
      <c r="EO125" s="39">
        <f t="shared" si="163"/>
        <v>1.8095880821935513</v>
      </c>
      <c r="EP125" s="37">
        <f t="shared" si="160"/>
        <v>1.6096470436246395E-2</v>
      </c>
      <c r="EQ125" s="37">
        <f t="shared" si="161"/>
        <v>0.10948112168340422</v>
      </c>
      <c r="ER125" s="37">
        <f t="shared" si="162"/>
        <v>0.87442240788034942</v>
      </c>
      <c r="ES125" s="39">
        <f t="shared" si="135"/>
        <v>1.8095880821935513</v>
      </c>
      <c r="ET125" s="55">
        <f t="shared" si="136"/>
        <v>10.948112168340423</v>
      </c>
      <c r="EU125" s="55">
        <f t="shared" si="137"/>
        <v>1.6096470436246395</v>
      </c>
      <c r="EV125" s="55">
        <f t="shared" si="138"/>
        <v>87.442240788034937</v>
      </c>
      <c r="EW125" t="s">
        <v>163</v>
      </c>
      <c r="EX125" t="s">
        <v>627</v>
      </c>
      <c r="EY125">
        <v>-11</v>
      </c>
      <c r="EZ125" t="s">
        <v>551</v>
      </c>
      <c r="FA125">
        <v>1041</v>
      </c>
      <c r="FB125" t="s">
        <v>113</v>
      </c>
      <c r="FC125" t="s">
        <v>88</v>
      </c>
      <c r="FD125" s="39">
        <f t="shared" si="139"/>
        <v>-3.6201112220502374E-2</v>
      </c>
      <c r="FE125" s="39">
        <f t="shared" si="140"/>
        <v>0.12539417735487834</v>
      </c>
      <c r="FF125" s="39">
        <f t="shared" si="141"/>
        <v>-3.6201112220502374E-2</v>
      </c>
      <c r="FG125" s="39">
        <f t="shared" si="142"/>
        <v>0.12539417735487834</v>
      </c>
    </row>
    <row r="126" spans="1:163" ht="15.75" x14ac:dyDescent="0.25">
      <c r="A126" s="8" t="s">
        <v>384</v>
      </c>
      <c r="B126" s="8" t="s">
        <v>384</v>
      </c>
      <c r="C126" s="3" t="s">
        <v>915</v>
      </c>
      <c r="D126" s="3" t="s">
        <v>915</v>
      </c>
      <c r="E126" s="3" t="s">
        <v>1309</v>
      </c>
      <c r="F126" s="3" t="s">
        <v>1027</v>
      </c>
      <c r="G126" s="3" t="s">
        <v>772</v>
      </c>
      <c r="H126" s="3" t="str">
        <f t="shared" si="87"/>
        <v>CW_1_Section_2</v>
      </c>
      <c r="I126" s="3" t="str">
        <f t="shared" si="88"/>
        <v>CW_1_MF05</v>
      </c>
      <c r="J126" s="3" t="s">
        <v>1496</v>
      </c>
      <c r="K126" s="3" t="s">
        <v>1484</v>
      </c>
      <c r="L126" s="11" t="s">
        <v>1028</v>
      </c>
      <c r="M126" s="3" t="s">
        <v>1015</v>
      </c>
      <c r="N126" s="3" t="s">
        <v>1015</v>
      </c>
      <c r="O126" s="12" t="s">
        <v>1016</v>
      </c>
      <c r="P126" s="3" t="s">
        <v>1310</v>
      </c>
      <c r="Q126" s="3" t="s">
        <v>1018</v>
      </c>
      <c r="R126" s="3" t="s">
        <v>1297</v>
      </c>
      <c r="S126" s="3" t="str">
        <f t="shared" si="89"/>
        <v>T5_0.15-0.30</v>
      </c>
      <c r="T126" s="13" t="s">
        <v>1298</v>
      </c>
      <c r="U126" s="3" t="s">
        <v>1053</v>
      </c>
      <c r="V126" s="3">
        <v>150</v>
      </c>
      <c r="W126" s="3">
        <v>65</v>
      </c>
      <c r="X126" s="3">
        <v>7.2</v>
      </c>
      <c r="Y126" s="3">
        <v>125</v>
      </c>
      <c r="Z126" t="s">
        <v>628</v>
      </c>
      <c r="AA126" t="s">
        <v>167</v>
      </c>
      <c r="AB126" s="1">
        <v>45825</v>
      </c>
      <c r="AC126">
        <v>13</v>
      </c>
      <c r="AD126">
        <v>12</v>
      </c>
      <c r="AE126">
        <v>490</v>
      </c>
      <c r="AF126" s="37">
        <f t="shared" si="103"/>
        <v>0.18819613365766227</v>
      </c>
      <c r="AG126">
        <v>1</v>
      </c>
      <c r="AH126" s="37">
        <f t="shared" si="104"/>
        <v>3.9070978945083569E-4</v>
      </c>
      <c r="AI126">
        <v>250</v>
      </c>
      <c r="AJ126" s="37">
        <f t="shared" si="105"/>
        <v>9.8897993783554669E-2</v>
      </c>
      <c r="AK126">
        <v>72</v>
      </c>
      <c r="AL126" s="37">
        <f t="shared" si="106"/>
        <v>2.8482622209663747E-2</v>
      </c>
      <c r="AM126">
        <v>54</v>
      </c>
      <c r="AN126" s="37">
        <f t="shared" si="107"/>
        <v>2.1361966657247811E-2</v>
      </c>
      <c r="AO126">
        <v>126</v>
      </c>
      <c r="AQ126" s="59">
        <v>873</v>
      </c>
      <c r="AR126" s="59">
        <f t="shared" si="108"/>
        <v>0.28748483723066776</v>
      </c>
      <c r="AS126">
        <v>2000</v>
      </c>
      <c r="AT126" s="37">
        <f t="shared" si="109"/>
        <v>0.74900522743231646</v>
      </c>
      <c r="AU126" t="s">
        <v>780</v>
      </c>
      <c r="AV126" t="s">
        <v>780</v>
      </c>
      <c r="AW126" t="s">
        <v>780</v>
      </c>
      <c r="AX126" t="s">
        <v>780</v>
      </c>
      <c r="AY126" t="s">
        <v>780</v>
      </c>
      <c r="AZ126" t="s">
        <v>780</v>
      </c>
      <c r="BA126" t="s">
        <v>780</v>
      </c>
      <c r="BB126" t="s">
        <v>780</v>
      </c>
      <c r="BC126" t="s">
        <v>780</v>
      </c>
      <c r="BD126" t="s">
        <v>780</v>
      </c>
      <c r="BE126" t="s">
        <v>780</v>
      </c>
      <c r="BF126" t="s">
        <v>780</v>
      </c>
      <c r="BG126" t="s">
        <v>780</v>
      </c>
      <c r="BH126" t="s">
        <v>780</v>
      </c>
      <c r="BI126" t="s">
        <v>780</v>
      </c>
      <c r="BJ126" t="s">
        <v>780</v>
      </c>
      <c r="BK126" t="s">
        <v>780</v>
      </c>
      <c r="BL126" t="s">
        <v>780</v>
      </c>
      <c r="BM126" t="s">
        <v>780</v>
      </c>
      <c r="BN126" t="s">
        <v>780</v>
      </c>
      <c r="BO126" s="58">
        <v>2100</v>
      </c>
      <c r="BP126" s="58">
        <v>0.74</v>
      </c>
      <c r="BQ126" s="58">
        <v>0.18</v>
      </c>
      <c r="BR126" s="58">
        <v>0.09</v>
      </c>
      <c r="BS126" s="58">
        <v>0.08</v>
      </c>
      <c r="BT126" s="58">
        <v>0.01</v>
      </c>
      <c r="BU126" s="58">
        <v>0.01</v>
      </c>
      <c r="BV126" s="58">
        <v>2E-3</v>
      </c>
      <c r="BW126" s="31">
        <f t="shared" si="110"/>
        <v>0.78645548880393235</v>
      </c>
      <c r="BX126" s="31">
        <f t="shared" si="111"/>
        <v>2.7229121492870751E-4</v>
      </c>
      <c r="BY126" s="31">
        <f t="shared" si="112"/>
        <v>6.7699889760715914E-5</v>
      </c>
      <c r="BZ126" s="31">
        <f t="shared" si="113"/>
        <v>3.3569967512934667E-5</v>
      </c>
      <c r="CA126" s="31">
        <f t="shared" si="114"/>
        <v>2.9624642316108399E-5</v>
      </c>
      <c r="CB126" s="31">
        <f t="shared" si="115"/>
        <v>3.7030802895135499E-6</v>
      </c>
      <c r="CC126" s="31">
        <f t="shared" si="116"/>
        <v>3.6588380716934487E-6</v>
      </c>
      <c r="CD126" s="31">
        <f t="shared" si="117"/>
        <v>7.3176761433868969E-7</v>
      </c>
      <c r="CE126">
        <v>1E-3</v>
      </c>
      <c r="CF126">
        <v>1E-3</v>
      </c>
      <c r="CG126">
        <v>2E-3</v>
      </c>
      <c r="CH126">
        <v>1E-3</v>
      </c>
      <c r="CI126">
        <v>1E-3</v>
      </c>
      <c r="CK126">
        <v>2E-3</v>
      </c>
      <c r="CL126">
        <v>1E-3</v>
      </c>
      <c r="CM126">
        <v>1E-3</v>
      </c>
      <c r="CN126" s="58">
        <f t="shared" si="143"/>
        <v>2101.1120000000001</v>
      </c>
      <c r="CO126" s="58">
        <f t="shared" si="118"/>
        <v>1.1120000000000001</v>
      </c>
      <c r="CP126" s="31">
        <f t="shared" si="119"/>
        <v>0.78686676820442647</v>
      </c>
      <c r="CQ126" s="31">
        <f t="shared" si="120"/>
        <v>4.1127940049401221E-4</v>
      </c>
      <c r="CR126">
        <v>2100</v>
      </c>
      <c r="CS126">
        <v>2900</v>
      </c>
      <c r="CT126">
        <v>70</v>
      </c>
      <c r="CU126" t="s">
        <v>69</v>
      </c>
      <c r="CV126" t="s">
        <v>69</v>
      </c>
      <c r="CW126">
        <v>3000</v>
      </c>
      <c r="CX126" s="2">
        <f t="shared" si="150"/>
        <v>2973</v>
      </c>
      <c r="CZ126">
        <v>68</v>
      </c>
      <c r="DA126" t="s">
        <v>62</v>
      </c>
      <c r="DB126" t="s">
        <v>88</v>
      </c>
      <c r="DC126" t="s">
        <v>257</v>
      </c>
      <c r="DD126" s="37">
        <f t="shared" si="151"/>
        <v>45.632313137622319</v>
      </c>
      <c r="DE126" s="37">
        <f t="shared" si="144"/>
        <v>45.632313137622319</v>
      </c>
      <c r="DF126" s="37">
        <v>12</v>
      </c>
      <c r="DG126" s="37">
        <f t="shared" si="152"/>
        <v>0.21486123545210384</v>
      </c>
      <c r="DH126" s="37">
        <f t="shared" si="121"/>
        <v>0.21486123545210384</v>
      </c>
      <c r="DI126" s="37">
        <f t="shared" si="153"/>
        <v>57.632313137622319</v>
      </c>
      <c r="DJ126" s="37">
        <f t="shared" si="122"/>
        <v>1.0319125002260039</v>
      </c>
      <c r="DK126" s="37">
        <f t="shared" si="123"/>
        <v>1.0319125002260039</v>
      </c>
      <c r="DL126" s="55">
        <f t="shared" si="124"/>
        <v>11.916718717468248</v>
      </c>
      <c r="DM126" s="55">
        <f t="shared" si="124"/>
        <v>11.916718717468248</v>
      </c>
      <c r="DN126" s="37">
        <f t="shared" si="125"/>
        <v>23.91671871746825</v>
      </c>
      <c r="DO126" s="55">
        <f t="shared" si="126"/>
        <v>0.42823131096630707</v>
      </c>
      <c r="DP126" s="55">
        <f t="shared" si="127"/>
        <v>0.42823131096630707</v>
      </c>
      <c r="DQ126" s="37">
        <v>3</v>
      </c>
      <c r="DR126" s="37">
        <f t="shared" si="128"/>
        <v>5.4614964500273075E-2</v>
      </c>
      <c r="DS126" s="37">
        <f t="shared" si="129"/>
        <v>0.10922992900054615</v>
      </c>
      <c r="DT126" s="37">
        <f t="shared" si="154"/>
        <v>18.894317879138132</v>
      </c>
      <c r="DU126" s="37">
        <f t="shared" si="155"/>
        <v>9.447158939569066</v>
      </c>
      <c r="DV126" s="37">
        <f t="shared" si="156"/>
        <v>60.632313137622319</v>
      </c>
      <c r="DW126" s="37">
        <f t="shared" si="157"/>
        <v>1.14114242922655</v>
      </c>
      <c r="DX126" t="s">
        <v>780</v>
      </c>
      <c r="DY126" t="s">
        <v>121</v>
      </c>
      <c r="DZ126" s="29">
        <f t="shared" si="167"/>
        <v>10.588235294117647</v>
      </c>
      <c r="EA126" s="30">
        <v>0.18</v>
      </c>
      <c r="EB126" s="30">
        <f t="shared" si="130"/>
        <v>2.9032258064516127E-3</v>
      </c>
      <c r="EC126" s="30">
        <f t="shared" si="131"/>
        <v>1.4516129032258063E-2</v>
      </c>
      <c r="ED126" s="31">
        <f t="shared" si="168"/>
        <v>78.5</v>
      </c>
      <c r="EE126" s="33">
        <f t="shared" si="169"/>
        <v>99.367088607594937</v>
      </c>
      <c r="EF126" s="37">
        <f t="shared" si="158"/>
        <v>6.5375806787424526</v>
      </c>
      <c r="EG126" s="37">
        <f>$EK124-EK126</f>
        <v>20.5</v>
      </c>
      <c r="EH126" s="33">
        <f>(EG126/$EK124)*100</f>
        <v>97.61904761904762</v>
      </c>
      <c r="EI126" s="37">
        <f t="shared" si="165"/>
        <v>1.7072662919008952</v>
      </c>
      <c r="EJ126" s="37">
        <f t="shared" si="166"/>
        <v>1.7072662919008952</v>
      </c>
      <c r="EK126" s="31">
        <v>0.5</v>
      </c>
      <c r="EL126" s="31">
        <f t="shared" si="132"/>
        <v>5.2050801582344368E-3</v>
      </c>
      <c r="EM126" s="31">
        <f t="shared" si="133"/>
        <v>4.1640641265875494E-2</v>
      </c>
      <c r="EN126" s="32">
        <f t="shared" si="159"/>
        <v>5.6156770298133554E-2</v>
      </c>
      <c r="EO126" s="39">
        <f t="shared" si="163"/>
        <v>7.6787231079690024</v>
      </c>
      <c r="EP126" s="37">
        <f t="shared" si="160"/>
        <v>1.4225012083999617E-2</v>
      </c>
      <c r="EQ126" s="37">
        <f t="shared" si="161"/>
        <v>0.13438595007483495</v>
      </c>
      <c r="ER126" s="37">
        <f t="shared" si="162"/>
        <v>0.85138903784116549</v>
      </c>
      <c r="ES126" s="39">
        <f t="shared" si="135"/>
        <v>2.2447275318677482</v>
      </c>
      <c r="ET126" s="55">
        <f t="shared" si="136"/>
        <v>19.077206693767099</v>
      </c>
      <c r="EU126" s="55">
        <f t="shared" si="137"/>
        <v>4.8660662574784874</v>
      </c>
      <c r="EV126" s="55">
        <f t="shared" si="138"/>
        <v>76.056727048754425</v>
      </c>
      <c r="EW126" t="s">
        <v>157</v>
      </c>
      <c r="EX126" t="s">
        <v>629</v>
      </c>
      <c r="EY126">
        <v>-58</v>
      </c>
      <c r="EZ126" t="s">
        <v>202</v>
      </c>
      <c r="FA126">
        <v>955</v>
      </c>
      <c r="FB126" t="s">
        <v>113</v>
      </c>
      <c r="FC126" t="s">
        <v>88</v>
      </c>
      <c r="FD126" s="39">
        <f t="shared" si="139"/>
        <v>-6.6422330433060184</v>
      </c>
      <c r="FE126" s="39">
        <f t="shared" si="140"/>
        <v>-6.6418217639055239</v>
      </c>
      <c r="FF126" s="39">
        <f t="shared" si="141"/>
        <v>-1.208237467204764</v>
      </c>
      <c r="FG126" s="39">
        <f t="shared" si="142"/>
        <v>-1.20782618780427</v>
      </c>
    </row>
    <row r="127" spans="1:163" ht="15.75" x14ac:dyDescent="0.25">
      <c r="A127" s="8" t="s">
        <v>385</v>
      </c>
      <c r="B127" s="8" t="s">
        <v>385</v>
      </c>
      <c r="C127" s="3" t="s">
        <v>916</v>
      </c>
      <c r="D127" s="3" t="s">
        <v>916</v>
      </c>
      <c r="E127" s="3" t="s">
        <v>1311</v>
      </c>
      <c r="F127" s="3" t="s">
        <v>1027</v>
      </c>
      <c r="G127" s="3" t="s">
        <v>772</v>
      </c>
      <c r="H127" s="3" t="str">
        <f t="shared" si="87"/>
        <v>CW_1_Section_2</v>
      </c>
      <c r="I127" s="3" t="str">
        <f t="shared" si="88"/>
        <v>CW_1_MF06</v>
      </c>
      <c r="J127" s="3" t="s">
        <v>1497</v>
      </c>
      <c r="K127" s="3" t="s">
        <v>1484</v>
      </c>
      <c r="L127" s="11" t="s">
        <v>1031</v>
      </c>
      <c r="M127" s="3" t="s">
        <v>1024</v>
      </c>
      <c r="N127" s="3" t="s">
        <v>1024</v>
      </c>
      <c r="O127" s="12" t="s">
        <v>1016</v>
      </c>
      <c r="P127" s="3" t="s">
        <v>1312</v>
      </c>
      <c r="Q127" s="3" t="s">
        <v>1018</v>
      </c>
      <c r="R127" s="3" t="s">
        <v>1297</v>
      </c>
      <c r="S127" s="3" t="str">
        <f t="shared" si="89"/>
        <v>T5_0.60-0.80</v>
      </c>
      <c r="T127" s="13" t="s">
        <v>1298</v>
      </c>
      <c r="U127" s="3" t="s">
        <v>1053</v>
      </c>
      <c r="V127" s="3">
        <v>150</v>
      </c>
      <c r="W127" s="3">
        <v>65</v>
      </c>
      <c r="X127" s="3">
        <v>3.8</v>
      </c>
      <c r="Y127" s="3">
        <v>126</v>
      </c>
      <c r="Z127" t="s">
        <v>630</v>
      </c>
      <c r="AA127" t="s">
        <v>115</v>
      </c>
      <c r="AB127" s="1">
        <v>45825</v>
      </c>
      <c r="AC127">
        <v>11</v>
      </c>
      <c r="AD127">
        <v>12</v>
      </c>
      <c r="AE127">
        <v>640</v>
      </c>
      <c r="AF127" s="37">
        <f t="shared" si="103"/>
        <v>0.24580719498143644</v>
      </c>
      <c r="AG127">
        <v>1</v>
      </c>
      <c r="AH127" s="37">
        <f t="shared" si="104"/>
        <v>3.9070978945083569E-4</v>
      </c>
      <c r="AI127">
        <v>550</v>
      </c>
      <c r="AJ127" s="37">
        <f t="shared" si="105"/>
        <v>0.21757558632382029</v>
      </c>
      <c r="AK127">
        <v>120</v>
      </c>
      <c r="AL127" s="37">
        <f t="shared" si="106"/>
        <v>4.7471037016106249E-2</v>
      </c>
      <c r="AM127">
        <v>63</v>
      </c>
      <c r="AN127" s="37">
        <f t="shared" si="107"/>
        <v>2.4922294433455779E-2</v>
      </c>
      <c r="AO127">
        <v>183</v>
      </c>
      <c r="AQ127" s="59">
        <v>1380</v>
      </c>
      <c r="AR127" s="59">
        <f t="shared" si="108"/>
        <v>0.46377349109470756</v>
      </c>
      <c r="AS127">
        <v>1900</v>
      </c>
      <c r="AT127" s="37">
        <f t="shared" si="109"/>
        <v>0.71155496606070068</v>
      </c>
      <c r="AU127" t="s">
        <v>780</v>
      </c>
      <c r="AV127" t="s">
        <v>780</v>
      </c>
      <c r="AW127" t="s">
        <v>780</v>
      </c>
      <c r="AX127" t="s">
        <v>780</v>
      </c>
      <c r="AY127" t="s">
        <v>780</v>
      </c>
      <c r="AZ127" t="s">
        <v>780</v>
      </c>
      <c r="BA127" t="s">
        <v>780</v>
      </c>
      <c r="BB127" t="s">
        <v>780</v>
      </c>
      <c r="BC127" t="s">
        <v>780</v>
      </c>
      <c r="BD127" t="s">
        <v>780</v>
      </c>
      <c r="BE127" t="s">
        <v>780</v>
      </c>
      <c r="BF127" t="s">
        <v>780</v>
      </c>
      <c r="BG127" t="s">
        <v>780</v>
      </c>
      <c r="BH127" t="s">
        <v>780</v>
      </c>
      <c r="BI127" t="s">
        <v>780</v>
      </c>
      <c r="BJ127" t="s">
        <v>780</v>
      </c>
      <c r="BK127" t="s">
        <v>780</v>
      </c>
      <c r="BL127" t="s">
        <v>780</v>
      </c>
      <c r="BM127" t="s">
        <v>780</v>
      </c>
      <c r="BN127" t="s">
        <v>780</v>
      </c>
      <c r="BO127" s="58">
        <v>1900</v>
      </c>
      <c r="BP127" s="58">
        <v>2</v>
      </c>
      <c r="BQ127" s="58">
        <v>200</v>
      </c>
      <c r="BR127" s="58">
        <v>41</v>
      </c>
      <c r="BS127" s="58">
        <v>15</v>
      </c>
      <c r="BT127" s="58">
        <v>1.5</v>
      </c>
      <c r="BU127" s="58">
        <v>0.05</v>
      </c>
      <c r="BV127" s="58">
        <v>0.02</v>
      </c>
      <c r="BW127" s="31">
        <f t="shared" si="110"/>
        <v>0.71155496606070068</v>
      </c>
      <c r="BX127" s="31">
        <f t="shared" si="111"/>
        <v>7.3592220251002033E-4</v>
      </c>
      <c r="BY127" s="31">
        <f t="shared" si="112"/>
        <v>7.5222099734128786E-2</v>
      </c>
      <c r="BZ127" s="31">
        <f t="shared" si="113"/>
        <v>1.5292985200336905E-2</v>
      </c>
      <c r="CA127" s="31">
        <f t="shared" si="114"/>
        <v>5.5546204342703251E-3</v>
      </c>
      <c r="CB127" s="31">
        <f t="shared" si="115"/>
        <v>5.5546204342703253E-4</v>
      </c>
      <c r="CC127" s="31">
        <f t="shared" si="116"/>
        <v>1.8294190358467248E-5</v>
      </c>
      <c r="CD127" s="31">
        <f t="shared" si="117"/>
        <v>7.3176761433868973E-6</v>
      </c>
      <c r="CE127">
        <v>1E-3</v>
      </c>
      <c r="CF127">
        <v>1E-3</v>
      </c>
      <c r="CG127">
        <v>2E-3</v>
      </c>
      <c r="CH127">
        <v>1E-3</v>
      </c>
      <c r="CI127">
        <v>1E-3</v>
      </c>
      <c r="CK127">
        <v>2E-3</v>
      </c>
      <c r="CL127">
        <v>1E-3</v>
      </c>
      <c r="CM127">
        <v>1E-3</v>
      </c>
      <c r="CN127" s="58">
        <f t="shared" si="143"/>
        <v>2159.5700000000002</v>
      </c>
      <c r="CO127" s="58">
        <f t="shared" si="118"/>
        <v>259.57</v>
      </c>
      <c r="CP127" s="31">
        <f t="shared" si="119"/>
        <v>0.80894166754187569</v>
      </c>
      <c r="CQ127" s="31">
        <f t="shared" si="120"/>
        <v>9.7386701481174925E-2</v>
      </c>
      <c r="CR127">
        <v>2100</v>
      </c>
      <c r="CS127">
        <v>3200</v>
      </c>
      <c r="CT127">
        <v>1100</v>
      </c>
      <c r="CU127" t="s">
        <v>69</v>
      </c>
      <c r="CV127" t="s">
        <v>69</v>
      </c>
      <c r="CW127">
        <v>4300</v>
      </c>
      <c r="CX127" s="2">
        <f t="shared" si="150"/>
        <v>3480</v>
      </c>
      <c r="CZ127">
        <v>69</v>
      </c>
      <c r="DA127" t="s">
        <v>62</v>
      </c>
      <c r="DB127" t="s">
        <v>88</v>
      </c>
      <c r="DC127" t="s">
        <v>782</v>
      </c>
      <c r="DD127" s="37">
        <f t="shared" si="151"/>
        <v>24.996044139079739</v>
      </c>
      <c r="DE127" s="37">
        <f t="shared" si="144"/>
        <v>24.996044139079739</v>
      </c>
      <c r="DF127" s="37">
        <v>0.8</v>
      </c>
      <c r="DG127" s="37">
        <f t="shared" si="152"/>
        <v>1.432408236347359E-2</v>
      </c>
      <c r="DH127" s="37">
        <f t="shared" si="121"/>
        <v>1.432408236347359E-2</v>
      </c>
      <c r="DI127" s="37">
        <f t="shared" si="153"/>
        <v>25.79604413907974</v>
      </c>
      <c r="DJ127" s="37">
        <f t="shared" si="122"/>
        <v>0.46188082612497294</v>
      </c>
      <c r="DK127" s="37">
        <f t="shared" si="123"/>
        <v>0.46188082612497294</v>
      </c>
      <c r="DL127" s="55">
        <f t="shared" si="124"/>
        <v>13.951280449718926</v>
      </c>
      <c r="DM127" s="55">
        <f t="shared" si="124"/>
        <v>13.951280449718926</v>
      </c>
      <c r="DN127" s="37">
        <f t="shared" si="125"/>
        <v>14.751280449718926</v>
      </c>
      <c r="DO127" s="55">
        <f t="shared" si="126"/>
        <v>0.26412319516058952</v>
      </c>
      <c r="DP127" s="55">
        <f t="shared" si="127"/>
        <v>0.26412319516058952</v>
      </c>
      <c r="DQ127" s="37">
        <v>1.1000000000000001</v>
      </c>
      <c r="DR127" s="37">
        <f t="shared" si="128"/>
        <v>2.0025486983433462E-2</v>
      </c>
      <c r="DS127" s="37">
        <f t="shared" si="129"/>
        <v>4.0050973966866923E-2</v>
      </c>
      <c r="DT127" s="37">
        <f t="shared" si="154"/>
        <v>23.064648890040694</v>
      </c>
      <c r="DU127" s="37">
        <f t="shared" si="155"/>
        <v>11.532324445020347</v>
      </c>
      <c r="DV127" s="37">
        <f t="shared" si="156"/>
        <v>26.896044139079741</v>
      </c>
      <c r="DW127" s="37">
        <f t="shared" si="157"/>
        <v>0.50193180009183991</v>
      </c>
      <c r="DX127" t="s">
        <v>780</v>
      </c>
      <c r="DY127" t="s">
        <v>631</v>
      </c>
      <c r="DZ127" s="29">
        <f t="shared" si="167"/>
        <v>1</v>
      </c>
      <c r="EA127" s="30">
        <v>1.7000000000000001E-2</v>
      </c>
      <c r="EB127" s="30">
        <f t="shared" si="130"/>
        <v>2.741935483870968E-4</v>
      </c>
      <c r="EC127" s="30">
        <f t="shared" si="131"/>
        <v>1.370967741935484E-3</v>
      </c>
      <c r="ED127" s="31">
        <f t="shared" si="168"/>
        <v>43</v>
      </c>
      <c r="EE127" s="33">
        <f t="shared" si="169"/>
        <v>54.430379746835442</v>
      </c>
      <c r="EF127" s="37">
        <f t="shared" si="158"/>
        <v>3.5810951488652925</v>
      </c>
      <c r="EG127" s="37">
        <f>$EK125-EK127</f>
        <v>24</v>
      </c>
      <c r="EH127" s="33">
        <f>(EG127/$EK125)*100</f>
        <v>40</v>
      </c>
      <c r="EI127" s="37">
        <f t="shared" si="165"/>
        <v>1.9987507807620237</v>
      </c>
      <c r="EJ127" s="37">
        <f t="shared" si="166"/>
        <v>1.9987507807620237</v>
      </c>
      <c r="EK127" s="31">
        <v>36</v>
      </c>
      <c r="EL127" s="31">
        <f t="shared" si="132"/>
        <v>0.37476577139287942</v>
      </c>
      <c r="EM127" s="31">
        <f t="shared" si="133"/>
        <v>2.9981261711430354</v>
      </c>
      <c r="EN127" s="32">
        <f t="shared" si="159"/>
        <v>2.9994971388849709</v>
      </c>
      <c r="EO127" s="39">
        <f t="shared" si="163"/>
        <v>4.0830269489571327</v>
      </c>
      <c r="EP127" s="37">
        <f t="shared" si="160"/>
        <v>9.8091377959424325E-3</v>
      </c>
      <c r="EQ127" s="37">
        <f t="shared" si="161"/>
        <v>0.11312215958871992</v>
      </c>
      <c r="ER127" s="37">
        <f t="shared" si="162"/>
        <v>0.87706870261533754</v>
      </c>
      <c r="ES127" s="39">
        <f t="shared" si="135"/>
        <v>2.3029249498894799</v>
      </c>
      <c r="ET127" s="55">
        <f t="shared" si="136"/>
        <v>11.469031814226733</v>
      </c>
      <c r="EU127" s="55">
        <f t="shared" si="137"/>
        <v>1.7391350060621393</v>
      </c>
      <c r="EV127" s="55">
        <f t="shared" si="138"/>
        <v>86.791833179711148</v>
      </c>
      <c r="EW127" t="s">
        <v>139</v>
      </c>
      <c r="EX127" t="s">
        <v>533</v>
      </c>
      <c r="EY127" t="s">
        <v>632</v>
      </c>
      <c r="EZ127" t="s">
        <v>633</v>
      </c>
      <c r="FA127">
        <v>994</v>
      </c>
      <c r="FB127" t="s">
        <v>113</v>
      </c>
      <c r="FC127" t="s">
        <v>88</v>
      </c>
      <c r="FD127" s="39">
        <f t="shared" si="139"/>
        <v>-2.9076984918017246</v>
      </c>
      <c r="FE127" s="39">
        <f t="shared" si="140"/>
        <v>-2.8103117903205499</v>
      </c>
      <c r="FF127" s="39">
        <f t="shared" si="141"/>
        <v>-1.1275964927340718</v>
      </c>
      <c r="FG127" s="39">
        <f t="shared" si="142"/>
        <v>-1.0302097912528969</v>
      </c>
    </row>
    <row r="128" spans="1:163" ht="15.75" x14ac:dyDescent="0.25">
      <c r="A128" s="8" t="s">
        <v>386</v>
      </c>
      <c r="B128" s="8" t="s">
        <v>386</v>
      </c>
      <c r="C128" s="3" t="s">
        <v>917</v>
      </c>
      <c r="D128" s="3" t="s">
        <v>917</v>
      </c>
      <c r="E128" s="3" t="s">
        <v>1313</v>
      </c>
      <c r="F128" s="3" t="s">
        <v>1034</v>
      </c>
      <c r="G128" s="3" t="s">
        <v>772</v>
      </c>
      <c r="H128" s="3" t="str">
        <f t="shared" si="87"/>
        <v>CW_1_Section_3</v>
      </c>
      <c r="I128" s="3" t="str">
        <f t="shared" si="88"/>
        <v>CW_1_MF09</v>
      </c>
      <c r="J128" s="3" t="s">
        <v>1492</v>
      </c>
      <c r="K128" s="3" t="s">
        <v>1484</v>
      </c>
      <c r="L128" s="11" t="s">
        <v>1035</v>
      </c>
      <c r="M128" s="3" t="s">
        <v>1015</v>
      </c>
      <c r="N128" s="3" t="s">
        <v>1015</v>
      </c>
      <c r="O128" s="12" t="s">
        <v>1016</v>
      </c>
      <c r="P128" s="3" t="s">
        <v>1314</v>
      </c>
      <c r="Q128" s="3" t="s">
        <v>1018</v>
      </c>
      <c r="R128" s="3" t="s">
        <v>1297</v>
      </c>
      <c r="S128" s="3" t="str">
        <f t="shared" si="89"/>
        <v>T5_0.15-0.30</v>
      </c>
      <c r="T128" s="13" t="s">
        <v>1298</v>
      </c>
      <c r="U128" s="3" t="s">
        <v>1053</v>
      </c>
      <c r="V128" s="3">
        <v>150</v>
      </c>
      <c r="W128" s="3">
        <v>65</v>
      </c>
      <c r="X128" s="3">
        <v>5.8</v>
      </c>
      <c r="Y128" s="3">
        <v>127</v>
      </c>
      <c r="Z128" t="s">
        <v>634</v>
      </c>
      <c r="AA128" t="s">
        <v>74</v>
      </c>
      <c r="AB128" s="1">
        <v>45825</v>
      </c>
      <c r="AC128">
        <v>12</v>
      </c>
      <c r="AD128">
        <v>12</v>
      </c>
      <c r="AE128">
        <v>420</v>
      </c>
      <c r="AF128" s="37">
        <f t="shared" si="103"/>
        <v>0.16131097170656766</v>
      </c>
      <c r="AG128">
        <v>0.5</v>
      </c>
      <c r="AH128" s="37">
        <f t="shared" si="104"/>
        <v>1.9535489472541785E-4</v>
      </c>
      <c r="AI128">
        <v>200</v>
      </c>
      <c r="AJ128" s="37">
        <f t="shared" si="105"/>
        <v>7.9118395026843744E-2</v>
      </c>
      <c r="AK128">
        <v>60</v>
      </c>
      <c r="AL128" s="37">
        <f t="shared" si="106"/>
        <v>2.3735518508053124E-2</v>
      </c>
      <c r="AM128">
        <v>46</v>
      </c>
      <c r="AN128" s="37">
        <f t="shared" si="107"/>
        <v>1.819723085617406E-2</v>
      </c>
      <c r="AO128">
        <v>106</v>
      </c>
      <c r="AQ128" s="59">
        <v>729.5</v>
      </c>
      <c r="AR128" s="59">
        <f t="shared" si="108"/>
        <v>0.24062472162813681</v>
      </c>
      <c r="AS128">
        <v>1200</v>
      </c>
      <c r="AT128" s="37">
        <f t="shared" si="109"/>
        <v>0.44940313645938984</v>
      </c>
      <c r="AU128" t="s">
        <v>780</v>
      </c>
      <c r="AV128" t="s">
        <v>780</v>
      </c>
      <c r="AW128" t="s">
        <v>780</v>
      </c>
      <c r="AX128" t="s">
        <v>780</v>
      </c>
      <c r="AY128" t="s">
        <v>780</v>
      </c>
      <c r="AZ128" t="s">
        <v>780</v>
      </c>
      <c r="BA128" t="s">
        <v>780</v>
      </c>
      <c r="BB128" t="s">
        <v>780</v>
      </c>
      <c r="BC128" t="s">
        <v>780</v>
      </c>
      <c r="BD128" t="s">
        <v>780</v>
      </c>
      <c r="BE128" t="s">
        <v>780</v>
      </c>
      <c r="BF128" t="s">
        <v>780</v>
      </c>
      <c r="BG128" t="s">
        <v>780</v>
      </c>
      <c r="BH128" t="s">
        <v>780</v>
      </c>
      <c r="BI128" t="s">
        <v>780</v>
      </c>
      <c r="BJ128" t="s">
        <v>780</v>
      </c>
      <c r="BK128" t="s">
        <v>780</v>
      </c>
      <c r="BL128" t="s">
        <v>780</v>
      </c>
      <c r="BM128" t="s">
        <v>780</v>
      </c>
      <c r="BN128" t="s">
        <v>780</v>
      </c>
      <c r="BO128" s="58">
        <v>1600</v>
      </c>
      <c r="BP128" s="58">
        <v>0.42</v>
      </c>
      <c r="BQ128" s="58">
        <v>0.17</v>
      </c>
      <c r="BR128" s="58">
        <v>7.0000000000000007E-2</v>
      </c>
      <c r="BS128" s="58">
        <v>0.05</v>
      </c>
      <c r="BT128" s="58">
        <v>0.01</v>
      </c>
      <c r="BU128" s="58">
        <v>0.01</v>
      </c>
      <c r="BV128" s="58">
        <v>2E-3</v>
      </c>
      <c r="BW128" s="31">
        <f t="shared" si="110"/>
        <v>0.59920418194585312</v>
      </c>
      <c r="BX128" s="31">
        <f t="shared" si="111"/>
        <v>1.5454366252710426E-4</v>
      </c>
      <c r="BY128" s="31">
        <f t="shared" si="112"/>
        <v>6.3938784774009473E-5</v>
      </c>
      <c r="BZ128" s="31">
        <f t="shared" si="113"/>
        <v>2.6109974732282519E-5</v>
      </c>
      <c r="CA128" s="31">
        <f t="shared" si="114"/>
        <v>1.8515401447567749E-5</v>
      </c>
      <c r="CB128" s="31">
        <f t="shared" si="115"/>
        <v>3.7030802895135499E-6</v>
      </c>
      <c r="CC128" s="31">
        <f t="shared" si="116"/>
        <v>3.6588380716934487E-6</v>
      </c>
      <c r="CD128" s="31">
        <f t="shared" si="117"/>
        <v>7.3176761433868969E-7</v>
      </c>
      <c r="CE128">
        <v>1E-3</v>
      </c>
      <c r="CF128">
        <v>1E-3</v>
      </c>
      <c r="CG128">
        <v>2E-3</v>
      </c>
      <c r="CH128">
        <v>1E-3</v>
      </c>
      <c r="CI128">
        <v>1E-3</v>
      </c>
      <c r="CK128">
        <v>2E-3</v>
      </c>
      <c r="CL128">
        <v>1E-3</v>
      </c>
      <c r="CM128">
        <v>1E-3</v>
      </c>
      <c r="CN128" s="58">
        <f t="shared" si="143"/>
        <v>1600.732</v>
      </c>
      <c r="CO128" s="58">
        <f t="shared" si="118"/>
        <v>0.73199999999999998</v>
      </c>
      <c r="CP128" s="31">
        <f t="shared" si="119"/>
        <v>0.59947538345530982</v>
      </c>
      <c r="CQ128" s="31">
        <f t="shared" si="120"/>
        <v>2.7120150945650974E-4</v>
      </c>
      <c r="CR128">
        <v>1600</v>
      </c>
      <c r="CS128">
        <v>1800</v>
      </c>
      <c r="CT128" t="s">
        <v>69</v>
      </c>
      <c r="CU128" t="s">
        <v>69</v>
      </c>
      <c r="CV128" t="s">
        <v>69</v>
      </c>
      <c r="CW128">
        <v>1800</v>
      </c>
      <c r="CX128" s="2">
        <f t="shared" si="150"/>
        <v>2329.5</v>
      </c>
      <c r="CZ128">
        <v>69</v>
      </c>
      <c r="DA128" t="s">
        <v>62</v>
      </c>
      <c r="DB128" t="s">
        <v>88</v>
      </c>
      <c r="DC128" t="s">
        <v>782</v>
      </c>
      <c r="DD128" s="37">
        <f t="shared" si="151"/>
        <v>45.632313137622319</v>
      </c>
      <c r="DE128" s="37">
        <f t="shared" si="144"/>
        <v>45.632313137622319</v>
      </c>
      <c r="DF128" s="37">
        <v>13</v>
      </c>
      <c r="DG128" s="37">
        <f t="shared" si="152"/>
        <v>0.23276633840644584</v>
      </c>
      <c r="DH128" s="37">
        <f t="shared" si="121"/>
        <v>0.23276633840644584</v>
      </c>
      <c r="DI128" s="37">
        <f t="shared" si="153"/>
        <v>58.632313137622319</v>
      </c>
      <c r="DJ128" s="37">
        <f t="shared" si="122"/>
        <v>1.0498176031803459</v>
      </c>
      <c r="DK128" s="37">
        <f t="shared" si="123"/>
        <v>1.0498176031803459</v>
      </c>
      <c r="DL128" s="55">
        <f t="shared" si="124"/>
        <v>0</v>
      </c>
      <c r="DM128" s="55">
        <f t="shared" si="124"/>
        <v>0</v>
      </c>
      <c r="DN128" s="37">
        <f t="shared" si="125"/>
        <v>13</v>
      </c>
      <c r="DO128" s="55">
        <f t="shared" si="126"/>
        <v>0.23276633840644584</v>
      </c>
      <c r="DP128" s="55">
        <f t="shared" si="127"/>
        <v>0.23276633840644584</v>
      </c>
      <c r="DQ128" s="37">
        <v>4.0999999999999996</v>
      </c>
      <c r="DR128" s="37">
        <f t="shared" si="128"/>
        <v>7.464045148370653E-2</v>
      </c>
      <c r="DS128" s="37">
        <f t="shared" si="129"/>
        <v>0.14928090296741306</v>
      </c>
      <c r="DT128" s="37">
        <f t="shared" si="154"/>
        <v>14.064995351877172</v>
      </c>
      <c r="DU128" s="37">
        <f t="shared" si="155"/>
        <v>7.0324976759385862</v>
      </c>
      <c r="DV128" s="37">
        <f t="shared" si="156"/>
        <v>62.73231313762232</v>
      </c>
      <c r="DW128" s="37">
        <f t="shared" si="157"/>
        <v>1.199098506147759</v>
      </c>
      <c r="DX128" t="s">
        <v>780</v>
      </c>
      <c r="DY128" t="s">
        <v>148</v>
      </c>
      <c r="DZ128" s="29">
        <f t="shared" si="167"/>
        <v>1</v>
      </c>
      <c r="EA128" s="30">
        <v>1.7000000000000001E-2</v>
      </c>
      <c r="EB128" s="30">
        <f t="shared" si="130"/>
        <v>2.741935483870968E-4</v>
      </c>
      <c r="EC128" s="30">
        <f t="shared" si="131"/>
        <v>1.370967741935484E-3</v>
      </c>
      <c r="ED128" s="31">
        <f t="shared" si="168"/>
        <v>78.5</v>
      </c>
      <c r="EE128" s="33">
        <f t="shared" si="169"/>
        <v>99.367088607594937</v>
      </c>
      <c r="EF128" s="37">
        <f t="shared" si="158"/>
        <v>6.5375806787424526</v>
      </c>
      <c r="EG128" s="37">
        <f>$EK126-EK128</f>
        <v>0</v>
      </c>
      <c r="EH128" s="33">
        <f>(EG128/$EK126)*100</f>
        <v>0</v>
      </c>
      <c r="EI128" s="37">
        <f t="shared" si="165"/>
        <v>0</v>
      </c>
      <c r="EJ128" s="37">
        <f t="shared" si="166"/>
        <v>0</v>
      </c>
      <c r="EK128" s="31">
        <v>0.5</v>
      </c>
      <c r="EL128" s="31">
        <f t="shared" si="132"/>
        <v>5.2050801582344368E-3</v>
      </c>
      <c r="EM128" s="31">
        <f t="shared" si="133"/>
        <v>4.1640641265875494E-2</v>
      </c>
      <c r="EN128" s="32">
        <f t="shared" si="159"/>
        <v>4.301160900781098E-2</v>
      </c>
      <c r="EO128" s="39">
        <f t="shared" si="163"/>
        <v>7.7366791848902121</v>
      </c>
      <c r="EP128" s="37">
        <f t="shared" si="160"/>
        <v>1.9295216901194467E-2</v>
      </c>
      <c r="EQ128" s="37">
        <f t="shared" si="161"/>
        <v>0.13569356801438101</v>
      </c>
      <c r="ER128" s="37">
        <f t="shared" si="162"/>
        <v>0.84501121508442445</v>
      </c>
      <c r="ES128" s="39">
        <f t="shared" si="135"/>
        <v>0.38204724137385893</v>
      </c>
      <c r="ET128" s="55">
        <f t="shared" si="136"/>
        <v>60.926061805709608</v>
      </c>
      <c r="EU128" s="55">
        <f t="shared" si="137"/>
        <v>39.073938194290392</v>
      </c>
      <c r="EV128" s="55">
        <f t="shared" si="138"/>
        <v>0</v>
      </c>
      <c r="EW128" t="s">
        <v>635</v>
      </c>
      <c r="EX128" t="s">
        <v>636</v>
      </c>
      <c r="EY128" t="s">
        <v>637</v>
      </c>
      <c r="EZ128" t="s">
        <v>482</v>
      </c>
      <c r="FA128">
        <v>1032</v>
      </c>
      <c r="FB128" t="s">
        <v>113</v>
      </c>
      <c r="FC128" t="s">
        <v>88</v>
      </c>
      <c r="FD128" s="39">
        <f t="shared" si="139"/>
        <v>-7.0466513268026851</v>
      </c>
      <c r="FE128" s="39">
        <f t="shared" si="140"/>
        <v>-7.0463801252932292</v>
      </c>
      <c r="FF128" s="39">
        <f t="shared" si="141"/>
        <v>0.30798061671366772</v>
      </c>
      <c r="FG128" s="39">
        <f t="shared" si="142"/>
        <v>0.3082518182231242</v>
      </c>
    </row>
    <row r="129" spans="1:163" ht="15.75" x14ac:dyDescent="0.25">
      <c r="A129" s="8" t="s">
        <v>387</v>
      </c>
      <c r="B129" s="8" t="s">
        <v>387</v>
      </c>
      <c r="C129" s="3" t="s">
        <v>918</v>
      </c>
      <c r="D129" s="3" t="s">
        <v>918</v>
      </c>
      <c r="E129" s="3" t="s">
        <v>1315</v>
      </c>
      <c r="F129" s="3" t="s">
        <v>1034</v>
      </c>
      <c r="G129" s="3" t="s">
        <v>772</v>
      </c>
      <c r="H129" s="3" t="str">
        <f t="shared" si="87"/>
        <v>CW_1_Section_3</v>
      </c>
      <c r="I129" s="3" t="str">
        <f t="shared" si="88"/>
        <v>CW_1_MF10</v>
      </c>
      <c r="J129" s="3" t="s">
        <v>1493</v>
      </c>
      <c r="K129" s="3" t="s">
        <v>1484</v>
      </c>
      <c r="L129" s="11" t="s">
        <v>1038</v>
      </c>
      <c r="M129" s="3" t="s">
        <v>1024</v>
      </c>
      <c r="N129" s="3" t="s">
        <v>1024</v>
      </c>
      <c r="O129" s="12" t="s">
        <v>1016</v>
      </c>
      <c r="P129" s="3" t="s">
        <v>1316</v>
      </c>
      <c r="Q129" s="3" t="s">
        <v>1018</v>
      </c>
      <c r="R129" s="3" t="s">
        <v>1297</v>
      </c>
      <c r="S129" s="3" t="str">
        <f t="shared" si="89"/>
        <v>T5_0.60-0.80</v>
      </c>
      <c r="T129" s="13" t="s">
        <v>1298</v>
      </c>
      <c r="U129" s="3" t="s">
        <v>1053</v>
      </c>
      <c r="V129" s="3">
        <v>150</v>
      </c>
      <c r="W129" s="3">
        <v>65</v>
      </c>
      <c r="X129" s="3">
        <v>7.3</v>
      </c>
      <c r="Y129" s="3">
        <v>128</v>
      </c>
      <c r="Z129" t="s">
        <v>638</v>
      </c>
      <c r="AA129" t="s">
        <v>95</v>
      </c>
      <c r="AB129" s="1">
        <v>45825</v>
      </c>
      <c r="AC129">
        <v>11</v>
      </c>
      <c r="AD129">
        <v>12</v>
      </c>
      <c r="AE129">
        <v>630</v>
      </c>
      <c r="AF129" s="37">
        <f t="shared" si="103"/>
        <v>0.24196645755985149</v>
      </c>
      <c r="AG129">
        <v>2</v>
      </c>
      <c r="AH129" s="37">
        <f t="shared" si="104"/>
        <v>7.8141957890167139E-4</v>
      </c>
      <c r="AI129">
        <v>560</v>
      </c>
      <c r="AJ129" s="37">
        <f t="shared" si="105"/>
        <v>0.22153150607516248</v>
      </c>
      <c r="AK129">
        <v>160</v>
      </c>
      <c r="AL129" s="37">
        <f t="shared" si="106"/>
        <v>6.3294716021474989E-2</v>
      </c>
      <c r="AM129">
        <v>85</v>
      </c>
      <c r="AN129" s="37">
        <f t="shared" si="107"/>
        <v>3.3625317886408587E-2</v>
      </c>
      <c r="AO129">
        <v>245</v>
      </c>
      <c r="AQ129" s="59">
        <v>1449</v>
      </c>
      <c r="AR129" s="59">
        <f t="shared" si="108"/>
        <v>0.46427938321391565</v>
      </c>
      <c r="AS129">
        <v>2700</v>
      </c>
      <c r="AT129" s="37">
        <f t="shared" si="109"/>
        <v>1.0111570570336272</v>
      </c>
      <c r="AU129" t="s">
        <v>780</v>
      </c>
      <c r="AV129" t="s">
        <v>780</v>
      </c>
      <c r="AW129" t="s">
        <v>780</v>
      </c>
      <c r="AX129" t="s">
        <v>780</v>
      </c>
      <c r="AY129" t="s">
        <v>780</v>
      </c>
      <c r="AZ129" t="s">
        <v>780</v>
      </c>
      <c r="BA129" t="s">
        <v>780</v>
      </c>
      <c r="BB129" t="s">
        <v>780</v>
      </c>
      <c r="BC129" t="s">
        <v>780</v>
      </c>
      <c r="BD129" t="s">
        <v>780</v>
      </c>
      <c r="BE129" t="s">
        <v>780</v>
      </c>
      <c r="BF129" t="s">
        <v>780</v>
      </c>
      <c r="BG129" t="s">
        <v>780</v>
      </c>
      <c r="BH129" t="s">
        <v>780</v>
      </c>
      <c r="BI129" t="s">
        <v>780</v>
      </c>
      <c r="BJ129" t="s">
        <v>780</v>
      </c>
      <c r="BK129" t="s">
        <v>780</v>
      </c>
      <c r="BL129" t="s">
        <v>780</v>
      </c>
      <c r="BM129" t="s">
        <v>780</v>
      </c>
      <c r="BN129" t="s">
        <v>780</v>
      </c>
      <c r="BO129" s="58">
        <v>2900</v>
      </c>
      <c r="BP129" s="58">
        <v>4</v>
      </c>
      <c r="BQ129" s="58">
        <v>280</v>
      </c>
      <c r="BR129" s="58">
        <v>63</v>
      </c>
      <c r="BS129" s="58">
        <v>34</v>
      </c>
      <c r="BT129" s="58">
        <v>4.9000000000000004</v>
      </c>
      <c r="BU129" s="58">
        <v>0.7</v>
      </c>
      <c r="BV129" s="58">
        <v>0.62</v>
      </c>
      <c r="BW129" s="31">
        <f t="shared" si="110"/>
        <v>1.0860575797768588</v>
      </c>
      <c r="BX129" s="31">
        <f t="shared" si="111"/>
        <v>1.4718444050200407E-3</v>
      </c>
      <c r="BY129" s="31">
        <f t="shared" si="112"/>
        <v>0.10531093962778031</v>
      </c>
      <c r="BZ129" s="31">
        <f t="shared" si="113"/>
        <v>2.3498977259054265E-2</v>
      </c>
      <c r="CA129" s="31">
        <f t="shared" si="114"/>
        <v>1.2590472984346068E-2</v>
      </c>
      <c r="CB129" s="31">
        <f t="shared" si="115"/>
        <v>1.8145093418616396E-3</v>
      </c>
      <c r="CC129" s="31">
        <f t="shared" si="116"/>
        <v>2.5611866501854138E-4</v>
      </c>
      <c r="CD129" s="31">
        <f t="shared" si="117"/>
        <v>2.2684796044499382E-4</v>
      </c>
      <c r="CE129">
        <v>0.16</v>
      </c>
      <c r="CF129">
        <v>0.13</v>
      </c>
      <c r="CG129">
        <v>0.06</v>
      </c>
      <c r="CH129">
        <v>0.04</v>
      </c>
      <c r="CI129">
        <v>0.09</v>
      </c>
      <c r="CK129">
        <v>2E-3</v>
      </c>
      <c r="CL129">
        <v>0.03</v>
      </c>
      <c r="CM129">
        <v>0.03</v>
      </c>
      <c r="CN129" s="58">
        <f t="shared" si="143"/>
        <v>3287.22</v>
      </c>
      <c r="CO129" s="58">
        <f t="shared" si="118"/>
        <v>387.21999999999997</v>
      </c>
      <c r="CP129" s="31">
        <f t="shared" si="119"/>
        <v>1.2312272900203847</v>
      </c>
      <c r="CQ129" s="31">
        <f t="shared" si="120"/>
        <v>0.14516971024352587</v>
      </c>
      <c r="CR129">
        <v>3300</v>
      </c>
      <c r="CS129">
        <v>4400</v>
      </c>
      <c r="CT129">
        <v>1600</v>
      </c>
      <c r="CU129" t="s">
        <v>69</v>
      </c>
      <c r="CV129" t="s">
        <v>69</v>
      </c>
      <c r="CW129">
        <v>6000</v>
      </c>
      <c r="CX129" s="2">
        <f t="shared" si="150"/>
        <v>4749</v>
      </c>
      <c r="CZ129">
        <v>71</v>
      </c>
      <c r="DA129" t="s">
        <v>62</v>
      </c>
      <c r="DB129" t="s">
        <v>88</v>
      </c>
      <c r="DC129" t="s">
        <v>782</v>
      </c>
      <c r="DD129" s="37">
        <f t="shared" si="151"/>
        <v>18.020403914220278</v>
      </c>
      <c r="DE129" s="37">
        <f t="shared" si="144"/>
        <v>18.020403914220278</v>
      </c>
      <c r="DF129" s="37">
        <v>0.02</v>
      </c>
      <c r="DG129" s="37">
        <f t="shared" si="152"/>
        <v>3.5810205908683976E-4</v>
      </c>
      <c r="DH129" s="37">
        <f t="shared" si="121"/>
        <v>3.5810205908683976E-4</v>
      </c>
      <c r="DI129" s="37">
        <f t="shared" si="153"/>
        <v>18.040403914220278</v>
      </c>
      <c r="DJ129" s="37">
        <f t="shared" si="122"/>
        <v>0.32301528942202823</v>
      </c>
      <c r="DK129" s="37">
        <f t="shared" si="123"/>
        <v>0.32301528942202823</v>
      </c>
      <c r="DL129" s="55">
        <f t="shared" si="124"/>
        <v>-6.9756402248594629</v>
      </c>
      <c r="DN129" s="37">
        <f t="shared" si="125"/>
        <v>0.02</v>
      </c>
      <c r="DO129" s="55">
        <f t="shared" si="126"/>
        <v>3.5810205908683976E-4</v>
      </c>
      <c r="DP129" s="55">
        <f t="shared" si="127"/>
        <v>3.5810205908683976E-4</v>
      </c>
      <c r="DQ129" s="37">
        <v>0.9</v>
      </c>
      <c r="DR129" s="37">
        <f t="shared" si="128"/>
        <v>1.6384489350081924E-2</v>
      </c>
      <c r="DS129" s="37">
        <f t="shared" si="129"/>
        <v>3.2768978700163848E-2</v>
      </c>
      <c r="DT129" s="37">
        <f t="shared" si="154"/>
        <v>19.714699831057789</v>
      </c>
      <c r="DU129" s="37">
        <f t="shared" si="155"/>
        <v>9.8573499155288946</v>
      </c>
      <c r="DV129" s="37">
        <f t="shared" si="156"/>
        <v>18.940403914220276</v>
      </c>
      <c r="DW129" s="37">
        <f t="shared" si="157"/>
        <v>0.3557842681221921</v>
      </c>
      <c r="DX129" t="s">
        <v>780</v>
      </c>
      <c r="DY129" t="s">
        <v>501</v>
      </c>
      <c r="DZ129" s="29">
        <f t="shared" si="167"/>
        <v>1</v>
      </c>
      <c r="EA129" s="30">
        <v>1.7000000000000001E-2</v>
      </c>
      <c r="EB129" s="30">
        <f t="shared" si="130"/>
        <v>2.741935483870968E-4</v>
      </c>
      <c r="EC129" s="30">
        <f t="shared" si="131"/>
        <v>1.370967741935484E-3</v>
      </c>
      <c r="ED129" s="31">
        <f t="shared" si="168"/>
        <v>31</v>
      </c>
      <c r="EE129" s="33">
        <f t="shared" si="169"/>
        <v>39.24050632911392</v>
      </c>
      <c r="EF129" s="37">
        <f t="shared" si="158"/>
        <v>2.5817197584842808</v>
      </c>
      <c r="EG129" s="29">
        <f>$EK127-EK129</f>
        <v>-12</v>
      </c>
      <c r="EH129" s="33">
        <f>(EG129/$EK127)*100</f>
        <v>-33.333333333333329</v>
      </c>
      <c r="EI129" s="37">
        <f t="shared" si="165"/>
        <v>-0.99937539038101186</v>
      </c>
      <c r="EJ129" s="37"/>
      <c r="EK129" s="31">
        <v>48</v>
      </c>
      <c r="EL129" s="31">
        <f t="shared" si="132"/>
        <v>0.49968769519050593</v>
      </c>
      <c r="EM129" s="31">
        <f t="shared" si="133"/>
        <v>3.9975015615240475</v>
      </c>
      <c r="EN129" s="32">
        <f t="shared" si="159"/>
        <v>3.998872529265983</v>
      </c>
      <c r="EO129" s="39">
        <f t="shared" si="163"/>
        <v>2.9375040266064731</v>
      </c>
      <c r="EP129" s="37">
        <f t="shared" si="160"/>
        <v>1.1155381712963959E-2</v>
      </c>
      <c r="EQ129" s="37">
        <f t="shared" si="161"/>
        <v>0.10996250098597786</v>
      </c>
      <c r="ER129" s="37">
        <f t="shared" si="162"/>
        <v>0.87888211730105814</v>
      </c>
      <c r="ES129" s="39">
        <f t="shared" si="135"/>
        <v>3.3127080759250686E-2</v>
      </c>
      <c r="ET129" s="55">
        <f t="shared" si="136"/>
        <v>1.0809949167852357</v>
      </c>
      <c r="EU129" s="55">
        <f t="shared" si="137"/>
        <v>98.91900508321477</v>
      </c>
      <c r="EV129" s="55">
        <f t="shared" si="138"/>
        <v>0</v>
      </c>
      <c r="EW129" t="s">
        <v>192</v>
      </c>
      <c r="EX129" t="s">
        <v>629</v>
      </c>
      <c r="EY129">
        <v>-51</v>
      </c>
      <c r="EZ129" t="s">
        <v>253</v>
      </c>
      <c r="FA129">
        <v>890</v>
      </c>
      <c r="FB129" t="s">
        <v>113</v>
      </c>
      <c r="FC129" t="s">
        <v>88</v>
      </c>
      <c r="FD129" s="39">
        <f t="shared" si="139"/>
        <v>-1.4620675863589303</v>
      </c>
      <c r="FE129" s="39">
        <f t="shared" si="140"/>
        <v>-1.3168978761154044</v>
      </c>
      <c r="FF129" s="39">
        <f t="shared" si="141"/>
        <v>1.4423093594882921</v>
      </c>
      <c r="FG129" s="39">
        <f t="shared" si="142"/>
        <v>1.587479069731818</v>
      </c>
    </row>
    <row r="130" spans="1:163" ht="15.75" x14ac:dyDescent="0.25">
      <c r="A130" s="8" t="s">
        <v>388</v>
      </c>
      <c r="B130" s="8" t="s">
        <v>388</v>
      </c>
      <c r="C130" s="3" t="s">
        <v>919</v>
      </c>
      <c r="D130" s="3" t="s">
        <v>919</v>
      </c>
      <c r="E130" s="3" t="s">
        <v>1317</v>
      </c>
      <c r="F130" s="3" t="s">
        <v>1013</v>
      </c>
      <c r="G130" s="3" t="s">
        <v>773</v>
      </c>
      <c r="H130" s="3" t="str">
        <f t="shared" si="87"/>
        <v>CW_2_Section_1</v>
      </c>
      <c r="I130" s="3" t="str">
        <f t="shared" si="88"/>
        <v>CW_2_MF01</v>
      </c>
      <c r="J130" s="3" t="s">
        <v>1488</v>
      </c>
      <c r="K130" s="3" t="s">
        <v>1484</v>
      </c>
      <c r="L130" s="11" t="s">
        <v>1074</v>
      </c>
      <c r="M130" s="3" t="s">
        <v>1015</v>
      </c>
      <c r="N130" s="3" t="s">
        <v>1015</v>
      </c>
      <c r="O130" s="12" t="s">
        <v>1016</v>
      </c>
      <c r="P130" s="3" t="s">
        <v>1318</v>
      </c>
      <c r="Q130" s="3" t="s">
        <v>1018</v>
      </c>
      <c r="R130" s="3" t="s">
        <v>1297</v>
      </c>
      <c r="S130" s="3" t="str">
        <f t="shared" si="89"/>
        <v>T5_0.15-0.30</v>
      </c>
      <c r="T130" s="13" t="s">
        <v>1298</v>
      </c>
      <c r="U130" s="3" t="s">
        <v>1053</v>
      </c>
      <c r="V130" s="3">
        <v>150</v>
      </c>
      <c r="W130" s="3">
        <v>65</v>
      </c>
      <c r="X130" s="3">
        <v>6.9</v>
      </c>
      <c r="Y130" s="3">
        <v>129</v>
      </c>
      <c r="Z130" t="s">
        <v>642</v>
      </c>
      <c r="AA130" t="s">
        <v>204</v>
      </c>
      <c r="AB130" s="1">
        <v>45826</v>
      </c>
      <c r="AC130">
        <v>6.4</v>
      </c>
      <c r="AD130">
        <v>7</v>
      </c>
      <c r="AE130">
        <v>1</v>
      </c>
      <c r="AF130" s="37">
        <f t="shared" si="103"/>
        <v>3.8407374215849446E-4</v>
      </c>
      <c r="AG130">
        <v>0.5</v>
      </c>
      <c r="AH130" s="37">
        <f t="shared" si="104"/>
        <v>1.9535489472541785E-4</v>
      </c>
      <c r="AI130">
        <v>46</v>
      </c>
      <c r="AJ130" s="37">
        <f t="shared" si="105"/>
        <v>1.819723085617406E-2</v>
      </c>
      <c r="AK130">
        <v>12</v>
      </c>
      <c r="AL130" s="37">
        <f t="shared" si="106"/>
        <v>4.7471037016106245E-3</v>
      </c>
      <c r="AM130">
        <v>12</v>
      </c>
      <c r="AN130" s="37">
        <f t="shared" si="107"/>
        <v>4.7471037016106245E-3</v>
      </c>
      <c r="AO130">
        <v>24</v>
      </c>
      <c r="AQ130" s="59">
        <v>80.5</v>
      </c>
      <c r="AR130" s="59">
        <f t="shared" si="108"/>
        <v>1.8776659493057974E-2</v>
      </c>
      <c r="AS130">
        <v>2100</v>
      </c>
      <c r="AT130" s="37">
        <f t="shared" si="109"/>
        <v>0.78645548880393235</v>
      </c>
      <c r="AU130" t="s">
        <v>780</v>
      </c>
      <c r="AV130" t="s">
        <v>780</v>
      </c>
      <c r="AW130" t="s">
        <v>780</v>
      </c>
      <c r="AX130" t="s">
        <v>780</v>
      </c>
      <c r="AY130" t="s">
        <v>780</v>
      </c>
      <c r="AZ130" t="s">
        <v>780</v>
      </c>
      <c r="BA130" t="s">
        <v>780</v>
      </c>
      <c r="BB130" t="s">
        <v>780</v>
      </c>
      <c r="BC130" t="s">
        <v>780</v>
      </c>
      <c r="BD130" t="s">
        <v>780</v>
      </c>
      <c r="BE130" t="s">
        <v>780</v>
      </c>
      <c r="BF130" t="s">
        <v>780</v>
      </c>
      <c r="BG130" t="s">
        <v>780</v>
      </c>
      <c r="BH130" t="s">
        <v>780</v>
      </c>
      <c r="BI130" t="s">
        <v>780</v>
      </c>
      <c r="BJ130" t="s">
        <v>780</v>
      </c>
      <c r="BK130" t="s">
        <v>780</v>
      </c>
      <c r="BL130" t="s">
        <v>780</v>
      </c>
      <c r="BM130" t="s">
        <v>780</v>
      </c>
      <c r="BN130" t="s">
        <v>780</v>
      </c>
      <c r="BO130" s="58">
        <v>3400</v>
      </c>
      <c r="BP130" s="58">
        <v>360</v>
      </c>
      <c r="BQ130" s="58">
        <v>210</v>
      </c>
      <c r="BR130" s="58">
        <v>1.2</v>
      </c>
      <c r="BS130" s="58">
        <v>0.08</v>
      </c>
      <c r="BT130" s="58">
        <v>0.01</v>
      </c>
      <c r="BU130" s="58">
        <v>0.01</v>
      </c>
      <c r="BV130" s="58">
        <v>2E-3</v>
      </c>
      <c r="BW130" s="31">
        <f t="shared" si="110"/>
        <v>1.273308886634938</v>
      </c>
      <c r="BX130" s="31">
        <f t="shared" si="111"/>
        <v>0.13246599645180368</v>
      </c>
      <c r="BY130" s="31">
        <f t="shared" si="112"/>
        <v>7.8983204720835226E-2</v>
      </c>
      <c r="BZ130" s="31">
        <f t="shared" si="113"/>
        <v>4.4759956683912888E-4</v>
      </c>
      <c r="CA130" s="31">
        <f t="shared" si="114"/>
        <v>2.9624642316108399E-5</v>
      </c>
      <c r="CB130" s="31">
        <f t="shared" si="115"/>
        <v>3.7030802895135499E-6</v>
      </c>
      <c r="CC130" s="31">
        <f t="shared" si="116"/>
        <v>3.6588380716934487E-6</v>
      </c>
      <c r="CD130" s="31">
        <f t="shared" si="117"/>
        <v>7.3176761433868969E-7</v>
      </c>
      <c r="CE130">
        <v>1E-3</v>
      </c>
      <c r="CF130">
        <v>1E-3</v>
      </c>
      <c r="CG130">
        <v>2E-3</v>
      </c>
      <c r="CH130">
        <v>1E-3</v>
      </c>
      <c r="CI130">
        <v>1E-3</v>
      </c>
      <c r="CK130">
        <v>2E-3</v>
      </c>
      <c r="CL130">
        <v>1E-3</v>
      </c>
      <c r="CM130">
        <v>1E-3</v>
      </c>
      <c r="CN130" s="58">
        <f t="shared" si="143"/>
        <v>3971.3020000000001</v>
      </c>
      <c r="CO130" s="58">
        <f t="shared" si="118"/>
        <v>571.30200000000002</v>
      </c>
      <c r="CP130" s="31">
        <f t="shared" si="119"/>
        <v>1.4852434057027075</v>
      </c>
      <c r="CQ130" s="31">
        <f t="shared" si="120"/>
        <v>0.21193451906776967</v>
      </c>
      <c r="CR130">
        <v>3900</v>
      </c>
      <c r="CS130">
        <v>3300</v>
      </c>
      <c r="CT130">
        <v>930</v>
      </c>
      <c r="CU130" t="s">
        <v>69</v>
      </c>
      <c r="CV130" t="s">
        <v>69</v>
      </c>
      <c r="CW130">
        <v>4200</v>
      </c>
      <c r="CX130" s="2">
        <f t="shared" si="150"/>
        <v>3980.5</v>
      </c>
      <c r="CZ130">
        <v>41</v>
      </c>
      <c r="DA130" t="s">
        <v>62</v>
      </c>
      <c r="DB130" t="s">
        <v>88</v>
      </c>
      <c r="DC130" t="s">
        <v>782</v>
      </c>
      <c r="DD130" s="37">
        <f t="shared" si="151"/>
        <v>22.08952737872163</v>
      </c>
      <c r="DE130" s="37">
        <f t="shared" si="144"/>
        <v>22.08952737872163</v>
      </c>
      <c r="DF130" s="37">
        <v>0.9</v>
      </c>
      <c r="DG130" s="37">
        <f t="shared" si="152"/>
        <v>1.611459265890779E-2</v>
      </c>
      <c r="DH130" s="37">
        <f t="shared" si="121"/>
        <v>1.611459265890779E-2</v>
      </c>
      <c r="DI130" s="37">
        <f t="shared" si="153"/>
        <v>22.989527378721629</v>
      </c>
      <c r="DJ130" s="37">
        <f t="shared" si="122"/>
        <v>0.41162985458767465</v>
      </c>
      <c r="DK130" s="37">
        <f t="shared" si="123"/>
        <v>0.41162985458767465</v>
      </c>
      <c r="DL130" s="55">
        <f t="shared" si="124"/>
        <v>22.08952737872163</v>
      </c>
      <c r="DM130" s="55">
        <f t="shared" si="124"/>
        <v>22.08952737872163</v>
      </c>
      <c r="DN130" s="37">
        <f t="shared" si="125"/>
        <v>22.989527378721629</v>
      </c>
      <c r="DO130" s="55">
        <f t="shared" si="126"/>
        <v>0.41162985458767465</v>
      </c>
      <c r="DP130" s="55">
        <f t="shared" si="127"/>
        <v>0.41162985458767465</v>
      </c>
      <c r="DQ130" s="37">
        <v>0.05</v>
      </c>
      <c r="DR130" s="37">
        <f t="shared" si="128"/>
        <v>9.1024940833788468E-4</v>
      </c>
      <c r="DS130" s="37">
        <f t="shared" si="129"/>
        <v>1.8204988166757694E-3</v>
      </c>
      <c r="DT130" s="37">
        <f t="shared" si="154"/>
        <v>452.21655825001932</v>
      </c>
      <c r="DU130" s="37">
        <f t="shared" si="155"/>
        <v>226.10827912500966</v>
      </c>
      <c r="DV130" s="37">
        <f t="shared" si="156"/>
        <v>23.03952737872163</v>
      </c>
      <c r="DW130" s="37">
        <f t="shared" si="157"/>
        <v>0.41345035340435043</v>
      </c>
      <c r="DX130" t="s">
        <v>780</v>
      </c>
      <c r="DY130" t="s">
        <v>65</v>
      </c>
      <c r="DZ130" s="29">
        <f t="shared" si="167"/>
        <v>1</v>
      </c>
      <c r="EA130" s="30">
        <v>1.7000000000000001E-2</v>
      </c>
      <c r="EB130" s="30">
        <f t="shared" si="130"/>
        <v>2.741935483870968E-4</v>
      </c>
      <c r="EC130" s="30">
        <f t="shared" si="131"/>
        <v>1.370967741935484E-3</v>
      </c>
      <c r="ED130" s="31">
        <f t="shared" si="168"/>
        <v>38</v>
      </c>
      <c r="EE130" s="33">
        <f t="shared" si="169"/>
        <v>48.101265822784811</v>
      </c>
      <c r="EF130" s="37">
        <f t="shared" si="158"/>
        <v>3.1646887362065375</v>
      </c>
      <c r="EG130" s="37">
        <f>$EK120-EK130</f>
        <v>38</v>
      </c>
      <c r="EH130" s="33">
        <f>(EG130/$EK$120)*100</f>
        <v>48.101265822784811</v>
      </c>
      <c r="EI130" s="37">
        <f t="shared" si="165"/>
        <v>3.1646887362065375</v>
      </c>
      <c r="EJ130" s="37">
        <f t="shared" ref="EJ130:EJ137" si="170">($EG130/96.06)*8</f>
        <v>3.1646887362065375</v>
      </c>
      <c r="EK130" s="31">
        <v>41</v>
      </c>
      <c r="EL130" s="31">
        <f t="shared" si="132"/>
        <v>0.4268165729752238</v>
      </c>
      <c r="EM130" s="31">
        <f t="shared" si="133"/>
        <v>3.4145325838017904</v>
      </c>
      <c r="EN130" s="32">
        <f t="shared" si="159"/>
        <v>3.4159035515437259</v>
      </c>
      <c r="EO130" s="39">
        <f t="shared" si="163"/>
        <v>3.5781390896108878</v>
      </c>
      <c r="EP130" s="37">
        <f t="shared" si="160"/>
        <v>5.0878369204863504E-4</v>
      </c>
      <c r="EQ130" s="37">
        <f t="shared" si="161"/>
        <v>0.11504020505598574</v>
      </c>
      <c r="ER130" s="37">
        <f t="shared" si="162"/>
        <v>0.88445101125196568</v>
      </c>
      <c r="ES130" s="39">
        <f t="shared" si="135"/>
        <v>3.5781390896108878</v>
      </c>
      <c r="ET130" s="55">
        <f t="shared" si="136"/>
        <v>11.504020505598573</v>
      </c>
      <c r="EU130" s="55">
        <f t="shared" si="137"/>
        <v>5.0878369204863508E-2</v>
      </c>
      <c r="EV130" s="55">
        <f t="shared" si="138"/>
        <v>88.445101125196572</v>
      </c>
      <c r="EW130" t="s">
        <v>585</v>
      </c>
      <c r="EX130" t="s">
        <v>110</v>
      </c>
      <c r="EY130">
        <v>-69</v>
      </c>
      <c r="EZ130" t="s">
        <v>643</v>
      </c>
      <c r="FA130">
        <v>522</v>
      </c>
      <c r="FB130" t="s">
        <v>113</v>
      </c>
      <c r="FC130" t="s">
        <v>88</v>
      </c>
      <c r="FD130" s="39">
        <f t="shared" si="139"/>
        <v>-2.7729069413138974</v>
      </c>
      <c r="FE130" s="39">
        <f t="shared" si="140"/>
        <v>-2.5609724222461279</v>
      </c>
      <c r="FF130" s="39">
        <f t="shared" si="141"/>
        <v>-2.7729069413138974</v>
      </c>
      <c r="FG130" s="39">
        <f t="shared" si="142"/>
        <v>-2.5609724222461279</v>
      </c>
    </row>
    <row r="131" spans="1:163" ht="15.75" x14ac:dyDescent="0.25">
      <c r="A131" s="8" t="s">
        <v>389</v>
      </c>
      <c r="B131" s="8" t="s">
        <v>389</v>
      </c>
      <c r="C131" s="3" t="s">
        <v>920</v>
      </c>
      <c r="D131" s="3" t="s">
        <v>920</v>
      </c>
      <c r="E131" s="3" t="s">
        <v>1319</v>
      </c>
      <c r="F131" s="3" t="s">
        <v>1013</v>
      </c>
      <c r="G131" s="3" t="s">
        <v>773</v>
      </c>
      <c r="H131" s="3" t="str">
        <f t="shared" ref="H131:H194" si="171">G131&amp;"_"&amp;F131</f>
        <v>CW_2_Section_1</v>
      </c>
      <c r="I131" s="3" t="str">
        <f t="shared" ref="I131:I194" si="172">G131&amp;"_"&amp;J131</f>
        <v>CW_2_MF02</v>
      </c>
      <c r="J131" s="3" t="s">
        <v>1489</v>
      </c>
      <c r="K131" s="3" t="s">
        <v>1484</v>
      </c>
      <c r="L131" s="11" t="s">
        <v>1077</v>
      </c>
      <c r="M131" s="3" t="s">
        <v>1024</v>
      </c>
      <c r="N131" s="3" t="s">
        <v>1024</v>
      </c>
      <c r="O131" s="12" t="s">
        <v>1016</v>
      </c>
      <c r="P131" s="3" t="s">
        <v>1320</v>
      </c>
      <c r="Q131" s="3" t="s">
        <v>1018</v>
      </c>
      <c r="R131" s="3" t="s">
        <v>1297</v>
      </c>
      <c r="S131" s="3" t="str">
        <f t="shared" ref="S131:S194" si="173">R131&amp;"_"&amp;N131</f>
        <v>T5_0.60-0.80</v>
      </c>
      <c r="T131" s="13" t="s">
        <v>1298</v>
      </c>
      <c r="U131" s="3" t="s">
        <v>1053</v>
      </c>
      <c r="V131" s="3">
        <v>150</v>
      </c>
      <c r="W131" s="3">
        <v>65</v>
      </c>
      <c r="X131" s="3">
        <v>10.6</v>
      </c>
      <c r="Y131" s="3">
        <v>130</v>
      </c>
      <c r="Z131" t="s">
        <v>644</v>
      </c>
      <c r="AA131" t="s">
        <v>211</v>
      </c>
      <c r="AB131" s="1">
        <v>45826</v>
      </c>
      <c r="AC131">
        <v>3.9</v>
      </c>
      <c r="AD131">
        <v>4.7</v>
      </c>
      <c r="AE131">
        <v>3.7</v>
      </c>
      <c r="AF131" s="37">
        <f t="shared" si="103"/>
        <v>1.4210728459864296E-3</v>
      </c>
      <c r="AG131">
        <v>0.41</v>
      </c>
      <c r="AH131" s="37">
        <f t="shared" si="104"/>
        <v>1.6019101367484263E-4</v>
      </c>
      <c r="AI131">
        <v>10</v>
      </c>
      <c r="AJ131" s="37">
        <f t="shared" si="105"/>
        <v>3.9559197513421868E-3</v>
      </c>
      <c r="AK131">
        <v>5.8</v>
      </c>
      <c r="AL131" s="37">
        <f t="shared" si="106"/>
        <v>2.2944334557784686E-3</v>
      </c>
      <c r="AM131">
        <v>5.2</v>
      </c>
      <c r="AN131" s="37">
        <f t="shared" si="107"/>
        <v>2.0570782706979375E-3</v>
      </c>
      <c r="AO131">
        <v>11</v>
      </c>
      <c r="AQ131" s="59">
        <v>25.11</v>
      </c>
      <c r="AR131" s="59">
        <f t="shared" si="108"/>
        <v>5.537183611003459E-3</v>
      </c>
      <c r="AS131">
        <v>39</v>
      </c>
      <c r="AT131" s="37">
        <f t="shared" si="109"/>
        <v>1.4605601934930171E-2</v>
      </c>
      <c r="AU131" t="s">
        <v>780</v>
      </c>
      <c r="AV131" t="s">
        <v>780</v>
      </c>
      <c r="AW131" t="s">
        <v>780</v>
      </c>
      <c r="AX131" t="s">
        <v>780</v>
      </c>
      <c r="AY131" t="s">
        <v>780</v>
      </c>
      <c r="AZ131" t="s">
        <v>780</v>
      </c>
      <c r="BA131" t="s">
        <v>780</v>
      </c>
      <c r="BB131" t="s">
        <v>780</v>
      </c>
      <c r="BC131" t="s">
        <v>780</v>
      </c>
      <c r="BD131" t="s">
        <v>780</v>
      </c>
      <c r="BE131" t="s">
        <v>780</v>
      </c>
      <c r="BF131" t="s">
        <v>780</v>
      </c>
      <c r="BG131" t="s">
        <v>780</v>
      </c>
      <c r="BH131" t="s">
        <v>780</v>
      </c>
      <c r="BI131" t="s">
        <v>780</v>
      </c>
      <c r="BJ131" t="s">
        <v>780</v>
      </c>
      <c r="BK131" t="s">
        <v>780</v>
      </c>
      <c r="BL131" t="s">
        <v>780</v>
      </c>
      <c r="BM131" t="s">
        <v>780</v>
      </c>
      <c r="BN131" t="s">
        <v>780</v>
      </c>
      <c r="BO131" s="58">
        <v>0.02</v>
      </c>
      <c r="BP131" s="58">
        <v>0.01</v>
      </c>
      <c r="BQ131" s="58">
        <v>0.01</v>
      </c>
      <c r="BR131" s="58">
        <v>5.0000000000000001E-3</v>
      </c>
      <c r="BS131" s="58">
        <v>1E-3</v>
      </c>
      <c r="BT131" s="58">
        <v>1E-3</v>
      </c>
      <c r="BU131" s="58">
        <v>0.01</v>
      </c>
      <c r="BV131" s="58">
        <v>2E-3</v>
      </c>
      <c r="BW131" s="31">
        <f t="shared" si="110"/>
        <v>7.4900522743231651E-6</v>
      </c>
      <c r="BX131" s="31">
        <f t="shared" si="111"/>
        <v>3.6796110125501018E-6</v>
      </c>
      <c r="BY131" s="31">
        <f t="shared" si="112"/>
        <v>3.7611049867064394E-6</v>
      </c>
      <c r="BZ131" s="31">
        <f t="shared" si="113"/>
        <v>1.8649981951630372E-6</v>
      </c>
      <c r="CA131" s="31">
        <f t="shared" si="114"/>
        <v>3.7030802895135499E-7</v>
      </c>
      <c r="CB131" s="31">
        <f t="shared" si="115"/>
        <v>3.7030802895135499E-7</v>
      </c>
      <c r="CC131" s="31">
        <f t="shared" si="116"/>
        <v>3.6588380716934487E-6</v>
      </c>
      <c r="CD131" s="31">
        <f t="shared" si="117"/>
        <v>7.3176761433868969E-7</v>
      </c>
      <c r="CE131">
        <v>1E-3</v>
      </c>
      <c r="CF131">
        <v>1E-3</v>
      </c>
      <c r="CG131">
        <v>2E-3</v>
      </c>
      <c r="CH131">
        <v>1E-3</v>
      </c>
      <c r="CI131">
        <v>1E-3</v>
      </c>
      <c r="CK131">
        <v>2E-3</v>
      </c>
      <c r="CL131">
        <v>1E-3</v>
      </c>
      <c r="CM131">
        <v>1E-3</v>
      </c>
      <c r="CN131" s="58">
        <f t="shared" si="143"/>
        <v>5.9000000000000004E-2</v>
      </c>
      <c r="CO131" s="58">
        <f t="shared" si="118"/>
        <v>3.9000000000000007E-2</v>
      </c>
      <c r="CP131" s="31">
        <f t="shared" si="119"/>
        <v>2.1926988212677595E-5</v>
      </c>
      <c r="CQ131" s="31">
        <f t="shared" si="120"/>
        <v>1.4436935938354425E-5</v>
      </c>
      <c r="CR131">
        <v>4.2000000000000003E-2</v>
      </c>
      <c r="CS131">
        <v>95</v>
      </c>
      <c r="CT131">
        <v>160</v>
      </c>
      <c r="CU131" t="s">
        <v>69</v>
      </c>
      <c r="CV131" t="s">
        <v>69</v>
      </c>
      <c r="CW131">
        <v>250</v>
      </c>
      <c r="CX131" s="2">
        <f t="shared" si="150"/>
        <v>25.152000000000001</v>
      </c>
      <c r="CZ131">
        <v>43</v>
      </c>
      <c r="DA131" t="s">
        <v>62</v>
      </c>
      <c r="DB131" t="s">
        <v>88</v>
      </c>
      <c r="DC131" t="s">
        <v>55</v>
      </c>
      <c r="DD131" s="37">
        <f t="shared" si="151"/>
        <v>22.08952737872163</v>
      </c>
      <c r="DE131" s="37">
        <f t="shared" si="144"/>
        <v>22.08952737872163</v>
      </c>
      <c r="DF131" s="37">
        <v>0.3</v>
      </c>
      <c r="DG131" s="37">
        <f t="shared" si="152"/>
        <v>5.3715308863025958E-3</v>
      </c>
      <c r="DH131" s="37">
        <f t="shared" si="121"/>
        <v>5.3715308863025958E-3</v>
      </c>
      <c r="DI131" s="37">
        <f t="shared" si="153"/>
        <v>22.389527378721631</v>
      </c>
      <c r="DJ131" s="37">
        <f t="shared" si="122"/>
        <v>0.4008867928150695</v>
      </c>
      <c r="DK131" s="37">
        <f t="shared" si="123"/>
        <v>0.4008867928150695</v>
      </c>
      <c r="DL131" s="55">
        <f t="shared" si="124"/>
        <v>22.08952737872163</v>
      </c>
      <c r="DM131" s="55">
        <f t="shared" si="124"/>
        <v>22.08952737872163</v>
      </c>
      <c r="DN131" s="37">
        <f t="shared" si="125"/>
        <v>22.389527378721631</v>
      </c>
      <c r="DO131" s="55">
        <f t="shared" si="126"/>
        <v>0.4008867928150695</v>
      </c>
      <c r="DP131" s="55">
        <f t="shared" si="127"/>
        <v>0.4008867928150695</v>
      </c>
      <c r="DQ131" s="37">
        <v>0.05</v>
      </c>
      <c r="DR131" s="37">
        <f t="shared" si="128"/>
        <v>9.1024940833788468E-4</v>
      </c>
      <c r="DS131" s="37">
        <f t="shared" si="129"/>
        <v>1.8204988166757694E-3</v>
      </c>
      <c r="DT131" s="37">
        <f t="shared" si="154"/>
        <v>440.41423058663531</v>
      </c>
      <c r="DU131" s="37">
        <f t="shared" si="155"/>
        <v>220.20711529331766</v>
      </c>
      <c r="DV131" s="37">
        <f t="shared" si="156"/>
        <v>22.439527378721632</v>
      </c>
      <c r="DW131" s="37">
        <f t="shared" si="157"/>
        <v>0.40270729163174529</v>
      </c>
      <c r="DX131" t="s">
        <v>780</v>
      </c>
      <c r="DY131" t="s">
        <v>233</v>
      </c>
      <c r="DZ131" s="29">
        <f t="shared" si="167"/>
        <v>14.117647058823527</v>
      </c>
      <c r="EA131" s="30">
        <v>0.24</v>
      </c>
      <c r="EB131" s="30">
        <f t="shared" si="130"/>
        <v>3.8709677419354839E-3</v>
      </c>
      <c r="EC131" s="30">
        <f t="shared" si="131"/>
        <v>1.935483870967742E-2</v>
      </c>
      <c r="ED131" s="31">
        <f t="shared" si="168"/>
        <v>38</v>
      </c>
      <c r="EE131" s="33">
        <f t="shared" si="169"/>
        <v>48.101265822784811</v>
      </c>
      <c r="EF131" s="37">
        <f t="shared" si="158"/>
        <v>3.1646887362065375</v>
      </c>
      <c r="EG131" s="37">
        <f>$EK120-EK131</f>
        <v>38</v>
      </c>
      <c r="EH131" s="33">
        <f>(EG131/$EK$120)*100</f>
        <v>48.101265822784811</v>
      </c>
      <c r="EI131" s="37">
        <f t="shared" si="165"/>
        <v>3.1646887362065375</v>
      </c>
      <c r="EJ131" s="37">
        <f t="shared" si="170"/>
        <v>3.1646887362065375</v>
      </c>
      <c r="EK131" s="31">
        <v>41</v>
      </c>
      <c r="EL131" s="31">
        <f t="shared" si="132"/>
        <v>0.4268165729752238</v>
      </c>
      <c r="EM131" s="31">
        <f t="shared" si="133"/>
        <v>3.4145325838017904</v>
      </c>
      <c r="EN131" s="32">
        <f t="shared" si="159"/>
        <v>3.4338874225114679</v>
      </c>
      <c r="EO131" s="39">
        <f t="shared" si="163"/>
        <v>3.5673960278382828</v>
      </c>
      <c r="EP131" s="37">
        <f t="shared" si="160"/>
        <v>5.1031587254945956E-4</v>
      </c>
      <c r="EQ131" s="37">
        <f t="shared" si="161"/>
        <v>0.11237518618250883</v>
      </c>
      <c r="ER131" s="37">
        <f t="shared" si="162"/>
        <v>0.88711449794494168</v>
      </c>
      <c r="ES131" s="39">
        <f t="shared" si="135"/>
        <v>3.5673960278382828</v>
      </c>
      <c r="ET131" s="55">
        <f t="shared" si="136"/>
        <v>11.237518618250883</v>
      </c>
      <c r="EU131" s="55">
        <f t="shared" si="137"/>
        <v>5.1031587254945956E-2</v>
      </c>
      <c r="EV131" s="55">
        <f t="shared" si="138"/>
        <v>88.711449794494172</v>
      </c>
      <c r="EW131" t="s">
        <v>238</v>
      </c>
      <c r="EX131" t="s">
        <v>127</v>
      </c>
      <c r="EY131">
        <v>-59</v>
      </c>
      <c r="EZ131" t="s">
        <v>645</v>
      </c>
      <c r="FA131">
        <v>811</v>
      </c>
      <c r="FB131" t="s">
        <v>113</v>
      </c>
      <c r="FC131" t="s">
        <v>88</v>
      </c>
      <c r="FD131" s="39">
        <f t="shared" si="139"/>
        <v>-3.5472532422923493</v>
      </c>
      <c r="FE131" s="39">
        <f t="shared" si="140"/>
        <v>-3.547238805356411</v>
      </c>
      <c r="FF131" s="39">
        <f t="shared" si="141"/>
        <v>-3.5472532422923493</v>
      </c>
      <c r="FG131" s="39">
        <f t="shared" si="142"/>
        <v>-3.547238805356411</v>
      </c>
    </row>
    <row r="132" spans="1:163" ht="15.75" x14ac:dyDescent="0.25">
      <c r="A132" s="8" t="s">
        <v>390</v>
      </c>
      <c r="B132" s="8" t="s">
        <v>390</v>
      </c>
      <c r="C132" s="3" t="s">
        <v>921</v>
      </c>
      <c r="D132" s="3" t="s">
        <v>921</v>
      </c>
      <c r="E132" s="3" t="s">
        <v>1321</v>
      </c>
      <c r="F132" s="3" t="s">
        <v>1027</v>
      </c>
      <c r="G132" s="3" t="s">
        <v>773</v>
      </c>
      <c r="H132" s="3" t="str">
        <f t="shared" si="171"/>
        <v>CW_2_Section_2</v>
      </c>
      <c r="I132" s="3" t="str">
        <f t="shared" si="172"/>
        <v>CW_2_MF05</v>
      </c>
      <c r="J132" s="3" t="s">
        <v>1496</v>
      </c>
      <c r="K132" s="3" t="s">
        <v>1484</v>
      </c>
      <c r="L132" s="11" t="s">
        <v>1080</v>
      </c>
      <c r="M132" s="3" t="s">
        <v>1015</v>
      </c>
      <c r="N132" s="3" t="s">
        <v>1015</v>
      </c>
      <c r="O132" s="12" t="s">
        <v>1016</v>
      </c>
      <c r="P132" s="3" t="s">
        <v>1322</v>
      </c>
      <c r="Q132" s="3" t="s">
        <v>1018</v>
      </c>
      <c r="R132" s="3" t="s">
        <v>1297</v>
      </c>
      <c r="S132" s="3" t="str">
        <f t="shared" si="173"/>
        <v>T5_0.15-0.30</v>
      </c>
      <c r="T132" s="13" t="s">
        <v>1298</v>
      </c>
      <c r="U132" s="3" t="s">
        <v>1053</v>
      </c>
      <c r="V132" s="3">
        <v>150</v>
      </c>
      <c r="W132" s="3">
        <v>65</v>
      </c>
      <c r="X132" s="3">
        <v>18.850000000000001</v>
      </c>
      <c r="Y132" s="3">
        <v>131</v>
      </c>
      <c r="Z132" t="s">
        <v>646</v>
      </c>
      <c r="AA132" t="s">
        <v>176</v>
      </c>
      <c r="AB132" s="1">
        <v>45826</v>
      </c>
      <c r="AC132">
        <v>15</v>
      </c>
      <c r="AD132">
        <v>16</v>
      </c>
      <c r="AE132">
        <v>3.2</v>
      </c>
      <c r="AF132" s="37">
        <f t="shared" si="103"/>
        <v>1.2290359749071824E-3</v>
      </c>
      <c r="AG132">
        <v>0.02</v>
      </c>
      <c r="AH132" s="37">
        <f t="shared" si="104"/>
        <v>7.8141957890167132E-6</v>
      </c>
      <c r="AI132">
        <v>1.1000000000000001</v>
      </c>
      <c r="AJ132" s="37">
        <f t="shared" si="105"/>
        <v>4.3515117264764059E-4</v>
      </c>
      <c r="AK132">
        <v>2</v>
      </c>
      <c r="AL132" s="37">
        <f t="shared" si="106"/>
        <v>7.9118395026843739E-4</v>
      </c>
      <c r="AM132">
        <v>1.3</v>
      </c>
      <c r="AN132" s="37">
        <f t="shared" si="107"/>
        <v>5.1426956767448438E-4</v>
      </c>
      <c r="AO132">
        <v>3.3</v>
      </c>
      <c r="AQ132" s="59">
        <v>7.74</v>
      </c>
      <c r="AR132" s="59">
        <f t="shared" si="108"/>
        <v>1.6720013433438397E-3</v>
      </c>
      <c r="AS132">
        <v>6.6</v>
      </c>
      <c r="AT132" s="37">
        <f t="shared" si="109"/>
        <v>2.4717172505266441E-3</v>
      </c>
      <c r="AU132" t="s">
        <v>780</v>
      </c>
      <c r="AV132" t="s">
        <v>780</v>
      </c>
      <c r="AW132" t="s">
        <v>780</v>
      </c>
      <c r="AX132" t="s">
        <v>780</v>
      </c>
      <c r="AY132" t="s">
        <v>780</v>
      </c>
      <c r="AZ132" t="s">
        <v>780</v>
      </c>
      <c r="BA132" t="s">
        <v>780</v>
      </c>
      <c r="BB132" t="s">
        <v>780</v>
      </c>
      <c r="BC132" t="s">
        <v>780</v>
      </c>
      <c r="BD132" t="s">
        <v>780</v>
      </c>
      <c r="BE132" t="s">
        <v>780</v>
      </c>
      <c r="BF132" t="s">
        <v>780</v>
      </c>
      <c r="BG132" t="s">
        <v>780</v>
      </c>
      <c r="BH132" t="s">
        <v>780</v>
      </c>
      <c r="BI132" t="s">
        <v>780</v>
      </c>
      <c r="BJ132" t="s">
        <v>780</v>
      </c>
      <c r="BK132" t="s">
        <v>780</v>
      </c>
      <c r="BL132" t="s">
        <v>780</v>
      </c>
      <c r="BM132" t="s">
        <v>780</v>
      </c>
      <c r="BN132" t="s">
        <v>780</v>
      </c>
      <c r="BO132" s="58">
        <v>0.08</v>
      </c>
      <c r="BP132" s="58">
        <v>0.01</v>
      </c>
      <c r="BQ132" s="58">
        <v>0.53</v>
      </c>
      <c r="BR132" s="58">
        <v>0.1</v>
      </c>
      <c r="BS132" s="58">
        <v>1E-3</v>
      </c>
      <c r="BT132" s="58">
        <v>1E-3</v>
      </c>
      <c r="BU132" s="58">
        <v>1E-3</v>
      </c>
      <c r="BV132" s="58">
        <v>2E-3</v>
      </c>
      <c r="BW132" s="31">
        <f t="shared" si="110"/>
        <v>2.996020909729266E-5</v>
      </c>
      <c r="BX132" s="31">
        <f t="shared" si="111"/>
        <v>3.6796110125501018E-6</v>
      </c>
      <c r="BY132" s="31">
        <f t="shared" si="112"/>
        <v>1.9933856429544129E-4</v>
      </c>
      <c r="BZ132" s="31">
        <f t="shared" si="113"/>
        <v>3.729996390326074E-5</v>
      </c>
      <c r="CA132" s="31">
        <f t="shared" si="114"/>
        <v>3.7030802895135499E-7</v>
      </c>
      <c r="CB132" s="31">
        <f t="shared" si="115"/>
        <v>3.7030802895135499E-7</v>
      </c>
      <c r="CC132" s="31">
        <f t="shared" si="116"/>
        <v>3.6588380716934485E-7</v>
      </c>
      <c r="CD132" s="31">
        <f t="shared" si="117"/>
        <v>7.3176761433868969E-7</v>
      </c>
      <c r="CE132">
        <v>1E-3</v>
      </c>
      <c r="CF132">
        <v>1E-3</v>
      </c>
      <c r="CG132">
        <v>2E-3</v>
      </c>
      <c r="CH132">
        <v>1E-3</v>
      </c>
      <c r="CI132">
        <v>1E-3</v>
      </c>
      <c r="CK132">
        <v>2E-3</v>
      </c>
      <c r="CL132">
        <v>1E-3</v>
      </c>
      <c r="CM132">
        <v>1E-3</v>
      </c>
      <c r="CN132" s="58">
        <f t="shared" si="143"/>
        <v>0.72499999999999998</v>
      </c>
      <c r="CO132" s="58">
        <f t="shared" si="118"/>
        <v>0.64500000000000002</v>
      </c>
      <c r="CP132" s="31">
        <f t="shared" si="119"/>
        <v>2.7211661578795549E-4</v>
      </c>
      <c r="CQ132" s="31">
        <f t="shared" si="120"/>
        <v>2.4215640669066288E-4</v>
      </c>
      <c r="CR132">
        <v>0.72</v>
      </c>
      <c r="CS132" t="s">
        <v>69</v>
      </c>
      <c r="CT132" t="s">
        <v>69</v>
      </c>
      <c r="CU132" t="s">
        <v>69</v>
      </c>
      <c r="CV132" t="s">
        <v>69</v>
      </c>
      <c r="CW132">
        <v>5</v>
      </c>
      <c r="CX132" s="2">
        <f t="shared" si="150"/>
        <v>8.4600000000000009</v>
      </c>
      <c r="CZ132">
        <v>45</v>
      </c>
      <c r="DA132" t="s">
        <v>62</v>
      </c>
      <c r="DB132" t="s">
        <v>88</v>
      </c>
      <c r="DC132" t="s">
        <v>782</v>
      </c>
      <c r="DD132" s="37">
        <f t="shared" si="151"/>
        <v>27.902560899437852</v>
      </c>
      <c r="DE132" s="37">
        <f t="shared" si="144"/>
        <v>27.902560899437852</v>
      </c>
      <c r="DF132" s="37">
        <v>12</v>
      </c>
      <c r="DG132" s="37">
        <f t="shared" si="152"/>
        <v>0.21486123545210384</v>
      </c>
      <c r="DH132" s="37">
        <f t="shared" si="121"/>
        <v>0.21486123545210384</v>
      </c>
      <c r="DI132" s="37">
        <f t="shared" si="153"/>
        <v>39.902560899437852</v>
      </c>
      <c r="DJ132" s="37">
        <f t="shared" si="122"/>
        <v>0.71445946104633573</v>
      </c>
      <c r="DK132" s="37">
        <f t="shared" si="123"/>
        <v>0.71445946104633573</v>
      </c>
      <c r="DL132" s="55">
        <f t="shared" si="124"/>
        <v>5.8130335207162185</v>
      </c>
      <c r="DM132" s="55">
        <f t="shared" si="124"/>
        <v>5.8130335207162185</v>
      </c>
      <c r="DN132" s="37">
        <f t="shared" si="125"/>
        <v>17.813033520716218</v>
      </c>
      <c r="DO132" s="55">
        <f t="shared" si="126"/>
        <v>0.31894419911756877</v>
      </c>
      <c r="DP132" s="55">
        <f t="shared" si="127"/>
        <v>0.31894419911756877</v>
      </c>
      <c r="DQ132" s="37">
        <v>5.2</v>
      </c>
      <c r="DR132" s="37">
        <f t="shared" si="128"/>
        <v>9.4665938467139998E-2</v>
      </c>
      <c r="DS132" s="37">
        <f t="shared" si="129"/>
        <v>0.18933187693428</v>
      </c>
      <c r="DT132" s="37">
        <f t="shared" si="154"/>
        <v>7.5471650375529267</v>
      </c>
      <c r="DU132" s="37">
        <f t="shared" si="155"/>
        <v>3.7735825187764633</v>
      </c>
      <c r="DV132" s="37">
        <f t="shared" si="156"/>
        <v>45.102560899437854</v>
      </c>
      <c r="DW132" s="37">
        <f t="shared" si="157"/>
        <v>0.90379133798061573</v>
      </c>
      <c r="DX132" t="s">
        <v>780</v>
      </c>
      <c r="DY132" t="s">
        <v>63</v>
      </c>
      <c r="DZ132" s="29">
        <f t="shared" si="167"/>
        <v>1</v>
      </c>
      <c r="EA132" s="30">
        <v>1.7000000000000001E-2</v>
      </c>
      <c r="EB132" s="30">
        <f t="shared" si="130"/>
        <v>2.741935483870968E-4</v>
      </c>
      <c r="EC132" s="30">
        <f t="shared" si="131"/>
        <v>1.370967741935484E-3</v>
      </c>
      <c r="ED132" s="31">
        <f t="shared" si="168"/>
        <v>48</v>
      </c>
      <c r="EE132" s="33">
        <f t="shared" si="169"/>
        <v>60.75949367088608</v>
      </c>
      <c r="EF132" s="37">
        <f t="shared" si="158"/>
        <v>3.9975015615240475</v>
      </c>
      <c r="EG132" s="37">
        <f>$EK130-EK132</f>
        <v>10</v>
      </c>
      <c r="EH132" s="33">
        <f>(EG132/$EK130)*100</f>
        <v>24.390243902439025</v>
      </c>
      <c r="EI132" s="37">
        <f t="shared" si="165"/>
        <v>0.83281282531750989</v>
      </c>
      <c r="EJ132" s="37">
        <f t="shared" si="170"/>
        <v>0.83281282531750989</v>
      </c>
      <c r="EK132" s="31">
        <v>31</v>
      </c>
      <c r="EL132" s="31">
        <f t="shared" si="132"/>
        <v>0.3227149698105351</v>
      </c>
      <c r="EM132" s="31">
        <f t="shared" si="133"/>
        <v>2.5817197584842808</v>
      </c>
      <c r="EN132" s="32">
        <f t="shared" si="159"/>
        <v>2.5830907262262164</v>
      </c>
      <c r="EO132" s="39">
        <f t="shared" si="163"/>
        <v>4.9012928995046634</v>
      </c>
      <c r="EP132" s="37">
        <f t="shared" si="160"/>
        <v>3.8628966033312215E-2</v>
      </c>
      <c r="EQ132" s="37">
        <f t="shared" si="161"/>
        <v>0.14576959094171676</v>
      </c>
      <c r="ER132" s="37">
        <f t="shared" si="162"/>
        <v>0.81560144302497095</v>
      </c>
      <c r="ES132" s="39">
        <f t="shared" si="135"/>
        <v>1.3410889013693588</v>
      </c>
      <c r="ET132" s="55">
        <f t="shared" si="136"/>
        <v>23.78247995281307</v>
      </c>
      <c r="EU132" s="55">
        <f t="shared" si="137"/>
        <v>14.117772262596242</v>
      </c>
      <c r="EV132" s="55">
        <f t="shared" si="138"/>
        <v>62.09974778459069</v>
      </c>
      <c r="EW132" t="s">
        <v>647</v>
      </c>
      <c r="EX132" t="s">
        <v>127</v>
      </c>
      <c r="EY132">
        <v>-78</v>
      </c>
      <c r="EZ132" t="s">
        <v>633</v>
      </c>
      <c r="FA132">
        <v>625</v>
      </c>
      <c r="FB132" t="s">
        <v>72</v>
      </c>
      <c r="FC132" t="s">
        <v>88</v>
      </c>
      <c r="FD132" s="39">
        <f t="shared" si="139"/>
        <v>-4.8971491809107928</v>
      </c>
      <c r="FE132" s="39">
        <f t="shared" si="140"/>
        <v>-4.8969070245041024</v>
      </c>
      <c r="FF132" s="39">
        <f t="shared" si="141"/>
        <v>-1.3369451827754883</v>
      </c>
      <c r="FG132" s="39">
        <f t="shared" si="142"/>
        <v>-1.3367030263687976</v>
      </c>
    </row>
    <row r="133" spans="1:163" ht="15.75" x14ac:dyDescent="0.25">
      <c r="A133" s="8" t="s">
        <v>391</v>
      </c>
      <c r="B133" s="8" t="s">
        <v>391</v>
      </c>
      <c r="C133" s="3" t="s">
        <v>922</v>
      </c>
      <c r="D133" s="3" t="s">
        <v>922</v>
      </c>
      <c r="E133" s="3" t="s">
        <v>1323</v>
      </c>
      <c r="F133" s="3" t="s">
        <v>1027</v>
      </c>
      <c r="G133" s="3" t="s">
        <v>773</v>
      </c>
      <c r="H133" s="3" t="str">
        <f t="shared" si="171"/>
        <v>CW_2_Section_2</v>
      </c>
      <c r="I133" s="3" t="str">
        <f t="shared" si="172"/>
        <v>CW_2_MF06</v>
      </c>
      <c r="J133" s="3" t="s">
        <v>1497</v>
      </c>
      <c r="K133" s="3" t="s">
        <v>1484</v>
      </c>
      <c r="L133" s="11" t="s">
        <v>1083</v>
      </c>
      <c r="M133" s="3" t="s">
        <v>1024</v>
      </c>
      <c r="N133" s="3" t="s">
        <v>1024</v>
      </c>
      <c r="O133" s="12" t="s">
        <v>1016</v>
      </c>
      <c r="P133" s="3" t="s">
        <v>1324</v>
      </c>
      <c r="Q133" s="3" t="s">
        <v>1018</v>
      </c>
      <c r="R133" s="3" t="s">
        <v>1297</v>
      </c>
      <c r="S133" s="3" t="str">
        <f t="shared" si="173"/>
        <v>T5_0.60-0.80</v>
      </c>
      <c r="T133" s="13" t="s">
        <v>1298</v>
      </c>
      <c r="U133" s="3" t="s">
        <v>1053</v>
      </c>
      <c r="V133" s="3">
        <v>150</v>
      </c>
      <c r="W133" s="3">
        <v>65</v>
      </c>
      <c r="X133" s="3">
        <v>2.4</v>
      </c>
      <c r="Y133" s="3">
        <v>132</v>
      </c>
      <c r="Z133" t="s">
        <v>648</v>
      </c>
      <c r="AA133" t="s">
        <v>186</v>
      </c>
      <c r="AB133" s="1">
        <v>45826</v>
      </c>
      <c r="AC133">
        <v>6.1</v>
      </c>
      <c r="AD133">
        <v>7.2</v>
      </c>
      <c r="AE133">
        <v>83</v>
      </c>
      <c r="AF133" s="37">
        <f t="shared" si="103"/>
        <v>3.1878120599155034E-2</v>
      </c>
      <c r="AG133">
        <v>0.5</v>
      </c>
      <c r="AH133" s="37">
        <f t="shared" si="104"/>
        <v>1.9535489472541785E-4</v>
      </c>
      <c r="AI133">
        <v>100</v>
      </c>
      <c r="AJ133" s="37">
        <f t="shared" si="105"/>
        <v>3.9559197513421872E-2</v>
      </c>
      <c r="AK133">
        <v>26</v>
      </c>
      <c r="AL133" s="37">
        <f t="shared" si="106"/>
        <v>1.0285391353489687E-2</v>
      </c>
      <c r="AM133">
        <v>19</v>
      </c>
      <c r="AN133" s="37">
        <f t="shared" si="107"/>
        <v>7.5162475275501557E-3</v>
      </c>
      <c r="AO133">
        <v>45</v>
      </c>
      <c r="AQ133" s="59">
        <v>231.5</v>
      </c>
      <c r="AR133" s="59">
        <f t="shared" si="108"/>
        <v>7.1632673007302333E-2</v>
      </c>
      <c r="AS133">
        <v>680</v>
      </c>
      <c r="AT133" s="37">
        <f t="shared" si="109"/>
        <v>0.25466177732698758</v>
      </c>
      <c r="AU133" t="s">
        <v>780</v>
      </c>
      <c r="AV133" t="s">
        <v>780</v>
      </c>
      <c r="AW133" t="s">
        <v>780</v>
      </c>
      <c r="AX133" t="s">
        <v>780</v>
      </c>
      <c r="AY133" t="s">
        <v>780</v>
      </c>
      <c r="AZ133" t="s">
        <v>780</v>
      </c>
      <c r="BA133" t="s">
        <v>780</v>
      </c>
      <c r="BB133" t="s">
        <v>780</v>
      </c>
      <c r="BC133" t="s">
        <v>780</v>
      </c>
      <c r="BD133" t="s">
        <v>780</v>
      </c>
      <c r="BE133" t="s">
        <v>780</v>
      </c>
      <c r="BF133" t="s">
        <v>780</v>
      </c>
      <c r="BG133" t="s">
        <v>780</v>
      </c>
      <c r="BH133" t="s">
        <v>780</v>
      </c>
      <c r="BI133" t="s">
        <v>780</v>
      </c>
      <c r="BJ133" t="s">
        <v>780</v>
      </c>
      <c r="BK133" t="s">
        <v>780</v>
      </c>
      <c r="BL133" t="s">
        <v>780</v>
      </c>
      <c r="BM133" t="s">
        <v>780</v>
      </c>
      <c r="BN133" t="s">
        <v>780</v>
      </c>
      <c r="BO133" s="58">
        <v>1900</v>
      </c>
      <c r="BP133" s="58">
        <v>230</v>
      </c>
      <c r="BQ133" s="58">
        <v>270</v>
      </c>
      <c r="BR133" s="58">
        <v>100</v>
      </c>
      <c r="BS133" s="58">
        <v>31</v>
      </c>
      <c r="BT133" s="58">
        <v>1.2</v>
      </c>
      <c r="BU133" s="58">
        <v>0.13</v>
      </c>
      <c r="BV133" s="58">
        <v>0.1</v>
      </c>
      <c r="BW133" s="31">
        <f t="shared" si="110"/>
        <v>0.71155496606070068</v>
      </c>
      <c r="BX133" s="31">
        <f t="shared" si="111"/>
        <v>8.4631053288652336E-2</v>
      </c>
      <c r="BY133" s="31">
        <f t="shared" si="112"/>
        <v>0.10154983464107385</v>
      </c>
      <c r="BZ133" s="31">
        <f t="shared" si="113"/>
        <v>3.7299963903260742E-2</v>
      </c>
      <c r="CA133" s="31">
        <f t="shared" si="114"/>
        <v>1.1479548897492003E-2</v>
      </c>
      <c r="CB133" s="31">
        <f t="shared" si="115"/>
        <v>4.4436963474162597E-4</v>
      </c>
      <c r="CC133" s="31">
        <f t="shared" si="116"/>
        <v>4.7564894932014834E-5</v>
      </c>
      <c r="CD133" s="31">
        <f t="shared" si="117"/>
        <v>3.6588380716934496E-5</v>
      </c>
      <c r="CE133">
        <v>1E-3</v>
      </c>
      <c r="CF133">
        <v>1E-3</v>
      </c>
      <c r="CG133">
        <v>2E-3</v>
      </c>
      <c r="CH133">
        <v>1E-3</v>
      </c>
      <c r="CI133">
        <v>1E-3</v>
      </c>
      <c r="CK133">
        <v>2E-3</v>
      </c>
      <c r="CL133">
        <v>1E-3</v>
      </c>
      <c r="CM133">
        <v>1E-3</v>
      </c>
      <c r="CN133" s="58">
        <f t="shared" si="143"/>
        <v>2532.4299999999998</v>
      </c>
      <c r="CO133" s="58">
        <f t="shared" si="118"/>
        <v>632.43000000000006</v>
      </c>
      <c r="CP133" s="31">
        <f t="shared" si="119"/>
        <v>0.94704388970157016</v>
      </c>
      <c r="CQ133" s="31">
        <f t="shared" si="120"/>
        <v>0.23548892364086951</v>
      </c>
      <c r="CR133">
        <v>2500</v>
      </c>
      <c r="CS133">
        <v>1200</v>
      </c>
      <c r="CT133">
        <v>640</v>
      </c>
      <c r="CU133" t="s">
        <v>69</v>
      </c>
      <c r="CV133" t="s">
        <v>69</v>
      </c>
      <c r="CW133">
        <v>1800</v>
      </c>
      <c r="CX133" s="2">
        <f t="shared" si="150"/>
        <v>2731.5</v>
      </c>
      <c r="CZ133">
        <v>45</v>
      </c>
      <c r="DA133" t="s">
        <v>62</v>
      </c>
      <c r="DB133" t="s">
        <v>88</v>
      </c>
      <c r="DC133" t="s">
        <v>782</v>
      </c>
      <c r="DD133" s="37">
        <f t="shared" si="151"/>
        <v>26.739954195294604</v>
      </c>
      <c r="DE133" s="37">
        <f t="shared" si="144"/>
        <v>26.739954195294604</v>
      </c>
      <c r="DF133" s="37">
        <v>0.6</v>
      </c>
      <c r="DG133" s="37">
        <f t="shared" si="152"/>
        <v>1.0743061772605192E-2</v>
      </c>
      <c r="DH133" s="37">
        <f t="shared" si="121"/>
        <v>1.0743061772605192E-2</v>
      </c>
      <c r="DI133" s="37">
        <f t="shared" si="153"/>
        <v>27.339954195294606</v>
      </c>
      <c r="DJ133" s="37">
        <f t="shared" si="122"/>
        <v>0.48952469463374404</v>
      </c>
      <c r="DK133" s="37">
        <f t="shared" si="123"/>
        <v>0.48952469463374404</v>
      </c>
      <c r="DL133" s="55">
        <f t="shared" si="124"/>
        <v>4.650426816572975</v>
      </c>
      <c r="DM133" s="55">
        <f t="shared" si="124"/>
        <v>4.650426816572975</v>
      </c>
      <c r="DN133" s="37">
        <f t="shared" si="125"/>
        <v>5.2504268165729746</v>
      </c>
      <c r="DO133" s="55">
        <f t="shared" si="126"/>
        <v>9.4009432704977164E-2</v>
      </c>
      <c r="DP133" s="55">
        <f t="shared" si="127"/>
        <v>9.4009432704977164E-2</v>
      </c>
      <c r="DQ133" s="37">
        <v>0.8</v>
      </c>
      <c r="DR133" s="37">
        <f t="shared" si="128"/>
        <v>1.4563990533406155E-2</v>
      </c>
      <c r="DS133" s="37">
        <f t="shared" si="129"/>
        <v>2.912798106681231E-2</v>
      </c>
      <c r="DT133" s="37">
        <f t="shared" si="154"/>
        <v>33.611989345289444</v>
      </c>
      <c r="DU133" s="37">
        <f t="shared" si="155"/>
        <v>16.805994672644722</v>
      </c>
      <c r="DV133" s="37">
        <f t="shared" si="156"/>
        <v>28.139954195294607</v>
      </c>
      <c r="DW133" s="37">
        <f t="shared" si="157"/>
        <v>0.5186526757005564</v>
      </c>
      <c r="DX133" t="s">
        <v>780</v>
      </c>
      <c r="DY133" t="s">
        <v>510</v>
      </c>
      <c r="DZ133" s="29">
        <f t="shared" si="167"/>
        <v>1</v>
      </c>
      <c r="EA133" s="30">
        <v>1.7000000000000001E-2</v>
      </c>
      <c r="EB133" s="30">
        <f t="shared" si="130"/>
        <v>2.741935483870968E-4</v>
      </c>
      <c r="EC133" s="30">
        <f t="shared" si="131"/>
        <v>1.370967741935484E-3</v>
      </c>
      <c r="ED133" s="31">
        <f t="shared" si="168"/>
        <v>46</v>
      </c>
      <c r="EE133" s="33">
        <f t="shared" si="169"/>
        <v>58.22784810126582</v>
      </c>
      <c r="EF133" s="37">
        <f t="shared" si="158"/>
        <v>3.8309389964605454</v>
      </c>
      <c r="EG133" s="37">
        <f>$EK131-EK133</f>
        <v>8</v>
      </c>
      <c r="EH133" s="33">
        <f>(EG133/$EK131)*100</f>
        <v>19.512195121951219</v>
      </c>
      <c r="EI133" s="37">
        <f t="shared" si="165"/>
        <v>0.66625026025400791</v>
      </c>
      <c r="EJ133" s="37">
        <f t="shared" si="170"/>
        <v>0.66625026025400791</v>
      </c>
      <c r="EK133" s="31">
        <v>33</v>
      </c>
      <c r="EL133" s="31">
        <f t="shared" si="132"/>
        <v>0.34353529044347281</v>
      </c>
      <c r="EM133" s="31">
        <f t="shared" si="133"/>
        <v>2.7482823235477825</v>
      </c>
      <c r="EN133" s="32">
        <f t="shared" si="159"/>
        <v>2.749653291289718</v>
      </c>
      <c r="EO133" s="39">
        <f t="shared" si="163"/>
        <v>4.3495916721611021</v>
      </c>
      <c r="EP133" s="37">
        <f t="shared" si="160"/>
        <v>6.6967162120622741E-3</v>
      </c>
      <c r="EQ133" s="37">
        <f t="shared" si="161"/>
        <v>0.11254497698413213</v>
      </c>
      <c r="ER133" s="37">
        <f t="shared" si="162"/>
        <v>0.88075830680380551</v>
      </c>
      <c r="ES133" s="39">
        <f t="shared" si="135"/>
        <v>0.78938767402579735</v>
      </c>
      <c r="ET133" s="55">
        <f t="shared" si="136"/>
        <v>11.90915893397962</v>
      </c>
      <c r="EU133" s="55">
        <f t="shared" si="137"/>
        <v>3.6899462742130935</v>
      </c>
      <c r="EV133" s="55">
        <f t="shared" si="138"/>
        <v>84.400894791807289</v>
      </c>
      <c r="EW133" t="s">
        <v>238</v>
      </c>
      <c r="EX133">
        <v>22</v>
      </c>
      <c r="EY133">
        <v>-66</v>
      </c>
      <c r="EZ133" t="s">
        <v>649</v>
      </c>
      <c r="FA133">
        <v>659</v>
      </c>
      <c r="FB133" t="s">
        <v>113</v>
      </c>
      <c r="FC133" t="s">
        <v>88</v>
      </c>
      <c r="FD133" s="39">
        <f t="shared" si="139"/>
        <v>-4.0232972218268124</v>
      </c>
      <c r="FE133" s="39">
        <f t="shared" si="140"/>
        <v>-3.7878082981859427</v>
      </c>
      <c r="FF133" s="39">
        <f t="shared" si="141"/>
        <v>-0.46309322369150741</v>
      </c>
      <c r="FG133" s="39">
        <f t="shared" si="142"/>
        <v>-0.22760430005063792</v>
      </c>
    </row>
    <row r="134" spans="1:163" ht="15.75" x14ac:dyDescent="0.25">
      <c r="A134" s="8" t="s">
        <v>392</v>
      </c>
      <c r="B134" s="8" t="s">
        <v>392</v>
      </c>
      <c r="C134" s="3" t="s">
        <v>923</v>
      </c>
      <c r="D134" s="3" t="s">
        <v>923</v>
      </c>
      <c r="E134" s="3" t="s">
        <v>1325</v>
      </c>
      <c r="F134" s="3" t="s">
        <v>1034</v>
      </c>
      <c r="G134" s="3" t="s">
        <v>773</v>
      </c>
      <c r="H134" s="3" t="str">
        <f t="shared" si="171"/>
        <v>CW_2_Section_3</v>
      </c>
      <c r="I134" s="3" t="str">
        <f t="shared" si="172"/>
        <v>CW_2_MF09</v>
      </c>
      <c r="J134" s="3" t="s">
        <v>1492</v>
      </c>
      <c r="K134" s="3" t="s">
        <v>1484</v>
      </c>
      <c r="L134" s="11" t="s">
        <v>1086</v>
      </c>
      <c r="M134" s="3" t="s">
        <v>1015</v>
      </c>
      <c r="N134" s="3" t="s">
        <v>1015</v>
      </c>
      <c r="O134" s="12" t="s">
        <v>1016</v>
      </c>
      <c r="P134" s="3" t="s">
        <v>1326</v>
      </c>
      <c r="Q134" s="3" t="s">
        <v>1018</v>
      </c>
      <c r="R134" s="3" t="s">
        <v>1297</v>
      </c>
      <c r="S134" s="3" t="str">
        <f t="shared" si="173"/>
        <v>T5_0.15-0.30</v>
      </c>
      <c r="T134" s="13" t="s">
        <v>1298</v>
      </c>
      <c r="U134" s="3" t="s">
        <v>1053</v>
      </c>
      <c r="V134" s="3">
        <v>150</v>
      </c>
      <c r="W134" s="3">
        <v>65</v>
      </c>
      <c r="X134" s="3">
        <v>7.4</v>
      </c>
      <c r="Y134" s="3">
        <v>133</v>
      </c>
      <c r="Z134" t="s">
        <v>650</v>
      </c>
      <c r="AA134" t="s">
        <v>219</v>
      </c>
      <c r="AB134" s="1">
        <v>45826</v>
      </c>
      <c r="AC134">
        <v>11</v>
      </c>
      <c r="AD134">
        <v>11</v>
      </c>
      <c r="AE134">
        <v>310</v>
      </c>
      <c r="AF134" s="37">
        <f t="shared" si="103"/>
        <v>0.11906286006913326</v>
      </c>
      <c r="AG134">
        <v>0.5</v>
      </c>
      <c r="AH134" s="37">
        <f t="shared" si="104"/>
        <v>1.9535489472541785E-4</v>
      </c>
      <c r="AI134">
        <v>180</v>
      </c>
      <c r="AJ134" s="37">
        <f t="shared" si="105"/>
        <v>7.120655552415936E-2</v>
      </c>
      <c r="AK134">
        <v>56</v>
      </c>
      <c r="AL134" s="37">
        <f t="shared" si="106"/>
        <v>2.2153150607516249E-2</v>
      </c>
      <c r="AM134">
        <v>56</v>
      </c>
      <c r="AN134" s="37">
        <f t="shared" si="107"/>
        <v>2.2153150607516249E-2</v>
      </c>
      <c r="AO134">
        <v>112</v>
      </c>
      <c r="AQ134" s="59">
        <v>605.5</v>
      </c>
      <c r="AR134" s="59">
        <f t="shared" si="108"/>
        <v>0.19046477048801802</v>
      </c>
      <c r="AS134">
        <v>860</v>
      </c>
      <c r="AT134" s="37">
        <f t="shared" si="109"/>
        <v>0.3220722477958961</v>
      </c>
      <c r="AU134" t="s">
        <v>780</v>
      </c>
      <c r="AV134" t="s">
        <v>780</v>
      </c>
      <c r="AW134" t="s">
        <v>780</v>
      </c>
      <c r="AX134" t="s">
        <v>780</v>
      </c>
      <c r="AY134" t="s">
        <v>780</v>
      </c>
      <c r="AZ134" t="s">
        <v>780</v>
      </c>
      <c r="BA134" t="s">
        <v>780</v>
      </c>
      <c r="BB134" t="s">
        <v>780</v>
      </c>
      <c r="BC134" t="s">
        <v>780</v>
      </c>
      <c r="BD134" t="s">
        <v>780</v>
      </c>
      <c r="BE134" t="s">
        <v>780</v>
      </c>
      <c r="BF134" t="s">
        <v>780</v>
      </c>
      <c r="BG134" t="s">
        <v>780</v>
      </c>
      <c r="BH134" t="s">
        <v>780</v>
      </c>
      <c r="BI134" t="s">
        <v>780</v>
      </c>
      <c r="BJ134" t="s">
        <v>780</v>
      </c>
      <c r="BK134" t="s">
        <v>780</v>
      </c>
      <c r="BL134" t="s">
        <v>780</v>
      </c>
      <c r="BM134" t="s">
        <v>780</v>
      </c>
      <c r="BN134" t="s">
        <v>780</v>
      </c>
      <c r="BO134" s="58">
        <v>2700</v>
      </c>
      <c r="BP134" s="58">
        <v>0.14000000000000001</v>
      </c>
      <c r="BQ134" s="58">
        <v>0.28000000000000003</v>
      </c>
      <c r="BR134" s="58">
        <v>0.08</v>
      </c>
      <c r="BS134" s="58">
        <v>0.04</v>
      </c>
      <c r="BT134" s="58">
        <v>1E-3</v>
      </c>
      <c r="BU134" s="58">
        <v>1E-3</v>
      </c>
      <c r="BV134" s="58">
        <v>2E-3</v>
      </c>
      <c r="BW134" s="31">
        <f t="shared" si="110"/>
        <v>1.0111570570336272</v>
      </c>
      <c r="BX134" s="31">
        <f t="shared" si="111"/>
        <v>5.1514554175701431E-5</v>
      </c>
      <c r="BY134" s="31">
        <f t="shared" si="112"/>
        <v>1.0531093962778031E-4</v>
      </c>
      <c r="BZ134" s="31">
        <f t="shared" si="113"/>
        <v>2.9839971122608595E-5</v>
      </c>
      <c r="CA134" s="31">
        <f t="shared" si="114"/>
        <v>1.4812321158054199E-5</v>
      </c>
      <c r="CB134" s="31">
        <f t="shared" si="115"/>
        <v>3.7030802895135499E-7</v>
      </c>
      <c r="CC134" s="31">
        <f t="shared" si="116"/>
        <v>3.6588380716934485E-7</v>
      </c>
      <c r="CD134" s="31">
        <f t="shared" si="117"/>
        <v>7.3176761433868969E-7</v>
      </c>
      <c r="CE134">
        <v>1E-3</v>
      </c>
      <c r="CF134">
        <v>1E-3</v>
      </c>
      <c r="CG134">
        <v>2E-3</v>
      </c>
      <c r="CH134">
        <v>1E-3</v>
      </c>
      <c r="CI134">
        <v>1E-3</v>
      </c>
      <c r="CK134">
        <v>2E-3</v>
      </c>
      <c r="CL134">
        <v>1E-3</v>
      </c>
      <c r="CM134">
        <v>1E-3</v>
      </c>
      <c r="CN134" s="58">
        <f t="shared" si="143"/>
        <v>2700.5440000000003</v>
      </c>
      <c r="CO134" s="58">
        <f t="shared" si="118"/>
        <v>0.54400000000000004</v>
      </c>
      <c r="CP134" s="31">
        <f t="shared" si="119"/>
        <v>1.011360002779162</v>
      </c>
      <c r="CQ134" s="31">
        <f t="shared" si="120"/>
        <v>2.0294574553460394E-4</v>
      </c>
      <c r="CR134">
        <v>2700</v>
      </c>
      <c r="CS134">
        <v>1300</v>
      </c>
      <c r="CT134" t="s">
        <v>69</v>
      </c>
      <c r="CU134" t="s">
        <v>69</v>
      </c>
      <c r="CV134" t="s">
        <v>69</v>
      </c>
      <c r="CW134">
        <v>1400</v>
      </c>
      <c r="CX134" s="2">
        <f t="shared" si="150"/>
        <v>3305.5</v>
      </c>
      <c r="CZ134">
        <v>61</v>
      </c>
      <c r="DA134" t="s">
        <v>62</v>
      </c>
      <c r="DB134" t="s">
        <v>88</v>
      </c>
      <c r="DC134" t="s">
        <v>782</v>
      </c>
      <c r="DD134" s="37">
        <f t="shared" si="151"/>
        <v>45.632313137622319</v>
      </c>
      <c r="DE134" s="37">
        <f t="shared" si="144"/>
        <v>45.632313137622319</v>
      </c>
      <c r="DF134" s="37">
        <v>15</v>
      </c>
      <c r="DG134" s="37">
        <f t="shared" si="152"/>
        <v>0.26857654431512978</v>
      </c>
      <c r="DH134" s="37">
        <f t="shared" si="121"/>
        <v>0.26857654431512978</v>
      </c>
      <c r="DI134" s="37">
        <f t="shared" si="153"/>
        <v>60.632313137622319</v>
      </c>
      <c r="DJ134" s="37">
        <f t="shared" si="122"/>
        <v>1.0856278090890299</v>
      </c>
      <c r="DK134" s="37">
        <f t="shared" si="123"/>
        <v>1.0856278090890299</v>
      </c>
      <c r="DL134" s="55">
        <f t="shared" si="124"/>
        <v>17.729752238184467</v>
      </c>
      <c r="DM134" s="55">
        <f t="shared" si="124"/>
        <v>17.729752238184467</v>
      </c>
      <c r="DN134" s="37">
        <f t="shared" si="125"/>
        <v>32.729752238184467</v>
      </c>
      <c r="DO134" s="55">
        <f t="shared" si="126"/>
        <v>0.58602958349479795</v>
      </c>
      <c r="DP134" s="55">
        <f t="shared" si="127"/>
        <v>0.58602958349479795</v>
      </c>
      <c r="DQ134" s="37">
        <v>4.2</v>
      </c>
      <c r="DR134" s="37">
        <f t="shared" si="128"/>
        <v>7.6460950300382302E-2</v>
      </c>
      <c r="DS134" s="37">
        <f t="shared" si="129"/>
        <v>0.1529219006007646</v>
      </c>
      <c r="DT134" s="37">
        <f t="shared" si="154"/>
        <v>14.198460846014385</v>
      </c>
      <c r="DU134" s="37">
        <f t="shared" si="155"/>
        <v>7.0992304230071923</v>
      </c>
      <c r="DV134" s="37">
        <f t="shared" si="156"/>
        <v>64.832313137622322</v>
      </c>
      <c r="DW134" s="37">
        <f t="shared" si="157"/>
        <v>1.2385497096897944</v>
      </c>
      <c r="DX134" t="s">
        <v>780</v>
      </c>
      <c r="DY134" t="s">
        <v>148</v>
      </c>
      <c r="DZ134" s="29">
        <f t="shared" si="167"/>
        <v>1</v>
      </c>
      <c r="EA134" s="30">
        <v>1.7000000000000001E-2</v>
      </c>
      <c r="EB134" s="30">
        <f t="shared" si="130"/>
        <v>2.741935483870968E-4</v>
      </c>
      <c r="EC134" s="30">
        <f t="shared" si="131"/>
        <v>1.370967741935484E-3</v>
      </c>
      <c r="ED134" s="31">
        <f t="shared" si="168"/>
        <v>78.5</v>
      </c>
      <c r="EE134" s="33">
        <f t="shared" si="169"/>
        <v>99.367088607594937</v>
      </c>
      <c r="EF134" s="37">
        <f t="shared" si="158"/>
        <v>6.5375806787424526</v>
      </c>
      <c r="EG134" s="37">
        <f>$EK132-EK134</f>
        <v>30.5</v>
      </c>
      <c r="EH134" s="33">
        <f>(EG134/$EK132)*100</f>
        <v>98.387096774193552</v>
      </c>
      <c r="EI134" s="37">
        <f t="shared" si="165"/>
        <v>2.5400791172184052</v>
      </c>
      <c r="EJ134" s="37">
        <f t="shared" si="170"/>
        <v>2.5400791172184052</v>
      </c>
      <c r="EK134" s="31">
        <v>0.5</v>
      </c>
      <c r="EL134" s="31">
        <f t="shared" si="132"/>
        <v>5.2050801582344368E-3</v>
      </c>
      <c r="EM134" s="31">
        <f t="shared" si="133"/>
        <v>4.1640641265875494E-2</v>
      </c>
      <c r="EN134" s="32">
        <f t="shared" si="159"/>
        <v>4.301160900781098E-2</v>
      </c>
      <c r="EO134" s="39">
        <f t="shared" si="163"/>
        <v>7.7761303884322466</v>
      </c>
      <c r="EP134" s="37">
        <f t="shared" si="160"/>
        <v>1.9665552525746078E-2</v>
      </c>
      <c r="EQ134" s="37">
        <f t="shared" si="161"/>
        <v>0.1396102887760225</v>
      </c>
      <c r="ER134" s="37">
        <f t="shared" si="162"/>
        <v>0.84072415869823147</v>
      </c>
      <c r="ES134" s="39">
        <f t="shared" si="135"/>
        <v>3.2790306013139676</v>
      </c>
      <c r="ET134" s="55">
        <f t="shared" si="136"/>
        <v>17.872037646125204</v>
      </c>
      <c r="EU134" s="55">
        <f t="shared" si="137"/>
        <v>4.6636313957999045</v>
      </c>
      <c r="EV134" s="55">
        <f t="shared" si="138"/>
        <v>77.464330958074896</v>
      </c>
      <c r="EW134" t="s">
        <v>651</v>
      </c>
      <c r="EX134" t="s">
        <v>652</v>
      </c>
      <c r="EY134">
        <v>-37</v>
      </c>
      <c r="EZ134" t="s">
        <v>184</v>
      </c>
      <c r="FA134">
        <v>1041</v>
      </c>
      <c r="FB134" t="s">
        <v>72</v>
      </c>
      <c r="FC134" t="s">
        <v>88</v>
      </c>
      <c r="FD134" s="39">
        <f t="shared" si="139"/>
        <v>-7.2635933701483326</v>
      </c>
      <c r="FE134" s="39">
        <f t="shared" si="140"/>
        <v>-7.2633904244027976</v>
      </c>
      <c r="FF134" s="39">
        <f t="shared" si="141"/>
        <v>-2.7664935830300532</v>
      </c>
      <c r="FG134" s="39">
        <f t="shared" si="142"/>
        <v>-2.7662906372845191</v>
      </c>
    </row>
    <row r="135" spans="1:163" ht="15.75" x14ac:dyDescent="0.25">
      <c r="A135" s="8" t="s">
        <v>393</v>
      </c>
      <c r="B135" s="8" t="s">
        <v>393</v>
      </c>
      <c r="C135" s="3" t="s">
        <v>924</v>
      </c>
      <c r="D135" s="3" t="s">
        <v>924</v>
      </c>
      <c r="E135" s="3" t="s">
        <v>1327</v>
      </c>
      <c r="F135" s="3" t="s">
        <v>1034</v>
      </c>
      <c r="G135" s="3" t="s">
        <v>773</v>
      </c>
      <c r="H135" s="3" t="str">
        <f t="shared" si="171"/>
        <v>CW_2_Section_3</v>
      </c>
      <c r="I135" s="3" t="str">
        <f t="shared" si="172"/>
        <v>CW_2_MF10</v>
      </c>
      <c r="J135" s="3" t="s">
        <v>1493</v>
      </c>
      <c r="K135" s="3" t="s">
        <v>1484</v>
      </c>
      <c r="L135" s="11" t="s">
        <v>1089</v>
      </c>
      <c r="M135" s="3" t="s">
        <v>1024</v>
      </c>
      <c r="N135" s="3" t="s">
        <v>1024</v>
      </c>
      <c r="O135" s="12" t="s">
        <v>1016</v>
      </c>
      <c r="P135" s="3" t="s">
        <v>1328</v>
      </c>
      <c r="Q135" s="3" t="s">
        <v>1018</v>
      </c>
      <c r="R135" s="3" t="s">
        <v>1297</v>
      </c>
      <c r="S135" s="3" t="str">
        <f t="shared" si="173"/>
        <v>T5_0.60-0.80</v>
      </c>
      <c r="T135" s="13" t="s">
        <v>1298</v>
      </c>
      <c r="U135" s="3" t="s">
        <v>1053</v>
      </c>
      <c r="V135" s="3">
        <v>150</v>
      </c>
      <c r="W135" s="3">
        <v>65</v>
      </c>
      <c r="X135" s="3">
        <v>3.35</v>
      </c>
      <c r="Y135" s="3">
        <v>134</v>
      </c>
      <c r="Z135" t="s">
        <v>653</v>
      </c>
      <c r="AA135" t="s">
        <v>228</v>
      </c>
      <c r="AB135" s="1">
        <v>45826</v>
      </c>
      <c r="AC135">
        <v>6.2</v>
      </c>
      <c r="AD135">
        <v>7.2</v>
      </c>
      <c r="AE135">
        <v>170</v>
      </c>
      <c r="AF135" s="37">
        <f t="shared" si="103"/>
        <v>6.5292536166944054E-2</v>
      </c>
      <c r="AG135">
        <v>0.5</v>
      </c>
      <c r="AH135" s="37">
        <f t="shared" si="104"/>
        <v>1.9535489472541785E-4</v>
      </c>
      <c r="AI135">
        <v>170</v>
      </c>
      <c r="AJ135" s="37">
        <f t="shared" si="105"/>
        <v>6.7250635772817174E-2</v>
      </c>
      <c r="AK135">
        <v>28</v>
      </c>
      <c r="AL135" s="37">
        <f t="shared" si="106"/>
        <v>1.1076575303758125E-2</v>
      </c>
      <c r="AM135">
        <v>30</v>
      </c>
      <c r="AN135" s="37">
        <f t="shared" si="107"/>
        <v>1.1867759254026562E-2</v>
      </c>
      <c r="AO135">
        <v>58</v>
      </c>
      <c r="AQ135" s="59">
        <v>401.5</v>
      </c>
      <c r="AR135" s="59">
        <f t="shared" si="108"/>
        <v>0.13273852683448664</v>
      </c>
      <c r="AS135">
        <v>1000</v>
      </c>
      <c r="AT135" s="37">
        <f t="shared" si="109"/>
        <v>0.37450261371615823</v>
      </c>
      <c r="AU135" t="s">
        <v>780</v>
      </c>
      <c r="AV135" t="s">
        <v>780</v>
      </c>
      <c r="AW135" t="s">
        <v>780</v>
      </c>
      <c r="AX135" t="s">
        <v>780</v>
      </c>
      <c r="AY135" t="s">
        <v>780</v>
      </c>
      <c r="AZ135" t="s">
        <v>780</v>
      </c>
      <c r="BA135" t="s">
        <v>780</v>
      </c>
      <c r="BB135" t="s">
        <v>780</v>
      </c>
      <c r="BC135" t="s">
        <v>780</v>
      </c>
      <c r="BD135" t="s">
        <v>780</v>
      </c>
      <c r="BE135" t="s">
        <v>780</v>
      </c>
      <c r="BF135" t="s">
        <v>780</v>
      </c>
      <c r="BG135" t="s">
        <v>780</v>
      </c>
      <c r="BH135" t="s">
        <v>780</v>
      </c>
      <c r="BI135" t="s">
        <v>780</v>
      </c>
      <c r="BJ135" t="s">
        <v>780</v>
      </c>
      <c r="BK135" t="s">
        <v>780</v>
      </c>
      <c r="BL135" t="s">
        <v>780</v>
      </c>
      <c r="BM135" t="s">
        <v>780</v>
      </c>
      <c r="BN135" t="s">
        <v>780</v>
      </c>
      <c r="BO135" s="58">
        <v>2400</v>
      </c>
      <c r="BP135" s="58">
        <v>390</v>
      </c>
      <c r="BQ135" s="58">
        <v>320</v>
      </c>
      <c r="BR135" s="58">
        <v>130</v>
      </c>
      <c r="BS135" s="58">
        <v>37</v>
      </c>
      <c r="BT135" s="58">
        <v>1.4</v>
      </c>
      <c r="BU135" s="58">
        <v>0.1</v>
      </c>
      <c r="BV135" s="58">
        <v>0.05</v>
      </c>
      <c r="BW135" s="31">
        <f t="shared" si="110"/>
        <v>0.89880627291877968</v>
      </c>
      <c r="BX135" s="31">
        <f t="shared" si="111"/>
        <v>0.14350482948945398</v>
      </c>
      <c r="BY135" s="31">
        <f t="shared" si="112"/>
        <v>0.12035535957460605</v>
      </c>
      <c r="BZ135" s="31">
        <f t="shared" si="113"/>
        <v>4.8489953074238958E-2</v>
      </c>
      <c r="CA135" s="31">
        <f t="shared" si="114"/>
        <v>1.3701397071200133E-2</v>
      </c>
      <c r="CB135" s="31">
        <f t="shared" si="115"/>
        <v>5.1843124053189689E-4</v>
      </c>
      <c r="CC135" s="31">
        <f t="shared" si="116"/>
        <v>3.6588380716934496E-5</v>
      </c>
      <c r="CD135" s="31">
        <f t="shared" si="117"/>
        <v>1.8294190358467248E-5</v>
      </c>
      <c r="CE135">
        <v>1E-3</v>
      </c>
      <c r="CF135">
        <v>1E-3</v>
      </c>
      <c r="CG135">
        <v>2E-3</v>
      </c>
      <c r="CH135">
        <v>1E-3</v>
      </c>
      <c r="CI135">
        <v>1E-3</v>
      </c>
      <c r="CK135">
        <v>2E-3</v>
      </c>
      <c r="CL135">
        <v>1E-3</v>
      </c>
      <c r="CM135">
        <v>1E-3</v>
      </c>
      <c r="CN135" s="58">
        <f t="shared" si="143"/>
        <v>3278.55</v>
      </c>
      <c r="CO135" s="58">
        <f t="shared" si="118"/>
        <v>878.55</v>
      </c>
      <c r="CP135" s="31">
        <f t="shared" si="119"/>
        <v>1.225431125939886</v>
      </c>
      <c r="CQ135" s="31">
        <f t="shared" si="120"/>
        <v>0.3266248530211065</v>
      </c>
      <c r="CR135">
        <v>3300</v>
      </c>
      <c r="CS135">
        <v>1800</v>
      </c>
      <c r="CT135">
        <v>880</v>
      </c>
      <c r="CU135" t="s">
        <v>69</v>
      </c>
      <c r="CV135" t="s">
        <v>69</v>
      </c>
      <c r="CW135">
        <v>2700</v>
      </c>
      <c r="CX135" s="2">
        <f t="shared" si="150"/>
        <v>3701.5</v>
      </c>
      <c r="CZ135">
        <v>46</v>
      </c>
      <c r="DA135" t="s">
        <v>62</v>
      </c>
      <c r="DB135" t="s">
        <v>88</v>
      </c>
      <c r="DC135" t="s">
        <v>257</v>
      </c>
      <c r="DD135" s="37">
        <f t="shared" si="151"/>
        <v>27.321257547366226</v>
      </c>
      <c r="DE135" s="37">
        <f t="shared" si="144"/>
        <v>27.321257547366226</v>
      </c>
      <c r="DF135" s="37">
        <v>1</v>
      </c>
      <c r="DG135" s="37">
        <f t="shared" si="152"/>
        <v>1.7905102954341987E-2</v>
      </c>
      <c r="DH135" s="37">
        <f t="shared" si="121"/>
        <v>1.7905102954341987E-2</v>
      </c>
      <c r="DI135" s="37">
        <f t="shared" si="153"/>
        <v>28.321257547366226</v>
      </c>
      <c r="DJ135" s="37">
        <f t="shared" si="122"/>
        <v>0.50709503218202734</v>
      </c>
      <c r="DK135" s="37">
        <f t="shared" si="123"/>
        <v>0.50709503218202734</v>
      </c>
      <c r="DL135" s="55">
        <f t="shared" si="124"/>
        <v>0.58130335207162187</v>
      </c>
      <c r="DM135" s="55">
        <f t="shared" si="124"/>
        <v>0.58130335207162187</v>
      </c>
      <c r="DN135" s="37">
        <f t="shared" si="125"/>
        <v>1.5813033520716218</v>
      </c>
      <c r="DO135" s="55">
        <f t="shared" si="126"/>
        <v>2.8313399320888482E-2</v>
      </c>
      <c r="DP135" s="55">
        <f t="shared" si="127"/>
        <v>2.8313399320888482E-2</v>
      </c>
      <c r="DQ135" s="37">
        <v>1.1000000000000001</v>
      </c>
      <c r="DR135" s="37">
        <f t="shared" si="128"/>
        <v>2.0025486983433462E-2</v>
      </c>
      <c r="DS135" s="37">
        <f t="shared" si="129"/>
        <v>4.0050973966866923E-2</v>
      </c>
      <c r="DT135" s="37">
        <f t="shared" si="154"/>
        <v>25.322481925235238</v>
      </c>
      <c r="DU135" s="37">
        <f t="shared" si="155"/>
        <v>12.661240962617619</v>
      </c>
      <c r="DV135" s="37">
        <f t="shared" si="156"/>
        <v>29.421257547366228</v>
      </c>
      <c r="DW135" s="37">
        <f t="shared" si="157"/>
        <v>0.5471460061488943</v>
      </c>
      <c r="DX135" t="s">
        <v>780</v>
      </c>
      <c r="DY135" t="s">
        <v>191</v>
      </c>
      <c r="DZ135" s="29">
        <f t="shared" si="167"/>
        <v>10.588235294117647</v>
      </c>
      <c r="EA135" s="30">
        <v>0.18</v>
      </c>
      <c r="EB135" s="30">
        <f t="shared" si="130"/>
        <v>2.9032258064516127E-3</v>
      </c>
      <c r="EC135" s="30">
        <f t="shared" si="131"/>
        <v>1.4516129032258063E-2</v>
      </c>
      <c r="ED135" s="31">
        <f t="shared" si="168"/>
        <v>47</v>
      </c>
      <c r="EE135" s="33">
        <f t="shared" si="169"/>
        <v>59.493670886075947</v>
      </c>
      <c r="EF135" s="37">
        <f t="shared" si="158"/>
        <v>3.9142202789922962</v>
      </c>
      <c r="EG135" s="29">
        <f>$EK133-EK135</f>
        <v>1</v>
      </c>
      <c r="EH135" s="33">
        <f>(EG135/$EK133)*100</f>
        <v>3.0303030303030303</v>
      </c>
      <c r="EI135" s="37">
        <f t="shared" si="165"/>
        <v>8.3281282531750989E-2</v>
      </c>
      <c r="EJ135" s="37">
        <f t="shared" si="170"/>
        <v>8.3281282531750989E-2</v>
      </c>
      <c r="EK135" s="31">
        <v>32</v>
      </c>
      <c r="EL135" s="31">
        <f t="shared" si="132"/>
        <v>0.33312513012700395</v>
      </c>
      <c r="EM135" s="31">
        <f t="shared" si="133"/>
        <v>2.6650010410160316</v>
      </c>
      <c r="EN135" s="32">
        <f t="shared" si="159"/>
        <v>2.6795171700482898</v>
      </c>
      <c r="EO135" s="39">
        <f t="shared" si="163"/>
        <v>4.4613662851411906</v>
      </c>
      <c r="EP135" s="37">
        <f t="shared" si="160"/>
        <v>8.9772888857520498E-3</v>
      </c>
      <c r="EQ135" s="37">
        <f t="shared" si="161"/>
        <v>0.11366361777353574</v>
      </c>
      <c r="ER135" s="37">
        <f t="shared" si="162"/>
        <v>0.87735909334071216</v>
      </c>
      <c r="ES135" s="39">
        <f t="shared" si="135"/>
        <v>0.1516456558195064</v>
      </c>
      <c r="ET135" s="55">
        <f t="shared" si="136"/>
        <v>18.670761894154101</v>
      </c>
      <c r="EU135" s="55">
        <f t="shared" si="137"/>
        <v>26.410894364515723</v>
      </c>
      <c r="EV135" s="55">
        <f t="shared" si="138"/>
        <v>54.918343741330176</v>
      </c>
      <c r="EW135" t="s">
        <v>83</v>
      </c>
      <c r="EX135" t="s">
        <v>533</v>
      </c>
      <c r="EY135">
        <v>-52</v>
      </c>
      <c r="EZ135" t="s">
        <v>128</v>
      </c>
      <c r="FA135">
        <v>606</v>
      </c>
      <c r="FB135" t="s">
        <v>780</v>
      </c>
      <c r="FC135" t="s">
        <v>88</v>
      </c>
      <c r="FD135" s="39">
        <f t="shared" si="139"/>
        <v>-3.9541251445905456</v>
      </c>
      <c r="FE135" s="39">
        <f t="shared" si="140"/>
        <v>-3.6275002915694392</v>
      </c>
      <c r="FF135" s="39">
        <f t="shared" si="141"/>
        <v>0.35559548473113844</v>
      </c>
      <c r="FG135" s="39">
        <f t="shared" si="142"/>
        <v>0.682220337752245</v>
      </c>
    </row>
    <row r="136" spans="1:163" ht="15.75" x14ac:dyDescent="0.25">
      <c r="A136" s="8" t="s">
        <v>394</v>
      </c>
      <c r="B136" s="8" t="s">
        <v>394</v>
      </c>
      <c r="C136" s="3" t="s">
        <v>925</v>
      </c>
      <c r="D136" s="3" t="s">
        <v>925</v>
      </c>
      <c r="E136" s="3" t="s">
        <v>1329</v>
      </c>
      <c r="F136" s="3" t="s">
        <v>1013</v>
      </c>
      <c r="G136" s="3" t="s">
        <v>774</v>
      </c>
      <c r="H136" s="3" t="str">
        <f t="shared" si="171"/>
        <v>CW_3_Section_1</v>
      </c>
      <c r="I136" s="3" t="str">
        <f t="shared" si="172"/>
        <v>CW_3_MF01</v>
      </c>
      <c r="J136" s="3" t="s">
        <v>1488</v>
      </c>
      <c r="K136" s="3" t="s">
        <v>1484</v>
      </c>
      <c r="L136" s="11" t="s">
        <v>1092</v>
      </c>
      <c r="M136" s="3" t="s">
        <v>1015</v>
      </c>
      <c r="N136" s="3" t="s">
        <v>1015</v>
      </c>
      <c r="O136" s="12" t="s">
        <v>1016</v>
      </c>
      <c r="P136" s="3" t="s">
        <v>1330</v>
      </c>
      <c r="Q136" s="3" t="s">
        <v>1018</v>
      </c>
      <c r="R136" s="3" t="s">
        <v>1297</v>
      </c>
      <c r="S136" s="3" t="str">
        <f t="shared" si="173"/>
        <v>T5_0.15-0.30</v>
      </c>
      <c r="T136" s="13" t="s">
        <v>1298</v>
      </c>
      <c r="U136" s="3" t="s">
        <v>1053</v>
      </c>
      <c r="V136" s="3">
        <v>150</v>
      </c>
      <c r="W136" s="3">
        <v>65</v>
      </c>
      <c r="X136" s="3">
        <v>4.5</v>
      </c>
      <c r="Y136" s="3">
        <v>135</v>
      </c>
      <c r="Z136" t="s">
        <v>655</v>
      </c>
      <c r="AA136" t="s">
        <v>241</v>
      </c>
      <c r="AB136" s="1">
        <v>45827</v>
      </c>
      <c r="AC136">
        <v>12</v>
      </c>
      <c r="AD136">
        <v>12</v>
      </c>
      <c r="AE136">
        <v>400</v>
      </c>
      <c r="AF136" s="37">
        <f t="shared" si="103"/>
        <v>0.15362949686339777</v>
      </c>
      <c r="AG136">
        <v>0.5</v>
      </c>
      <c r="AH136" s="37">
        <f t="shared" si="104"/>
        <v>1.9535489472541785E-4</v>
      </c>
      <c r="AI136">
        <v>200</v>
      </c>
      <c r="AJ136" s="37">
        <f t="shared" si="105"/>
        <v>7.9118395026843744E-2</v>
      </c>
      <c r="AK136">
        <v>100</v>
      </c>
      <c r="AL136" s="37">
        <f t="shared" si="106"/>
        <v>3.9559197513421872E-2</v>
      </c>
      <c r="AM136">
        <v>62</v>
      </c>
      <c r="AN136" s="37">
        <f t="shared" si="107"/>
        <v>2.4526702458321559E-2</v>
      </c>
      <c r="AO136">
        <v>162</v>
      </c>
      <c r="AQ136" s="59">
        <v>765.5</v>
      </c>
      <c r="AR136" s="59">
        <f t="shared" si="108"/>
        <v>0.23294324678496692</v>
      </c>
      <c r="AS136">
        <v>540</v>
      </c>
      <c r="AT136" s="37">
        <f t="shared" si="109"/>
        <v>0.20223141140672546</v>
      </c>
      <c r="AU136" t="s">
        <v>780</v>
      </c>
      <c r="AV136" t="s">
        <v>780</v>
      </c>
      <c r="AW136" t="s">
        <v>780</v>
      </c>
      <c r="AX136" t="s">
        <v>780</v>
      </c>
      <c r="AY136" t="s">
        <v>780</v>
      </c>
      <c r="AZ136" t="s">
        <v>780</v>
      </c>
      <c r="BA136" t="s">
        <v>780</v>
      </c>
      <c r="BB136" t="s">
        <v>780</v>
      </c>
      <c r="BC136" t="s">
        <v>780</v>
      </c>
      <c r="BD136" t="s">
        <v>780</v>
      </c>
      <c r="BE136" t="s">
        <v>780</v>
      </c>
      <c r="BF136" t="s">
        <v>780</v>
      </c>
      <c r="BG136" t="s">
        <v>780</v>
      </c>
      <c r="BH136" t="s">
        <v>780</v>
      </c>
      <c r="BI136" t="s">
        <v>780</v>
      </c>
      <c r="BJ136" t="s">
        <v>780</v>
      </c>
      <c r="BK136" t="s">
        <v>780</v>
      </c>
      <c r="BL136" t="s">
        <v>780</v>
      </c>
      <c r="BM136" t="s">
        <v>780</v>
      </c>
      <c r="BN136" t="s">
        <v>780</v>
      </c>
      <c r="BO136" s="58">
        <v>500</v>
      </c>
      <c r="BP136" s="58">
        <v>0.11</v>
      </c>
      <c r="BQ136" s="58">
        <v>0.01</v>
      </c>
      <c r="BR136" s="58">
        <v>5.0000000000000001E-3</v>
      </c>
      <c r="BS136" s="58">
        <v>1E-3</v>
      </c>
      <c r="BT136" s="58">
        <v>1E-3</v>
      </c>
      <c r="BU136" s="58">
        <v>1E-3</v>
      </c>
      <c r="BV136" s="58">
        <v>2E-3</v>
      </c>
      <c r="BW136" s="31">
        <f t="shared" si="110"/>
        <v>0.18725130685807911</v>
      </c>
      <c r="BX136" s="31">
        <f t="shared" si="111"/>
        <v>4.0475721138051117E-5</v>
      </c>
      <c r="BY136" s="31">
        <f t="shared" si="112"/>
        <v>3.7611049867064394E-6</v>
      </c>
      <c r="BZ136" s="31">
        <f t="shared" si="113"/>
        <v>1.8649981951630372E-6</v>
      </c>
      <c r="CA136" s="31">
        <f t="shared" si="114"/>
        <v>3.7030802895135499E-7</v>
      </c>
      <c r="CB136" s="31">
        <f t="shared" si="115"/>
        <v>3.7030802895135499E-7</v>
      </c>
      <c r="CC136" s="31">
        <f t="shared" si="116"/>
        <v>3.6588380716934485E-7</v>
      </c>
      <c r="CD136" s="31">
        <f t="shared" si="117"/>
        <v>7.3176761433868969E-7</v>
      </c>
      <c r="CE136">
        <v>1E-3</v>
      </c>
      <c r="CF136">
        <v>1E-3</v>
      </c>
      <c r="CG136">
        <v>2E-3</v>
      </c>
      <c r="CH136">
        <v>1E-3</v>
      </c>
      <c r="CI136">
        <v>1E-3</v>
      </c>
      <c r="CK136">
        <v>2E-3</v>
      </c>
      <c r="CL136">
        <v>1E-3</v>
      </c>
      <c r="CM136">
        <v>1E-3</v>
      </c>
      <c r="CN136" s="58">
        <f t="shared" si="143"/>
        <v>500.12999999999994</v>
      </c>
      <c r="CO136" s="58">
        <f t="shared" si="118"/>
        <v>0.13</v>
      </c>
      <c r="CP136" s="31">
        <f t="shared" si="119"/>
        <v>0.18729924694987846</v>
      </c>
      <c r="CQ136" s="31">
        <f t="shared" si="120"/>
        <v>4.7940091799331339E-5</v>
      </c>
      <c r="CR136">
        <v>500</v>
      </c>
      <c r="CS136">
        <v>980</v>
      </c>
      <c r="CT136" t="s">
        <v>69</v>
      </c>
      <c r="CU136" t="s">
        <v>69</v>
      </c>
      <c r="CV136" t="s">
        <v>69</v>
      </c>
      <c r="CW136">
        <v>1000</v>
      </c>
      <c r="CX136" s="2">
        <f t="shared" si="150"/>
        <v>1265.5</v>
      </c>
      <c r="CZ136">
        <v>67</v>
      </c>
      <c r="DA136" t="s">
        <v>62</v>
      </c>
      <c r="DB136" t="s">
        <v>88</v>
      </c>
      <c r="DC136" t="s">
        <v>782</v>
      </c>
      <c r="DD136" s="37">
        <f t="shared" si="151"/>
        <v>42.086362689985428</v>
      </c>
      <c r="DE136" s="37">
        <f t="shared" si="144"/>
        <v>42.086362689985428</v>
      </c>
      <c r="DF136" s="37">
        <v>17</v>
      </c>
      <c r="DG136" s="37">
        <f t="shared" si="152"/>
        <v>0.30438675022381378</v>
      </c>
      <c r="DH136" s="37">
        <f t="shared" si="121"/>
        <v>0.30438675022381378</v>
      </c>
      <c r="DI136" s="37">
        <f t="shared" si="153"/>
        <v>59.086362689985428</v>
      </c>
      <c r="DJ136" s="37">
        <f t="shared" si="122"/>
        <v>1.0579474071617803</v>
      </c>
      <c r="DK136" s="37">
        <f t="shared" si="123"/>
        <v>1.0579474071617803</v>
      </c>
      <c r="DL136" s="55">
        <f t="shared" si="124"/>
        <v>42.086362689985428</v>
      </c>
      <c r="DM136" s="55">
        <f t="shared" si="124"/>
        <v>42.086362689985428</v>
      </c>
      <c r="DN136" s="37">
        <f t="shared" si="125"/>
        <v>59.086362689985428</v>
      </c>
      <c r="DO136" s="55">
        <f t="shared" si="126"/>
        <v>1.0579474071617803</v>
      </c>
      <c r="DP136" s="55">
        <f t="shared" si="127"/>
        <v>1.0579474071617803</v>
      </c>
      <c r="DQ136" s="37">
        <v>4.5</v>
      </c>
      <c r="DR136" s="37">
        <f t="shared" si="128"/>
        <v>8.1922446750409619E-2</v>
      </c>
      <c r="DS136" s="37">
        <f t="shared" si="129"/>
        <v>0.16384489350081924</v>
      </c>
      <c r="DT136" s="37">
        <f t="shared" si="154"/>
        <v>12.91401135008813</v>
      </c>
      <c r="DU136" s="37">
        <f t="shared" si="155"/>
        <v>6.4570056750440648</v>
      </c>
      <c r="DV136" s="37">
        <f t="shared" si="156"/>
        <v>63.586362689985428</v>
      </c>
      <c r="DW136" s="37">
        <f t="shared" si="157"/>
        <v>1.2217923006625995</v>
      </c>
      <c r="DX136" t="s">
        <v>780</v>
      </c>
      <c r="DY136" t="s">
        <v>80</v>
      </c>
      <c r="DZ136" s="29">
        <f t="shared" si="167"/>
        <v>1</v>
      </c>
      <c r="EA136" s="30">
        <v>1.7000000000000001E-2</v>
      </c>
      <c r="EB136" s="30">
        <f t="shared" si="130"/>
        <v>2.741935483870968E-4</v>
      </c>
      <c r="EC136" s="30">
        <f t="shared" si="131"/>
        <v>1.370967741935484E-3</v>
      </c>
      <c r="ED136" s="31">
        <f t="shared" si="168"/>
        <v>72.400000000000006</v>
      </c>
      <c r="EE136" s="33">
        <f t="shared" si="169"/>
        <v>91.64556962025317</v>
      </c>
      <c r="EF136" s="37">
        <f t="shared" si="158"/>
        <v>6.029564855298772</v>
      </c>
      <c r="EG136" s="37">
        <f>$EK120-EK136</f>
        <v>72.400000000000006</v>
      </c>
      <c r="EH136" s="33">
        <f>(EG136/$EK$120)*100</f>
        <v>91.64556962025317</v>
      </c>
      <c r="EI136" s="37">
        <f t="shared" si="165"/>
        <v>6.029564855298772</v>
      </c>
      <c r="EJ136" s="37">
        <f t="shared" si="170"/>
        <v>6.029564855298772</v>
      </c>
      <c r="EK136" s="31">
        <v>6.6</v>
      </c>
      <c r="EL136" s="31">
        <f t="shared" si="132"/>
        <v>6.8707058088694567E-2</v>
      </c>
      <c r="EM136" s="31">
        <f t="shared" si="133"/>
        <v>0.54965646470955654</v>
      </c>
      <c r="EN136" s="32">
        <f t="shared" si="159"/>
        <v>0.55102743245149199</v>
      </c>
      <c r="EO136" s="39">
        <f t="shared" si="163"/>
        <v>7.2513571559613714</v>
      </c>
      <c r="EP136" s="37">
        <f t="shared" si="160"/>
        <v>2.2595065996179994E-2</v>
      </c>
      <c r="EQ136" s="37">
        <f t="shared" si="161"/>
        <v>0.14589646936532938</v>
      </c>
      <c r="ER136" s="37">
        <f t="shared" si="162"/>
        <v>0.8315084646384906</v>
      </c>
      <c r="ES136" s="39">
        <f t="shared" si="135"/>
        <v>7.2513571559613714</v>
      </c>
      <c r="ET136" s="55">
        <f t="shared" si="136"/>
        <v>14.589646936532938</v>
      </c>
      <c r="EU136" s="55">
        <f t="shared" si="137"/>
        <v>2.2595065996179993</v>
      </c>
      <c r="EV136" s="55">
        <f t="shared" si="138"/>
        <v>83.150846463849064</v>
      </c>
      <c r="EW136" t="s">
        <v>656</v>
      </c>
      <c r="EX136" t="s">
        <v>657</v>
      </c>
      <c r="EY136">
        <v>-88</v>
      </c>
      <c r="EZ136" t="s">
        <v>253</v>
      </c>
      <c r="FA136">
        <v>744</v>
      </c>
      <c r="FB136">
        <v>1</v>
      </c>
      <c r="FC136" t="s">
        <v>88</v>
      </c>
      <c r="FD136" s="39">
        <f t="shared" si="139"/>
        <v>-6.8161824977696792</v>
      </c>
      <c r="FE136" s="39">
        <f t="shared" si="140"/>
        <v>-6.8161345576778798</v>
      </c>
      <c r="FF136" s="39">
        <f t="shared" si="141"/>
        <v>-6.8161824977696792</v>
      </c>
      <c r="FG136" s="39">
        <f t="shared" si="142"/>
        <v>-6.8161345576778798</v>
      </c>
    </row>
    <row r="137" spans="1:163" ht="15.75" x14ac:dyDescent="0.25">
      <c r="A137" s="8" t="s">
        <v>395</v>
      </c>
      <c r="B137" s="8" t="s">
        <v>395</v>
      </c>
      <c r="C137" s="3" t="s">
        <v>926</v>
      </c>
      <c r="D137" s="3" t="s">
        <v>926</v>
      </c>
      <c r="E137" s="3" t="s">
        <v>1331</v>
      </c>
      <c r="F137" s="3" t="s">
        <v>1013</v>
      </c>
      <c r="G137" s="3" t="s">
        <v>774</v>
      </c>
      <c r="H137" s="3" t="str">
        <f t="shared" si="171"/>
        <v>CW_3_Section_1</v>
      </c>
      <c r="I137" s="3" t="str">
        <f t="shared" si="172"/>
        <v>CW_3_MF02</v>
      </c>
      <c r="J137" s="3" t="s">
        <v>1489</v>
      </c>
      <c r="K137" s="3" t="s">
        <v>1484</v>
      </c>
      <c r="L137" s="11" t="s">
        <v>1095</v>
      </c>
      <c r="M137" s="3" t="s">
        <v>1024</v>
      </c>
      <c r="N137" s="3" t="s">
        <v>1024</v>
      </c>
      <c r="O137" s="12" t="s">
        <v>1016</v>
      </c>
      <c r="P137" s="3" t="s">
        <v>1332</v>
      </c>
      <c r="Q137" s="3" t="s">
        <v>1018</v>
      </c>
      <c r="R137" s="3" t="s">
        <v>1297</v>
      </c>
      <c r="S137" s="3" t="str">
        <f t="shared" si="173"/>
        <v>T5_0.60-0.80</v>
      </c>
      <c r="T137" s="13" t="s">
        <v>1298</v>
      </c>
      <c r="U137" s="3" t="s">
        <v>1053</v>
      </c>
      <c r="V137" s="3">
        <v>150</v>
      </c>
      <c r="W137" s="3">
        <v>65</v>
      </c>
      <c r="X137" s="3">
        <v>3.1</v>
      </c>
      <c r="Y137" s="3">
        <v>136</v>
      </c>
      <c r="Z137" t="s">
        <v>658</v>
      </c>
      <c r="AA137" t="s">
        <v>245</v>
      </c>
      <c r="AB137" s="1">
        <v>45827</v>
      </c>
      <c r="AC137">
        <v>9.6999999999999993</v>
      </c>
      <c r="AD137">
        <v>10</v>
      </c>
      <c r="AE137">
        <v>640</v>
      </c>
      <c r="AF137" s="37">
        <f t="shared" si="103"/>
        <v>0.24580719498143644</v>
      </c>
      <c r="AG137">
        <v>25</v>
      </c>
      <c r="AH137" s="37">
        <f t="shared" si="104"/>
        <v>9.7677447362708933E-3</v>
      </c>
      <c r="AI137">
        <v>440</v>
      </c>
      <c r="AJ137" s="37">
        <f t="shared" si="105"/>
        <v>0.17406046905905623</v>
      </c>
      <c r="AK137">
        <v>150</v>
      </c>
      <c r="AL137" s="37">
        <f t="shared" si="106"/>
        <v>5.9338796270132804E-2</v>
      </c>
      <c r="AM137">
        <v>83</v>
      </c>
      <c r="AN137" s="37">
        <f t="shared" si="107"/>
        <v>3.2834133936140153E-2</v>
      </c>
      <c r="AO137">
        <v>233</v>
      </c>
      <c r="AQ137" s="59">
        <v>1338</v>
      </c>
      <c r="AR137" s="59">
        <f t="shared" si="108"/>
        <v>0.42963540877676354</v>
      </c>
      <c r="AS137">
        <v>1800</v>
      </c>
      <c r="AT137" s="37">
        <f t="shared" si="109"/>
        <v>0.6741047046890849</v>
      </c>
      <c r="AU137" t="s">
        <v>780</v>
      </c>
      <c r="AV137" t="s">
        <v>780</v>
      </c>
      <c r="AW137" t="s">
        <v>780</v>
      </c>
      <c r="AX137" t="s">
        <v>780</v>
      </c>
      <c r="AY137" t="s">
        <v>780</v>
      </c>
      <c r="AZ137" t="s">
        <v>780</v>
      </c>
      <c r="BA137" t="s">
        <v>780</v>
      </c>
      <c r="BB137" t="s">
        <v>780</v>
      </c>
      <c r="BC137" t="s">
        <v>780</v>
      </c>
      <c r="BD137" t="s">
        <v>780</v>
      </c>
      <c r="BE137" t="s">
        <v>780</v>
      </c>
      <c r="BF137" t="s">
        <v>780</v>
      </c>
      <c r="BG137" t="s">
        <v>780</v>
      </c>
      <c r="BH137" t="s">
        <v>780</v>
      </c>
      <c r="BI137" t="s">
        <v>780</v>
      </c>
      <c r="BJ137" t="s">
        <v>780</v>
      </c>
      <c r="BK137" t="s">
        <v>780</v>
      </c>
      <c r="BL137" t="s">
        <v>780</v>
      </c>
      <c r="BM137" t="s">
        <v>780</v>
      </c>
      <c r="BN137" t="s">
        <v>780</v>
      </c>
      <c r="BO137" s="58">
        <v>4100</v>
      </c>
      <c r="BP137" s="58">
        <v>4</v>
      </c>
      <c r="BQ137" s="58">
        <v>340</v>
      </c>
      <c r="BR137" s="58">
        <v>64</v>
      </c>
      <c r="BS137" s="58">
        <v>40</v>
      </c>
      <c r="BT137" s="58">
        <v>2.1</v>
      </c>
      <c r="BU137" s="58">
        <v>0.38</v>
      </c>
      <c r="BV137" s="58">
        <v>0.37</v>
      </c>
      <c r="BW137" s="31">
        <f t="shared" si="110"/>
        <v>1.5354607162362488</v>
      </c>
      <c r="BX137" s="31">
        <f t="shared" si="111"/>
        <v>1.4718444050200407E-3</v>
      </c>
      <c r="BY137" s="31">
        <f t="shared" si="112"/>
        <v>0.12787756954801893</v>
      </c>
      <c r="BZ137" s="31">
        <f t="shared" si="113"/>
        <v>2.3871976898086872E-2</v>
      </c>
      <c r="CA137" s="31">
        <f t="shared" si="114"/>
        <v>1.48123211580542E-2</v>
      </c>
      <c r="CB137" s="31">
        <f t="shared" si="115"/>
        <v>7.7764686079784555E-4</v>
      </c>
      <c r="CC137" s="31">
        <f t="shared" si="116"/>
        <v>1.3903584672435106E-4</v>
      </c>
      <c r="CD137" s="31">
        <f t="shared" si="117"/>
        <v>1.3537700865265761E-4</v>
      </c>
      <c r="CE137">
        <v>1E-3</v>
      </c>
      <c r="CF137">
        <v>1E-3</v>
      </c>
      <c r="CG137">
        <v>2E-3</v>
      </c>
      <c r="CH137">
        <v>1E-3</v>
      </c>
      <c r="CI137">
        <v>1E-3</v>
      </c>
      <c r="CK137">
        <v>2E-3</v>
      </c>
      <c r="CL137">
        <v>1E-3</v>
      </c>
      <c r="CM137">
        <v>1E-3</v>
      </c>
      <c r="CN137" s="58">
        <f t="shared" si="143"/>
        <v>4550.8500000000004</v>
      </c>
      <c r="CO137" s="58">
        <f t="shared" si="118"/>
        <v>450.85</v>
      </c>
      <c r="CP137" s="31">
        <f t="shared" si="119"/>
        <v>1.7045464879616039</v>
      </c>
      <c r="CQ137" s="31">
        <f t="shared" si="120"/>
        <v>0.16908577172535488</v>
      </c>
      <c r="CR137">
        <v>4500</v>
      </c>
      <c r="CS137">
        <v>2900</v>
      </c>
      <c r="CT137">
        <v>870</v>
      </c>
      <c r="CU137" t="s">
        <v>69</v>
      </c>
      <c r="CV137" t="s">
        <v>69</v>
      </c>
      <c r="CW137">
        <v>3800</v>
      </c>
      <c r="CX137" s="2">
        <f t="shared" si="150"/>
        <v>5838</v>
      </c>
      <c r="CZ137">
        <v>72</v>
      </c>
      <c r="DA137" t="s">
        <v>62</v>
      </c>
      <c r="DB137" t="s">
        <v>88</v>
      </c>
      <c r="DC137" t="s">
        <v>782</v>
      </c>
      <c r="DD137" s="37">
        <f t="shared" si="151"/>
        <v>21.508224026650009</v>
      </c>
      <c r="DE137" s="37">
        <f t="shared" si="144"/>
        <v>21.508224026650009</v>
      </c>
      <c r="DF137" s="37">
        <v>0.02</v>
      </c>
      <c r="DG137" s="37">
        <f t="shared" si="152"/>
        <v>3.5810205908683976E-4</v>
      </c>
      <c r="DH137" s="37">
        <f t="shared" si="121"/>
        <v>3.5810205908683976E-4</v>
      </c>
      <c r="DI137" s="37">
        <f t="shared" si="153"/>
        <v>21.528224026650008</v>
      </c>
      <c r="DJ137" s="37">
        <f t="shared" si="122"/>
        <v>0.38546506762130722</v>
      </c>
      <c r="DK137" s="37">
        <f t="shared" si="123"/>
        <v>0.38546506762130722</v>
      </c>
      <c r="DL137" s="55">
        <f t="shared" si="124"/>
        <v>21.508224026650009</v>
      </c>
      <c r="DM137" s="55">
        <f t="shared" si="124"/>
        <v>21.508224026650009</v>
      </c>
      <c r="DN137" s="37">
        <f t="shared" si="125"/>
        <v>21.528224026650008</v>
      </c>
      <c r="DO137" s="55">
        <f t="shared" si="126"/>
        <v>0.38546506762130722</v>
      </c>
      <c r="DP137" s="55">
        <f t="shared" si="127"/>
        <v>0.38546506762130722</v>
      </c>
      <c r="DQ137" s="37">
        <v>0.9</v>
      </c>
      <c r="DR137" s="37">
        <f t="shared" si="128"/>
        <v>1.6384489350081924E-2</v>
      </c>
      <c r="DS137" s="37">
        <f t="shared" si="129"/>
        <v>3.2768978700163848E-2</v>
      </c>
      <c r="DT137" s="37">
        <f t="shared" si="154"/>
        <v>23.526217960487116</v>
      </c>
      <c r="DU137" s="37">
        <f t="shared" si="155"/>
        <v>11.763108980243558</v>
      </c>
      <c r="DV137" s="37">
        <f t="shared" si="156"/>
        <v>22.428224026650007</v>
      </c>
      <c r="DW137" s="37">
        <f t="shared" si="157"/>
        <v>0.4182340463214711</v>
      </c>
      <c r="DX137" t="s">
        <v>780</v>
      </c>
      <c r="DY137" t="s">
        <v>101</v>
      </c>
      <c r="DZ137" s="29">
        <f t="shared" si="167"/>
        <v>1</v>
      </c>
      <c r="EA137" s="30">
        <v>1.7000000000000001E-2</v>
      </c>
      <c r="EB137" s="30">
        <f t="shared" si="130"/>
        <v>2.741935483870968E-4</v>
      </c>
      <c r="EC137" s="30">
        <f t="shared" si="131"/>
        <v>1.370967741935484E-3</v>
      </c>
      <c r="ED137" s="31">
        <f t="shared" si="168"/>
        <v>37</v>
      </c>
      <c r="EE137" s="33">
        <f t="shared" si="169"/>
        <v>46.835443037974684</v>
      </c>
      <c r="EF137" s="37">
        <f t="shared" si="158"/>
        <v>3.0814074536747866</v>
      </c>
      <c r="EG137" s="37">
        <f>$EK120-EK137</f>
        <v>37</v>
      </c>
      <c r="EH137" s="33">
        <f>(EG137/$EK$120)*100</f>
        <v>46.835443037974684</v>
      </c>
      <c r="EI137" s="37">
        <f t="shared" si="165"/>
        <v>3.0814074536747866</v>
      </c>
      <c r="EJ137" s="37">
        <f t="shared" si="170"/>
        <v>3.0814074536747866</v>
      </c>
      <c r="EK137" s="31">
        <v>42</v>
      </c>
      <c r="EL137" s="31">
        <f t="shared" si="132"/>
        <v>0.4372267332916927</v>
      </c>
      <c r="EM137" s="31">
        <f t="shared" si="133"/>
        <v>3.4978138663335416</v>
      </c>
      <c r="EN137" s="32">
        <f t="shared" si="159"/>
        <v>3.4991848340754772</v>
      </c>
      <c r="EO137" s="39">
        <f t="shared" si="163"/>
        <v>3.4996414999962577</v>
      </c>
      <c r="EP137" s="37">
        <f t="shared" si="160"/>
        <v>9.3635244353454175E-3</v>
      </c>
      <c r="EQ137" s="37">
        <f t="shared" si="161"/>
        <v>0.11014415837214167</v>
      </c>
      <c r="ER137" s="37">
        <f t="shared" si="162"/>
        <v>0.88049231719251286</v>
      </c>
      <c r="ES137" s="39">
        <f t="shared" si="135"/>
        <v>3.4996414999962577</v>
      </c>
      <c r="ET137" s="55">
        <f t="shared" si="136"/>
        <v>11.014415837214168</v>
      </c>
      <c r="EU137" s="55">
        <f t="shared" si="137"/>
        <v>0.93635244353454172</v>
      </c>
      <c r="EV137" s="55">
        <f t="shared" si="138"/>
        <v>88.049231719251281</v>
      </c>
      <c r="EW137" t="s">
        <v>224</v>
      </c>
      <c r="EX137" t="s">
        <v>629</v>
      </c>
      <c r="EY137">
        <v>-56</v>
      </c>
      <c r="EZ137" t="s">
        <v>217</v>
      </c>
      <c r="FA137">
        <v>812</v>
      </c>
      <c r="FB137">
        <v>2</v>
      </c>
      <c r="FC137" t="s">
        <v>88</v>
      </c>
      <c r="FD137" s="39">
        <f t="shared" si="139"/>
        <v>-2.3959013865304093</v>
      </c>
      <c r="FE137" s="39">
        <f t="shared" si="140"/>
        <v>-2.2268156148050542</v>
      </c>
      <c r="FF137" s="39">
        <f t="shared" si="141"/>
        <v>-2.3959013865304093</v>
      </c>
      <c r="FG137" s="39">
        <f t="shared" si="142"/>
        <v>-2.2268156148050542</v>
      </c>
    </row>
    <row r="138" spans="1:163" ht="15.75" x14ac:dyDescent="0.25">
      <c r="A138" s="8" t="s">
        <v>396</v>
      </c>
      <c r="B138" s="8" t="s">
        <v>396</v>
      </c>
      <c r="C138" s="3" t="s">
        <v>927</v>
      </c>
      <c r="D138" s="3" t="s">
        <v>927</v>
      </c>
      <c r="E138" s="3" t="s">
        <v>1333</v>
      </c>
      <c r="F138" s="3" t="s">
        <v>1027</v>
      </c>
      <c r="G138" s="3" t="s">
        <v>774</v>
      </c>
      <c r="H138" s="3" t="str">
        <f t="shared" si="171"/>
        <v>CW_3_Section_2</v>
      </c>
      <c r="I138" s="3" t="str">
        <f t="shared" si="172"/>
        <v>CW_3_MF05</v>
      </c>
      <c r="J138" s="3" t="s">
        <v>1496</v>
      </c>
      <c r="K138" s="3" t="s">
        <v>1484</v>
      </c>
      <c r="L138" s="11" t="s">
        <v>1098</v>
      </c>
      <c r="M138" s="3" t="s">
        <v>1015</v>
      </c>
      <c r="N138" s="3" t="s">
        <v>1015</v>
      </c>
      <c r="O138" s="12" t="s">
        <v>1016</v>
      </c>
      <c r="P138" s="3" t="s">
        <v>1334</v>
      </c>
      <c r="Q138" s="3" t="s">
        <v>1018</v>
      </c>
      <c r="R138" s="3" t="s">
        <v>1297</v>
      </c>
      <c r="S138" s="3" t="str">
        <f t="shared" si="173"/>
        <v>T5_0.15-0.30</v>
      </c>
      <c r="T138" s="13" t="s">
        <v>1298</v>
      </c>
      <c r="U138" s="3" t="s">
        <v>1053</v>
      </c>
      <c r="V138" s="3">
        <v>150</v>
      </c>
      <c r="W138" s="3">
        <v>65</v>
      </c>
      <c r="X138" s="3">
        <v>7.9</v>
      </c>
      <c r="Y138" s="3">
        <v>137</v>
      </c>
      <c r="Z138" t="s">
        <v>659</v>
      </c>
      <c r="AA138" t="s">
        <v>250</v>
      </c>
      <c r="AB138" s="1">
        <v>45827</v>
      </c>
      <c r="AC138">
        <v>0.7</v>
      </c>
      <c r="AD138">
        <v>1.6</v>
      </c>
      <c r="AE138">
        <v>0.02</v>
      </c>
      <c r="AF138" s="37">
        <f t="shared" si="103"/>
        <v>7.6814748431698889E-6</v>
      </c>
      <c r="AG138">
        <v>0.02</v>
      </c>
      <c r="AH138" s="37">
        <f t="shared" si="104"/>
        <v>7.8141957890167132E-6</v>
      </c>
      <c r="AI138">
        <v>0.3</v>
      </c>
      <c r="AJ138" s="37">
        <f t="shared" si="105"/>
        <v>1.1867759254026561E-4</v>
      </c>
      <c r="AK138">
        <v>0.01</v>
      </c>
      <c r="AL138" s="37">
        <f t="shared" si="106"/>
        <v>3.9559197513421876E-6</v>
      </c>
      <c r="AM138">
        <v>0.02</v>
      </c>
      <c r="AN138" s="37">
        <f t="shared" si="107"/>
        <v>7.9118395026843752E-6</v>
      </c>
      <c r="AO138">
        <v>0.21</v>
      </c>
      <c r="AQ138" s="59">
        <v>0.79</v>
      </c>
      <c r="AR138" s="59">
        <f t="shared" si="108"/>
        <v>1.3417326317245222E-4</v>
      </c>
      <c r="AS138">
        <v>5.8</v>
      </c>
      <c r="AT138" s="37">
        <f t="shared" si="109"/>
        <v>2.1721151595537175E-3</v>
      </c>
      <c r="AU138" t="s">
        <v>780</v>
      </c>
      <c r="AV138" t="s">
        <v>780</v>
      </c>
      <c r="AW138" t="s">
        <v>780</v>
      </c>
      <c r="AX138" t="s">
        <v>780</v>
      </c>
      <c r="AY138" t="s">
        <v>780</v>
      </c>
      <c r="AZ138" t="s">
        <v>780</v>
      </c>
      <c r="BA138" t="s">
        <v>780</v>
      </c>
      <c r="BB138" t="s">
        <v>780</v>
      </c>
      <c r="BC138" t="s">
        <v>780</v>
      </c>
      <c r="BD138" t="s">
        <v>780</v>
      </c>
      <c r="BE138" t="s">
        <v>780</v>
      </c>
      <c r="BF138" t="s">
        <v>780</v>
      </c>
      <c r="BG138" t="s">
        <v>780</v>
      </c>
      <c r="BH138" t="s">
        <v>780</v>
      </c>
      <c r="BI138" t="s">
        <v>780</v>
      </c>
      <c r="BJ138" t="s">
        <v>780</v>
      </c>
      <c r="BK138" t="s">
        <v>780</v>
      </c>
      <c r="BL138" t="s">
        <v>780</v>
      </c>
      <c r="BM138" t="s">
        <v>780</v>
      </c>
      <c r="BN138" t="s">
        <v>780</v>
      </c>
      <c r="BO138" s="58">
        <v>0.8</v>
      </c>
      <c r="BP138" s="58">
        <v>0.01</v>
      </c>
      <c r="BQ138" s="58">
        <v>0.2</v>
      </c>
      <c r="BR138" s="58">
        <v>5.0000000000000001E-3</v>
      </c>
      <c r="BS138" s="58">
        <v>0.01</v>
      </c>
      <c r="BT138" s="58">
        <v>1E-3</v>
      </c>
      <c r="BU138" s="58">
        <v>1E-3</v>
      </c>
      <c r="BV138" s="58">
        <v>2E-3</v>
      </c>
      <c r="BW138" s="31">
        <f t="shared" si="110"/>
        <v>2.9960209097292662E-4</v>
      </c>
      <c r="BX138" s="31">
        <f t="shared" si="111"/>
        <v>3.6796110125501018E-6</v>
      </c>
      <c r="BY138" s="31">
        <f t="shared" si="112"/>
        <v>7.5222099734128785E-5</v>
      </c>
      <c r="BZ138" s="31">
        <f t="shared" si="113"/>
        <v>1.8649981951630372E-6</v>
      </c>
      <c r="CA138" s="31">
        <f t="shared" si="114"/>
        <v>3.7030802895135499E-6</v>
      </c>
      <c r="CB138" s="31">
        <f t="shared" si="115"/>
        <v>3.7030802895135499E-7</v>
      </c>
      <c r="CC138" s="31">
        <f t="shared" si="116"/>
        <v>3.6588380716934485E-7</v>
      </c>
      <c r="CD138" s="31">
        <f t="shared" si="117"/>
        <v>7.3176761433868969E-7</v>
      </c>
      <c r="CE138">
        <v>1E-3</v>
      </c>
      <c r="CF138">
        <v>1E-3</v>
      </c>
      <c r="CG138">
        <v>2E-3</v>
      </c>
      <c r="CH138">
        <v>1E-3</v>
      </c>
      <c r="CI138">
        <v>1E-3</v>
      </c>
      <c r="CK138">
        <v>2E-3</v>
      </c>
      <c r="CL138">
        <v>1E-3</v>
      </c>
      <c r="CM138">
        <v>1E-3</v>
      </c>
      <c r="CN138" s="58">
        <f t="shared" si="143"/>
        <v>1.0289999999999997</v>
      </c>
      <c r="CO138" s="58">
        <f t="shared" si="118"/>
        <v>0.22900000000000004</v>
      </c>
      <c r="CP138" s="31">
        <f t="shared" si="119"/>
        <v>3.8553983965474147E-4</v>
      </c>
      <c r="CQ138" s="31">
        <f t="shared" si="120"/>
        <v>8.5937748681814868E-5</v>
      </c>
      <c r="CR138">
        <v>1</v>
      </c>
      <c r="CS138" t="s">
        <v>69</v>
      </c>
      <c r="CT138" t="s">
        <v>69</v>
      </c>
      <c r="CU138" t="s">
        <v>69</v>
      </c>
      <c r="CV138" t="s">
        <v>69</v>
      </c>
      <c r="CW138">
        <v>5</v>
      </c>
      <c r="CX138" s="2">
        <f t="shared" ref="CX138:CX169" si="174">SUM(AQ138+CR138)</f>
        <v>1.79</v>
      </c>
      <c r="CZ138">
        <v>67</v>
      </c>
      <c r="DA138" t="s">
        <v>62</v>
      </c>
      <c r="DB138" t="s">
        <v>88</v>
      </c>
      <c r="DC138" t="s">
        <v>782</v>
      </c>
      <c r="DD138" s="37">
        <f t="shared" ref="DD138:DD169" si="175">$ED138*(55.84/96.06)</f>
        <v>4.650426816572975</v>
      </c>
      <c r="DE138" s="37">
        <f t="shared" si="144"/>
        <v>4.650426816572975</v>
      </c>
      <c r="DF138" s="37">
        <v>1.5</v>
      </c>
      <c r="DG138" s="37">
        <f t="shared" ref="DG138:DG169" si="176">DF138/55.85</f>
        <v>2.685765443151298E-2</v>
      </c>
      <c r="DH138" s="37">
        <f t="shared" si="121"/>
        <v>2.685765443151298E-2</v>
      </c>
      <c r="DI138" s="37">
        <f t="shared" ref="DI138:DI169" si="177">DE138+DF138</f>
        <v>6.150426816572975</v>
      </c>
      <c r="DJ138" s="37">
        <f t="shared" si="122"/>
        <v>0.11012402536388495</v>
      </c>
      <c r="DK138" s="37">
        <f t="shared" si="123"/>
        <v>0.11012402536388495</v>
      </c>
      <c r="DL138" s="55">
        <f t="shared" si="124"/>
        <v>-37.435935873412454</v>
      </c>
      <c r="DN138" s="37">
        <f t="shared" si="125"/>
        <v>1.5</v>
      </c>
      <c r="DO138" s="55">
        <f t="shared" si="126"/>
        <v>2.685765443151298E-2</v>
      </c>
      <c r="DP138" s="55">
        <f t="shared" si="127"/>
        <v>2.685765443151298E-2</v>
      </c>
      <c r="DQ138" s="37">
        <v>7.9</v>
      </c>
      <c r="DR138" s="37">
        <f t="shared" si="128"/>
        <v>0.14381940651738578</v>
      </c>
      <c r="DS138" s="37">
        <f t="shared" si="129"/>
        <v>0.28763881303477157</v>
      </c>
      <c r="DT138" s="37">
        <f t="shared" ref="DT138:DT169" si="178">DJ138/DR138</f>
        <v>0.7657104700301518</v>
      </c>
      <c r="DU138" s="37">
        <f t="shared" ref="DU138:DU169" si="179">DK138/DS138</f>
        <v>0.3828552350150759</v>
      </c>
      <c r="DV138" s="37">
        <f t="shared" ref="DV138:DV169" si="180">DI138+DQ138</f>
        <v>14.050426816572976</v>
      </c>
      <c r="DW138" s="37">
        <f t="shared" ref="DW138:DW169" si="181">SUM(DK138+DS138)</f>
        <v>0.3977628383986565</v>
      </c>
      <c r="DX138" t="s">
        <v>780</v>
      </c>
      <c r="DY138" t="s">
        <v>615</v>
      </c>
      <c r="DZ138" s="29">
        <f t="shared" si="167"/>
        <v>1</v>
      </c>
      <c r="EA138" s="30">
        <v>1.7000000000000001E-2</v>
      </c>
      <c r="EB138" s="30">
        <f t="shared" si="130"/>
        <v>2.741935483870968E-4</v>
      </c>
      <c r="EC138" s="30">
        <f t="shared" si="131"/>
        <v>1.370967741935484E-3</v>
      </c>
      <c r="ED138" s="31">
        <f t="shared" si="168"/>
        <v>8</v>
      </c>
      <c r="EE138" s="33">
        <f t="shared" si="169"/>
        <v>10.126582278481013</v>
      </c>
      <c r="EF138" s="37">
        <f t="shared" ref="EF138:EF169" si="182">(ED138/96.06)*8</f>
        <v>0.66625026025400791</v>
      </c>
      <c r="EG138" s="37">
        <f>$EK136-EK138</f>
        <v>-64.400000000000006</v>
      </c>
      <c r="EH138" s="33">
        <f>(EG138/$EK136)*100</f>
        <v>-975.75757575757598</v>
      </c>
      <c r="EI138" s="37">
        <f t="shared" si="165"/>
        <v>-5.3633145950447636</v>
      </c>
      <c r="EJ138" s="37"/>
      <c r="EK138" s="31">
        <v>71</v>
      </c>
      <c r="EL138" s="31">
        <f t="shared" si="132"/>
        <v>0.73912138246929004</v>
      </c>
      <c r="EM138" s="31">
        <f t="shared" si="133"/>
        <v>5.9129710597543204</v>
      </c>
      <c r="EN138" s="32">
        <f t="shared" ref="EN138:EN169" si="183">SUM(EC138+EM138)</f>
        <v>5.9143420274962555</v>
      </c>
      <c r="EO138" s="39">
        <f t="shared" si="163"/>
        <v>1.0640130986526644</v>
      </c>
      <c r="EP138" s="37">
        <f t="shared" ref="EP138:EP169" si="184">DS138/EO138</f>
        <v>0.27033390227902465</v>
      </c>
      <c r="EQ138" s="37">
        <f t="shared" ref="EQ138:EQ169" si="185">DK138/EO138</f>
        <v>0.10349874968957855</v>
      </c>
      <c r="ER138" s="37">
        <f t="shared" ref="ER138:ER169" si="186">EF138/EO138</f>
        <v>0.62616734803139684</v>
      </c>
      <c r="ES138" s="39">
        <f t="shared" si="135"/>
        <v>0.31449646746628457</v>
      </c>
      <c r="ET138" s="55">
        <f t="shared" si="136"/>
        <v>8.5398906537454948</v>
      </c>
      <c r="EU138" s="55">
        <f t="shared" si="137"/>
        <v>91.460109346254498</v>
      </c>
      <c r="EV138" s="55">
        <f t="shared" si="138"/>
        <v>0</v>
      </c>
      <c r="EW138" t="s">
        <v>660</v>
      </c>
      <c r="EX138" t="s">
        <v>652</v>
      </c>
      <c r="EY138" t="s">
        <v>661</v>
      </c>
      <c r="EZ138">
        <v>708</v>
      </c>
      <c r="FA138">
        <v>1090</v>
      </c>
      <c r="FB138" t="s">
        <v>72</v>
      </c>
      <c r="FC138" t="s">
        <v>88</v>
      </c>
      <c r="FD138" s="39">
        <f t="shared" si="139"/>
        <v>-1.0617068102299383</v>
      </c>
      <c r="FE138" s="39">
        <f t="shared" si="140"/>
        <v>-1.0616208724812564</v>
      </c>
      <c r="FF138" s="39">
        <f t="shared" si="141"/>
        <v>-0.31219017904355839</v>
      </c>
      <c r="FG138" s="39">
        <f t="shared" si="142"/>
        <v>-0.31210424129487657</v>
      </c>
    </row>
    <row r="139" spans="1:163" ht="15.75" x14ac:dyDescent="0.25">
      <c r="A139" s="8" t="s">
        <v>397</v>
      </c>
      <c r="B139" s="8" t="s">
        <v>397</v>
      </c>
      <c r="C139" s="3" t="s">
        <v>928</v>
      </c>
      <c r="D139" s="3" t="s">
        <v>928</v>
      </c>
      <c r="E139" s="3" t="s">
        <v>1335</v>
      </c>
      <c r="F139" s="3" t="s">
        <v>1027</v>
      </c>
      <c r="G139" s="3" t="s">
        <v>774</v>
      </c>
      <c r="H139" s="3" t="str">
        <f t="shared" si="171"/>
        <v>CW_3_Section_2</v>
      </c>
      <c r="I139" s="3" t="str">
        <f t="shared" si="172"/>
        <v>CW_3_MF06</v>
      </c>
      <c r="J139" s="3" t="s">
        <v>1497</v>
      </c>
      <c r="K139" s="3" t="s">
        <v>1484</v>
      </c>
      <c r="L139" s="11" t="s">
        <v>1101</v>
      </c>
      <c r="M139" s="3" t="s">
        <v>1024</v>
      </c>
      <c r="N139" s="3" t="s">
        <v>1024</v>
      </c>
      <c r="O139" s="12" t="s">
        <v>1016</v>
      </c>
      <c r="P139" s="3" t="s">
        <v>1336</v>
      </c>
      <c r="Q139" s="3" t="s">
        <v>1018</v>
      </c>
      <c r="R139" s="3" t="s">
        <v>1297</v>
      </c>
      <c r="S139" s="3" t="str">
        <f t="shared" si="173"/>
        <v>T5_0.60-0.80</v>
      </c>
      <c r="T139" s="13" t="s">
        <v>1298</v>
      </c>
      <c r="U139" s="3" t="s">
        <v>1053</v>
      </c>
      <c r="V139" s="3">
        <v>150</v>
      </c>
      <c r="W139" s="3">
        <v>65</v>
      </c>
      <c r="X139" s="3">
        <v>2</v>
      </c>
      <c r="Y139" s="3">
        <v>138</v>
      </c>
      <c r="Z139" t="s">
        <v>662</v>
      </c>
      <c r="AA139" t="s">
        <v>255</v>
      </c>
      <c r="AB139" s="1">
        <v>45827</v>
      </c>
      <c r="AC139">
        <v>8.1</v>
      </c>
      <c r="AD139">
        <v>8.4</v>
      </c>
      <c r="AE139">
        <v>580</v>
      </c>
      <c r="AF139" s="37">
        <f t="shared" ref="AF139:AF202" si="187">($AE139/78110)*30</f>
        <v>0.22276277045192677</v>
      </c>
      <c r="AG139">
        <v>33</v>
      </c>
      <c r="AH139" s="37">
        <f t="shared" ref="AH139:AH202" si="188">($AG139/92140)*36</f>
        <v>1.2893423051877576E-2</v>
      </c>
      <c r="AI139">
        <v>500</v>
      </c>
      <c r="AJ139" s="37">
        <f t="shared" ref="AJ139:AJ202" si="189">($AI139/106170)*42</f>
        <v>0.19779598756710934</v>
      </c>
      <c r="AK139">
        <v>170</v>
      </c>
      <c r="AL139" s="37">
        <f t="shared" ref="AL139:AL202" si="190">($AK139/106170)*42</f>
        <v>6.7250635772817174E-2</v>
      </c>
      <c r="AM139">
        <v>110</v>
      </c>
      <c r="AN139" s="37">
        <f t="shared" ref="AN139:AN202" si="191">($AM139/106170)*42</f>
        <v>4.3515117264764057E-2</v>
      </c>
      <c r="AO139">
        <v>280</v>
      </c>
      <c r="AQ139" s="59">
        <v>1393</v>
      </c>
      <c r="AR139" s="59">
        <f t="shared" ref="AR139:AR202" si="192">$AF139+$AH139+$AJ139+$AP139</f>
        <v>0.43345218107091366</v>
      </c>
      <c r="AS139">
        <v>1800</v>
      </c>
      <c r="AT139" s="37">
        <f t="shared" ref="AT139:AT202" si="193">($AS139/128170)*48</f>
        <v>0.6741047046890849</v>
      </c>
      <c r="AU139" t="s">
        <v>780</v>
      </c>
      <c r="AV139" t="s">
        <v>780</v>
      </c>
      <c r="AW139" t="s">
        <v>780</v>
      </c>
      <c r="AX139" t="s">
        <v>780</v>
      </c>
      <c r="AY139" t="s">
        <v>780</v>
      </c>
      <c r="AZ139" t="s">
        <v>780</v>
      </c>
      <c r="BA139" t="s">
        <v>780</v>
      </c>
      <c r="BB139" t="s">
        <v>780</v>
      </c>
      <c r="BC139" t="s">
        <v>780</v>
      </c>
      <c r="BD139" t="s">
        <v>780</v>
      </c>
      <c r="BE139" t="s">
        <v>780</v>
      </c>
      <c r="BF139" t="s">
        <v>780</v>
      </c>
      <c r="BG139" t="s">
        <v>780</v>
      </c>
      <c r="BH139" t="s">
        <v>780</v>
      </c>
      <c r="BI139" t="s">
        <v>780</v>
      </c>
      <c r="BJ139" t="s">
        <v>780</v>
      </c>
      <c r="BK139" t="s">
        <v>780</v>
      </c>
      <c r="BL139" t="s">
        <v>780</v>
      </c>
      <c r="BM139" t="s">
        <v>780</v>
      </c>
      <c r="BN139" t="s">
        <v>780</v>
      </c>
      <c r="BO139" s="58">
        <v>3300</v>
      </c>
      <c r="BP139" s="58">
        <v>40</v>
      </c>
      <c r="BQ139" s="58">
        <v>360</v>
      </c>
      <c r="BR139" s="58">
        <v>83</v>
      </c>
      <c r="BS139" s="58">
        <v>63</v>
      </c>
      <c r="BT139" s="58">
        <v>4.0999999999999996</v>
      </c>
      <c r="BU139" s="58">
        <v>0.95</v>
      </c>
      <c r="BV139" s="58">
        <v>0.99</v>
      </c>
      <c r="BW139" s="31">
        <f t="shared" ref="BW139:BW202" si="194">($BO139/128170)*48</f>
        <v>1.2358586252633221</v>
      </c>
      <c r="BX139" s="31">
        <f t="shared" ref="BX139:BX202" si="195">($BP139/152190)*56</f>
        <v>1.4718444050200407E-2</v>
      </c>
      <c r="BY139" s="31">
        <f t="shared" ref="BY139:BY202" si="196">($BQ139/154210)*58</f>
        <v>0.13539977952143184</v>
      </c>
      <c r="BZ139" s="31">
        <f t="shared" ref="BZ139:BZ202" si="197">($BR139/166220)*62</f>
        <v>3.0958970039706414E-2</v>
      </c>
      <c r="CA139" s="31">
        <f t="shared" ref="CA139:CA202" si="198">($BS139/178230)*66</f>
        <v>2.3329405823935362E-2</v>
      </c>
      <c r="CB139" s="31">
        <f t="shared" ref="CB139:CB202" si="199">($BT139/178230)*66</f>
        <v>1.5182629187005553E-3</v>
      </c>
      <c r="CC139" s="31">
        <f t="shared" ref="CC139:CC202" si="200">($BU139/202250)*74</f>
        <v>3.4758961681087758E-4</v>
      </c>
      <c r="CD139" s="31">
        <f t="shared" ref="CD139:CD202" si="201">($BV139/202250)*74</f>
        <v>3.6222496909765138E-4</v>
      </c>
      <c r="CE139">
        <v>0.02</v>
      </c>
      <c r="CF139">
        <v>0.02</v>
      </c>
      <c r="CG139">
        <v>2E-3</v>
      </c>
      <c r="CH139">
        <v>1E-3</v>
      </c>
      <c r="CI139">
        <v>1E-3</v>
      </c>
      <c r="CK139">
        <v>2E-3</v>
      </c>
      <c r="CL139">
        <v>1E-3</v>
      </c>
      <c r="CM139">
        <v>1E-3</v>
      </c>
      <c r="CN139" s="58">
        <f t="shared" si="143"/>
        <v>3852.0399999999995</v>
      </c>
      <c r="CO139" s="58">
        <f t="shared" ref="CO139:CO202" si="202">$BP139+$BQ139+$BR139+$BS139+$BT139+$BU139+$BV139</f>
        <v>552.04000000000008</v>
      </c>
      <c r="CP139" s="31">
        <f t="shared" ref="CP139:CP202" si="203">$BW139+$BX139+$BY139+$BZ139+$CA139+$CB139+$CC139+$CD139</f>
        <v>1.4424933022032049</v>
      </c>
      <c r="CQ139" s="31">
        <f t="shared" ref="CQ139:CQ202" si="204">$BX139+$BY139+$BZ139+$CA139+$CB139+$CC139+$CD139</f>
        <v>0.20663467693988311</v>
      </c>
      <c r="CR139">
        <v>3900</v>
      </c>
      <c r="CS139">
        <v>2900</v>
      </c>
      <c r="CT139">
        <v>1100</v>
      </c>
      <c r="CU139" t="s">
        <v>69</v>
      </c>
      <c r="CV139" t="s">
        <v>69</v>
      </c>
      <c r="CW139">
        <v>4100</v>
      </c>
      <c r="CX139" s="2">
        <f t="shared" si="174"/>
        <v>5293</v>
      </c>
      <c r="CZ139">
        <v>75</v>
      </c>
      <c r="DA139" t="s">
        <v>62</v>
      </c>
      <c r="DB139" t="s">
        <v>88</v>
      </c>
      <c r="DC139" t="s">
        <v>782</v>
      </c>
      <c r="DD139" s="37">
        <f t="shared" si="175"/>
        <v>20.926920674578387</v>
      </c>
      <c r="DE139" s="37">
        <f t="shared" si="144"/>
        <v>20.926920674578387</v>
      </c>
      <c r="DF139" s="37">
        <v>0.02</v>
      </c>
      <c r="DG139" s="37">
        <f t="shared" si="176"/>
        <v>3.5810205908683976E-4</v>
      </c>
      <c r="DH139" s="37">
        <f t="shared" ref="DH139:DH202" si="205">DG139*1</f>
        <v>3.5810205908683976E-4</v>
      </c>
      <c r="DI139" s="37">
        <f t="shared" si="177"/>
        <v>20.946920674578386</v>
      </c>
      <c r="DJ139" s="37">
        <f t="shared" ref="DJ139:DJ202" si="206">DI139/55.85</f>
        <v>0.37505677125476072</v>
      </c>
      <c r="DK139" s="37">
        <f t="shared" ref="DK139:DK202" si="207">DJ139*1</f>
        <v>0.37505677125476072</v>
      </c>
      <c r="DL139" s="55">
        <f t="shared" ref="DL139:DM202" si="208">$EG139*(55.84/96.06)</f>
        <v>-0.58130335207162187</v>
      </c>
      <c r="DN139" s="37">
        <f t="shared" ref="DN139:DN202" si="209">DM139+DF139</f>
        <v>0.02</v>
      </c>
      <c r="DO139" s="55">
        <f t="shared" ref="DO139:DO202" si="210">DN139/55.85</f>
        <v>3.5810205908683976E-4</v>
      </c>
      <c r="DP139" s="55">
        <f t="shared" ref="DP139:DP202" si="211">DO139*1</f>
        <v>3.5810205908683976E-4</v>
      </c>
      <c r="DQ139" s="37">
        <v>0.8</v>
      </c>
      <c r="DR139" s="37">
        <f t="shared" ref="DR139:DR202" si="212">DQ139/54.93</f>
        <v>1.4563990533406155E-2</v>
      </c>
      <c r="DS139" s="37">
        <f t="shared" ref="DS139:DS202" si="213">DR139*2</f>
        <v>2.912798106681231E-2</v>
      </c>
      <c r="DT139" s="37">
        <f t="shared" si="178"/>
        <v>25.752335556280006</v>
      </c>
      <c r="DU139" s="37">
        <f t="shared" si="179"/>
        <v>12.876167778140003</v>
      </c>
      <c r="DV139" s="37">
        <f t="shared" si="180"/>
        <v>21.746920674578387</v>
      </c>
      <c r="DW139" s="37">
        <f t="shared" si="181"/>
        <v>0.40418475232157303</v>
      </c>
      <c r="DX139" t="s">
        <v>780</v>
      </c>
      <c r="DY139" t="s">
        <v>66</v>
      </c>
      <c r="DZ139" s="29">
        <f t="shared" si="167"/>
        <v>1</v>
      </c>
      <c r="EA139" s="30">
        <v>1.7000000000000001E-2</v>
      </c>
      <c r="EB139" s="30">
        <f t="shared" ref="EB139:EB202" si="214">EA139/62</f>
        <v>2.741935483870968E-4</v>
      </c>
      <c r="EC139" s="30">
        <f t="shared" ref="EC139:EC202" si="215">EB139*5</f>
        <v>1.370967741935484E-3</v>
      </c>
      <c r="ED139" s="31">
        <f t="shared" si="168"/>
        <v>36</v>
      </c>
      <c r="EE139" s="33">
        <f t="shared" si="169"/>
        <v>45.569620253164558</v>
      </c>
      <c r="EF139" s="37">
        <f t="shared" si="182"/>
        <v>2.9981261711430354</v>
      </c>
      <c r="EG139" s="37">
        <f>$EK137-EK139</f>
        <v>-1</v>
      </c>
      <c r="EH139" s="33">
        <f>(EG139/$EK137)*100</f>
        <v>-2.3809523809523809</v>
      </c>
      <c r="EI139" s="37">
        <f t="shared" si="165"/>
        <v>-8.3281282531750989E-2</v>
      </c>
      <c r="EJ139" s="37"/>
      <c r="EK139" s="31">
        <v>43</v>
      </c>
      <c r="EL139" s="31">
        <f t="shared" ref="EL139:EL202" si="216">EK139/96.06</f>
        <v>0.44763689360816156</v>
      </c>
      <c r="EM139" s="31">
        <f t="shared" ref="EM139:EM202" si="217">EL139*8</f>
        <v>3.5810951488652925</v>
      </c>
      <c r="EN139" s="32">
        <f t="shared" si="183"/>
        <v>3.582466116607228</v>
      </c>
      <c r="EO139" s="39">
        <f t="shared" ref="EO139:EO170" si="218">DK139+DS139+EF139</f>
        <v>3.4023109234646083</v>
      </c>
      <c r="EP139" s="37">
        <f t="shared" si="184"/>
        <v>8.5612343263298772E-3</v>
      </c>
      <c r="EQ139" s="37">
        <f t="shared" si="185"/>
        <v>0.1102358895737949</v>
      </c>
      <c r="ER139" s="37">
        <f t="shared" si="186"/>
        <v>0.88120287609987524</v>
      </c>
      <c r="ES139" s="39">
        <f t="shared" ref="ES139:ES202" si="219">$DP139+$DS139+$EJ139</f>
        <v>2.9486083125899148E-2</v>
      </c>
      <c r="ET139" s="55">
        <f t="shared" ref="ET139:ET202" si="220">($DP139/$ES139)*100</f>
        <v>1.2144782253981379</v>
      </c>
      <c r="EU139" s="55">
        <f t="shared" ref="EU139:EU202" si="221">($DS139/$ES139)*100</f>
        <v>98.785521774601875</v>
      </c>
      <c r="EV139" s="55">
        <f t="shared" ref="EV139:EV202" si="222">($EJ139/$ES139)*100</f>
        <v>0</v>
      </c>
      <c r="EW139" t="s">
        <v>223</v>
      </c>
      <c r="EX139" t="s">
        <v>652</v>
      </c>
      <c r="EY139">
        <v>-25</v>
      </c>
      <c r="EZ139" t="s">
        <v>554</v>
      </c>
      <c r="FA139">
        <v>1036</v>
      </c>
      <c r="FB139" t="s">
        <v>113</v>
      </c>
      <c r="FC139" t="s">
        <v>88</v>
      </c>
      <c r="FD139" s="39">
        <f t="shared" ref="FD139:FD202" si="223">$AR139+$AT139-$EO139</f>
        <v>-2.2947540377046098</v>
      </c>
      <c r="FE139" s="39">
        <f t="shared" ref="FE139:FE202" si="224">$AR139+$AT139+$CQ139-$EO139</f>
        <v>-2.0881193607647268</v>
      </c>
      <c r="FF139" s="39">
        <f t="shared" ref="FF139:FF202" si="225">$AR139+$AT139-$ES139</f>
        <v>1.0780708026340993</v>
      </c>
      <c r="FG139" s="39">
        <f t="shared" ref="FG139:FG202" si="226">$AR139+$AT139+$CQ139-$ES139</f>
        <v>1.2847054795739823</v>
      </c>
    </row>
    <row r="140" spans="1:163" ht="15.75" x14ac:dyDescent="0.25">
      <c r="A140" s="8" t="s">
        <v>398</v>
      </c>
      <c r="B140" s="8" t="s">
        <v>398</v>
      </c>
      <c r="C140" s="3" t="s">
        <v>929</v>
      </c>
      <c r="D140" s="3" t="s">
        <v>929</v>
      </c>
      <c r="E140" s="3" t="s">
        <v>1337</v>
      </c>
      <c r="F140" s="3" t="s">
        <v>1034</v>
      </c>
      <c r="G140" s="3" t="s">
        <v>774</v>
      </c>
      <c r="H140" s="3" t="str">
        <f t="shared" si="171"/>
        <v>CW_3_Section_3</v>
      </c>
      <c r="I140" s="3" t="str">
        <f t="shared" si="172"/>
        <v>CW_3_MF09</v>
      </c>
      <c r="J140" s="3" t="s">
        <v>1492</v>
      </c>
      <c r="K140" s="3" t="s">
        <v>1484</v>
      </c>
      <c r="L140" s="11" t="s">
        <v>1104</v>
      </c>
      <c r="M140" s="3" t="s">
        <v>1015</v>
      </c>
      <c r="N140" s="3" t="s">
        <v>1015</v>
      </c>
      <c r="O140" s="12" t="s">
        <v>1016</v>
      </c>
      <c r="P140" s="3" t="s">
        <v>1338</v>
      </c>
      <c r="Q140" s="3" t="s">
        <v>1018</v>
      </c>
      <c r="R140" s="3" t="s">
        <v>1297</v>
      </c>
      <c r="S140" s="3" t="str">
        <f t="shared" si="173"/>
        <v>T5_0.15-0.30</v>
      </c>
      <c r="T140" s="13" t="s">
        <v>1298</v>
      </c>
      <c r="U140" s="3" t="s">
        <v>1053</v>
      </c>
      <c r="V140" s="3">
        <v>150</v>
      </c>
      <c r="W140" s="3">
        <v>65</v>
      </c>
      <c r="X140" s="3">
        <v>11.4</v>
      </c>
      <c r="Y140" s="3">
        <v>139</v>
      </c>
      <c r="Z140" t="s">
        <v>663</v>
      </c>
      <c r="AA140" t="s">
        <v>261</v>
      </c>
      <c r="AB140" s="1">
        <v>45827</v>
      </c>
      <c r="AC140">
        <v>17</v>
      </c>
      <c r="AD140">
        <v>18</v>
      </c>
      <c r="AE140">
        <v>180</v>
      </c>
      <c r="AF140" s="37">
        <f t="shared" si="187"/>
        <v>6.9133273588528998E-2</v>
      </c>
      <c r="AG140">
        <v>0.1</v>
      </c>
      <c r="AH140" s="37">
        <f t="shared" si="188"/>
        <v>3.9070978945083576E-5</v>
      </c>
      <c r="AI140">
        <v>42</v>
      </c>
      <c r="AJ140" s="37">
        <f t="shared" si="189"/>
        <v>1.6614862955637185E-2</v>
      </c>
      <c r="AK140">
        <v>26</v>
      </c>
      <c r="AL140" s="37">
        <f t="shared" si="190"/>
        <v>1.0285391353489687E-2</v>
      </c>
      <c r="AM140">
        <v>13</v>
      </c>
      <c r="AN140" s="37">
        <f t="shared" si="191"/>
        <v>5.1426956767448434E-3</v>
      </c>
      <c r="AO140">
        <v>39</v>
      </c>
      <c r="AQ140" s="59">
        <v>261.7</v>
      </c>
      <c r="AR140" s="59">
        <f t="shared" si="192"/>
        <v>8.5787207523111267E-2</v>
      </c>
      <c r="AS140">
        <v>28</v>
      </c>
      <c r="AT140" s="37">
        <f t="shared" si="193"/>
        <v>1.048607318405243E-2</v>
      </c>
      <c r="AU140" t="s">
        <v>780</v>
      </c>
      <c r="AV140" t="s">
        <v>780</v>
      </c>
      <c r="AW140" t="s">
        <v>780</v>
      </c>
      <c r="AX140" t="s">
        <v>780</v>
      </c>
      <c r="AY140" t="s">
        <v>780</v>
      </c>
      <c r="AZ140" t="s">
        <v>780</v>
      </c>
      <c r="BA140" t="s">
        <v>780</v>
      </c>
      <c r="BB140" t="s">
        <v>780</v>
      </c>
      <c r="BC140" t="s">
        <v>780</v>
      </c>
      <c r="BD140" t="s">
        <v>780</v>
      </c>
      <c r="BE140" t="s">
        <v>780</v>
      </c>
      <c r="BF140" t="s">
        <v>780</v>
      </c>
      <c r="BG140" t="s">
        <v>780</v>
      </c>
      <c r="BH140" t="s">
        <v>780</v>
      </c>
      <c r="BI140" t="s">
        <v>780</v>
      </c>
      <c r="BJ140" t="s">
        <v>780</v>
      </c>
      <c r="BK140" t="s">
        <v>780</v>
      </c>
      <c r="BL140" t="s">
        <v>780</v>
      </c>
      <c r="BM140" t="s">
        <v>780</v>
      </c>
      <c r="BN140" t="s">
        <v>780</v>
      </c>
      <c r="BO140" s="58">
        <v>32</v>
      </c>
      <c r="BP140" s="58">
        <v>0.33</v>
      </c>
      <c r="BQ140" s="58">
        <v>0.7</v>
      </c>
      <c r="BR140" s="58">
        <v>0.16</v>
      </c>
      <c r="BS140" s="58">
        <v>0.06</v>
      </c>
      <c r="BT140" s="58">
        <v>1E-3</v>
      </c>
      <c r="BU140" s="58">
        <v>1E-3</v>
      </c>
      <c r="BV140" s="58">
        <v>2E-3</v>
      </c>
      <c r="BW140" s="31">
        <f t="shared" si="194"/>
        <v>1.1984083638917061E-2</v>
      </c>
      <c r="BX140" s="31">
        <f t="shared" si="195"/>
        <v>1.2142716341415337E-4</v>
      </c>
      <c r="BY140" s="31">
        <f t="shared" si="196"/>
        <v>2.6327734906945072E-4</v>
      </c>
      <c r="BZ140" s="31">
        <f t="shared" si="197"/>
        <v>5.9679942245217189E-5</v>
      </c>
      <c r="CA140" s="31">
        <f t="shared" si="198"/>
        <v>2.22184817370813E-5</v>
      </c>
      <c r="CB140" s="31">
        <f t="shared" si="199"/>
        <v>3.7030802895135499E-7</v>
      </c>
      <c r="CC140" s="31">
        <f t="shared" si="200"/>
        <v>3.6588380716934485E-7</v>
      </c>
      <c r="CD140" s="31">
        <f t="shared" si="201"/>
        <v>7.3176761433868969E-7</v>
      </c>
      <c r="CE140">
        <v>1E-3</v>
      </c>
      <c r="CF140">
        <v>1E-3</v>
      </c>
      <c r="CG140">
        <v>2E-3</v>
      </c>
      <c r="CH140">
        <v>1E-3</v>
      </c>
      <c r="CI140">
        <v>1E-3</v>
      </c>
      <c r="CK140">
        <v>2E-3</v>
      </c>
      <c r="CL140">
        <v>1E-3</v>
      </c>
      <c r="CM140">
        <v>1E-3</v>
      </c>
      <c r="CN140" s="58">
        <f t="shared" ref="CN140:CN203" si="227">$BO140+$BP140+$BQ140+$BR140+$BS140+$BT140+$BU140+$BV140</f>
        <v>33.253999999999998</v>
      </c>
      <c r="CO140" s="58">
        <f t="shared" si="202"/>
        <v>1.2539999999999998</v>
      </c>
      <c r="CP140" s="31">
        <f t="shared" si="203"/>
        <v>1.2452154534833424E-2</v>
      </c>
      <c r="CQ140" s="31">
        <f t="shared" si="204"/>
        <v>4.6807089591636189E-4</v>
      </c>
      <c r="CR140">
        <v>33</v>
      </c>
      <c r="CS140">
        <v>55</v>
      </c>
      <c r="CT140" t="s">
        <v>69</v>
      </c>
      <c r="CU140" t="s">
        <v>69</v>
      </c>
      <c r="CV140" t="s">
        <v>69</v>
      </c>
      <c r="CW140">
        <v>65</v>
      </c>
      <c r="CX140" s="2">
        <f t="shared" si="174"/>
        <v>294.7</v>
      </c>
      <c r="CZ140">
        <v>61</v>
      </c>
      <c r="DA140" t="s">
        <v>62</v>
      </c>
      <c r="DB140" t="s">
        <v>88</v>
      </c>
      <c r="DC140" t="s">
        <v>782</v>
      </c>
      <c r="DD140" s="37">
        <f t="shared" si="175"/>
        <v>45.632313137622319</v>
      </c>
      <c r="DE140" s="37">
        <f t="shared" ref="DE140:DE167" si="228">$ED140*(55.84/96.06)</f>
        <v>45.632313137622319</v>
      </c>
      <c r="DF140" s="37">
        <v>18</v>
      </c>
      <c r="DG140" s="37">
        <f t="shared" si="176"/>
        <v>0.32229185317815578</v>
      </c>
      <c r="DH140" s="37">
        <f t="shared" si="205"/>
        <v>0.32229185317815578</v>
      </c>
      <c r="DI140" s="37">
        <f t="shared" si="177"/>
        <v>63.632313137622319</v>
      </c>
      <c r="DJ140" s="37">
        <f t="shared" si="206"/>
        <v>1.1393431179520559</v>
      </c>
      <c r="DK140" s="37">
        <f t="shared" si="207"/>
        <v>1.1393431179520559</v>
      </c>
      <c r="DL140" s="55">
        <f t="shared" si="208"/>
        <v>40.981886321049345</v>
      </c>
      <c r="DM140" s="55">
        <f t="shared" si="208"/>
        <v>40.981886321049345</v>
      </c>
      <c r="DN140" s="37">
        <f t="shared" si="209"/>
        <v>58.981886321049345</v>
      </c>
      <c r="DO140" s="55">
        <f t="shared" si="210"/>
        <v>1.0560767470196839</v>
      </c>
      <c r="DP140" s="55">
        <f t="shared" si="211"/>
        <v>1.0560767470196839</v>
      </c>
      <c r="DQ140" s="37">
        <v>5.3</v>
      </c>
      <c r="DR140" s="37">
        <f t="shared" si="212"/>
        <v>9.6486437283815757E-2</v>
      </c>
      <c r="DS140" s="37">
        <f t="shared" si="213"/>
        <v>0.19297287456763151</v>
      </c>
      <c r="DT140" s="37">
        <f t="shared" si="178"/>
        <v>11.808324050774798</v>
      </c>
      <c r="DU140" s="37">
        <f t="shared" si="179"/>
        <v>5.9041620253873992</v>
      </c>
      <c r="DV140" s="37">
        <f t="shared" si="180"/>
        <v>68.932313137622316</v>
      </c>
      <c r="DW140" s="37">
        <f t="shared" si="181"/>
        <v>1.3323159925196875</v>
      </c>
      <c r="DX140" t="s">
        <v>780</v>
      </c>
      <c r="DY140" t="s">
        <v>104</v>
      </c>
      <c r="DZ140" s="29">
        <f t="shared" si="167"/>
        <v>1</v>
      </c>
      <c r="EA140" s="30">
        <v>1.7000000000000001E-2</v>
      </c>
      <c r="EB140" s="30">
        <f t="shared" si="214"/>
        <v>2.741935483870968E-4</v>
      </c>
      <c r="EC140" s="30">
        <f t="shared" si="215"/>
        <v>1.370967741935484E-3</v>
      </c>
      <c r="ED140" s="31">
        <f t="shared" si="168"/>
        <v>78.5</v>
      </c>
      <c r="EE140" s="33">
        <f t="shared" si="169"/>
        <v>99.367088607594937</v>
      </c>
      <c r="EF140" s="37">
        <f t="shared" si="182"/>
        <v>6.5375806787424526</v>
      </c>
      <c r="EG140" s="37">
        <f>$EK138-EK140</f>
        <v>70.5</v>
      </c>
      <c r="EH140" s="33">
        <f>(EG140/$EK138)*100</f>
        <v>99.295774647887328</v>
      </c>
      <c r="EI140" s="37">
        <f t="shared" si="165"/>
        <v>5.8713304184884443</v>
      </c>
      <c r="EJ140" s="37">
        <f>($EG140/96.06)*8</f>
        <v>5.8713304184884443</v>
      </c>
      <c r="EK140" s="31">
        <v>0.5</v>
      </c>
      <c r="EL140" s="31">
        <f t="shared" si="216"/>
        <v>5.2050801582344368E-3</v>
      </c>
      <c r="EM140" s="31">
        <f t="shared" si="217"/>
        <v>4.1640641265875494E-2</v>
      </c>
      <c r="EN140" s="32">
        <f t="shared" si="183"/>
        <v>4.301160900781098E-2</v>
      </c>
      <c r="EO140" s="39">
        <f t="shared" si="218"/>
        <v>7.8698966712621399</v>
      </c>
      <c r="EP140" s="37">
        <f t="shared" si="184"/>
        <v>2.4520382239870419E-2</v>
      </c>
      <c r="EQ140" s="37">
        <f t="shared" si="185"/>
        <v>0.14477230966862656</v>
      </c>
      <c r="ER140" s="37">
        <f t="shared" si="186"/>
        <v>0.83070730809150306</v>
      </c>
      <c r="ES140" s="39">
        <f t="shared" si="219"/>
        <v>7.1203800400757595</v>
      </c>
      <c r="ET140" s="55">
        <f t="shared" si="220"/>
        <v>14.831746916256558</v>
      </c>
      <c r="EU140" s="55">
        <f t="shared" si="221"/>
        <v>2.7101485241169558</v>
      </c>
      <c r="EV140" s="55">
        <f t="shared" si="222"/>
        <v>82.458104559626491</v>
      </c>
      <c r="EW140" t="s">
        <v>664</v>
      </c>
      <c r="EX140" t="s">
        <v>665</v>
      </c>
      <c r="EY140">
        <v>-44</v>
      </c>
      <c r="EZ140" t="s">
        <v>194</v>
      </c>
      <c r="FA140">
        <v>1025</v>
      </c>
      <c r="FB140" t="s">
        <v>72</v>
      </c>
      <c r="FC140" t="s">
        <v>88</v>
      </c>
      <c r="FD140" s="39">
        <f t="shared" si="223"/>
        <v>-7.7736233905549765</v>
      </c>
      <c r="FE140" s="39">
        <f t="shared" si="224"/>
        <v>-7.7731553196590601</v>
      </c>
      <c r="FF140" s="39">
        <f t="shared" si="225"/>
        <v>-7.0241067593685962</v>
      </c>
      <c r="FG140" s="39">
        <f t="shared" si="226"/>
        <v>-7.0236386884726798</v>
      </c>
    </row>
    <row r="141" spans="1:163" ht="15.75" x14ac:dyDescent="0.25">
      <c r="A141" s="8" t="s">
        <v>399</v>
      </c>
      <c r="B141" s="8" t="s">
        <v>399</v>
      </c>
      <c r="C141" s="3" t="s">
        <v>930</v>
      </c>
      <c r="D141" s="3" t="s">
        <v>930</v>
      </c>
      <c r="E141" s="3" t="s">
        <v>1339</v>
      </c>
      <c r="F141" s="3" t="s">
        <v>1034</v>
      </c>
      <c r="G141" s="3" t="s">
        <v>774</v>
      </c>
      <c r="H141" s="3" t="str">
        <f t="shared" si="171"/>
        <v>CW_3_Section_3</v>
      </c>
      <c r="I141" s="3" t="str">
        <f t="shared" si="172"/>
        <v>CW_3_MF10</v>
      </c>
      <c r="J141" s="3" t="s">
        <v>1493</v>
      </c>
      <c r="K141" s="3" t="s">
        <v>1484</v>
      </c>
      <c r="L141" s="11" t="s">
        <v>1107</v>
      </c>
      <c r="M141" s="3" t="s">
        <v>1024</v>
      </c>
      <c r="N141" s="3" t="s">
        <v>1024</v>
      </c>
      <c r="O141" s="12" t="s">
        <v>1016</v>
      </c>
      <c r="P141" s="3" t="s">
        <v>1340</v>
      </c>
      <c r="Q141" s="3" t="s">
        <v>1018</v>
      </c>
      <c r="R141" s="3" t="s">
        <v>1297</v>
      </c>
      <c r="S141" s="3" t="str">
        <f t="shared" si="173"/>
        <v>T5_0.60-0.80</v>
      </c>
      <c r="T141" s="13" t="s">
        <v>1298</v>
      </c>
      <c r="U141" s="3" t="s">
        <v>1053</v>
      </c>
      <c r="V141" s="3">
        <v>150</v>
      </c>
      <c r="W141" s="3">
        <v>65</v>
      </c>
      <c r="X141" s="3">
        <v>3.6</v>
      </c>
      <c r="Y141" s="3">
        <v>140</v>
      </c>
      <c r="Z141" t="s">
        <v>666</v>
      </c>
      <c r="AA141" t="s">
        <v>264</v>
      </c>
      <c r="AB141" s="1">
        <v>45827</v>
      </c>
      <c r="AC141">
        <v>9.6</v>
      </c>
      <c r="AD141">
        <v>9.8000000000000007</v>
      </c>
      <c r="AE141">
        <v>610</v>
      </c>
      <c r="AF141" s="37">
        <f t="shared" si="187"/>
        <v>0.23428498271668158</v>
      </c>
      <c r="AG141">
        <v>9.1</v>
      </c>
      <c r="AH141" s="37">
        <f t="shared" si="188"/>
        <v>3.5554590840026047E-3</v>
      </c>
      <c r="AI141">
        <v>480</v>
      </c>
      <c r="AJ141" s="37">
        <f t="shared" si="189"/>
        <v>0.189884148064425</v>
      </c>
      <c r="AK141">
        <v>98</v>
      </c>
      <c r="AL141" s="37">
        <f t="shared" si="190"/>
        <v>3.8768013563153431E-2</v>
      </c>
      <c r="AM141">
        <v>59</v>
      </c>
      <c r="AN141" s="37">
        <f t="shared" si="191"/>
        <v>2.3339926532918904E-2</v>
      </c>
      <c r="AO141">
        <v>157</v>
      </c>
      <c r="AQ141" s="59">
        <v>1256.0999999999999</v>
      </c>
      <c r="AR141" s="59">
        <f t="shared" si="192"/>
        <v>0.42772458986510919</v>
      </c>
      <c r="AS141">
        <v>1200</v>
      </c>
      <c r="AT141" s="37">
        <f t="shared" si="193"/>
        <v>0.44940313645938984</v>
      </c>
      <c r="AU141" t="s">
        <v>780</v>
      </c>
      <c r="AV141" t="s">
        <v>780</v>
      </c>
      <c r="AW141" t="s">
        <v>780</v>
      </c>
      <c r="AX141" t="s">
        <v>780</v>
      </c>
      <c r="AY141" t="s">
        <v>780</v>
      </c>
      <c r="AZ141" t="s">
        <v>780</v>
      </c>
      <c r="BA141" t="s">
        <v>780</v>
      </c>
      <c r="BB141" t="s">
        <v>780</v>
      </c>
      <c r="BC141" t="s">
        <v>780</v>
      </c>
      <c r="BD141" t="s">
        <v>780</v>
      </c>
      <c r="BE141" t="s">
        <v>780</v>
      </c>
      <c r="BF141" t="s">
        <v>780</v>
      </c>
      <c r="BG141" t="s">
        <v>780</v>
      </c>
      <c r="BH141" t="s">
        <v>780</v>
      </c>
      <c r="BI141" t="s">
        <v>780</v>
      </c>
      <c r="BJ141" t="s">
        <v>780</v>
      </c>
      <c r="BK141" t="s">
        <v>780</v>
      </c>
      <c r="BL141" t="s">
        <v>780</v>
      </c>
      <c r="BM141" t="s">
        <v>780</v>
      </c>
      <c r="BN141" t="s">
        <v>780</v>
      </c>
      <c r="BO141" s="58">
        <v>2800</v>
      </c>
      <c r="BP141" s="58">
        <v>3.2</v>
      </c>
      <c r="BQ141" s="58">
        <v>490</v>
      </c>
      <c r="BR141" s="58">
        <v>92</v>
      </c>
      <c r="BS141" s="58">
        <v>2.2999999999999998</v>
      </c>
      <c r="BT141" s="58">
        <v>2.5</v>
      </c>
      <c r="BU141" s="58">
        <v>0.17</v>
      </c>
      <c r="BV141" s="58">
        <v>0.09</v>
      </c>
      <c r="BW141" s="31">
        <f t="shared" si="194"/>
        <v>1.0486073184052431</v>
      </c>
      <c r="BX141" s="31">
        <f t="shared" si="195"/>
        <v>1.1774755240160327E-3</v>
      </c>
      <c r="BY141" s="31">
        <f t="shared" si="196"/>
        <v>0.18429414434861552</v>
      </c>
      <c r="BZ141" s="31">
        <f t="shared" si="197"/>
        <v>3.431596679099988E-2</v>
      </c>
      <c r="CA141" s="31">
        <f t="shared" si="198"/>
        <v>8.5170846658811641E-4</v>
      </c>
      <c r="CB141" s="31">
        <f t="shared" si="199"/>
        <v>9.2577007237838748E-4</v>
      </c>
      <c r="CC141" s="31">
        <f t="shared" si="200"/>
        <v>6.2200247218788634E-5</v>
      </c>
      <c r="CD141" s="31">
        <f t="shared" si="201"/>
        <v>3.2929542645241034E-5</v>
      </c>
      <c r="CE141">
        <v>1E-3</v>
      </c>
      <c r="CF141">
        <v>1E-3</v>
      </c>
      <c r="CG141">
        <v>2E-3</v>
      </c>
      <c r="CH141">
        <v>1E-3</v>
      </c>
      <c r="CI141">
        <v>1E-3</v>
      </c>
      <c r="CK141">
        <v>2E-3</v>
      </c>
      <c r="CL141">
        <v>1E-3</v>
      </c>
      <c r="CM141">
        <v>1E-3</v>
      </c>
      <c r="CN141" s="58">
        <f t="shared" si="227"/>
        <v>3390.26</v>
      </c>
      <c r="CO141" s="58">
        <f t="shared" si="202"/>
        <v>590.26</v>
      </c>
      <c r="CP141" s="31">
        <f t="shared" si="203"/>
        <v>1.2702675133977051</v>
      </c>
      <c r="CQ141" s="31">
        <f t="shared" si="204"/>
        <v>0.22166019499246198</v>
      </c>
      <c r="CR141">
        <v>3400</v>
      </c>
      <c r="CS141">
        <v>2200</v>
      </c>
      <c r="CT141">
        <v>1100</v>
      </c>
      <c r="CU141" t="s">
        <v>69</v>
      </c>
      <c r="CV141" t="s">
        <v>69</v>
      </c>
      <c r="CW141">
        <v>3300</v>
      </c>
      <c r="CX141" s="2">
        <f t="shared" si="174"/>
        <v>4656.1000000000004</v>
      </c>
      <c r="CZ141">
        <v>68</v>
      </c>
      <c r="DA141" t="s">
        <v>62</v>
      </c>
      <c r="DB141" t="s">
        <v>88</v>
      </c>
      <c r="DC141" t="s">
        <v>782</v>
      </c>
      <c r="DD141" s="37">
        <f t="shared" si="175"/>
        <v>21.508224026650009</v>
      </c>
      <c r="DE141" s="37">
        <f t="shared" si="228"/>
        <v>21.508224026650009</v>
      </c>
      <c r="DF141" s="37">
        <v>0.2</v>
      </c>
      <c r="DG141" s="37">
        <f t="shared" si="176"/>
        <v>3.5810205908683975E-3</v>
      </c>
      <c r="DH141" s="37">
        <f t="shared" si="205"/>
        <v>3.5810205908683975E-3</v>
      </c>
      <c r="DI141" s="37">
        <f t="shared" si="177"/>
        <v>21.708224026650008</v>
      </c>
      <c r="DJ141" s="37">
        <f t="shared" si="206"/>
        <v>0.38868798615308875</v>
      </c>
      <c r="DK141" s="37">
        <f t="shared" si="207"/>
        <v>0.38868798615308875</v>
      </c>
      <c r="DL141" s="55">
        <f t="shared" si="208"/>
        <v>0.58130335207162187</v>
      </c>
      <c r="DM141" s="55">
        <f t="shared" si="208"/>
        <v>0.58130335207162187</v>
      </c>
      <c r="DN141" s="37">
        <f t="shared" si="209"/>
        <v>0.78130335207162194</v>
      </c>
      <c r="DO141" s="55">
        <f t="shared" si="210"/>
        <v>1.3989316957414896E-2</v>
      </c>
      <c r="DP141" s="55">
        <f t="shared" si="211"/>
        <v>1.3989316957414896E-2</v>
      </c>
      <c r="DQ141" s="37">
        <v>1</v>
      </c>
      <c r="DR141" s="37">
        <f t="shared" si="212"/>
        <v>1.8204988166757693E-2</v>
      </c>
      <c r="DS141" s="37">
        <f t="shared" si="213"/>
        <v>3.6409976333515386E-2</v>
      </c>
      <c r="DT141" s="37">
        <f t="shared" si="178"/>
        <v>21.350631079389164</v>
      </c>
      <c r="DU141" s="37">
        <f t="shared" si="179"/>
        <v>10.675315539694582</v>
      </c>
      <c r="DV141" s="37">
        <f t="shared" si="180"/>
        <v>22.708224026650008</v>
      </c>
      <c r="DW141" s="37">
        <f t="shared" si="181"/>
        <v>0.42509796248660414</v>
      </c>
      <c r="DX141" t="s">
        <v>780</v>
      </c>
      <c r="DY141" t="s">
        <v>82</v>
      </c>
      <c r="DZ141" s="29">
        <f t="shared" si="167"/>
        <v>1</v>
      </c>
      <c r="EA141" s="30">
        <v>1.7000000000000001E-2</v>
      </c>
      <c r="EB141" s="30">
        <f t="shared" si="214"/>
        <v>2.741935483870968E-4</v>
      </c>
      <c r="EC141" s="30">
        <f t="shared" si="215"/>
        <v>1.370967741935484E-3</v>
      </c>
      <c r="ED141" s="31">
        <f t="shared" si="168"/>
        <v>37</v>
      </c>
      <c r="EE141" s="33">
        <f t="shared" si="169"/>
        <v>46.835443037974684</v>
      </c>
      <c r="EF141" s="37">
        <f t="shared" si="182"/>
        <v>3.0814074536747866</v>
      </c>
      <c r="EG141" s="29">
        <f>$EK139-EK141</f>
        <v>1</v>
      </c>
      <c r="EH141" s="33">
        <f>(EG141/$EK139)*100</f>
        <v>2.3255813953488373</v>
      </c>
      <c r="EI141" s="37">
        <f t="shared" si="165"/>
        <v>8.3281282531750989E-2</v>
      </c>
      <c r="EJ141" s="37">
        <f>($EG141/96.06)*8</f>
        <v>8.3281282531750989E-2</v>
      </c>
      <c r="EK141" s="31">
        <v>42</v>
      </c>
      <c r="EL141" s="31">
        <f t="shared" si="216"/>
        <v>0.4372267332916927</v>
      </c>
      <c r="EM141" s="31">
        <f t="shared" si="217"/>
        <v>3.4978138663335416</v>
      </c>
      <c r="EN141" s="32">
        <f t="shared" si="183"/>
        <v>3.4991848340754772</v>
      </c>
      <c r="EO141" s="39">
        <f t="shared" si="218"/>
        <v>3.5065054161613909</v>
      </c>
      <c r="EP141" s="37">
        <f t="shared" si="184"/>
        <v>1.0383550575938873E-2</v>
      </c>
      <c r="EQ141" s="37">
        <f t="shared" si="185"/>
        <v>0.11084767882052488</v>
      </c>
      <c r="ER141" s="37">
        <f t="shared" si="186"/>
        <v>0.8787687706035362</v>
      </c>
      <c r="ES141" s="39">
        <f t="shared" si="219"/>
        <v>0.13368057582268128</v>
      </c>
      <c r="ET141" s="55">
        <f t="shared" si="220"/>
        <v>10.464734215366359</v>
      </c>
      <c r="EU141" s="55">
        <f t="shared" si="221"/>
        <v>27.236549595515573</v>
      </c>
      <c r="EV141" s="55">
        <f t="shared" si="222"/>
        <v>62.298716189118068</v>
      </c>
      <c r="EW141" t="s">
        <v>124</v>
      </c>
      <c r="EX141">
        <v>22</v>
      </c>
      <c r="EY141">
        <v>-51</v>
      </c>
      <c r="EZ141" t="s">
        <v>259</v>
      </c>
      <c r="FA141">
        <v>988</v>
      </c>
      <c r="FB141" t="s">
        <v>113</v>
      </c>
      <c r="FC141" t="s">
        <v>88</v>
      </c>
      <c r="FD141" s="39">
        <f t="shared" si="223"/>
        <v>-2.6293776898368919</v>
      </c>
      <c r="FE141" s="39">
        <f t="shared" si="224"/>
        <v>-2.4077174948444302</v>
      </c>
      <c r="FF141" s="39">
        <f t="shared" si="225"/>
        <v>0.74344715050181764</v>
      </c>
      <c r="FG141" s="39">
        <f t="shared" si="226"/>
        <v>0.96510734549427957</v>
      </c>
    </row>
    <row r="142" spans="1:163" s="37" customFormat="1" ht="15.75" x14ac:dyDescent="0.25">
      <c r="A142" s="34" t="s">
        <v>400</v>
      </c>
      <c r="B142" s="34" t="s">
        <v>400</v>
      </c>
      <c r="C142" s="34" t="s">
        <v>931</v>
      </c>
      <c r="D142" s="34" t="s">
        <v>931</v>
      </c>
      <c r="E142" s="34" t="s">
        <v>1341</v>
      </c>
      <c r="F142" s="34" t="s">
        <v>1048</v>
      </c>
      <c r="G142" s="34" t="s">
        <v>1049</v>
      </c>
      <c r="H142" s="34" t="str">
        <f t="shared" si="171"/>
        <v>CW_0_Section_0</v>
      </c>
      <c r="I142" s="34" t="str">
        <f t="shared" si="172"/>
        <v>CW_0_INF</v>
      </c>
      <c r="J142" s="34" t="s">
        <v>1481</v>
      </c>
      <c r="K142" s="34" t="s">
        <v>1481</v>
      </c>
      <c r="L142" s="34" t="s">
        <v>780</v>
      </c>
      <c r="M142" s="34" t="s">
        <v>780</v>
      </c>
      <c r="N142" s="34" t="s">
        <v>1481</v>
      </c>
      <c r="O142" s="35" t="s">
        <v>1016</v>
      </c>
      <c r="P142" s="34" t="s">
        <v>1342</v>
      </c>
      <c r="Q142" s="34" t="s">
        <v>1018</v>
      </c>
      <c r="R142" s="34" t="s">
        <v>1343</v>
      </c>
      <c r="S142" s="34" t="str">
        <f t="shared" si="173"/>
        <v>T6_INF</v>
      </c>
      <c r="T142" s="36" t="s">
        <v>1344</v>
      </c>
      <c r="U142" s="34" t="s">
        <v>1053</v>
      </c>
      <c r="V142" s="34">
        <v>150</v>
      </c>
      <c r="W142" s="34">
        <v>65</v>
      </c>
      <c r="X142" s="34">
        <v>6.4</v>
      </c>
      <c r="Y142" s="34">
        <v>141</v>
      </c>
      <c r="Z142" s="37" t="s">
        <v>667</v>
      </c>
      <c r="AA142" s="37" t="s">
        <v>130</v>
      </c>
      <c r="AB142" s="38">
        <v>45882</v>
      </c>
      <c r="AC142" s="37">
        <v>10</v>
      </c>
      <c r="AD142" s="37">
        <v>98</v>
      </c>
      <c r="AE142" s="37">
        <v>110</v>
      </c>
      <c r="AF142" s="37">
        <f t="shared" si="187"/>
        <v>4.2248111637434388E-2</v>
      </c>
      <c r="AG142" s="37">
        <v>4.2</v>
      </c>
      <c r="AH142" s="37">
        <f t="shared" si="188"/>
        <v>1.64098111569351E-3</v>
      </c>
      <c r="AI142" s="37">
        <v>70</v>
      </c>
      <c r="AJ142" s="37">
        <f t="shared" si="189"/>
        <v>2.769143825939531E-2</v>
      </c>
      <c r="AK142" s="37">
        <v>25</v>
      </c>
      <c r="AL142" s="37">
        <f t="shared" si="190"/>
        <v>9.8897993783554679E-3</v>
      </c>
      <c r="AM142" s="37">
        <v>30</v>
      </c>
      <c r="AN142" s="37">
        <f t="shared" si="191"/>
        <v>1.1867759254026562E-2</v>
      </c>
      <c r="AO142" s="37">
        <v>55</v>
      </c>
      <c r="AQ142" s="59">
        <v>239.2</v>
      </c>
      <c r="AR142" s="59">
        <f t="shared" si="192"/>
        <v>7.1580531012523207E-2</v>
      </c>
      <c r="AS142" s="37">
        <v>410</v>
      </c>
      <c r="AT142" s="37">
        <f t="shared" si="193"/>
        <v>0.15354607162362488</v>
      </c>
      <c r="AU142" s="37" t="s">
        <v>780</v>
      </c>
      <c r="AV142" s="37" t="s">
        <v>780</v>
      </c>
      <c r="AW142" s="37" t="s">
        <v>780</v>
      </c>
      <c r="AX142" s="37" t="s">
        <v>780</v>
      </c>
      <c r="AY142" s="37" t="s">
        <v>780</v>
      </c>
      <c r="AZ142" s="37" t="s">
        <v>780</v>
      </c>
      <c r="BA142" s="37" t="s">
        <v>780</v>
      </c>
      <c r="BB142" s="37" t="s">
        <v>780</v>
      </c>
      <c r="BC142" s="37" t="s">
        <v>780</v>
      </c>
      <c r="BD142" s="37" t="s">
        <v>780</v>
      </c>
      <c r="BE142" s="37" t="s">
        <v>780</v>
      </c>
      <c r="BF142" s="37" t="s">
        <v>780</v>
      </c>
      <c r="BG142" s="37" t="s">
        <v>780</v>
      </c>
      <c r="BH142" s="37" t="s">
        <v>780</v>
      </c>
      <c r="BI142" s="37" t="s">
        <v>780</v>
      </c>
      <c r="BJ142" s="37" t="s">
        <v>780</v>
      </c>
      <c r="BK142" s="37" t="s">
        <v>780</v>
      </c>
      <c r="BL142" s="37" t="s">
        <v>780</v>
      </c>
      <c r="BM142" s="37" t="s">
        <v>780</v>
      </c>
      <c r="BN142" s="37" t="s">
        <v>780</v>
      </c>
      <c r="BO142" s="58">
        <v>150</v>
      </c>
      <c r="BP142" s="58">
        <v>87</v>
      </c>
      <c r="BQ142" s="58">
        <v>130</v>
      </c>
      <c r="BR142" s="58">
        <v>85</v>
      </c>
      <c r="BS142" s="58">
        <v>150</v>
      </c>
      <c r="BT142" s="58">
        <v>100</v>
      </c>
      <c r="BU142" s="58">
        <v>110</v>
      </c>
      <c r="BV142" s="58">
        <v>160</v>
      </c>
      <c r="BW142" s="31">
        <f t="shared" si="194"/>
        <v>5.617539205742373E-2</v>
      </c>
      <c r="BX142" s="31">
        <f t="shared" si="195"/>
        <v>3.2012615809185886E-2</v>
      </c>
      <c r="BY142" s="31">
        <f t="shared" si="196"/>
        <v>4.8894364827183713E-2</v>
      </c>
      <c r="BZ142" s="31">
        <f t="shared" si="197"/>
        <v>3.1704969317771628E-2</v>
      </c>
      <c r="CA142" s="31">
        <f t="shared" si="198"/>
        <v>5.554620434270325E-2</v>
      </c>
      <c r="CB142" s="31">
        <f t="shared" si="199"/>
        <v>3.7030802895135495E-2</v>
      </c>
      <c r="CC142" s="31">
        <f t="shared" si="200"/>
        <v>4.0247218788627935E-2</v>
      </c>
      <c r="CD142" s="31">
        <f t="shared" si="201"/>
        <v>5.8541409147095179E-2</v>
      </c>
      <c r="CE142" s="37">
        <v>24</v>
      </c>
      <c r="CF142" s="37">
        <v>20</v>
      </c>
      <c r="CG142" s="37">
        <v>34</v>
      </c>
      <c r="CH142" s="37">
        <v>15</v>
      </c>
      <c r="CI142" s="37">
        <v>49</v>
      </c>
      <c r="CK142" s="37">
        <v>3.4</v>
      </c>
      <c r="CL142" s="37">
        <v>15</v>
      </c>
      <c r="CM142" s="37">
        <v>14</v>
      </c>
      <c r="CN142" s="58">
        <f t="shared" si="227"/>
        <v>972</v>
      </c>
      <c r="CO142" s="58">
        <f t="shared" si="202"/>
        <v>822</v>
      </c>
      <c r="CP142" s="31">
        <f t="shared" si="203"/>
        <v>0.36015297718512679</v>
      </c>
      <c r="CQ142" s="31">
        <f t="shared" si="204"/>
        <v>0.30397758512770306</v>
      </c>
      <c r="CR142" s="37">
        <v>1100</v>
      </c>
      <c r="CS142" s="37">
        <v>1000</v>
      </c>
      <c r="CT142" s="37">
        <v>2400</v>
      </c>
      <c r="CU142" s="37" t="s">
        <v>69</v>
      </c>
      <c r="CV142" s="37" t="s">
        <v>69</v>
      </c>
      <c r="CW142" s="37">
        <v>3500</v>
      </c>
      <c r="CX142" s="40">
        <f t="shared" si="174"/>
        <v>1339.2</v>
      </c>
      <c r="CZ142" s="37">
        <v>66</v>
      </c>
      <c r="DA142" s="37" t="s">
        <v>62</v>
      </c>
      <c r="DB142" s="37" t="s">
        <v>88</v>
      </c>
      <c r="DC142" s="37" t="s">
        <v>782</v>
      </c>
      <c r="DD142" s="37">
        <f t="shared" si="175"/>
        <v>0</v>
      </c>
      <c r="DE142" s="37">
        <f t="shared" si="228"/>
        <v>0</v>
      </c>
      <c r="DF142" s="37">
        <v>4.2</v>
      </c>
      <c r="DG142" s="37">
        <f t="shared" si="176"/>
        <v>7.5201432408236346E-2</v>
      </c>
      <c r="DH142" s="37">
        <f t="shared" si="205"/>
        <v>7.5201432408236346E-2</v>
      </c>
      <c r="DI142" s="37">
        <f t="shared" si="177"/>
        <v>4.2</v>
      </c>
      <c r="DJ142" s="37">
        <f t="shared" si="206"/>
        <v>7.5201432408236346E-2</v>
      </c>
      <c r="DK142" s="37">
        <f t="shared" si="207"/>
        <v>7.5201432408236346E-2</v>
      </c>
      <c r="DL142" s="55">
        <f t="shared" si="208"/>
        <v>0</v>
      </c>
      <c r="DM142" s="55">
        <f t="shared" si="208"/>
        <v>0</v>
      </c>
      <c r="DN142" s="37">
        <f t="shared" si="209"/>
        <v>4.2</v>
      </c>
      <c r="DO142" s="55">
        <f t="shared" si="210"/>
        <v>7.5201432408236346E-2</v>
      </c>
      <c r="DP142" s="55">
        <f t="shared" si="211"/>
        <v>7.5201432408236346E-2</v>
      </c>
      <c r="DQ142" s="37">
        <v>1.4</v>
      </c>
      <c r="DR142" s="37">
        <f t="shared" si="212"/>
        <v>2.5486983433460765E-2</v>
      </c>
      <c r="DS142" s="37">
        <f t="shared" si="213"/>
        <v>5.097396686692153E-2</v>
      </c>
      <c r="DT142" s="37">
        <f t="shared" si="178"/>
        <v>2.9505819158460165</v>
      </c>
      <c r="DU142" s="37">
        <f t="shared" si="179"/>
        <v>1.4752909579230082</v>
      </c>
      <c r="DV142" s="37">
        <f t="shared" si="180"/>
        <v>5.6</v>
      </c>
      <c r="DW142" s="37">
        <f t="shared" si="181"/>
        <v>0.12617539927515786</v>
      </c>
      <c r="DX142" s="37">
        <v>28</v>
      </c>
      <c r="DY142" s="37" t="s">
        <v>53</v>
      </c>
      <c r="DZ142" s="37">
        <f>EA142/$EA$142</f>
        <v>1</v>
      </c>
      <c r="EA142" s="37">
        <v>1.7000000000000001E-2</v>
      </c>
      <c r="EB142" s="37">
        <f t="shared" si="214"/>
        <v>2.741935483870968E-4</v>
      </c>
      <c r="EC142" s="37">
        <f t="shared" si="215"/>
        <v>1.370967741935484E-3</v>
      </c>
      <c r="ED142" s="37">
        <f t="shared" ref="ED142:ED163" si="229">$EK$142-EK142</f>
        <v>0</v>
      </c>
      <c r="EE142" s="39">
        <f t="shared" ref="EE142:EE163" si="230">(ED142/$EK$142)*100</f>
        <v>0</v>
      </c>
      <c r="EF142" s="37">
        <f t="shared" si="182"/>
        <v>0</v>
      </c>
      <c r="EG142" s="37">
        <f>$EK142-EK142</f>
        <v>0</v>
      </c>
      <c r="EH142" s="33">
        <f>(EG142/$EK142)*100</f>
        <v>0</v>
      </c>
      <c r="EI142" s="37">
        <f t="shared" si="165"/>
        <v>0</v>
      </c>
      <c r="EJ142" s="37">
        <f>($EG142/96.06)*8</f>
        <v>0</v>
      </c>
      <c r="EK142" s="37">
        <v>140</v>
      </c>
      <c r="EL142" s="37">
        <f t="shared" si="216"/>
        <v>1.4574224443056423</v>
      </c>
      <c r="EM142" s="37">
        <f t="shared" si="217"/>
        <v>11.659379554445138</v>
      </c>
      <c r="EN142" s="37">
        <f t="shared" si="183"/>
        <v>11.660750522187074</v>
      </c>
      <c r="EO142" s="39">
        <f t="shared" si="218"/>
        <v>0.12617539927515786</v>
      </c>
      <c r="EP142" s="37">
        <f t="shared" si="184"/>
        <v>0.40399291113602664</v>
      </c>
      <c r="EQ142" s="37">
        <f t="shared" si="185"/>
        <v>0.59600708886397347</v>
      </c>
      <c r="ER142" s="37">
        <f t="shared" si="186"/>
        <v>0</v>
      </c>
      <c r="ES142" s="39">
        <f t="shared" si="219"/>
        <v>0.12617539927515786</v>
      </c>
      <c r="ET142" s="55">
        <f t="shared" si="220"/>
        <v>59.600708886397349</v>
      </c>
      <c r="EU142" s="55">
        <f t="shared" si="221"/>
        <v>40.399291113602665</v>
      </c>
      <c r="EV142" s="55">
        <f t="shared" si="222"/>
        <v>0</v>
      </c>
      <c r="EW142" s="37" t="s">
        <v>780</v>
      </c>
      <c r="EX142" s="37" t="s">
        <v>780</v>
      </c>
      <c r="EY142" s="37" t="s">
        <v>780</v>
      </c>
      <c r="EZ142" s="37" t="s">
        <v>780</v>
      </c>
      <c r="FA142" s="37" t="s">
        <v>780</v>
      </c>
      <c r="FB142" s="37" t="s">
        <v>780</v>
      </c>
      <c r="FC142" s="37" t="s">
        <v>88</v>
      </c>
      <c r="FD142" s="39">
        <f t="shared" si="223"/>
        <v>9.8951203360990225E-2</v>
      </c>
      <c r="FE142" s="39">
        <f t="shared" si="224"/>
        <v>0.40292878848869329</v>
      </c>
      <c r="FF142" s="39">
        <f t="shared" si="225"/>
        <v>9.8951203360990225E-2</v>
      </c>
      <c r="FG142" s="39">
        <f t="shared" si="226"/>
        <v>0.40292878848869329</v>
      </c>
    </row>
    <row r="143" spans="1:163" ht="15.75" x14ac:dyDescent="0.25">
      <c r="A143" s="7" t="s">
        <v>401</v>
      </c>
      <c r="B143" s="7" t="s">
        <v>401</v>
      </c>
      <c r="C143" s="3" t="s">
        <v>932</v>
      </c>
      <c r="D143" s="3" t="s">
        <v>932</v>
      </c>
      <c r="E143" s="3" t="s">
        <v>1345</v>
      </c>
      <c r="F143" s="3" t="s">
        <v>1055</v>
      </c>
      <c r="G143" s="3" t="s">
        <v>772</v>
      </c>
      <c r="H143" s="3" t="str">
        <f t="shared" si="171"/>
        <v>CW_1_Section_5</v>
      </c>
      <c r="I143" s="3" t="str">
        <f t="shared" si="172"/>
        <v>CW_1_EFF</v>
      </c>
      <c r="J143" s="3" t="s">
        <v>1482</v>
      </c>
      <c r="K143" s="3" t="s">
        <v>1482</v>
      </c>
      <c r="L143" s="3" t="s">
        <v>780</v>
      </c>
      <c r="M143" s="3" t="s">
        <v>780</v>
      </c>
      <c r="N143" s="3" t="s">
        <v>1482</v>
      </c>
      <c r="O143" s="12" t="s">
        <v>1016</v>
      </c>
      <c r="P143" s="3" t="s">
        <v>1346</v>
      </c>
      <c r="Q143" s="3" t="s">
        <v>1018</v>
      </c>
      <c r="R143" s="3" t="s">
        <v>1343</v>
      </c>
      <c r="S143" s="3" t="str">
        <f t="shared" si="173"/>
        <v>T6_EFF</v>
      </c>
      <c r="T143" s="13" t="s">
        <v>1344</v>
      </c>
      <c r="U143" s="3" t="s">
        <v>1053</v>
      </c>
      <c r="V143" s="3">
        <v>150</v>
      </c>
      <c r="W143" s="3">
        <v>65</v>
      </c>
      <c r="X143" s="3">
        <v>8.4</v>
      </c>
      <c r="Y143" s="3">
        <v>142</v>
      </c>
      <c r="Z143" t="s">
        <v>668</v>
      </c>
      <c r="AA143" t="s">
        <v>47</v>
      </c>
      <c r="AB143" s="1">
        <v>45882</v>
      </c>
      <c r="AC143">
        <v>8.1999999999999993</v>
      </c>
      <c r="AD143">
        <v>8.1</v>
      </c>
      <c r="AE143">
        <v>9.3000000000000007</v>
      </c>
      <c r="AF143" s="37">
        <f t="shared" si="187"/>
        <v>3.5718858020739987E-3</v>
      </c>
      <c r="AG143">
        <v>0.56000000000000005</v>
      </c>
      <c r="AH143" s="37">
        <f t="shared" si="188"/>
        <v>2.1879748209246801E-4</v>
      </c>
      <c r="AI143">
        <v>11</v>
      </c>
      <c r="AJ143" s="37">
        <f t="shared" si="189"/>
        <v>4.3515117264764057E-3</v>
      </c>
      <c r="AK143">
        <v>1.5</v>
      </c>
      <c r="AL143" s="37">
        <f t="shared" si="190"/>
        <v>5.9338796270132807E-4</v>
      </c>
      <c r="AM143">
        <v>0.45</v>
      </c>
      <c r="AN143" s="37">
        <f t="shared" si="191"/>
        <v>1.7801638881039843E-4</v>
      </c>
      <c r="AO143">
        <v>1.95</v>
      </c>
      <c r="AQ143" s="59">
        <v>22.81</v>
      </c>
      <c r="AR143" s="59">
        <f t="shared" si="192"/>
        <v>8.1421950106428734E-3</v>
      </c>
      <c r="AS143">
        <v>37</v>
      </c>
      <c r="AT143" s="37">
        <f t="shared" si="193"/>
        <v>1.3856596707497854E-2</v>
      </c>
      <c r="AU143" t="s">
        <v>780</v>
      </c>
      <c r="AV143" t="s">
        <v>780</v>
      </c>
      <c r="AW143" t="s">
        <v>780</v>
      </c>
      <c r="AX143" t="s">
        <v>780</v>
      </c>
      <c r="AY143" t="s">
        <v>780</v>
      </c>
      <c r="AZ143" t="s">
        <v>780</v>
      </c>
      <c r="BA143" t="s">
        <v>780</v>
      </c>
      <c r="BB143" t="s">
        <v>780</v>
      </c>
      <c r="BC143" t="s">
        <v>780</v>
      </c>
      <c r="BD143" t="s">
        <v>780</v>
      </c>
      <c r="BE143" t="s">
        <v>780</v>
      </c>
      <c r="BF143" t="s">
        <v>780</v>
      </c>
      <c r="BG143" t="s">
        <v>780</v>
      </c>
      <c r="BH143" t="s">
        <v>780</v>
      </c>
      <c r="BI143" t="s">
        <v>780</v>
      </c>
      <c r="BJ143" t="s">
        <v>780</v>
      </c>
      <c r="BK143" t="s">
        <v>780</v>
      </c>
      <c r="BL143" t="s">
        <v>780</v>
      </c>
      <c r="BM143" t="s">
        <v>780</v>
      </c>
      <c r="BN143" t="s">
        <v>780</v>
      </c>
      <c r="BO143" s="58">
        <v>2E-3</v>
      </c>
      <c r="BP143" s="58">
        <v>0.01</v>
      </c>
      <c r="BQ143" s="58">
        <v>0.01</v>
      </c>
      <c r="BR143" s="58">
        <v>5.0000000000000001E-3</v>
      </c>
      <c r="BS143" s="58">
        <v>1E-3</v>
      </c>
      <c r="BT143" s="58">
        <v>1E-3</v>
      </c>
      <c r="BU143" s="58">
        <v>1E-3</v>
      </c>
      <c r="BV143" s="58">
        <v>2E-3</v>
      </c>
      <c r="BW143" s="31">
        <f t="shared" si="194"/>
        <v>7.4900522743231646E-7</v>
      </c>
      <c r="BX143" s="31">
        <f t="shared" si="195"/>
        <v>3.6796110125501018E-6</v>
      </c>
      <c r="BY143" s="31">
        <f t="shared" si="196"/>
        <v>3.7611049867064394E-6</v>
      </c>
      <c r="BZ143" s="31">
        <f t="shared" si="197"/>
        <v>1.8649981951630372E-6</v>
      </c>
      <c r="CA143" s="31">
        <f t="shared" si="198"/>
        <v>3.7030802895135499E-7</v>
      </c>
      <c r="CB143" s="31">
        <f t="shared" si="199"/>
        <v>3.7030802895135499E-7</v>
      </c>
      <c r="CC143" s="31">
        <f t="shared" si="200"/>
        <v>3.6588380716934485E-7</v>
      </c>
      <c r="CD143" s="31">
        <f t="shared" si="201"/>
        <v>7.3176761433868969E-7</v>
      </c>
      <c r="CE143">
        <v>1E-3</v>
      </c>
      <c r="CF143">
        <v>1E-3</v>
      </c>
      <c r="CG143">
        <v>2E-3</v>
      </c>
      <c r="CH143">
        <v>1E-3</v>
      </c>
      <c r="CI143">
        <v>1E-3</v>
      </c>
      <c r="CK143">
        <v>2E-3</v>
      </c>
      <c r="CL143">
        <v>1E-3</v>
      </c>
      <c r="CM143">
        <v>1E-3</v>
      </c>
      <c r="CN143" s="58">
        <f t="shared" si="227"/>
        <v>3.2000000000000001E-2</v>
      </c>
      <c r="CO143" s="58">
        <f t="shared" si="202"/>
        <v>3.0000000000000006E-2</v>
      </c>
      <c r="CP143" s="31">
        <f t="shared" si="203"/>
        <v>1.1892986901262639E-5</v>
      </c>
      <c r="CQ143" s="31">
        <f t="shared" si="204"/>
        <v>1.1143981673830322E-5</v>
      </c>
      <c r="CR143">
        <v>4.2000000000000003E-2</v>
      </c>
      <c r="CS143">
        <v>25</v>
      </c>
      <c r="CT143">
        <v>60</v>
      </c>
      <c r="CU143" t="s">
        <v>69</v>
      </c>
      <c r="CV143" t="s">
        <v>69</v>
      </c>
      <c r="CW143">
        <v>85</v>
      </c>
      <c r="CX143" s="2">
        <f t="shared" si="174"/>
        <v>22.852</v>
      </c>
      <c r="CZ143">
        <v>53</v>
      </c>
      <c r="DA143" t="s">
        <v>62</v>
      </c>
      <c r="DB143" t="s">
        <v>88</v>
      </c>
      <c r="DC143" t="s">
        <v>782</v>
      </c>
      <c r="DD143" s="37">
        <f t="shared" si="175"/>
        <v>65.105975432021651</v>
      </c>
      <c r="DE143" s="37">
        <f t="shared" si="228"/>
        <v>65.105975432021651</v>
      </c>
      <c r="DF143" s="37">
        <v>2.2999999999999998</v>
      </c>
      <c r="DG143" s="37">
        <f t="shared" si="176"/>
        <v>4.1181736794986566E-2</v>
      </c>
      <c r="DH143" s="37">
        <f t="shared" si="205"/>
        <v>4.1181736794986566E-2</v>
      </c>
      <c r="DI143" s="37">
        <f t="shared" si="177"/>
        <v>67.405975432021648</v>
      </c>
      <c r="DJ143" s="37">
        <f t="shared" si="206"/>
        <v>1.2069109298481941</v>
      </c>
      <c r="DK143" s="37">
        <f t="shared" si="207"/>
        <v>1.2069109298481941</v>
      </c>
      <c r="DL143" s="55">
        <f t="shared" si="208"/>
        <v>32.552987716010826</v>
      </c>
      <c r="DM143" s="55">
        <f t="shared" si="208"/>
        <v>32.552987716010826</v>
      </c>
      <c r="DN143" s="37">
        <f t="shared" si="209"/>
        <v>34.852987716010823</v>
      </c>
      <c r="DO143" s="55">
        <f t="shared" si="210"/>
        <v>0.62404633332159032</v>
      </c>
      <c r="DP143" s="55">
        <f t="shared" si="211"/>
        <v>0.62404633332159032</v>
      </c>
      <c r="DQ143" s="37">
        <v>0.6</v>
      </c>
      <c r="DR143" s="37">
        <f t="shared" si="212"/>
        <v>1.0922992900054615E-2</v>
      </c>
      <c r="DS143" s="37">
        <f t="shared" si="213"/>
        <v>2.1845985800109231E-2</v>
      </c>
      <c r="DT143" s="37">
        <f t="shared" si="178"/>
        <v>110.49269562760217</v>
      </c>
      <c r="DU143" s="37">
        <f t="shared" si="179"/>
        <v>55.246347813801087</v>
      </c>
      <c r="DV143" s="37">
        <f t="shared" si="180"/>
        <v>68.005975432021643</v>
      </c>
      <c r="DW143" s="37">
        <f t="shared" si="181"/>
        <v>1.2287569156483034</v>
      </c>
      <c r="DX143" t="s">
        <v>147</v>
      </c>
      <c r="DY143" t="s">
        <v>615</v>
      </c>
      <c r="DZ143" s="29">
        <f t="shared" si="167"/>
        <v>1</v>
      </c>
      <c r="EA143" s="30">
        <v>1.7000000000000001E-2</v>
      </c>
      <c r="EB143" s="30">
        <f t="shared" si="214"/>
        <v>2.741935483870968E-4</v>
      </c>
      <c r="EC143" s="30">
        <f t="shared" si="215"/>
        <v>1.370967741935484E-3</v>
      </c>
      <c r="ED143" s="31">
        <f t="shared" si="229"/>
        <v>112</v>
      </c>
      <c r="EE143" s="33">
        <f t="shared" si="230"/>
        <v>80</v>
      </c>
      <c r="EF143" s="37">
        <f t="shared" si="182"/>
        <v>9.3275036435561098</v>
      </c>
      <c r="EG143" s="37">
        <f>$EK151-EK143</f>
        <v>56</v>
      </c>
      <c r="EH143" s="33">
        <f>(EG143/EK151)*100</f>
        <v>66.666666666666657</v>
      </c>
      <c r="EI143" s="37">
        <f t="shared" si="165"/>
        <v>4.6637518217780549</v>
      </c>
      <c r="EJ143" s="37">
        <f>($EG143/96.06)*8</f>
        <v>4.6637518217780549</v>
      </c>
      <c r="EK143" s="31">
        <v>28</v>
      </c>
      <c r="EL143" s="31">
        <f t="shared" si="216"/>
        <v>0.29148448886112843</v>
      </c>
      <c r="EM143" s="31">
        <f t="shared" si="217"/>
        <v>2.3318759108890275</v>
      </c>
      <c r="EN143" s="32">
        <f t="shared" si="183"/>
        <v>2.333246878630963</v>
      </c>
      <c r="EO143" s="39">
        <f t="shared" si="218"/>
        <v>10.556260559204413</v>
      </c>
      <c r="EP143" s="37">
        <f t="shared" si="184"/>
        <v>2.0694814870840668E-3</v>
      </c>
      <c r="EQ143" s="37">
        <f t="shared" si="185"/>
        <v>0.11433129402966866</v>
      </c>
      <c r="ER143" s="37">
        <f t="shared" si="186"/>
        <v>0.88359922448324735</v>
      </c>
      <c r="ES143" s="39">
        <f t="shared" si="219"/>
        <v>5.3096441408997546</v>
      </c>
      <c r="ET143" s="55">
        <f t="shared" si="220"/>
        <v>11.753072649720767</v>
      </c>
      <c r="EU143" s="55">
        <f t="shared" si="221"/>
        <v>0.411439735326731</v>
      </c>
      <c r="EV143" s="55">
        <f t="shared" si="222"/>
        <v>87.835487614952498</v>
      </c>
      <c r="EW143" t="s">
        <v>529</v>
      </c>
      <c r="EX143" t="s">
        <v>92</v>
      </c>
      <c r="EY143">
        <v>-144</v>
      </c>
      <c r="EZ143" t="s">
        <v>93</v>
      </c>
      <c r="FA143">
        <v>620</v>
      </c>
      <c r="FB143" t="s">
        <v>113</v>
      </c>
      <c r="FC143" t="s">
        <v>88</v>
      </c>
      <c r="FD143" s="39">
        <f t="shared" si="223"/>
        <v>-10.534261767486273</v>
      </c>
      <c r="FE143" s="39">
        <f t="shared" si="224"/>
        <v>-10.534250623504597</v>
      </c>
      <c r="FF143" s="39">
        <f t="shared" si="225"/>
        <v>-5.2876453491816138</v>
      </c>
      <c r="FG143" s="39">
        <f t="shared" si="226"/>
        <v>-5.2876342051999403</v>
      </c>
    </row>
    <row r="144" spans="1:163" ht="15.75" x14ac:dyDescent="0.25">
      <c r="A144" s="7" t="s">
        <v>402</v>
      </c>
      <c r="B144" s="7" t="s">
        <v>402</v>
      </c>
      <c r="C144" s="3" t="s">
        <v>933</v>
      </c>
      <c r="D144" s="3" t="s">
        <v>933</v>
      </c>
      <c r="E144" s="3" t="s">
        <v>1347</v>
      </c>
      <c r="F144" s="3" t="s">
        <v>1055</v>
      </c>
      <c r="G144" s="3" t="s">
        <v>773</v>
      </c>
      <c r="H144" s="3" t="str">
        <f t="shared" si="171"/>
        <v>CW_2_Section_5</v>
      </c>
      <c r="I144" s="3" t="str">
        <f t="shared" si="172"/>
        <v>CW_2_EFF</v>
      </c>
      <c r="J144" s="3" t="s">
        <v>1482</v>
      </c>
      <c r="K144" s="3" t="s">
        <v>1482</v>
      </c>
      <c r="L144" s="3" t="s">
        <v>780</v>
      </c>
      <c r="M144" s="3" t="s">
        <v>780</v>
      </c>
      <c r="N144" s="3" t="s">
        <v>1482</v>
      </c>
      <c r="O144" s="12" t="s">
        <v>1016</v>
      </c>
      <c r="P144" s="3" t="s">
        <v>1348</v>
      </c>
      <c r="Q144" s="3" t="s">
        <v>1018</v>
      </c>
      <c r="R144" s="3" t="s">
        <v>1343</v>
      </c>
      <c r="S144" s="3" t="str">
        <f t="shared" si="173"/>
        <v>T6_EFF</v>
      </c>
      <c r="T144" s="13" t="s">
        <v>1344</v>
      </c>
      <c r="U144" s="3" t="s">
        <v>1053</v>
      </c>
      <c r="V144" s="3">
        <v>150</v>
      </c>
      <c r="W144" s="3">
        <v>65</v>
      </c>
      <c r="X144" s="3">
        <v>15.65</v>
      </c>
      <c r="Y144" s="3">
        <v>143</v>
      </c>
      <c r="Z144" t="s">
        <v>678</v>
      </c>
      <c r="AA144" t="s">
        <v>196</v>
      </c>
      <c r="AB144" s="1">
        <v>45883</v>
      </c>
      <c r="AC144">
        <v>7.5</v>
      </c>
      <c r="AD144">
        <v>7.7</v>
      </c>
      <c r="AE144">
        <v>46</v>
      </c>
      <c r="AF144" s="37">
        <f t="shared" si="187"/>
        <v>1.7667392139290746E-2</v>
      </c>
      <c r="AG144">
        <v>1.3</v>
      </c>
      <c r="AH144" s="37">
        <f t="shared" si="188"/>
        <v>5.0792272628608645E-4</v>
      </c>
      <c r="AI144">
        <v>44</v>
      </c>
      <c r="AJ144" s="37">
        <f t="shared" si="189"/>
        <v>1.7406046905905623E-2</v>
      </c>
      <c r="AK144">
        <v>4.9000000000000004</v>
      </c>
      <c r="AL144" s="37">
        <f t="shared" si="190"/>
        <v>1.9384006781576718E-3</v>
      </c>
      <c r="AM144">
        <v>3.2</v>
      </c>
      <c r="AN144" s="37">
        <f t="shared" si="191"/>
        <v>1.2658943204294998E-3</v>
      </c>
      <c r="AO144">
        <v>8.1</v>
      </c>
      <c r="AQ144" s="59">
        <v>99.4</v>
      </c>
      <c r="AR144" s="59">
        <f t="shared" si="192"/>
        <v>3.5581361771482453E-2</v>
      </c>
      <c r="AS144">
        <v>73</v>
      </c>
      <c r="AT144" s="37">
        <f t="shared" si="193"/>
        <v>2.7338690801279548E-2</v>
      </c>
      <c r="AU144" t="s">
        <v>780</v>
      </c>
      <c r="AV144" t="s">
        <v>780</v>
      </c>
      <c r="AW144" t="s">
        <v>780</v>
      </c>
      <c r="AX144" t="s">
        <v>780</v>
      </c>
      <c r="AY144" t="s">
        <v>780</v>
      </c>
      <c r="AZ144" t="s">
        <v>780</v>
      </c>
      <c r="BA144" t="s">
        <v>780</v>
      </c>
      <c r="BB144" t="s">
        <v>780</v>
      </c>
      <c r="BC144" t="s">
        <v>780</v>
      </c>
      <c r="BD144" t="s">
        <v>780</v>
      </c>
      <c r="BE144" t="s">
        <v>780</v>
      </c>
      <c r="BF144" t="s">
        <v>780</v>
      </c>
      <c r="BG144" t="s">
        <v>780</v>
      </c>
      <c r="BH144" t="s">
        <v>780</v>
      </c>
      <c r="BI144" t="s">
        <v>780</v>
      </c>
      <c r="BJ144" t="s">
        <v>780</v>
      </c>
      <c r="BK144" t="s">
        <v>780</v>
      </c>
      <c r="BL144" t="s">
        <v>780</v>
      </c>
      <c r="BM144" t="s">
        <v>780</v>
      </c>
      <c r="BN144" t="s">
        <v>780</v>
      </c>
      <c r="BO144" s="58">
        <v>3.4</v>
      </c>
      <c r="BP144" s="58">
        <v>13</v>
      </c>
      <c r="BQ144" s="58">
        <v>38</v>
      </c>
      <c r="BR144" s="58">
        <v>12</v>
      </c>
      <c r="BS144" s="58">
        <v>5.3</v>
      </c>
      <c r="BT144" s="58">
        <v>0.86</v>
      </c>
      <c r="BU144" s="58">
        <v>0.09</v>
      </c>
      <c r="BV144" s="58">
        <v>0.06</v>
      </c>
      <c r="BW144" s="31">
        <f t="shared" si="194"/>
        <v>1.2733088866349379E-3</v>
      </c>
      <c r="BX144" s="31">
        <f t="shared" si="195"/>
        <v>4.7834943163151322E-3</v>
      </c>
      <c r="BY144" s="31">
        <f t="shared" si="196"/>
        <v>1.4292198949484469E-2</v>
      </c>
      <c r="BZ144" s="31">
        <f t="shared" si="197"/>
        <v>4.4759956683912885E-3</v>
      </c>
      <c r="CA144" s="31">
        <f t="shared" si="198"/>
        <v>1.9626325534421812E-3</v>
      </c>
      <c r="CB144" s="31">
        <f t="shared" si="199"/>
        <v>3.1846490489816526E-4</v>
      </c>
      <c r="CC144" s="31">
        <f t="shared" si="200"/>
        <v>3.2929542645241034E-5</v>
      </c>
      <c r="CD144" s="31">
        <f t="shared" si="201"/>
        <v>2.1953028430160689E-5</v>
      </c>
      <c r="CE144">
        <v>1E-3</v>
      </c>
      <c r="CF144">
        <v>1E-3</v>
      </c>
      <c r="CG144">
        <v>2E-3</v>
      </c>
      <c r="CH144">
        <v>1E-3</v>
      </c>
      <c r="CI144">
        <v>1E-3</v>
      </c>
      <c r="CK144">
        <v>2E-3</v>
      </c>
      <c r="CL144">
        <v>1E-3</v>
      </c>
      <c r="CM144">
        <v>1E-3</v>
      </c>
      <c r="CN144" s="58">
        <f t="shared" si="227"/>
        <v>72.710000000000008</v>
      </c>
      <c r="CO144" s="58">
        <f t="shared" si="202"/>
        <v>69.31</v>
      </c>
      <c r="CP144" s="31">
        <f t="shared" si="203"/>
        <v>2.7160977850241571E-2</v>
      </c>
      <c r="CQ144" s="31">
        <f t="shared" si="204"/>
        <v>2.5887668963606638E-2</v>
      </c>
      <c r="CR144">
        <v>73</v>
      </c>
      <c r="CS144">
        <v>170</v>
      </c>
      <c r="CT144">
        <v>200</v>
      </c>
      <c r="CU144" t="s">
        <v>69</v>
      </c>
      <c r="CV144" t="s">
        <v>69</v>
      </c>
      <c r="CW144">
        <v>370</v>
      </c>
      <c r="CX144" s="2">
        <f t="shared" si="174"/>
        <v>172.4</v>
      </c>
      <c r="CZ144">
        <v>47</v>
      </c>
      <c r="DA144" t="s">
        <v>62</v>
      </c>
      <c r="DB144" t="s">
        <v>88</v>
      </c>
      <c r="DC144" t="s">
        <v>782</v>
      </c>
      <c r="DD144" s="37">
        <f t="shared" si="175"/>
        <v>64.524672079950022</v>
      </c>
      <c r="DE144" s="37">
        <f t="shared" si="228"/>
        <v>64.524672079950022</v>
      </c>
      <c r="DF144" s="37">
        <v>1.5</v>
      </c>
      <c r="DG144" s="37">
        <f t="shared" si="176"/>
        <v>2.685765443151298E-2</v>
      </c>
      <c r="DH144" s="37">
        <f t="shared" si="205"/>
        <v>2.685765443151298E-2</v>
      </c>
      <c r="DI144" s="37">
        <f t="shared" si="177"/>
        <v>66.024672079950022</v>
      </c>
      <c r="DJ144" s="37">
        <f t="shared" si="206"/>
        <v>1.1821785511181742</v>
      </c>
      <c r="DK144" s="37">
        <f t="shared" si="207"/>
        <v>1.1821785511181742</v>
      </c>
      <c r="DL144" s="55">
        <f t="shared" si="208"/>
        <v>-11.102894024567979</v>
      </c>
      <c r="DN144" s="37">
        <f t="shared" si="209"/>
        <v>1.5</v>
      </c>
      <c r="DO144" s="55">
        <f t="shared" si="210"/>
        <v>2.685765443151298E-2</v>
      </c>
      <c r="DP144" s="55">
        <f t="shared" si="211"/>
        <v>2.685765443151298E-2</v>
      </c>
      <c r="DQ144" s="37">
        <v>0.8</v>
      </c>
      <c r="DR144" s="37">
        <f t="shared" si="212"/>
        <v>1.4563990533406155E-2</v>
      </c>
      <c r="DS144" s="37">
        <f t="shared" si="213"/>
        <v>2.912798106681231E-2</v>
      </c>
      <c r="DT144" s="37">
        <f t="shared" si="178"/>
        <v>81.171334766151631</v>
      </c>
      <c r="DU144" s="37">
        <f t="shared" si="179"/>
        <v>40.585667383075815</v>
      </c>
      <c r="DV144" s="37">
        <f t="shared" si="180"/>
        <v>66.82467207995002</v>
      </c>
      <c r="DW144" s="37">
        <f t="shared" si="181"/>
        <v>1.2113065321849865</v>
      </c>
      <c r="DX144" t="s">
        <v>543</v>
      </c>
      <c r="DY144" t="s">
        <v>615</v>
      </c>
      <c r="DZ144" s="29">
        <f t="shared" si="167"/>
        <v>1</v>
      </c>
      <c r="EA144" s="30">
        <v>1.7000000000000001E-2</v>
      </c>
      <c r="EB144" s="30">
        <f t="shared" si="214"/>
        <v>2.741935483870968E-4</v>
      </c>
      <c r="EC144" s="30">
        <f t="shared" si="215"/>
        <v>1.370967741935484E-3</v>
      </c>
      <c r="ED144" s="31">
        <f t="shared" si="229"/>
        <v>111</v>
      </c>
      <c r="EE144" s="33">
        <f t="shared" si="230"/>
        <v>79.285714285714278</v>
      </c>
      <c r="EF144" s="37">
        <f t="shared" si="182"/>
        <v>9.2442223610243595</v>
      </c>
      <c r="EG144" s="37">
        <f>$EK157-EK144</f>
        <v>-19.100000000000001</v>
      </c>
      <c r="EH144" s="33">
        <f>(EG144/EK157)*100</f>
        <v>-192.92929292929293</v>
      </c>
      <c r="EI144" s="37">
        <f t="shared" si="165"/>
        <v>-1.590672496356444</v>
      </c>
      <c r="EJ144" s="37"/>
      <c r="EK144" s="31">
        <v>29</v>
      </c>
      <c r="EL144" s="31">
        <f t="shared" si="216"/>
        <v>0.30189464917759734</v>
      </c>
      <c r="EM144" s="31">
        <f t="shared" si="217"/>
        <v>2.4151571934207787</v>
      </c>
      <c r="EN144" s="32">
        <f t="shared" si="183"/>
        <v>2.4165281611627143</v>
      </c>
      <c r="EO144" s="39">
        <f t="shared" si="218"/>
        <v>10.455528893209346</v>
      </c>
      <c r="EP144" s="37">
        <f t="shared" si="184"/>
        <v>2.7858926472605649E-3</v>
      </c>
      <c r="EQ144" s="37">
        <f t="shared" si="185"/>
        <v>0.11306731234667385</v>
      </c>
      <c r="ER144" s="37">
        <f t="shared" si="186"/>
        <v>0.88414679500606563</v>
      </c>
      <c r="ES144" s="39">
        <f t="shared" si="219"/>
        <v>5.598563549832529E-2</v>
      </c>
      <c r="ET144" s="55">
        <f t="shared" si="220"/>
        <v>47.972402550144096</v>
      </c>
      <c r="EU144" s="55">
        <f t="shared" si="221"/>
        <v>52.027597449855904</v>
      </c>
      <c r="EV144" s="55">
        <f t="shared" si="222"/>
        <v>0</v>
      </c>
      <c r="EW144" t="s">
        <v>679</v>
      </c>
      <c r="EX144" t="s">
        <v>680</v>
      </c>
      <c r="EY144">
        <v>-190</v>
      </c>
      <c r="EZ144" t="s">
        <v>253</v>
      </c>
      <c r="FA144">
        <v>620</v>
      </c>
      <c r="FB144" t="s">
        <v>113</v>
      </c>
      <c r="FC144" t="s">
        <v>88</v>
      </c>
      <c r="FD144" s="39">
        <f t="shared" si="223"/>
        <v>-10.392608840636584</v>
      </c>
      <c r="FE144" s="39">
        <f t="shared" si="224"/>
        <v>-10.366721171672976</v>
      </c>
      <c r="FF144" s="39">
        <f t="shared" si="225"/>
        <v>6.934417074436719E-3</v>
      </c>
      <c r="FG144" s="39">
        <f t="shared" si="226"/>
        <v>3.282208603804336E-2</v>
      </c>
    </row>
    <row r="145" spans="1:163" ht="15.75" x14ac:dyDescent="0.25">
      <c r="A145" s="7" t="s">
        <v>403</v>
      </c>
      <c r="B145" s="7" t="s">
        <v>403</v>
      </c>
      <c r="C145" s="3" t="s">
        <v>934</v>
      </c>
      <c r="D145" s="3" t="s">
        <v>934</v>
      </c>
      <c r="E145" s="3" t="s">
        <v>1349</v>
      </c>
      <c r="F145" s="3" t="s">
        <v>1055</v>
      </c>
      <c r="G145" s="3" t="s">
        <v>774</v>
      </c>
      <c r="H145" s="3" t="str">
        <f t="shared" si="171"/>
        <v>CW_3_Section_5</v>
      </c>
      <c r="I145" s="3" t="str">
        <f t="shared" si="172"/>
        <v>CW_3_EFF</v>
      </c>
      <c r="J145" s="3" t="s">
        <v>1482</v>
      </c>
      <c r="K145" s="3" t="s">
        <v>1482</v>
      </c>
      <c r="L145" s="3" t="s">
        <v>780</v>
      </c>
      <c r="M145" s="3" t="s">
        <v>780</v>
      </c>
      <c r="N145" s="3" t="s">
        <v>1482</v>
      </c>
      <c r="O145" s="12" t="s">
        <v>1016</v>
      </c>
      <c r="P145" s="3" t="s">
        <v>1350</v>
      </c>
      <c r="Q145" s="3" t="s">
        <v>1018</v>
      </c>
      <c r="R145" s="3" t="s">
        <v>1343</v>
      </c>
      <c r="S145" s="3" t="str">
        <f t="shared" si="173"/>
        <v>T6_EFF</v>
      </c>
      <c r="T145" s="13" t="s">
        <v>1344</v>
      </c>
      <c r="U145" s="3" t="s">
        <v>1053</v>
      </c>
      <c r="V145" s="3">
        <v>150</v>
      </c>
      <c r="W145" s="3">
        <v>65</v>
      </c>
      <c r="X145" s="3">
        <v>7.45</v>
      </c>
      <c r="Y145" s="3">
        <v>144</v>
      </c>
      <c r="Z145" t="s">
        <v>697</v>
      </c>
      <c r="AA145" t="s">
        <v>236</v>
      </c>
      <c r="AB145" s="1">
        <v>45884</v>
      </c>
      <c r="AC145">
        <v>9.4</v>
      </c>
      <c r="AD145">
        <v>10</v>
      </c>
      <c r="AE145">
        <v>75</v>
      </c>
      <c r="AF145" s="37">
        <f t="shared" si="187"/>
        <v>2.8805530661887083E-2</v>
      </c>
      <c r="AG145">
        <v>2.4</v>
      </c>
      <c r="AH145" s="37">
        <f t="shared" si="188"/>
        <v>9.3770349468200566E-4</v>
      </c>
      <c r="AI145">
        <v>120</v>
      </c>
      <c r="AJ145" s="37">
        <f t="shared" si="189"/>
        <v>4.7471037016106249E-2</v>
      </c>
      <c r="AK145">
        <v>13</v>
      </c>
      <c r="AL145" s="37">
        <f t="shared" si="190"/>
        <v>5.1426956767448434E-3</v>
      </c>
      <c r="AM145">
        <v>5</v>
      </c>
      <c r="AN145" s="37">
        <f t="shared" si="191"/>
        <v>1.9779598756710934E-3</v>
      </c>
      <c r="AO145">
        <v>18</v>
      </c>
      <c r="AQ145" s="59">
        <v>215.4</v>
      </c>
      <c r="AR145" s="59">
        <f t="shared" si="192"/>
        <v>7.7214271172675333E-2</v>
      </c>
      <c r="AS145">
        <v>160</v>
      </c>
      <c r="AT145" s="37">
        <f t="shared" si="193"/>
        <v>5.9920418194585309E-2</v>
      </c>
      <c r="AU145" t="s">
        <v>780</v>
      </c>
      <c r="AV145" t="s">
        <v>780</v>
      </c>
      <c r="AW145" t="s">
        <v>780</v>
      </c>
      <c r="AX145" t="s">
        <v>780</v>
      </c>
      <c r="AY145" t="s">
        <v>780</v>
      </c>
      <c r="AZ145" t="s">
        <v>780</v>
      </c>
      <c r="BA145" t="s">
        <v>780</v>
      </c>
      <c r="BB145" t="s">
        <v>780</v>
      </c>
      <c r="BC145" t="s">
        <v>780</v>
      </c>
      <c r="BD145" t="s">
        <v>780</v>
      </c>
      <c r="BE145" t="s">
        <v>780</v>
      </c>
      <c r="BF145" t="s">
        <v>780</v>
      </c>
      <c r="BG145" t="s">
        <v>780</v>
      </c>
      <c r="BH145" t="s">
        <v>780</v>
      </c>
      <c r="BI145" t="s">
        <v>780</v>
      </c>
      <c r="BJ145" t="s">
        <v>780</v>
      </c>
      <c r="BK145" t="s">
        <v>780</v>
      </c>
      <c r="BL145" t="s">
        <v>780</v>
      </c>
      <c r="BM145" t="s">
        <v>780</v>
      </c>
      <c r="BN145" t="s">
        <v>780</v>
      </c>
      <c r="BO145" s="58">
        <v>180</v>
      </c>
      <c r="BP145" s="58">
        <v>2.2000000000000002</v>
      </c>
      <c r="BQ145" s="58">
        <v>330</v>
      </c>
      <c r="BR145" s="58">
        <v>64</v>
      </c>
      <c r="BS145" s="58">
        <v>33</v>
      </c>
      <c r="BT145" s="58">
        <v>2.2999999999999998</v>
      </c>
      <c r="BU145" s="58">
        <v>0.31</v>
      </c>
      <c r="BV145" s="58">
        <v>0.22</v>
      </c>
      <c r="BW145" s="31">
        <f t="shared" si="194"/>
        <v>6.7410470468908482E-2</v>
      </c>
      <c r="BX145" s="31">
        <f t="shared" si="195"/>
        <v>8.0951442276102248E-4</v>
      </c>
      <c r="BY145" s="31">
        <f t="shared" si="196"/>
        <v>0.12411646456131249</v>
      </c>
      <c r="BZ145" s="31">
        <f t="shared" si="197"/>
        <v>2.3871976898086872E-2</v>
      </c>
      <c r="CA145" s="31">
        <f t="shared" si="198"/>
        <v>1.2220164955394715E-2</v>
      </c>
      <c r="CB145" s="31">
        <f t="shared" si="199"/>
        <v>8.5170846658811641E-4</v>
      </c>
      <c r="CC145" s="31">
        <f t="shared" si="200"/>
        <v>1.1342398022249691E-4</v>
      </c>
      <c r="CD145" s="31">
        <f t="shared" si="201"/>
        <v>8.0494437577255875E-5</v>
      </c>
      <c r="CE145">
        <v>1E-3</v>
      </c>
      <c r="CF145">
        <v>1E-3</v>
      </c>
      <c r="CG145">
        <v>2E-3</v>
      </c>
      <c r="CH145">
        <v>1E-3</v>
      </c>
      <c r="CI145">
        <v>1E-3</v>
      </c>
      <c r="CK145">
        <v>2E-3</v>
      </c>
      <c r="CL145">
        <v>1E-3</v>
      </c>
      <c r="CM145">
        <v>1E-3</v>
      </c>
      <c r="CN145" s="58">
        <f t="shared" si="227"/>
        <v>612.03</v>
      </c>
      <c r="CO145" s="58">
        <f t="shared" si="202"/>
        <v>432.03000000000003</v>
      </c>
      <c r="CP145" s="31">
        <f t="shared" si="203"/>
        <v>0.22947421819085145</v>
      </c>
      <c r="CQ145" s="31">
        <f t="shared" si="204"/>
        <v>0.16206374772194296</v>
      </c>
      <c r="CR145">
        <v>610</v>
      </c>
      <c r="CS145">
        <v>460</v>
      </c>
      <c r="CT145">
        <v>760</v>
      </c>
      <c r="CU145" t="s">
        <v>69</v>
      </c>
      <c r="CV145" t="s">
        <v>69</v>
      </c>
      <c r="CW145">
        <v>1200</v>
      </c>
      <c r="CX145" s="2">
        <f t="shared" si="174"/>
        <v>825.4</v>
      </c>
      <c r="CZ145">
        <v>67</v>
      </c>
      <c r="DA145" t="s">
        <v>62</v>
      </c>
      <c r="DB145" t="s">
        <v>88</v>
      </c>
      <c r="DC145" t="s">
        <v>782</v>
      </c>
      <c r="DD145" s="37">
        <f t="shared" si="175"/>
        <v>37.2034145325838</v>
      </c>
      <c r="DE145" s="37">
        <f t="shared" si="228"/>
        <v>37.2034145325838</v>
      </c>
      <c r="DF145" s="37">
        <v>2.7</v>
      </c>
      <c r="DG145" s="37">
        <f t="shared" si="176"/>
        <v>4.8343777976723366E-2</v>
      </c>
      <c r="DH145" s="37">
        <f t="shared" si="205"/>
        <v>4.8343777976723366E-2</v>
      </c>
      <c r="DI145" s="37">
        <f t="shared" si="177"/>
        <v>39.903414532583803</v>
      </c>
      <c r="DJ145" s="37">
        <f t="shared" si="206"/>
        <v>0.71447474543569922</v>
      </c>
      <c r="DK145" s="37">
        <f t="shared" si="207"/>
        <v>0.71447474543569922</v>
      </c>
      <c r="DL145" s="55">
        <f t="shared" si="208"/>
        <v>-43.888403081407453</v>
      </c>
      <c r="DN145" s="37">
        <f t="shared" si="209"/>
        <v>2.7</v>
      </c>
      <c r="DO145" s="55">
        <f t="shared" si="210"/>
        <v>4.8343777976723366E-2</v>
      </c>
      <c r="DP145" s="55">
        <f t="shared" si="211"/>
        <v>4.8343777976723366E-2</v>
      </c>
      <c r="DQ145" s="37">
        <v>1.9</v>
      </c>
      <c r="DR145" s="37">
        <f t="shared" si="212"/>
        <v>3.4589477516839613E-2</v>
      </c>
      <c r="DS145" s="37">
        <f t="shared" si="213"/>
        <v>6.9178955033679226E-2</v>
      </c>
      <c r="DT145" s="37">
        <f t="shared" si="178"/>
        <v>20.65584092988577</v>
      </c>
      <c r="DU145" s="37">
        <f t="shared" si="179"/>
        <v>10.327920464942885</v>
      </c>
      <c r="DV145" s="37">
        <f t="shared" si="180"/>
        <v>41.803414532583801</v>
      </c>
      <c r="DW145" s="37">
        <f t="shared" si="181"/>
        <v>0.78365370046937843</v>
      </c>
      <c r="DX145">
        <v>18</v>
      </c>
      <c r="DY145" t="s">
        <v>205</v>
      </c>
      <c r="DZ145" s="29">
        <f t="shared" si="167"/>
        <v>1</v>
      </c>
      <c r="EA145" s="30">
        <v>1.7000000000000001E-2</v>
      </c>
      <c r="EB145" s="30">
        <f t="shared" si="214"/>
        <v>2.741935483870968E-4</v>
      </c>
      <c r="EC145" s="30">
        <f t="shared" si="215"/>
        <v>1.370967741935484E-3</v>
      </c>
      <c r="ED145" s="31">
        <f t="shared" si="229"/>
        <v>64</v>
      </c>
      <c r="EE145" s="33">
        <f t="shared" si="230"/>
        <v>45.714285714285715</v>
      </c>
      <c r="EF145" s="37">
        <f t="shared" si="182"/>
        <v>5.3300020820320633</v>
      </c>
      <c r="EG145" s="37">
        <f>$EK163-EK145</f>
        <v>-75.5</v>
      </c>
      <c r="EH145" s="33">
        <f>(EG145/EK163)*100</f>
        <v>-15100</v>
      </c>
      <c r="EI145" s="37">
        <f t="shared" si="165"/>
        <v>-6.2877368311471997</v>
      </c>
      <c r="EJ145" s="37"/>
      <c r="EK145" s="31">
        <v>76</v>
      </c>
      <c r="EL145" s="31">
        <f t="shared" si="216"/>
        <v>0.79117218405163436</v>
      </c>
      <c r="EM145" s="31">
        <f t="shared" si="217"/>
        <v>6.3293774724130749</v>
      </c>
      <c r="EN145" s="32">
        <f t="shared" si="183"/>
        <v>6.33074844015501</v>
      </c>
      <c r="EO145" s="39">
        <f t="shared" si="218"/>
        <v>6.1136557825014419</v>
      </c>
      <c r="EP145" s="37">
        <f t="shared" si="184"/>
        <v>1.1315480866895357E-2</v>
      </c>
      <c r="EQ145" s="37">
        <f t="shared" si="185"/>
        <v>0.11686538641587819</v>
      </c>
      <c r="ER145" s="37">
        <f t="shared" si="186"/>
        <v>0.87181913271722644</v>
      </c>
      <c r="ES145" s="39">
        <f t="shared" si="219"/>
        <v>0.11752273301040259</v>
      </c>
      <c r="ET145" s="55">
        <f t="shared" si="220"/>
        <v>41.135682210899731</v>
      </c>
      <c r="EU145" s="55">
        <f t="shared" si="221"/>
        <v>58.864317789100276</v>
      </c>
      <c r="EV145" s="55">
        <f t="shared" si="222"/>
        <v>0</v>
      </c>
      <c r="EW145" t="s">
        <v>124</v>
      </c>
      <c r="EX145" t="s">
        <v>684</v>
      </c>
      <c r="EY145">
        <v>-190</v>
      </c>
      <c r="EZ145" t="s">
        <v>698</v>
      </c>
      <c r="FA145">
        <v>918</v>
      </c>
      <c r="FB145" t="s">
        <v>113</v>
      </c>
      <c r="FC145" t="s">
        <v>88</v>
      </c>
      <c r="FD145" s="39">
        <f t="shared" si="223"/>
        <v>-5.9765210931341812</v>
      </c>
      <c r="FE145" s="39">
        <f t="shared" si="224"/>
        <v>-5.8144573454122384</v>
      </c>
      <c r="FF145" s="39">
        <f t="shared" si="225"/>
        <v>1.9611956356858057E-2</v>
      </c>
      <c r="FG145" s="39">
        <f t="shared" si="226"/>
        <v>0.18167570407880099</v>
      </c>
    </row>
    <row r="146" spans="1:163" ht="15.75" x14ac:dyDescent="0.25">
      <c r="A146" s="7" t="s">
        <v>404</v>
      </c>
      <c r="B146" s="7" t="s">
        <v>404</v>
      </c>
      <c r="C146" s="3" t="s">
        <v>935</v>
      </c>
      <c r="D146" s="3" t="s">
        <v>935</v>
      </c>
      <c r="E146" s="3" t="s">
        <v>1351</v>
      </c>
      <c r="F146" s="3" t="s">
        <v>1013</v>
      </c>
      <c r="G146" s="3" t="s">
        <v>772</v>
      </c>
      <c r="H146" s="3" t="str">
        <f t="shared" si="171"/>
        <v>CW_1_Section_1</v>
      </c>
      <c r="I146" s="3" t="str">
        <f t="shared" si="172"/>
        <v>CW_1_MF01</v>
      </c>
      <c r="J146" s="3" t="s">
        <v>1488</v>
      </c>
      <c r="K146" s="3" t="s">
        <v>1484</v>
      </c>
      <c r="L146" s="11" t="s">
        <v>1014</v>
      </c>
      <c r="M146" s="3" t="s">
        <v>1015</v>
      </c>
      <c r="N146" s="3" t="s">
        <v>1015</v>
      </c>
      <c r="O146" s="12" t="s">
        <v>1016</v>
      </c>
      <c r="P146" s="3" t="s">
        <v>1352</v>
      </c>
      <c r="Q146" s="3" t="s">
        <v>1018</v>
      </c>
      <c r="R146" s="3" t="s">
        <v>1343</v>
      </c>
      <c r="S146" s="3" t="str">
        <f t="shared" si="173"/>
        <v>T6_0.15-0.30</v>
      </c>
      <c r="T146" s="13" t="s">
        <v>1344</v>
      </c>
      <c r="U146" s="3" t="s">
        <v>1053</v>
      </c>
      <c r="V146" s="3">
        <v>150</v>
      </c>
      <c r="W146" s="3">
        <v>65</v>
      </c>
      <c r="X146" s="3">
        <v>6.55</v>
      </c>
      <c r="Y146" s="3">
        <v>145</v>
      </c>
      <c r="Z146" t="s">
        <v>669</v>
      </c>
      <c r="AA146" t="s">
        <v>137</v>
      </c>
      <c r="AB146" s="1">
        <v>45882</v>
      </c>
      <c r="AC146">
        <v>13</v>
      </c>
      <c r="AD146">
        <v>13</v>
      </c>
      <c r="AE146">
        <v>41</v>
      </c>
      <c r="AF146" s="37">
        <f t="shared" si="187"/>
        <v>1.5747023428498274E-2</v>
      </c>
      <c r="AG146">
        <v>0.1</v>
      </c>
      <c r="AH146" s="37">
        <f t="shared" si="188"/>
        <v>3.9070978945083576E-5</v>
      </c>
      <c r="AI146">
        <v>280</v>
      </c>
      <c r="AJ146" s="37">
        <f t="shared" si="189"/>
        <v>0.11076575303758124</v>
      </c>
      <c r="AK146">
        <v>42</v>
      </c>
      <c r="AL146" s="37">
        <f t="shared" si="190"/>
        <v>1.6614862955637185E-2</v>
      </c>
      <c r="AM146">
        <v>15</v>
      </c>
      <c r="AN146" s="37">
        <f t="shared" si="191"/>
        <v>5.9338796270132811E-3</v>
      </c>
      <c r="AO146">
        <v>57</v>
      </c>
      <c r="AQ146" s="59">
        <v>378.7</v>
      </c>
      <c r="AR146" s="59">
        <f t="shared" si="192"/>
        <v>0.1265518474450246</v>
      </c>
      <c r="AS146">
        <v>1200</v>
      </c>
      <c r="AT146" s="37">
        <f t="shared" si="193"/>
        <v>0.44940313645938984</v>
      </c>
      <c r="AU146" t="s">
        <v>780</v>
      </c>
      <c r="AV146" t="s">
        <v>780</v>
      </c>
      <c r="AW146" t="s">
        <v>780</v>
      </c>
      <c r="AX146" t="s">
        <v>780</v>
      </c>
      <c r="AY146" t="s">
        <v>780</v>
      </c>
      <c r="AZ146" t="s">
        <v>780</v>
      </c>
      <c r="BA146" t="s">
        <v>780</v>
      </c>
      <c r="BB146" t="s">
        <v>780</v>
      </c>
      <c r="BC146" t="s">
        <v>780</v>
      </c>
      <c r="BD146" t="s">
        <v>780</v>
      </c>
      <c r="BE146" t="s">
        <v>780</v>
      </c>
      <c r="BF146" t="s">
        <v>780</v>
      </c>
      <c r="BG146" t="s">
        <v>780</v>
      </c>
      <c r="BH146" t="s">
        <v>780</v>
      </c>
      <c r="BI146" t="s">
        <v>780</v>
      </c>
      <c r="BJ146" t="s">
        <v>780</v>
      </c>
      <c r="BK146" t="s">
        <v>780</v>
      </c>
      <c r="BL146" t="s">
        <v>780</v>
      </c>
      <c r="BM146" t="s">
        <v>780</v>
      </c>
      <c r="BN146" t="s">
        <v>780</v>
      </c>
      <c r="BO146" s="58">
        <v>0.34</v>
      </c>
      <c r="BP146" s="58">
        <v>1.9</v>
      </c>
      <c r="BQ146" s="58">
        <v>57</v>
      </c>
      <c r="BR146" s="58">
        <v>0.2</v>
      </c>
      <c r="BS146" s="58">
        <v>0.04</v>
      </c>
      <c r="BT146" s="58">
        <v>0.02</v>
      </c>
      <c r="BU146" s="58">
        <v>0.02</v>
      </c>
      <c r="BV146" s="58">
        <v>2E-3</v>
      </c>
      <c r="BW146" s="31">
        <f t="shared" si="194"/>
        <v>1.273308886634938E-4</v>
      </c>
      <c r="BX146" s="31">
        <f t="shared" si="195"/>
        <v>6.9912609238451931E-4</v>
      </c>
      <c r="BY146" s="31">
        <f t="shared" si="196"/>
        <v>2.1438298424226704E-2</v>
      </c>
      <c r="BZ146" s="31">
        <f t="shared" si="197"/>
        <v>7.459992780652148E-5</v>
      </c>
      <c r="CA146" s="31">
        <f t="shared" si="198"/>
        <v>1.4812321158054199E-5</v>
      </c>
      <c r="CB146" s="31">
        <f t="shared" si="199"/>
        <v>7.4061605790270997E-6</v>
      </c>
      <c r="CC146" s="31">
        <f t="shared" si="200"/>
        <v>7.3176761433868973E-6</v>
      </c>
      <c r="CD146" s="31">
        <f t="shared" si="201"/>
        <v>7.3176761433868969E-7</v>
      </c>
      <c r="CE146">
        <v>1E-3</v>
      </c>
      <c r="CF146">
        <v>1E-3</v>
      </c>
      <c r="CG146">
        <v>2E-3</v>
      </c>
      <c r="CH146">
        <v>1E-3</v>
      </c>
      <c r="CI146">
        <v>1E-3</v>
      </c>
      <c r="CK146">
        <v>2E-3</v>
      </c>
      <c r="CL146">
        <v>1E-3</v>
      </c>
      <c r="CM146">
        <v>1E-3</v>
      </c>
      <c r="CN146" s="58">
        <f t="shared" si="227"/>
        <v>59.522000000000013</v>
      </c>
      <c r="CO146" s="58">
        <f t="shared" si="202"/>
        <v>59.182000000000009</v>
      </c>
      <c r="CP146" s="31">
        <f t="shared" si="203"/>
        <v>2.2369623258576044E-2</v>
      </c>
      <c r="CQ146" s="31">
        <f t="shared" si="204"/>
        <v>2.2242292369912549E-2</v>
      </c>
      <c r="CR146">
        <v>60</v>
      </c>
      <c r="CS146">
        <v>2900</v>
      </c>
      <c r="CT146">
        <v>400</v>
      </c>
      <c r="CU146" t="s">
        <v>69</v>
      </c>
      <c r="CV146" t="s">
        <v>69</v>
      </c>
      <c r="CW146">
        <v>3300</v>
      </c>
      <c r="CX146" s="2">
        <f t="shared" si="174"/>
        <v>438.7</v>
      </c>
      <c r="CZ146">
        <v>68</v>
      </c>
      <c r="DA146" t="s">
        <v>62</v>
      </c>
      <c r="DB146" t="s">
        <v>88</v>
      </c>
      <c r="DC146" t="s">
        <v>782</v>
      </c>
      <c r="DD146" s="37">
        <f t="shared" si="175"/>
        <v>59.874245263377055</v>
      </c>
      <c r="DE146" s="37">
        <f t="shared" si="228"/>
        <v>59.874245263377055</v>
      </c>
      <c r="DF146" s="37">
        <v>2.4</v>
      </c>
      <c r="DG146" s="37">
        <f t="shared" si="176"/>
        <v>4.2972247090420766E-2</v>
      </c>
      <c r="DH146" s="37">
        <f t="shared" si="205"/>
        <v>4.2972247090420766E-2</v>
      </c>
      <c r="DI146" s="37">
        <f t="shared" si="177"/>
        <v>62.274245263377054</v>
      </c>
      <c r="DJ146" s="37">
        <f t="shared" si="206"/>
        <v>1.1150267728447101</v>
      </c>
      <c r="DK146" s="37">
        <f t="shared" si="207"/>
        <v>1.1150267728447101</v>
      </c>
      <c r="DL146" s="55">
        <f t="shared" si="208"/>
        <v>59.874245263377055</v>
      </c>
      <c r="DM146" s="55">
        <f t="shared" si="208"/>
        <v>59.874245263377055</v>
      </c>
      <c r="DN146" s="37">
        <f t="shared" si="209"/>
        <v>62.274245263377054</v>
      </c>
      <c r="DO146" s="55">
        <f t="shared" si="210"/>
        <v>1.1150267728447101</v>
      </c>
      <c r="DP146" s="55">
        <f t="shared" si="211"/>
        <v>1.1150267728447101</v>
      </c>
      <c r="DQ146" s="37">
        <v>0.9</v>
      </c>
      <c r="DR146" s="37">
        <f t="shared" si="212"/>
        <v>1.6384489350081924E-2</v>
      </c>
      <c r="DS146" s="37">
        <f t="shared" si="213"/>
        <v>3.2768978700163848E-2</v>
      </c>
      <c r="DT146" s="37">
        <f t="shared" si="178"/>
        <v>68.053800702622127</v>
      </c>
      <c r="DU146" s="37">
        <f t="shared" si="179"/>
        <v>34.026900351311063</v>
      </c>
      <c r="DV146" s="37">
        <f t="shared" si="180"/>
        <v>63.174245263377053</v>
      </c>
      <c r="DW146" s="37">
        <f t="shared" si="181"/>
        <v>1.147795751544874</v>
      </c>
      <c r="DX146">
        <v>26</v>
      </c>
      <c r="DY146" t="s">
        <v>498</v>
      </c>
      <c r="DZ146" s="29">
        <f t="shared" si="167"/>
        <v>1</v>
      </c>
      <c r="EA146" s="30">
        <v>1.7000000000000001E-2</v>
      </c>
      <c r="EB146" s="30">
        <f t="shared" si="214"/>
        <v>2.741935483870968E-4</v>
      </c>
      <c r="EC146" s="30">
        <f t="shared" si="215"/>
        <v>1.370967741935484E-3</v>
      </c>
      <c r="ED146" s="31">
        <f t="shared" si="229"/>
        <v>103</v>
      </c>
      <c r="EE146" s="33">
        <f t="shared" si="230"/>
        <v>73.571428571428584</v>
      </c>
      <c r="EF146" s="37">
        <f t="shared" si="182"/>
        <v>8.5779721007703511</v>
      </c>
      <c r="EG146" s="37">
        <f>$EK142-EK146</f>
        <v>103</v>
      </c>
      <c r="EH146" s="33">
        <f>(EG146/$EK$142)*100</f>
        <v>73.571428571428584</v>
      </c>
      <c r="EI146" s="37">
        <f t="shared" si="165"/>
        <v>8.5779721007703511</v>
      </c>
      <c r="EJ146" s="37">
        <f>($EG146/96.06)*8</f>
        <v>8.5779721007703511</v>
      </c>
      <c r="EK146" s="31">
        <v>37</v>
      </c>
      <c r="EL146" s="31">
        <f t="shared" si="216"/>
        <v>0.38517593170934833</v>
      </c>
      <c r="EM146" s="31">
        <f t="shared" si="217"/>
        <v>3.0814074536747866</v>
      </c>
      <c r="EN146" s="32">
        <f t="shared" si="183"/>
        <v>3.0827784214167222</v>
      </c>
      <c r="EO146" s="39">
        <f t="shared" si="218"/>
        <v>9.7257678523152258</v>
      </c>
      <c r="EP146" s="37">
        <f t="shared" si="184"/>
        <v>3.3692947639463932E-3</v>
      </c>
      <c r="EQ146" s="37">
        <f t="shared" si="185"/>
        <v>0.11464665718699805</v>
      </c>
      <c r="ER146" s="37">
        <f t="shared" si="186"/>
        <v>0.8819840480490555</v>
      </c>
      <c r="ES146" s="39">
        <f t="shared" si="219"/>
        <v>9.7257678523152258</v>
      </c>
      <c r="ET146" s="55">
        <f t="shared" si="220"/>
        <v>11.464665718699806</v>
      </c>
      <c r="EU146" s="55">
        <f t="shared" si="221"/>
        <v>0.33692947639463933</v>
      </c>
      <c r="EV146" s="55">
        <f t="shared" si="222"/>
        <v>88.19840480490555</v>
      </c>
      <c r="EW146" t="s">
        <v>102</v>
      </c>
      <c r="EX146" t="s">
        <v>627</v>
      </c>
      <c r="EY146">
        <v>-69</v>
      </c>
      <c r="EZ146" t="s">
        <v>259</v>
      </c>
      <c r="FA146">
        <v>900</v>
      </c>
      <c r="FB146" t="s">
        <v>72</v>
      </c>
      <c r="FC146" t="s">
        <v>88</v>
      </c>
      <c r="FD146" s="39">
        <f t="shared" si="223"/>
        <v>-9.1498128684108107</v>
      </c>
      <c r="FE146" s="39">
        <f t="shared" si="224"/>
        <v>-9.1275705760408989</v>
      </c>
      <c r="FF146" s="39">
        <f t="shared" si="225"/>
        <v>-9.1498128684108107</v>
      </c>
      <c r="FG146" s="39">
        <f t="shared" si="226"/>
        <v>-9.1275705760408989</v>
      </c>
    </row>
    <row r="147" spans="1:163" ht="15.75" x14ac:dyDescent="0.25">
      <c r="A147" s="7" t="s">
        <v>405</v>
      </c>
      <c r="B147" s="7" t="s">
        <v>405</v>
      </c>
      <c r="C147" s="3" t="s">
        <v>936</v>
      </c>
      <c r="D147" s="3" t="s">
        <v>936</v>
      </c>
      <c r="E147" s="3" t="s">
        <v>1353</v>
      </c>
      <c r="F147" s="3" t="s">
        <v>1013</v>
      </c>
      <c r="G147" s="3" t="s">
        <v>772</v>
      </c>
      <c r="H147" s="3" t="str">
        <f t="shared" si="171"/>
        <v>CW_1_Section_1</v>
      </c>
      <c r="I147" s="3" t="str">
        <f t="shared" si="172"/>
        <v>CW_1_MF02</v>
      </c>
      <c r="J147" s="3" t="s">
        <v>1489</v>
      </c>
      <c r="K147" s="3" t="s">
        <v>1484</v>
      </c>
      <c r="L147" s="11" t="s">
        <v>1023</v>
      </c>
      <c r="M147" s="3" t="s">
        <v>1024</v>
      </c>
      <c r="N147" s="3" t="s">
        <v>1024</v>
      </c>
      <c r="O147" s="12" t="s">
        <v>1016</v>
      </c>
      <c r="P147" s="3" t="s">
        <v>1354</v>
      </c>
      <c r="Q147" s="3" t="s">
        <v>1018</v>
      </c>
      <c r="R147" s="3" t="s">
        <v>1343</v>
      </c>
      <c r="S147" s="3" t="str">
        <f t="shared" si="173"/>
        <v>T6_0.60-0.80</v>
      </c>
      <c r="T147" s="13" t="s">
        <v>1344</v>
      </c>
      <c r="U147" s="3" t="s">
        <v>1053</v>
      </c>
      <c r="V147" s="3">
        <v>150</v>
      </c>
      <c r="W147" s="3">
        <v>65</v>
      </c>
      <c r="X147" s="3">
        <v>8</v>
      </c>
      <c r="Y147" s="3">
        <v>146</v>
      </c>
      <c r="Z147" t="s">
        <v>670</v>
      </c>
      <c r="AA147" t="s">
        <v>153</v>
      </c>
      <c r="AB147" s="1">
        <v>45882</v>
      </c>
      <c r="AC147">
        <v>9.4</v>
      </c>
      <c r="AD147">
        <v>10</v>
      </c>
      <c r="AE147">
        <v>96</v>
      </c>
      <c r="AF147" s="37">
        <f t="shared" si="187"/>
        <v>3.6871079247215464E-2</v>
      </c>
      <c r="AG147">
        <v>4.4000000000000004</v>
      </c>
      <c r="AH147" s="37">
        <f t="shared" si="188"/>
        <v>1.7191230735836773E-3</v>
      </c>
      <c r="AI147">
        <v>110</v>
      </c>
      <c r="AJ147" s="37">
        <f t="shared" si="189"/>
        <v>4.3515117264764057E-2</v>
      </c>
      <c r="AK147">
        <v>28</v>
      </c>
      <c r="AL147" s="37">
        <f t="shared" si="190"/>
        <v>1.1076575303758125E-2</v>
      </c>
      <c r="AM147">
        <v>15</v>
      </c>
      <c r="AN147" s="37">
        <f t="shared" si="191"/>
        <v>5.9338796270132811E-3</v>
      </c>
      <c r="AO147">
        <v>43</v>
      </c>
      <c r="AQ147" s="59">
        <v>253.4</v>
      </c>
      <c r="AR147" s="59">
        <f t="shared" si="192"/>
        <v>8.2105319585563191E-2</v>
      </c>
      <c r="AS147">
        <v>170</v>
      </c>
      <c r="AT147" s="37">
        <f t="shared" si="193"/>
        <v>6.3665444331746895E-2</v>
      </c>
      <c r="AU147" t="s">
        <v>780</v>
      </c>
      <c r="AV147" t="s">
        <v>780</v>
      </c>
      <c r="AW147" t="s">
        <v>780</v>
      </c>
      <c r="AX147" t="s">
        <v>780</v>
      </c>
      <c r="AY147" t="s">
        <v>780</v>
      </c>
      <c r="AZ147" t="s">
        <v>780</v>
      </c>
      <c r="BA147" t="s">
        <v>780</v>
      </c>
      <c r="BB147" t="s">
        <v>780</v>
      </c>
      <c r="BC147" t="s">
        <v>780</v>
      </c>
      <c r="BD147" t="s">
        <v>780</v>
      </c>
      <c r="BE147" t="s">
        <v>780</v>
      </c>
      <c r="BF147" t="s">
        <v>780</v>
      </c>
      <c r="BG147" t="s">
        <v>780</v>
      </c>
      <c r="BH147" t="s">
        <v>780</v>
      </c>
      <c r="BI147" t="s">
        <v>780</v>
      </c>
      <c r="BJ147" t="s">
        <v>780</v>
      </c>
      <c r="BK147" t="s">
        <v>780</v>
      </c>
      <c r="BL147" t="s">
        <v>780</v>
      </c>
      <c r="BM147" t="s">
        <v>780</v>
      </c>
      <c r="BN147" t="s">
        <v>780</v>
      </c>
      <c r="BO147" s="58">
        <v>64</v>
      </c>
      <c r="BP147" s="58">
        <v>4.3</v>
      </c>
      <c r="BQ147" s="58">
        <v>340</v>
      </c>
      <c r="BR147" s="58">
        <v>61</v>
      </c>
      <c r="BS147" s="58">
        <v>27</v>
      </c>
      <c r="BT147" s="58">
        <v>3.1</v>
      </c>
      <c r="BU147" s="58">
        <v>1</v>
      </c>
      <c r="BV147" s="58">
        <v>1</v>
      </c>
      <c r="BW147" s="31">
        <f t="shared" si="194"/>
        <v>2.3968167277834122E-2</v>
      </c>
      <c r="BX147" s="31">
        <f t="shared" si="195"/>
        <v>1.5822327353965436E-3</v>
      </c>
      <c r="BY147" s="31">
        <f t="shared" si="196"/>
        <v>0.12787756954801893</v>
      </c>
      <c r="BZ147" s="31">
        <f t="shared" si="197"/>
        <v>2.2752977980989051E-2</v>
      </c>
      <c r="CA147" s="31">
        <f t="shared" si="198"/>
        <v>9.9983167816865854E-3</v>
      </c>
      <c r="CB147" s="31">
        <f t="shared" si="199"/>
        <v>1.1479548897492004E-3</v>
      </c>
      <c r="CC147" s="31">
        <f t="shared" si="200"/>
        <v>3.6588380716934482E-4</v>
      </c>
      <c r="CD147" s="31">
        <f t="shared" si="201"/>
        <v>3.6588380716934482E-4</v>
      </c>
      <c r="CE147">
        <v>0.01</v>
      </c>
      <c r="CF147">
        <v>1E-3</v>
      </c>
      <c r="CG147">
        <v>2E-3</v>
      </c>
      <c r="CH147">
        <v>1E-3</v>
      </c>
      <c r="CI147">
        <v>1E-3</v>
      </c>
      <c r="CK147">
        <v>2E-3</v>
      </c>
      <c r="CL147">
        <v>1E-3</v>
      </c>
      <c r="CM147">
        <v>1E-3</v>
      </c>
      <c r="CN147" s="58">
        <f t="shared" si="227"/>
        <v>501.40000000000003</v>
      </c>
      <c r="CO147" s="58">
        <f t="shared" si="202"/>
        <v>437.40000000000003</v>
      </c>
      <c r="CP147" s="31">
        <f t="shared" si="203"/>
        <v>0.18805898682801311</v>
      </c>
      <c r="CQ147" s="31">
        <f t="shared" si="204"/>
        <v>0.16409081955017898</v>
      </c>
      <c r="CR147">
        <v>510</v>
      </c>
      <c r="CS147">
        <v>650</v>
      </c>
      <c r="CT147">
        <v>1300</v>
      </c>
      <c r="CU147" t="s">
        <v>69</v>
      </c>
      <c r="CV147" t="s">
        <v>69</v>
      </c>
      <c r="CW147">
        <v>2000</v>
      </c>
      <c r="CX147" s="2">
        <f t="shared" si="174"/>
        <v>763.4</v>
      </c>
      <c r="CZ147">
        <v>66</v>
      </c>
      <c r="DA147" t="s">
        <v>62</v>
      </c>
      <c r="DB147" t="s">
        <v>88</v>
      </c>
      <c r="DC147" t="s">
        <v>782</v>
      </c>
      <c r="DD147" s="37">
        <f t="shared" si="175"/>
        <v>5.8130335207162185</v>
      </c>
      <c r="DE147" s="37">
        <f t="shared" si="228"/>
        <v>5.8130335207162185</v>
      </c>
      <c r="DF147" s="37">
        <v>0.4</v>
      </c>
      <c r="DG147" s="37">
        <f t="shared" si="176"/>
        <v>7.162041181736795E-3</v>
      </c>
      <c r="DH147" s="37">
        <f t="shared" si="205"/>
        <v>7.162041181736795E-3</v>
      </c>
      <c r="DI147" s="37">
        <f t="shared" si="177"/>
        <v>6.2130335207162188</v>
      </c>
      <c r="DJ147" s="37">
        <f t="shared" si="206"/>
        <v>0.11124500484720176</v>
      </c>
      <c r="DK147" s="37">
        <f t="shared" si="207"/>
        <v>0.11124500484720176</v>
      </c>
      <c r="DL147" s="55">
        <f t="shared" si="208"/>
        <v>5.8130335207162185</v>
      </c>
      <c r="DM147" s="55">
        <f t="shared" si="208"/>
        <v>5.8130335207162185</v>
      </c>
      <c r="DN147" s="37">
        <f t="shared" si="209"/>
        <v>6.2130335207162188</v>
      </c>
      <c r="DO147" s="55">
        <f t="shared" si="210"/>
        <v>0.11124500484720176</v>
      </c>
      <c r="DP147" s="55">
        <f t="shared" si="211"/>
        <v>0.11124500484720176</v>
      </c>
      <c r="DQ147" s="37">
        <v>1.2</v>
      </c>
      <c r="DR147" s="37">
        <f t="shared" si="212"/>
        <v>2.1845985800109231E-2</v>
      </c>
      <c r="DS147" s="37">
        <f t="shared" si="213"/>
        <v>4.3691971600218461E-2</v>
      </c>
      <c r="DT147" s="37">
        <f t="shared" si="178"/>
        <v>5.0922400968806603</v>
      </c>
      <c r="DU147" s="37">
        <f t="shared" si="179"/>
        <v>2.5461200484403301</v>
      </c>
      <c r="DV147" s="37">
        <f t="shared" si="180"/>
        <v>7.413033520716219</v>
      </c>
      <c r="DW147" s="37">
        <f t="shared" si="181"/>
        <v>0.15493697644742022</v>
      </c>
      <c r="DX147">
        <v>27</v>
      </c>
      <c r="DY147" t="s">
        <v>101</v>
      </c>
      <c r="DZ147" s="29">
        <f t="shared" si="167"/>
        <v>1</v>
      </c>
      <c r="EA147" s="30">
        <v>1.7000000000000001E-2</v>
      </c>
      <c r="EB147" s="30">
        <f t="shared" si="214"/>
        <v>2.741935483870968E-4</v>
      </c>
      <c r="EC147" s="30">
        <f t="shared" si="215"/>
        <v>1.370967741935484E-3</v>
      </c>
      <c r="ED147" s="31">
        <f t="shared" si="229"/>
        <v>10</v>
      </c>
      <c r="EE147" s="33">
        <f t="shared" si="230"/>
        <v>7.1428571428571423</v>
      </c>
      <c r="EF147" s="37">
        <f t="shared" si="182"/>
        <v>0.83281282531750989</v>
      </c>
      <c r="EG147" s="37">
        <f>$EK142-EK147</f>
        <v>10</v>
      </c>
      <c r="EH147" s="33">
        <f>(EG147/$EK$142)*100</f>
        <v>7.1428571428571423</v>
      </c>
      <c r="EI147" s="37">
        <f t="shared" ref="EI147:EI178" si="231">($EG147/96.06)*8</f>
        <v>0.83281282531750989</v>
      </c>
      <c r="EJ147" s="37">
        <f>($EG147/96.06)*8</f>
        <v>0.83281282531750989</v>
      </c>
      <c r="EK147" s="31">
        <v>130</v>
      </c>
      <c r="EL147" s="31">
        <f t="shared" si="216"/>
        <v>1.3533208411409536</v>
      </c>
      <c r="EM147" s="31">
        <f t="shared" si="217"/>
        <v>10.826566729127629</v>
      </c>
      <c r="EN147" s="32">
        <f t="shared" si="183"/>
        <v>10.827937696869565</v>
      </c>
      <c r="EO147" s="39">
        <f t="shared" si="218"/>
        <v>0.9877498017649301</v>
      </c>
      <c r="EP147" s="37">
        <f t="shared" si="184"/>
        <v>4.4233844969797834E-2</v>
      </c>
      <c r="EQ147" s="37">
        <f t="shared" si="185"/>
        <v>0.11262467949720371</v>
      </c>
      <c r="ER147" s="37">
        <f t="shared" si="186"/>
        <v>0.84314147553299845</v>
      </c>
      <c r="ES147" s="39">
        <f t="shared" si="219"/>
        <v>0.9877498017649301</v>
      </c>
      <c r="ET147" s="55">
        <f t="shared" si="220"/>
        <v>11.262467949720371</v>
      </c>
      <c r="EU147" s="55">
        <f t="shared" si="221"/>
        <v>4.4233844969797831</v>
      </c>
      <c r="EV147" s="55">
        <f t="shared" si="222"/>
        <v>84.314147553299847</v>
      </c>
      <c r="EW147" t="s">
        <v>84</v>
      </c>
      <c r="EX147" t="s">
        <v>671</v>
      </c>
      <c r="EY147">
        <v>-14</v>
      </c>
      <c r="EZ147" t="s">
        <v>217</v>
      </c>
      <c r="FA147">
        <v>1010</v>
      </c>
      <c r="FB147" t="s">
        <v>113</v>
      </c>
      <c r="FC147" t="s">
        <v>88</v>
      </c>
      <c r="FD147" s="39">
        <f t="shared" si="223"/>
        <v>-0.84197903784761996</v>
      </c>
      <c r="FE147" s="39">
        <f t="shared" si="224"/>
        <v>-0.67788821829744106</v>
      </c>
      <c r="FF147" s="39">
        <f t="shared" si="225"/>
        <v>-0.84197903784761996</v>
      </c>
      <c r="FG147" s="39">
        <f t="shared" si="226"/>
        <v>-0.67788821829744106</v>
      </c>
    </row>
    <row r="148" spans="1:163" ht="15.75" x14ac:dyDescent="0.25">
      <c r="A148" s="7" t="s">
        <v>406</v>
      </c>
      <c r="B148" s="7" t="s">
        <v>406</v>
      </c>
      <c r="C148" s="3" t="s">
        <v>937</v>
      </c>
      <c r="D148" s="3" t="s">
        <v>937</v>
      </c>
      <c r="E148" s="3" t="s">
        <v>1355</v>
      </c>
      <c r="F148" s="3" t="s">
        <v>1027</v>
      </c>
      <c r="G148" s="3" t="s">
        <v>772</v>
      </c>
      <c r="H148" s="3" t="str">
        <f t="shared" si="171"/>
        <v>CW_1_Section_2</v>
      </c>
      <c r="I148" s="3" t="str">
        <f t="shared" si="172"/>
        <v>CW_1_MF05</v>
      </c>
      <c r="J148" s="3" t="s">
        <v>1496</v>
      </c>
      <c r="K148" s="3" t="s">
        <v>1484</v>
      </c>
      <c r="L148" s="11" t="s">
        <v>1028</v>
      </c>
      <c r="M148" s="3" t="s">
        <v>1015</v>
      </c>
      <c r="N148" s="3" t="s">
        <v>1015</v>
      </c>
      <c r="O148" s="12" t="s">
        <v>1016</v>
      </c>
      <c r="P148" s="3" t="s">
        <v>1356</v>
      </c>
      <c r="Q148" s="3" t="s">
        <v>1018</v>
      </c>
      <c r="R148" s="3" t="s">
        <v>1343</v>
      </c>
      <c r="S148" s="3" t="str">
        <f t="shared" si="173"/>
        <v>T6_0.15-0.30</v>
      </c>
      <c r="T148" s="13" t="s">
        <v>1344</v>
      </c>
      <c r="U148" s="3" t="s">
        <v>1053</v>
      </c>
      <c r="V148" s="3">
        <v>150</v>
      </c>
      <c r="W148" s="3">
        <v>65</v>
      </c>
      <c r="X148" s="3">
        <v>7</v>
      </c>
      <c r="Y148" s="3">
        <v>147</v>
      </c>
      <c r="Z148" t="s">
        <v>672</v>
      </c>
      <c r="AA148" t="s">
        <v>167</v>
      </c>
      <c r="AB148" s="1">
        <v>45882</v>
      </c>
      <c r="AC148">
        <v>13</v>
      </c>
      <c r="AD148">
        <v>14</v>
      </c>
      <c r="AE148">
        <v>310</v>
      </c>
      <c r="AF148" s="37">
        <f t="shared" si="187"/>
        <v>0.11906286006913326</v>
      </c>
      <c r="AG148">
        <v>1</v>
      </c>
      <c r="AH148" s="37">
        <f t="shared" si="188"/>
        <v>3.9070978945083569E-4</v>
      </c>
      <c r="AI148">
        <v>320</v>
      </c>
      <c r="AJ148" s="37">
        <f t="shared" si="189"/>
        <v>0.12658943204294998</v>
      </c>
      <c r="AK148">
        <v>51</v>
      </c>
      <c r="AL148" s="37">
        <f t="shared" si="190"/>
        <v>2.0175190731845153E-2</v>
      </c>
      <c r="AM148">
        <v>26</v>
      </c>
      <c r="AN148" s="37">
        <f t="shared" si="191"/>
        <v>1.0285391353489687E-2</v>
      </c>
      <c r="AO148">
        <v>77</v>
      </c>
      <c r="AQ148" s="59">
        <v>714</v>
      </c>
      <c r="AR148" s="59">
        <f t="shared" si="192"/>
        <v>0.24604300190153408</v>
      </c>
      <c r="AS148">
        <v>1600</v>
      </c>
      <c r="AT148" s="37">
        <f t="shared" si="193"/>
        <v>0.59920418194585312</v>
      </c>
      <c r="AU148" t="s">
        <v>780</v>
      </c>
      <c r="AV148" t="s">
        <v>780</v>
      </c>
      <c r="AW148" t="s">
        <v>780</v>
      </c>
      <c r="AX148" t="s">
        <v>780</v>
      </c>
      <c r="AY148" t="s">
        <v>780</v>
      </c>
      <c r="AZ148" t="s">
        <v>780</v>
      </c>
      <c r="BA148" t="s">
        <v>780</v>
      </c>
      <c r="BB148" t="s">
        <v>780</v>
      </c>
      <c r="BC148" t="s">
        <v>780</v>
      </c>
      <c r="BD148" t="s">
        <v>780</v>
      </c>
      <c r="BE148" t="s">
        <v>780</v>
      </c>
      <c r="BF148" t="s">
        <v>780</v>
      </c>
      <c r="BG148" t="s">
        <v>780</v>
      </c>
      <c r="BH148" t="s">
        <v>780</v>
      </c>
      <c r="BI148" t="s">
        <v>780</v>
      </c>
      <c r="BJ148" t="s">
        <v>780</v>
      </c>
      <c r="BK148" t="s">
        <v>780</v>
      </c>
      <c r="BL148" t="s">
        <v>780</v>
      </c>
      <c r="BM148" t="s">
        <v>780</v>
      </c>
      <c r="BN148" t="s">
        <v>780</v>
      </c>
      <c r="BO148" s="58">
        <v>0.17</v>
      </c>
      <c r="BP148" s="58">
        <v>0.78</v>
      </c>
      <c r="BQ148" s="58">
        <v>0.67</v>
      </c>
      <c r="BR148" s="58">
        <v>7.0000000000000007E-2</v>
      </c>
      <c r="BS148" s="58">
        <v>0.05</v>
      </c>
      <c r="BT148" s="58">
        <v>1E-3</v>
      </c>
      <c r="BU148" s="58">
        <v>1E-3</v>
      </c>
      <c r="BV148" s="58">
        <v>2E-3</v>
      </c>
      <c r="BW148" s="31">
        <f t="shared" si="194"/>
        <v>6.36654443317469E-5</v>
      </c>
      <c r="BX148" s="31">
        <f t="shared" si="195"/>
        <v>2.8700965897890797E-4</v>
      </c>
      <c r="BY148" s="31">
        <f t="shared" si="196"/>
        <v>2.5199403410933142E-4</v>
      </c>
      <c r="BZ148" s="31">
        <f t="shared" si="197"/>
        <v>2.6109974732282519E-5</v>
      </c>
      <c r="CA148" s="31">
        <f t="shared" si="198"/>
        <v>1.8515401447567749E-5</v>
      </c>
      <c r="CB148" s="31">
        <f t="shared" si="199"/>
        <v>3.7030802895135499E-7</v>
      </c>
      <c r="CC148" s="31">
        <f t="shared" si="200"/>
        <v>3.6588380716934485E-7</v>
      </c>
      <c r="CD148" s="31">
        <f t="shared" si="201"/>
        <v>7.3176761433868969E-7</v>
      </c>
      <c r="CE148">
        <v>1E-3</v>
      </c>
      <c r="CF148">
        <v>1E-3</v>
      </c>
      <c r="CG148">
        <v>2E-3</v>
      </c>
      <c r="CH148">
        <v>1E-3</v>
      </c>
      <c r="CI148">
        <v>1E-3</v>
      </c>
      <c r="CK148">
        <v>2E-3</v>
      </c>
      <c r="CL148">
        <v>1E-3</v>
      </c>
      <c r="CM148">
        <v>1E-3</v>
      </c>
      <c r="CN148" s="58">
        <f t="shared" si="227"/>
        <v>1.744</v>
      </c>
      <c r="CO148" s="58">
        <f t="shared" si="202"/>
        <v>1.5740000000000001</v>
      </c>
      <c r="CP148" s="31">
        <f t="shared" si="203"/>
        <v>6.4876247305029598E-4</v>
      </c>
      <c r="CQ148" s="31">
        <f t="shared" si="204"/>
        <v>5.8509702871854905E-4</v>
      </c>
      <c r="CR148">
        <v>1.7</v>
      </c>
      <c r="CS148">
        <v>2700</v>
      </c>
      <c r="CT148">
        <v>110</v>
      </c>
      <c r="CU148" t="s">
        <v>69</v>
      </c>
      <c r="CV148" t="s">
        <v>69</v>
      </c>
      <c r="CW148">
        <v>2800</v>
      </c>
      <c r="CX148" s="2">
        <f t="shared" si="174"/>
        <v>715.7</v>
      </c>
      <c r="CZ148">
        <v>69</v>
      </c>
      <c r="DA148" t="s">
        <v>62</v>
      </c>
      <c r="DB148" t="s">
        <v>88</v>
      </c>
      <c r="DC148" t="s">
        <v>782</v>
      </c>
      <c r="DD148" s="37">
        <f t="shared" si="175"/>
        <v>76.383260462211112</v>
      </c>
      <c r="DE148" s="37">
        <f t="shared" si="228"/>
        <v>76.383260462211112</v>
      </c>
      <c r="DF148" s="37">
        <v>5.9</v>
      </c>
      <c r="DG148" s="37">
        <f t="shared" si="176"/>
        <v>0.10564010743061773</v>
      </c>
      <c r="DH148" s="37">
        <f t="shared" si="205"/>
        <v>0.10564010743061773</v>
      </c>
      <c r="DI148" s="37">
        <f t="shared" si="177"/>
        <v>82.283260462211118</v>
      </c>
      <c r="DJ148" s="37">
        <f t="shared" si="206"/>
        <v>1.4732902499948275</v>
      </c>
      <c r="DK148" s="37">
        <f t="shared" si="207"/>
        <v>1.4732902499948275</v>
      </c>
      <c r="DL148" s="55">
        <f t="shared" si="208"/>
        <v>16.50901519883406</v>
      </c>
      <c r="DM148" s="55">
        <f t="shared" si="208"/>
        <v>16.50901519883406</v>
      </c>
      <c r="DN148" s="37">
        <f t="shared" si="209"/>
        <v>22.409015198834062</v>
      </c>
      <c r="DO148" s="55">
        <f t="shared" si="210"/>
        <v>0.40123572424053827</v>
      </c>
      <c r="DP148" s="55">
        <f t="shared" si="211"/>
        <v>0.40123572424053827</v>
      </c>
      <c r="DQ148" s="37">
        <v>1.8</v>
      </c>
      <c r="DR148" s="37">
        <f t="shared" si="212"/>
        <v>3.2768978700163848E-2</v>
      </c>
      <c r="DS148" s="37">
        <f t="shared" si="213"/>
        <v>6.5537957400327695E-2</v>
      </c>
      <c r="DT148" s="37">
        <f t="shared" si="178"/>
        <v>44.959907462342152</v>
      </c>
      <c r="DU148" s="37">
        <f t="shared" si="179"/>
        <v>22.479953731171076</v>
      </c>
      <c r="DV148" s="37">
        <f t="shared" si="180"/>
        <v>84.083260462211115</v>
      </c>
      <c r="DW148" s="37">
        <f t="shared" si="181"/>
        <v>1.5388282073951551</v>
      </c>
      <c r="DX148">
        <v>27</v>
      </c>
      <c r="DY148" t="s">
        <v>631</v>
      </c>
      <c r="DZ148" s="29">
        <f t="shared" si="167"/>
        <v>1</v>
      </c>
      <c r="EA148" s="30">
        <v>1.7000000000000001E-2</v>
      </c>
      <c r="EB148" s="30">
        <f t="shared" si="214"/>
        <v>2.741935483870968E-4</v>
      </c>
      <c r="EC148" s="30">
        <f t="shared" si="215"/>
        <v>1.370967741935484E-3</v>
      </c>
      <c r="ED148" s="31">
        <f t="shared" si="229"/>
        <v>131.4</v>
      </c>
      <c r="EE148" s="33">
        <f t="shared" si="230"/>
        <v>93.857142857142861</v>
      </c>
      <c r="EF148" s="37">
        <f t="shared" si="182"/>
        <v>10.943160524672081</v>
      </c>
      <c r="EG148" s="37">
        <f>$EK146-EK148</f>
        <v>28.4</v>
      </c>
      <c r="EH148" s="33">
        <f>(EG148/$EK146)*100</f>
        <v>76.756756756756744</v>
      </c>
      <c r="EI148" s="37">
        <f t="shared" si="231"/>
        <v>2.3651884239017278</v>
      </c>
      <c r="EJ148" s="37">
        <f>($EG148/96.06)*8</f>
        <v>2.3651884239017278</v>
      </c>
      <c r="EK148" s="31">
        <v>8.6</v>
      </c>
      <c r="EL148" s="31">
        <f t="shared" si="216"/>
        <v>8.9527378721632314E-2</v>
      </c>
      <c r="EM148" s="31">
        <f t="shared" si="217"/>
        <v>0.71621902977305851</v>
      </c>
      <c r="EN148" s="32">
        <f t="shared" si="183"/>
        <v>0.71758999751499397</v>
      </c>
      <c r="EO148" s="39">
        <f t="shared" si="218"/>
        <v>12.481988732067236</v>
      </c>
      <c r="EP148" s="37">
        <f t="shared" si="184"/>
        <v>5.2506021922576647E-3</v>
      </c>
      <c r="EQ148" s="37">
        <f t="shared" si="185"/>
        <v>0.1180332943427377</v>
      </c>
      <c r="ER148" s="37">
        <f t="shared" si="186"/>
        <v>0.87671610346500461</v>
      </c>
      <c r="ES148" s="39">
        <f t="shared" si="219"/>
        <v>2.8319621055425936</v>
      </c>
      <c r="ET148" s="55">
        <f t="shared" si="220"/>
        <v>14.168117696746615</v>
      </c>
      <c r="EU148" s="55">
        <f t="shared" si="221"/>
        <v>2.3142243772280584</v>
      </c>
      <c r="EV148" s="55">
        <f t="shared" si="222"/>
        <v>83.517657926025336</v>
      </c>
      <c r="EW148" t="s">
        <v>664</v>
      </c>
      <c r="EX148" t="s">
        <v>665</v>
      </c>
      <c r="EY148">
        <v>-75</v>
      </c>
      <c r="EZ148" t="s">
        <v>673</v>
      </c>
      <c r="FA148">
        <v>910</v>
      </c>
      <c r="FB148" t="s">
        <v>113</v>
      </c>
      <c r="FC148" t="s">
        <v>88</v>
      </c>
      <c r="FD148" s="39">
        <f t="shared" si="223"/>
        <v>-11.636741548219849</v>
      </c>
      <c r="FE148" s="39">
        <f t="shared" si="224"/>
        <v>-11.63615645119113</v>
      </c>
      <c r="FF148" s="39">
        <f t="shared" si="225"/>
        <v>-1.9867149216952065</v>
      </c>
      <c r="FG148" s="39">
        <f t="shared" si="226"/>
        <v>-1.986129824666488</v>
      </c>
    </row>
    <row r="149" spans="1:163" ht="15.75" x14ac:dyDescent="0.25">
      <c r="A149" s="7" t="s">
        <v>407</v>
      </c>
      <c r="B149" s="7" t="s">
        <v>407</v>
      </c>
      <c r="C149" s="3" t="s">
        <v>938</v>
      </c>
      <c r="D149" s="3" t="s">
        <v>938</v>
      </c>
      <c r="E149" s="3" t="s">
        <v>1357</v>
      </c>
      <c r="F149" s="3" t="s">
        <v>1027</v>
      </c>
      <c r="G149" s="3" t="s">
        <v>772</v>
      </c>
      <c r="H149" s="3" t="str">
        <f t="shared" si="171"/>
        <v>CW_1_Section_2</v>
      </c>
      <c r="I149" s="3" t="str">
        <f t="shared" si="172"/>
        <v>CW_1_MF06</v>
      </c>
      <c r="J149" s="3" t="s">
        <v>1497</v>
      </c>
      <c r="K149" s="3" t="s">
        <v>1484</v>
      </c>
      <c r="L149" s="11" t="s">
        <v>1031</v>
      </c>
      <c r="M149" s="3" t="s">
        <v>1024</v>
      </c>
      <c r="N149" s="3" t="s">
        <v>1024</v>
      </c>
      <c r="O149" s="12" t="s">
        <v>1016</v>
      </c>
      <c r="P149" s="3" t="s">
        <v>1358</v>
      </c>
      <c r="Q149" s="3" t="s">
        <v>1018</v>
      </c>
      <c r="R149" s="3" t="s">
        <v>1343</v>
      </c>
      <c r="S149" s="3" t="str">
        <f t="shared" si="173"/>
        <v>T6_0.60-0.80</v>
      </c>
      <c r="T149" s="13" t="s">
        <v>1344</v>
      </c>
      <c r="U149" s="3" t="s">
        <v>1053</v>
      </c>
      <c r="V149" s="3">
        <v>150</v>
      </c>
      <c r="W149" s="3">
        <v>65</v>
      </c>
      <c r="X149" s="3">
        <v>3.9</v>
      </c>
      <c r="Y149" s="3">
        <v>148</v>
      </c>
      <c r="Z149" t="s">
        <v>674</v>
      </c>
      <c r="AA149" t="s">
        <v>115</v>
      </c>
      <c r="AB149" s="1">
        <v>45882</v>
      </c>
      <c r="AC149">
        <v>10</v>
      </c>
      <c r="AD149">
        <v>11</v>
      </c>
      <c r="AE149">
        <v>180</v>
      </c>
      <c r="AF149" s="37">
        <f t="shared" si="187"/>
        <v>6.9133273588528998E-2</v>
      </c>
      <c r="AG149">
        <v>3</v>
      </c>
      <c r="AH149" s="37">
        <f t="shared" si="188"/>
        <v>1.172129368352507E-3</v>
      </c>
      <c r="AI149">
        <v>290</v>
      </c>
      <c r="AJ149" s="37">
        <f t="shared" si="189"/>
        <v>0.11472167278892344</v>
      </c>
      <c r="AK149">
        <v>31</v>
      </c>
      <c r="AL149" s="37">
        <f t="shared" si="190"/>
        <v>1.2263351229160779E-2</v>
      </c>
      <c r="AM149">
        <v>7.7</v>
      </c>
      <c r="AN149" s="37">
        <f t="shared" si="191"/>
        <v>3.0460582085334842E-3</v>
      </c>
      <c r="AO149">
        <v>38.700000000000003</v>
      </c>
      <c r="AQ149" s="59">
        <v>511.7</v>
      </c>
      <c r="AR149" s="59">
        <f t="shared" si="192"/>
        <v>0.18502707574580496</v>
      </c>
      <c r="AS149">
        <v>220</v>
      </c>
      <c r="AT149" s="37">
        <f t="shared" si="193"/>
        <v>8.2390575017554812E-2</v>
      </c>
      <c r="AU149" t="s">
        <v>780</v>
      </c>
      <c r="AV149" t="s">
        <v>780</v>
      </c>
      <c r="AW149" t="s">
        <v>780</v>
      </c>
      <c r="AX149" t="s">
        <v>780</v>
      </c>
      <c r="AY149" t="s">
        <v>780</v>
      </c>
      <c r="AZ149" t="s">
        <v>780</v>
      </c>
      <c r="BA149" t="s">
        <v>780</v>
      </c>
      <c r="BB149" t="s">
        <v>780</v>
      </c>
      <c r="BC149" t="s">
        <v>780</v>
      </c>
      <c r="BD149" t="s">
        <v>780</v>
      </c>
      <c r="BE149" t="s">
        <v>780</v>
      </c>
      <c r="BF149" t="s">
        <v>780</v>
      </c>
      <c r="BG149" t="s">
        <v>780</v>
      </c>
      <c r="BH149" t="s">
        <v>780</v>
      </c>
      <c r="BI149" t="s">
        <v>780</v>
      </c>
      <c r="BJ149" t="s">
        <v>780</v>
      </c>
      <c r="BK149" t="s">
        <v>780</v>
      </c>
      <c r="BL149" t="s">
        <v>780</v>
      </c>
      <c r="BM149" t="s">
        <v>780</v>
      </c>
      <c r="BN149" t="s">
        <v>780</v>
      </c>
      <c r="BO149" s="58">
        <v>400</v>
      </c>
      <c r="BP149" s="58">
        <v>3.7</v>
      </c>
      <c r="BQ149" s="58">
        <v>470</v>
      </c>
      <c r="BR149" s="58">
        <v>88</v>
      </c>
      <c r="BS149" s="58">
        <v>38</v>
      </c>
      <c r="BT149" s="58">
        <v>1.9</v>
      </c>
      <c r="BU149" s="58">
        <v>0.08</v>
      </c>
      <c r="BV149" s="58">
        <v>0.05</v>
      </c>
      <c r="BW149" s="31">
        <f t="shared" si="194"/>
        <v>0.14980104548646328</v>
      </c>
      <c r="BX149" s="31">
        <f t="shared" si="195"/>
        <v>1.3614560746435377E-3</v>
      </c>
      <c r="BY149" s="31">
        <f t="shared" si="196"/>
        <v>0.17677193437520264</v>
      </c>
      <c r="BZ149" s="31">
        <f t="shared" si="197"/>
        <v>3.2823968234869452E-2</v>
      </c>
      <c r="CA149" s="31">
        <f t="shared" si="198"/>
        <v>1.407170510015149E-2</v>
      </c>
      <c r="CB149" s="31">
        <f t="shared" si="199"/>
        <v>7.0358525500757447E-4</v>
      </c>
      <c r="CC149" s="31">
        <f t="shared" si="200"/>
        <v>2.9270704573547589E-5</v>
      </c>
      <c r="CD149" s="31">
        <f t="shared" si="201"/>
        <v>1.8294190358467248E-5</v>
      </c>
      <c r="CE149">
        <v>1E-3</v>
      </c>
      <c r="CF149">
        <v>1E-3</v>
      </c>
      <c r="CG149">
        <v>2E-3</v>
      </c>
      <c r="CH149">
        <v>1E-3</v>
      </c>
      <c r="CI149">
        <v>1E-3</v>
      </c>
      <c r="CK149">
        <v>2E-3</v>
      </c>
      <c r="CL149">
        <v>1E-3</v>
      </c>
      <c r="CM149">
        <v>1E-3</v>
      </c>
      <c r="CN149" s="58">
        <f t="shared" si="227"/>
        <v>1001.73</v>
      </c>
      <c r="CO149" s="58">
        <f t="shared" si="202"/>
        <v>601.73</v>
      </c>
      <c r="CP149" s="31">
        <f t="shared" si="203"/>
        <v>0.37558125942126996</v>
      </c>
      <c r="CQ149" s="31">
        <f t="shared" si="204"/>
        <v>0.22578021393480668</v>
      </c>
      <c r="CR149">
        <v>1000</v>
      </c>
      <c r="CS149">
        <v>800</v>
      </c>
      <c r="CT149">
        <v>1000</v>
      </c>
      <c r="CU149">
        <v>25</v>
      </c>
      <c r="CV149">
        <v>30</v>
      </c>
      <c r="CW149">
        <v>1900</v>
      </c>
      <c r="CX149" s="2">
        <f t="shared" si="174"/>
        <v>1511.7</v>
      </c>
      <c r="CZ149">
        <v>66</v>
      </c>
      <c r="DA149" t="s">
        <v>62</v>
      </c>
      <c r="DB149" t="s">
        <v>88</v>
      </c>
      <c r="DC149" t="s">
        <v>782</v>
      </c>
      <c r="DD149" s="37">
        <f t="shared" si="175"/>
        <v>36.040807828440556</v>
      </c>
      <c r="DE149" s="37">
        <f t="shared" si="228"/>
        <v>36.040807828440556</v>
      </c>
      <c r="DF149" s="37">
        <v>0.4</v>
      </c>
      <c r="DG149" s="37">
        <f t="shared" si="176"/>
        <v>7.162041181736795E-3</v>
      </c>
      <c r="DH149" s="37">
        <f t="shared" si="205"/>
        <v>7.162041181736795E-3</v>
      </c>
      <c r="DI149" s="37">
        <f t="shared" si="177"/>
        <v>36.440807828440555</v>
      </c>
      <c r="DJ149" s="37">
        <f t="shared" si="206"/>
        <v>0.65247641590761962</v>
      </c>
      <c r="DK149" s="37">
        <f t="shared" si="207"/>
        <v>0.65247641590761962</v>
      </c>
      <c r="DL149" s="55">
        <f t="shared" si="208"/>
        <v>30.227774307724339</v>
      </c>
      <c r="DM149" s="55">
        <f t="shared" si="208"/>
        <v>30.227774307724339</v>
      </c>
      <c r="DN149" s="37">
        <f t="shared" si="209"/>
        <v>30.627774307724337</v>
      </c>
      <c r="DO149" s="55">
        <f t="shared" si="210"/>
        <v>0.54839345224215463</v>
      </c>
      <c r="DP149" s="55">
        <f t="shared" si="211"/>
        <v>0.54839345224215463</v>
      </c>
      <c r="DQ149" s="37">
        <v>1</v>
      </c>
      <c r="DR149" s="37">
        <f t="shared" si="212"/>
        <v>1.8204988166757693E-2</v>
      </c>
      <c r="DS149" s="37">
        <f t="shared" si="213"/>
        <v>3.6409976333515386E-2</v>
      </c>
      <c r="DT149" s="37">
        <f t="shared" si="178"/>
        <v>35.840529525805543</v>
      </c>
      <c r="DU149" s="37">
        <f t="shared" si="179"/>
        <v>17.920264762902772</v>
      </c>
      <c r="DV149" s="37">
        <f t="shared" si="180"/>
        <v>37.440807828440555</v>
      </c>
      <c r="DW149" s="37">
        <f t="shared" si="181"/>
        <v>0.68888639224113501</v>
      </c>
      <c r="DX149">
        <v>24</v>
      </c>
      <c r="DY149" t="s">
        <v>141</v>
      </c>
      <c r="DZ149" s="29">
        <f t="shared" si="167"/>
        <v>1</v>
      </c>
      <c r="EA149" s="30">
        <v>1.7000000000000001E-2</v>
      </c>
      <c r="EB149" s="30">
        <f t="shared" si="214"/>
        <v>2.741935483870968E-4</v>
      </c>
      <c r="EC149" s="30">
        <f t="shared" si="215"/>
        <v>1.370967741935484E-3</v>
      </c>
      <c r="ED149" s="31">
        <f t="shared" si="229"/>
        <v>62</v>
      </c>
      <c r="EE149" s="33">
        <f t="shared" si="230"/>
        <v>44.285714285714285</v>
      </c>
      <c r="EF149" s="37">
        <f t="shared" si="182"/>
        <v>5.1634395169685616</v>
      </c>
      <c r="EG149" s="37">
        <f>$EK147-EK149</f>
        <v>52</v>
      </c>
      <c r="EH149" s="33">
        <f>(EG149/$EK147)*100</f>
        <v>40</v>
      </c>
      <c r="EI149" s="37">
        <f t="shared" si="231"/>
        <v>4.3306266916510516</v>
      </c>
      <c r="EJ149" s="37">
        <f>($EG149/96.06)*8</f>
        <v>4.3306266916510516</v>
      </c>
      <c r="EK149" s="31">
        <v>78</v>
      </c>
      <c r="EL149" s="31">
        <f t="shared" si="216"/>
        <v>0.81199250468457207</v>
      </c>
      <c r="EM149" s="31">
        <f t="shared" si="217"/>
        <v>6.4959400374765766</v>
      </c>
      <c r="EN149" s="32">
        <f t="shared" si="183"/>
        <v>6.4973110052185117</v>
      </c>
      <c r="EO149" s="39">
        <f t="shared" si="218"/>
        <v>5.8523259092096964</v>
      </c>
      <c r="EP149" s="37">
        <f t="shared" si="184"/>
        <v>6.2214539822906447E-3</v>
      </c>
      <c r="EQ149" s="37">
        <f t="shared" si="185"/>
        <v>0.11149010257286417</v>
      </c>
      <c r="ER149" s="37">
        <f t="shared" si="186"/>
        <v>0.88228844344484525</v>
      </c>
      <c r="ES149" s="39">
        <f t="shared" si="219"/>
        <v>4.9154301202267217</v>
      </c>
      <c r="ET149" s="55">
        <f t="shared" si="220"/>
        <v>11.156571018791338</v>
      </c>
      <c r="EU149" s="55">
        <f t="shared" si="221"/>
        <v>0.74072818538687712</v>
      </c>
      <c r="EV149" s="55">
        <f t="shared" si="222"/>
        <v>88.102700795821789</v>
      </c>
      <c r="EW149" t="s">
        <v>162</v>
      </c>
      <c r="EX149" t="s">
        <v>641</v>
      </c>
      <c r="EY149">
        <v>-306</v>
      </c>
      <c r="EZ149" t="s">
        <v>673</v>
      </c>
      <c r="FA149">
        <v>944</v>
      </c>
      <c r="FB149" t="s">
        <v>113</v>
      </c>
      <c r="FC149" t="s">
        <v>88</v>
      </c>
      <c r="FD149" s="39">
        <f t="shared" si="223"/>
        <v>-5.5849082584463368</v>
      </c>
      <c r="FE149" s="39">
        <f t="shared" si="224"/>
        <v>-5.3591280445115297</v>
      </c>
      <c r="FF149" s="39">
        <f t="shared" si="225"/>
        <v>-4.648012469463362</v>
      </c>
      <c r="FG149" s="39">
        <f t="shared" si="226"/>
        <v>-4.4222322555285549</v>
      </c>
    </row>
    <row r="150" spans="1:163" ht="15.75" x14ac:dyDescent="0.25">
      <c r="A150" s="7" t="s">
        <v>408</v>
      </c>
      <c r="B150" s="7" t="s">
        <v>408</v>
      </c>
      <c r="C150" s="3" t="s">
        <v>939</v>
      </c>
      <c r="D150" s="3" t="s">
        <v>939</v>
      </c>
      <c r="E150" s="3" t="s">
        <v>1359</v>
      </c>
      <c r="F150" s="3" t="s">
        <v>1034</v>
      </c>
      <c r="G150" s="3" t="s">
        <v>772</v>
      </c>
      <c r="H150" s="3" t="str">
        <f t="shared" si="171"/>
        <v>CW_1_Section_3</v>
      </c>
      <c r="I150" s="3" t="str">
        <f t="shared" si="172"/>
        <v>CW_1_MF09</v>
      </c>
      <c r="J150" s="3" t="s">
        <v>1492</v>
      </c>
      <c r="K150" s="3" t="s">
        <v>1484</v>
      </c>
      <c r="L150" s="11" t="s">
        <v>1035</v>
      </c>
      <c r="M150" s="3" t="s">
        <v>1015</v>
      </c>
      <c r="N150" s="3" t="s">
        <v>1015</v>
      </c>
      <c r="O150" s="12" t="s">
        <v>1016</v>
      </c>
      <c r="P150" s="3" t="s">
        <v>1360</v>
      </c>
      <c r="Q150" s="3" t="s">
        <v>1018</v>
      </c>
      <c r="R150" s="3" t="s">
        <v>1343</v>
      </c>
      <c r="S150" s="3" t="str">
        <f t="shared" si="173"/>
        <v>T6_0.15-0.30</v>
      </c>
      <c r="T150" s="13" t="s">
        <v>1344</v>
      </c>
      <c r="U150" s="3" t="s">
        <v>1053</v>
      </c>
      <c r="V150" s="3">
        <v>150</v>
      </c>
      <c r="W150" s="3">
        <v>65</v>
      </c>
      <c r="X150" s="3">
        <v>19.25</v>
      </c>
      <c r="Y150" s="3">
        <v>149</v>
      </c>
      <c r="Z150" t="s">
        <v>675</v>
      </c>
      <c r="AA150" t="s">
        <v>74</v>
      </c>
      <c r="AB150" s="1">
        <v>45882</v>
      </c>
      <c r="AC150">
        <v>21</v>
      </c>
      <c r="AD150">
        <v>21</v>
      </c>
      <c r="AE150">
        <v>300</v>
      </c>
      <c r="AF150" s="37">
        <f t="shared" si="187"/>
        <v>0.11522212264754833</v>
      </c>
      <c r="AG150">
        <v>1.1000000000000001</v>
      </c>
      <c r="AH150" s="37">
        <f t="shared" si="188"/>
        <v>4.2978076839591932E-4</v>
      </c>
      <c r="AI150">
        <v>140</v>
      </c>
      <c r="AJ150" s="37">
        <f t="shared" si="189"/>
        <v>5.5382876518790619E-2</v>
      </c>
      <c r="AK150">
        <v>50</v>
      </c>
      <c r="AL150" s="37">
        <f t="shared" si="190"/>
        <v>1.9779598756710936E-2</v>
      </c>
      <c r="AM150">
        <v>30</v>
      </c>
      <c r="AN150" s="37">
        <f t="shared" si="191"/>
        <v>1.1867759254026562E-2</v>
      </c>
      <c r="AO150">
        <v>80</v>
      </c>
      <c r="AQ150" s="59">
        <v>521.1</v>
      </c>
      <c r="AR150" s="59">
        <f t="shared" si="192"/>
        <v>0.17103477993473487</v>
      </c>
      <c r="AS150">
        <v>1100</v>
      </c>
      <c r="AT150" s="37">
        <f t="shared" si="193"/>
        <v>0.41195287508777401</v>
      </c>
      <c r="AU150" t="s">
        <v>780</v>
      </c>
      <c r="AV150" t="s">
        <v>780</v>
      </c>
      <c r="AW150" t="s">
        <v>780</v>
      </c>
      <c r="AX150" t="s">
        <v>780</v>
      </c>
      <c r="AY150" t="s">
        <v>780</v>
      </c>
      <c r="AZ150" t="s">
        <v>780</v>
      </c>
      <c r="BA150" t="s">
        <v>780</v>
      </c>
      <c r="BB150" t="s">
        <v>780</v>
      </c>
      <c r="BC150" t="s">
        <v>780</v>
      </c>
      <c r="BD150" t="s">
        <v>780</v>
      </c>
      <c r="BE150" t="s">
        <v>780</v>
      </c>
      <c r="BF150" t="s">
        <v>780</v>
      </c>
      <c r="BG150" t="s">
        <v>780</v>
      </c>
      <c r="BH150" t="s">
        <v>780</v>
      </c>
      <c r="BI150" t="s">
        <v>780</v>
      </c>
      <c r="BJ150" t="s">
        <v>780</v>
      </c>
      <c r="BK150" t="s">
        <v>780</v>
      </c>
      <c r="BL150" t="s">
        <v>780</v>
      </c>
      <c r="BM150" t="s">
        <v>780</v>
      </c>
      <c r="BN150" t="s">
        <v>780</v>
      </c>
      <c r="BO150" s="58">
        <v>540</v>
      </c>
      <c r="BP150" s="58">
        <v>1.3</v>
      </c>
      <c r="BQ150" s="58">
        <v>0.44</v>
      </c>
      <c r="BR150" s="58">
        <v>7.0000000000000007E-2</v>
      </c>
      <c r="BS150" s="58">
        <v>0.06</v>
      </c>
      <c r="BT150" s="58">
        <v>0.01</v>
      </c>
      <c r="BU150" s="58">
        <v>0.01</v>
      </c>
      <c r="BV150" s="58">
        <v>2E-3</v>
      </c>
      <c r="BW150" s="31">
        <f t="shared" si="194"/>
        <v>0.20223141140672546</v>
      </c>
      <c r="BX150" s="31">
        <f t="shared" si="195"/>
        <v>4.7834943163151328E-4</v>
      </c>
      <c r="BY150" s="31">
        <f t="shared" si="196"/>
        <v>1.6548861941508334E-4</v>
      </c>
      <c r="BZ150" s="31">
        <f t="shared" si="197"/>
        <v>2.6109974732282519E-5</v>
      </c>
      <c r="CA150" s="31">
        <f t="shared" si="198"/>
        <v>2.22184817370813E-5</v>
      </c>
      <c r="CB150" s="31">
        <f t="shared" si="199"/>
        <v>3.7030802895135499E-6</v>
      </c>
      <c r="CC150" s="31">
        <f t="shared" si="200"/>
        <v>3.6588380716934487E-6</v>
      </c>
      <c r="CD150" s="31">
        <f t="shared" si="201"/>
        <v>7.3176761433868969E-7</v>
      </c>
      <c r="CE150">
        <v>1E-3</v>
      </c>
      <c r="CF150">
        <v>1E-3</v>
      </c>
      <c r="CG150">
        <v>2E-3</v>
      </c>
      <c r="CH150">
        <v>1E-3</v>
      </c>
      <c r="CI150">
        <v>1E-3</v>
      </c>
      <c r="CK150">
        <v>2E-3</v>
      </c>
      <c r="CL150">
        <v>1E-3</v>
      </c>
      <c r="CM150">
        <v>1E-3</v>
      </c>
      <c r="CN150" s="58">
        <f t="shared" si="227"/>
        <v>541.89199999999994</v>
      </c>
      <c r="CO150" s="58">
        <f t="shared" si="202"/>
        <v>1.8920000000000001</v>
      </c>
      <c r="CP150" s="31">
        <f t="shared" si="203"/>
        <v>0.202931671600217</v>
      </c>
      <c r="CQ150" s="31">
        <f t="shared" si="204"/>
        <v>7.0026019349150599E-4</v>
      </c>
      <c r="CR150">
        <v>540</v>
      </c>
      <c r="CS150">
        <v>1800</v>
      </c>
      <c r="CT150">
        <v>90</v>
      </c>
      <c r="CU150" t="s">
        <v>69</v>
      </c>
      <c r="CV150" t="s">
        <v>69</v>
      </c>
      <c r="CW150">
        <v>1800</v>
      </c>
      <c r="CX150" s="2">
        <f t="shared" si="174"/>
        <v>1061.0999999999999</v>
      </c>
      <c r="CZ150">
        <v>87</v>
      </c>
      <c r="DA150" t="s">
        <v>62</v>
      </c>
      <c r="DB150" t="s">
        <v>88</v>
      </c>
      <c r="DC150" t="s">
        <v>782</v>
      </c>
      <c r="DD150" s="37">
        <f t="shared" si="175"/>
        <v>81.091817613991253</v>
      </c>
      <c r="DE150" s="37">
        <f t="shared" si="228"/>
        <v>81.091817613991253</v>
      </c>
      <c r="DF150" s="37">
        <v>23</v>
      </c>
      <c r="DG150" s="37">
        <f t="shared" si="176"/>
        <v>0.41181736794986568</v>
      </c>
      <c r="DH150" s="37">
        <f t="shared" si="205"/>
        <v>0.41181736794986568</v>
      </c>
      <c r="DI150" s="37">
        <f t="shared" si="177"/>
        <v>104.09181761399125</v>
      </c>
      <c r="DJ150" s="37">
        <f t="shared" si="206"/>
        <v>1.863774711083102</v>
      </c>
      <c r="DK150" s="37">
        <f t="shared" si="207"/>
        <v>1.863774711083102</v>
      </c>
      <c r="DL150" s="55">
        <f t="shared" si="208"/>
        <v>4.7085571517801368</v>
      </c>
      <c r="DM150" s="55">
        <f t="shared" si="208"/>
        <v>4.7085571517801368</v>
      </c>
      <c r="DN150" s="37">
        <f t="shared" si="209"/>
        <v>27.708557151780138</v>
      </c>
      <c r="DO150" s="55">
        <f t="shared" si="210"/>
        <v>0.49612456851889236</v>
      </c>
      <c r="DP150" s="55">
        <f t="shared" si="211"/>
        <v>0.49612456851889236</v>
      </c>
      <c r="DQ150" s="37">
        <v>3.1</v>
      </c>
      <c r="DR150" s="37">
        <f t="shared" si="212"/>
        <v>5.6435463316948847E-2</v>
      </c>
      <c r="DS150" s="37">
        <f t="shared" si="213"/>
        <v>0.11287092663389769</v>
      </c>
      <c r="DT150" s="37">
        <f t="shared" si="178"/>
        <v>33.024885445095094</v>
      </c>
      <c r="DU150" s="37">
        <f t="shared" si="179"/>
        <v>16.512442722547547</v>
      </c>
      <c r="DV150" s="37">
        <f t="shared" si="180"/>
        <v>107.19181761399125</v>
      </c>
      <c r="DW150" s="37">
        <f t="shared" si="181"/>
        <v>1.9766456377169996</v>
      </c>
      <c r="DX150">
        <v>45</v>
      </c>
      <c r="DY150" t="s">
        <v>499</v>
      </c>
      <c r="DZ150" s="29">
        <f t="shared" si="167"/>
        <v>1</v>
      </c>
      <c r="EA150" s="30">
        <v>1.7000000000000001E-2</v>
      </c>
      <c r="EB150" s="30">
        <f t="shared" si="214"/>
        <v>2.741935483870968E-4</v>
      </c>
      <c r="EC150" s="30">
        <f t="shared" si="215"/>
        <v>1.370967741935484E-3</v>
      </c>
      <c r="ED150" s="31">
        <f t="shared" si="229"/>
        <v>139.5</v>
      </c>
      <c r="EE150" s="33">
        <f t="shared" si="230"/>
        <v>99.642857142857139</v>
      </c>
      <c r="EF150" s="37">
        <f t="shared" si="182"/>
        <v>11.617738913179263</v>
      </c>
      <c r="EG150" s="37">
        <f>$EK148-EK150</f>
        <v>8.1</v>
      </c>
      <c r="EH150" s="33">
        <f>(EG150/$EK148)*100</f>
        <v>94.186046511627907</v>
      </c>
      <c r="EI150" s="37">
        <f t="shared" si="231"/>
        <v>0.67457838850718299</v>
      </c>
      <c r="EJ150" s="37">
        <f>($EG150/96.06)*8</f>
        <v>0.67457838850718299</v>
      </c>
      <c r="EK150" s="31">
        <v>0.5</v>
      </c>
      <c r="EL150" s="31">
        <f t="shared" si="216"/>
        <v>5.2050801582344368E-3</v>
      </c>
      <c r="EM150" s="31">
        <f t="shared" si="217"/>
        <v>4.1640641265875494E-2</v>
      </c>
      <c r="EN150" s="32">
        <f t="shared" si="183"/>
        <v>4.301160900781098E-2</v>
      </c>
      <c r="EO150" s="39">
        <f t="shared" si="218"/>
        <v>13.594384550896262</v>
      </c>
      <c r="EP150" s="37">
        <f t="shared" si="184"/>
        <v>8.3027610563257345E-3</v>
      </c>
      <c r="EQ150" s="37">
        <f t="shared" si="185"/>
        <v>0.13709886638157706</v>
      </c>
      <c r="ER150" s="37">
        <f t="shared" si="186"/>
        <v>0.85459837256209725</v>
      </c>
      <c r="ES150" s="39">
        <f t="shared" si="219"/>
        <v>1.283573883659973</v>
      </c>
      <c r="ET150" s="55">
        <f t="shared" si="220"/>
        <v>38.651812321410475</v>
      </c>
      <c r="EU150" s="55">
        <f t="shared" si="221"/>
        <v>8.7934888728071012</v>
      </c>
      <c r="EV150" s="55">
        <f t="shared" si="222"/>
        <v>52.554698805782429</v>
      </c>
      <c r="EW150" t="s">
        <v>63</v>
      </c>
      <c r="EX150" t="s">
        <v>110</v>
      </c>
      <c r="EY150">
        <v>-155</v>
      </c>
      <c r="EZ150" t="s">
        <v>259</v>
      </c>
      <c r="FA150">
        <v>1314</v>
      </c>
      <c r="FB150" t="s">
        <v>113</v>
      </c>
      <c r="FC150" t="s">
        <v>88</v>
      </c>
      <c r="FD150" s="39">
        <f t="shared" si="223"/>
        <v>-13.011396895873753</v>
      </c>
      <c r="FE150" s="39">
        <f t="shared" si="224"/>
        <v>-13.010696635680262</v>
      </c>
      <c r="FF150" s="39">
        <f t="shared" si="225"/>
        <v>-0.70058622863746423</v>
      </c>
      <c r="FG150" s="39">
        <f t="shared" si="226"/>
        <v>-0.69988596844397277</v>
      </c>
    </row>
    <row r="151" spans="1:163" ht="15.75" x14ac:dyDescent="0.25">
      <c r="A151" s="7" t="s">
        <v>409</v>
      </c>
      <c r="B151" s="7" t="s">
        <v>409</v>
      </c>
      <c r="C151" s="3" t="s">
        <v>940</v>
      </c>
      <c r="D151" s="3" t="s">
        <v>940</v>
      </c>
      <c r="E151" s="3" t="s">
        <v>1361</v>
      </c>
      <c r="F151" s="3" t="s">
        <v>1034</v>
      </c>
      <c r="G151" s="3" t="s">
        <v>772</v>
      </c>
      <c r="H151" s="3" t="str">
        <f t="shared" si="171"/>
        <v>CW_1_Section_3</v>
      </c>
      <c r="I151" s="3" t="str">
        <f t="shared" si="172"/>
        <v>CW_1_MF10</v>
      </c>
      <c r="J151" s="3" t="s">
        <v>1493</v>
      </c>
      <c r="K151" s="3" t="s">
        <v>1484</v>
      </c>
      <c r="L151" s="11" t="s">
        <v>1038</v>
      </c>
      <c r="M151" s="3" t="s">
        <v>1024</v>
      </c>
      <c r="N151" s="3" t="s">
        <v>1024</v>
      </c>
      <c r="O151" s="12" t="s">
        <v>1016</v>
      </c>
      <c r="P151" s="3" t="s">
        <v>1362</v>
      </c>
      <c r="Q151" s="3" t="s">
        <v>1018</v>
      </c>
      <c r="R151" s="3" t="s">
        <v>1343</v>
      </c>
      <c r="S151" s="3" t="str">
        <f t="shared" si="173"/>
        <v>T6_0.60-0.80</v>
      </c>
      <c r="T151" s="13" t="s">
        <v>1344</v>
      </c>
      <c r="U151" s="3" t="s">
        <v>1053</v>
      </c>
      <c r="V151" s="3">
        <v>150</v>
      </c>
      <c r="W151" s="3">
        <v>65</v>
      </c>
      <c r="X151" s="3">
        <v>8.8000000000000007</v>
      </c>
      <c r="Y151" s="3">
        <v>150</v>
      </c>
      <c r="Z151" t="s">
        <v>676</v>
      </c>
      <c r="AA151" t="s">
        <v>95</v>
      </c>
      <c r="AB151" s="1">
        <v>45882</v>
      </c>
      <c r="AC151">
        <v>10</v>
      </c>
      <c r="AD151">
        <v>11</v>
      </c>
      <c r="AE151">
        <v>160</v>
      </c>
      <c r="AF151" s="37">
        <f t="shared" si="187"/>
        <v>6.145179874535911E-2</v>
      </c>
      <c r="AG151">
        <v>1.7</v>
      </c>
      <c r="AH151" s="37">
        <f t="shared" si="188"/>
        <v>6.6420664206642062E-4</v>
      </c>
      <c r="AI151">
        <v>220</v>
      </c>
      <c r="AJ151" s="37">
        <f t="shared" si="189"/>
        <v>8.7030234529528114E-2</v>
      </c>
      <c r="AK151">
        <v>25</v>
      </c>
      <c r="AL151" s="37">
        <f t="shared" si="190"/>
        <v>9.8897993783554679E-3</v>
      </c>
      <c r="AM151">
        <v>8.6</v>
      </c>
      <c r="AN151" s="37">
        <f t="shared" si="191"/>
        <v>3.402090986154281E-3</v>
      </c>
      <c r="AO151">
        <v>33.6</v>
      </c>
      <c r="AQ151" s="59">
        <v>415.3</v>
      </c>
      <c r="AR151" s="59">
        <f t="shared" si="192"/>
        <v>0.14914623991695364</v>
      </c>
      <c r="AS151">
        <v>420</v>
      </c>
      <c r="AT151" s="37">
        <f t="shared" si="193"/>
        <v>0.15729109776078645</v>
      </c>
      <c r="AU151" t="s">
        <v>780</v>
      </c>
      <c r="AV151" t="s">
        <v>780</v>
      </c>
      <c r="AW151" t="s">
        <v>780</v>
      </c>
      <c r="AX151" t="s">
        <v>780</v>
      </c>
      <c r="AY151" t="s">
        <v>780</v>
      </c>
      <c r="AZ151" t="s">
        <v>780</v>
      </c>
      <c r="BA151" t="s">
        <v>780</v>
      </c>
      <c r="BB151" t="s">
        <v>780</v>
      </c>
      <c r="BC151" t="s">
        <v>780</v>
      </c>
      <c r="BD151" t="s">
        <v>780</v>
      </c>
      <c r="BE151" t="s">
        <v>780</v>
      </c>
      <c r="BF151" t="s">
        <v>780</v>
      </c>
      <c r="BG151" t="s">
        <v>780</v>
      </c>
      <c r="BH151" t="s">
        <v>780</v>
      </c>
      <c r="BI151" t="s">
        <v>780</v>
      </c>
      <c r="BJ151" t="s">
        <v>780</v>
      </c>
      <c r="BK151" t="s">
        <v>780</v>
      </c>
      <c r="BL151" t="s">
        <v>780</v>
      </c>
      <c r="BM151" t="s">
        <v>780</v>
      </c>
      <c r="BN151" t="s">
        <v>780</v>
      </c>
      <c r="BO151" s="58">
        <v>73</v>
      </c>
      <c r="BP151" s="58">
        <v>1</v>
      </c>
      <c r="BQ151" s="58">
        <v>82</v>
      </c>
      <c r="BR151" s="58">
        <v>12</v>
      </c>
      <c r="BS151" s="58">
        <v>3.1</v>
      </c>
      <c r="BT151" s="58">
        <v>0.1</v>
      </c>
      <c r="BU151" s="58">
        <v>0.1</v>
      </c>
      <c r="BV151" s="58">
        <v>0.2</v>
      </c>
      <c r="BW151" s="31">
        <f t="shared" si="194"/>
        <v>2.7338690801279548E-2</v>
      </c>
      <c r="BX151" s="31">
        <f t="shared" si="195"/>
        <v>3.6796110125501016E-4</v>
      </c>
      <c r="BY151" s="31">
        <f t="shared" si="196"/>
        <v>3.08410608909928E-2</v>
      </c>
      <c r="BZ151" s="31">
        <f t="shared" si="197"/>
        <v>4.4759956683912885E-3</v>
      </c>
      <c r="CA151" s="31">
        <f t="shared" si="198"/>
        <v>1.1479548897492004E-3</v>
      </c>
      <c r="CB151" s="31">
        <f t="shared" si="199"/>
        <v>3.7030802895135498E-5</v>
      </c>
      <c r="CC151" s="31">
        <f t="shared" si="200"/>
        <v>3.6588380716934496E-5</v>
      </c>
      <c r="CD151" s="31">
        <f t="shared" si="201"/>
        <v>7.3176761433868992E-5</v>
      </c>
      <c r="CE151">
        <v>0.1</v>
      </c>
      <c r="CF151">
        <v>0.1</v>
      </c>
      <c r="CG151">
        <v>0.2</v>
      </c>
      <c r="CH151">
        <v>0.1</v>
      </c>
      <c r="CI151">
        <v>0.1</v>
      </c>
      <c r="CK151">
        <v>0.2</v>
      </c>
      <c r="CL151">
        <v>0.1</v>
      </c>
      <c r="CM151">
        <v>0.1</v>
      </c>
      <c r="CN151" s="58">
        <f t="shared" si="227"/>
        <v>171.49999999999997</v>
      </c>
      <c r="CO151" s="58">
        <f t="shared" si="202"/>
        <v>98.499999999999986</v>
      </c>
      <c r="CP151" s="31">
        <f t="shared" si="203"/>
        <v>6.4318459296713773E-2</v>
      </c>
      <c r="CQ151" s="31">
        <f t="shared" si="204"/>
        <v>3.6979768495434232E-2</v>
      </c>
      <c r="CR151">
        <v>170</v>
      </c>
      <c r="CS151">
        <v>1000</v>
      </c>
      <c r="CT151">
        <v>1200</v>
      </c>
      <c r="CU151" t="s">
        <v>69</v>
      </c>
      <c r="CV151" t="s">
        <v>69</v>
      </c>
      <c r="CW151">
        <v>2300</v>
      </c>
      <c r="CX151" s="2">
        <f t="shared" si="174"/>
        <v>585.29999999999995</v>
      </c>
      <c r="CZ151">
        <v>66</v>
      </c>
      <c r="DA151" t="s">
        <v>62</v>
      </c>
      <c r="DB151" t="s">
        <v>88</v>
      </c>
      <c r="DC151" t="s">
        <v>782</v>
      </c>
      <c r="DD151" s="37">
        <f t="shared" si="175"/>
        <v>32.552987716010826</v>
      </c>
      <c r="DE151" s="37">
        <f t="shared" si="228"/>
        <v>32.552987716010826</v>
      </c>
      <c r="DF151" s="37">
        <v>0.4</v>
      </c>
      <c r="DG151" s="37">
        <f t="shared" si="176"/>
        <v>7.162041181736795E-3</v>
      </c>
      <c r="DH151" s="37">
        <f t="shared" si="205"/>
        <v>7.162041181736795E-3</v>
      </c>
      <c r="DI151" s="37">
        <f t="shared" si="177"/>
        <v>32.952987716010824</v>
      </c>
      <c r="DJ151" s="37">
        <f t="shared" si="206"/>
        <v>0.59002663770834063</v>
      </c>
      <c r="DK151" s="37">
        <f t="shared" si="207"/>
        <v>0.59002663770834063</v>
      </c>
      <c r="DL151" s="55">
        <f t="shared" si="208"/>
        <v>-3.4878201124297314</v>
      </c>
      <c r="DN151" s="37">
        <f t="shared" si="209"/>
        <v>0.4</v>
      </c>
      <c r="DO151" s="55">
        <f t="shared" si="210"/>
        <v>7.162041181736795E-3</v>
      </c>
      <c r="DP151" s="55">
        <f t="shared" si="211"/>
        <v>7.162041181736795E-3</v>
      </c>
      <c r="DQ151" s="37">
        <v>0.9</v>
      </c>
      <c r="DR151" s="37">
        <f t="shared" si="212"/>
        <v>1.6384489350081924E-2</v>
      </c>
      <c r="DS151" s="37">
        <f t="shared" si="213"/>
        <v>3.2768978700163848E-2</v>
      </c>
      <c r="DT151" s="37">
        <f t="shared" si="178"/>
        <v>36.011292454799054</v>
      </c>
      <c r="DU151" s="37">
        <f t="shared" si="179"/>
        <v>18.005646227399527</v>
      </c>
      <c r="DV151" s="37">
        <f t="shared" si="180"/>
        <v>33.852987716010823</v>
      </c>
      <c r="DW151" s="37">
        <f t="shared" si="181"/>
        <v>0.62279561640850445</v>
      </c>
      <c r="DX151">
        <v>25</v>
      </c>
      <c r="DY151" t="s">
        <v>224</v>
      </c>
      <c r="DZ151" s="29">
        <f t="shared" si="167"/>
        <v>1</v>
      </c>
      <c r="EA151" s="30">
        <v>1.7000000000000001E-2</v>
      </c>
      <c r="EB151" s="30">
        <f t="shared" si="214"/>
        <v>2.741935483870968E-4</v>
      </c>
      <c r="EC151" s="30">
        <f t="shared" si="215"/>
        <v>1.370967741935484E-3</v>
      </c>
      <c r="ED151" s="31">
        <f t="shared" si="229"/>
        <v>56</v>
      </c>
      <c r="EE151" s="33">
        <f t="shared" si="230"/>
        <v>40</v>
      </c>
      <c r="EF151" s="37">
        <f t="shared" si="182"/>
        <v>4.6637518217780549</v>
      </c>
      <c r="EG151" s="29">
        <f>$EK149-EK151</f>
        <v>-6</v>
      </c>
      <c r="EH151" s="33">
        <f>(EG151/$EK149)*100</f>
        <v>-7.6923076923076925</v>
      </c>
      <c r="EI151" s="37">
        <f t="shared" si="231"/>
        <v>-0.49968769519050593</v>
      </c>
      <c r="EJ151" s="37"/>
      <c r="EK151" s="31">
        <v>84</v>
      </c>
      <c r="EL151" s="31">
        <f t="shared" si="216"/>
        <v>0.87445346658338541</v>
      </c>
      <c r="EM151" s="31">
        <f t="shared" si="217"/>
        <v>6.9956277326670833</v>
      </c>
      <c r="EN151" s="32">
        <f t="shared" si="183"/>
        <v>6.9969987004090184</v>
      </c>
      <c r="EO151" s="39">
        <f t="shared" si="218"/>
        <v>5.2865474381865596</v>
      </c>
      <c r="EP151" s="37">
        <f t="shared" si="184"/>
        <v>6.1985594725703563E-3</v>
      </c>
      <c r="EQ151" s="37">
        <f t="shared" si="185"/>
        <v>0.11160906898259804</v>
      </c>
      <c r="ER151" s="37">
        <f t="shared" si="186"/>
        <v>0.88219237154483154</v>
      </c>
      <c r="ES151" s="39">
        <f t="shared" si="219"/>
        <v>3.9931019881900641E-2</v>
      </c>
      <c r="ET151" s="55">
        <f t="shared" si="220"/>
        <v>17.93603369740902</v>
      </c>
      <c r="EU151" s="55">
        <f t="shared" si="221"/>
        <v>82.063966302590984</v>
      </c>
      <c r="EV151" s="55">
        <f t="shared" si="222"/>
        <v>0</v>
      </c>
      <c r="EW151" t="s">
        <v>54</v>
      </c>
      <c r="EX151" t="s">
        <v>677</v>
      </c>
      <c r="EY151">
        <v>-289</v>
      </c>
      <c r="EZ151" t="s">
        <v>643</v>
      </c>
      <c r="FA151">
        <v>960</v>
      </c>
      <c r="FB151" t="s">
        <v>113</v>
      </c>
      <c r="FC151" t="s">
        <v>88</v>
      </c>
      <c r="FD151" s="39">
        <f t="shared" si="223"/>
        <v>-4.9801101005088197</v>
      </c>
      <c r="FE151" s="39">
        <f t="shared" si="224"/>
        <v>-4.9431303320133857</v>
      </c>
      <c r="FF151" s="39">
        <f t="shared" si="225"/>
        <v>0.26650631779583944</v>
      </c>
      <c r="FG151" s="39">
        <f t="shared" si="226"/>
        <v>0.30348608629127366</v>
      </c>
    </row>
    <row r="152" spans="1:163" ht="15.75" x14ac:dyDescent="0.25">
      <c r="A152" s="7" t="s">
        <v>410</v>
      </c>
      <c r="B152" s="7" t="s">
        <v>410</v>
      </c>
      <c r="C152" s="3" t="s">
        <v>941</v>
      </c>
      <c r="D152" s="3" t="s">
        <v>941</v>
      </c>
      <c r="E152" s="3" t="s">
        <v>1363</v>
      </c>
      <c r="F152" s="3" t="s">
        <v>1013</v>
      </c>
      <c r="G152" s="3" t="s">
        <v>773</v>
      </c>
      <c r="H152" s="3" t="str">
        <f t="shared" si="171"/>
        <v>CW_2_Section_1</v>
      </c>
      <c r="I152" s="3" t="str">
        <f t="shared" si="172"/>
        <v>CW_2_MF01</v>
      </c>
      <c r="J152" s="3" t="s">
        <v>1488</v>
      </c>
      <c r="K152" s="3" t="s">
        <v>1484</v>
      </c>
      <c r="L152" s="11" t="s">
        <v>1074</v>
      </c>
      <c r="M152" s="3" t="s">
        <v>1015</v>
      </c>
      <c r="N152" s="3" t="s">
        <v>1015</v>
      </c>
      <c r="O152" s="12" t="s">
        <v>1016</v>
      </c>
      <c r="P152" s="3" t="s">
        <v>1364</v>
      </c>
      <c r="Q152" s="3" t="s">
        <v>1018</v>
      </c>
      <c r="R152" s="3" t="s">
        <v>1343</v>
      </c>
      <c r="S152" s="3" t="str">
        <f t="shared" si="173"/>
        <v>T6_0.15-0.30</v>
      </c>
      <c r="T152" s="13" t="s">
        <v>1344</v>
      </c>
      <c r="U152" s="3" t="s">
        <v>1053</v>
      </c>
      <c r="V152" s="3">
        <v>150</v>
      </c>
      <c r="W152" s="3">
        <v>65</v>
      </c>
      <c r="X152" s="3">
        <v>6.65</v>
      </c>
      <c r="Y152" s="3">
        <v>151</v>
      </c>
      <c r="Z152" t="s">
        <v>681</v>
      </c>
      <c r="AA152" t="s">
        <v>204</v>
      </c>
      <c r="AB152" s="1">
        <v>45883</v>
      </c>
      <c r="AC152">
        <v>3.1</v>
      </c>
      <c r="AD152">
        <v>3.8</v>
      </c>
      <c r="AE152">
        <v>1.4</v>
      </c>
      <c r="AF152" s="37">
        <f t="shared" si="187"/>
        <v>5.3770323902189218E-4</v>
      </c>
      <c r="AG152">
        <v>0.02</v>
      </c>
      <c r="AH152" s="37">
        <f t="shared" si="188"/>
        <v>7.8141957890167132E-6</v>
      </c>
      <c r="AI152">
        <v>4</v>
      </c>
      <c r="AJ152" s="37">
        <f t="shared" si="189"/>
        <v>1.5823679005368748E-3</v>
      </c>
      <c r="AK152">
        <v>1</v>
      </c>
      <c r="AL152" s="37">
        <f t="shared" si="190"/>
        <v>3.9559197513421869E-4</v>
      </c>
      <c r="AM152">
        <v>1.3</v>
      </c>
      <c r="AN152" s="37">
        <f t="shared" si="191"/>
        <v>5.1426956767448438E-4</v>
      </c>
      <c r="AO152">
        <v>2.2999999999999998</v>
      </c>
      <c r="AQ152" s="59">
        <v>7.84</v>
      </c>
      <c r="AR152" s="59">
        <f t="shared" si="192"/>
        <v>2.1278853353477838E-3</v>
      </c>
      <c r="AS152">
        <v>43</v>
      </c>
      <c r="AT152" s="37">
        <f t="shared" si="193"/>
        <v>1.6103612389794804E-2</v>
      </c>
      <c r="AU152" t="s">
        <v>780</v>
      </c>
      <c r="AV152" t="s">
        <v>780</v>
      </c>
      <c r="AW152" t="s">
        <v>780</v>
      </c>
      <c r="AX152" t="s">
        <v>780</v>
      </c>
      <c r="AY152" t="s">
        <v>780</v>
      </c>
      <c r="AZ152" t="s">
        <v>780</v>
      </c>
      <c r="BA152" t="s">
        <v>780</v>
      </c>
      <c r="BB152" t="s">
        <v>780</v>
      </c>
      <c r="BC152" t="s">
        <v>780</v>
      </c>
      <c r="BD152" t="s">
        <v>780</v>
      </c>
      <c r="BE152" t="s">
        <v>780</v>
      </c>
      <c r="BF152" t="s">
        <v>780</v>
      </c>
      <c r="BG152" t="s">
        <v>780</v>
      </c>
      <c r="BH152" t="s">
        <v>780</v>
      </c>
      <c r="BI152" t="s">
        <v>780</v>
      </c>
      <c r="BJ152" t="s">
        <v>780</v>
      </c>
      <c r="BK152" t="s">
        <v>780</v>
      </c>
      <c r="BL152" t="s">
        <v>780</v>
      </c>
      <c r="BM152" t="s">
        <v>780</v>
      </c>
      <c r="BN152" t="s">
        <v>780</v>
      </c>
      <c r="BO152" s="58">
        <v>2E-3</v>
      </c>
      <c r="BP152" s="58">
        <v>0.01</v>
      </c>
      <c r="BQ152" s="58">
        <v>0.01</v>
      </c>
      <c r="BR152" s="58">
        <v>5.0000000000000001E-3</v>
      </c>
      <c r="BS152" s="58">
        <v>1E-3</v>
      </c>
      <c r="BT152" s="58">
        <v>1E-3</v>
      </c>
      <c r="BU152" s="58">
        <v>1E-3</v>
      </c>
      <c r="BV152" s="58">
        <v>2E-3</v>
      </c>
      <c r="BW152" s="31">
        <f t="shared" si="194"/>
        <v>7.4900522743231646E-7</v>
      </c>
      <c r="BX152" s="31">
        <f t="shared" si="195"/>
        <v>3.6796110125501018E-6</v>
      </c>
      <c r="BY152" s="31">
        <f t="shared" si="196"/>
        <v>3.7611049867064394E-6</v>
      </c>
      <c r="BZ152" s="31">
        <f t="shared" si="197"/>
        <v>1.8649981951630372E-6</v>
      </c>
      <c r="CA152" s="31">
        <f t="shared" si="198"/>
        <v>3.7030802895135499E-7</v>
      </c>
      <c r="CB152" s="31">
        <f t="shared" si="199"/>
        <v>3.7030802895135499E-7</v>
      </c>
      <c r="CC152" s="31">
        <f t="shared" si="200"/>
        <v>3.6588380716934485E-7</v>
      </c>
      <c r="CD152" s="31">
        <f t="shared" si="201"/>
        <v>7.3176761433868969E-7</v>
      </c>
      <c r="CE152">
        <v>1E-3</v>
      </c>
      <c r="CF152">
        <v>1E-3</v>
      </c>
      <c r="CG152">
        <v>2E-3</v>
      </c>
      <c r="CH152">
        <v>1E-3</v>
      </c>
      <c r="CI152">
        <v>1E-3</v>
      </c>
      <c r="CK152">
        <v>2E-3</v>
      </c>
      <c r="CL152">
        <v>1E-3</v>
      </c>
      <c r="CM152">
        <v>1E-3</v>
      </c>
      <c r="CN152" s="58">
        <f t="shared" si="227"/>
        <v>3.2000000000000001E-2</v>
      </c>
      <c r="CO152" s="58">
        <f t="shared" si="202"/>
        <v>3.0000000000000006E-2</v>
      </c>
      <c r="CP152" s="31">
        <f t="shared" si="203"/>
        <v>1.1892986901262639E-5</v>
      </c>
      <c r="CQ152" s="31">
        <f t="shared" si="204"/>
        <v>1.1143981673830322E-5</v>
      </c>
      <c r="CR152">
        <v>4.2000000000000003E-2</v>
      </c>
      <c r="CS152">
        <v>65</v>
      </c>
      <c r="CT152">
        <v>230</v>
      </c>
      <c r="CU152" t="s">
        <v>69</v>
      </c>
      <c r="CV152" t="s">
        <v>69</v>
      </c>
      <c r="CW152">
        <v>300</v>
      </c>
      <c r="CX152" s="2">
        <f t="shared" si="174"/>
        <v>7.8819999999999997</v>
      </c>
      <c r="CZ152">
        <v>44</v>
      </c>
      <c r="DA152" t="s">
        <v>62</v>
      </c>
      <c r="DB152" t="s">
        <v>88</v>
      </c>
      <c r="DC152" t="s">
        <v>782</v>
      </c>
      <c r="DD152" s="37">
        <f t="shared" si="175"/>
        <v>45.922964813658126</v>
      </c>
      <c r="DE152" s="37">
        <f t="shared" si="228"/>
        <v>45.922964813658126</v>
      </c>
      <c r="DF152" s="37">
        <v>0.6</v>
      </c>
      <c r="DG152" s="37">
        <f t="shared" si="176"/>
        <v>1.0743061772605192E-2</v>
      </c>
      <c r="DH152" s="37">
        <f t="shared" si="205"/>
        <v>1.0743061772605192E-2</v>
      </c>
      <c r="DI152" s="37">
        <f t="shared" si="177"/>
        <v>46.522964813658128</v>
      </c>
      <c r="DJ152" s="37">
        <f t="shared" si="206"/>
        <v>0.83299847472977839</v>
      </c>
      <c r="DK152" s="37">
        <f t="shared" si="207"/>
        <v>0.83299847472977839</v>
      </c>
      <c r="DL152" s="55">
        <f t="shared" si="208"/>
        <v>45.922964813658126</v>
      </c>
      <c r="DM152" s="55">
        <f t="shared" si="208"/>
        <v>45.922964813658126</v>
      </c>
      <c r="DN152" s="37">
        <f t="shared" si="209"/>
        <v>46.522964813658128</v>
      </c>
      <c r="DO152" s="55">
        <f t="shared" si="210"/>
        <v>0.83299847472977839</v>
      </c>
      <c r="DP152" s="55">
        <f t="shared" si="211"/>
        <v>0.83299847472977839</v>
      </c>
      <c r="DQ152" s="37">
        <v>0.6</v>
      </c>
      <c r="DR152" s="37">
        <f t="shared" si="212"/>
        <v>1.0922992900054615E-2</v>
      </c>
      <c r="DS152" s="37">
        <f t="shared" si="213"/>
        <v>2.1845985800109231E-2</v>
      </c>
      <c r="DT152" s="37">
        <f t="shared" si="178"/>
        <v>76.261010361511211</v>
      </c>
      <c r="DU152" s="37">
        <f t="shared" si="179"/>
        <v>38.130505180755605</v>
      </c>
      <c r="DV152" s="37">
        <f t="shared" si="180"/>
        <v>47.122964813658129</v>
      </c>
      <c r="DW152" s="37">
        <f t="shared" si="181"/>
        <v>0.85484446052988761</v>
      </c>
      <c r="DX152" t="s">
        <v>64</v>
      </c>
      <c r="DY152" t="s">
        <v>216</v>
      </c>
      <c r="DZ152" s="29">
        <f t="shared" si="167"/>
        <v>1</v>
      </c>
      <c r="EA152" s="30">
        <v>1.7000000000000001E-2</v>
      </c>
      <c r="EB152" s="30">
        <f t="shared" si="214"/>
        <v>2.741935483870968E-4</v>
      </c>
      <c r="EC152" s="30">
        <f t="shared" si="215"/>
        <v>1.370967741935484E-3</v>
      </c>
      <c r="ED152" s="31">
        <f t="shared" si="229"/>
        <v>79</v>
      </c>
      <c r="EE152" s="33">
        <f t="shared" si="230"/>
        <v>56.428571428571431</v>
      </c>
      <c r="EF152" s="37">
        <f t="shared" si="182"/>
        <v>6.5792213200083278</v>
      </c>
      <c r="EG152" s="37">
        <f>$EK142-EK152</f>
        <v>79</v>
      </c>
      <c r="EH152" s="33">
        <f>(EG152/$EK$142)*100</f>
        <v>56.428571428571431</v>
      </c>
      <c r="EI152" s="37">
        <f t="shared" si="231"/>
        <v>6.5792213200083278</v>
      </c>
      <c r="EJ152" s="37">
        <f t="shared" ref="EJ152:EJ159" si="232">($EG152/96.06)*8</f>
        <v>6.5792213200083278</v>
      </c>
      <c r="EK152" s="31">
        <v>61</v>
      </c>
      <c r="EL152" s="31">
        <f t="shared" si="216"/>
        <v>0.6350197793046013</v>
      </c>
      <c r="EM152" s="31">
        <f t="shared" si="217"/>
        <v>5.0801582344368104</v>
      </c>
      <c r="EN152" s="32">
        <f t="shared" si="183"/>
        <v>5.0815292021787455</v>
      </c>
      <c r="EO152" s="39">
        <f t="shared" si="218"/>
        <v>7.4340657805382158</v>
      </c>
      <c r="EP152" s="37">
        <f t="shared" si="184"/>
        <v>2.9386322969189023E-3</v>
      </c>
      <c r="EQ152" s="37">
        <f t="shared" si="185"/>
        <v>0.11205153402200195</v>
      </c>
      <c r="ER152" s="37">
        <f t="shared" si="186"/>
        <v>0.88500983368107911</v>
      </c>
      <c r="ES152" s="39">
        <f t="shared" si="219"/>
        <v>7.4340657805382158</v>
      </c>
      <c r="ET152" s="55">
        <f t="shared" si="220"/>
        <v>11.205153402200194</v>
      </c>
      <c r="EU152" s="55">
        <f t="shared" si="221"/>
        <v>0.29386322969189022</v>
      </c>
      <c r="EV152" s="55">
        <f t="shared" si="222"/>
        <v>88.50098336810791</v>
      </c>
      <c r="EW152" t="s">
        <v>682</v>
      </c>
      <c r="EX152" t="s">
        <v>110</v>
      </c>
      <c r="EY152">
        <v>-185</v>
      </c>
      <c r="EZ152" t="s">
        <v>633</v>
      </c>
      <c r="FA152">
        <v>490</v>
      </c>
      <c r="FB152" t="s">
        <v>113</v>
      </c>
      <c r="FC152" t="s">
        <v>88</v>
      </c>
      <c r="FD152" s="39">
        <f t="shared" si="223"/>
        <v>-7.4158342828130728</v>
      </c>
      <c r="FE152" s="39">
        <f t="shared" si="224"/>
        <v>-7.4158231388313993</v>
      </c>
      <c r="FF152" s="39">
        <f t="shared" si="225"/>
        <v>-7.4158342828130728</v>
      </c>
      <c r="FG152" s="39">
        <f t="shared" si="226"/>
        <v>-7.4158231388313993</v>
      </c>
    </row>
    <row r="153" spans="1:163" ht="15.75" x14ac:dyDescent="0.25">
      <c r="A153" s="7" t="s">
        <v>411</v>
      </c>
      <c r="B153" s="7" t="s">
        <v>411</v>
      </c>
      <c r="C153" s="3" t="s">
        <v>942</v>
      </c>
      <c r="D153" s="3" t="s">
        <v>942</v>
      </c>
      <c r="E153" s="3" t="s">
        <v>1365</v>
      </c>
      <c r="F153" s="3" t="s">
        <v>1013</v>
      </c>
      <c r="G153" s="3" t="s">
        <v>773</v>
      </c>
      <c r="H153" s="3" t="str">
        <f t="shared" si="171"/>
        <v>CW_2_Section_1</v>
      </c>
      <c r="I153" s="3" t="str">
        <f t="shared" si="172"/>
        <v>CW_2_MF02</v>
      </c>
      <c r="J153" s="3" t="s">
        <v>1489</v>
      </c>
      <c r="K153" s="3" t="s">
        <v>1484</v>
      </c>
      <c r="L153" s="11" t="s">
        <v>1077</v>
      </c>
      <c r="M153" s="3" t="s">
        <v>1024</v>
      </c>
      <c r="N153" s="3" t="s">
        <v>1024</v>
      </c>
      <c r="O153" s="12" t="s">
        <v>1016</v>
      </c>
      <c r="P153" s="3" t="s">
        <v>1366</v>
      </c>
      <c r="Q153" s="3" t="s">
        <v>1018</v>
      </c>
      <c r="R153" s="3" t="s">
        <v>1343</v>
      </c>
      <c r="S153" s="3" t="str">
        <f t="shared" si="173"/>
        <v>T6_0.60-0.80</v>
      </c>
      <c r="T153" s="13" t="s">
        <v>1344</v>
      </c>
      <c r="U153" s="3" t="s">
        <v>1053</v>
      </c>
      <c r="V153" s="3">
        <v>150</v>
      </c>
      <c r="W153" s="3">
        <v>65</v>
      </c>
      <c r="X153" s="3">
        <v>15.45</v>
      </c>
      <c r="Y153" s="3">
        <v>152</v>
      </c>
      <c r="Z153" t="s">
        <v>683</v>
      </c>
      <c r="AA153" t="s">
        <v>211</v>
      </c>
      <c r="AB153" s="1">
        <v>45883</v>
      </c>
      <c r="AC153">
        <v>5.3</v>
      </c>
      <c r="AD153">
        <v>6</v>
      </c>
      <c r="AE153">
        <v>46</v>
      </c>
      <c r="AF153" s="37">
        <f t="shared" si="187"/>
        <v>1.7667392139290746E-2</v>
      </c>
      <c r="AG153">
        <v>2.4</v>
      </c>
      <c r="AH153" s="37">
        <f t="shared" si="188"/>
        <v>9.3770349468200566E-4</v>
      </c>
      <c r="AI153">
        <v>28</v>
      </c>
      <c r="AJ153" s="37">
        <f t="shared" si="189"/>
        <v>1.1076575303758125E-2</v>
      </c>
      <c r="AK153">
        <v>11</v>
      </c>
      <c r="AL153" s="37">
        <f t="shared" si="190"/>
        <v>4.3515117264764057E-3</v>
      </c>
      <c r="AM153">
        <v>14</v>
      </c>
      <c r="AN153" s="37">
        <f t="shared" si="191"/>
        <v>5.5382876518790623E-3</v>
      </c>
      <c r="AO153">
        <v>25</v>
      </c>
      <c r="AQ153" s="59">
        <v>101.4</v>
      </c>
      <c r="AR153" s="59">
        <f t="shared" si="192"/>
        <v>2.9681670937730876E-2</v>
      </c>
      <c r="AS153">
        <v>81</v>
      </c>
      <c r="AT153" s="37">
        <f t="shared" si="193"/>
        <v>3.0334711711008815E-2</v>
      </c>
      <c r="AU153" t="s">
        <v>780</v>
      </c>
      <c r="AV153" t="s">
        <v>780</v>
      </c>
      <c r="AW153" t="s">
        <v>780</v>
      </c>
      <c r="AX153" t="s">
        <v>780</v>
      </c>
      <c r="AY153" t="s">
        <v>780</v>
      </c>
      <c r="AZ153" t="s">
        <v>780</v>
      </c>
      <c r="BA153" t="s">
        <v>780</v>
      </c>
      <c r="BB153" t="s">
        <v>780</v>
      </c>
      <c r="BC153" t="s">
        <v>780</v>
      </c>
      <c r="BD153" t="s">
        <v>780</v>
      </c>
      <c r="BE153" t="s">
        <v>780</v>
      </c>
      <c r="BF153" t="s">
        <v>780</v>
      </c>
      <c r="BG153" t="s">
        <v>780</v>
      </c>
      <c r="BH153" t="s">
        <v>780</v>
      </c>
      <c r="BI153" t="s">
        <v>780</v>
      </c>
      <c r="BJ153" t="s">
        <v>780</v>
      </c>
      <c r="BK153" t="s">
        <v>780</v>
      </c>
      <c r="BL153" t="s">
        <v>780</v>
      </c>
      <c r="BM153" t="s">
        <v>780</v>
      </c>
      <c r="BN153" t="s">
        <v>780</v>
      </c>
      <c r="BO153" s="58">
        <v>2E-3</v>
      </c>
      <c r="BP153" s="58">
        <v>0.2</v>
      </c>
      <c r="BQ153" s="58">
        <v>1.6</v>
      </c>
      <c r="BR153" s="58">
        <v>5.0000000000000001E-3</v>
      </c>
      <c r="BS153" s="58">
        <v>1E-3</v>
      </c>
      <c r="BT153" s="58">
        <v>1E-3</v>
      </c>
      <c r="BU153" s="58">
        <v>1E-3</v>
      </c>
      <c r="BV153" s="58">
        <v>2E-3</v>
      </c>
      <c r="BW153" s="31">
        <f t="shared" si="194"/>
        <v>7.4900522743231646E-7</v>
      </c>
      <c r="BX153" s="31">
        <f t="shared" si="195"/>
        <v>7.3592220251002044E-5</v>
      </c>
      <c r="BY153" s="31">
        <f t="shared" si="196"/>
        <v>6.0177679787303028E-4</v>
      </c>
      <c r="BZ153" s="31">
        <f t="shared" si="197"/>
        <v>1.8649981951630372E-6</v>
      </c>
      <c r="CA153" s="31">
        <f t="shared" si="198"/>
        <v>3.7030802895135499E-7</v>
      </c>
      <c r="CB153" s="31">
        <f t="shared" si="199"/>
        <v>3.7030802895135499E-7</v>
      </c>
      <c r="CC153" s="31">
        <f t="shared" si="200"/>
        <v>3.6588380716934485E-7</v>
      </c>
      <c r="CD153" s="31">
        <f t="shared" si="201"/>
        <v>7.3176761433868969E-7</v>
      </c>
      <c r="CE153">
        <v>1E-3</v>
      </c>
      <c r="CF153">
        <v>1E-3</v>
      </c>
      <c r="CG153">
        <v>2E-3</v>
      </c>
      <c r="CH153">
        <v>1E-3</v>
      </c>
      <c r="CI153">
        <v>1E-3</v>
      </c>
      <c r="CK153">
        <v>2E-3</v>
      </c>
      <c r="CL153">
        <v>1E-3</v>
      </c>
      <c r="CM153">
        <v>1E-3</v>
      </c>
      <c r="CN153" s="58">
        <f t="shared" si="227"/>
        <v>1.8119999999999996</v>
      </c>
      <c r="CO153" s="58">
        <f t="shared" si="202"/>
        <v>1.8099999999999996</v>
      </c>
      <c r="CP153" s="31">
        <f t="shared" si="203"/>
        <v>6.798212890260384E-4</v>
      </c>
      <c r="CQ153" s="31">
        <f t="shared" si="204"/>
        <v>6.7907228379860611E-4</v>
      </c>
      <c r="CR153">
        <v>1.8</v>
      </c>
      <c r="CS153">
        <v>130</v>
      </c>
      <c r="CT153">
        <v>130</v>
      </c>
      <c r="CU153" t="s">
        <v>69</v>
      </c>
      <c r="CV153" t="s">
        <v>69</v>
      </c>
      <c r="CW153">
        <v>260</v>
      </c>
      <c r="CX153" s="2">
        <f t="shared" si="174"/>
        <v>103.2</v>
      </c>
      <c r="CZ153">
        <v>53</v>
      </c>
      <c r="DA153" t="s">
        <v>62</v>
      </c>
      <c r="DB153" t="s">
        <v>88</v>
      </c>
      <c r="DC153" t="s">
        <v>782</v>
      </c>
      <c r="DD153" s="37">
        <f t="shared" si="175"/>
        <v>27.902560899437852</v>
      </c>
      <c r="DE153" s="37">
        <f t="shared" si="228"/>
        <v>27.902560899437852</v>
      </c>
      <c r="DF153" s="37">
        <v>0.6</v>
      </c>
      <c r="DG153" s="37">
        <f t="shared" si="176"/>
        <v>1.0743061772605192E-2</v>
      </c>
      <c r="DH153" s="37">
        <f t="shared" si="205"/>
        <v>1.0743061772605192E-2</v>
      </c>
      <c r="DI153" s="37">
        <f t="shared" si="177"/>
        <v>28.502560899437853</v>
      </c>
      <c r="DJ153" s="37">
        <f t="shared" si="206"/>
        <v>0.51034128736683715</v>
      </c>
      <c r="DK153" s="37">
        <f t="shared" si="207"/>
        <v>0.51034128736683715</v>
      </c>
      <c r="DL153" s="55">
        <f t="shared" si="208"/>
        <v>27.902560899437852</v>
      </c>
      <c r="DM153" s="55">
        <f t="shared" si="208"/>
        <v>27.902560899437852</v>
      </c>
      <c r="DN153" s="37">
        <f t="shared" si="209"/>
        <v>28.502560899437853</v>
      </c>
      <c r="DO153" s="55">
        <f t="shared" si="210"/>
        <v>0.51034128736683715</v>
      </c>
      <c r="DP153" s="55">
        <f t="shared" si="211"/>
        <v>0.51034128736683715</v>
      </c>
      <c r="DQ153" s="37">
        <v>0.6</v>
      </c>
      <c r="DR153" s="37">
        <f t="shared" si="212"/>
        <v>1.0922992900054615E-2</v>
      </c>
      <c r="DS153" s="37">
        <f t="shared" si="213"/>
        <v>2.1845985800109231E-2</v>
      </c>
      <c r="DT153" s="37">
        <f t="shared" si="178"/>
        <v>46.721744858433937</v>
      </c>
      <c r="DU153" s="37">
        <f t="shared" si="179"/>
        <v>23.360872429216968</v>
      </c>
      <c r="DV153" s="37">
        <f t="shared" si="180"/>
        <v>29.102560899437854</v>
      </c>
      <c r="DW153" s="37">
        <f t="shared" si="181"/>
        <v>0.53218727316694636</v>
      </c>
      <c r="DX153">
        <v>12</v>
      </c>
      <c r="DY153" t="s">
        <v>615</v>
      </c>
      <c r="DZ153" s="29">
        <f t="shared" si="167"/>
        <v>1</v>
      </c>
      <c r="EA153" s="30">
        <v>1.7000000000000001E-2</v>
      </c>
      <c r="EB153" s="30">
        <f t="shared" si="214"/>
        <v>2.741935483870968E-4</v>
      </c>
      <c r="EC153" s="30">
        <f t="shared" si="215"/>
        <v>1.370967741935484E-3</v>
      </c>
      <c r="ED153" s="31">
        <f t="shared" si="229"/>
        <v>48</v>
      </c>
      <c r="EE153" s="33">
        <f t="shared" si="230"/>
        <v>34.285714285714285</v>
      </c>
      <c r="EF153" s="37">
        <f t="shared" si="182"/>
        <v>3.9975015615240475</v>
      </c>
      <c r="EG153" s="37">
        <f>$EK142-EK153</f>
        <v>48</v>
      </c>
      <c r="EH153" s="33">
        <f>(EG153/$EK$142)*100</f>
        <v>34.285714285714285</v>
      </c>
      <c r="EI153" s="37">
        <f t="shared" si="231"/>
        <v>3.9975015615240475</v>
      </c>
      <c r="EJ153" s="37">
        <f t="shared" si="232"/>
        <v>3.9975015615240475</v>
      </c>
      <c r="EK153" s="31">
        <v>92</v>
      </c>
      <c r="EL153" s="31">
        <f t="shared" si="216"/>
        <v>0.95773474911513634</v>
      </c>
      <c r="EM153" s="31">
        <f t="shared" si="217"/>
        <v>7.6618779929210907</v>
      </c>
      <c r="EN153" s="32">
        <f t="shared" si="183"/>
        <v>7.6632489606630259</v>
      </c>
      <c r="EO153" s="39">
        <f t="shared" si="218"/>
        <v>4.5296888346909938</v>
      </c>
      <c r="EP153" s="37">
        <f t="shared" si="184"/>
        <v>4.8228447024440081E-3</v>
      </c>
      <c r="EQ153" s="37">
        <f t="shared" si="185"/>
        <v>0.11266585983971934</v>
      </c>
      <c r="ER153" s="37">
        <f t="shared" si="186"/>
        <v>0.88251129545783669</v>
      </c>
      <c r="ES153" s="39">
        <f t="shared" si="219"/>
        <v>4.5296888346909938</v>
      </c>
      <c r="ET153" s="55">
        <f t="shared" si="220"/>
        <v>11.266585983971934</v>
      </c>
      <c r="EU153" s="55">
        <f t="shared" si="221"/>
        <v>0.4822844702444008</v>
      </c>
      <c r="EV153" s="55">
        <f t="shared" si="222"/>
        <v>88.25112954578367</v>
      </c>
      <c r="EW153" t="s">
        <v>139</v>
      </c>
      <c r="EX153" t="s">
        <v>684</v>
      </c>
      <c r="EY153" t="s">
        <v>685</v>
      </c>
      <c r="EZ153" t="s">
        <v>643</v>
      </c>
      <c r="FA153">
        <v>756</v>
      </c>
      <c r="FB153" t="s">
        <v>113</v>
      </c>
      <c r="FC153" t="s">
        <v>88</v>
      </c>
      <c r="FD153" s="39">
        <f t="shared" si="223"/>
        <v>-4.4696724520422544</v>
      </c>
      <c r="FE153" s="39">
        <f t="shared" si="224"/>
        <v>-4.4689933797584551</v>
      </c>
      <c r="FF153" s="39">
        <f t="shared" si="225"/>
        <v>-4.4696724520422544</v>
      </c>
      <c r="FG153" s="39">
        <f t="shared" si="226"/>
        <v>-4.4689933797584551</v>
      </c>
    </row>
    <row r="154" spans="1:163" ht="15.75" x14ac:dyDescent="0.25">
      <c r="A154" s="7" t="s">
        <v>412</v>
      </c>
      <c r="B154" s="7" t="s">
        <v>412</v>
      </c>
      <c r="C154" s="3" t="s">
        <v>943</v>
      </c>
      <c r="D154" s="3" t="s">
        <v>943</v>
      </c>
      <c r="E154" s="3" t="s">
        <v>1367</v>
      </c>
      <c r="F154" s="3" t="s">
        <v>1027</v>
      </c>
      <c r="G154" s="3" t="s">
        <v>773</v>
      </c>
      <c r="H154" s="3" t="str">
        <f t="shared" si="171"/>
        <v>CW_2_Section_2</v>
      </c>
      <c r="I154" s="3" t="str">
        <f t="shared" si="172"/>
        <v>CW_2_MF05</v>
      </c>
      <c r="J154" s="3" t="s">
        <v>1496</v>
      </c>
      <c r="K154" s="3" t="s">
        <v>1484</v>
      </c>
      <c r="L154" s="11" t="s">
        <v>1080</v>
      </c>
      <c r="M154" s="3" t="s">
        <v>1015</v>
      </c>
      <c r="N154" s="3" t="s">
        <v>1015</v>
      </c>
      <c r="O154" s="12" t="s">
        <v>1016</v>
      </c>
      <c r="P154" s="3" t="s">
        <v>1368</v>
      </c>
      <c r="Q154" s="3" t="s">
        <v>1018</v>
      </c>
      <c r="R154" s="3" t="s">
        <v>1343</v>
      </c>
      <c r="S154" s="3" t="str">
        <f t="shared" si="173"/>
        <v>T6_0.15-0.30</v>
      </c>
      <c r="T154" s="13" t="s">
        <v>1344</v>
      </c>
      <c r="U154" s="3" t="s">
        <v>1053</v>
      </c>
      <c r="V154" s="3">
        <v>150</v>
      </c>
      <c r="W154" s="3">
        <v>65</v>
      </c>
      <c r="X154" s="3">
        <v>47.85</v>
      </c>
      <c r="Y154" s="3">
        <v>153</v>
      </c>
      <c r="Z154" t="s">
        <v>686</v>
      </c>
      <c r="AA154" t="s">
        <v>176</v>
      </c>
      <c r="AB154" s="1">
        <v>45883</v>
      </c>
      <c r="AC154">
        <v>7.1</v>
      </c>
      <c r="AD154">
        <v>8.5</v>
      </c>
      <c r="AE154">
        <v>1.1000000000000001</v>
      </c>
      <c r="AF154" s="37">
        <f t="shared" si="187"/>
        <v>4.2248111637434386E-4</v>
      </c>
      <c r="AG154">
        <v>0.02</v>
      </c>
      <c r="AH154" s="37">
        <f t="shared" si="188"/>
        <v>7.8141957890167132E-6</v>
      </c>
      <c r="AI154">
        <v>1.3</v>
      </c>
      <c r="AJ154" s="37">
        <f t="shared" si="189"/>
        <v>5.1426956767448438E-4</v>
      </c>
      <c r="AK154">
        <v>0.65</v>
      </c>
      <c r="AL154" s="37">
        <f t="shared" si="190"/>
        <v>2.5713478383724219E-4</v>
      </c>
      <c r="AM154">
        <v>0.33</v>
      </c>
      <c r="AN154" s="37">
        <f t="shared" si="191"/>
        <v>1.3054535179429216E-4</v>
      </c>
      <c r="AO154">
        <v>0.98</v>
      </c>
      <c r="AQ154" s="59">
        <v>3.52</v>
      </c>
      <c r="AR154" s="59">
        <f t="shared" si="192"/>
        <v>9.4456487983784489E-4</v>
      </c>
      <c r="AS154">
        <v>1.1000000000000001</v>
      </c>
      <c r="AT154" s="37">
        <f t="shared" si="193"/>
        <v>4.119528750877741E-4</v>
      </c>
      <c r="AU154" t="s">
        <v>780</v>
      </c>
      <c r="AV154" t="s">
        <v>780</v>
      </c>
      <c r="AW154" t="s">
        <v>780</v>
      </c>
      <c r="AX154" t="s">
        <v>780</v>
      </c>
      <c r="AY154" t="s">
        <v>780</v>
      </c>
      <c r="AZ154" t="s">
        <v>780</v>
      </c>
      <c r="BA154" t="s">
        <v>780</v>
      </c>
      <c r="BB154" t="s">
        <v>780</v>
      </c>
      <c r="BC154" t="s">
        <v>780</v>
      </c>
      <c r="BD154" t="s">
        <v>780</v>
      </c>
      <c r="BE154" t="s">
        <v>780</v>
      </c>
      <c r="BF154" t="s">
        <v>780</v>
      </c>
      <c r="BG154" t="s">
        <v>780</v>
      </c>
      <c r="BH154" t="s">
        <v>780</v>
      </c>
      <c r="BI154" t="s">
        <v>780</v>
      </c>
      <c r="BJ154" t="s">
        <v>780</v>
      </c>
      <c r="BK154" t="s">
        <v>780</v>
      </c>
      <c r="BL154" t="s">
        <v>780</v>
      </c>
      <c r="BM154" t="s">
        <v>780</v>
      </c>
      <c r="BN154" t="s">
        <v>780</v>
      </c>
      <c r="BO154" s="58">
        <v>2E-3</v>
      </c>
      <c r="BP154" s="58">
        <v>0.01</v>
      </c>
      <c r="BQ154" s="58">
        <v>0.01</v>
      </c>
      <c r="BR154" s="58">
        <v>5.0000000000000001E-3</v>
      </c>
      <c r="BS154" s="58">
        <v>1E-3</v>
      </c>
      <c r="BT154" s="58">
        <v>1E-3</v>
      </c>
      <c r="BU154" s="58">
        <v>1E-3</v>
      </c>
      <c r="BV154" s="58">
        <v>2E-3</v>
      </c>
      <c r="BW154" s="31">
        <f t="shared" si="194"/>
        <v>7.4900522743231646E-7</v>
      </c>
      <c r="BX154" s="31">
        <f t="shared" si="195"/>
        <v>3.6796110125501018E-6</v>
      </c>
      <c r="BY154" s="31">
        <f t="shared" si="196"/>
        <v>3.7611049867064394E-6</v>
      </c>
      <c r="BZ154" s="31">
        <f t="shared" si="197"/>
        <v>1.8649981951630372E-6</v>
      </c>
      <c r="CA154" s="31">
        <f t="shared" si="198"/>
        <v>3.7030802895135499E-7</v>
      </c>
      <c r="CB154" s="31">
        <f t="shared" si="199"/>
        <v>3.7030802895135499E-7</v>
      </c>
      <c r="CC154" s="31">
        <f t="shared" si="200"/>
        <v>3.6588380716934485E-7</v>
      </c>
      <c r="CD154" s="31">
        <f t="shared" si="201"/>
        <v>7.3176761433868969E-7</v>
      </c>
      <c r="CE154">
        <v>1E-3</v>
      </c>
      <c r="CF154">
        <v>1E-3</v>
      </c>
      <c r="CG154">
        <v>2E-3</v>
      </c>
      <c r="CH154">
        <v>1E-3</v>
      </c>
      <c r="CI154">
        <v>1E-3</v>
      </c>
      <c r="CK154">
        <v>2E-3</v>
      </c>
      <c r="CL154">
        <v>1E-3</v>
      </c>
      <c r="CM154">
        <v>1E-3</v>
      </c>
      <c r="CN154" s="58">
        <f t="shared" si="227"/>
        <v>3.2000000000000001E-2</v>
      </c>
      <c r="CO154" s="58">
        <f t="shared" si="202"/>
        <v>3.0000000000000006E-2</v>
      </c>
      <c r="CP154" s="31">
        <f t="shared" si="203"/>
        <v>1.1892986901262639E-5</v>
      </c>
      <c r="CQ154" s="31">
        <f t="shared" si="204"/>
        <v>1.1143981673830322E-5</v>
      </c>
      <c r="CR154">
        <v>4.2000000000000003E-2</v>
      </c>
      <c r="CS154" t="s">
        <v>69</v>
      </c>
      <c r="CT154" t="s">
        <v>69</v>
      </c>
      <c r="CU154" t="s">
        <v>69</v>
      </c>
      <c r="CV154" t="s">
        <v>69</v>
      </c>
      <c r="CW154">
        <v>5</v>
      </c>
      <c r="CX154" s="2">
        <f t="shared" si="174"/>
        <v>3.5619999999999998</v>
      </c>
      <c r="CZ154">
        <v>47</v>
      </c>
      <c r="DA154" t="s">
        <v>62</v>
      </c>
      <c r="DB154" t="s">
        <v>88</v>
      </c>
      <c r="DC154" t="s">
        <v>782</v>
      </c>
      <c r="DD154" s="37">
        <f t="shared" si="175"/>
        <v>58.711638559233812</v>
      </c>
      <c r="DE154" s="37">
        <f t="shared" si="228"/>
        <v>58.711638559233812</v>
      </c>
      <c r="DF154" s="37">
        <v>3.5</v>
      </c>
      <c r="DG154" s="37">
        <f t="shared" si="176"/>
        <v>6.266786034019696E-2</v>
      </c>
      <c r="DH154" s="37">
        <f t="shared" si="205"/>
        <v>6.266786034019696E-2</v>
      </c>
      <c r="DI154" s="37">
        <f t="shared" si="177"/>
        <v>62.211638559233812</v>
      </c>
      <c r="DJ154" s="37">
        <f t="shared" si="206"/>
        <v>1.1139057933613932</v>
      </c>
      <c r="DK154" s="37">
        <f t="shared" si="207"/>
        <v>1.1139057933613932</v>
      </c>
      <c r="DL154" s="55">
        <f t="shared" si="208"/>
        <v>12.78867374557568</v>
      </c>
      <c r="DM154" s="55">
        <f t="shared" si="208"/>
        <v>12.78867374557568</v>
      </c>
      <c r="DN154" s="37">
        <f t="shared" si="209"/>
        <v>16.288673745575679</v>
      </c>
      <c r="DO154" s="55">
        <f t="shared" si="210"/>
        <v>0.29165038040421987</v>
      </c>
      <c r="DP154" s="55">
        <f t="shared" si="211"/>
        <v>0.29165038040421987</v>
      </c>
      <c r="DQ154" s="37">
        <v>0.9</v>
      </c>
      <c r="DR154" s="37">
        <f t="shared" si="212"/>
        <v>1.6384489350081924E-2</v>
      </c>
      <c r="DS154" s="37">
        <f t="shared" si="213"/>
        <v>3.2768978700163848E-2</v>
      </c>
      <c r="DT154" s="37">
        <f t="shared" si="178"/>
        <v>67.985383588157021</v>
      </c>
      <c r="DU154" s="37">
        <f t="shared" si="179"/>
        <v>33.99269179407851</v>
      </c>
      <c r="DV154" s="37">
        <f t="shared" si="180"/>
        <v>63.11163855923381</v>
      </c>
      <c r="DW154" s="37">
        <f t="shared" si="181"/>
        <v>1.1466747720615571</v>
      </c>
      <c r="DX154" t="s">
        <v>206</v>
      </c>
      <c r="DY154" t="s">
        <v>55</v>
      </c>
      <c r="DZ154" s="29">
        <f t="shared" si="167"/>
        <v>1</v>
      </c>
      <c r="EA154" s="30">
        <v>1.7000000000000001E-2</v>
      </c>
      <c r="EB154" s="30">
        <f t="shared" si="214"/>
        <v>2.741935483870968E-4</v>
      </c>
      <c r="EC154" s="30">
        <f t="shared" si="215"/>
        <v>1.370967741935484E-3</v>
      </c>
      <c r="ED154" s="31">
        <f t="shared" si="229"/>
        <v>101</v>
      </c>
      <c r="EE154" s="33">
        <f t="shared" si="230"/>
        <v>72.142857142857139</v>
      </c>
      <c r="EF154" s="37">
        <f t="shared" si="182"/>
        <v>8.4114095357068503</v>
      </c>
      <c r="EG154" s="37">
        <f>$EK152-EK154</f>
        <v>22</v>
      </c>
      <c r="EH154" s="33">
        <f>(EG154/$EK152)*100</f>
        <v>36.065573770491802</v>
      </c>
      <c r="EI154" s="37">
        <f t="shared" si="231"/>
        <v>1.8321882156985216</v>
      </c>
      <c r="EJ154" s="37">
        <f t="shared" si="232"/>
        <v>1.8321882156985216</v>
      </c>
      <c r="EK154" s="31">
        <v>39</v>
      </c>
      <c r="EL154" s="31">
        <f t="shared" si="216"/>
        <v>0.40599625234228603</v>
      </c>
      <c r="EM154" s="31">
        <f t="shared" si="217"/>
        <v>3.2479700187382883</v>
      </c>
      <c r="EN154" s="32">
        <f t="shared" si="183"/>
        <v>3.2493409864802238</v>
      </c>
      <c r="EO154" s="39">
        <f t="shared" si="218"/>
        <v>9.5580843077684072</v>
      </c>
      <c r="EP154" s="37">
        <f t="shared" si="184"/>
        <v>3.4284044422511115E-3</v>
      </c>
      <c r="EQ154" s="37">
        <f t="shared" si="185"/>
        <v>0.11654069555089168</v>
      </c>
      <c r="ER154" s="37">
        <f t="shared" si="186"/>
        <v>0.88003090000685724</v>
      </c>
      <c r="ES154" s="39">
        <f t="shared" si="219"/>
        <v>2.1566075748029054</v>
      </c>
      <c r="ET154" s="55">
        <f t="shared" si="220"/>
        <v>13.523572105178852</v>
      </c>
      <c r="EU154" s="55">
        <f t="shared" si="221"/>
        <v>1.5194687750810965</v>
      </c>
      <c r="EV154" s="55">
        <f t="shared" si="222"/>
        <v>84.956959119740048</v>
      </c>
      <c r="EW154" t="s">
        <v>687</v>
      </c>
      <c r="EX154" t="s">
        <v>684</v>
      </c>
      <c r="EY154">
        <v>-166</v>
      </c>
      <c r="EZ154" t="s">
        <v>502</v>
      </c>
      <c r="FA154">
        <v>527</v>
      </c>
      <c r="FB154" t="s">
        <v>72</v>
      </c>
      <c r="FC154" t="s">
        <v>88</v>
      </c>
      <c r="FD154" s="39">
        <f t="shared" si="223"/>
        <v>-9.5567277900134808</v>
      </c>
      <c r="FE154" s="39">
        <f t="shared" si="224"/>
        <v>-9.5567166460318074</v>
      </c>
      <c r="FF154" s="39">
        <f t="shared" si="225"/>
        <v>-2.1552510570479799</v>
      </c>
      <c r="FG154" s="39">
        <f t="shared" si="226"/>
        <v>-2.155239913066306</v>
      </c>
    </row>
    <row r="155" spans="1:163" ht="15.75" x14ac:dyDescent="0.25">
      <c r="A155" s="7" t="s">
        <v>413</v>
      </c>
      <c r="B155" s="7" t="s">
        <v>413</v>
      </c>
      <c r="C155" s="3" t="s">
        <v>944</v>
      </c>
      <c r="D155" s="3" t="s">
        <v>944</v>
      </c>
      <c r="E155" s="3" t="s">
        <v>1369</v>
      </c>
      <c r="F155" s="3" t="s">
        <v>1027</v>
      </c>
      <c r="G155" s="3" t="s">
        <v>773</v>
      </c>
      <c r="H155" s="3" t="str">
        <f t="shared" si="171"/>
        <v>CW_2_Section_2</v>
      </c>
      <c r="I155" s="3" t="str">
        <f t="shared" si="172"/>
        <v>CW_2_MF06</v>
      </c>
      <c r="J155" s="3" t="s">
        <v>1497</v>
      </c>
      <c r="K155" s="3" t="s">
        <v>1484</v>
      </c>
      <c r="L155" s="11" t="s">
        <v>1083</v>
      </c>
      <c r="M155" s="3" t="s">
        <v>1024</v>
      </c>
      <c r="N155" s="3" t="s">
        <v>1024</v>
      </c>
      <c r="O155" s="12" t="s">
        <v>1016</v>
      </c>
      <c r="P155" s="3" t="s">
        <v>1370</v>
      </c>
      <c r="Q155" s="3" t="s">
        <v>1018</v>
      </c>
      <c r="R155" s="3" t="s">
        <v>1343</v>
      </c>
      <c r="S155" s="3" t="str">
        <f t="shared" si="173"/>
        <v>T6_0.60-0.80</v>
      </c>
      <c r="T155" s="13" t="s">
        <v>1344</v>
      </c>
      <c r="U155" s="3" t="s">
        <v>1053</v>
      </c>
      <c r="V155" s="3">
        <v>150</v>
      </c>
      <c r="W155" s="3">
        <v>65</v>
      </c>
      <c r="X155" s="3">
        <v>3.5</v>
      </c>
      <c r="Y155" s="3">
        <v>154</v>
      </c>
      <c r="Z155" t="s">
        <v>688</v>
      </c>
      <c r="AA155" t="s">
        <v>186</v>
      </c>
      <c r="AB155" s="1">
        <v>45883</v>
      </c>
      <c r="AC155">
        <v>5</v>
      </c>
      <c r="AD155">
        <v>5.9</v>
      </c>
      <c r="AE155">
        <v>21</v>
      </c>
      <c r="AF155" s="37">
        <f t="shared" si="187"/>
        <v>8.0655485853283818E-3</v>
      </c>
      <c r="AG155">
        <v>1.2</v>
      </c>
      <c r="AH155" s="37">
        <f t="shared" si="188"/>
        <v>4.6885174734100283E-4</v>
      </c>
      <c r="AI155">
        <v>63</v>
      </c>
      <c r="AJ155" s="37">
        <f t="shared" si="189"/>
        <v>2.4922294433455779E-2</v>
      </c>
      <c r="AK155">
        <v>13</v>
      </c>
      <c r="AL155" s="37">
        <f t="shared" si="190"/>
        <v>5.1426956767448434E-3</v>
      </c>
      <c r="AM155">
        <v>7.1</v>
      </c>
      <c r="AN155" s="37">
        <f t="shared" si="191"/>
        <v>2.8087030234529523E-3</v>
      </c>
      <c r="AO155">
        <v>20.100000000000001</v>
      </c>
      <c r="AQ155" s="59">
        <v>105.3</v>
      </c>
      <c r="AR155" s="59">
        <f t="shared" si="192"/>
        <v>3.3456694766125165E-2</v>
      </c>
      <c r="AS155">
        <v>400</v>
      </c>
      <c r="AT155" s="37">
        <f t="shared" si="193"/>
        <v>0.14980104548646328</v>
      </c>
      <c r="AU155" t="s">
        <v>780</v>
      </c>
      <c r="AV155" t="s">
        <v>780</v>
      </c>
      <c r="AW155" t="s">
        <v>780</v>
      </c>
      <c r="AX155" t="s">
        <v>780</v>
      </c>
      <c r="AY155" t="s">
        <v>780</v>
      </c>
      <c r="AZ155" t="s">
        <v>780</v>
      </c>
      <c r="BA155" t="s">
        <v>780</v>
      </c>
      <c r="BB155" t="s">
        <v>780</v>
      </c>
      <c r="BC155" t="s">
        <v>780</v>
      </c>
      <c r="BD155" t="s">
        <v>780</v>
      </c>
      <c r="BE155" t="s">
        <v>780</v>
      </c>
      <c r="BF155" t="s">
        <v>780</v>
      </c>
      <c r="BG155" t="s">
        <v>780</v>
      </c>
      <c r="BH155" t="s">
        <v>780</v>
      </c>
      <c r="BI155" t="s">
        <v>780</v>
      </c>
      <c r="BJ155" t="s">
        <v>780</v>
      </c>
      <c r="BK155" t="s">
        <v>780</v>
      </c>
      <c r="BL155" t="s">
        <v>780</v>
      </c>
      <c r="BM155" t="s">
        <v>780</v>
      </c>
      <c r="BN155" t="s">
        <v>780</v>
      </c>
      <c r="BO155" s="58">
        <v>0.17</v>
      </c>
      <c r="BP155" s="58">
        <v>19</v>
      </c>
      <c r="BQ155" s="58">
        <v>60</v>
      </c>
      <c r="BR155" s="58">
        <v>27</v>
      </c>
      <c r="BS155" s="58">
        <v>2.5</v>
      </c>
      <c r="BT155" s="58">
        <v>0.51</v>
      </c>
      <c r="BU155" s="58">
        <v>0.06</v>
      </c>
      <c r="BV155" s="58">
        <v>0.04</v>
      </c>
      <c r="BW155" s="31">
        <f t="shared" si="194"/>
        <v>6.36654443317469E-5</v>
      </c>
      <c r="BX155" s="31">
        <f t="shared" si="195"/>
        <v>6.9912609238451931E-3</v>
      </c>
      <c r="BY155" s="31">
        <f t="shared" si="196"/>
        <v>2.2566629920238637E-2</v>
      </c>
      <c r="BZ155" s="31">
        <f t="shared" si="197"/>
        <v>1.0070990253880399E-2</v>
      </c>
      <c r="CA155" s="31">
        <f t="shared" si="198"/>
        <v>9.2577007237838748E-4</v>
      </c>
      <c r="CB155" s="31">
        <f t="shared" si="199"/>
        <v>1.8885709476519107E-4</v>
      </c>
      <c r="CC155" s="31">
        <f t="shared" si="200"/>
        <v>2.1953028430160689E-5</v>
      </c>
      <c r="CD155" s="31">
        <f t="shared" si="201"/>
        <v>1.4635352286773795E-5</v>
      </c>
      <c r="CE155">
        <v>1E-3</v>
      </c>
      <c r="CF155">
        <v>1E-3</v>
      </c>
      <c r="CG155">
        <v>2E-3</v>
      </c>
      <c r="CH155">
        <v>1E-3</v>
      </c>
      <c r="CI155">
        <v>1E-3</v>
      </c>
      <c r="CK155">
        <v>2E-3</v>
      </c>
      <c r="CL155">
        <v>1E-3</v>
      </c>
      <c r="CM155">
        <v>1E-3</v>
      </c>
      <c r="CN155" s="58">
        <f t="shared" si="227"/>
        <v>109.28000000000002</v>
      </c>
      <c r="CO155" s="58">
        <f t="shared" si="202"/>
        <v>109.11000000000001</v>
      </c>
      <c r="CP155" s="31">
        <f t="shared" si="203"/>
        <v>4.0843762090156485E-2</v>
      </c>
      <c r="CQ155" s="31">
        <f t="shared" si="204"/>
        <v>4.0780096645824743E-2</v>
      </c>
      <c r="CR155">
        <v>110</v>
      </c>
      <c r="CS155">
        <v>500</v>
      </c>
      <c r="CT155">
        <v>220</v>
      </c>
      <c r="CU155" t="s">
        <v>69</v>
      </c>
      <c r="CV155" t="s">
        <v>69</v>
      </c>
      <c r="CW155">
        <v>710</v>
      </c>
      <c r="CX155" s="2">
        <f t="shared" si="174"/>
        <v>215.3</v>
      </c>
      <c r="CZ155">
        <v>43</v>
      </c>
      <c r="DA155" t="s">
        <v>62</v>
      </c>
      <c r="DB155" t="s">
        <v>88</v>
      </c>
      <c r="DC155" t="s">
        <v>782</v>
      </c>
      <c r="DD155" s="37">
        <f t="shared" si="175"/>
        <v>61.618155319591921</v>
      </c>
      <c r="DE155" s="37">
        <f t="shared" si="228"/>
        <v>61.618155319591921</v>
      </c>
      <c r="DF155" s="37">
        <v>0.8</v>
      </c>
      <c r="DG155" s="37">
        <f t="shared" si="176"/>
        <v>1.432408236347359E-2</v>
      </c>
      <c r="DH155" s="37">
        <f t="shared" si="205"/>
        <v>1.432408236347359E-2</v>
      </c>
      <c r="DI155" s="37">
        <f t="shared" si="177"/>
        <v>62.418155319591918</v>
      </c>
      <c r="DJ155" s="37">
        <f t="shared" si="206"/>
        <v>1.1176034972174023</v>
      </c>
      <c r="DK155" s="37">
        <f t="shared" si="207"/>
        <v>1.1176034972174023</v>
      </c>
      <c r="DL155" s="55">
        <f t="shared" si="208"/>
        <v>33.715594420154069</v>
      </c>
      <c r="DM155" s="55">
        <f t="shared" si="208"/>
        <v>33.715594420154069</v>
      </c>
      <c r="DN155" s="37">
        <f t="shared" si="209"/>
        <v>34.515594420154066</v>
      </c>
      <c r="DO155" s="55">
        <f t="shared" si="210"/>
        <v>0.61800527162317043</v>
      </c>
      <c r="DP155" s="55">
        <f t="shared" si="211"/>
        <v>0.61800527162317043</v>
      </c>
      <c r="DQ155" s="37">
        <v>0.9</v>
      </c>
      <c r="DR155" s="37">
        <f t="shared" si="212"/>
        <v>1.6384489350081924E-2</v>
      </c>
      <c r="DS155" s="37">
        <f t="shared" si="213"/>
        <v>3.2768978700163848E-2</v>
      </c>
      <c r="DT155" s="37">
        <f t="shared" si="178"/>
        <v>68.211066780168778</v>
      </c>
      <c r="DU155" s="37">
        <f t="shared" si="179"/>
        <v>34.105533390084389</v>
      </c>
      <c r="DV155" s="37">
        <f t="shared" si="180"/>
        <v>63.318155319591916</v>
      </c>
      <c r="DW155" s="37">
        <f t="shared" si="181"/>
        <v>1.1503724759175662</v>
      </c>
      <c r="DX155">
        <v>6</v>
      </c>
      <c r="DY155" t="s">
        <v>499</v>
      </c>
      <c r="DZ155" s="29">
        <f t="shared" si="167"/>
        <v>1</v>
      </c>
      <c r="EA155" s="30">
        <v>1.7000000000000001E-2</v>
      </c>
      <c r="EB155" s="30">
        <f t="shared" si="214"/>
        <v>2.741935483870968E-4</v>
      </c>
      <c r="EC155" s="30">
        <f t="shared" si="215"/>
        <v>1.370967741935484E-3</v>
      </c>
      <c r="ED155" s="31">
        <f t="shared" si="229"/>
        <v>106</v>
      </c>
      <c r="EE155" s="33">
        <f t="shared" si="230"/>
        <v>75.714285714285708</v>
      </c>
      <c r="EF155" s="37">
        <f t="shared" si="182"/>
        <v>8.827815948365604</v>
      </c>
      <c r="EG155" s="37">
        <f>$EK153-EK155</f>
        <v>58</v>
      </c>
      <c r="EH155" s="33">
        <f>(EG155/$EK153)*100</f>
        <v>63.04347826086957</v>
      </c>
      <c r="EI155" s="37">
        <f t="shared" si="231"/>
        <v>4.8303143868415575</v>
      </c>
      <c r="EJ155" s="37">
        <f t="shared" si="232"/>
        <v>4.8303143868415575</v>
      </c>
      <c r="EK155" s="31">
        <v>34</v>
      </c>
      <c r="EL155" s="31">
        <f t="shared" si="216"/>
        <v>0.35394545075994172</v>
      </c>
      <c r="EM155" s="31">
        <f t="shared" si="217"/>
        <v>2.8315636060795337</v>
      </c>
      <c r="EN155" s="32">
        <f t="shared" si="183"/>
        <v>2.8329345738214693</v>
      </c>
      <c r="EO155" s="39">
        <f t="shared" si="218"/>
        <v>9.9781884242831698</v>
      </c>
      <c r="EP155" s="37">
        <f t="shared" si="184"/>
        <v>3.2840609243674373E-3</v>
      </c>
      <c r="EQ155" s="37">
        <f t="shared" si="185"/>
        <v>0.11200464951108503</v>
      </c>
      <c r="ER155" s="37">
        <f t="shared" si="186"/>
        <v>0.88471128956454759</v>
      </c>
      <c r="ES155" s="39">
        <f t="shared" si="219"/>
        <v>5.4810886371648913</v>
      </c>
      <c r="ET155" s="55">
        <f t="shared" si="220"/>
        <v>11.275228563770051</v>
      </c>
      <c r="EU155" s="55">
        <f t="shared" si="221"/>
        <v>0.59785529608062848</v>
      </c>
      <c r="EV155" s="55">
        <f t="shared" si="222"/>
        <v>88.126916140149319</v>
      </c>
      <c r="EW155" t="s">
        <v>230</v>
      </c>
      <c r="EX155" t="s">
        <v>110</v>
      </c>
      <c r="EY155">
        <v>-178</v>
      </c>
      <c r="EZ155" t="s">
        <v>673</v>
      </c>
      <c r="FA155">
        <v>508</v>
      </c>
      <c r="FB155" t="s">
        <v>113</v>
      </c>
      <c r="FC155" t="s">
        <v>88</v>
      </c>
      <c r="FD155" s="39">
        <f t="shared" si="223"/>
        <v>-9.7949306840305805</v>
      </c>
      <c r="FE155" s="39">
        <f t="shared" si="224"/>
        <v>-9.7541505873847569</v>
      </c>
      <c r="FF155" s="39">
        <f t="shared" si="225"/>
        <v>-5.2978308969123029</v>
      </c>
      <c r="FG155" s="39">
        <f t="shared" si="226"/>
        <v>-5.2570508002664784</v>
      </c>
    </row>
    <row r="156" spans="1:163" ht="15.75" x14ac:dyDescent="0.25">
      <c r="A156" s="7" t="s">
        <v>414</v>
      </c>
      <c r="B156" s="7" t="s">
        <v>414</v>
      </c>
      <c r="C156" s="3" t="s">
        <v>945</v>
      </c>
      <c r="D156" s="3" t="s">
        <v>945</v>
      </c>
      <c r="E156" s="3" t="s">
        <v>1371</v>
      </c>
      <c r="F156" s="3" t="s">
        <v>1034</v>
      </c>
      <c r="G156" s="3" t="s">
        <v>773</v>
      </c>
      <c r="H156" s="3" t="str">
        <f t="shared" si="171"/>
        <v>CW_2_Section_3</v>
      </c>
      <c r="I156" s="3" t="str">
        <f t="shared" si="172"/>
        <v>CW_2_MF09</v>
      </c>
      <c r="J156" s="3" t="s">
        <v>1492</v>
      </c>
      <c r="K156" s="3" t="s">
        <v>1484</v>
      </c>
      <c r="L156" s="11" t="s">
        <v>1086</v>
      </c>
      <c r="M156" s="3" t="s">
        <v>1015</v>
      </c>
      <c r="N156" s="3" t="s">
        <v>1015</v>
      </c>
      <c r="O156" s="12" t="s">
        <v>1016</v>
      </c>
      <c r="P156" s="3" t="s">
        <v>1372</v>
      </c>
      <c r="Q156" s="3" t="s">
        <v>1018</v>
      </c>
      <c r="R156" s="3" t="s">
        <v>1343</v>
      </c>
      <c r="S156" s="3" t="str">
        <f t="shared" si="173"/>
        <v>T6_0.15-0.30</v>
      </c>
      <c r="T156" s="13" t="s">
        <v>1344</v>
      </c>
      <c r="U156" s="3" t="s">
        <v>1053</v>
      </c>
      <c r="V156" s="3">
        <v>150</v>
      </c>
      <c r="W156" s="3">
        <v>65</v>
      </c>
      <c r="X156" s="3">
        <v>5.75</v>
      </c>
      <c r="Y156" s="3">
        <v>155</v>
      </c>
      <c r="Z156" t="s">
        <v>694</v>
      </c>
      <c r="AA156" t="s">
        <v>219</v>
      </c>
      <c r="AB156" s="1">
        <v>45884</v>
      </c>
      <c r="AC156">
        <v>21</v>
      </c>
      <c r="AD156">
        <v>19</v>
      </c>
      <c r="AE156">
        <v>24</v>
      </c>
      <c r="AF156" s="37">
        <f t="shared" si="187"/>
        <v>9.2177698118038661E-3</v>
      </c>
      <c r="AG156">
        <v>0.1</v>
      </c>
      <c r="AH156" s="37">
        <f t="shared" si="188"/>
        <v>3.9070978945083576E-5</v>
      </c>
      <c r="AI156">
        <v>32</v>
      </c>
      <c r="AJ156" s="37">
        <f t="shared" si="189"/>
        <v>1.2658943204294998E-2</v>
      </c>
      <c r="AK156">
        <v>21</v>
      </c>
      <c r="AL156" s="37">
        <f t="shared" si="190"/>
        <v>8.3074314778185925E-3</v>
      </c>
      <c r="AM156">
        <v>19</v>
      </c>
      <c r="AN156" s="37">
        <f t="shared" si="191"/>
        <v>7.5162475275501557E-3</v>
      </c>
      <c r="AO156">
        <v>40</v>
      </c>
      <c r="AQ156" s="59">
        <v>96.7</v>
      </c>
      <c r="AR156" s="59">
        <f t="shared" si="192"/>
        <v>2.1915783995043948E-2</v>
      </c>
      <c r="AS156">
        <v>230</v>
      </c>
      <c r="AT156" s="37">
        <f t="shared" si="193"/>
        <v>8.6135601154716385E-2</v>
      </c>
      <c r="AU156" t="s">
        <v>780</v>
      </c>
      <c r="AV156" t="s">
        <v>780</v>
      </c>
      <c r="AW156" t="s">
        <v>780</v>
      </c>
      <c r="AX156" t="s">
        <v>780</v>
      </c>
      <c r="AY156" t="s">
        <v>780</v>
      </c>
      <c r="AZ156" t="s">
        <v>780</v>
      </c>
      <c r="BA156" t="s">
        <v>780</v>
      </c>
      <c r="BB156" t="s">
        <v>780</v>
      </c>
      <c r="BC156" t="s">
        <v>780</v>
      </c>
      <c r="BD156" t="s">
        <v>780</v>
      </c>
      <c r="BE156" t="s">
        <v>780</v>
      </c>
      <c r="BF156" t="s">
        <v>780</v>
      </c>
      <c r="BG156" t="s">
        <v>780</v>
      </c>
      <c r="BH156" t="s">
        <v>780</v>
      </c>
      <c r="BI156" t="s">
        <v>780</v>
      </c>
      <c r="BJ156" t="s">
        <v>780</v>
      </c>
      <c r="BK156" t="s">
        <v>780</v>
      </c>
      <c r="BL156" t="s">
        <v>780</v>
      </c>
      <c r="BM156" t="s">
        <v>780</v>
      </c>
      <c r="BN156" t="s">
        <v>780</v>
      </c>
      <c r="BO156" s="58">
        <v>210</v>
      </c>
      <c r="BP156" s="58">
        <v>0.01</v>
      </c>
      <c r="BQ156" s="58">
        <v>0.01</v>
      </c>
      <c r="BR156" s="58">
        <v>5.0000000000000001E-3</v>
      </c>
      <c r="BS156" s="58">
        <v>1E-3</v>
      </c>
      <c r="BT156" s="58">
        <v>1E-3</v>
      </c>
      <c r="BU156" s="58">
        <v>1E-3</v>
      </c>
      <c r="BV156" s="58">
        <v>2E-3</v>
      </c>
      <c r="BW156" s="31">
        <f t="shared" si="194"/>
        <v>7.8645548880393226E-2</v>
      </c>
      <c r="BX156" s="31">
        <f t="shared" si="195"/>
        <v>3.6796110125501018E-6</v>
      </c>
      <c r="BY156" s="31">
        <f t="shared" si="196"/>
        <v>3.7611049867064394E-6</v>
      </c>
      <c r="BZ156" s="31">
        <f t="shared" si="197"/>
        <v>1.8649981951630372E-6</v>
      </c>
      <c r="CA156" s="31">
        <f t="shared" si="198"/>
        <v>3.7030802895135499E-7</v>
      </c>
      <c r="CB156" s="31">
        <f t="shared" si="199"/>
        <v>3.7030802895135499E-7</v>
      </c>
      <c r="CC156" s="31">
        <f t="shared" si="200"/>
        <v>3.6588380716934485E-7</v>
      </c>
      <c r="CD156" s="31">
        <f t="shared" si="201"/>
        <v>7.3176761433868969E-7</v>
      </c>
      <c r="CE156">
        <v>1E-3</v>
      </c>
      <c r="CF156">
        <v>1E-3</v>
      </c>
      <c r="CG156">
        <v>2E-3</v>
      </c>
      <c r="CH156">
        <v>1E-3</v>
      </c>
      <c r="CI156">
        <v>1E-3</v>
      </c>
      <c r="CK156">
        <v>2E-3</v>
      </c>
      <c r="CL156">
        <v>1E-3</v>
      </c>
      <c r="CM156">
        <v>1E-3</v>
      </c>
      <c r="CN156" s="58">
        <f t="shared" si="227"/>
        <v>210.03</v>
      </c>
      <c r="CO156" s="58">
        <f t="shared" si="202"/>
        <v>3.0000000000000006E-2</v>
      </c>
      <c r="CP156" s="31">
        <f t="shared" si="203"/>
        <v>7.8656692862067057E-2</v>
      </c>
      <c r="CQ156" s="31">
        <f t="shared" si="204"/>
        <v>1.1143981673830322E-5</v>
      </c>
      <c r="CR156">
        <v>210</v>
      </c>
      <c r="CS156">
        <v>310</v>
      </c>
      <c r="CT156" t="s">
        <v>69</v>
      </c>
      <c r="CU156" t="s">
        <v>69</v>
      </c>
      <c r="CV156" t="s">
        <v>69</v>
      </c>
      <c r="CW156">
        <v>320</v>
      </c>
      <c r="CX156" s="2">
        <f t="shared" si="174"/>
        <v>306.7</v>
      </c>
      <c r="CZ156">
        <v>72</v>
      </c>
      <c r="DA156" t="s">
        <v>62</v>
      </c>
      <c r="DB156" t="s">
        <v>88</v>
      </c>
      <c r="DC156" t="s">
        <v>782</v>
      </c>
      <c r="DD156" s="37">
        <f t="shared" si="175"/>
        <v>81.091817613991253</v>
      </c>
      <c r="DE156" s="37">
        <f t="shared" si="228"/>
        <v>81.091817613991253</v>
      </c>
      <c r="DF156" s="37">
        <v>16</v>
      </c>
      <c r="DG156" s="37">
        <f t="shared" si="176"/>
        <v>0.28648164726947178</v>
      </c>
      <c r="DH156" s="37">
        <f t="shared" si="205"/>
        <v>0.28648164726947178</v>
      </c>
      <c r="DI156" s="37">
        <f t="shared" si="177"/>
        <v>97.091817613991253</v>
      </c>
      <c r="DJ156" s="37">
        <f t="shared" si="206"/>
        <v>1.7384389904027082</v>
      </c>
      <c r="DK156" s="37">
        <f t="shared" si="207"/>
        <v>1.7384389904027082</v>
      </c>
      <c r="DL156" s="55">
        <f t="shared" si="208"/>
        <v>22.380179054757441</v>
      </c>
      <c r="DM156" s="55">
        <f t="shared" si="208"/>
        <v>22.380179054757441</v>
      </c>
      <c r="DN156" s="37">
        <f t="shared" si="209"/>
        <v>38.380179054757441</v>
      </c>
      <c r="DO156" s="55">
        <f t="shared" si="210"/>
        <v>0.68720105738151194</v>
      </c>
      <c r="DP156" s="55">
        <f t="shared" si="211"/>
        <v>0.68720105738151194</v>
      </c>
      <c r="DQ156" s="37">
        <v>3.9</v>
      </c>
      <c r="DR156" s="37">
        <f t="shared" si="212"/>
        <v>7.0999453850354999E-2</v>
      </c>
      <c r="DS156" s="37">
        <f t="shared" si="213"/>
        <v>0.14199890770071</v>
      </c>
      <c r="DT156" s="37">
        <f t="shared" si="178"/>
        <v>24.485244549441219</v>
      </c>
      <c r="DU156" s="37">
        <f t="shared" si="179"/>
        <v>12.24262227472061</v>
      </c>
      <c r="DV156" s="37">
        <f t="shared" si="180"/>
        <v>100.99181761399126</v>
      </c>
      <c r="DW156" s="37">
        <f t="shared" si="181"/>
        <v>1.8804378981034182</v>
      </c>
      <c r="DX156">
        <v>14</v>
      </c>
      <c r="DY156">
        <v>1</v>
      </c>
      <c r="DZ156" s="29">
        <f t="shared" si="167"/>
        <v>1</v>
      </c>
      <c r="EA156" s="30">
        <v>1.7000000000000001E-2</v>
      </c>
      <c r="EB156" s="30">
        <f t="shared" si="214"/>
        <v>2.741935483870968E-4</v>
      </c>
      <c r="EC156" s="30">
        <f t="shared" si="215"/>
        <v>1.370967741935484E-3</v>
      </c>
      <c r="ED156" s="31">
        <f t="shared" si="229"/>
        <v>139.5</v>
      </c>
      <c r="EE156" s="33">
        <f t="shared" si="230"/>
        <v>99.642857142857139</v>
      </c>
      <c r="EF156" s="37">
        <f t="shared" si="182"/>
        <v>11.617738913179263</v>
      </c>
      <c r="EG156" s="37">
        <f>$EK154-EK156</f>
        <v>38.5</v>
      </c>
      <c r="EH156" s="33">
        <f>(EG156/$EK154)*100</f>
        <v>98.71794871794873</v>
      </c>
      <c r="EI156" s="37">
        <f t="shared" si="231"/>
        <v>3.2063293774724131</v>
      </c>
      <c r="EJ156" s="37">
        <f t="shared" si="232"/>
        <v>3.2063293774724131</v>
      </c>
      <c r="EK156" s="31">
        <v>0.5</v>
      </c>
      <c r="EL156" s="31">
        <f t="shared" si="216"/>
        <v>5.2050801582344368E-3</v>
      </c>
      <c r="EM156" s="31">
        <f t="shared" si="217"/>
        <v>4.1640641265875494E-2</v>
      </c>
      <c r="EN156" s="32">
        <f t="shared" si="183"/>
        <v>4.301160900781098E-2</v>
      </c>
      <c r="EO156" s="39">
        <f t="shared" si="218"/>
        <v>13.498176811282681</v>
      </c>
      <c r="EP156" s="37">
        <f t="shared" si="184"/>
        <v>1.0519858325015997E-2</v>
      </c>
      <c r="EQ156" s="37">
        <f t="shared" si="185"/>
        <v>0.1287906518567459</v>
      </c>
      <c r="ER156" s="37">
        <f t="shared" si="186"/>
        <v>0.86068948981823812</v>
      </c>
      <c r="ES156" s="39">
        <f t="shared" si="219"/>
        <v>4.0355293425546348</v>
      </c>
      <c r="ET156" s="55">
        <f t="shared" si="220"/>
        <v>17.028771173461198</v>
      </c>
      <c r="EU156" s="55">
        <f t="shared" si="221"/>
        <v>3.5187182559505219</v>
      </c>
      <c r="EV156" s="55">
        <f t="shared" si="222"/>
        <v>79.452510570588288</v>
      </c>
      <c r="EW156" t="s">
        <v>695</v>
      </c>
      <c r="EX156" t="s">
        <v>629</v>
      </c>
      <c r="EY156">
        <v>-177</v>
      </c>
      <c r="EZ156" t="s">
        <v>562</v>
      </c>
      <c r="FA156">
        <v>1170</v>
      </c>
      <c r="FB156" t="s">
        <v>113</v>
      </c>
      <c r="FC156" t="s">
        <v>88</v>
      </c>
      <c r="FD156" s="39">
        <f t="shared" si="223"/>
        <v>-13.39012542613292</v>
      </c>
      <c r="FE156" s="39">
        <f t="shared" si="224"/>
        <v>-13.390114282151247</v>
      </c>
      <c r="FF156" s="39">
        <f t="shared" si="225"/>
        <v>-3.9274779574048746</v>
      </c>
      <c r="FG156" s="39">
        <f t="shared" si="226"/>
        <v>-3.9274668134232007</v>
      </c>
    </row>
    <row r="157" spans="1:163" ht="15.75" x14ac:dyDescent="0.25">
      <c r="A157" s="7" t="s">
        <v>415</v>
      </c>
      <c r="B157" s="7" t="s">
        <v>415</v>
      </c>
      <c r="C157" s="3" t="s">
        <v>946</v>
      </c>
      <c r="D157" s="3" t="s">
        <v>946</v>
      </c>
      <c r="E157" s="3" t="s">
        <v>1373</v>
      </c>
      <c r="F157" s="3" t="s">
        <v>1034</v>
      </c>
      <c r="G157" s="3" t="s">
        <v>773</v>
      </c>
      <c r="H157" s="3" t="str">
        <f t="shared" si="171"/>
        <v>CW_2_Section_3</v>
      </c>
      <c r="I157" s="3" t="str">
        <f t="shared" si="172"/>
        <v>CW_2_MF10</v>
      </c>
      <c r="J157" s="3" t="s">
        <v>1493</v>
      </c>
      <c r="K157" s="3" t="s">
        <v>1484</v>
      </c>
      <c r="L157" s="11" t="s">
        <v>1089</v>
      </c>
      <c r="M157" s="3" t="s">
        <v>1024</v>
      </c>
      <c r="N157" s="3" t="s">
        <v>1024</v>
      </c>
      <c r="O157" s="12" t="s">
        <v>1016</v>
      </c>
      <c r="P157" s="3" t="s">
        <v>1374</v>
      </c>
      <c r="Q157" s="3" t="s">
        <v>1018</v>
      </c>
      <c r="R157" s="3" t="s">
        <v>1343</v>
      </c>
      <c r="S157" s="3" t="str">
        <f t="shared" si="173"/>
        <v>T6_0.60-0.80</v>
      </c>
      <c r="T157" s="13" t="s">
        <v>1344</v>
      </c>
      <c r="U157" s="3" t="s">
        <v>1053</v>
      </c>
      <c r="V157" s="3">
        <v>150</v>
      </c>
      <c r="W157" s="3">
        <v>65</v>
      </c>
      <c r="X157" s="3">
        <v>4.55</v>
      </c>
      <c r="Y157" s="3">
        <v>156</v>
      </c>
      <c r="Z157" t="s">
        <v>696</v>
      </c>
      <c r="AA157" t="s">
        <v>228</v>
      </c>
      <c r="AB157" s="1">
        <v>45884</v>
      </c>
      <c r="AC157">
        <v>9.5</v>
      </c>
      <c r="AD157">
        <v>10</v>
      </c>
      <c r="AE157">
        <v>180</v>
      </c>
      <c r="AF157" s="37">
        <f t="shared" si="187"/>
        <v>6.9133273588528998E-2</v>
      </c>
      <c r="AG157">
        <v>1.9</v>
      </c>
      <c r="AH157" s="37">
        <f t="shared" si="188"/>
        <v>7.4234859995658776E-4</v>
      </c>
      <c r="AI157">
        <v>210</v>
      </c>
      <c r="AJ157" s="37">
        <f t="shared" si="189"/>
        <v>8.3074314778185929E-2</v>
      </c>
      <c r="AK157">
        <v>37</v>
      </c>
      <c r="AL157" s="37">
        <f t="shared" si="190"/>
        <v>1.4636903079966092E-2</v>
      </c>
      <c r="AM157">
        <v>39</v>
      </c>
      <c r="AN157" s="37">
        <f t="shared" si="191"/>
        <v>1.5428087030234528E-2</v>
      </c>
      <c r="AO157">
        <v>76</v>
      </c>
      <c r="AQ157" s="59">
        <v>467.9</v>
      </c>
      <c r="AR157" s="59">
        <f t="shared" si="192"/>
        <v>0.15294993696667153</v>
      </c>
      <c r="AS157">
        <v>900</v>
      </c>
      <c r="AT157" s="37">
        <f t="shared" si="193"/>
        <v>0.33705235234454245</v>
      </c>
      <c r="AU157" t="s">
        <v>780</v>
      </c>
      <c r="AV157" t="s">
        <v>780</v>
      </c>
      <c r="AW157" t="s">
        <v>780</v>
      </c>
      <c r="AX157" t="s">
        <v>780</v>
      </c>
      <c r="AY157" t="s">
        <v>780</v>
      </c>
      <c r="AZ157" t="s">
        <v>780</v>
      </c>
      <c r="BA157" t="s">
        <v>780</v>
      </c>
      <c r="BB157" t="s">
        <v>780</v>
      </c>
      <c r="BC157" t="s">
        <v>780</v>
      </c>
      <c r="BD157" t="s">
        <v>780</v>
      </c>
      <c r="BE157" t="s">
        <v>780</v>
      </c>
      <c r="BF157" t="s">
        <v>780</v>
      </c>
      <c r="BG157" t="s">
        <v>780</v>
      </c>
      <c r="BH157" t="s">
        <v>780</v>
      </c>
      <c r="BI157" t="s">
        <v>780</v>
      </c>
      <c r="BJ157" t="s">
        <v>780</v>
      </c>
      <c r="BK157" t="s">
        <v>780</v>
      </c>
      <c r="BL157" t="s">
        <v>780</v>
      </c>
      <c r="BM157" t="s">
        <v>780</v>
      </c>
      <c r="BN157" t="s">
        <v>780</v>
      </c>
      <c r="BO157" s="58">
        <v>1400</v>
      </c>
      <c r="BP157" s="58">
        <v>4</v>
      </c>
      <c r="BQ157" s="58">
        <v>82</v>
      </c>
      <c r="BR157" s="58">
        <v>4.0999999999999996</v>
      </c>
      <c r="BS157" s="58">
        <v>0.26</v>
      </c>
      <c r="BT157" s="58">
        <v>0.03</v>
      </c>
      <c r="BU157" s="58">
        <v>0.01</v>
      </c>
      <c r="BV157" s="58">
        <v>2E-3</v>
      </c>
      <c r="BW157" s="31">
        <f t="shared" si="194"/>
        <v>0.52430365920262156</v>
      </c>
      <c r="BX157" s="31">
        <f t="shared" si="195"/>
        <v>1.4718444050200407E-3</v>
      </c>
      <c r="BY157" s="31">
        <f t="shared" si="196"/>
        <v>3.08410608909928E-2</v>
      </c>
      <c r="BZ157" s="31">
        <f t="shared" si="197"/>
        <v>1.5292985200336903E-3</v>
      </c>
      <c r="CA157" s="31">
        <f t="shared" si="198"/>
        <v>9.6280087527352302E-5</v>
      </c>
      <c r="CB157" s="31">
        <f t="shared" si="199"/>
        <v>1.110924086854065E-5</v>
      </c>
      <c r="CC157" s="31">
        <f t="shared" si="200"/>
        <v>3.6588380716934487E-6</v>
      </c>
      <c r="CD157" s="31">
        <f t="shared" si="201"/>
        <v>7.3176761433868969E-7</v>
      </c>
      <c r="CE157">
        <v>1E-3</v>
      </c>
      <c r="CF157">
        <v>1E-3</v>
      </c>
      <c r="CG157">
        <v>2E-3</v>
      </c>
      <c r="CH157">
        <v>1E-3</v>
      </c>
      <c r="CI157">
        <v>1E-3</v>
      </c>
      <c r="CK157">
        <v>2E-3</v>
      </c>
      <c r="CL157">
        <v>1E-3</v>
      </c>
      <c r="CM157">
        <v>1E-3</v>
      </c>
      <c r="CN157" s="58">
        <f t="shared" si="227"/>
        <v>1490.4019999999998</v>
      </c>
      <c r="CO157" s="58">
        <f t="shared" si="202"/>
        <v>90.402000000000001</v>
      </c>
      <c r="CP157" s="31">
        <f t="shared" si="203"/>
        <v>0.55825764295275015</v>
      </c>
      <c r="CQ157" s="31">
        <f t="shared" si="204"/>
        <v>3.3953983750128452E-2</v>
      </c>
      <c r="CR157">
        <v>1500</v>
      </c>
      <c r="CS157">
        <v>1300</v>
      </c>
      <c r="CT157">
        <v>360</v>
      </c>
      <c r="CU157" t="s">
        <v>69</v>
      </c>
      <c r="CV157" t="s">
        <v>69</v>
      </c>
      <c r="CW157">
        <v>1700</v>
      </c>
      <c r="CX157" s="2">
        <f t="shared" si="174"/>
        <v>1967.9</v>
      </c>
      <c r="CZ157">
        <v>50</v>
      </c>
      <c r="DA157" t="s">
        <v>62</v>
      </c>
      <c r="DB157" t="s">
        <v>88</v>
      </c>
      <c r="DC157" t="s">
        <v>782</v>
      </c>
      <c r="DD157" s="37">
        <f t="shared" si="175"/>
        <v>75.627566104517996</v>
      </c>
      <c r="DE157" s="37">
        <f t="shared" si="228"/>
        <v>75.627566104517996</v>
      </c>
      <c r="DF157" s="37">
        <v>8.9</v>
      </c>
      <c r="DG157" s="37">
        <f t="shared" si="176"/>
        <v>0.15935541629364369</v>
      </c>
      <c r="DH157" s="37">
        <f t="shared" si="205"/>
        <v>0.15935541629364369</v>
      </c>
      <c r="DI157" s="37">
        <f t="shared" si="177"/>
        <v>84.527566104518002</v>
      </c>
      <c r="DJ157" s="37">
        <f t="shared" si="206"/>
        <v>1.513474773581343</v>
      </c>
      <c r="DK157" s="37">
        <f t="shared" si="207"/>
        <v>1.513474773581343</v>
      </c>
      <c r="DL157" s="55">
        <f t="shared" si="208"/>
        <v>14.009410784926088</v>
      </c>
      <c r="DM157" s="55">
        <f t="shared" si="208"/>
        <v>14.009410784926088</v>
      </c>
      <c r="DN157" s="37">
        <f t="shared" si="209"/>
        <v>22.909410784926088</v>
      </c>
      <c r="DO157" s="55">
        <f t="shared" si="210"/>
        <v>0.41019535872741425</v>
      </c>
      <c r="DP157" s="55">
        <f t="shared" si="211"/>
        <v>0.41019535872741425</v>
      </c>
      <c r="DQ157" s="37">
        <v>3.1</v>
      </c>
      <c r="DR157" s="37">
        <f t="shared" si="212"/>
        <v>5.6435463316948847E-2</v>
      </c>
      <c r="DS157" s="37">
        <f t="shared" si="213"/>
        <v>0.11287092663389769</v>
      </c>
      <c r="DT157" s="37">
        <f t="shared" si="178"/>
        <v>26.8177965525236</v>
      </c>
      <c r="DU157" s="37">
        <f t="shared" si="179"/>
        <v>13.4088982762618</v>
      </c>
      <c r="DV157" s="37">
        <f t="shared" si="180"/>
        <v>87.627566104517996</v>
      </c>
      <c r="DW157" s="37">
        <f t="shared" si="181"/>
        <v>1.6263457002152406</v>
      </c>
      <c r="DX157">
        <v>13</v>
      </c>
      <c r="DY157" t="s">
        <v>191</v>
      </c>
      <c r="DZ157" s="29">
        <f t="shared" si="167"/>
        <v>1</v>
      </c>
      <c r="EA157" s="30">
        <v>1.7000000000000001E-2</v>
      </c>
      <c r="EB157" s="30">
        <f t="shared" si="214"/>
        <v>2.741935483870968E-4</v>
      </c>
      <c r="EC157" s="30">
        <f t="shared" si="215"/>
        <v>1.370967741935484E-3</v>
      </c>
      <c r="ED157" s="31">
        <f t="shared" si="229"/>
        <v>130.1</v>
      </c>
      <c r="EE157" s="33">
        <f t="shared" si="230"/>
        <v>92.928571428571431</v>
      </c>
      <c r="EF157" s="37">
        <f t="shared" si="182"/>
        <v>10.834894857380803</v>
      </c>
      <c r="EG157" s="29">
        <f>$EK155-EK157</f>
        <v>24.1</v>
      </c>
      <c r="EH157" s="33">
        <f>(EG157/$EK155)*100</f>
        <v>70.882352941176478</v>
      </c>
      <c r="EI157" s="37">
        <f t="shared" si="231"/>
        <v>2.007078909015199</v>
      </c>
      <c r="EJ157" s="37">
        <f t="shared" si="232"/>
        <v>2.007078909015199</v>
      </c>
      <c r="EK157" s="31">
        <v>9.9</v>
      </c>
      <c r="EL157" s="31">
        <f t="shared" si="216"/>
        <v>0.10306058713304185</v>
      </c>
      <c r="EM157" s="31">
        <f t="shared" si="217"/>
        <v>0.8244846970643348</v>
      </c>
      <c r="EN157" s="32">
        <f t="shared" si="183"/>
        <v>0.82585566480627026</v>
      </c>
      <c r="EO157" s="39">
        <f t="shared" si="218"/>
        <v>12.461240557596044</v>
      </c>
      <c r="EP157" s="37">
        <f t="shared" si="184"/>
        <v>9.0577600289639335E-3</v>
      </c>
      <c r="EQ157" s="37">
        <f t="shared" si="185"/>
        <v>0.12145458283916753</v>
      </c>
      <c r="ER157" s="37">
        <f t="shared" si="186"/>
        <v>0.86948765713186849</v>
      </c>
      <c r="ES157" s="39">
        <f t="shared" si="219"/>
        <v>2.530145194376511</v>
      </c>
      <c r="ET157" s="55">
        <f t="shared" si="220"/>
        <v>16.212324875232952</v>
      </c>
      <c r="EU157" s="55">
        <f t="shared" si="221"/>
        <v>4.4610454326796773</v>
      </c>
      <c r="EV157" s="55">
        <f t="shared" si="222"/>
        <v>79.326629692087366</v>
      </c>
      <c r="EW157" t="s">
        <v>192</v>
      </c>
      <c r="EX157" t="s">
        <v>680</v>
      </c>
      <c r="EY157">
        <v>-283</v>
      </c>
      <c r="EZ157" t="s">
        <v>523</v>
      </c>
      <c r="FA157">
        <v>840</v>
      </c>
      <c r="FB157" t="s">
        <v>113</v>
      </c>
      <c r="FC157" t="s">
        <v>88</v>
      </c>
      <c r="FD157" s="39">
        <f t="shared" si="223"/>
        <v>-11.97123826828483</v>
      </c>
      <c r="FE157" s="39">
        <f t="shared" si="224"/>
        <v>-11.937284284534702</v>
      </c>
      <c r="FF157" s="39">
        <f t="shared" si="225"/>
        <v>-2.0401429050652968</v>
      </c>
      <c r="FG157" s="39">
        <f t="shared" si="226"/>
        <v>-2.0061889213151685</v>
      </c>
    </row>
    <row r="158" spans="1:163" ht="15.75" x14ac:dyDescent="0.25">
      <c r="A158" s="7" t="s">
        <v>416</v>
      </c>
      <c r="B158" s="7" t="s">
        <v>416</v>
      </c>
      <c r="C158" s="3" t="s">
        <v>947</v>
      </c>
      <c r="D158" s="3" t="s">
        <v>947</v>
      </c>
      <c r="E158" s="3" t="s">
        <v>1375</v>
      </c>
      <c r="F158" s="3" t="s">
        <v>1013</v>
      </c>
      <c r="G158" s="3" t="s">
        <v>774</v>
      </c>
      <c r="H158" s="3" t="str">
        <f t="shared" si="171"/>
        <v>CW_3_Section_1</v>
      </c>
      <c r="I158" s="3" t="str">
        <f t="shared" si="172"/>
        <v>CW_3_MF01</v>
      </c>
      <c r="J158" s="3" t="s">
        <v>1488</v>
      </c>
      <c r="K158" s="3" t="s">
        <v>1484</v>
      </c>
      <c r="L158" s="11" t="s">
        <v>1092</v>
      </c>
      <c r="M158" s="3" t="s">
        <v>1015</v>
      </c>
      <c r="N158" s="3" t="s">
        <v>1015</v>
      </c>
      <c r="O158" s="12" t="s">
        <v>1016</v>
      </c>
      <c r="P158" s="3" t="s">
        <v>1376</v>
      </c>
      <c r="Q158" s="3" t="s">
        <v>1018</v>
      </c>
      <c r="R158" s="3" t="s">
        <v>1343</v>
      </c>
      <c r="S158" s="3" t="str">
        <f t="shared" si="173"/>
        <v>T6_0.15-0.30</v>
      </c>
      <c r="T158" s="13" t="s">
        <v>1344</v>
      </c>
      <c r="U158" s="3" t="s">
        <v>1053</v>
      </c>
      <c r="V158" s="3">
        <v>150</v>
      </c>
      <c r="W158" s="3">
        <v>65</v>
      </c>
      <c r="X158" s="3">
        <v>12.75</v>
      </c>
      <c r="Y158" s="3">
        <v>157</v>
      </c>
      <c r="Z158" t="s">
        <v>689</v>
      </c>
      <c r="AA158" t="s">
        <v>241</v>
      </c>
      <c r="AB158" s="1">
        <v>45883</v>
      </c>
      <c r="AC158">
        <v>17</v>
      </c>
      <c r="AD158">
        <v>17</v>
      </c>
      <c r="AE158">
        <v>400</v>
      </c>
      <c r="AF158" s="37">
        <f t="shared" si="187"/>
        <v>0.15362949686339777</v>
      </c>
      <c r="AG158">
        <v>4.7</v>
      </c>
      <c r="AH158" s="37">
        <f t="shared" si="188"/>
        <v>1.8363360104189277E-3</v>
      </c>
      <c r="AI158">
        <v>260</v>
      </c>
      <c r="AJ158" s="37">
        <f t="shared" si="189"/>
        <v>0.10285391353489687</v>
      </c>
      <c r="AK158">
        <v>130</v>
      </c>
      <c r="AL158" s="37">
        <f t="shared" si="190"/>
        <v>5.1426956767448434E-2</v>
      </c>
      <c r="AM158">
        <v>71</v>
      </c>
      <c r="AN158" s="37">
        <f t="shared" si="191"/>
        <v>2.8087030234529527E-2</v>
      </c>
      <c r="AO158">
        <v>201</v>
      </c>
      <c r="AQ158" s="59">
        <v>865.7</v>
      </c>
      <c r="AR158" s="59">
        <f t="shared" si="192"/>
        <v>0.25831974640871358</v>
      </c>
      <c r="AS158">
        <v>1100</v>
      </c>
      <c r="AT158" s="37">
        <f t="shared" si="193"/>
        <v>0.41195287508777401</v>
      </c>
      <c r="AU158" t="s">
        <v>780</v>
      </c>
      <c r="AV158" t="s">
        <v>780</v>
      </c>
      <c r="AW158" t="s">
        <v>780</v>
      </c>
      <c r="AX158" t="s">
        <v>780</v>
      </c>
      <c r="AY158" t="s">
        <v>780</v>
      </c>
      <c r="AZ158" t="s">
        <v>780</v>
      </c>
      <c r="BA158" t="s">
        <v>780</v>
      </c>
      <c r="BB158" t="s">
        <v>780</v>
      </c>
      <c r="BC158" t="s">
        <v>780</v>
      </c>
      <c r="BD158" t="s">
        <v>780</v>
      </c>
      <c r="BE158" t="s">
        <v>780</v>
      </c>
      <c r="BF158" t="s">
        <v>780</v>
      </c>
      <c r="BG158" t="s">
        <v>780</v>
      </c>
      <c r="BH158" t="s">
        <v>780</v>
      </c>
      <c r="BI158" t="s">
        <v>780</v>
      </c>
      <c r="BJ158" t="s">
        <v>780</v>
      </c>
      <c r="BK158" t="s">
        <v>780</v>
      </c>
      <c r="BL158" t="s">
        <v>780</v>
      </c>
      <c r="BM158" t="s">
        <v>780</v>
      </c>
      <c r="BN158" t="s">
        <v>780</v>
      </c>
      <c r="BO158" s="58">
        <v>1600</v>
      </c>
      <c r="BP158" s="58">
        <v>0.01</v>
      </c>
      <c r="BQ158" s="58">
        <v>0.23</v>
      </c>
      <c r="BR158" s="58">
        <v>0.06</v>
      </c>
      <c r="BS158" s="58">
        <v>0.02</v>
      </c>
      <c r="BT158" s="58">
        <v>1E-3</v>
      </c>
      <c r="BU158" s="58">
        <v>1E-3</v>
      </c>
      <c r="BV158" s="58">
        <v>2E-3</v>
      </c>
      <c r="BW158" s="31">
        <f t="shared" si="194"/>
        <v>0.59920418194585312</v>
      </c>
      <c r="BX158" s="31">
        <f t="shared" si="195"/>
        <v>3.6796110125501018E-6</v>
      </c>
      <c r="BY158" s="31">
        <f t="shared" si="196"/>
        <v>8.6505414694248097E-5</v>
      </c>
      <c r="BZ158" s="31">
        <f t="shared" si="197"/>
        <v>2.2379978341956443E-5</v>
      </c>
      <c r="CA158" s="31">
        <f t="shared" si="198"/>
        <v>7.4061605790270997E-6</v>
      </c>
      <c r="CB158" s="31">
        <f t="shared" si="199"/>
        <v>3.7030802895135499E-7</v>
      </c>
      <c r="CC158" s="31">
        <f t="shared" si="200"/>
        <v>3.6588380716934485E-7</v>
      </c>
      <c r="CD158" s="31">
        <f t="shared" si="201"/>
        <v>7.3176761433868969E-7</v>
      </c>
      <c r="CE158">
        <v>1E-3</v>
      </c>
      <c r="CF158">
        <v>1E-3</v>
      </c>
      <c r="CG158">
        <v>2E-3</v>
      </c>
      <c r="CH158">
        <v>1E-3</v>
      </c>
      <c r="CI158">
        <v>1E-3</v>
      </c>
      <c r="CK158">
        <v>2E-3</v>
      </c>
      <c r="CL158">
        <v>1E-3</v>
      </c>
      <c r="CM158">
        <v>1E-3</v>
      </c>
      <c r="CN158" s="58">
        <f t="shared" si="227"/>
        <v>1600.3239999999998</v>
      </c>
      <c r="CO158" s="58">
        <f t="shared" si="202"/>
        <v>0.32400000000000007</v>
      </c>
      <c r="CP158" s="31">
        <f t="shared" si="203"/>
        <v>0.59932562106993137</v>
      </c>
      <c r="CQ158" s="31">
        <f t="shared" si="204"/>
        <v>1.2143912407824114E-4</v>
      </c>
      <c r="CR158">
        <v>1600</v>
      </c>
      <c r="CS158">
        <v>1600</v>
      </c>
      <c r="CT158">
        <v>35</v>
      </c>
      <c r="CU158" t="s">
        <v>69</v>
      </c>
      <c r="CV158" t="s">
        <v>69</v>
      </c>
      <c r="CW158">
        <v>1600</v>
      </c>
      <c r="CX158" s="2">
        <f t="shared" si="174"/>
        <v>2465.6999999999998</v>
      </c>
      <c r="CZ158">
        <v>77</v>
      </c>
      <c r="DA158" t="s">
        <v>62</v>
      </c>
      <c r="DB158" t="s">
        <v>88</v>
      </c>
      <c r="DC158" t="s">
        <v>782</v>
      </c>
      <c r="DD158" s="37">
        <f t="shared" si="175"/>
        <v>81.091817613991253</v>
      </c>
      <c r="DE158" s="37">
        <f t="shared" si="228"/>
        <v>81.091817613991253</v>
      </c>
      <c r="DF158" s="37">
        <v>24</v>
      </c>
      <c r="DG158" s="37">
        <f t="shared" si="176"/>
        <v>0.42972247090420768</v>
      </c>
      <c r="DH158" s="37">
        <f t="shared" si="205"/>
        <v>0.42972247090420768</v>
      </c>
      <c r="DI158" s="37">
        <f t="shared" si="177"/>
        <v>105.09181761399125</v>
      </c>
      <c r="DJ158" s="37">
        <f t="shared" si="206"/>
        <v>1.881679814037444</v>
      </c>
      <c r="DK158" s="37">
        <f t="shared" si="207"/>
        <v>1.881679814037444</v>
      </c>
      <c r="DL158" s="55">
        <f t="shared" si="208"/>
        <v>81.091817613991253</v>
      </c>
      <c r="DM158" s="55">
        <f t="shared" si="208"/>
        <v>81.091817613991253</v>
      </c>
      <c r="DN158" s="37">
        <f t="shared" si="209"/>
        <v>105.09181761399125</v>
      </c>
      <c r="DO158" s="55">
        <f t="shared" si="210"/>
        <v>1.881679814037444</v>
      </c>
      <c r="DP158" s="55">
        <f t="shared" si="211"/>
        <v>1.881679814037444</v>
      </c>
      <c r="DQ158" s="37">
        <v>4.2</v>
      </c>
      <c r="DR158" s="37">
        <f t="shared" si="212"/>
        <v>7.6460950300382302E-2</v>
      </c>
      <c r="DS158" s="37">
        <f t="shared" si="213"/>
        <v>0.1529219006007646</v>
      </c>
      <c r="DT158" s="37">
        <f t="shared" si="178"/>
        <v>24.609683853589715</v>
      </c>
      <c r="DU158" s="37">
        <f t="shared" si="179"/>
        <v>12.304841926794857</v>
      </c>
      <c r="DV158" s="37">
        <f t="shared" si="180"/>
        <v>109.29181761399126</v>
      </c>
      <c r="DW158" s="37">
        <f t="shared" si="181"/>
        <v>2.0346017146382085</v>
      </c>
      <c r="DX158">
        <v>28</v>
      </c>
      <c r="DY158" t="s">
        <v>104</v>
      </c>
      <c r="DZ158" s="29">
        <f t="shared" si="167"/>
        <v>1</v>
      </c>
      <c r="EA158" s="30">
        <v>1.7000000000000001E-2</v>
      </c>
      <c r="EB158" s="30">
        <f t="shared" si="214"/>
        <v>2.741935483870968E-4</v>
      </c>
      <c r="EC158" s="30">
        <f t="shared" si="215"/>
        <v>1.370967741935484E-3</v>
      </c>
      <c r="ED158" s="31">
        <f t="shared" si="229"/>
        <v>139.5</v>
      </c>
      <c r="EE158" s="33">
        <f t="shared" si="230"/>
        <v>99.642857142857139</v>
      </c>
      <c r="EF158" s="37">
        <f t="shared" si="182"/>
        <v>11.617738913179263</v>
      </c>
      <c r="EG158" s="37">
        <f>$EK142-EK158</f>
        <v>139.5</v>
      </c>
      <c r="EH158" s="33">
        <f>(EG158/$EK$142)*100</f>
        <v>99.642857142857139</v>
      </c>
      <c r="EI158" s="37">
        <f t="shared" si="231"/>
        <v>11.617738913179263</v>
      </c>
      <c r="EJ158" s="37">
        <f t="shared" si="232"/>
        <v>11.617738913179263</v>
      </c>
      <c r="EK158" s="31">
        <v>0.5</v>
      </c>
      <c r="EL158" s="31">
        <f t="shared" si="216"/>
        <v>5.2050801582344368E-3</v>
      </c>
      <c r="EM158" s="31">
        <f t="shared" si="217"/>
        <v>4.1640641265875494E-2</v>
      </c>
      <c r="EN158" s="32">
        <f t="shared" si="183"/>
        <v>4.301160900781098E-2</v>
      </c>
      <c r="EO158" s="39">
        <f t="shared" si="218"/>
        <v>13.652340627817471</v>
      </c>
      <c r="EP158" s="37">
        <f t="shared" si="184"/>
        <v>1.1201148928937282E-2</v>
      </c>
      <c r="EQ158" s="37">
        <f t="shared" si="185"/>
        <v>0.13782836696906078</v>
      </c>
      <c r="ER158" s="37">
        <f t="shared" si="186"/>
        <v>0.85097048410200193</v>
      </c>
      <c r="ES158" s="39">
        <f t="shared" si="219"/>
        <v>13.652340627817471</v>
      </c>
      <c r="ET158" s="55">
        <f t="shared" si="220"/>
        <v>13.782836696906079</v>
      </c>
      <c r="EU158" s="55">
        <f t="shared" si="221"/>
        <v>1.1201148928937283</v>
      </c>
      <c r="EV158" s="55">
        <f t="shared" si="222"/>
        <v>85.097048410200188</v>
      </c>
      <c r="EW158" t="s">
        <v>690</v>
      </c>
      <c r="EX158" t="s">
        <v>684</v>
      </c>
      <c r="EY158">
        <v>-122</v>
      </c>
      <c r="EZ158" t="s">
        <v>259</v>
      </c>
      <c r="FA158">
        <v>1026</v>
      </c>
      <c r="FB158" t="s">
        <v>72</v>
      </c>
      <c r="FC158" t="s">
        <v>88</v>
      </c>
      <c r="FD158" s="39">
        <f t="shared" si="223"/>
        <v>-12.982068006320985</v>
      </c>
      <c r="FE158" s="39">
        <f t="shared" si="224"/>
        <v>-12.981946567196905</v>
      </c>
      <c r="FF158" s="39">
        <f t="shared" si="225"/>
        <v>-12.982068006320985</v>
      </c>
      <c r="FG158" s="39">
        <f t="shared" si="226"/>
        <v>-12.981946567196905</v>
      </c>
    </row>
    <row r="159" spans="1:163" ht="15.75" x14ac:dyDescent="0.25">
      <c r="A159" s="7" t="s">
        <v>417</v>
      </c>
      <c r="B159" s="7" t="s">
        <v>417</v>
      </c>
      <c r="C159" s="3" t="s">
        <v>948</v>
      </c>
      <c r="D159" s="3" t="s">
        <v>948</v>
      </c>
      <c r="E159" s="3" t="s">
        <v>1377</v>
      </c>
      <c r="F159" s="3" t="s">
        <v>1013</v>
      </c>
      <c r="G159" s="3" t="s">
        <v>774</v>
      </c>
      <c r="H159" s="3" t="str">
        <f t="shared" si="171"/>
        <v>CW_3_Section_1</v>
      </c>
      <c r="I159" s="3" t="str">
        <f t="shared" si="172"/>
        <v>CW_3_MF02</v>
      </c>
      <c r="J159" s="3" t="s">
        <v>1489</v>
      </c>
      <c r="K159" s="3" t="s">
        <v>1484</v>
      </c>
      <c r="L159" s="11" t="s">
        <v>1095</v>
      </c>
      <c r="M159" s="3" t="s">
        <v>1024</v>
      </c>
      <c r="N159" s="3" t="s">
        <v>1024</v>
      </c>
      <c r="O159" s="12" t="s">
        <v>1016</v>
      </c>
      <c r="P159" s="3" t="s">
        <v>1378</v>
      </c>
      <c r="Q159" s="3" t="s">
        <v>1018</v>
      </c>
      <c r="R159" s="3" t="s">
        <v>1343</v>
      </c>
      <c r="S159" s="3" t="str">
        <f t="shared" si="173"/>
        <v>T6_0.60-0.80</v>
      </c>
      <c r="T159" s="13" t="s">
        <v>1344</v>
      </c>
      <c r="U159" s="3" t="s">
        <v>1053</v>
      </c>
      <c r="V159" s="3">
        <v>150</v>
      </c>
      <c r="W159" s="3">
        <v>65</v>
      </c>
      <c r="X159" s="3">
        <v>6.1</v>
      </c>
      <c r="Y159" s="3">
        <v>158</v>
      </c>
      <c r="Z159" t="s">
        <v>691</v>
      </c>
      <c r="AA159" t="s">
        <v>245</v>
      </c>
      <c r="AB159" s="1">
        <v>45883</v>
      </c>
      <c r="AC159">
        <v>9.6</v>
      </c>
      <c r="AD159">
        <v>10</v>
      </c>
      <c r="AE159">
        <v>130</v>
      </c>
      <c r="AF159" s="37">
        <f t="shared" si="187"/>
        <v>4.9929586480604277E-2</v>
      </c>
      <c r="AG159">
        <v>4.9000000000000004</v>
      </c>
      <c r="AH159" s="37">
        <f t="shared" si="188"/>
        <v>1.9144779683090949E-3</v>
      </c>
      <c r="AI159">
        <v>170</v>
      </c>
      <c r="AJ159" s="37">
        <f t="shared" si="189"/>
        <v>6.7250635772817174E-2</v>
      </c>
      <c r="AK159">
        <v>36</v>
      </c>
      <c r="AL159" s="37">
        <f t="shared" si="190"/>
        <v>1.4241311104831874E-2</v>
      </c>
      <c r="AM159">
        <v>16</v>
      </c>
      <c r="AN159" s="37">
        <f t="shared" si="191"/>
        <v>6.3294716021474991E-3</v>
      </c>
      <c r="AO159">
        <v>52</v>
      </c>
      <c r="AQ159" s="59">
        <v>356.9</v>
      </c>
      <c r="AR159" s="59">
        <f t="shared" si="192"/>
        <v>0.11909470022173055</v>
      </c>
      <c r="AS159">
        <v>340</v>
      </c>
      <c r="AT159" s="37">
        <f t="shared" si="193"/>
        <v>0.12733088866349379</v>
      </c>
      <c r="AU159" t="s">
        <v>780</v>
      </c>
      <c r="AV159" t="s">
        <v>780</v>
      </c>
      <c r="AW159" t="s">
        <v>780</v>
      </c>
      <c r="AX159" t="s">
        <v>780</v>
      </c>
      <c r="AY159" t="s">
        <v>780</v>
      </c>
      <c r="AZ159" t="s">
        <v>780</v>
      </c>
      <c r="BA159" t="s">
        <v>780</v>
      </c>
      <c r="BB159" t="s">
        <v>780</v>
      </c>
      <c r="BC159" t="s">
        <v>780</v>
      </c>
      <c r="BD159" t="s">
        <v>780</v>
      </c>
      <c r="BE159" t="s">
        <v>780</v>
      </c>
      <c r="BF159" t="s">
        <v>780</v>
      </c>
      <c r="BG159" t="s">
        <v>780</v>
      </c>
      <c r="BH159" t="s">
        <v>780</v>
      </c>
      <c r="BI159" t="s">
        <v>780</v>
      </c>
      <c r="BJ159" t="s">
        <v>780</v>
      </c>
      <c r="BK159" t="s">
        <v>780</v>
      </c>
      <c r="BL159" t="s">
        <v>780</v>
      </c>
      <c r="BM159" t="s">
        <v>780</v>
      </c>
      <c r="BN159" t="s">
        <v>780</v>
      </c>
      <c r="BO159" s="58">
        <v>120</v>
      </c>
      <c r="BP159" s="58">
        <v>5.5</v>
      </c>
      <c r="BQ159" s="58">
        <v>160</v>
      </c>
      <c r="BR159" s="58">
        <v>30</v>
      </c>
      <c r="BS159" s="58">
        <v>18</v>
      </c>
      <c r="BT159" s="58">
        <v>4</v>
      </c>
      <c r="BU159" s="58">
        <v>1.4</v>
      </c>
      <c r="BV159" s="58">
        <v>1.4</v>
      </c>
      <c r="BW159" s="31">
        <f t="shared" si="194"/>
        <v>4.4940313645938985E-2</v>
      </c>
      <c r="BX159" s="31">
        <f t="shared" si="195"/>
        <v>2.0237860569025561E-3</v>
      </c>
      <c r="BY159" s="31">
        <f t="shared" si="196"/>
        <v>6.0177679787303026E-2</v>
      </c>
      <c r="BZ159" s="31">
        <f t="shared" si="197"/>
        <v>1.1189989170978222E-2</v>
      </c>
      <c r="CA159" s="31">
        <f t="shared" si="198"/>
        <v>6.66554452112439E-3</v>
      </c>
      <c r="CB159" s="31">
        <f t="shared" si="199"/>
        <v>1.48123211580542E-3</v>
      </c>
      <c r="CC159" s="31">
        <f t="shared" si="200"/>
        <v>5.1223733003708275E-4</v>
      </c>
      <c r="CD159" s="31">
        <f t="shared" si="201"/>
        <v>5.1223733003708275E-4</v>
      </c>
      <c r="CE159">
        <v>0.02</v>
      </c>
      <c r="CF159">
        <v>1E-3</v>
      </c>
      <c r="CG159">
        <v>2E-3</v>
      </c>
      <c r="CH159">
        <v>1E-3</v>
      </c>
      <c r="CI159">
        <v>1E-3</v>
      </c>
      <c r="CK159">
        <v>2E-3</v>
      </c>
      <c r="CL159">
        <v>1E-3</v>
      </c>
      <c r="CM159">
        <v>1E-3</v>
      </c>
      <c r="CN159" s="58">
        <f t="shared" si="227"/>
        <v>340.29999999999995</v>
      </c>
      <c r="CO159" s="58">
        <f t="shared" si="202"/>
        <v>220.3</v>
      </c>
      <c r="CP159" s="31">
        <f t="shared" si="203"/>
        <v>0.12750301995812677</v>
      </c>
      <c r="CQ159" s="31">
        <f t="shared" si="204"/>
        <v>8.2562706312187775E-2</v>
      </c>
      <c r="CR159">
        <v>340</v>
      </c>
      <c r="CS159">
        <v>850</v>
      </c>
      <c r="CT159">
        <v>1200</v>
      </c>
      <c r="CU159" t="s">
        <v>69</v>
      </c>
      <c r="CV159" t="s">
        <v>69</v>
      </c>
      <c r="CW159">
        <v>2100</v>
      </c>
      <c r="CX159" s="2">
        <f t="shared" si="174"/>
        <v>696.9</v>
      </c>
      <c r="CZ159">
        <v>66</v>
      </c>
      <c r="DA159" t="s">
        <v>62</v>
      </c>
      <c r="DB159" t="s">
        <v>88</v>
      </c>
      <c r="DC159" t="s">
        <v>782</v>
      </c>
      <c r="DD159" s="37">
        <f t="shared" si="175"/>
        <v>17.439100562148656</v>
      </c>
      <c r="DE159" s="37">
        <f t="shared" si="228"/>
        <v>17.439100562148656</v>
      </c>
      <c r="DF159" s="37">
        <v>0.4</v>
      </c>
      <c r="DG159" s="37">
        <f t="shared" si="176"/>
        <v>7.162041181736795E-3</v>
      </c>
      <c r="DH159" s="37">
        <f t="shared" si="205"/>
        <v>7.162041181736795E-3</v>
      </c>
      <c r="DI159" s="37">
        <f t="shared" si="177"/>
        <v>17.839100562148655</v>
      </c>
      <c r="DJ159" s="37">
        <f t="shared" si="206"/>
        <v>0.31941093217813166</v>
      </c>
      <c r="DK159" s="37">
        <f t="shared" si="207"/>
        <v>0.31941093217813166</v>
      </c>
      <c r="DL159" s="55">
        <f t="shared" si="208"/>
        <v>17.439100562148656</v>
      </c>
      <c r="DM159" s="55">
        <f t="shared" si="208"/>
        <v>17.439100562148656</v>
      </c>
      <c r="DN159" s="37">
        <f t="shared" si="209"/>
        <v>17.839100562148655</v>
      </c>
      <c r="DO159" s="55">
        <f t="shared" si="210"/>
        <v>0.31941093217813166</v>
      </c>
      <c r="DP159" s="55">
        <f t="shared" si="211"/>
        <v>0.31941093217813166</v>
      </c>
      <c r="DQ159" s="37">
        <v>1.1000000000000001</v>
      </c>
      <c r="DR159" s="37">
        <f t="shared" si="212"/>
        <v>2.0025486983433462E-2</v>
      </c>
      <c r="DS159" s="37">
        <f t="shared" si="213"/>
        <v>4.0050973966866923E-2</v>
      </c>
      <c r="DT159" s="37">
        <f t="shared" si="178"/>
        <v>15.950220458677064</v>
      </c>
      <c r="DU159" s="37">
        <f t="shared" si="179"/>
        <v>7.9751102293385321</v>
      </c>
      <c r="DV159" s="37">
        <f t="shared" si="180"/>
        <v>18.939100562148656</v>
      </c>
      <c r="DW159" s="37">
        <f t="shared" si="181"/>
        <v>0.35946190614499857</v>
      </c>
      <c r="DX159">
        <v>26</v>
      </c>
      <c r="DY159" t="s">
        <v>257</v>
      </c>
      <c r="DZ159" s="29">
        <f t="shared" si="167"/>
        <v>1</v>
      </c>
      <c r="EA159" s="30">
        <v>1.7000000000000001E-2</v>
      </c>
      <c r="EB159" s="30">
        <f t="shared" si="214"/>
        <v>2.741935483870968E-4</v>
      </c>
      <c r="EC159" s="30">
        <f t="shared" si="215"/>
        <v>1.370967741935484E-3</v>
      </c>
      <c r="ED159" s="31">
        <f t="shared" si="229"/>
        <v>30</v>
      </c>
      <c r="EE159" s="33">
        <f t="shared" si="230"/>
        <v>21.428571428571427</v>
      </c>
      <c r="EF159" s="37">
        <f t="shared" si="182"/>
        <v>2.4984384759525295</v>
      </c>
      <c r="EG159" s="37">
        <f>$EK142-EK159</f>
        <v>30</v>
      </c>
      <c r="EH159" s="33">
        <f>(EG159/$EK$142)*100</f>
        <v>21.428571428571427</v>
      </c>
      <c r="EI159" s="37">
        <f t="shared" si="231"/>
        <v>2.4984384759525295</v>
      </c>
      <c r="EJ159" s="37">
        <f t="shared" si="232"/>
        <v>2.4984384759525295</v>
      </c>
      <c r="EK159" s="31">
        <v>110</v>
      </c>
      <c r="EL159" s="31">
        <f t="shared" si="216"/>
        <v>1.1451176348115761</v>
      </c>
      <c r="EM159" s="31">
        <f t="shared" si="217"/>
        <v>9.1609410784926091</v>
      </c>
      <c r="EN159" s="32">
        <f t="shared" si="183"/>
        <v>9.1623120462345451</v>
      </c>
      <c r="EO159" s="39">
        <f t="shared" si="218"/>
        <v>2.8579003820975282</v>
      </c>
      <c r="EP159" s="37">
        <f t="shared" si="184"/>
        <v>1.4014125271039679E-2</v>
      </c>
      <c r="EQ159" s="37">
        <f t="shared" si="185"/>
        <v>0.11176419380430018</v>
      </c>
      <c r="ER159" s="37">
        <f t="shared" si="186"/>
        <v>0.87422168092466013</v>
      </c>
      <c r="ES159" s="39">
        <f t="shared" si="219"/>
        <v>2.8579003820975282</v>
      </c>
      <c r="ET159" s="55">
        <f t="shared" si="220"/>
        <v>11.176419380430017</v>
      </c>
      <c r="EU159" s="55">
        <f t="shared" si="221"/>
        <v>1.4014125271039679</v>
      </c>
      <c r="EV159" s="55">
        <f t="shared" si="222"/>
        <v>87.422168092466009</v>
      </c>
      <c r="EW159" t="s">
        <v>229</v>
      </c>
      <c r="EX159" t="s">
        <v>680</v>
      </c>
      <c r="EY159">
        <v>-245</v>
      </c>
      <c r="EZ159" t="s">
        <v>489</v>
      </c>
      <c r="FA159">
        <v>988</v>
      </c>
      <c r="FB159" t="s">
        <v>113</v>
      </c>
      <c r="FC159" t="s">
        <v>88</v>
      </c>
      <c r="FD159" s="39">
        <f t="shared" si="223"/>
        <v>-2.6114747932123037</v>
      </c>
      <c r="FE159" s="39">
        <f t="shared" si="224"/>
        <v>-2.528912086900116</v>
      </c>
      <c r="FF159" s="39">
        <f t="shared" si="225"/>
        <v>-2.6114747932123037</v>
      </c>
      <c r="FG159" s="39">
        <f t="shared" si="226"/>
        <v>-2.528912086900116</v>
      </c>
    </row>
    <row r="160" spans="1:163" s="23" customFormat="1" ht="15.75" x14ac:dyDescent="0.25">
      <c r="A160" s="9" t="s">
        <v>997</v>
      </c>
      <c r="B160" s="9" t="s">
        <v>997</v>
      </c>
      <c r="C160" s="9" t="s">
        <v>949</v>
      </c>
      <c r="D160" s="9" t="s">
        <v>949</v>
      </c>
      <c r="E160" s="9" t="s">
        <v>1379</v>
      </c>
      <c r="F160" s="9" t="s">
        <v>1027</v>
      </c>
      <c r="G160" s="9" t="s">
        <v>774</v>
      </c>
      <c r="H160" s="9" t="str">
        <f t="shared" si="171"/>
        <v>CW_3_Section_2</v>
      </c>
      <c r="I160" s="9" t="str">
        <f t="shared" si="172"/>
        <v>CW_3_MF05</v>
      </c>
      <c r="J160" s="9" t="s">
        <v>1496</v>
      </c>
      <c r="K160" s="9" t="s">
        <v>1484</v>
      </c>
      <c r="L160" s="18" t="s">
        <v>1098</v>
      </c>
      <c r="M160" s="9" t="s">
        <v>1015</v>
      </c>
      <c r="N160" s="9" t="s">
        <v>1015</v>
      </c>
      <c r="O160" s="19" t="s">
        <v>1016</v>
      </c>
      <c r="P160" s="9" t="s">
        <v>1380</v>
      </c>
      <c r="Q160" s="9" t="s">
        <v>1018</v>
      </c>
      <c r="R160" s="9" t="s">
        <v>1343</v>
      </c>
      <c r="S160" s="9" t="str">
        <f t="shared" si="173"/>
        <v>T6_0.15-0.30</v>
      </c>
      <c r="T160" s="20" t="s">
        <v>1344</v>
      </c>
      <c r="U160" s="9" t="s">
        <v>1053</v>
      </c>
      <c r="V160" s="9">
        <v>150</v>
      </c>
      <c r="W160" s="9">
        <v>65</v>
      </c>
      <c r="X160" s="9">
        <v>21.8</v>
      </c>
      <c r="Y160" s="9">
        <v>159</v>
      </c>
      <c r="Z160" s="23" t="s">
        <v>1510</v>
      </c>
      <c r="AA160" s="23" t="s">
        <v>1511</v>
      </c>
      <c r="AB160" s="24">
        <v>45883</v>
      </c>
      <c r="AC160" s="23">
        <v>6.3</v>
      </c>
      <c r="AD160" s="23">
        <v>7.1</v>
      </c>
      <c r="AE160" s="23">
        <v>300</v>
      </c>
      <c r="AF160" s="37">
        <f t="shared" si="187"/>
        <v>0.11522212264754833</v>
      </c>
      <c r="AG160" s="23">
        <v>2.9</v>
      </c>
      <c r="AH160" s="37">
        <f t="shared" si="188"/>
        <v>1.1330583894074233E-3</v>
      </c>
      <c r="AI160" s="23">
        <v>57</v>
      </c>
      <c r="AJ160" s="37">
        <f t="shared" si="189"/>
        <v>2.2548742582650466E-2</v>
      </c>
      <c r="AK160" s="23">
        <v>17</v>
      </c>
      <c r="AL160" s="37">
        <f t="shared" si="190"/>
        <v>6.725063577281718E-3</v>
      </c>
      <c r="AM160" s="23">
        <v>5.6</v>
      </c>
      <c r="AN160" s="37">
        <f t="shared" si="191"/>
        <v>2.2153150607516245E-3</v>
      </c>
      <c r="AO160" s="23">
        <v>22.6</v>
      </c>
      <c r="AQ160" s="59">
        <v>382.5</v>
      </c>
      <c r="AR160" s="59">
        <f t="shared" si="192"/>
        <v>0.13890392361960624</v>
      </c>
      <c r="AS160" s="23">
        <v>57</v>
      </c>
      <c r="AT160" s="37">
        <f t="shared" si="193"/>
        <v>2.134664898182102E-2</v>
      </c>
      <c r="BO160" s="58">
        <v>7.6</v>
      </c>
      <c r="BP160" s="58">
        <v>0.01</v>
      </c>
      <c r="BQ160" s="58">
        <v>19</v>
      </c>
      <c r="BR160" s="58">
        <v>4.9000000000000004</v>
      </c>
      <c r="BS160" s="58">
        <v>2.6</v>
      </c>
      <c r="BT160" s="58">
        <v>2.2000000000000002</v>
      </c>
      <c r="BU160" s="58">
        <v>1.1000000000000001</v>
      </c>
      <c r="BV160" s="58">
        <v>0.97</v>
      </c>
      <c r="BW160" s="31">
        <f t="shared" si="194"/>
        <v>2.8462198642428024E-3</v>
      </c>
      <c r="BX160" s="31">
        <f t="shared" si="195"/>
        <v>3.6796110125501018E-6</v>
      </c>
      <c r="BY160" s="31">
        <f t="shared" si="196"/>
        <v>7.1460994747422346E-3</v>
      </c>
      <c r="BZ160" s="31">
        <f t="shared" si="197"/>
        <v>1.8276982312597765E-3</v>
      </c>
      <c r="CA160" s="31">
        <f t="shared" si="198"/>
        <v>9.6280087527352302E-4</v>
      </c>
      <c r="CB160" s="31">
        <f t="shared" si="199"/>
        <v>8.1467766369298098E-4</v>
      </c>
      <c r="CC160" s="31">
        <f t="shared" si="200"/>
        <v>4.0247218788627936E-4</v>
      </c>
      <c r="CD160" s="31">
        <f t="shared" si="201"/>
        <v>3.5490729295426448E-4</v>
      </c>
      <c r="CE160" s="23">
        <v>0.06</v>
      </c>
      <c r="CF160" s="23">
        <v>0.06</v>
      </c>
      <c r="CG160" s="23">
        <v>0.02</v>
      </c>
      <c r="CH160" s="23">
        <v>0.01</v>
      </c>
      <c r="CI160" s="23">
        <v>0.03</v>
      </c>
      <c r="CK160" s="23">
        <v>2E-3</v>
      </c>
      <c r="CL160" s="23">
        <v>0.01</v>
      </c>
      <c r="CM160" s="23">
        <v>0.01</v>
      </c>
      <c r="CN160" s="58">
        <f t="shared" si="227"/>
        <v>38.380000000000003</v>
      </c>
      <c r="CO160" s="58">
        <f t="shared" si="202"/>
        <v>30.780000000000005</v>
      </c>
      <c r="CP160" s="31">
        <f t="shared" si="203"/>
        <v>1.435855520106441E-2</v>
      </c>
      <c r="CQ160" s="31">
        <f t="shared" si="204"/>
        <v>1.1512335336821609E-2</v>
      </c>
      <c r="CR160" s="23">
        <v>38</v>
      </c>
      <c r="CS160" s="23">
        <v>180</v>
      </c>
      <c r="CT160" s="23">
        <v>340</v>
      </c>
      <c r="CU160" s="23" t="s">
        <v>69</v>
      </c>
      <c r="CV160" s="23" t="s">
        <v>69</v>
      </c>
      <c r="CW160" s="23">
        <v>520</v>
      </c>
      <c r="CX160" s="25">
        <f t="shared" si="174"/>
        <v>420.5</v>
      </c>
      <c r="CZ160" s="23">
        <v>79</v>
      </c>
      <c r="DA160" s="23" t="s">
        <v>62</v>
      </c>
      <c r="DB160" s="23" t="s">
        <v>88</v>
      </c>
      <c r="DC160" s="23" t="s">
        <v>782</v>
      </c>
      <c r="DD160" s="37">
        <f t="shared" si="175"/>
        <v>43.016448053300017</v>
      </c>
      <c r="DE160" s="37">
        <f t="shared" si="228"/>
        <v>43.016448053300017</v>
      </c>
      <c r="DF160" s="37">
        <v>1.6</v>
      </c>
      <c r="DG160" s="37">
        <f t="shared" si="176"/>
        <v>2.864816472694718E-2</v>
      </c>
      <c r="DH160" s="37">
        <f t="shared" si="205"/>
        <v>2.864816472694718E-2</v>
      </c>
      <c r="DI160" s="37">
        <f t="shared" si="177"/>
        <v>44.616448053300019</v>
      </c>
      <c r="DJ160" s="37">
        <f t="shared" si="206"/>
        <v>0.79886209585138801</v>
      </c>
      <c r="DK160" s="37">
        <f t="shared" si="207"/>
        <v>0.79886209585138801</v>
      </c>
      <c r="DL160" s="55">
        <f t="shared" si="208"/>
        <v>-38.075369560691236</v>
      </c>
      <c r="DM160" s="55"/>
      <c r="DN160" s="37">
        <f t="shared" si="209"/>
        <v>1.6</v>
      </c>
      <c r="DO160" s="55">
        <f t="shared" si="210"/>
        <v>2.864816472694718E-2</v>
      </c>
      <c r="DP160" s="55">
        <f t="shared" si="211"/>
        <v>2.864816472694718E-2</v>
      </c>
      <c r="DQ160" s="37">
        <v>1.5</v>
      </c>
      <c r="DR160" s="37">
        <f t="shared" si="212"/>
        <v>2.7307482250136537E-2</v>
      </c>
      <c r="DS160" s="37">
        <f t="shared" si="213"/>
        <v>5.4614964500273075E-2</v>
      </c>
      <c r="DT160" s="37">
        <f t="shared" si="178"/>
        <v>29.254329950077828</v>
      </c>
      <c r="DU160" s="37">
        <f t="shared" si="179"/>
        <v>14.627164975038914</v>
      </c>
      <c r="DV160" s="37">
        <f t="shared" si="180"/>
        <v>46.116448053300019</v>
      </c>
      <c r="DW160" s="37">
        <f t="shared" si="181"/>
        <v>0.85347706035166104</v>
      </c>
      <c r="DX160" s="23">
        <v>34</v>
      </c>
      <c r="DY160" s="23">
        <v>0.41</v>
      </c>
      <c r="DZ160" s="29">
        <f t="shared" si="167"/>
        <v>1</v>
      </c>
      <c r="EA160" s="30">
        <v>1.7000000000000001E-2</v>
      </c>
      <c r="EB160" s="30">
        <f t="shared" si="214"/>
        <v>2.741935483870968E-4</v>
      </c>
      <c r="EC160" s="30">
        <f t="shared" si="215"/>
        <v>1.370967741935484E-3</v>
      </c>
      <c r="ED160" s="31">
        <f t="shared" si="229"/>
        <v>74</v>
      </c>
      <c r="EE160" s="33">
        <f t="shared" si="230"/>
        <v>52.857142857142861</v>
      </c>
      <c r="EF160" s="37">
        <f t="shared" si="182"/>
        <v>6.1628149073495733</v>
      </c>
      <c r="EG160" s="37">
        <f>$EK158-EK160</f>
        <v>-65.5</v>
      </c>
      <c r="EH160" s="33">
        <f>(EG160/$EK158)*100</f>
        <v>-13100</v>
      </c>
      <c r="EI160" s="37">
        <f t="shared" si="231"/>
        <v>-5.4549240058296897</v>
      </c>
      <c r="EJ160" s="37"/>
      <c r="EK160" s="31">
        <v>66</v>
      </c>
      <c r="EL160" s="31">
        <f t="shared" si="216"/>
        <v>0.68707058088694561</v>
      </c>
      <c r="EM160" s="31">
        <f t="shared" si="217"/>
        <v>5.4965646470955649</v>
      </c>
      <c r="EN160" s="32">
        <f t="shared" si="183"/>
        <v>5.4979356148375</v>
      </c>
      <c r="EO160" s="39">
        <f t="shared" si="218"/>
        <v>7.0162919677012345</v>
      </c>
      <c r="EP160" s="37">
        <f t="shared" si="184"/>
        <v>7.7840210686338802E-3</v>
      </c>
      <c r="EQ160" s="37">
        <f t="shared" si="185"/>
        <v>0.11385816034008647</v>
      </c>
      <c r="ER160" s="37">
        <f t="shared" si="186"/>
        <v>0.87835781859127959</v>
      </c>
      <c r="ES160" s="39">
        <f t="shared" si="219"/>
        <v>8.3263129227220262E-2</v>
      </c>
      <c r="ET160" s="55">
        <f t="shared" si="220"/>
        <v>34.406783642214542</v>
      </c>
      <c r="EU160" s="55">
        <f t="shared" si="221"/>
        <v>65.593216357785451</v>
      </c>
      <c r="EV160" s="55">
        <f t="shared" si="222"/>
        <v>0</v>
      </c>
      <c r="EW160" s="26">
        <v>4.6100000000000003</v>
      </c>
      <c r="EX160" s="26">
        <v>12.2</v>
      </c>
      <c r="EY160" s="23">
        <v>-4.9000000000000004</v>
      </c>
      <c r="EZ160" s="23">
        <v>6.91</v>
      </c>
      <c r="FA160" s="23">
        <v>688</v>
      </c>
      <c r="FB160" s="23" t="s">
        <v>72</v>
      </c>
      <c r="FC160" s="23" t="s">
        <v>88</v>
      </c>
      <c r="FD160" s="39">
        <f t="shared" si="223"/>
        <v>-6.8560413950998074</v>
      </c>
      <c r="FE160" s="39">
        <f t="shared" si="224"/>
        <v>-6.8445290597629853</v>
      </c>
      <c r="FF160" s="39">
        <f t="shared" si="225"/>
        <v>7.6987443374206987E-2</v>
      </c>
      <c r="FG160" s="39">
        <f t="shared" si="226"/>
        <v>8.8499778711028598E-2</v>
      </c>
    </row>
    <row r="161" spans="1:163" ht="15.75" x14ac:dyDescent="0.25">
      <c r="A161" s="7" t="s">
        <v>418</v>
      </c>
      <c r="B161" s="7" t="s">
        <v>418</v>
      </c>
      <c r="C161" s="3" t="s">
        <v>950</v>
      </c>
      <c r="D161" s="3" t="s">
        <v>950</v>
      </c>
      <c r="E161" s="3" t="s">
        <v>1381</v>
      </c>
      <c r="F161" s="3" t="s">
        <v>1027</v>
      </c>
      <c r="G161" s="3" t="s">
        <v>774</v>
      </c>
      <c r="H161" s="3" t="str">
        <f t="shared" si="171"/>
        <v>CW_3_Section_2</v>
      </c>
      <c r="I161" s="3" t="str">
        <f t="shared" si="172"/>
        <v>CW_3_MF06</v>
      </c>
      <c r="J161" s="3" t="s">
        <v>1497</v>
      </c>
      <c r="K161" s="3" t="s">
        <v>1484</v>
      </c>
      <c r="L161" s="11" t="s">
        <v>1101</v>
      </c>
      <c r="M161" s="3" t="s">
        <v>1024</v>
      </c>
      <c r="N161" s="3" t="s">
        <v>1024</v>
      </c>
      <c r="O161" s="12" t="s">
        <v>1016</v>
      </c>
      <c r="P161" s="3" t="s">
        <v>1382</v>
      </c>
      <c r="Q161" s="3" t="s">
        <v>1018</v>
      </c>
      <c r="R161" s="3" t="s">
        <v>1343</v>
      </c>
      <c r="S161" s="3" t="str">
        <f t="shared" si="173"/>
        <v>T6_0.60-0.80</v>
      </c>
      <c r="T161" s="13" t="s">
        <v>1344</v>
      </c>
      <c r="U161" s="3" t="s">
        <v>1053</v>
      </c>
      <c r="V161" s="3">
        <v>150</v>
      </c>
      <c r="W161" s="3">
        <v>65</v>
      </c>
      <c r="X161" s="3">
        <v>6.7</v>
      </c>
      <c r="Y161" s="3">
        <v>160</v>
      </c>
      <c r="Z161" t="s">
        <v>692</v>
      </c>
      <c r="AA161" t="s">
        <v>255</v>
      </c>
      <c r="AB161" s="1">
        <v>45883</v>
      </c>
      <c r="AC161">
        <v>0.8</v>
      </c>
      <c r="AD161">
        <v>1.1000000000000001</v>
      </c>
      <c r="AE161">
        <v>4.5999999999999996</v>
      </c>
      <c r="AF161" s="37">
        <f t="shared" si="187"/>
        <v>1.7667392139290744E-3</v>
      </c>
      <c r="AG161">
        <v>0.02</v>
      </c>
      <c r="AH161" s="37">
        <f t="shared" si="188"/>
        <v>7.8141957890167132E-6</v>
      </c>
      <c r="AI161">
        <v>3.8</v>
      </c>
      <c r="AJ161" s="37">
        <f t="shared" si="189"/>
        <v>1.5032495055100309E-3</v>
      </c>
      <c r="AK161">
        <v>1.5</v>
      </c>
      <c r="AL161" s="37">
        <f t="shared" si="190"/>
        <v>5.9338796270132807E-4</v>
      </c>
      <c r="AM161">
        <v>0.8</v>
      </c>
      <c r="AN161" s="37">
        <f t="shared" si="191"/>
        <v>3.1647358010737496E-4</v>
      </c>
      <c r="AO161">
        <v>2.2999999999999998</v>
      </c>
      <c r="AQ161" s="59">
        <v>10.84</v>
      </c>
      <c r="AR161" s="59">
        <f t="shared" si="192"/>
        <v>3.2778029152281223E-3</v>
      </c>
      <c r="AS161">
        <v>11</v>
      </c>
      <c r="AT161" s="37">
        <f t="shared" si="193"/>
        <v>4.1195287508777401E-3</v>
      </c>
      <c r="AU161" t="s">
        <v>780</v>
      </c>
      <c r="AV161" t="s">
        <v>780</v>
      </c>
      <c r="AW161" t="s">
        <v>780</v>
      </c>
      <c r="AX161" t="s">
        <v>780</v>
      </c>
      <c r="AY161" t="s">
        <v>780</v>
      </c>
      <c r="AZ161" t="s">
        <v>780</v>
      </c>
      <c r="BA161" t="s">
        <v>780</v>
      </c>
      <c r="BB161" t="s">
        <v>780</v>
      </c>
      <c r="BC161" t="s">
        <v>780</v>
      </c>
      <c r="BD161" t="s">
        <v>780</v>
      </c>
      <c r="BE161" t="s">
        <v>780</v>
      </c>
      <c r="BF161" t="s">
        <v>780</v>
      </c>
      <c r="BG161" t="s">
        <v>780</v>
      </c>
      <c r="BH161" t="s">
        <v>780</v>
      </c>
      <c r="BI161" t="s">
        <v>780</v>
      </c>
      <c r="BJ161" t="s">
        <v>780</v>
      </c>
      <c r="BK161" t="s">
        <v>780</v>
      </c>
      <c r="BL161" t="s">
        <v>780</v>
      </c>
      <c r="BM161" t="s">
        <v>780</v>
      </c>
      <c r="BN161" t="s">
        <v>780</v>
      </c>
      <c r="BO161" s="58">
        <v>2.9</v>
      </c>
      <c r="BP161" s="58">
        <v>0.01</v>
      </c>
      <c r="BQ161" s="58">
        <v>0.11</v>
      </c>
      <c r="BR161" s="58">
        <v>5.0000000000000001E-3</v>
      </c>
      <c r="BS161" s="58">
        <v>1E-3</v>
      </c>
      <c r="BT161" s="58">
        <v>1E-3</v>
      </c>
      <c r="BU161" s="58">
        <v>1E-3</v>
      </c>
      <c r="BV161" s="58">
        <v>2E-3</v>
      </c>
      <c r="BW161" s="31">
        <f t="shared" si="194"/>
        <v>1.0860575797768588E-3</v>
      </c>
      <c r="BX161" s="31">
        <f t="shared" si="195"/>
        <v>3.6796110125501018E-6</v>
      </c>
      <c r="BY161" s="31">
        <f t="shared" si="196"/>
        <v>4.1372154853770834E-5</v>
      </c>
      <c r="BZ161" s="31">
        <f t="shared" si="197"/>
        <v>1.8649981951630372E-6</v>
      </c>
      <c r="CA161" s="31">
        <f t="shared" si="198"/>
        <v>3.7030802895135499E-7</v>
      </c>
      <c r="CB161" s="31">
        <f t="shared" si="199"/>
        <v>3.7030802895135499E-7</v>
      </c>
      <c r="CC161" s="31">
        <f t="shared" si="200"/>
        <v>3.6588380716934485E-7</v>
      </c>
      <c r="CD161" s="31">
        <f t="shared" si="201"/>
        <v>7.3176761433868969E-7</v>
      </c>
      <c r="CE161">
        <v>1E-3</v>
      </c>
      <c r="CF161">
        <v>1E-3</v>
      </c>
      <c r="CG161">
        <v>2E-3</v>
      </c>
      <c r="CH161">
        <v>1E-3</v>
      </c>
      <c r="CI161">
        <v>1E-3</v>
      </c>
      <c r="CK161">
        <v>2E-3</v>
      </c>
      <c r="CL161">
        <v>1E-3</v>
      </c>
      <c r="CM161">
        <v>1E-3</v>
      </c>
      <c r="CN161" s="58">
        <f t="shared" si="227"/>
        <v>3.0299999999999989</v>
      </c>
      <c r="CO161" s="58">
        <f t="shared" si="202"/>
        <v>0.13</v>
      </c>
      <c r="CP161" s="31">
        <f t="shared" si="203"/>
        <v>1.1348126113177536E-3</v>
      </c>
      <c r="CQ161" s="31">
        <f t="shared" si="204"/>
        <v>4.8755031540894716E-5</v>
      </c>
      <c r="CR161">
        <v>3</v>
      </c>
      <c r="CS161" t="s">
        <v>69</v>
      </c>
      <c r="CT161" t="s">
        <v>69</v>
      </c>
      <c r="CU161" t="s">
        <v>69</v>
      </c>
      <c r="CV161" t="s">
        <v>69</v>
      </c>
      <c r="CW161">
        <v>5</v>
      </c>
      <c r="CX161" s="2">
        <f t="shared" si="174"/>
        <v>13.84</v>
      </c>
      <c r="CZ161">
        <v>76</v>
      </c>
      <c r="DA161" t="s">
        <v>62</v>
      </c>
      <c r="DB161" t="s">
        <v>88</v>
      </c>
      <c r="DC161" t="s">
        <v>782</v>
      </c>
      <c r="DD161" s="37">
        <f t="shared" si="175"/>
        <v>54.642515094732452</v>
      </c>
      <c r="DE161" s="37">
        <f t="shared" si="228"/>
        <v>54.642515094732452</v>
      </c>
      <c r="DF161" s="37">
        <v>3.8</v>
      </c>
      <c r="DG161" s="37">
        <f t="shared" si="176"/>
        <v>6.8039391226499546E-2</v>
      </c>
      <c r="DH161" s="37">
        <f t="shared" si="205"/>
        <v>6.8039391226499546E-2</v>
      </c>
      <c r="DI161" s="37">
        <f t="shared" si="177"/>
        <v>58.44251509473245</v>
      </c>
      <c r="DJ161" s="37">
        <f t="shared" si="206"/>
        <v>1.0464192496818701</v>
      </c>
      <c r="DK161" s="37">
        <f t="shared" si="207"/>
        <v>1.0464192496818701</v>
      </c>
      <c r="DL161" s="55">
        <f t="shared" si="208"/>
        <v>37.2034145325838</v>
      </c>
      <c r="DM161" s="55">
        <f t="shared" si="208"/>
        <v>37.2034145325838</v>
      </c>
      <c r="DN161" s="37">
        <f t="shared" si="209"/>
        <v>41.003414532583797</v>
      </c>
      <c r="DO161" s="55">
        <f t="shared" si="210"/>
        <v>0.73417035868547531</v>
      </c>
      <c r="DP161" s="55">
        <f t="shared" si="211"/>
        <v>0.73417035868547531</v>
      </c>
      <c r="DQ161" s="37">
        <v>5.9</v>
      </c>
      <c r="DR161" s="37">
        <f t="shared" si="212"/>
        <v>0.10740943018387039</v>
      </c>
      <c r="DS161" s="37">
        <f t="shared" si="213"/>
        <v>0.21481886036774078</v>
      </c>
      <c r="DT161" s="37">
        <f t="shared" si="178"/>
        <v>9.7423405737330704</v>
      </c>
      <c r="DU161" s="37">
        <f t="shared" si="179"/>
        <v>4.8711702868665352</v>
      </c>
      <c r="DV161" s="37">
        <f t="shared" si="180"/>
        <v>64.342515094732448</v>
      </c>
      <c r="DW161" s="37">
        <f t="shared" si="181"/>
        <v>1.2612381100496108</v>
      </c>
      <c r="DX161" t="s">
        <v>113</v>
      </c>
      <c r="DY161" t="s">
        <v>615</v>
      </c>
      <c r="DZ161" s="29">
        <f t="shared" si="167"/>
        <v>1</v>
      </c>
      <c r="EA161" s="30">
        <v>1.7000000000000001E-2</v>
      </c>
      <c r="EB161" s="30">
        <f t="shared" si="214"/>
        <v>2.741935483870968E-4</v>
      </c>
      <c r="EC161" s="30">
        <f t="shared" si="215"/>
        <v>1.370967741935484E-3</v>
      </c>
      <c r="ED161" s="31">
        <f t="shared" si="229"/>
        <v>94</v>
      </c>
      <c r="EE161" s="33">
        <f t="shared" si="230"/>
        <v>67.142857142857139</v>
      </c>
      <c r="EF161" s="37">
        <f t="shared" si="182"/>
        <v>7.8284405579845924</v>
      </c>
      <c r="EG161" s="37">
        <f>$EK159-EK161</f>
        <v>64</v>
      </c>
      <c r="EH161" s="33">
        <f>(EG161/$EK159)*100</f>
        <v>58.18181818181818</v>
      </c>
      <c r="EI161" s="37">
        <f t="shared" si="231"/>
        <v>5.3300020820320633</v>
      </c>
      <c r="EJ161" s="37">
        <f>($EG161/96.06)*8</f>
        <v>5.3300020820320633</v>
      </c>
      <c r="EK161" s="31">
        <v>46</v>
      </c>
      <c r="EL161" s="31">
        <f t="shared" si="216"/>
        <v>0.47886737455756817</v>
      </c>
      <c r="EM161" s="31">
        <f t="shared" si="217"/>
        <v>3.8309389964605454</v>
      </c>
      <c r="EN161" s="32">
        <f t="shared" si="183"/>
        <v>3.8323099642024809</v>
      </c>
      <c r="EO161" s="39">
        <f t="shared" si="218"/>
        <v>9.0896786680342032</v>
      </c>
      <c r="EP161" s="37">
        <f t="shared" si="184"/>
        <v>2.3633273321662866E-2</v>
      </c>
      <c r="EQ161" s="37">
        <f t="shared" si="185"/>
        <v>0.11512169878587973</v>
      </c>
      <c r="ER161" s="37">
        <f t="shared" si="186"/>
        <v>0.86124502789245738</v>
      </c>
      <c r="ES161" s="39">
        <f t="shared" si="219"/>
        <v>6.2789913010852789</v>
      </c>
      <c r="ET161" s="55">
        <f t="shared" si="220"/>
        <v>11.692488864550253</v>
      </c>
      <c r="EU161" s="55">
        <f t="shared" si="221"/>
        <v>3.4212320111131684</v>
      </c>
      <c r="EV161" s="55">
        <f t="shared" si="222"/>
        <v>84.886279124336582</v>
      </c>
      <c r="EW161" t="s">
        <v>693</v>
      </c>
      <c r="EX161" t="s">
        <v>110</v>
      </c>
      <c r="EY161">
        <v>-144</v>
      </c>
      <c r="EZ161" t="s">
        <v>253</v>
      </c>
      <c r="FA161">
        <v>1088</v>
      </c>
      <c r="FB161" t="s">
        <v>113</v>
      </c>
      <c r="FC161" t="s">
        <v>88</v>
      </c>
      <c r="FD161" s="39">
        <f t="shared" si="223"/>
        <v>-9.0822813363680979</v>
      </c>
      <c r="FE161" s="39">
        <f t="shared" si="224"/>
        <v>-9.082232581336557</v>
      </c>
      <c r="FF161" s="39">
        <f t="shared" si="225"/>
        <v>-6.2715939694191727</v>
      </c>
      <c r="FG161" s="39">
        <f t="shared" si="226"/>
        <v>-6.2715452143876318</v>
      </c>
    </row>
    <row r="162" spans="1:163" ht="15.75" x14ac:dyDescent="0.25">
      <c r="A162" s="7" t="s">
        <v>419</v>
      </c>
      <c r="B162" s="7" t="s">
        <v>419</v>
      </c>
      <c r="C162" s="3" t="s">
        <v>951</v>
      </c>
      <c r="D162" s="3" t="s">
        <v>951</v>
      </c>
      <c r="E162" s="3" t="s">
        <v>1383</v>
      </c>
      <c r="F162" s="3" t="s">
        <v>1034</v>
      </c>
      <c r="G162" s="3" t="s">
        <v>774</v>
      </c>
      <c r="H162" s="3" t="str">
        <f t="shared" si="171"/>
        <v>CW_3_Section_3</v>
      </c>
      <c r="I162" s="3" t="str">
        <f t="shared" si="172"/>
        <v>CW_3_MF09</v>
      </c>
      <c r="J162" s="3" t="s">
        <v>1492</v>
      </c>
      <c r="K162" s="3" t="s">
        <v>1484</v>
      </c>
      <c r="L162" s="11" t="s">
        <v>1104</v>
      </c>
      <c r="M162" s="3" t="s">
        <v>1015</v>
      </c>
      <c r="N162" s="3" t="s">
        <v>1015</v>
      </c>
      <c r="O162" s="12" t="s">
        <v>1016</v>
      </c>
      <c r="P162" s="3" t="s">
        <v>1384</v>
      </c>
      <c r="Q162" s="3" t="s">
        <v>1018</v>
      </c>
      <c r="R162" s="3" t="s">
        <v>1343</v>
      </c>
      <c r="S162" s="3" t="str">
        <f t="shared" si="173"/>
        <v>T6_0.15-0.30</v>
      </c>
      <c r="T162" s="13" t="s">
        <v>1344</v>
      </c>
      <c r="U162" s="3" t="s">
        <v>1053</v>
      </c>
      <c r="V162" s="3">
        <v>150</v>
      </c>
      <c r="W162" s="3">
        <v>65</v>
      </c>
      <c r="X162" s="3">
        <v>5.5</v>
      </c>
      <c r="Y162" s="3">
        <v>161</v>
      </c>
      <c r="Z162" t="s">
        <v>699</v>
      </c>
      <c r="AA162" t="s">
        <v>261</v>
      </c>
      <c r="AB162" s="1">
        <v>45884</v>
      </c>
      <c r="AC162">
        <v>9.1999999999999993</v>
      </c>
      <c r="AD162">
        <v>9.6999999999999993</v>
      </c>
      <c r="AE162">
        <v>130</v>
      </c>
      <c r="AF162" s="37">
        <f t="shared" si="187"/>
        <v>4.9929586480604277E-2</v>
      </c>
      <c r="AG162">
        <v>3.7</v>
      </c>
      <c r="AH162" s="37">
        <f t="shared" si="188"/>
        <v>1.4456262209680921E-3</v>
      </c>
      <c r="AI162">
        <v>180</v>
      </c>
      <c r="AJ162" s="37">
        <f t="shared" si="189"/>
        <v>7.120655552415936E-2</v>
      </c>
      <c r="AK162">
        <v>22</v>
      </c>
      <c r="AL162" s="37">
        <f t="shared" si="190"/>
        <v>8.7030234529528114E-3</v>
      </c>
      <c r="AM162">
        <v>2.5</v>
      </c>
      <c r="AN162" s="37">
        <f t="shared" si="191"/>
        <v>9.8897993783554671E-4</v>
      </c>
      <c r="AO162">
        <v>24.5</v>
      </c>
      <c r="AQ162" s="59">
        <v>338.2</v>
      </c>
      <c r="AR162" s="59">
        <f t="shared" si="192"/>
        <v>0.12258176822573172</v>
      </c>
      <c r="AS162">
        <v>170</v>
      </c>
      <c r="AT162" s="37">
        <f t="shared" si="193"/>
        <v>6.3665444331746895E-2</v>
      </c>
      <c r="AU162" t="s">
        <v>780</v>
      </c>
      <c r="AV162" t="s">
        <v>780</v>
      </c>
      <c r="AW162" t="s">
        <v>780</v>
      </c>
      <c r="AX162" t="s">
        <v>780</v>
      </c>
      <c r="AY162" t="s">
        <v>780</v>
      </c>
      <c r="AZ162" t="s">
        <v>780</v>
      </c>
      <c r="BA162" t="s">
        <v>780</v>
      </c>
      <c r="BB162" t="s">
        <v>780</v>
      </c>
      <c r="BC162" t="s">
        <v>780</v>
      </c>
      <c r="BD162" t="s">
        <v>780</v>
      </c>
      <c r="BE162" t="s">
        <v>780</v>
      </c>
      <c r="BF162" t="s">
        <v>780</v>
      </c>
      <c r="BG162" t="s">
        <v>780</v>
      </c>
      <c r="BH162" t="s">
        <v>780</v>
      </c>
      <c r="BI162" t="s">
        <v>780</v>
      </c>
      <c r="BJ162" t="s">
        <v>780</v>
      </c>
      <c r="BK162" t="s">
        <v>780</v>
      </c>
      <c r="BL162" t="s">
        <v>780</v>
      </c>
      <c r="BM162" t="s">
        <v>780</v>
      </c>
      <c r="BN162" t="s">
        <v>780</v>
      </c>
      <c r="BO162" s="58">
        <v>210</v>
      </c>
      <c r="BP162" s="58">
        <v>1.9</v>
      </c>
      <c r="BQ162" s="58">
        <v>360</v>
      </c>
      <c r="BR162" s="58">
        <v>74</v>
      </c>
      <c r="BS162" s="58">
        <v>52</v>
      </c>
      <c r="BT162" s="58">
        <v>3.4</v>
      </c>
      <c r="BU162" s="58">
        <v>0.56000000000000005</v>
      </c>
      <c r="BV162" s="58">
        <v>0.41</v>
      </c>
      <c r="BW162" s="31">
        <f t="shared" si="194"/>
        <v>7.8645548880393226E-2</v>
      </c>
      <c r="BX162" s="31">
        <f t="shared" si="195"/>
        <v>6.9912609238451931E-4</v>
      </c>
      <c r="BY162" s="31">
        <f t="shared" si="196"/>
        <v>0.13539977952143184</v>
      </c>
      <c r="BZ162" s="31">
        <f t="shared" si="197"/>
        <v>2.7601973288412948E-2</v>
      </c>
      <c r="CA162" s="31">
        <f t="shared" si="198"/>
        <v>1.9256017505470457E-2</v>
      </c>
      <c r="CB162" s="31">
        <f t="shared" si="199"/>
        <v>1.259047298434607E-3</v>
      </c>
      <c r="CC162" s="31">
        <f t="shared" si="200"/>
        <v>2.0489493201483313E-4</v>
      </c>
      <c r="CD162" s="31">
        <f t="shared" si="201"/>
        <v>1.5001236093943138E-4</v>
      </c>
      <c r="CE162">
        <v>1E-3</v>
      </c>
      <c r="CF162">
        <v>1E-3</v>
      </c>
      <c r="CG162">
        <v>2E-3</v>
      </c>
      <c r="CH162">
        <v>1E-3</v>
      </c>
      <c r="CI162">
        <v>1E-3</v>
      </c>
      <c r="CK162">
        <v>2E-3</v>
      </c>
      <c r="CL162">
        <v>1E-3</v>
      </c>
      <c r="CM162">
        <v>1E-3</v>
      </c>
      <c r="CN162" s="58">
        <f t="shared" si="227"/>
        <v>702.26999999999987</v>
      </c>
      <c r="CO162" s="58">
        <f t="shared" si="202"/>
        <v>492.27</v>
      </c>
      <c r="CP162" s="31">
        <f t="shared" si="203"/>
        <v>0.26321639987948187</v>
      </c>
      <c r="CQ162" s="31">
        <f t="shared" si="204"/>
        <v>0.1845708509990886</v>
      </c>
      <c r="CR162">
        <v>700</v>
      </c>
      <c r="CS162">
        <v>500</v>
      </c>
      <c r="CT162">
        <v>960</v>
      </c>
      <c r="CU162" t="s">
        <v>69</v>
      </c>
      <c r="CV162" t="s">
        <v>69</v>
      </c>
      <c r="CW162">
        <v>1500</v>
      </c>
      <c r="CX162" s="2">
        <f t="shared" si="174"/>
        <v>1038.2</v>
      </c>
      <c r="CZ162">
        <v>68</v>
      </c>
      <c r="DA162" t="s">
        <v>62</v>
      </c>
      <c r="DB162" t="s">
        <v>88</v>
      </c>
      <c r="DC162" t="s">
        <v>782</v>
      </c>
      <c r="DD162" s="37">
        <f t="shared" si="175"/>
        <v>17.439100562148656</v>
      </c>
      <c r="DE162" s="37">
        <f t="shared" si="228"/>
        <v>17.439100562148656</v>
      </c>
      <c r="DF162" s="37">
        <v>0.3</v>
      </c>
      <c r="DG162" s="37">
        <f t="shared" si="176"/>
        <v>5.3715308863025958E-3</v>
      </c>
      <c r="DH162" s="37">
        <f t="shared" si="205"/>
        <v>5.3715308863025958E-3</v>
      </c>
      <c r="DI162" s="37">
        <f t="shared" si="177"/>
        <v>17.739100562148657</v>
      </c>
      <c r="DJ162" s="37">
        <f t="shared" si="206"/>
        <v>0.31762042188269751</v>
      </c>
      <c r="DK162" s="37">
        <f t="shared" si="207"/>
        <v>0.31762042188269751</v>
      </c>
      <c r="DL162" s="55">
        <f t="shared" si="208"/>
        <v>-25.577347491151361</v>
      </c>
      <c r="DN162" s="37">
        <f t="shared" si="209"/>
        <v>0.3</v>
      </c>
      <c r="DO162" s="55">
        <f t="shared" si="210"/>
        <v>5.3715308863025958E-3</v>
      </c>
      <c r="DP162" s="55">
        <f t="shared" si="211"/>
        <v>5.3715308863025958E-3</v>
      </c>
      <c r="DQ162" s="37">
        <v>1.1000000000000001</v>
      </c>
      <c r="DR162" s="37">
        <f t="shared" si="212"/>
        <v>2.0025486983433462E-2</v>
      </c>
      <c r="DS162" s="37">
        <f t="shared" si="213"/>
        <v>4.0050973966866923E-2</v>
      </c>
      <c r="DT162" s="37">
        <f t="shared" si="178"/>
        <v>15.860808885469613</v>
      </c>
      <c r="DU162" s="37">
        <f t="shared" si="179"/>
        <v>7.9304044427348064</v>
      </c>
      <c r="DV162" s="37">
        <f t="shared" si="180"/>
        <v>18.839100562148658</v>
      </c>
      <c r="DW162" s="37">
        <f t="shared" si="181"/>
        <v>0.35767139584956442</v>
      </c>
      <c r="DX162">
        <v>24</v>
      </c>
      <c r="DY162" t="s">
        <v>135</v>
      </c>
      <c r="DZ162" s="29">
        <f t="shared" si="167"/>
        <v>1</v>
      </c>
      <c r="EA162" s="30">
        <v>1.7000000000000001E-2</v>
      </c>
      <c r="EB162" s="30">
        <f t="shared" si="214"/>
        <v>2.741935483870968E-4</v>
      </c>
      <c r="EC162" s="30">
        <f t="shared" si="215"/>
        <v>1.370967741935484E-3</v>
      </c>
      <c r="ED162" s="31">
        <f t="shared" si="229"/>
        <v>30</v>
      </c>
      <c r="EE162" s="33">
        <f t="shared" si="230"/>
        <v>21.428571428571427</v>
      </c>
      <c r="EF162" s="37">
        <f t="shared" si="182"/>
        <v>2.4984384759525295</v>
      </c>
      <c r="EG162" s="37">
        <f>$EK160-EK162</f>
        <v>-44</v>
      </c>
      <c r="EH162" s="33">
        <f>(EG162/$EK160)*100</f>
        <v>-66.666666666666657</v>
      </c>
      <c r="EI162" s="37">
        <f t="shared" si="231"/>
        <v>-3.6643764313970433</v>
      </c>
      <c r="EJ162" s="37"/>
      <c r="EK162" s="31">
        <v>110</v>
      </c>
      <c r="EL162" s="31">
        <f t="shared" si="216"/>
        <v>1.1451176348115761</v>
      </c>
      <c r="EM162" s="31">
        <f t="shared" si="217"/>
        <v>9.1609410784926091</v>
      </c>
      <c r="EN162" s="32">
        <f t="shared" si="183"/>
        <v>9.1623120462345451</v>
      </c>
      <c r="EO162" s="39">
        <f t="shared" si="218"/>
        <v>2.8561098718020941</v>
      </c>
      <c r="EP162" s="37">
        <f t="shared" si="184"/>
        <v>1.4022910799855301E-2</v>
      </c>
      <c r="EQ162" s="37">
        <f t="shared" si="185"/>
        <v>0.11120735410724637</v>
      </c>
      <c r="ER162" s="37">
        <f t="shared" si="186"/>
        <v>0.87476973509289835</v>
      </c>
      <c r="ES162" s="39">
        <f t="shared" si="219"/>
        <v>4.5422504853169517E-2</v>
      </c>
      <c r="ET162" s="55">
        <f t="shared" si="220"/>
        <v>11.825703808423455</v>
      </c>
      <c r="EU162" s="55">
        <f t="shared" si="221"/>
        <v>88.174296191576545</v>
      </c>
      <c r="EV162" s="55">
        <f t="shared" si="222"/>
        <v>0</v>
      </c>
      <c r="EW162" t="s">
        <v>585</v>
      </c>
      <c r="EX162" t="s">
        <v>684</v>
      </c>
      <c r="EY162">
        <v>-114</v>
      </c>
      <c r="EZ162" t="s">
        <v>562</v>
      </c>
      <c r="FA162">
        <v>1614</v>
      </c>
      <c r="FB162" t="s">
        <v>113</v>
      </c>
      <c r="FC162" t="s">
        <v>88</v>
      </c>
      <c r="FD162" s="39">
        <f t="shared" si="223"/>
        <v>-2.6698626592446155</v>
      </c>
      <c r="FE162" s="39">
        <f t="shared" si="224"/>
        <v>-2.4852918082455266</v>
      </c>
      <c r="FF162" s="39">
        <f t="shared" si="225"/>
        <v>0.1408247077043091</v>
      </c>
      <c r="FG162" s="39">
        <f t="shared" si="226"/>
        <v>0.3253955587033977</v>
      </c>
    </row>
    <row r="163" spans="1:163" ht="15.75" x14ac:dyDescent="0.25">
      <c r="A163" s="7" t="s">
        <v>420</v>
      </c>
      <c r="B163" s="7" t="s">
        <v>420</v>
      </c>
      <c r="C163" s="3" t="s">
        <v>952</v>
      </c>
      <c r="D163" s="3" t="s">
        <v>952</v>
      </c>
      <c r="E163" s="3" t="s">
        <v>1385</v>
      </c>
      <c r="F163" s="3" t="s">
        <v>1034</v>
      </c>
      <c r="G163" s="3" t="s">
        <v>774</v>
      </c>
      <c r="H163" s="3" t="str">
        <f t="shared" si="171"/>
        <v>CW_3_Section_3</v>
      </c>
      <c r="I163" s="3" t="str">
        <f t="shared" si="172"/>
        <v>CW_3_MF10</v>
      </c>
      <c r="J163" s="3" t="s">
        <v>1493</v>
      </c>
      <c r="K163" s="3" t="s">
        <v>1484</v>
      </c>
      <c r="L163" s="11" t="s">
        <v>1107</v>
      </c>
      <c r="M163" s="3" t="s">
        <v>1024</v>
      </c>
      <c r="N163" s="3" t="s">
        <v>1024</v>
      </c>
      <c r="O163" s="12" t="s">
        <v>1016</v>
      </c>
      <c r="P163" s="3" t="s">
        <v>1386</v>
      </c>
      <c r="Q163" s="3" t="s">
        <v>1018</v>
      </c>
      <c r="R163" s="3" t="s">
        <v>1343</v>
      </c>
      <c r="S163" s="3" t="str">
        <f t="shared" si="173"/>
        <v>T6_0.60-0.80</v>
      </c>
      <c r="T163" s="13" t="s">
        <v>1344</v>
      </c>
      <c r="U163" s="3" t="s">
        <v>1053</v>
      </c>
      <c r="V163" s="3">
        <v>150</v>
      </c>
      <c r="W163" s="3">
        <v>65</v>
      </c>
      <c r="X163" s="3">
        <v>20.5</v>
      </c>
      <c r="Y163" s="3">
        <v>162</v>
      </c>
      <c r="Z163" t="s">
        <v>700</v>
      </c>
      <c r="AA163" t="s">
        <v>264</v>
      </c>
      <c r="AB163" s="1">
        <v>45884</v>
      </c>
      <c r="AC163">
        <v>30</v>
      </c>
      <c r="AD163">
        <v>29</v>
      </c>
      <c r="AE163">
        <v>240</v>
      </c>
      <c r="AF163" s="37">
        <f t="shared" si="187"/>
        <v>9.2177698118038665E-2</v>
      </c>
      <c r="AG163">
        <v>3.1</v>
      </c>
      <c r="AH163" s="37">
        <f t="shared" si="188"/>
        <v>1.2112003472975908E-3</v>
      </c>
      <c r="AI163">
        <v>43</v>
      </c>
      <c r="AJ163" s="37">
        <f t="shared" si="189"/>
        <v>1.7010454930771402E-2</v>
      </c>
      <c r="AK163">
        <v>37</v>
      </c>
      <c r="AL163" s="37">
        <f t="shared" si="190"/>
        <v>1.4636903079966092E-2</v>
      </c>
      <c r="AM163">
        <v>17</v>
      </c>
      <c r="AN163" s="37">
        <f t="shared" si="191"/>
        <v>6.725063577281718E-3</v>
      </c>
      <c r="AO163">
        <v>54</v>
      </c>
      <c r="AQ163" s="59">
        <v>340.1</v>
      </c>
      <c r="AR163" s="59">
        <f t="shared" si="192"/>
        <v>0.11039935339610765</v>
      </c>
      <c r="AS163">
        <v>47</v>
      </c>
      <c r="AT163" s="37">
        <f t="shared" si="193"/>
        <v>1.7601622844659437E-2</v>
      </c>
      <c r="AU163" t="s">
        <v>780</v>
      </c>
      <c r="AV163" t="s">
        <v>780</v>
      </c>
      <c r="AW163" t="s">
        <v>780</v>
      </c>
      <c r="AX163" t="s">
        <v>780</v>
      </c>
      <c r="AY163" t="s">
        <v>780</v>
      </c>
      <c r="AZ163" t="s">
        <v>780</v>
      </c>
      <c r="BA163" t="s">
        <v>780</v>
      </c>
      <c r="BB163" t="s">
        <v>780</v>
      </c>
      <c r="BC163" t="s">
        <v>780</v>
      </c>
      <c r="BD163" t="s">
        <v>780</v>
      </c>
      <c r="BE163" t="s">
        <v>780</v>
      </c>
      <c r="BF163" t="s">
        <v>780</v>
      </c>
      <c r="BG163" t="s">
        <v>780</v>
      </c>
      <c r="BH163" t="s">
        <v>780</v>
      </c>
      <c r="BI163" t="s">
        <v>780</v>
      </c>
      <c r="BJ163" t="s">
        <v>780</v>
      </c>
      <c r="BK163" t="s">
        <v>780</v>
      </c>
      <c r="BL163" t="s">
        <v>780</v>
      </c>
      <c r="BM163" t="s">
        <v>780</v>
      </c>
      <c r="BN163" t="s">
        <v>780</v>
      </c>
      <c r="BO163" s="58">
        <v>75</v>
      </c>
      <c r="BP163" s="58">
        <v>0.01</v>
      </c>
      <c r="BQ163" s="58">
        <v>0.01</v>
      </c>
      <c r="BR163" s="58">
        <v>5.0000000000000001E-3</v>
      </c>
      <c r="BS163" s="58">
        <v>1E-3</v>
      </c>
      <c r="BT163" s="58">
        <v>1E-3</v>
      </c>
      <c r="BU163" s="58">
        <v>1E-3</v>
      </c>
      <c r="BV163" s="58">
        <v>2E-3</v>
      </c>
      <c r="BW163" s="31">
        <f t="shared" si="194"/>
        <v>2.8087696028711865E-2</v>
      </c>
      <c r="BX163" s="31">
        <f t="shared" si="195"/>
        <v>3.6796110125501018E-6</v>
      </c>
      <c r="BY163" s="31">
        <f t="shared" si="196"/>
        <v>3.7611049867064394E-6</v>
      </c>
      <c r="BZ163" s="31">
        <f t="shared" si="197"/>
        <v>1.8649981951630372E-6</v>
      </c>
      <c r="CA163" s="31">
        <f t="shared" si="198"/>
        <v>3.7030802895135499E-7</v>
      </c>
      <c r="CB163" s="31">
        <f t="shared" si="199"/>
        <v>3.7030802895135499E-7</v>
      </c>
      <c r="CC163" s="31">
        <f t="shared" si="200"/>
        <v>3.6588380716934485E-7</v>
      </c>
      <c r="CD163" s="31">
        <f t="shared" si="201"/>
        <v>7.3176761433868969E-7</v>
      </c>
      <c r="CE163">
        <v>1E-3</v>
      </c>
      <c r="CF163">
        <v>1E-3</v>
      </c>
      <c r="CG163">
        <v>2E-3</v>
      </c>
      <c r="CH163">
        <v>1E-3</v>
      </c>
      <c r="CI163">
        <v>1E-3</v>
      </c>
      <c r="CK163">
        <v>2E-3</v>
      </c>
      <c r="CL163">
        <v>1E-3</v>
      </c>
      <c r="CM163">
        <v>1E-3</v>
      </c>
      <c r="CN163" s="58">
        <f t="shared" si="227"/>
        <v>75.030000000000015</v>
      </c>
      <c r="CO163" s="58">
        <f t="shared" si="202"/>
        <v>3.0000000000000006E-2</v>
      </c>
      <c r="CP163" s="31">
        <f t="shared" si="203"/>
        <v>2.8098840010385692E-2</v>
      </c>
      <c r="CQ163" s="31">
        <f t="shared" si="204"/>
        <v>1.1143981673830322E-5</v>
      </c>
      <c r="CR163">
        <v>75</v>
      </c>
      <c r="CS163">
        <v>65</v>
      </c>
      <c r="CT163" t="s">
        <v>69</v>
      </c>
      <c r="CU163" t="s">
        <v>69</v>
      </c>
      <c r="CV163" t="s">
        <v>69</v>
      </c>
      <c r="CW163">
        <v>75</v>
      </c>
      <c r="CX163" s="2">
        <f t="shared" si="174"/>
        <v>415.1</v>
      </c>
      <c r="CZ163">
        <v>81</v>
      </c>
      <c r="DA163" t="s">
        <v>62</v>
      </c>
      <c r="DB163" t="s">
        <v>88</v>
      </c>
      <c r="DC163" t="s">
        <v>782</v>
      </c>
      <c r="DD163" s="37">
        <f t="shared" si="175"/>
        <v>81.091817613991253</v>
      </c>
      <c r="DE163" s="37">
        <f t="shared" si="228"/>
        <v>81.091817613991253</v>
      </c>
      <c r="DF163" s="37">
        <v>30</v>
      </c>
      <c r="DG163" s="37">
        <f t="shared" si="176"/>
        <v>0.53715308863025957</v>
      </c>
      <c r="DH163" s="37">
        <f t="shared" si="205"/>
        <v>0.53715308863025957</v>
      </c>
      <c r="DI163" s="37">
        <f t="shared" si="177"/>
        <v>111.09181761399125</v>
      </c>
      <c r="DJ163" s="37">
        <f t="shared" si="206"/>
        <v>1.989110431763496</v>
      </c>
      <c r="DK163" s="37">
        <f t="shared" si="207"/>
        <v>1.989110431763496</v>
      </c>
      <c r="DL163" s="55">
        <f t="shared" si="208"/>
        <v>26.449302519258794</v>
      </c>
      <c r="DM163" s="55">
        <f t="shared" si="208"/>
        <v>26.449302519258794</v>
      </c>
      <c r="DN163" s="37">
        <f t="shared" si="209"/>
        <v>56.449302519258794</v>
      </c>
      <c r="DO163" s="55">
        <f t="shared" si="210"/>
        <v>1.0107305733081251</v>
      </c>
      <c r="DP163" s="55">
        <f t="shared" si="211"/>
        <v>1.0107305733081251</v>
      </c>
      <c r="DQ163" s="37">
        <v>7.9</v>
      </c>
      <c r="DR163" s="37">
        <f t="shared" si="212"/>
        <v>0.14381940651738578</v>
      </c>
      <c r="DS163" s="37">
        <f t="shared" si="213"/>
        <v>0.28763881303477157</v>
      </c>
      <c r="DT163" s="37">
        <f t="shared" si="178"/>
        <v>13.83061215402137</v>
      </c>
      <c r="DU163" s="37">
        <f t="shared" si="179"/>
        <v>6.9153060770106851</v>
      </c>
      <c r="DV163" s="37">
        <f t="shared" si="180"/>
        <v>118.99181761399126</v>
      </c>
      <c r="DW163" s="37">
        <f t="shared" si="181"/>
        <v>2.2767492447982676</v>
      </c>
      <c r="DX163">
        <v>46</v>
      </c>
      <c r="DY163" t="s">
        <v>121</v>
      </c>
      <c r="DZ163" s="29">
        <f t="shared" si="167"/>
        <v>1</v>
      </c>
      <c r="EA163" s="30">
        <v>1.7000000000000001E-2</v>
      </c>
      <c r="EB163" s="30">
        <f t="shared" si="214"/>
        <v>2.741935483870968E-4</v>
      </c>
      <c r="EC163" s="30">
        <f t="shared" si="215"/>
        <v>1.370967741935484E-3</v>
      </c>
      <c r="ED163" s="31">
        <f t="shared" si="229"/>
        <v>139.5</v>
      </c>
      <c r="EE163" s="33">
        <f t="shared" si="230"/>
        <v>99.642857142857139</v>
      </c>
      <c r="EF163" s="37">
        <f t="shared" si="182"/>
        <v>11.617738913179263</v>
      </c>
      <c r="EG163" s="29">
        <f>$EK161-EK163</f>
        <v>45.5</v>
      </c>
      <c r="EH163" s="33">
        <f>(EG163/$EK161)*100</f>
        <v>98.91304347826086</v>
      </c>
      <c r="EI163" s="37">
        <f t="shared" si="231"/>
        <v>3.7892983551946697</v>
      </c>
      <c r="EJ163" s="37">
        <f>($EG163/96.06)*8</f>
        <v>3.7892983551946697</v>
      </c>
      <c r="EK163" s="31">
        <v>0.5</v>
      </c>
      <c r="EL163" s="31">
        <f t="shared" si="216"/>
        <v>5.2050801582344368E-3</v>
      </c>
      <c r="EM163" s="31">
        <f t="shared" si="217"/>
        <v>4.1640641265875494E-2</v>
      </c>
      <c r="EN163" s="32">
        <f t="shared" si="183"/>
        <v>4.301160900781098E-2</v>
      </c>
      <c r="EO163" s="39">
        <f t="shared" si="218"/>
        <v>13.894488157977531</v>
      </c>
      <c r="EP163" s="37">
        <f t="shared" si="184"/>
        <v>2.0701648723175422E-2</v>
      </c>
      <c r="EQ163" s="37">
        <f t="shared" si="185"/>
        <v>0.14315823721951548</v>
      </c>
      <c r="ER163" s="37">
        <f t="shared" si="186"/>
        <v>0.83614011405730915</v>
      </c>
      <c r="ES163" s="39">
        <f t="shared" si="219"/>
        <v>5.0876677415375662</v>
      </c>
      <c r="ET163" s="55">
        <f t="shared" si="220"/>
        <v>19.866284998451331</v>
      </c>
      <c r="EU163" s="55">
        <f t="shared" si="221"/>
        <v>5.6536477546751707</v>
      </c>
      <c r="EV163" s="55">
        <f t="shared" si="222"/>
        <v>74.480067246873503</v>
      </c>
      <c r="EW163" t="s">
        <v>585</v>
      </c>
      <c r="EX163" t="s">
        <v>110</v>
      </c>
      <c r="EY163">
        <v>-189</v>
      </c>
      <c r="EZ163" t="s">
        <v>534</v>
      </c>
      <c r="FA163">
        <v>965</v>
      </c>
      <c r="FB163" t="s">
        <v>113</v>
      </c>
      <c r="FC163" t="s">
        <v>88</v>
      </c>
      <c r="FD163" s="39">
        <f t="shared" si="223"/>
        <v>-13.766487181736764</v>
      </c>
      <c r="FE163" s="39">
        <f t="shared" si="224"/>
        <v>-13.766476037755091</v>
      </c>
      <c r="FF163" s="39">
        <f t="shared" si="225"/>
        <v>-4.9596667652967987</v>
      </c>
      <c r="FG163" s="39">
        <f t="shared" si="226"/>
        <v>-4.9596556213151253</v>
      </c>
    </row>
    <row r="164" spans="1:163" s="57" customFormat="1" ht="15.75" x14ac:dyDescent="0.25">
      <c r="A164" s="60" t="s">
        <v>421</v>
      </c>
      <c r="B164" s="60" t="s">
        <v>421</v>
      </c>
      <c r="C164" s="60" t="s">
        <v>953</v>
      </c>
      <c r="D164" s="60" t="s">
        <v>953</v>
      </c>
      <c r="E164" s="60" t="s">
        <v>1387</v>
      </c>
      <c r="F164" s="60" t="s">
        <v>1048</v>
      </c>
      <c r="G164" s="60" t="s">
        <v>1049</v>
      </c>
      <c r="H164" s="60" t="str">
        <f t="shared" si="171"/>
        <v>CW_0_Section_0</v>
      </c>
      <c r="I164" s="60" t="str">
        <f t="shared" si="172"/>
        <v>CW_0_INF</v>
      </c>
      <c r="J164" s="60" t="s">
        <v>1481</v>
      </c>
      <c r="K164" s="60" t="s">
        <v>1481</v>
      </c>
      <c r="L164" s="60" t="s">
        <v>780</v>
      </c>
      <c r="M164" s="60" t="s">
        <v>780</v>
      </c>
      <c r="N164" s="60" t="s">
        <v>1481</v>
      </c>
      <c r="O164" s="61" t="s">
        <v>1016</v>
      </c>
      <c r="P164" s="60" t="s">
        <v>1388</v>
      </c>
      <c r="Q164" s="60" t="s">
        <v>1018</v>
      </c>
      <c r="R164" s="60" t="s">
        <v>1389</v>
      </c>
      <c r="S164" s="60" t="str">
        <f t="shared" si="173"/>
        <v>T7_INF</v>
      </c>
      <c r="T164" s="62" t="s">
        <v>1390</v>
      </c>
      <c r="U164" s="60" t="s">
        <v>1113</v>
      </c>
      <c r="V164" s="60">
        <v>150</v>
      </c>
      <c r="W164" s="60">
        <v>65</v>
      </c>
      <c r="X164" s="60">
        <v>9.85</v>
      </c>
      <c r="Y164" s="60">
        <v>163</v>
      </c>
      <c r="Z164" s="57" t="s">
        <v>701</v>
      </c>
      <c r="AA164" s="57" t="s">
        <v>130</v>
      </c>
      <c r="AB164" s="63">
        <v>45957</v>
      </c>
      <c r="AC164" s="57">
        <v>12</v>
      </c>
      <c r="AD164" s="57">
        <v>14</v>
      </c>
      <c r="AE164" s="57">
        <v>520</v>
      </c>
      <c r="AF164" s="57">
        <f t="shared" si="187"/>
        <v>0.19971834592241711</v>
      </c>
      <c r="AG164" s="57">
        <v>81</v>
      </c>
      <c r="AH164" s="57">
        <f t="shared" si="188"/>
        <v>3.1647492945517691E-2</v>
      </c>
      <c r="AI164" s="57">
        <v>660</v>
      </c>
      <c r="AJ164" s="57">
        <f t="shared" si="189"/>
        <v>0.26109070358858438</v>
      </c>
      <c r="AK164" s="57">
        <v>260</v>
      </c>
      <c r="AL164" s="57">
        <f t="shared" si="190"/>
        <v>0.10285391353489687</v>
      </c>
      <c r="AM164" s="57">
        <v>440</v>
      </c>
      <c r="AN164" s="57">
        <f t="shared" si="191"/>
        <v>0.17406046905905623</v>
      </c>
      <c r="AO164" s="57">
        <v>700</v>
      </c>
      <c r="AQ164" s="59">
        <v>1961</v>
      </c>
      <c r="AR164" s="59">
        <f t="shared" si="192"/>
        <v>0.49245654245651915</v>
      </c>
      <c r="AS164" s="57">
        <v>3700</v>
      </c>
      <c r="AT164" s="57">
        <f t="shared" si="193"/>
        <v>1.3856596707497855</v>
      </c>
      <c r="AU164" s="57" t="s">
        <v>780</v>
      </c>
      <c r="AV164" s="57" t="s">
        <v>780</v>
      </c>
      <c r="AW164" s="57" t="s">
        <v>780</v>
      </c>
      <c r="AX164" s="57" t="s">
        <v>780</v>
      </c>
      <c r="AY164" s="57" t="s">
        <v>780</v>
      </c>
      <c r="AZ164" s="57" t="s">
        <v>780</v>
      </c>
      <c r="BA164" s="57" t="s">
        <v>780</v>
      </c>
      <c r="BB164" s="57" t="s">
        <v>780</v>
      </c>
      <c r="BC164" s="57" t="s">
        <v>780</v>
      </c>
      <c r="BD164" s="57" t="s">
        <v>780</v>
      </c>
      <c r="BE164" s="57" t="s">
        <v>780</v>
      </c>
      <c r="BF164" s="57" t="s">
        <v>780</v>
      </c>
      <c r="BG164" s="57" t="s">
        <v>780</v>
      </c>
      <c r="BH164" s="57" t="s">
        <v>780</v>
      </c>
      <c r="BI164" s="57" t="s">
        <v>780</v>
      </c>
      <c r="BJ164" s="57" t="s">
        <v>780</v>
      </c>
      <c r="BK164" s="57" t="s">
        <v>780</v>
      </c>
      <c r="BL164" s="57" t="s">
        <v>780</v>
      </c>
      <c r="BM164" s="57" t="s">
        <v>780</v>
      </c>
      <c r="BN164" s="57" t="s">
        <v>780</v>
      </c>
      <c r="BO164" s="57">
        <v>8200</v>
      </c>
      <c r="BP164" s="57">
        <v>68</v>
      </c>
      <c r="BQ164" s="57">
        <v>400</v>
      </c>
      <c r="BR164" s="57">
        <v>120</v>
      </c>
      <c r="BS164" s="57">
        <v>120</v>
      </c>
      <c r="BT164" s="57">
        <v>21</v>
      </c>
      <c r="BU164" s="57">
        <v>13</v>
      </c>
      <c r="BV164" s="57">
        <v>14</v>
      </c>
      <c r="BW164" s="57">
        <f t="shared" si="194"/>
        <v>3.0709214324724976</v>
      </c>
      <c r="BX164" s="57">
        <f t="shared" si="195"/>
        <v>2.5021354885340692E-2</v>
      </c>
      <c r="BY164" s="57">
        <f t="shared" si="196"/>
        <v>0.15044419946825757</v>
      </c>
      <c r="BZ164" s="57">
        <f t="shared" si="197"/>
        <v>4.4759956683912888E-2</v>
      </c>
      <c r="CA164" s="57">
        <f t="shared" si="198"/>
        <v>4.4436963474162601E-2</v>
      </c>
      <c r="CB164" s="57">
        <f t="shared" si="199"/>
        <v>7.7764686079784548E-3</v>
      </c>
      <c r="CC164" s="57">
        <f t="shared" si="200"/>
        <v>4.756489493201484E-3</v>
      </c>
      <c r="CD164" s="57">
        <f t="shared" si="201"/>
        <v>5.1223733003708284E-3</v>
      </c>
      <c r="CE164" s="57">
        <v>0.91</v>
      </c>
      <c r="CF164" s="57">
        <v>0.89</v>
      </c>
      <c r="CG164" s="57">
        <v>0.26</v>
      </c>
      <c r="CH164" s="57">
        <v>0.13</v>
      </c>
      <c r="CI164" s="57">
        <v>0.33</v>
      </c>
      <c r="CK164" s="57">
        <v>2E-3</v>
      </c>
      <c r="CL164" s="57">
        <v>7.0000000000000007E-2</v>
      </c>
      <c r="CM164" s="57">
        <v>0.06</v>
      </c>
      <c r="CN164" s="57">
        <f t="shared" si="227"/>
        <v>8956</v>
      </c>
      <c r="CO164" s="57">
        <f t="shared" si="202"/>
        <v>756</v>
      </c>
      <c r="CP164" s="57">
        <f t="shared" si="203"/>
        <v>3.3532392383857226</v>
      </c>
      <c r="CQ164" s="57">
        <f t="shared" si="204"/>
        <v>0.28231780591322458</v>
      </c>
      <c r="CR164" s="57">
        <v>9000</v>
      </c>
      <c r="CS164" s="57">
        <v>8200</v>
      </c>
      <c r="CT164" s="57">
        <v>2500</v>
      </c>
      <c r="CU164" s="57" t="s">
        <v>69</v>
      </c>
      <c r="CV164" s="57" t="s">
        <v>69</v>
      </c>
      <c r="CW164" s="57">
        <v>11000</v>
      </c>
      <c r="CX164" s="64">
        <f t="shared" si="174"/>
        <v>10961</v>
      </c>
      <c r="CZ164" s="57">
        <v>76</v>
      </c>
      <c r="DA164" s="57" t="s">
        <v>62</v>
      </c>
      <c r="DB164" s="57" t="s">
        <v>88</v>
      </c>
      <c r="DC164" s="57" t="s">
        <v>782</v>
      </c>
      <c r="DD164" s="57">
        <f t="shared" si="175"/>
        <v>0</v>
      </c>
      <c r="DE164" s="57">
        <f t="shared" si="228"/>
        <v>0</v>
      </c>
      <c r="DF164" s="57">
        <v>0.02</v>
      </c>
      <c r="DG164" s="57">
        <f t="shared" si="176"/>
        <v>3.5810205908683976E-4</v>
      </c>
      <c r="DH164" s="57">
        <f t="shared" si="205"/>
        <v>3.5810205908683976E-4</v>
      </c>
      <c r="DI164" s="57">
        <f t="shared" si="177"/>
        <v>0.02</v>
      </c>
      <c r="DJ164" s="57">
        <f t="shared" si="206"/>
        <v>3.5810205908683976E-4</v>
      </c>
      <c r="DK164" s="57">
        <f t="shared" si="207"/>
        <v>3.5810205908683976E-4</v>
      </c>
      <c r="DL164" s="57">
        <f t="shared" si="208"/>
        <v>0</v>
      </c>
      <c r="DM164" s="57">
        <f t="shared" si="208"/>
        <v>0</v>
      </c>
      <c r="DN164" s="57">
        <f t="shared" si="209"/>
        <v>0.02</v>
      </c>
      <c r="DO164" s="57">
        <f t="shared" si="210"/>
        <v>3.5810205908683976E-4</v>
      </c>
      <c r="DP164" s="57">
        <f t="shared" si="211"/>
        <v>3.5810205908683976E-4</v>
      </c>
      <c r="DQ164" s="57">
        <v>0.05</v>
      </c>
      <c r="DR164" s="57">
        <f t="shared" si="212"/>
        <v>9.1024940833788468E-4</v>
      </c>
      <c r="DS164" s="57">
        <f t="shared" si="213"/>
        <v>1.8204988166757694E-3</v>
      </c>
      <c r="DT164" s="57">
        <f t="shared" si="178"/>
        <v>0.3934109221128021</v>
      </c>
      <c r="DU164" s="57">
        <f t="shared" si="179"/>
        <v>0.19670546105640105</v>
      </c>
      <c r="DV164" s="57">
        <f t="shared" si="180"/>
        <v>7.0000000000000007E-2</v>
      </c>
      <c r="DW164" s="57">
        <f t="shared" si="181"/>
        <v>2.1786008757626093E-3</v>
      </c>
      <c r="DX164" s="57" t="s">
        <v>780</v>
      </c>
      <c r="DY164" s="57" t="s">
        <v>131</v>
      </c>
      <c r="DZ164" s="57">
        <f>EA164/$EA$164</f>
        <v>1</v>
      </c>
      <c r="EA164" s="57">
        <v>1.7000000000000001E-2</v>
      </c>
      <c r="EB164" s="57">
        <f t="shared" si="214"/>
        <v>2.741935483870968E-4</v>
      </c>
      <c r="EC164" s="57">
        <f t="shared" si="215"/>
        <v>1.370967741935484E-3</v>
      </c>
      <c r="ED164" s="57">
        <f t="shared" ref="ED164:ED185" si="233">$EK$164-EK164</f>
        <v>0</v>
      </c>
      <c r="EE164" s="59">
        <f t="shared" ref="EE164:EE185" si="234">(ED164/$EK$164)*100</f>
        <v>0</v>
      </c>
      <c r="EF164" s="57">
        <f t="shared" si="182"/>
        <v>0</v>
      </c>
      <c r="EG164" s="57">
        <f>$EK164-EK164</f>
        <v>0</v>
      </c>
      <c r="EH164" s="59">
        <f>(EG164/$EK164)*100</f>
        <v>0</v>
      </c>
      <c r="EI164" s="57">
        <f t="shared" si="231"/>
        <v>0</v>
      </c>
      <c r="EJ164" s="57">
        <f>($EG164/96.06)*8</f>
        <v>0</v>
      </c>
      <c r="EK164" s="57">
        <v>25</v>
      </c>
      <c r="EL164" s="57">
        <f t="shared" si="216"/>
        <v>0.26025400791172182</v>
      </c>
      <c r="EM164" s="57">
        <f t="shared" si="217"/>
        <v>2.0820320632937745</v>
      </c>
      <c r="EN164" s="57">
        <f t="shared" si="183"/>
        <v>2.0834030310357101</v>
      </c>
      <c r="EO164" s="59">
        <f t="shared" si="218"/>
        <v>2.1786008757626093E-3</v>
      </c>
      <c r="EP164" s="57">
        <f t="shared" si="184"/>
        <v>0.8356275061344185</v>
      </c>
      <c r="EQ164" s="57">
        <f t="shared" si="185"/>
        <v>0.16437249386558139</v>
      </c>
      <c r="ER164" s="57">
        <f t="shared" si="186"/>
        <v>0</v>
      </c>
      <c r="ES164" s="59">
        <f t="shared" si="219"/>
        <v>2.1786008757626093E-3</v>
      </c>
      <c r="ET164" s="57">
        <f t="shared" si="220"/>
        <v>16.43724938655814</v>
      </c>
      <c r="EU164" s="57">
        <f t="shared" si="221"/>
        <v>83.56275061344185</v>
      </c>
      <c r="EV164" s="57">
        <f t="shared" si="222"/>
        <v>0</v>
      </c>
      <c r="EW164" s="57" t="s">
        <v>780</v>
      </c>
      <c r="EX164" s="57" t="s">
        <v>780</v>
      </c>
      <c r="EY164" s="57" t="s">
        <v>780</v>
      </c>
      <c r="EZ164" s="57" t="s">
        <v>780</v>
      </c>
      <c r="FA164" s="57" t="s">
        <v>780</v>
      </c>
      <c r="FB164" s="57" t="s">
        <v>780</v>
      </c>
      <c r="FC164" s="57" t="s">
        <v>72</v>
      </c>
      <c r="FD164" s="59">
        <f t="shared" si="223"/>
        <v>1.8759376123305418</v>
      </c>
      <c r="FE164" s="59">
        <f t="shared" si="224"/>
        <v>2.1582554182437663</v>
      </c>
      <c r="FF164" s="59">
        <f t="shared" si="225"/>
        <v>1.8759376123305418</v>
      </c>
      <c r="FG164" s="59">
        <f t="shared" si="226"/>
        <v>2.1582554182437663</v>
      </c>
    </row>
    <row r="165" spans="1:163" s="57" customFormat="1" ht="15.75" x14ac:dyDescent="0.25">
      <c r="A165" s="60" t="s">
        <v>422</v>
      </c>
      <c r="B165" s="60" t="s">
        <v>422</v>
      </c>
      <c r="C165" s="60" t="s">
        <v>954</v>
      </c>
      <c r="D165" s="60" t="s">
        <v>954</v>
      </c>
      <c r="E165" s="60" t="s">
        <v>1391</v>
      </c>
      <c r="F165" s="60" t="s">
        <v>1055</v>
      </c>
      <c r="G165" s="60" t="s">
        <v>772</v>
      </c>
      <c r="H165" s="60" t="str">
        <f t="shared" si="171"/>
        <v>CW_1_Section_5</v>
      </c>
      <c r="I165" s="60" t="str">
        <f t="shared" si="172"/>
        <v>CW_1_EFF</v>
      </c>
      <c r="J165" s="60" t="s">
        <v>1482</v>
      </c>
      <c r="K165" s="60" t="s">
        <v>1482</v>
      </c>
      <c r="L165" s="60" t="s">
        <v>780</v>
      </c>
      <c r="M165" s="60" t="s">
        <v>780</v>
      </c>
      <c r="N165" s="60" t="s">
        <v>1482</v>
      </c>
      <c r="O165" s="61" t="s">
        <v>1016</v>
      </c>
      <c r="P165" s="60" t="s">
        <v>1392</v>
      </c>
      <c r="Q165" s="60" t="s">
        <v>1018</v>
      </c>
      <c r="R165" s="60" t="s">
        <v>1389</v>
      </c>
      <c r="S165" s="60" t="str">
        <f t="shared" si="173"/>
        <v>T7_EFF</v>
      </c>
      <c r="T165" s="62" t="s">
        <v>1390</v>
      </c>
      <c r="U165" s="60" t="s">
        <v>1113</v>
      </c>
      <c r="V165" s="60">
        <v>150</v>
      </c>
      <c r="W165" s="60">
        <v>65</v>
      </c>
      <c r="X165" s="60">
        <v>12.25</v>
      </c>
      <c r="Y165" s="60">
        <v>164</v>
      </c>
      <c r="Z165" s="57" t="s">
        <v>724</v>
      </c>
      <c r="AA165" s="57" t="s">
        <v>47</v>
      </c>
      <c r="AB165" s="63">
        <v>45959</v>
      </c>
      <c r="AC165" s="57">
        <v>9.1</v>
      </c>
      <c r="AD165" s="57">
        <v>9.4</v>
      </c>
      <c r="AE165" s="57">
        <v>26</v>
      </c>
      <c r="AF165" s="57">
        <f t="shared" si="187"/>
        <v>9.9859172961208557E-3</v>
      </c>
      <c r="AG165" s="57">
        <v>0.4</v>
      </c>
      <c r="AH165" s="57">
        <f t="shared" si="188"/>
        <v>1.562839157803343E-4</v>
      </c>
      <c r="AI165" s="57">
        <v>6.3</v>
      </c>
      <c r="AJ165" s="57">
        <f t="shared" si="189"/>
        <v>2.4922294433455776E-3</v>
      </c>
      <c r="AK165" s="57">
        <v>1.6</v>
      </c>
      <c r="AL165" s="57">
        <f t="shared" si="190"/>
        <v>6.3294716021474991E-4</v>
      </c>
      <c r="AM165" s="57">
        <v>0.31</v>
      </c>
      <c r="AN165" s="57">
        <f t="shared" si="191"/>
        <v>1.2263351229160779E-4</v>
      </c>
      <c r="AO165" s="57">
        <v>1.91</v>
      </c>
      <c r="AQ165" s="59">
        <v>34.61</v>
      </c>
      <c r="AR165" s="59">
        <f t="shared" si="192"/>
        <v>1.2634430655246767E-2</v>
      </c>
      <c r="AS165" s="57">
        <v>6.5</v>
      </c>
      <c r="AT165" s="57">
        <f t="shared" si="193"/>
        <v>2.4342669891550283E-3</v>
      </c>
      <c r="AU165" s="57" t="s">
        <v>780</v>
      </c>
      <c r="AV165" s="57" t="s">
        <v>780</v>
      </c>
      <c r="AW165" s="57" t="s">
        <v>780</v>
      </c>
      <c r="AX165" s="57" t="s">
        <v>780</v>
      </c>
      <c r="AY165" s="57" t="s">
        <v>780</v>
      </c>
      <c r="AZ165" s="57" t="s">
        <v>780</v>
      </c>
      <c r="BA165" s="57" t="s">
        <v>780</v>
      </c>
      <c r="BB165" s="57" t="s">
        <v>780</v>
      </c>
      <c r="BC165" s="57" t="s">
        <v>780</v>
      </c>
      <c r="BD165" s="57" t="s">
        <v>780</v>
      </c>
      <c r="BE165" s="57" t="s">
        <v>780</v>
      </c>
      <c r="BF165" s="57" t="s">
        <v>780</v>
      </c>
      <c r="BG165" s="57" t="s">
        <v>780</v>
      </c>
      <c r="BH165" s="57" t="s">
        <v>780</v>
      </c>
      <c r="BI165" s="57" t="s">
        <v>780</v>
      </c>
      <c r="BJ165" s="57" t="s">
        <v>780</v>
      </c>
      <c r="BK165" s="57" t="s">
        <v>780</v>
      </c>
      <c r="BL165" s="57" t="s">
        <v>780</v>
      </c>
      <c r="BM165" s="57" t="s">
        <v>780</v>
      </c>
      <c r="BN165" s="57" t="s">
        <v>780</v>
      </c>
      <c r="BO165" s="57">
        <v>0.02</v>
      </c>
      <c r="BP165" s="57">
        <v>0.17</v>
      </c>
      <c r="BQ165" s="57">
        <v>6.5</v>
      </c>
      <c r="BR165" s="57">
        <v>1.4</v>
      </c>
      <c r="BS165" s="57">
        <v>0.42</v>
      </c>
      <c r="BT165" s="57">
        <v>0.06</v>
      </c>
      <c r="BU165" s="57">
        <v>1E-3</v>
      </c>
      <c r="BV165" s="57">
        <v>2E-3</v>
      </c>
      <c r="BW165" s="57">
        <f t="shared" si="194"/>
        <v>7.4900522743231651E-6</v>
      </c>
      <c r="BX165" s="57">
        <f t="shared" si="195"/>
        <v>6.2553387213351737E-5</v>
      </c>
      <c r="BY165" s="57">
        <f t="shared" si="196"/>
        <v>2.4447182413591855E-3</v>
      </c>
      <c r="BZ165" s="57">
        <f t="shared" si="197"/>
        <v>5.2219949464565028E-4</v>
      </c>
      <c r="CA165" s="57">
        <f t="shared" si="198"/>
        <v>1.5552937215956909E-4</v>
      </c>
      <c r="CB165" s="57">
        <f t="shared" si="199"/>
        <v>2.22184817370813E-5</v>
      </c>
      <c r="CC165" s="57">
        <f t="shared" si="200"/>
        <v>3.6588380716934485E-7</v>
      </c>
      <c r="CD165" s="57">
        <f t="shared" si="201"/>
        <v>7.3176761433868969E-7</v>
      </c>
      <c r="CE165" s="57">
        <v>1E-3</v>
      </c>
      <c r="CF165" s="57">
        <v>1E-3</v>
      </c>
      <c r="CG165" s="57">
        <v>2E-3</v>
      </c>
      <c r="CH165" s="57">
        <v>1E-3</v>
      </c>
      <c r="CI165" s="57">
        <v>1E-3</v>
      </c>
      <c r="CK165" s="57">
        <v>2E-3</v>
      </c>
      <c r="CL165" s="57">
        <v>1E-3</v>
      </c>
      <c r="CM165" s="57">
        <v>1E-3</v>
      </c>
      <c r="CN165" s="57">
        <f t="shared" si="227"/>
        <v>8.5730000000000004</v>
      </c>
      <c r="CO165" s="57">
        <f t="shared" si="202"/>
        <v>8.5530000000000008</v>
      </c>
      <c r="CP165" s="57">
        <f t="shared" si="203"/>
        <v>3.215806680810669E-3</v>
      </c>
      <c r="CQ165" s="57">
        <f t="shared" si="204"/>
        <v>3.2083166285363455E-3</v>
      </c>
      <c r="CR165" s="57">
        <v>8.6</v>
      </c>
      <c r="CS165" s="57" t="s">
        <v>69</v>
      </c>
      <c r="CT165" s="57" t="s">
        <v>69</v>
      </c>
      <c r="CU165" s="57" t="s">
        <v>69</v>
      </c>
      <c r="CV165" s="57" t="s">
        <v>69</v>
      </c>
      <c r="CW165" s="57">
        <v>5</v>
      </c>
      <c r="CX165" s="64">
        <f t="shared" si="174"/>
        <v>43.21</v>
      </c>
      <c r="CZ165" s="57">
        <v>58</v>
      </c>
      <c r="DA165" s="57" t="s">
        <v>62</v>
      </c>
      <c r="DB165" s="57" t="s">
        <v>88</v>
      </c>
      <c r="DC165" s="57" t="s">
        <v>782</v>
      </c>
      <c r="DD165" s="57">
        <f t="shared" si="175"/>
        <v>14.241932125754737</v>
      </c>
      <c r="DE165" s="57">
        <f t="shared" si="228"/>
        <v>14.241932125754737</v>
      </c>
      <c r="DF165" s="57">
        <v>4.8</v>
      </c>
      <c r="DG165" s="57">
        <f t="shared" si="176"/>
        <v>8.5944494180841532E-2</v>
      </c>
      <c r="DH165" s="57">
        <f t="shared" si="205"/>
        <v>8.5944494180841532E-2</v>
      </c>
      <c r="DI165" s="57">
        <f t="shared" si="177"/>
        <v>19.041932125754737</v>
      </c>
      <c r="DJ165" s="57">
        <f t="shared" si="206"/>
        <v>0.34094775516123071</v>
      </c>
      <c r="DK165" s="57">
        <f t="shared" si="207"/>
        <v>0.34094775516123071</v>
      </c>
      <c r="DL165" s="57">
        <f t="shared" si="208"/>
        <v>33.424942744118255</v>
      </c>
      <c r="DM165" s="57">
        <f t="shared" si="208"/>
        <v>33.424942744118255</v>
      </c>
      <c r="DN165" s="57">
        <f t="shared" si="209"/>
        <v>38.224942744118252</v>
      </c>
      <c r="DO165" s="57">
        <f t="shared" si="210"/>
        <v>0.68442153525726501</v>
      </c>
      <c r="DP165" s="57">
        <f t="shared" si="211"/>
        <v>0.68442153525726501</v>
      </c>
      <c r="DQ165" s="57">
        <v>1.5</v>
      </c>
      <c r="DR165" s="57">
        <f t="shared" si="212"/>
        <v>2.7307482250136537E-2</v>
      </c>
      <c r="DS165" s="57">
        <f t="shared" si="213"/>
        <v>5.4614964500273075E-2</v>
      </c>
      <c r="DT165" s="57">
        <f t="shared" si="178"/>
        <v>12.485506794004269</v>
      </c>
      <c r="DU165" s="57">
        <f t="shared" si="179"/>
        <v>6.2427533970021347</v>
      </c>
      <c r="DV165" s="57">
        <f t="shared" si="180"/>
        <v>20.541932125754737</v>
      </c>
      <c r="DW165" s="57">
        <f t="shared" si="181"/>
        <v>0.3955627196615038</v>
      </c>
      <c r="DX165" s="57" t="s">
        <v>780</v>
      </c>
      <c r="DY165" s="57" t="s">
        <v>192</v>
      </c>
      <c r="DZ165" s="57">
        <f t="shared" si="167"/>
        <v>1</v>
      </c>
      <c r="EA165" s="57">
        <v>1.7000000000000001E-2</v>
      </c>
      <c r="EB165" s="57">
        <f t="shared" si="214"/>
        <v>2.741935483870968E-4</v>
      </c>
      <c r="EC165" s="57">
        <f t="shared" si="215"/>
        <v>1.370967741935484E-3</v>
      </c>
      <c r="ED165" s="57">
        <f t="shared" si="233"/>
        <v>24.5</v>
      </c>
      <c r="EE165" s="59">
        <f t="shared" si="234"/>
        <v>98</v>
      </c>
      <c r="EF165" s="57">
        <f t="shared" si="182"/>
        <v>2.0403914220278994</v>
      </c>
      <c r="EG165" s="57">
        <f>$EK173-EK165</f>
        <v>57.5</v>
      </c>
      <c r="EH165" s="59">
        <f>(EG165/EK173)*100</f>
        <v>99.137931034482762</v>
      </c>
      <c r="EI165" s="57">
        <f t="shared" si="231"/>
        <v>4.7886737455756814</v>
      </c>
      <c r="EJ165" s="57">
        <f>($EG165/96.06)*8</f>
        <v>4.7886737455756814</v>
      </c>
      <c r="EK165" s="57">
        <v>0.5</v>
      </c>
      <c r="EL165" s="57">
        <f t="shared" si="216"/>
        <v>5.2050801582344368E-3</v>
      </c>
      <c r="EM165" s="57">
        <f t="shared" si="217"/>
        <v>4.1640641265875494E-2</v>
      </c>
      <c r="EN165" s="57">
        <f t="shared" si="183"/>
        <v>4.301160900781098E-2</v>
      </c>
      <c r="EO165" s="59">
        <f t="shared" si="218"/>
        <v>2.4359541416894031</v>
      </c>
      <c r="EP165" s="57">
        <f t="shared" si="184"/>
        <v>2.2420358234821306E-2</v>
      </c>
      <c r="EQ165" s="57">
        <f t="shared" si="185"/>
        <v>0.13996476753243547</v>
      </c>
      <c r="ER165" s="57">
        <f t="shared" si="186"/>
        <v>0.83761487423274328</v>
      </c>
      <c r="ES165" s="59">
        <f t="shared" si="219"/>
        <v>5.5277102453332194</v>
      </c>
      <c r="ET165" s="57">
        <f t="shared" si="220"/>
        <v>12.381646375822418</v>
      </c>
      <c r="EU165" s="57">
        <f t="shared" si="221"/>
        <v>0.98802147862909173</v>
      </c>
      <c r="EV165" s="57">
        <f t="shared" si="222"/>
        <v>86.630332145548493</v>
      </c>
      <c r="EW165" s="57" t="s">
        <v>725</v>
      </c>
      <c r="EX165" s="57">
        <v>11</v>
      </c>
      <c r="EY165" s="57">
        <v>-123</v>
      </c>
      <c r="EZ165" s="57" t="s">
        <v>246</v>
      </c>
      <c r="FA165" s="57">
        <v>487</v>
      </c>
      <c r="FB165" s="57" t="s">
        <v>113</v>
      </c>
      <c r="FC165" s="57" t="s">
        <v>88</v>
      </c>
      <c r="FD165" s="59">
        <f t="shared" si="223"/>
        <v>-2.4208854440450014</v>
      </c>
      <c r="FE165" s="59">
        <f t="shared" si="224"/>
        <v>-2.4176771274164648</v>
      </c>
      <c r="FF165" s="59">
        <f t="shared" si="225"/>
        <v>-5.5126415476888173</v>
      </c>
      <c r="FG165" s="59">
        <f t="shared" si="226"/>
        <v>-5.5094332310602816</v>
      </c>
    </row>
    <row r="166" spans="1:163" s="57" customFormat="1" ht="15.75" x14ac:dyDescent="0.25">
      <c r="A166" s="60" t="s">
        <v>423</v>
      </c>
      <c r="B166" s="60" t="s">
        <v>423</v>
      </c>
      <c r="C166" s="60" t="s">
        <v>955</v>
      </c>
      <c r="D166" s="60" t="s">
        <v>955</v>
      </c>
      <c r="E166" s="60" t="s">
        <v>1393</v>
      </c>
      <c r="F166" s="60" t="s">
        <v>1055</v>
      </c>
      <c r="G166" s="60" t="s">
        <v>773</v>
      </c>
      <c r="H166" s="60" t="str">
        <f t="shared" si="171"/>
        <v>CW_2_Section_5</v>
      </c>
      <c r="I166" s="60" t="str">
        <f t="shared" si="172"/>
        <v>CW_2_EFF</v>
      </c>
      <c r="J166" s="60" t="s">
        <v>1482</v>
      </c>
      <c r="K166" s="60" t="s">
        <v>1482</v>
      </c>
      <c r="L166" s="60" t="s">
        <v>780</v>
      </c>
      <c r="M166" s="60" t="s">
        <v>780</v>
      </c>
      <c r="N166" s="60" t="s">
        <v>1482</v>
      </c>
      <c r="O166" s="61" t="s">
        <v>1016</v>
      </c>
      <c r="P166" s="60" t="s">
        <v>1394</v>
      </c>
      <c r="Q166" s="60" t="s">
        <v>1018</v>
      </c>
      <c r="R166" s="60" t="s">
        <v>1389</v>
      </c>
      <c r="S166" s="60" t="str">
        <f t="shared" si="173"/>
        <v>T7_EFF</v>
      </c>
      <c r="T166" s="62" t="s">
        <v>1390</v>
      </c>
      <c r="U166" s="60" t="s">
        <v>1113</v>
      </c>
      <c r="V166" s="60">
        <v>150</v>
      </c>
      <c r="W166" s="60">
        <v>65</v>
      </c>
      <c r="X166" s="60">
        <v>16.399999999999999</v>
      </c>
      <c r="Y166" s="60">
        <v>165</v>
      </c>
      <c r="Z166" s="57" t="s">
        <v>726</v>
      </c>
      <c r="AA166" s="57" t="s">
        <v>196</v>
      </c>
      <c r="AB166" s="63">
        <v>45959</v>
      </c>
      <c r="AC166" s="57">
        <v>9.6999999999999993</v>
      </c>
      <c r="AD166" s="57">
        <v>10</v>
      </c>
      <c r="AE166" s="57">
        <v>36</v>
      </c>
      <c r="AF166" s="57">
        <f t="shared" si="187"/>
        <v>1.38266547177058E-2</v>
      </c>
      <c r="AG166" s="57">
        <v>7.2</v>
      </c>
      <c r="AH166" s="57">
        <f t="shared" si="188"/>
        <v>2.813110484046017E-3</v>
      </c>
      <c r="AI166" s="57">
        <v>43</v>
      </c>
      <c r="AJ166" s="57">
        <f t="shared" si="189"/>
        <v>1.7010454930771402E-2</v>
      </c>
      <c r="AK166" s="57">
        <v>12</v>
      </c>
      <c r="AL166" s="57">
        <f t="shared" si="190"/>
        <v>4.7471037016106245E-3</v>
      </c>
      <c r="AM166" s="57">
        <v>6.9</v>
      </c>
      <c r="AN166" s="57">
        <f t="shared" si="191"/>
        <v>2.7295846284261091E-3</v>
      </c>
      <c r="AO166" s="57">
        <v>18.899999999999999</v>
      </c>
      <c r="AQ166" s="59">
        <v>105.1</v>
      </c>
      <c r="AR166" s="59">
        <f t="shared" si="192"/>
        <v>3.3650220132523223E-2</v>
      </c>
      <c r="AS166" s="57">
        <v>370</v>
      </c>
      <c r="AT166" s="57">
        <f t="shared" si="193"/>
        <v>0.13856596707497854</v>
      </c>
      <c r="AU166" s="57" t="s">
        <v>780</v>
      </c>
      <c r="AV166" s="57" t="s">
        <v>780</v>
      </c>
      <c r="AW166" s="57" t="s">
        <v>780</v>
      </c>
      <c r="AX166" s="57" t="s">
        <v>780</v>
      </c>
      <c r="AY166" s="57" t="s">
        <v>780</v>
      </c>
      <c r="AZ166" s="57" t="s">
        <v>780</v>
      </c>
      <c r="BA166" s="57" t="s">
        <v>780</v>
      </c>
      <c r="BB166" s="57" t="s">
        <v>780</v>
      </c>
      <c r="BC166" s="57" t="s">
        <v>780</v>
      </c>
      <c r="BD166" s="57" t="s">
        <v>780</v>
      </c>
      <c r="BE166" s="57" t="s">
        <v>780</v>
      </c>
      <c r="BF166" s="57" t="s">
        <v>780</v>
      </c>
      <c r="BG166" s="57" t="s">
        <v>780</v>
      </c>
      <c r="BH166" s="57" t="s">
        <v>780</v>
      </c>
      <c r="BI166" s="57" t="s">
        <v>780</v>
      </c>
      <c r="BJ166" s="57" t="s">
        <v>780</v>
      </c>
      <c r="BK166" s="57" t="s">
        <v>780</v>
      </c>
      <c r="BL166" s="57" t="s">
        <v>780</v>
      </c>
      <c r="BM166" s="57" t="s">
        <v>780</v>
      </c>
      <c r="BN166" s="57" t="s">
        <v>780</v>
      </c>
      <c r="BO166" s="57">
        <v>460</v>
      </c>
      <c r="BP166" s="57">
        <v>2.7</v>
      </c>
      <c r="BQ166" s="57">
        <v>65</v>
      </c>
      <c r="BR166" s="57">
        <v>14</v>
      </c>
      <c r="BS166" s="57">
        <v>7.4</v>
      </c>
      <c r="BT166" s="57">
        <v>1.2</v>
      </c>
      <c r="BU166" s="57">
        <v>0.12</v>
      </c>
      <c r="BV166" s="57">
        <v>0.08</v>
      </c>
      <c r="BW166" s="57">
        <f t="shared" si="194"/>
        <v>0.17227120230943277</v>
      </c>
      <c r="BX166" s="57">
        <f t="shared" si="195"/>
        <v>9.9349497338852748E-4</v>
      </c>
      <c r="BY166" s="57">
        <f t="shared" si="196"/>
        <v>2.4447182413591857E-2</v>
      </c>
      <c r="BZ166" s="57">
        <f t="shared" si="197"/>
        <v>5.2219949464565032E-3</v>
      </c>
      <c r="CA166" s="57">
        <f t="shared" si="198"/>
        <v>2.7402794142400272E-3</v>
      </c>
      <c r="CB166" s="57">
        <f t="shared" si="199"/>
        <v>4.4436963474162597E-4</v>
      </c>
      <c r="CC166" s="57">
        <f t="shared" si="200"/>
        <v>4.3906056860321379E-5</v>
      </c>
      <c r="CD166" s="57">
        <f t="shared" si="201"/>
        <v>2.9270704573547589E-5</v>
      </c>
      <c r="CE166" s="57">
        <v>1E-3</v>
      </c>
      <c r="CF166" s="57">
        <v>1E-3</v>
      </c>
      <c r="CG166" s="57">
        <v>2E-3</v>
      </c>
      <c r="CH166" s="57">
        <v>1E-3</v>
      </c>
      <c r="CI166" s="57">
        <v>1E-3</v>
      </c>
      <c r="CK166" s="57">
        <v>2E-3</v>
      </c>
      <c r="CL166" s="57">
        <v>1E-3</v>
      </c>
      <c r="CM166" s="57">
        <v>1E-3</v>
      </c>
      <c r="CN166" s="57">
        <f t="shared" si="227"/>
        <v>550.50000000000011</v>
      </c>
      <c r="CO166" s="57">
        <f t="shared" si="202"/>
        <v>90.500000000000014</v>
      </c>
      <c r="CP166" s="57">
        <f t="shared" si="203"/>
        <v>0.20619170045328516</v>
      </c>
      <c r="CQ166" s="57">
        <f t="shared" si="204"/>
        <v>3.3920498143852409E-2</v>
      </c>
      <c r="CR166" s="57">
        <v>550</v>
      </c>
      <c r="CS166" s="57" t="s">
        <v>69</v>
      </c>
      <c r="CT166" s="57" t="s">
        <v>69</v>
      </c>
      <c r="CU166" s="57" t="s">
        <v>69</v>
      </c>
      <c r="CV166" s="57" t="s">
        <v>69</v>
      </c>
      <c r="CW166" s="57">
        <v>5</v>
      </c>
      <c r="CX166" s="64">
        <f t="shared" si="174"/>
        <v>655.1</v>
      </c>
      <c r="CZ166" s="57">
        <v>59</v>
      </c>
      <c r="DA166" s="57" t="s">
        <v>62</v>
      </c>
      <c r="DB166" s="57" t="s">
        <v>88</v>
      </c>
      <c r="DC166" s="57" t="s">
        <v>782</v>
      </c>
      <c r="DD166" s="57">
        <f t="shared" si="175"/>
        <v>14.241932125754737</v>
      </c>
      <c r="DE166" s="57">
        <f t="shared" si="228"/>
        <v>14.241932125754737</v>
      </c>
      <c r="DF166" s="57">
        <v>6.5</v>
      </c>
      <c r="DG166" s="57">
        <f t="shared" si="176"/>
        <v>0.11638316920322292</v>
      </c>
      <c r="DH166" s="57">
        <f t="shared" si="205"/>
        <v>0.11638316920322292</v>
      </c>
      <c r="DI166" s="57">
        <f t="shared" si="177"/>
        <v>20.741932125754737</v>
      </c>
      <c r="DJ166" s="57">
        <f t="shared" si="206"/>
        <v>0.37138643018361212</v>
      </c>
      <c r="DK166" s="57">
        <f t="shared" si="207"/>
        <v>0.37138643018361212</v>
      </c>
      <c r="DL166" s="57">
        <f t="shared" si="208"/>
        <v>3.4296897772225692</v>
      </c>
      <c r="DM166" s="57">
        <f t="shared" si="208"/>
        <v>3.4296897772225692</v>
      </c>
      <c r="DN166" s="57">
        <f t="shared" si="209"/>
        <v>9.9296897772225687</v>
      </c>
      <c r="DO166" s="57">
        <f t="shared" si="210"/>
        <v>0.17779211776584725</v>
      </c>
      <c r="DP166" s="57">
        <f t="shared" si="211"/>
        <v>0.17779211776584725</v>
      </c>
      <c r="DQ166" s="57">
        <v>2.9</v>
      </c>
      <c r="DR166" s="57">
        <f t="shared" si="212"/>
        <v>5.2794465683597303E-2</v>
      </c>
      <c r="DS166" s="57">
        <f t="shared" si="213"/>
        <v>0.10558893136719461</v>
      </c>
      <c r="DT166" s="57">
        <f t="shared" si="178"/>
        <v>7.0345712448226951</v>
      </c>
      <c r="DU166" s="57">
        <f t="shared" si="179"/>
        <v>3.5172856224113476</v>
      </c>
      <c r="DV166" s="57">
        <f t="shared" si="180"/>
        <v>23.641932125754735</v>
      </c>
      <c r="DW166" s="57">
        <f t="shared" si="181"/>
        <v>0.47697536155080672</v>
      </c>
      <c r="DX166" s="57" t="s">
        <v>780</v>
      </c>
      <c r="DY166" s="57" t="s">
        <v>215</v>
      </c>
      <c r="DZ166" s="57">
        <f t="shared" si="167"/>
        <v>1</v>
      </c>
      <c r="EA166" s="57">
        <v>1.7000000000000001E-2</v>
      </c>
      <c r="EB166" s="57">
        <f t="shared" si="214"/>
        <v>2.741935483870968E-4</v>
      </c>
      <c r="EC166" s="57">
        <f t="shared" si="215"/>
        <v>1.370967741935484E-3</v>
      </c>
      <c r="ED166" s="57">
        <f t="shared" si="233"/>
        <v>24.5</v>
      </c>
      <c r="EE166" s="59">
        <f t="shared" si="234"/>
        <v>98</v>
      </c>
      <c r="EF166" s="57">
        <f t="shared" si="182"/>
        <v>2.0403914220278994</v>
      </c>
      <c r="EG166" s="57">
        <f>$EK179-EK166</f>
        <v>5.9</v>
      </c>
      <c r="EH166" s="59">
        <f>(EG166/EK179)*100</f>
        <v>92.1875</v>
      </c>
      <c r="EI166" s="57">
        <f t="shared" si="231"/>
        <v>0.49135956693733085</v>
      </c>
      <c r="EJ166" s="57">
        <f>($EG166/96.06)*8</f>
        <v>0.49135956693733085</v>
      </c>
      <c r="EK166" s="57">
        <v>0.5</v>
      </c>
      <c r="EL166" s="57">
        <f t="shared" si="216"/>
        <v>5.2050801582344368E-3</v>
      </c>
      <c r="EM166" s="57">
        <f t="shared" si="217"/>
        <v>4.1640641265875494E-2</v>
      </c>
      <c r="EN166" s="57">
        <f t="shared" si="183"/>
        <v>4.301160900781098E-2</v>
      </c>
      <c r="EO166" s="59">
        <f t="shared" si="218"/>
        <v>2.5173667835787059</v>
      </c>
      <c r="EP166" s="57">
        <f t="shared" si="184"/>
        <v>4.1944198221718271E-2</v>
      </c>
      <c r="EQ166" s="57">
        <f t="shared" si="185"/>
        <v>0.14752972534882128</v>
      </c>
      <c r="ER166" s="57">
        <f t="shared" si="186"/>
        <v>0.81052607642946051</v>
      </c>
      <c r="ES166" s="59">
        <f t="shared" si="219"/>
        <v>0.7747406160703727</v>
      </c>
      <c r="ET166" s="57">
        <f t="shared" si="220"/>
        <v>22.94859906372815</v>
      </c>
      <c r="EU166" s="57">
        <f t="shared" si="221"/>
        <v>13.628939696328448</v>
      </c>
      <c r="EV166" s="57">
        <f t="shared" si="222"/>
        <v>63.422461239943409</v>
      </c>
      <c r="EW166" s="57" t="s">
        <v>727</v>
      </c>
      <c r="EX166" s="57">
        <v>12</v>
      </c>
      <c r="EY166" s="57">
        <v>-85</v>
      </c>
      <c r="EZ166" s="57">
        <v>7</v>
      </c>
      <c r="FA166" s="57">
        <v>832</v>
      </c>
      <c r="FB166" s="57" t="s">
        <v>113</v>
      </c>
      <c r="FC166" s="57" t="s">
        <v>88</v>
      </c>
      <c r="FD166" s="59">
        <f t="shared" si="223"/>
        <v>-2.3451505963712043</v>
      </c>
      <c r="FE166" s="59">
        <f t="shared" si="224"/>
        <v>-2.3112300982273517</v>
      </c>
      <c r="FF166" s="59">
        <f t="shared" si="225"/>
        <v>-0.60252442886287094</v>
      </c>
      <c r="FG166" s="59">
        <f t="shared" si="226"/>
        <v>-0.56860393071901849</v>
      </c>
    </row>
    <row r="167" spans="1:163" s="57" customFormat="1" ht="15.75" x14ac:dyDescent="0.25">
      <c r="A167" s="60" t="s">
        <v>424</v>
      </c>
      <c r="B167" s="60" t="s">
        <v>424</v>
      </c>
      <c r="C167" s="60" t="s">
        <v>956</v>
      </c>
      <c r="D167" s="60" t="s">
        <v>956</v>
      </c>
      <c r="E167" s="60" t="s">
        <v>1395</v>
      </c>
      <c r="F167" s="60" t="s">
        <v>1055</v>
      </c>
      <c r="G167" s="60" t="s">
        <v>774</v>
      </c>
      <c r="H167" s="60" t="str">
        <f t="shared" si="171"/>
        <v>CW_3_Section_5</v>
      </c>
      <c r="I167" s="60" t="str">
        <f t="shared" si="172"/>
        <v>CW_3_EFF</v>
      </c>
      <c r="J167" s="60" t="s">
        <v>1482</v>
      </c>
      <c r="K167" s="60" t="s">
        <v>1482</v>
      </c>
      <c r="L167" s="60" t="s">
        <v>780</v>
      </c>
      <c r="M167" s="60" t="s">
        <v>780</v>
      </c>
      <c r="N167" s="60" t="s">
        <v>1482</v>
      </c>
      <c r="O167" s="61" t="s">
        <v>1016</v>
      </c>
      <c r="P167" s="60" t="s">
        <v>1396</v>
      </c>
      <c r="Q167" s="60" t="s">
        <v>1018</v>
      </c>
      <c r="R167" s="60" t="s">
        <v>1389</v>
      </c>
      <c r="S167" s="60" t="str">
        <f t="shared" si="173"/>
        <v>T7_EFF</v>
      </c>
      <c r="T167" s="62" t="s">
        <v>1390</v>
      </c>
      <c r="U167" s="60" t="s">
        <v>1113</v>
      </c>
      <c r="V167" s="60">
        <v>150</v>
      </c>
      <c r="W167" s="60">
        <v>65</v>
      </c>
      <c r="X167" s="60">
        <v>11.9</v>
      </c>
      <c r="Y167" s="60">
        <v>166</v>
      </c>
      <c r="Z167" s="57" t="s">
        <v>731</v>
      </c>
      <c r="AA167" s="57" t="s">
        <v>236</v>
      </c>
      <c r="AB167" s="63">
        <v>45959</v>
      </c>
      <c r="AC167" s="57">
        <v>7.2</v>
      </c>
      <c r="AD167" s="57">
        <v>8.1999999999999993</v>
      </c>
      <c r="AE167" s="57">
        <v>54</v>
      </c>
      <c r="AF167" s="57">
        <f t="shared" si="187"/>
        <v>2.0739982076558701E-2</v>
      </c>
      <c r="AG167" s="57">
        <v>5.8</v>
      </c>
      <c r="AH167" s="57">
        <f t="shared" si="188"/>
        <v>2.2661167788148467E-3</v>
      </c>
      <c r="AI167" s="57">
        <v>36</v>
      </c>
      <c r="AJ167" s="57">
        <f t="shared" si="189"/>
        <v>1.4241311104831874E-2</v>
      </c>
      <c r="AK167" s="57">
        <v>14</v>
      </c>
      <c r="AL167" s="57">
        <f t="shared" si="190"/>
        <v>5.5382876518790623E-3</v>
      </c>
      <c r="AM167" s="57">
        <v>17</v>
      </c>
      <c r="AN167" s="57">
        <f t="shared" si="191"/>
        <v>6.725063577281718E-3</v>
      </c>
      <c r="AO167" s="57">
        <v>31</v>
      </c>
      <c r="AQ167" s="59">
        <v>126.8</v>
      </c>
      <c r="AR167" s="59">
        <f t="shared" si="192"/>
        <v>3.7247409960205424E-2</v>
      </c>
      <c r="AS167" s="57">
        <v>52</v>
      </c>
      <c r="AT167" s="57">
        <f t="shared" si="193"/>
        <v>1.9474135913240227E-2</v>
      </c>
      <c r="AU167" s="57" t="s">
        <v>780</v>
      </c>
      <c r="AV167" s="57" t="s">
        <v>780</v>
      </c>
      <c r="AW167" s="57" t="s">
        <v>780</v>
      </c>
      <c r="AX167" s="57" t="s">
        <v>780</v>
      </c>
      <c r="AY167" s="57" t="s">
        <v>780</v>
      </c>
      <c r="AZ167" s="57" t="s">
        <v>780</v>
      </c>
      <c r="BA167" s="57" t="s">
        <v>780</v>
      </c>
      <c r="BB167" s="57" t="s">
        <v>780</v>
      </c>
      <c r="BC167" s="57" t="s">
        <v>780</v>
      </c>
      <c r="BD167" s="57" t="s">
        <v>780</v>
      </c>
      <c r="BE167" s="57" t="s">
        <v>780</v>
      </c>
      <c r="BF167" s="57" t="s">
        <v>780</v>
      </c>
      <c r="BG167" s="57" t="s">
        <v>780</v>
      </c>
      <c r="BH167" s="57" t="s">
        <v>780</v>
      </c>
      <c r="BI167" s="57" t="s">
        <v>780</v>
      </c>
      <c r="BJ167" s="57" t="s">
        <v>780</v>
      </c>
      <c r="BK167" s="57" t="s">
        <v>780</v>
      </c>
      <c r="BL167" s="57" t="s">
        <v>780</v>
      </c>
      <c r="BM167" s="57" t="s">
        <v>780</v>
      </c>
      <c r="BN167" s="57" t="s">
        <v>780</v>
      </c>
      <c r="BO167" s="57">
        <v>33</v>
      </c>
      <c r="BP167" s="57">
        <v>0.35</v>
      </c>
      <c r="BQ167" s="57">
        <v>14</v>
      </c>
      <c r="BR167" s="57">
        <v>3.5</v>
      </c>
      <c r="BS167" s="57">
        <v>2.7</v>
      </c>
      <c r="BT167" s="57">
        <v>0.5</v>
      </c>
      <c r="BU167" s="57">
        <v>0.06</v>
      </c>
      <c r="BV167" s="57">
        <v>0.04</v>
      </c>
      <c r="BW167" s="57">
        <f t="shared" si="194"/>
        <v>1.2358586252633221E-2</v>
      </c>
      <c r="BX167" s="57">
        <f t="shared" si="195"/>
        <v>1.2878638543925355E-4</v>
      </c>
      <c r="BY167" s="57">
        <f t="shared" si="196"/>
        <v>5.2655469813890146E-3</v>
      </c>
      <c r="BZ167" s="57">
        <f t="shared" si="197"/>
        <v>1.3054987366141258E-3</v>
      </c>
      <c r="CA167" s="57">
        <f t="shared" si="198"/>
        <v>9.9983167816865845E-4</v>
      </c>
      <c r="CB167" s="57">
        <f t="shared" si="199"/>
        <v>1.851540144756775E-4</v>
      </c>
      <c r="CC167" s="57">
        <f t="shared" si="200"/>
        <v>2.1953028430160689E-5</v>
      </c>
      <c r="CD167" s="57">
        <f t="shared" si="201"/>
        <v>1.4635352286773795E-5</v>
      </c>
      <c r="CE167" s="57">
        <v>1E-3</v>
      </c>
      <c r="CF167" s="57">
        <v>1E-3</v>
      </c>
      <c r="CG167" s="57">
        <v>2E-3</v>
      </c>
      <c r="CH167" s="57">
        <v>1E-3</v>
      </c>
      <c r="CI167" s="57">
        <v>1E-3</v>
      </c>
      <c r="CK167" s="57">
        <v>2E-3</v>
      </c>
      <c r="CL167" s="57">
        <v>1E-3</v>
      </c>
      <c r="CM167" s="57">
        <v>1E-3</v>
      </c>
      <c r="CN167" s="57">
        <f t="shared" si="227"/>
        <v>54.150000000000006</v>
      </c>
      <c r="CO167" s="57">
        <f t="shared" si="202"/>
        <v>21.15</v>
      </c>
      <c r="CP167" s="57">
        <f t="shared" si="203"/>
        <v>2.0279992429436886E-2</v>
      </c>
      <c r="CQ167" s="57">
        <f t="shared" si="204"/>
        <v>7.9214061768036644E-3</v>
      </c>
      <c r="CR167" s="57">
        <v>54</v>
      </c>
      <c r="CS167" s="57">
        <v>95</v>
      </c>
      <c r="CT167" s="57">
        <v>75</v>
      </c>
      <c r="CU167" s="57" t="s">
        <v>69</v>
      </c>
      <c r="CV167" s="57" t="s">
        <v>69</v>
      </c>
      <c r="CW167" s="57">
        <v>170</v>
      </c>
      <c r="CX167" s="64">
        <f t="shared" si="174"/>
        <v>180.8</v>
      </c>
      <c r="CZ167" s="57">
        <v>49</v>
      </c>
      <c r="DA167" s="57" t="s">
        <v>62</v>
      </c>
      <c r="DB167" s="57" t="s">
        <v>88</v>
      </c>
      <c r="DC167" s="57" t="s">
        <v>782</v>
      </c>
      <c r="DD167" s="57">
        <f t="shared" si="175"/>
        <v>7.5569435769310846</v>
      </c>
      <c r="DE167" s="57">
        <f t="shared" si="228"/>
        <v>7.5569435769310846</v>
      </c>
      <c r="DF167" s="57">
        <v>1</v>
      </c>
      <c r="DG167" s="57">
        <f t="shared" si="176"/>
        <v>1.7905102954341987E-2</v>
      </c>
      <c r="DH167" s="57">
        <f t="shared" si="205"/>
        <v>1.7905102954341987E-2</v>
      </c>
      <c r="DI167" s="57">
        <f t="shared" si="177"/>
        <v>8.5569435769310846</v>
      </c>
      <c r="DJ167" s="57">
        <f t="shared" si="206"/>
        <v>0.15321295571944646</v>
      </c>
      <c r="DK167" s="57">
        <f t="shared" si="207"/>
        <v>0.15321295571944646</v>
      </c>
      <c r="DL167" s="57">
        <f t="shared" si="208"/>
        <v>25.577347491151361</v>
      </c>
      <c r="DM167" s="57">
        <f t="shared" si="208"/>
        <v>25.577347491151361</v>
      </c>
      <c r="DN167" s="57">
        <f t="shared" si="209"/>
        <v>26.577347491151361</v>
      </c>
      <c r="DO167" s="57">
        <f t="shared" si="210"/>
        <v>0.47587014308238784</v>
      </c>
      <c r="DP167" s="57">
        <f t="shared" si="211"/>
        <v>0.47587014308238784</v>
      </c>
      <c r="DQ167" s="57">
        <v>1.1000000000000001</v>
      </c>
      <c r="DR167" s="57">
        <f t="shared" si="212"/>
        <v>2.0025486983433462E-2</v>
      </c>
      <c r="DS167" s="57">
        <f t="shared" si="213"/>
        <v>4.0050973966866923E-2</v>
      </c>
      <c r="DT167" s="57">
        <f t="shared" si="178"/>
        <v>7.6508978706083575</v>
      </c>
      <c r="DU167" s="57">
        <f t="shared" si="179"/>
        <v>3.8254489353041787</v>
      </c>
      <c r="DV167" s="57">
        <f t="shared" si="180"/>
        <v>9.6569435769310843</v>
      </c>
      <c r="DW167" s="57">
        <f t="shared" si="181"/>
        <v>0.1932639296863134</v>
      </c>
      <c r="DX167" s="57" t="s">
        <v>780</v>
      </c>
      <c r="DY167" s="57" t="s">
        <v>163</v>
      </c>
      <c r="DZ167" s="57">
        <f t="shared" si="167"/>
        <v>1</v>
      </c>
      <c r="EA167" s="57">
        <v>1.7000000000000001E-2</v>
      </c>
      <c r="EB167" s="57">
        <f t="shared" si="214"/>
        <v>2.741935483870968E-4</v>
      </c>
      <c r="EC167" s="57">
        <f t="shared" si="215"/>
        <v>1.370967741935484E-3</v>
      </c>
      <c r="ED167" s="57">
        <f t="shared" si="233"/>
        <v>13</v>
      </c>
      <c r="EE167" s="59">
        <f t="shared" si="234"/>
        <v>52</v>
      </c>
      <c r="EF167" s="57">
        <f t="shared" si="182"/>
        <v>1.0826566729127629</v>
      </c>
      <c r="EG167" s="57">
        <f>$EK185-EK167</f>
        <v>44</v>
      </c>
      <c r="EH167" s="59">
        <f>(EG167/EK185)*100</f>
        <v>78.571428571428569</v>
      </c>
      <c r="EI167" s="57">
        <f t="shared" si="231"/>
        <v>3.6643764313970433</v>
      </c>
      <c r="EJ167" s="57">
        <f>($EG167/96.06)*8</f>
        <v>3.6643764313970433</v>
      </c>
      <c r="EK167" s="57">
        <v>12</v>
      </c>
      <c r="EL167" s="57">
        <f t="shared" si="216"/>
        <v>0.12492192379762648</v>
      </c>
      <c r="EM167" s="57">
        <f t="shared" si="217"/>
        <v>0.99937539038101186</v>
      </c>
      <c r="EN167" s="57">
        <f t="shared" si="183"/>
        <v>1.0007463581229474</v>
      </c>
      <c r="EO167" s="59">
        <f t="shared" si="218"/>
        <v>1.2759206025990764</v>
      </c>
      <c r="EP167" s="57">
        <f t="shared" si="184"/>
        <v>3.1389863824819716E-2</v>
      </c>
      <c r="EQ167" s="57">
        <f t="shared" si="185"/>
        <v>0.12008032114799976</v>
      </c>
      <c r="ER167" s="57">
        <f t="shared" si="186"/>
        <v>0.8485298150271805</v>
      </c>
      <c r="ES167" s="59">
        <f t="shared" si="219"/>
        <v>4.1802975484462976</v>
      </c>
      <c r="ET167" s="57">
        <f t="shared" si="220"/>
        <v>11.383642852391112</v>
      </c>
      <c r="EU167" s="57">
        <f t="shared" si="221"/>
        <v>0.9580890714765693</v>
      </c>
      <c r="EV167" s="57">
        <f t="shared" si="222"/>
        <v>87.65826807613233</v>
      </c>
      <c r="EW167" s="57" t="s">
        <v>239</v>
      </c>
      <c r="EX167" s="57">
        <v>11</v>
      </c>
      <c r="EY167" s="57">
        <v>-121</v>
      </c>
      <c r="EZ167" s="57" t="s">
        <v>551</v>
      </c>
      <c r="FA167" s="57">
        <v>472</v>
      </c>
      <c r="FB167" s="57" t="s">
        <v>113</v>
      </c>
      <c r="FC167" s="57" t="s">
        <v>88</v>
      </c>
      <c r="FD167" s="59">
        <f t="shared" si="223"/>
        <v>-1.2191990567256308</v>
      </c>
      <c r="FE167" s="59">
        <f t="shared" si="224"/>
        <v>-1.211277650548827</v>
      </c>
      <c r="FF167" s="59">
        <f t="shared" si="225"/>
        <v>-4.1235760025728521</v>
      </c>
      <c r="FG167" s="59">
        <f t="shared" si="226"/>
        <v>-4.1156545963960482</v>
      </c>
    </row>
    <row r="168" spans="1:163" s="57" customFormat="1" ht="15.75" x14ac:dyDescent="0.25">
      <c r="A168" s="60" t="s">
        <v>425</v>
      </c>
      <c r="B168" s="60" t="s">
        <v>425</v>
      </c>
      <c r="C168" s="60" t="s">
        <v>957</v>
      </c>
      <c r="D168" s="60" t="s">
        <v>957</v>
      </c>
      <c r="E168" s="60" t="s">
        <v>1397</v>
      </c>
      <c r="F168" s="60" t="s">
        <v>1013</v>
      </c>
      <c r="G168" s="60" t="s">
        <v>772</v>
      </c>
      <c r="H168" s="60" t="str">
        <f t="shared" si="171"/>
        <v>CW_1_Section_1</v>
      </c>
      <c r="I168" s="60" t="str">
        <f t="shared" si="172"/>
        <v>CW_1_MF01</v>
      </c>
      <c r="J168" s="60" t="s">
        <v>1488</v>
      </c>
      <c r="K168" s="60" t="s">
        <v>1484</v>
      </c>
      <c r="L168" s="65" t="s">
        <v>1014</v>
      </c>
      <c r="M168" s="60" t="s">
        <v>1015</v>
      </c>
      <c r="N168" s="60" t="s">
        <v>1015</v>
      </c>
      <c r="O168" s="61" t="s">
        <v>1016</v>
      </c>
      <c r="P168" s="60" t="s">
        <v>1398</v>
      </c>
      <c r="Q168" s="60" t="s">
        <v>1018</v>
      </c>
      <c r="R168" s="60" t="s">
        <v>1389</v>
      </c>
      <c r="S168" s="60" t="str">
        <f t="shared" si="173"/>
        <v>T7_0.15-0.30</v>
      </c>
      <c r="T168" s="62" t="s">
        <v>1390</v>
      </c>
      <c r="U168" s="60" t="s">
        <v>1113</v>
      </c>
      <c r="V168" s="60">
        <v>150</v>
      </c>
      <c r="W168" s="60">
        <v>65</v>
      </c>
      <c r="X168" s="60">
        <v>8.75</v>
      </c>
      <c r="Y168" s="60">
        <v>167</v>
      </c>
      <c r="Z168" s="57" t="s">
        <v>702</v>
      </c>
      <c r="AA168" s="57" t="s">
        <v>137</v>
      </c>
      <c r="AB168" s="63">
        <v>45957</v>
      </c>
      <c r="AC168" s="57">
        <v>10</v>
      </c>
      <c r="AD168" s="57">
        <v>11</v>
      </c>
      <c r="AE168" s="57">
        <v>480</v>
      </c>
      <c r="AF168" s="57">
        <f t="shared" si="187"/>
        <v>0.18435539623607733</v>
      </c>
      <c r="AG168" s="57">
        <v>0.1</v>
      </c>
      <c r="AH168" s="57">
        <f t="shared" si="188"/>
        <v>3.9070978945083576E-5</v>
      </c>
      <c r="AI168" s="57">
        <v>27</v>
      </c>
      <c r="AJ168" s="57">
        <f t="shared" si="189"/>
        <v>1.0680983328623906E-2</v>
      </c>
      <c r="AK168" s="57">
        <v>5.0999999999999996</v>
      </c>
      <c r="AL168" s="57">
        <f t="shared" si="190"/>
        <v>2.017519073184515E-3</v>
      </c>
      <c r="AM168" s="57">
        <v>0.2</v>
      </c>
      <c r="AN168" s="57">
        <f t="shared" si="191"/>
        <v>7.9118395026843739E-5</v>
      </c>
      <c r="AO168" s="57">
        <v>6.5</v>
      </c>
      <c r="AQ168" s="59">
        <v>514.20000000000005</v>
      </c>
      <c r="AR168" s="59">
        <f t="shared" si="192"/>
        <v>0.19507545054364633</v>
      </c>
      <c r="AS168" s="57">
        <v>280</v>
      </c>
      <c r="AT168" s="57">
        <f t="shared" si="193"/>
        <v>0.1048607318405243</v>
      </c>
      <c r="AU168" s="57" t="s">
        <v>780</v>
      </c>
      <c r="AV168" s="57" t="s">
        <v>780</v>
      </c>
      <c r="AW168" s="57" t="s">
        <v>780</v>
      </c>
      <c r="AX168" s="57" t="s">
        <v>780</v>
      </c>
      <c r="AY168" s="57" t="s">
        <v>780</v>
      </c>
      <c r="AZ168" s="57" t="s">
        <v>780</v>
      </c>
      <c r="BA168" s="57" t="s">
        <v>780</v>
      </c>
      <c r="BB168" s="57" t="s">
        <v>780</v>
      </c>
      <c r="BC168" s="57" t="s">
        <v>780</v>
      </c>
      <c r="BD168" s="57" t="s">
        <v>780</v>
      </c>
      <c r="BE168" s="57" t="s">
        <v>780</v>
      </c>
      <c r="BF168" s="57" t="s">
        <v>780</v>
      </c>
      <c r="BG168" s="57" t="s">
        <v>780</v>
      </c>
      <c r="BH168" s="57" t="s">
        <v>780</v>
      </c>
      <c r="BI168" s="57" t="s">
        <v>780</v>
      </c>
      <c r="BJ168" s="57" t="s">
        <v>780</v>
      </c>
      <c r="BK168" s="57" t="s">
        <v>780</v>
      </c>
      <c r="BL168" s="57" t="s">
        <v>780</v>
      </c>
      <c r="BM168" s="57" t="s">
        <v>780</v>
      </c>
      <c r="BN168" s="57" t="s">
        <v>780</v>
      </c>
      <c r="BO168" s="57">
        <v>4</v>
      </c>
      <c r="BP168" s="57">
        <v>2</v>
      </c>
      <c r="BQ168" s="57">
        <v>44</v>
      </c>
      <c r="BR168" s="57">
        <v>0.43</v>
      </c>
      <c r="BS168" s="57">
        <v>0.11</v>
      </c>
      <c r="BT168" s="57">
        <v>0.02</v>
      </c>
      <c r="BU168" s="57">
        <v>0.01</v>
      </c>
      <c r="BV168" s="57">
        <v>2E-3</v>
      </c>
      <c r="BW168" s="57">
        <f t="shared" si="194"/>
        <v>1.4980104548646326E-3</v>
      </c>
      <c r="BX168" s="57">
        <f t="shared" si="195"/>
        <v>7.3592220251002033E-4</v>
      </c>
      <c r="BY168" s="57">
        <f t="shared" si="196"/>
        <v>1.6548861941508335E-2</v>
      </c>
      <c r="BZ168" s="57">
        <f t="shared" si="197"/>
        <v>1.6038984478402118E-4</v>
      </c>
      <c r="CA168" s="57">
        <f t="shared" si="198"/>
        <v>4.0733883184649049E-5</v>
      </c>
      <c r="CB168" s="57">
        <f t="shared" si="199"/>
        <v>7.4061605790270997E-6</v>
      </c>
      <c r="CC168" s="57">
        <f t="shared" si="200"/>
        <v>3.6588380716934487E-6</v>
      </c>
      <c r="CD168" s="57">
        <f t="shared" si="201"/>
        <v>7.3176761433868969E-7</v>
      </c>
      <c r="CE168" s="57">
        <v>1E-3</v>
      </c>
      <c r="CF168" s="57">
        <v>1E-3</v>
      </c>
      <c r="CG168" s="57">
        <v>2E-3</v>
      </c>
      <c r="CH168" s="57">
        <v>1E-3</v>
      </c>
      <c r="CI168" s="57">
        <v>1E-3</v>
      </c>
      <c r="CK168" s="57">
        <v>2E-3</v>
      </c>
      <c r="CL168" s="57">
        <v>1E-3</v>
      </c>
      <c r="CM168" s="57">
        <v>1E-3</v>
      </c>
      <c r="CN168" s="57">
        <f t="shared" si="227"/>
        <v>50.572000000000003</v>
      </c>
      <c r="CO168" s="57">
        <f t="shared" si="202"/>
        <v>46.572000000000003</v>
      </c>
      <c r="CP168" s="57">
        <f t="shared" si="203"/>
        <v>1.8995715093116712E-2</v>
      </c>
      <c r="CQ168" s="57">
        <f t="shared" si="204"/>
        <v>1.7497704638252079E-2</v>
      </c>
      <c r="CR168" s="57">
        <v>51</v>
      </c>
      <c r="CS168" s="57">
        <v>730</v>
      </c>
      <c r="CT168" s="57">
        <v>310</v>
      </c>
      <c r="CU168" s="57" t="s">
        <v>69</v>
      </c>
      <c r="CV168" s="57" t="s">
        <v>69</v>
      </c>
      <c r="CW168" s="57">
        <v>1000</v>
      </c>
      <c r="CX168" s="64">
        <f t="shared" si="174"/>
        <v>565.20000000000005</v>
      </c>
      <c r="CZ168" s="57">
        <v>69</v>
      </c>
      <c r="DA168" s="57" t="s">
        <v>62</v>
      </c>
      <c r="DB168" s="57" t="s">
        <v>88</v>
      </c>
      <c r="DC168" s="57" t="s">
        <v>782</v>
      </c>
      <c r="DD168" s="57">
        <f t="shared" si="175"/>
        <v>-6.3943368727878402</v>
      </c>
      <c r="DE168" s="57">
        <v>0</v>
      </c>
      <c r="DF168" s="57">
        <v>0.8</v>
      </c>
      <c r="DG168" s="57">
        <f t="shared" si="176"/>
        <v>1.432408236347359E-2</v>
      </c>
      <c r="DH168" s="57">
        <f t="shared" si="205"/>
        <v>1.432408236347359E-2</v>
      </c>
      <c r="DI168" s="57">
        <f t="shared" si="177"/>
        <v>0.8</v>
      </c>
      <c r="DJ168" s="57">
        <f t="shared" si="206"/>
        <v>1.432408236347359E-2</v>
      </c>
      <c r="DK168" s="57">
        <f t="shared" si="207"/>
        <v>1.432408236347359E-2</v>
      </c>
      <c r="DL168" s="57">
        <f t="shared" si="208"/>
        <v>-6.3943368727878402</v>
      </c>
      <c r="DN168" s="57">
        <f t="shared" si="209"/>
        <v>0.8</v>
      </c>
      <c r="DO168" s="57">
        <f t="shared" si="210"/>
        <v>1.432408236347359E-2</v>
      </c>
      <c r="DP168" s="57">
        <f t="shared" si="211"/>
        <v>1.432408236347359E-2</v>
      </c>
      <c r="DQ168" s="57">
        <v>0.7</v>
      </c>
      <c r="DR168" s="57">
        <f t="shared" si="212"/>
        <v>1.2743491716730383E-2</v>
      </c>
      <c r="DS168" s="57">
        <f t="shared" si="213"/>
        <v>2.5486983433460765E-2</v>
      </c>
      <c r="DT168" s="57">
        <f t="shared" si="178"/>
        <v>1.1240312060365778</v>
      </c>
      <c r="DU168" s="57">
        <f t="shared" si="179"/>
        <v>0.5620156030182889</v>
      </c>
      <c r="DV168" s="57">
        <f t="shared" si="180"/>
        <v>1.5</v>
      </c>
      <c r="DW168" s="57">
        <f t="shared" si="181"/>
        <v>3.9811065796934358E-2</v>
      </c>
      <c r="DX168" s="57" t="s">
        <v>780</v>
      </c>
      <c r="DY168" s="57" t="s">
        <v>468</v>
      </c>
      <c r="DZ168" s="57">
        <f t="shared" si="167"/>
        <v>1</v>
      </c>
      <c r="EA168" s="57">
        <v>1.7000000000000001E-2</v>
      </c>
      <c r="EB168" s="57">
        <f t="shared" si="214"/>
        <v>2.741935483870968E-4</v>
      </c>
      <c r="EC168" s="57">
        <f t="shared" si="215"/>
        <v>1.370967741935484E-3</v>
      </c>
      <c r="ED168" s="57">
        <f t="shared" si="233"/>
        <v>-11</v>
      </c>
      <c r="EE168" s="59">
        <f t="shared" si="234"/>
        <v>-44</v>
      </c>
      <c r="EF168" s="57">
        <f t="shared" si="182"/>
        <v>-0.91609410784926082</v>
      </c>
      <c r="EG168" s="57">
        <f>$EK164-EK168</f>
        <v>-11</v>
      </c>
      <c r="EH168" s="59">
        <f>(EG168/$EK$164)*100</f>
        <v>-44</v>
      </c>
      <c r="EI168" s="57">
        <f t="shared" si="231"/>
        <v>-0.91609410784926082</v>
      </c>
      <c r="EK168" s="57">
        <v>36</v>
      </c>
      <c r="EL168" s="57">
        <f t="shared" si="216"/>
        <v>0.37476577139287942</v>
      </c>
      <c r="EM168" s="57">
        <f t="shared" si="217"/>
        <v>2.9981261711430354</v>
      </c>
      <c r="EN168" s="57">
        <f t="shared" si="183"/>
        <v>2.9994971388849709</v>
      </c>
      <c r="EO168" s="59">
        <f t="shared" si="218"/>
        <v>-0.87628304205232643</v>
      </c>
      <c r="EP168" s="57">
        <f t="shared" si="184"/>
        <v>-2.9085332261786292E-2</v>
      </c>
      <c r="EQ168" s="57">
        <f t="shared" si="185"/>
        <v>-1.6346410550095114E-2</v>
      </c>
      <c r="ER168" s="57">
        <f t="shared" si="186"/>
        <v>1.0454317428118813</v>
      </c>
      <c r="ES168" s="59">
        <f t="shared" si="219"/>
        <v>3.9811065796934358E-2</v>
      </c>
      <c r="ET168" s="57">
        <f t="shared" si="220"/>
        <v>35.98015294676339</v>
      </c>
      <c r="EU168" s="57">
        <f t="shared" si="221"/>
        <v>64.019847053236603</v>
      </c>
      <c r="EV168" s="57">
        <f t="shared" si="222"/>
        <v>0</v>
      </c>
      <c r="EW168" s="57" t="s">
        <v>703</v>
      </c>
      <c r="EX168" s="57">
        <v>10</v>
      </c>
      <c r="EY168" s="57">
        <v>-192</v>
      </c>
      <c r="EZ168" s="57" t="s">
        <v>558</v>
      </c>
      <c r="FA168" s="57">
        <v>796</v>
      </c>
      <c r="FB168" s="57" t="s">
        <v>72</v>
      </c>
      <c r="FC168" s="57" t="s">
        <v>88</v>
      </c>
      <c r="FD168" s="59">
        <f t="shared" si="223"/>
        <v>1.1762192244364971</v>
      </c>
      <c r="FE168" s="59">
        <f t="shared" si="224"/>
        <v>1.1937169290747491</v>
      </c>
      <c r="FF168" s="59">
        <f t="shared" si="225"/>
        <v>0.26012511658723625</v>
      </c>
      <c r="FG168" s="59">
        <f t="shared" si="226"/>
        <v>0.27762282122548831</v>
      </c>
    </row>
    <row r="169" spans="1:163" s="57" customFormat="1" ht="15.75" x14ac:dyDescent="0.25">
      <c r="A169" s="60" t="s">
        <v>426</v>
      </c>
      <c r="B169" s="60" t="s">
        <v>426</v>
      </c>
      <c r="C169" s="60" t="s">
        <v>958</v>
      </c>
      <c r="D169" s="60" t="s">
        <v>958</v>
      </c>
      <c r="E169" s="60" t="s">
        <v>1399</v>
      </c>
      <c r="F169" s="60" t="s">
        <v>1013</v>
      </c>
      <c r="G169" s="60" t="s">
        <v>772</v>
      </c>
      <c r="H169" s="60" t="str">
        <f t="shared" si="171"/>
        <v>CW_1_Section_1</v>
      </c>
      <c r="I169" s="60" t="str">
        <f t="shared" si="172"/>
        <v>CW_1_MF02</v>
      </c>
      <c r="J169" s="60" t="s">
        <v>1489</v>
      </c>
      <c r="K169" s="60" t="s">
        <v>1484</v>
      </c>
      <c r="L169" s="65" t="s">
        <v>1023</v>
      </c>
      <c r="M169" s="60" t="s">
        <v>1024</v>
      </c>
      <c r="N169" s="60" t="s">
        <v>1024</v>
      </c>
      <c r="O169" s="61" t="s">
        <v>1016</v>
      </c>
      <c r="P169" s="60" t="s">
        <v>1400</v>
      </c>
      <c r="Q169" s="60" t="s">
        <v>1018</v>
      </c>
      <c r="R169" s="60" t="s">
        <v>1389</v>
      </c>
      <c r="S169" s="60" t="str">
        <f t="shared" si="173"/>
        <v>T7_0.60-0.80</v>
      </c>
      <c r="T169" s="62" t="s">
        <v>1390</v>
      </c>
      <c r="U169" s="60" t="s">
        <v>1113</v>
      </c>
      <c r="V169" s="60">
        <v>150</v>
      </c>
      <c r="W169" s="60">
        <v>65</v>
      </c>
      <c r="X169" s="60">
        <v>4.1500000000000004</v>
      </c>
      <c r="Y169" s="60">
        <v>168</v>
      </c>
      <c r="Z169" s="57" t="s">
        <v>704</v>
      </c>
      <c r="AA169" s="57" t="s">
        <v>153</v>
      </c>
      <c r="AB169" s="63">
        <v>45957</v>
      </c>
      <c r="AC169" s="57">
        <v>10</v>
      </c>
      <c r="AD169" s="57">
        <v>11</v>
      </c>
      <c r="AE169" s="57">
        <v>750</v>
      </c>
      <c r="AF169" s="57">
        <f t="shared" si="187"/>
        <v>0.2880553066188708</v>
      </c>
      <c r="AG169" s="57">
        <v>95</v>
      </c>
      <c r="AH169" s="57">
        <f t="shared" si="188"/>
        <v>3.7117429997829396E-2</v>
      </c>
      <c r="AI169" s="57">
        <v>590</v>
      </c>
      <c r="AJ169" s="57">
        <f t="shared" si="189"/>
        <v>0.23339926532918903</v>
      </c>
      <c r="AK169" s="57">
        <v>240</v>
      </c>
      <c r="AL169" s="57">
        <f t="shared" si="190"/>
        <v>9.4942074032212498E-2</v>
      </c>
      <c r="AM169" s="57">
        <v>320</v>
      </c>
      <c r="AN169" s="57">
        <f t="shared" si="191"/>
        <v>0.12658943204294998</v>
      </c>
      <c r="AO169" s="57">
        <v>560</v>
      </c>
      <c r="AQ169" s="59">
        <v>1995</v>
      </c>
      <c r="AR169" s="59">
        <f t="shared" si="192"/>
        <v>0.5585720019458893</v>
      </c>
      <c r="AS169" s="57">
        <v>1500</v>
      </c>
      <c r="AT169" s="57">
        <f t="shared" si="193"/>
        <v>0.56175392057423734</v>
      </c>
      <c r="AU169" s="57" t="s">
        <v>780</v>
      </c>
      <c r="AV169" s="57" t="s">
        <v>780</v>
      </c>
      <c r="AW169" s="57" t="s">
        <v>780</v>
      </c>
      <c r="AX169" s="57" t="s">
        <v>780</v>
      </c>
      <c r="AY169" s="57" t="s">
        <v>780</v>
      </c>
      <c r="AZ169" s="57" t="s">
        <v>780</v>
      </c>
      <c r="BA169" s="57" t="s">
        <v>780</v>
      </c>
      <c r="BB169" s="57" t="s">
        <v>780</v>
      </c>
      <c r="BC169" s="57" t="s">
        <v>780</v>
      </c>
      <c r="BD169" s="57" t="s">
        <v>780</v>
      </c>
      <c r="BE169" s="57" t="s">
        <v>780</v>
      </c>
      <c r="BF169" s="57" t="s">
        <v>780</v>
      </c>
      <c r="BG169" s="57" t="s">
        <v>780</v>
      </c>
      <c r="BH169" s="57" t="s">
        <v>780</v>
      </c>
      <c r="BI169" s="57" t="s">
        <v>780</v>
      </c>
      <c r="BJ169" s="57" t="s">
        <v>780</v>
      </c>
      <c r="BK169" s="57" t="s">
        <v>780</v>
      </c>
      <c r="BL169" s="57" t="s">
        <v>780</v>
      </c>
      <c r="BM169" s="57" t="s">
        <v>780</v>
      </c>
      <c r="BN169" s="57" t="s">
        <v>780</v>
      </c>
      <c r="BO169" s="57">
        <v>1700</v>
      </c>
      <c r="BP169" s="57">
        <v>3.9</v>
      </c>
      <c r="BQ169" s="57">
        <v>140</v>
      </c>
      <c r="BR169" s="57">
        <v>35</v>
      </c>
      <c r="BS169" s="57">
        <v>31</v>
      </c>
      <c r="BT169" s="57">
        <v>5.4</v>
      </c>
      <c r="BU169" s="57">
        <v>1.1000000000000001</v>
      </c>
      <c r="BV169" s="57">
        <v>1</v>
      </c>
      <c r="BW169" s="57">
        <f t="shared" si="194"/>
        <v>0.63665444331746901</v>
      </c>
      <c r="BX169" s="57">
        <f t="shared" si="195"/>
        <v>1.4350482948945395E-3</v>
      </c>
      <c r="BY169" s="57">
        <f t="shared" si="196"/>
        <v>5.2655469813890153E-2</v>
      </c>
      <c r="BZ169" s="57">
        <f t="shared" si="197"/>
        <v>1.3054987366141258E-2</v>
      </c>
      <c r="CA169" s="57">
        <f t="shared" si="198"/>
        <v>1.1479548897492003E-2</v>
      </c>
      <c r="CB169" s="57">
        <f t="shared" si="199"/>
        <v>1.9996633563373169E-3</v>
      </c>
      <c r="CC169" s="57">
        <f t="shared" si="200"/>
        <v>4.0247218788627936E-4</v>
      </c>
      <c r="CD169" s="57">
        <f t="shared" si="201"/>
        <v>3.6588380716934482E-4</v>
      </c>
      <c r="CE169" s="57">
        <v>0.02</v>
      </c>
      <c r="CF169" s="57">
        <v>0.02</v>
      </c>
      <c r="CG169" s="57">
        <v>2E-3</v>
      </c>
      <c r="CH169" s="57">
        <v>0.01</v>
      </c>
      <c r="CI169" s="57">
        <v>0.03</v>
      </c>
      <c r="CK169" s="57">
        <v>2E-3</v>
      </c>
      <c r="CL169" s="57">
        <v>0.02</v>
      </c>
      <c r="CM169" s="57">
        <v>1E-3</v>
      </c>
      <c r="CN169" s="57">
        <f t="shared" si="227"/>
        <v>1917.4</v>
      </c>
      <c r="CO169" s="57">
        <f t="shared" si="202"/>
        <v>217.4</v>
      </c>
      <c r="CP169" s="57">
        <f t="shared" si="203"/>
        <v>0.71804751704127989</v>
      </c>
      <c r="CQ169" s="57">
        <f t="shared" si="204"/>
        <v>8.1393073723810896E-2</v>
      </c>
      <c r="CR169" s="57">
        <v>2000</v>
      </c>
      <c r="CS169" s="57">
        <v>2100</v>
      </c>
      <c r="CT169" s="57">
        <v>780</v>
      </c>
      <c r="CU169" s="57" t="s">
        <v>69</v>
      </c>
      <c r="CV169" s="57" t="s">
        <v>69</v>
      </c>
      <c r="CW169" s="57">
        <v>2900</v>
      </c>
      <c r="CX169" s="64">
        <f t="shared" si="174"/>
        <v>3995</v>
      </c>
      <c r="CZ169" s="57">
        <v>74</v>
      </c>
      <c r="DA169" s="57" t="s">
        <v>62</v>
      </c>
      <c r="DB169" s="57" t="s">
        <v>88</v>
      </c>
      <c r="DC169" s="57" t="s">
        <v>782</v>
      </c>
      <c r="DD169" s="57">
        <f t="shared" si="175"/>
        <v>0.58130335207162187</v>
      </c>
      <c r="DE169" s="57">
        <f>$ED169*(55.84/96.06)</f>
        <v>0.58130335207162187</v>
      </c>
      <c r="DF169" s="57">
        <v>0.5</v>
      </c>
      <c r="DG169" s="57">
        <f t="shared" si="176"/>
        <v>8.9525514771709933E-3</v>
      </c>
      <c r="DH169" s="57">
        <f t="shared" si="205"/>
        <v>8.9525514771709933E-3</v>
      </c>
      <c r="DI169" s="57">
        <f t="shared" si="177"/>
        <v>1.0813033520716218</v>
      </c>
      <c r="DJ169" s="57">
        <f t="shared" si="206"/>
        <v>1.9360847843717489E-2</v>
      </c>
      <c r="DK169" s="57">
        <f t="shared" si="207"/>
        <v>1.9360847843717489E-2</v>
      </c>
      <c r="DL169" s="57">
        <f t="shared" si="208"/>
        <v>0.58130335207162187</v>
      </c>
      <c r="DM169" s="57">
        <f t="shared" si="208"/>
        <v>0.58130335207162187</v>
      </c>
      <c r="DN169" s="57">
        <f t="shared" si="209"/>
        <v>1.0813033520716218</v>
      </c>
      <c r="DO169" s="57">
        <f t="shared" si="210"/>
        <v>1.9360847843717489E-2</v>
      </c>
      <c r="DP169" s="57">
        <f t="shared" si="211"/>
        <v>1.9360847843717489E-2</v>
      </c>
      <c r="DQ169" s="57">
        <v>1</v>
      </c>
      <c r="DR169" s="57">
        <f t="shared" si="212"/>
        <v>1.8204988166757693E-2</v>
      </c>
      <c r="DS169" s="57">
        <f t="shared" si="213"/>
        <v>3.6409976333515386E-2</v>
      </c>
      <c r="DT169" s="57">
        <f t="shared" si="178"/>
        <v>1.0634913720554016</v>
      </c>
      <c r="DU169" s="57">
        <f t="shared" si="179"/>
        <v>0.53174568602770078</v>
      </c>
      <c r="DV169" s="57">
        <f t="shared" si="180"/>
        <v>2.0813033520716218</v>
      </c>
      <c r="DW169" s="57">
        <f t="shared" si="181"/>
        <v>5.5770824177232878E-2</v>
      </c>
      <c r="DX169" s="57" t="s">
        <v>780</v>
      </c>
      <c r="DY169" s="57" t="s">
        <v>574</v>
      </c>
      <c r="DZ169" s="57">
        <f t="shared" si="167"/>
        <v>1</v>
      </c>
      <c r="EA169" s="57">
        <v>1.7000000000000001E-2</v>
      </c>
      <c r="EB169" s="57">
        <f t="shared" si="214"/>
        <v>2.741935483870968E-4</v>
      </c>
      <c r="EC169" s="57">
        <f t="shared" si="215"/>
        <v>1.370967741935484E-3</v>
      </c>
      <c r="ED169" s="57">
        <f t="shared" si="233"/>
        <v>1</v>
      </c>
      <c r="EE169" s="59">
        <f t="shared" si="234"/>
        <v>4</v>
      </c>
      <c r="EF169" s="57">
        <f t="shared" si="182"/>
        <v>8.3281282531750989E-2</v>
      </c>
      <c r="EG169" s="57">
        <f>$EK164-EK169</f>
        <v>1</v>
      </c>
      <c r="EH169" s="59">
        <f>(EG169/$EK$164)*100</f>
        <v>4</v>
      </c>
      <c r="EI169" s="57">
        <f t="shared" si="231"/>
        <v>8.3281282531750989E-2</v>
      </c>
      <c r="EJ169" s="57">
        <f>($EG169/96.06)*8</f>
        <v>8.3281282531750989E-2</v>
      </c>
      <c r="EK169" s="57">
        <v>24</v>
      </c>
      <c r="EL169" s="57">
        <f t="shared" si="216"/>
        <v>0.24984384759525297</v>
      </c>
      <c r="EM169" s="57">
        <f t="shared" si="217"/>
        <v>1.9987507807620237</v>
      </c>
      <c r="EN169" s="57">
        <f t="shared" si="183"/>
        <v>2.0001217485039593</v>
      </c>
      <c r="EO169" s="59">
        <f t="shared" si="218"/>
        <v>0.13905210670898388</v>
      </c>
      <c r="EP169" s="57">
        <f t="shared" si="184"/>
        <v>0.26184411869225571</v>
      </c>
      <c r="EQ169" s="57">
        <f t="shared" si="185"/>
        <v>0.13923448052633225</v>
      </c>
      <c r="ER169" s="57">
        <f t="shared" si="186"/>
        <v>0.59892140078141187</v>
      </c>
      <c r="ES169" s="59">
        <f t="shared" si="219"/>
        <v>0.13905210670898388</v>
      </c>
      <c r="ET169" s="57">
        <f t="shared" si="220"/>
        <v>13.923448052633224</v>
      </c>
      <c r="EU169" s="57">
        <f t="shared" si="221"/>
        <v>26.184411869225571</v>
      </c>
      <c r="EV169" s="57">
        <f t="shared" si="222"/>
        <v>59.892140078141189</v>
      </c>
      <c r="EW169" s="57" t="s">
        <v>574</v>
      </c>
      <c r="EX169" s="57">
        <v>11</v>
      </c>
      <c r="EY169" s="57">
        <v>-244</v>
      </c>
      <c r="EZ169" s="57" t="s">
        <v>160</v>
      </c>
      <c r="FA169" s="57">
        <v>812</v>
      </c>
      <c r="FB169" s="57" t="s">
        <v>113</v>
      </c>
      <c r="FC169" s="57" t="s">
        <v>108</v>
      </c>
      <c r="FD169" s="59">
        <f t="shared" si="223"/>
        <v>0.98127381581114292</v>
      </c>
      <c r="FE169" s="59">
        <f t="shared" si="224"/>
        <v>1.0626668895349538</v>
      </c>
      <c r="FF169" s="59">
        <f t="shared" si="225"/>
        <v>0.98127381581114292</v>
      </c>
      <c r="FG169" s="59">
        <f t="shared" si="226"/>
        <v>1.0626668895349538</v>
      </c>
    </row>
    <row r="170" spans="1:163" s="57" customFormat="1" ht="15.75" x14ac:dyDescent="0.25">
      <c r="A170" s="60" t="s">
        <v>427</v>
      </c>
      <c r="B170" s="60" t="s">
        <v>427</v>
      </c>
      <c r="C170" s="60" t="s">
        <v>959</v>
      </c>
      <c r="D170" s="60" t="s">
        <v>959</v>
      </c>
      <c r="E170" s="60" t="s">
        <v>1401</v>
      </c>
      <c r="F170" s="60" t="s">
        <v>1027</v>
      </c>
      <c r="G170" s="60" t="s">
        <v>772</v>
      </c>
      <c r="H170" s="60" t="str">
        <f t="shared" si="171"/>
        <v>CW_1_Section_2</v>
      </c>
      <c r="I170" s="60" t="str">
        <f t="shared" si="172"/>
        <v>CW_1_MF05</v>
      </c>
      <c r="J170" s="60" t="s">
        <v>1496</v>
      </c>
      <c r="K170" s="60" t="s">
        <v>1484</v>
      </c>
      <c r="L170" s="65" t="s">
        <v>1028</v>
      </c>
      <c r="M170" s="60" t="s">
        <v>1015</v>
      </c>
      <c r="N170" s="60" t="s">
        <v>1015</v>
      </c>
      <c r="O170" s="61" t="s">
        <v>1016</v>
      </c>
      <c r="P170" s="60" t="s">
        <v>1402</v>
      </c>
      <c r="Q170" s="60" t="s">
        <v>1018</v>
      </c>
      <c r="R170" s="60" t="s">
        <v>1389</v>
      </c>
      <c r="S170" s="60" t="str">
        <f t="shared" si="173"/>
        <v>T7_0.15-0.30</v>
      </c>
      <c r="T170" s="62" t="s">
        <v>1390</v>
      </c>
      <c r="U170" s="60" t="s">
        <v>1113</v>
      </c>
      <c r="V170" s="60">
        <v>150</v>
      </c>
      <c r="W170" s="60">
        <v>65</v>
      </c>
      <c r="X170" s="60">
        <v>4.45</v>
      </c>
      <c r="Y170" s="60">
        <v>169</v>
      </c>
      <c r="Z170" s="57" t="s">
        <v>705</v>
      </c>
      <c r="AA170" s="57" t="s">
        <v>167</v>
      </c>
      <c r="AB170" s="63">
        <v>45957</v>
      </c>
      <c r="AC170" s="57">
        <v>10</v>
      </c>
      <c r="AD170" s="57">
        <v>11</v>
      </c>
      <c r="AE170" s="57">
        <v>260</v>
      </c>
      <c r="AF170" s="57">
        <f t="shared" si="187"/>
        <v>9.9859172961208553E-2</v>
      </c>
      <c r="AG170" s="57">
        <v>0.5</v>
      </c>
      <c r="AH170" s="57">
        <f t="shared" si="188"/>
        <v>1.9535489472541785E-4</v>
      </c>
      <c r="AI170" s="57">
        <v>220</v>
      </c>
      <c r="AJ170" s="57">
        <f t="shared" si="189"/>
        <v>8.7030234529528114E-2</v>
      </c>
      <c r="AK170" s="57">
        <v>19</v>
      </c>
      <c r="AL170" s="57">
        <f t="shared" si="190"/>
        <v>7.5162475275501557E-3</v>
      </c>
      <c r="AM170" s="57">
        <v>1</v>
      </c>
      <c r="AN170" s="57">
        <f t="shared" si="191"/>
        <v>3.9559197513421869E-4</v>
      </c>
      <c r="AO170" s="57">
        <v>26</v>
      </c>
      <c r="AQ170" s="59">
        <v>509.5</v>
      </c>
      <c r="AR170" s="59">
        <f t="shared" si="192"/>
        <v>0.18708476238546207</v>
      </c>
      <c r="AS170" s="57">
        <v>1700</v>
      </c>
      <c r="AT170" s="57">
        <f t="shared" si="193"/>
        <v>0.63665444331746901</v>
      </c>
      <c r="AU170" s="57" t="s">
        <v>780</v>
      </c>
      <c r="AV170" s="57" t="s">
        <v>780</v>
      </c>
      <c r="AW170" s="57" t="s">
        <v>780</v>
      </c>
      <c r="AX170" s="57" t="s">
        <v>780</v>
      </c>
      <c r="AY170" s="57" t="s">
        <v>780</v>
      </c>
      <c r="AZ170" s="57" t="s">
        <v>780</v>
      </c>
      <c r="BA170" s="57" t="s">
        <v>780</v>
      </c>
      <c r="BB170" s="57" t="s">
        <v>780</v>
      </c>
      <c r="BC170" s="57" t="s">
        <v>780</v>
      </c>
      <c r="BD170" s="57" t="s">
        <v>780</v>
      </c>
      <c r="BE170" s="57" t="s">
        <v>780</v>
      </c>
      <c r="BF170" s="57" t="s">
        <v>780</v>
      </c>
      <c r="BG170" s="57" t="s">
        <v>780</v>
      </c>
      <c r="BH170" s="57" t="s">
        <v>780</v>
      </c>
      <c r="BI170" s="57" t="s">
        <v>780</v>
      </c>
      <c r="BJ170" s="57" t="s">
        <v>780</v>
      </c>
      <c r="BK170" s="57" t="s">
        <v>780</v>
      </c>
      <c r="BL170" s="57" t="s">
        <v>780</v>
      </c>
      <c r="BM170" s="57" t="s">
        <v>780</v>
      </c>
      <c r="BN170" s="57" t="s">
        <v>780</v>
      </c>
      <c r="BO170" s="57">
        <v>11</v>
      </c>
      <c r="BP170" s="57">
        <v>3</v>
      </c>
      <c r="BQ170" s="57">
        <v>2.2000000000000002</v>
      </c>
      <c r="BR170" s="57">
        <v>0.1</v>
      </c>
      <c r="BS170" s="57">
        <v>0.09</v>
      </c>
      <c r="BT170" s="57">
        <v>0.01</v>
      </c>
      <c r="BU170" s="57">
        <v>0.01</v>
      </c>
      <c r="BV170" s="57">
        <v>2E-3</v>
      </c>
      <c r="BW170" s="57">
        <f t="shared" si="194"/>
        <v>4.1195287508777401E-3</v>
      </c>
      <c r="BX170" s="57">
        <f t="shared" si="195"/>
        <v>1.1038833037650307E-3</v>
      </c>
      <c r="BY170" s="57">
        <f t="shared" si="196"/>
        <v>8.2744309707541669E-4</v>
      </c>
      <c r="BZ170" s="57">
        <f t="shared" si="197"/>
        <v>3.729996390326074E-5</v>
      </c>
      <c r="CA170" s="57">
        <f t="shared" si="198"/>
        <v>3.3327722605621947E-5</v>
      </c>
      <c r="CB170" s="57">
        <f t="shared" si="199"/>
        <v>3.7030802895135499E-6</v>
      </c>
      <c r="CC170" s="57">
        <f t="shared" si="200"/>
        <v>3.6588380716934487E-6</v>
      </c>
      <c r="CD170" s="57">
        <f t="shared" si="201"/>
        <v>7.3176761433868969E-7</v>
      </c>
      <c r="CE170" s="57">
        <v>1E-3</v>
      </c>
      <c r="CF170" s="57">
        <v>1E-3</v>
      </c>
      <c r="CG170" s="57">
        <v>2E-3</v>
      </c>
      <c r="CH170" s="57">
        <v>1E-3</v>
      </c>
      <c r="CI170" s="57">
        <v>1E-3</v>
      </c>
      <c r="CK170" s="57">
        <v>2E-3</v>
      </c>
      <c r="CL170" s="57">
        <v>1E-3</v>
      </c>
      <c r="CM170" s="57">
        <v>1E-3</v>
      </c>
      <c r="CN170" s="57">
        <f t="shared" si="227"/>
        <v>16.412000000000003</v>
      </c>
      <c r="CO170" s="57">
        <f t="shared" si="202"/>
        <v>5.411999999999999</v>
      </c>
      <c r="CP170" s="57">
        <f t="shared" si="203"/>
        <v>6.1295765242026156E-3</v>
      </c>
      <c r="CQ170" s="57">
        <f t="shared" si="204"/>
        <v>2.010047773324876E-3</v>
      </c>
      <c r="CR170" s="57">
        <v>16</v>
      </c>
      <c r="CS170" s="57">
        <v>2300</v>
      </c>
      <c r="CT170" s="57">
        <v>130</v>
      </c>
      <c r="CU170" s="57" t="s">
        <v>69</v>
      </c>
      <c r="CV170" s="57" t="s">
        <v>69</v>
      </c>
      <c r="CW170" s="57">
        <v>2500</v>
      </c>
      <c r="CX170" s="64">
        <f t="shared" ref="CX170:CX201" si="235">SUM(AQ170+CR170)</f>
        <v>525.5</v>
      </c>
      <c r="CZ170" s="57">
        <v>74</v>
      </c>
      <c r="DA170" s="57" t="s">
        <v>62</v>
      </c>
      <c r="DB170" s="57" t="s">
        <v>88</v>
      </c>
      <c r="DC170" s="57" t="s">
        <v>782</v>
      </c>
      <c r="DD170" s="57">
        <f t="shared" ref="DD170:DD201" si="236">$ED170*(55.84/96.06)</f>
        <v>2.9065167603581092</v>
      </c>
      <c r="DE170" s="57">
        <f>$ED170*(55.84/96.06)</f>
        <v>2.9065167603581092</v>
      </c>
      <c r="DF170" s="57">
        <v>4.5</v>
      </c>
      <c r="DG170" s="57">
        <f t="shared" ref="DG170:DG201" si="237">DF170/55.85</f>
        <v>8.0572963294538946E-2</v>
      </c>
      <c r="DH170" s="57">
        <f t="shared" si="205"/>
        <v>8.0572963294538946E-2</v>
      </c>
      <c r="DI170" s="57">
        <f t="shared" ref="DI170:DI201" si="238">DE170+DF170</f>
        <v>7.4065167603581088</v>
      </c>
      <c r="DJ170" s="57">
        <f t="shared" si="206"/>
        <v>0.13261444512727141</v>
      </c>
      <c r="DK170" s="57">
        <f t="shared" si="207"/>
        <v>0.13261444512727141</v>
      </c>
      <c r="DL170" s="57">
        <f t="shared" si="208"/>
        <v>9.3008536331459499</v>
      </c>
      <c r="DM170" s="57">
        <f t="shared" si="208"/>
        <v>9.3008536331459499</v>
      </c>
      <c r="DN170" s="57">
        <f t="shared" si="209"/>
        <v>13.80085363314595</v>
      </c>
      <c r="DO170" s="57">
        <f t="shared" si="210"/>
        <v>0.2471057051592829</v>
      </c>
      <c r="DP170" s="57">
        <f t="shared" si="211"/>
        <v>0.2471057051592829</v>
      </c>
      <c r="DQ170" s="57">
        <v>1.6</v>
      </c>
      <c r="DR170" s="57">
        <f t="shared" si="212"/>
        <v>2.912798106681231E-2</v>
      </c>
      <c r="DS170" s="57">
        <f t="shared" si="213"/>
        <v>5.825596213362462E-2</v>
      </c>
      <c r="DT170" s="57">
        <f t="shared" ref="DT170:DT201" si="239">DJ170/DR170</f>
        <v>4.5528196692756362</v>
      </c>
      <c r="DU170" s="57">
        <f t="shared" ref="DU170:DU201" si="240">DK170/DS170</f>
        <v>2.2764098346378181</v>
      </c>
      <c r="DV170" s="57">
        <f t="shared" ref="DV170:DV201" si="241">DI170+DQ170</f>
        <v>9.0065167603581084</v>
      </c>
      <c r="DW170" s="57">
        <f t="shared" ref="DW170:DW201" si="242">SUM(DK170+DS170)</f>
        <v>0.19087040726089605</v>
      </c>
      <c r="DX170" s="57" t="s">
        <v>780</v>
      </c>
      <c r="DY170" s="57" t="s">
        <v>55</v>
      </c>
      <c r="DZ170" s="57">
        <f t="shared" si="167"/>
        <v>1</v>
      </c>
      <c r="EA170" s="57">
        <v>1.7000000000000001E-2</v>
      </c>
      <c r="EB170" s="57">
        <f t="shared" si="214"/>
        <v>2.741935483870968E-4</v>
      </c>
      <c r="EC170" s="57">
        <f t="shared" si="215"/>
        <v>1.370967741935484E-3</v>
      </c>
      <c r="ED170" s="57">
        <f t="shared" si="233"/>
        <v>5</v>
      </c>
      <c r="EE170" s="59">
        <f t="shared" si="234"/>
        <v>20</v>
      </c>
      <c r="EF170" s="57">
        <f t="shared" ref="EF170:EF201" si="243">(ED170/96.06)*8</f>
        <v>0.41640641265875494</v>
      </c>
      <c r="EG170" s="57">
        <f>$EK168-EK170</f>
        <v>16</v>
      </c>
      <c r="EH170" s="59">
        <f>(EG170/$EK168)*100</f>
        <v>44.444444444444443</v>
      </c>
      <c r="EI170" s="57">
        <f t="shared" si="231"/>
        <v>1.3325005205080158</v>
      </c>
      <c r="EJ170" s="57">
        <f>($EG170/96.06)*8</f>
        <v>1.3325005205080158</v>
      </c>
      <c r="EK170" s="57">
        <v>20</v>
      </c>
      <c r="EL170" s="57">
        <f t="shared" si="216"/>
        <v>0.20820320632937747</v>
      </c>
      <c r="EM170" s="57">
        <f t="shared" si="217"/>
        <v>1.6656256506350198</v>
      </c>
      <c r="EN170" s="57">
        <f t="shared" ref="EN170:EN201" si="244">SUM(EC170+EM170)</f>
        <v>1.6669966183769553</v>
      </c>
      <c r="EO170" s="59">
        <f t="shared" si="218"/>
        <v>0.60727681991965099</v>
      </c>
      <c r="EP170" s="57">
        <f t="shared" ref="EP170:EP201" si="245">DS170/EO170</f>
        <v>9.5929830058938334E-2</v>
      </c>
      <c r="EQ170" s="57">
        <f t="shared" ref="EQ170:EQ201" si="246">DK170/EO170</f>
        <v>0.21837560858130181</v>
      </c>
      <c r="ER170" s="57">
        <f t="shared" ref="ER170:ER201" si="247">EF170/EO170</f>
        <v>0.68569456135975981</v>
      </c>
      <c r="ES170" s="59">
        <f t="shared" si="219"/>
        <v>1.6378621878009234</v>
      </c>
      <c r="ET170" s="57">
        <f t="shared" si="220"/>
        <v>15.087087729344281</v>
      </c>
      <c r="EU170" s="57">
        <f t="shared" si="221"/>
        <v>3.556829296599247</v>
      </c>
      <c r="EV170" s="57">
        <f t="shared" si="222"/>
        <v>81.356082974056463</v>
      </c>
      <c r="EW170" s="57" t="s">
        <v>220</v>
      </c>
      <c r="EX170" s="57">
        <v>10</v>
      </c>
      <c r="EY170" s="57">
        <v>-178</v>
      </c>
      <c r="EZ170" s="57" t="s">
        <v>558</v>
      </c>
      <c r="FA170" s="57">
        <v>718</v>
      </c>
      <c r="FB170" s="57" t="s">
        <v>72</v>
      </c>
      <c r="FC170" s="57" t="s">
        <v>88</v>
      </c>
      <c r="FD170" s="59">
        <f t="shared" si="223"/>
        <v>0.21646238578328014</v>
      </c>
      <c r="FE170" s="59">
        <f t="shared" si="224"/>
        <v>0.21847243355660506</v>
      </c>
      <c r="FF170" s="59">
        <f t="shared" si="225"/>
        <v>-0.81412298209799228</v>
      </c>
      <c r="FG170" s="59">
        <f t="shared" si="226"/>
        <v>-0.81211293432466736</v>
      </c>
    </row>
    <row r="171" spans="1:163" s="57" customFormat="1" ht="15.75" x14ac:dyDescent="0.25">
      <c r="A171" s="60" t="s">
        <v>428</v>
      </c>
      <c r="B171" s="60" t="s">
        <v>428</v>
      </c>
      <c r="C171" s="60" t="s">
        <v>960</v>
      </c>
      <c r="D171" s="60" t="s">
        <v>960</v>
      </c>
      <c r="E171" s="60" t="s">
        <v>1403</v>
      </c>
      <c r="F171" s="60" t="s">
        <v>1027</v>
      </c>
      <c r="G171" s="60" t="s">
        <v>772</v>
      </c>
      <c r="H171" s="60" t="str">
        <f t="shared" si="171"/>
        <v>CW_1_Section_2</v>
      </c>
      <c r="I171" s="60" t="str">
        <f t="shared" si="172"/>
        <v>CW_1_MF06</v>
      </c>
      <c r="J171" s="60" t="s">
        <v>1497</v>
      </c>
      <c r="K171" s="60" t="s">
        <v>1484</v>
      </c>
      <c r="L171" s="65" t="s">
        <v>1031</v>
      </c>
      <c r="M171" s="60" t="s">
        <v>1024</v>
      </c>
      <c r="N171" s="60" t="s">
        <v>1024</v>
      </c>
      <c r="O171" s="61" t="s">
        <v>1016</v>
      </c>
      <c r="P171" s="60" t="s">
        <v>1404</v>
      </c>
      <c r="Q171" s="60" t="s">
        <v>1018</v>
      </c>
      <c r="R171" s="60" t="s">
        <v>1389</v>
      </c>
      <c r="S171" s="60" t="str">
        <f t="shared" si="173"/>
        <v>T7_0.60-0.80</v>
      </c>
      <c r="T171" s="62" t="s">
        <v>1390</v>
      </c>
      <c r="U171" s="60" t="s">
        <v>1113</v>
      </c>
      <c r="V171" s="60">
        <v>150</v>
      </c>
      <c r="W171" s="60">
        <v>65</v>
      </c>
      <c r="X171" s="60">
        <v>4.45</v>
      </c>
      <c r="Y171" s="60">
        <v>170</v>
      </c>
      <c r="Z171" s="57" t="s">
        <v>706</v>
      </c>
      <c r="AA171" s="57" t="s">
        <v>115</v>
      </c>
      <c r="AB171" s="63">
        <v>45957</v>
      </c>
      <c r="AC171" s="57">
        <v>11</v>
      </c>
      <c r="AD171" s="57">
        <v>11</v>
      </c>
      <c r="AE171" s="57">
        <v>610</v>
      </c>
      <c r="AF171" s="57">
        <f t="shared" si="187"/>
        <v>0.23428498271668158</v>
      </c>
      <c r="AG171" s="57">
        <v>41</v>
      </c>
      <c r="AH171" s="57">
        <f t="shared" si="188"/>
        <v>1.6019101367484263E-2</v>
      </c>
      <c r="AI171" s="57">
        <v>230</v>
      </c>
      <c r="AJ171" s="57">
        <f t="shared" si="189"/>
        <v>9.0986154280870299E-2</v>
      </c>
      <c r="AK171" s="57">
        <v>82</v>
      </c>
      <c r="AL171" s="57">
        <f t="shared" si="190"/>
        <v>3.2438541961005936E-2</v>
      </c>
      <c r="AM171" s="57">
        <v>94</v>
      </c>
      <c r="AN171" s="57">
        <f t="shared" si="191"/>
        <v>3.7185645662616555E-2</v>
      </c>
      <c r="AO171" s="57">
        <v>176</v>
      </c>
      <c r="AQ171" s="59">
        <v>1057</v>
      </c>
      <c r="AR171" s="59">
        <f t="shared" si="192"/>
        <v>0.34129023836503614</v>
      </c>
      <c r="AS171" s="57">
        <v>200</v>
      </c>
      <c r="AT171" s="57">
        <f t="shared" si="193"/>
        <v>7.490052274323164E-2</v>
      </c>
      <c r="AU171" s="57" t="s">
        <v>780</v>
      </c>
      <c r="AV171" s="57" t="s">
        <v>780</v>
      </c>
      <c r="AW171" s="57" t="s">
        <v>780</v>
      </c>
      <c r="AX171" s="57" t="s">
        <v>780</v>
      </c>
      <c r="AY171" s="57" t="s">
        <v>780</v>
      </c>
      <c r="AZ171" s="57" t="s">
        <v>780</v>
      </c>
      <c r="BA171" s="57" t="s">
        <v>780</v>
      </c>
      <c r="BB171" s="57" t="s">
        <v>780</v>
      </c>
      <c r="BC171" s="57" t="s">
        <v>780</v>
      </c>
      <c r="BD171" s="57" t="s">
        <v>780</v>
      </c>
      <c r="BE171" s="57" t="s">
        <v>780</v>
      </c>
      <c r="BF171" s="57" t="s">
        <v>780</v>
      </c>
      <c r="BG171" s="57" t="s">
        <v>780</v>
      </c>
      <c r="BH171" s="57" t="s">
        <v>780</v>
      </c>
      <c r="BI171" s="57" t="s">
        <v>780</v>
      </c>
      <c r="BJ171" s="57" t="s">
        <v>780</v>
      </c>
      <c r="BK171" s="57" t="s">
        <v>780</v>
      </c>
      <c r="BL171" s="57" t="s">
        <v>780</v>
      </c>
      <c r="BM171" s="57" t="s">
        <v>780</v>
      </c>
      <c r="BN171" s="57" t="s">
        <v>780</v>
      </c>
      <c r="BO171" s="57">
        <v>56</v>
      </c>
      <c r="BP171" s="57">
        <v>3.2</v>
      </c>
      <c r="BQ171" s="57">
        <v>52</v>
      </c>
      <c r="BR171" s="57">
        <v>11</v>
      </c>
      <c r="BS171" s="57">
        <v>6.5</v>
      </c>
      <c r="BT171" s="57">
        <v>2.6</v>
      </c>
      <c r="BU171" s="57">
        <v>0.08</v>
      </c>
      <c r="BV171" s="57">
        <v>0.04</v>
      </c>
      <c r="BW171" s="57">
        <f t="shared" si="194"/>
        <v>2.097214636810486E-2</v>
      </c>
      <c r="BX171" s="57">
        <f t="shared" si="195"/>
        <v>1.1774755240160327E-3</v>
      </c>
      <c r="BY171" s="57">
        <f t="shared" si="196"/>
        <v>1.9557745930873484E-2</v>
      </c>
      <c r="BZ171" s="57">
        <f t="shared" si="197"/>
        <v>4.1029960293586815E-3</v>
      </c>
      <c r="CA171" s="57">
        <f t="shared" si="198"/>
        <v>2.4070021881838072E-3</v>
      </c>
      <c r="CB171" s="57">
        <f t="shared" si="199"/>
        <v>9.6280087527352302E-4</v>
      </c>
      <c r="CC171" s="57">
        <f t="shared" si="200"/>
        <v>2.9270704573547589E-5</v>
      </c>
      <c r="CD171" s="57">
        <f t="shared" si="201"/>
        <v>1.4635352286773795E-5</v>
      </c>
      <c r="CE171" s="57">
        <v>1E-3</v>
      </c>
      <c r="CF171" s="57">
        <v>1E-3</v>
      </c>
      <c r="CG171" s="57">
        <v>2E-3</v>
      </c>
      <c r="CH171" s="57">
        <v>1E-3</v>
      </c>
      <c r="CI171" s="57">
        <v>1E-3</v>
      </c>
      <c r="CK171" s="57">
        <v>2E-3</v>
      </c>
      <c r="CL171" s="57">
        <v>1E-3</v>
      </c>
      <c r="CM171" s="57">
        <v>1E-3</v>
      </c>
      <c r="CN171" s="57">
        <f t="shared" si="227"/>
        <v>131.41999999999999</v>
      </c>
      <c r="CO171" s="57">
        <f t="shared" si="202"/>
        <v>75.42</v>
      </c>
      <c r="CP171" s="57">
        <f t="shared" si="203"/>
        <v>4.9224072972670709E-2</v>
      </c>
      <c r="CQ171" s="57">
        <f t="shared" si="204"/>
        <v>2.8251926604565852E-2</v>
      </c>
      <c r="CR171" s="57">
        <v>130</v>
      </c>
      <c r="CS171" s="57">
        <v>600</v>
      </c>
      <c r="CT171" s="57">
        <v>690</v>
      </c>
      <c r="CU171" s="57" t="s">
        <v>69</v>
      </c>
      <c r="CV171" s="57" t="s">
        <v>69</v>
      </c>
      <c r="CW171" s="57">
        <v>1300</v>
      </c>
      <c r="CX171" s="64">
        <f t="shared" si="235"/>
        <v>1187</v>
      </c>
      <c r="CZ171" s="57">
        <v>72</v>
      </c>
      <c r="DA171" s="57" t="s">
        <v>62</v>
      </c>
      <c r="DB171" s="57" t="s">
        <v>88</v>
      </c>
      <c r="DC171" s="57" t="s">
        <v>782</v>
      </c>
      <c r="DD171" s="57">
        <f t="shared" si="236"/>
        <v>-4.0691234645013532</v>
      </c>
      <c r="DE171" s="57">
        <v>0</v>
      </c>
      <c r="DF171" s="57">
        <v>0.8</v>
      </c>
      <c r="DG171" s="57">
        <f t="shared" si="237"/>
        <v>1.432408236347359E-2</v>
      </c>
      <c r="DH171" s="57">
        <f t="shared" si="205"/>
        <v>1.432408236347359E-2</v>
      </c>
      <c r="DI171" s="57">
        <f t="shared" si="238"/>
        <v>0.8</v>
      </c>
      <c r="DJ171" s="57">
        <f t="shared" si="206"/>
        <v>1.432408236347359E-2</v>
      </c>
      <c r="DK171" s="57">
        <f t="shared" si="207"/>
        <v>1.432408236347359E-2</v>
      </c>
      <c r="DL171" s="57">
        <f t="shared" si="208"/>
        <v>-4.650426816572975</v>
      </c>
      <c r="DN171" s="57">
        <f t="shared" si="209"/>
        <v>0.8</v>
      </c>
      <c r="DO171" s="57">
        <f t="shared" si="210"/>
        <v>1.432408236347359E-2</v>
      </c>
      <c r="DP171" s="57">
        <f t="shared" si="211"/>
        <v>1.432408236347359E-2</v>
      </c>
      <c r="DQ171" s="57">
        <v>1.5</v>
      </c>
      <c r="DR171" s="57">
        <f t="shared" si="212"/>
        <v>2.7307482250136537E-2</v>
      </c>
      <c r="DS171" s="57">
        <f t="shared" si="213"/>
        <v>5.4614964500273075E-2</v>
      </c>
      <c r="DT171" s="57">
        <f t="shared" si="239"/>
        <v>0.52454789615040287</v>
      </c>
      <c r="DU171" s="57">
        <f t="shared" si="240"/>
        <v>0.26227394807520144</v>
      </c>
      <c r="DV171" s="57">
        <f t="shared" si="241"/>
        <v>2.2999999999999998</v>
      </c>
      <c r="DW171" s="57">
        <f t="shared" si="242"/>
        <v>6.8939046863746661E-2</v>
      </c>
      <c r="DX171" s="57" t="s">
        <v>780</v>
      </c>
      <c r="DY171" s="57" t="s">
        <v>101</v>
      </c>
      <c r="DZ171" s="57">
        <f t="shared" si="167"/>
        <v>1</v>
      </c>
      <c r="EA171" s="57">
        <v>1.7000000000000001E-2</v>
      </c>
      <c r="EB171" s="57">
        <f t="shared" si="214"/>
        <v>2.741935483870968E-4</v>
      </c>
      <c r="EC171" s="57">
        <f t="shared" si="215"/>
        <v>1.370967741935484E-3</v>
      </c>
      <c r="ED171" s="57">
        <f t="shared" si="233"/>
        <v>-7</v>
      </c>
      <c r="EE171" s="59">
        <f t="shared" si="234"/>
        <v>-28.000000000000004</v>
      </c>
      <c r="EF171" s="57">
        <f t="shared" si="243"/>
        <v>-0.58296897772225686</v>
      </c>
      <c r="EG171" s="57">
        <f>$EK169-EK171</f>
        <v>-8</v>
      </c>
      <c r="EH171" s="59">
        <f>(EG171/$EK169)*100</f>
        <v>-33.333333333333329</v>
      </c>
      <c r="EI171" s="57">
        <f t="shared" si="231"/>
        <v>-0.66625026025400791</v>
      </c>
      <c r="EK171" s="57">
        <v>32</v>
      </c>
      <c r="EL171" s="57">
        <f t="shared" si="216"/>
        <v>0.33312513012700395</v>
      </c>
      <c r="EM171" s="57">
        <f t="shared" si="217"/>
        <v>2.6650010410160316</v>
      </c>
      <c r="EN171" s="57">
        <f t="shared" si="244"/>
        <v>2.6663720087579672</v>
      </c>
      <c r="EO171" s="59">
        <f t="shared" ref="EO171:EO207" si="248">DK171+DS171+EF171</f>
        <v>-0.51402993085851023</v>
      </c>
      <c r="EP171" s="57">
        <f t="shared" si="245"/>
        <v>-0.10624860775919713</v>
      </c>
      <c r="EQ171" s="57">
        <f t="shared" si="246"/>
        <v>-2.7866241834498113E-2</v>
      </c>
      <c r="ER171" s="57">
        <f t="shared" si="247"/>
        <v>1.1341148495936952</v>
      </c>
      <c r="ES171" s="59">
        <f t="shared" si="219"/>
        <v>6.8939046863746661E-2</v>
      </c>
      <c r="ET171" s="57">
        <f t="shared" si="220"/>
        <v>20.777894408352012</v>
      </c>
      <c r="EU171" s="57">
        <f t="shared" si="221"/>
        <v>79.222105591647988</v>
      </c>
      <c r="EV171" s="57">
        <f t="shared" si="222"/>
        <v>0</v>
      </c>
      <c r="EW171" s="57" t="s">
        <v>188</v>
      </c>
      <c r="EX171" s="57">
        <v>11</v>
      </c>
      <c r="EY171" s="57">
        <v>-220</v>
      </c>
      <c r="EZ171" s="57" t="s">
        <v>212</v>
      </c>
      <c r="FA171" s="57">
        <v>761</v>
      </c>
      <c r="FB171" s="57" t="s">
        <v>113</v>
      </c>
      <c r="FC171" s="57" t="s">
        <v>88</v>
      </c>
      <c r="FD171" s="59">
        <f t="shared" si="223"/>
        <v>0.93022069196677803</v>
      </c>
      <c r="FE171" s="59">
        <f t="shared" si="224"/>
        <v>0.95847261857134392</v>
      </c>
      <c r="FF171" s="59">
        <f t="shared" si="225"/>
        <v>0.34725171424452117</v>
      </c>
      <c r="FG171" s="59">
        <f t="shared" si="226"/>
        <v>0.37550364084908705</v>
      </c>
    </row>
    <row r="172" spans="1:163" s="57" customFormat="1" ht="15.75" x14ac:dyDescent="0.25">
      <c r="A172" s="60" t="s">
        <v>429</v>
      </c>
      <c r="B172" s="60" t="s">
        <v>429</v>
      </c>
      <c r="C172" s="60" t="s">
        <v>961</v>
      </c>
      <c r="D172" s="60" t="s">
        <v>961</v>
      </c>
      <c r="E172" s="60" t="s">
        <v>1405</v>
      </c>
      <c r="F172" s="60" t="s">
        <v>1034</v>
      </c>
      <c r="G172" s="60" t="s">
        <v>772</v>
      </c>
      <c r="H172" s="60" t="str">
        <f t="shared" si="171"/>
        <v>CW_1_Section_3</v>
      </c>
      <c r="I172" s="60" t="str">
        <f t="shared" si="172"/>
        <v>CW_1_MF09</v>
      </c>
      <c r="J172" s="60" t="s">
        <v>1492</v>
      </c>
      <c r="K172" s="60" t="s">
        <v>1484</v>
      </c>
      <c r="L172" s="65" t="s">
        <v>1035</v>
      </c>
      <c r="M172" s="60" t="s">
        <v>1015</v>
      </c>
      <c r="N172" s="60" t="s">
        <v>1015</v>
      </c>
      <c r="O172" s="61" t="s">
        <v>1016</v>
      </c>
      <c r="P172" s="60" t="s">
        <v>1406</v>
      </c>
      <c r="Q172" s="60" t="s">
        <v>1018</v>
      </c>
      <c r="R172" s="60" t="s">
        <v>1389</v>
      </c>
      <c r="S172" s="60" t="str">
        <f t="shared" si="173"/>
        <v>T7_0.15-0.30</v>
      </c>
      <c r="T172" s="62" t="s">
        <v>1390</v>
      </c>
      <c r="U172" s="60" t="s">
        <v>1113</v>
      </c>
      <c r="V172" s="60">
        <v>150</v>
      </c>
      <c r="W172" s="60">
        <v>65</v>
      </c>
      <c r="X172" s="60">
        <v>5.75</v>
      </c>
      <c r="Y172" s="60">
        <v>171</v>
      </c>
      <c r="Z172" s="57" t="s">
        <v>707</v>
      </c>
      <c r="AA172" s="57" t="s">
        <v>74</v>
      </c>
      <c r="AB172" s="63">
        <v>45957</v>
      </c>
      <c r="AC172" s="57">
        <v>11</v>
      </c>
      <c r="AD172" s="57">
        <v>12</v>
      </c>
      <c r="AE172" s="57">
        <v>74</v>
      </c>
      <c r="AF172" s="57">
        <f t="shared" si="187"/>
        <v>2.8421456919728586E-2</v>
      </c>
      <c r="AG172" s="57">
        <v>0.5</v>
      </c>
      <c r="AH172" s="57">
        <f t="shared" si="188"/>
        <v>1.9535489472541785E-4</v>
      </c>
      <c r="AI172" s="57">
        <v>240</v>
      </c>
      <c r="AJ172" s="57">
        <f t="shared" si="189"/>
        <v>9.4942074032212498E-2</v>
      </c>
      <c r="AK172" s="57">
        <v>37</v>
      </c>
      <c r="AL172" s="57">
        <f t="shared" si="190"/>
        <v>1.4636903079966092E-2</v>
      </c>
      <c r="AM172" s="57">
        <v>13</v>
      </c>
      <c r="AN172" s="57">
        <f t="shared" si="191"/>
        <v>5.1426956767448434E-3</v>
      </c>
      <c r="AO172" s="57">
        <v>50</v>
      </c>
      <c r="AQ172" s="59">
        <v>367.5</v>
      </c>
      <c r="AR172" s="59">
        <f t="shared" si="192"/>
        <v>0.12355888584666649</v>
      </c>
      <c r="AS172" s="57">
        <v>1800</v>
      </c>
      <c r="AT172" s="57">
        <f t="shared" si="193"/>
        <v>0.6741047046890849</v>
      </c>
      <c r="AU172" s="57" t="s">
        <v>780</v>
      </c>
      <c r="AV172" s="57" t="s">
        <v>780</v>
      </c>
      <c r="AW172" s="57" t="s">
        <v>780</v>
      </c>
      <c r="AX172" s="57" t="s">
        <v>780</v>
      </c>
      <c r="AY172" s="57" t="s">
        <v>780</v>
      </c>
      <c r="AZ172" s="57" t="s">
        <v>780</v>
      </c>
      <c r="BA172" s="57" t="s">
        <v>780</v>
      </c>
      <c r="BB172" s="57" t="s">
        <v>780</v>
      </c>
      <c r="BC172" s="57" t="s">
        <v>780</v>
      </c>
      <c r="BD172" s="57" t="s">
        <v>780</v>
      </c>
      <c r="BE172" s="57" t="s">
        <v>780</v>
      </c>
      <c r="BF172" s="57" t="s">
        <v>780</v>
      </c>
      <c r="BG172" s="57" t="s">
        <v>780</v>
      </c>
      <c r="BH172" s="57" t="s">
        <v>780</v>
      </c>
      <c r="BI172" s="57" t="s">
        <v>780</v>
      </c>
      <c r="BJ172" s="57" t="s">
        <v>780</v>
      </c>
      <c r="BK172" s="57" t="s">
        <v>780</v>
      </c>
      <c r="BL172" s="57" t="s">
        <v>780</v>
      </c>
      <c r="BM172" s="57" t="s">
        <v>780</v>
      </c>
      <c r="BN172" s="57" t="s">
        <v>780</v>
      </c>
      <c r="BO172" s="57">
        <v>1700</v>
      </c>
      <c r="BP172" s="57">
        <v>2.4</v>
      </c>
      <c r="BQ172" s="57">
        <v>3.4</v>
      </c>
      <c r="BR172" s="57">
        <v>0.2</v>
      </c>
      <c r="BS172" s="57">
        <v>0.12</v>
      </c>
      <c r="BT172" s="57">
        <v>0.02</v>
      </c>
      <c r="BU172" s="57">
        <v>0.01</v>
      </c>
      <c r="BV172" s="57">
        <v>2E-3</v>
      </c>
      <c r="BW172" s="57">
        <f t="shared" si="194"/>
        <v>0.63665444331746901</v>
      </c>
      <c r="BX172" s="57">
        <f t="shared" si="195"/>
        <v>8.8310664301202442E-4</v>
      </c>
      <c r="BY172" s="57">
        <f t="shared" si="196"/>
        <v>1.2787756954801893E-3</v>
      </c>
      <c r="BZ172" s="57">
        <f t="shared" si="197"/>
        <v>7.459992780652148E-5</v>
      </c>
      <c r="CA172" s="57">
        <f t="shared" si="198"/>
        <v>4.44369634741626E-5</v>
      </c>
      <c r="CB172" s="57">
        <f t="shared" si="199"/>
        <v>7.4061605790270997E-6</v>
      </c>
      <c r="CC172" s="57">
        <f t="shared" si="200"/>
        <v>3.6588380716934487E-6</v>
      </c>
      <c r="CD172" s="57">
        <f t="shared" si="201"/>
        <v>7.3176761433868969E-7</v>
      </c>
      <c r="CE172" s="57">
        <v>1E-3</v>
      </c>
      <c r="CF172" s="57">
        <v>1E-3</v>
      </c>
      <c r="CG172" s="57">
        <v>2E-3</v>
      </c>
      <c r="CH172" s="57">
        <v>1E-3</v>
      </c>
      <c r="CI172" s="57">
        <v>1E-3</v>
      </c>
      <c r="CK172" s="57">
        <v>2E-3</v>
      </c>
      <c r="CL172" s="57">
        <v>1E-3</v>
      </c>
      <c r="CM172" s="57">
        <v>1E-3</v>
      </c>
      <c r="CN172" s="57">
        <f t="shared" si="227"/>
        <v>1706.152</v>
      </c>
      <c r="CO172" s="57">
        <f t="shared" si="202"/>
        <v>6.1519999999999992</v>
      </c>
      <c r="CP172" s="57">
        <f t="shared" si="203"/>
        <v>0.6389471593135071</v>
      </c>
      <c r="CQ172" s="57">
        <f t="shared" si="204"/>
        <v>2.2927159960379573E-3</v>
      </c>
      <c r="CR172" s="57">
        <v>1700</v>
      </c>
      <c r="CS172" s="57">
        <v>2500</v>
      </c>
      <c r="CT172" s="57">
        <v>100</v>
      </c>
      <c r="CU172" s="57" t="s">
        <v>69</v>
      </c>
      <c r="CV172" s="57" t="s">
        <v>69</v>
      </c>
      <c r="CW172" s="57">
        <v>2600</v>
      </c>
      <c r="CX172" s="64">
        <f t="shared" si="235"/>
        <v>2067.5</v>
      </c>
      <c r="CZ172" s="57">
        <v>66</v>
      </c>
      <c r="DA172" s="57" t="s">
        <v>62</v>
      </c>
      <c r="DB172" s="57" t="s">
        <v>88</v>
      </c>
      <c r="DC172" s="57" t="s">
        <v>782</v>
      </c>
      <c r="DD172" s="57">
        <f t="shared" si="236"/>
        <v>11.626067041432437</v>
      </c>
      <c r="DE172" s="57">
        <f>$ED172*(55.84/96.06)</f>
        <v>11.626067041432437</v>
      </c>
      <c r="DF172" s="57">
        <v>9.6999999999999993</v>
      </c>
      <c r="DG172" s="57">
        <f t="shared" si="237"/>
        <v>0.17367949865711726</v>
      </c>
      <c r="DH172" s="57">
        <f t="shared" si="205"/>
        <v>0.17367949865711726</v>
      </c>
      <c r="DI172" s="57">
        <f t="shared" si="238"/>
        <v>21.326067041432438</v>
      </c>
      <c r="DJ172" s="57">
        <f t="shared" si="206"/>
        <v>0.38184542598804722</v>
      </c>
      <c r="DK172" s="57">
        <f t="shared" si="207"/>
        <v>0.38184542598804722</v>
      </c>
      <c r="DL172" s="57">
        <f t="shared" si="208"/>
        <v>8.7195502810743282</v>
      </c>
      <c r="DM172" s="57">
        <f t="shared" si="208"/>
        <v>8.7195502810743282</v>
      </c>
      <c r="DN172" s="57">
        <f t="shared" si="209"/>
        <v>18.419550281074329</v>
      </c>
      <c r="DO172" s="57">
        <f t="shared" si="210"/>
        <v>0.32980394415531478</v>
      </c>
      <c r="DP172" s="57">
        <f t="shared" si="211"/>
        <v>0.32980394415531478</v>
      </c>
      <c r="DQ172" s="57">
        <v>2.2000000000000002</v>
      </c>
      <c r="DR172" s="57">
        <f t="shared" si="212"/>
        <v>4.0050973966866923E-2</v>
      </c>
      <c r="DS172" s="57">
        <f t="shared" si="213"/>
        <v>8.0101947933733847E-2</v>
      </c>
      <c r="DT172" s="57">
        <f t="shared" si="239"/>
        <v>9.5339860225106516</v>
      </c>
      <c r="DU172" s="57">
        <f t="shared" si="240"/>
        <v>4.7669930112553258</v>
      </c>
      <c r="DV172" s="57">
        <f t="shared" si="241"/>
        <v>23.526067041432437</v>
      </c>
      <c r="DW172" s="57">
        <f t="shared" si="242"/>
        <v>0.46194737392178109</v>
      </c>
      <c r="DX172" s="57" t="s">
        <v>780</v>
      </c>
      <c r="DY172" s="57" t="s">
        <v>501</v>
      </c>
      <c r="DZ172" s="57">
        <f t="shared" si="167"/>
        <v>1</v>
      </c>
      <c r="EA172" s="57">
        <v>1.7000000000000001E-2</v>
      </c>
      <c r="EB172" s="57">
        <f t="shared" si="214"/>
        <v>2.741935483870968E-4</v>
      </c>
      <c r="EC172" s="57">
        <f t="shared" si="215"/>
        <v>1.370967741935484E-3</v>
      </c>
      <c r="ED172" s="57">
        <f t="shared" si="233"/>
        <v>20</v>
      </c>
      <c r="EE172" s="59">
        <f t="shared" si="234"/>
        <v>80</v>
      </c>
      <c r="EF172" s="57">
        <f t="shared" si="243"/>
        <v>1.6656256506350198</v>
      </c>
      <c r="EG172" s="57">
        <f>$EK170-EK172</f>
        <v>15</v>
      </c>
      <c r="EH172" s="59">
        <f>(EG172/$EK170)*100</f>
        <v>75</v>
      </c>
      <c r="EI172" s="57">
        <f t="shared" si="231"/>
        <v>1.2492192379762648</v>
      </c>
      <c r="EJ172" s="57">
        <f>($EG172/96.06)*8</f>
        <v>1.2492192379762648</v>
      </c>
      <c r="EK172" s="57">
        <v>5</v>
      </c>
      <c r="EL172" s="57">
        <f t="shared" si="216"/>
        <v>5.2050801582344368E-2</v>
      </c>
      <c r="EM172" s="57">
        <f t="shared" si="217"/>
        <v>0.41640641265875494</v>
      </c>
      <c r="EN172" s="57">
        <f t="shared" si="244"/>
        <v>0.4177773804006904</v>
      </c>
      <c r="EO172" s="59">
        <f t="shared" si="248"/>
        <v>2.127573024556801</v>
      </c>
      <c r="EP172" s="57">
        <f t="shared" si="245"/>
        <v>3.7649447050316899E-2</v>
      </c>
      <c r="EQ172" s="57">
        <f t="shared" si="246"/>
        <v>0.17947465096648807</v>
      </c>
      <c r="ER172" s="57">
        <f t="shared" si="247"/>
        <v>0.78287590198319501</v>
      </c>
      <c r="ES172" s="59">
        <f t="shared" si="219"/>
        <v>1.6591251300653134</v>
      </c>
      <c r="ET172" s="57">
        <f t="shared" si="220"/>
        <v>19.878183880099005</v>
      </c>
      <c r="EU172" s="57">
        <f t="shared" si="221"/>
        <v>4.8279630319733959</v>
      </c>
      <c r="EV172" s="57">
        <f t="shared" si="222"/>
        <v>75.293853087927602</v>
      </c>
      <c r="EW172" s="57" t="s">
        <v>708</v>
      </c>
      <c r="EX172" s="57">
        <v>12</v>
      </c>
      <c r="EY172" s="57">
        <v>-116</v>
      </c>
      <c r="EZ172" s="57" t="s">
        <v>246</v>
      </c>
      <c r="FA172" s="57">
        <v>66</v>
      </c>
      <c r="FB172" s="57" t="s">
        <v>72</v>
      </c>
      <c r="FC172" s="57" t="s">
        <v>88</v>
      </c>
      <c r="FD172" s="59">
        <f t="shared" si="223"/>
        <v>-1.3299094340210496</v>
      </c>
      <c r="FE172" s="59">
        <f t="shared" si="224"/>
        <v>-1.3276167180250116</v>
      </c>
      <c r="FF172" s="59">
        <f t="shared" si="225"/>
        <v>-0.86146153952956195</v>
      </c>
      <c r="FG172" s="59">
        <f t="shared" si="226"/>
        <v>-0.85916882353352397</v>
      </c>
    </row>
    <row r="173" spans="1:163" s="57" customFormat="1" ht="15.75" x14ac:dyDescent="0.25">
      <c r="A173" s="60" t="s">
        <v>430</v>
      </c>
      <c r="B173" s="60" t="s">
        <v>430</v>
      </c>
      <c r="C173" s="60" t="s">
        <v>962</v>
      </c>
      <c r="D173" s="60" t="s">
        <v>962</v>
      </c>
      <c r="E173" s="60" t="s">
        <v>1407</v>
      </c>
      <c r="F173" s="60" t="s">
        <v>1034</v>
      </c>
      <c r="G173" s="60" t="s">
        <v>772</v>
      </c>
      <c r="H173" s="60" t="str">
        <f t="shared" si="171"/>
        <v>CW_1_Section_3</v>
      </c>
      <c r="I173" s="60" t="str">
        <f t="shared" si="172"/>
        <v>CW_1_MF10</v>
      </c>
      <c r="J173" s="60" t="s">
        <v>1493</v>
      </c>
      <c r="K173" s="60" t="s">
        <v>1484</v>
      </c>
      <c r="L173" s="65" t="s">
        <v>1038</v>
      </c>
      <c r="M173" s="60" t="s">
        <v>1024</v>
      </c>
      <c r="N173" s="60" t="s">
        <v>1024</v>
      </c>
      <c r="O173" s="61" t="s">
        <v>1016</v>
      </c>
      <c r="P173" s="60" t="s">
        <v>1408</v>
      </c>
      <c r="Q173" s="60" t="s">
        <v>1018</v>
      </c>
      <c r="R173" s="60" t="s">
        <v>1389</v>
      </c>
      <c r="S173" s="60" t="str">
        <f t="shared" si="173"/>
        <v>T7_0.60-0.80</v>
      </c>
      <c r="T173" s="62" t="s">
        <v>1390</v>
      </c>
      <c r="U173" s="60" t="s">
        <v>1113</v>
      </c>
      <c r="V173" s="60">
        <v>150</v>
      </c>
      <c r="W173" s="60">
        <v>65</v>
      </c>
      <c r="X173" s="60">
        <v>5.7</v>
      </c>
      <c r="Y173" s="60">
        <v>172</v>
      </c>
      <c r="Z173" s="57" t="s">
        <v>709</v>
      </c>
      <c r="AA173" s="57" t="s">
        <v>95</v>
      </c>
      <c r="AB173" s="63">
        <v>45957</v>
      </c>
      <c r="AC173" s="57">
        <v>9.9</v>
      </c>
      <c r="AD173" s="57">
        <v>11</v>
      </c>
      <c r="AE173" s="57">
        <v>600</v>
      </c>
      <c r="AF173" s="57">
        <f t="shared" si="187"/>
        <v>0.23044424529509666</v>
      </c>
      <c r="AG173" s="57">
        <v>1.9</v>
      </c>
      <c r="AH173" s="57">
        <f t="shared" si="188"/>
        <v>7.4234859995658776E-4</v>
      </c>
      <c r="AI173" s="57">
        <v>59</v>
      </c>
      <c r="AJ173" s="57">
        <f t="shared" si="189"/>
        <v>2.3339926532918904E-2</v>
      </c>
      <c r="AK173" s="57">
        <v>9.6</v>
      </c>
      <c r="AL173" s="57">
        <f t="shared" si="190"/>
        <v>3.7976829612884995E-3</v>
      </c>
      <c r="AM173" s="57">
        <v>2.7</v>
      </c>
      <c r="AN173" s="57">
        <f t="shared" si="191"/>
        <v>1.0680983328623906E-3</v>
      </c>
      <c r="AO173" s="57">
        <v>12.3</v>
      </c>
      <c r="AQ173" s="59">
        <v>673.2</v>
      </c>
      <c r="AR173" s="59">
        <f t="shared" si="192"/>
        <v>0.25452652042797214</v>
      </c>
      <c r="AS173" s="57">
        <v>48</v>
      </c>
      <c r="AT173" s="57">
        <f t="shared" si="193"/>
        <v>1.7976125458375593E-2</v>
      </c>
      <c r="AU173" s="57" t="s">
        <v>780</v>
      </c>
      <c r="AV173" s="57" t="s">
        <v>780</v>
      </c>
      <c r="AW173" s="57" t="s">
        <v>780</v>
      </c>
      <c r="AX173" s="57" t="s">
        <v>780</v>
      </c>
      <c r="AY173" s="57" t="s">
        <v>780</v>
      </c>
      <c r="AZ173" s="57" t="s">
        <v>780</v>
      </c>
      <c r="BA173" s="57" t="s">
        <v>780</v>
      </c>
      <c r="BB173" s="57" t="s">
        <v>780</v>
      </c>
      <c r="BC173" s="57" t="s">
        <v>780</v>
      </c>
      <c r="BD173" s="57" t="s">
        <v>780</v>
      </c>
      <c r="BE173" s="57" t="s">
        <v>780</v>
      </c>
      <c r="BF173" s="57" t="s">
        <v>780</v>
      </c>
      <c r="BG173" s="57" t="s">
        <v>780</v>
      </c>
      <c r="BH173" s="57" t="s">
        <v>780</v>
      </c>
      <c r="BI173" s="57" t="s">
        <v>780</v>
      </c>
      <c r="BJ173" s="57" t="s">
        <v>780</v>
      </c>
      <c r="BK173" s="57" t="s">
        <v>780</v>
      </c>
      <c r="BL173" s="57" t="s">
        <v>780</v>
      </c>
      <c r="BM173" s="57" t="s">
        <v>780</v>
      </c>
      <c r="BN173" s="57" t="s">
        <v>780</v>
      </c>
      <c r="BO173" s="57">
        <v>17</v>
      </c>
      <c r="BP173" s="57">
        <v>2.1</v>
      </c>
      <c r="BQ173" s="57">
        <v>57</v>
      </c>
      <c r="BR173" s="57">
        <v>13</v>
      </c>
      <c r="BS173" s="57">
        <v>4.3</v>
      </c>
      <c r="BT173" s="57">
        <v>1.8</v>
      </c>
      <c r="BU173" s="57">
        <v>0.06</v>
      </c>
      <c r="BV173" s="57">
        <v>0.03</v>
      </c>
      <c r="BW173" s="57">
        <f t="shared" si="194"/>
        <v>6.3665444331746888E-3</v>
      </c>
      <c r="BX173" s="57">
        <f t="shared" si="195"/>
        <v>7.7271831263552146E-4</v>
      </c>
      <c r="BY173" s="57">
        <f t="shared" si="196"/>
        <v>2.1438298424226704E-2</v>
      </c>
      <c r="BZ173" s="57">
        <f t="shared" si="197"/>
        <v>4.8489953074238963E-3</v>
      </c>
      <c r="CA173" s="57">
        <f t="shared" si="198"/>
        <v>1.5923245244908264E-3</v>
      </c>
      <c r="CB173" s="57">
        <f t="shared" si="199"/>
        <v>6.6655445211243904E-4</v>
      </c>
      <c r="CC173" s="57">
        <f t="shared" si="200"/>
        <v>2.1953028430160689E-5</v>
      </c>
      <c r="CD173" s="57">
        <f t="shared" si="201"/>
        <v>1.0976514215080345E-5</v>
      </c>
      <c r="CE173" s="57">
        <v>1E-3</v>
      </c>
      <c r="CF173" s="57">
        <v>1E-3</v>
      </c>
      <c r="CG173" s="57">
        <v>2E-3</v>
      </c>
      <c r="CH173" s="57">
        <v>1E-3</v>
      </c>
      <c r="CI173" s="57">
        <v>1E-3</v>
      </c>
      <c r="CK173" s="57">
        <v>2E-3</v>
      </c>
      <c r="CL173" s="57">
        <v>1E-3</v>
      </c>
      <c r="CM173" s="57">
        <v>1E-3</v>
      </c>
      <c r="CN173" s="57">
        <f t="shared" si="227"/>
        <v>95.289999999999992</v>
      </c>
      <c r="CO173" s="57">
        <f t="shared" si="202"/>
        <v>78.289999999999992</v>
      </c>
      <c r="CP173" s="57">
        <f t="shared" si="203"/>
        <v>3.5718364996709315E-2</v>
      </c>
      <c r="CQ173" s="57">
        <f t="shared" si="204"/>
        <v>2.9351820563534622E-2</v>
      </c>
      <c r="CR173" s="57">
        <v>96</v>
      </c>
      <c r="CS173" s="57">
        <v>380</v>
      </c>
      <c r="CT173" s="57">
        <v>790</v>
      </c>
      <c r="CU173" s="57" t="s">
        <v>69</v>
      </c>
      <c r="CV173" s="57" t="s">
        <v>69</v>
      </c>
      <c r="CW173" s="57">
        <v>1200</v>
      </c>
      <c r="CX173" s="64">
        <f t="shared" si="235"/>
        <v>769.2</v>
      </c>
      <c r="CZ173" s="57">
        <v>70</v>
      </c>
      <c r="DA173" s="57" t="s">
        <v>62</v>
      </c>
      <c r="DB173" s="57" t="s">
        <v>88</v>
      </c>
      <c r="DC173" s="57" t="s">
        <v>782</v>
      </c>
      <c r="DD173" s="57">
        <f t="shared" si="236"/>
        <v>-19.183010618363522</v>
      </c>
      <c r="DE173" s="57">
        <v>0</v>
      </c>
      <c r="DF173" s="57">
        <v>0.7</v>
      </c>
      <c r="DG173" s="57">
        <f t="shared" si="237"/>
        <v>1.253357206803939E-2</v>
      </c>
      <c r="DH173" s="57">
        <f t="shared" si="205"/>
        <v>1.253357206803939E-2</v>
      </c>
      <c r="DI173" s="57">
        <f t="shared" si="238"/>
        <v>0.7</v>
      </c>
      <c r="DJ173" s="57">
        <f t="shared" si="206"/>
        <v>1.253357206803939E-2</v>
      </c>
      <c r="DK173" s="57">
        <f t="shared" si="207"/>
        <v>1.253357206803939E-2</v>
      </c>
      <c r="DL173" s="57">
        <f t="shared" si="208"/>
        <v>-15.113887153862169</v>
      </c>
      <c r="DN173" s="57">
        <f t="shared" si="209"/>
        <v>0.7</v>
      </c>
      <c r="DO173" s="57">
        <f t="shared" si="210"/>
        <v>1.253357206803939E-2</v>
      </c>
      <c r="DP173" s="57">
        <f t="shared" si="211"/>
        <v>1.253357206803939E-2</v>
      </c>
      <c r="DQ173" s="57">
        <v>1.6</v>
      </c>
      <c r="DR173" s="57">
        <f t="shared" si="212"/>
        <v>2.912798106681231E-2</v>
      </c>
      <c r="DS173" s="57">
        <f t="shared" si="213"/>
        <v>5.825596213362462E-2</v>
      </c>
      <c r="DT173" s="57">
        <f t="shared" si="239"/>
        <v>0.43029319606087724</v>
      </c>
      <c r="DU173" s="57">
        <f t="shared" si="240"/>
        <v>0.21514659803043862</v>
      </c>
      <c r="DV173" s="57">
        <f t="shared" si="241"/>
        <v>2.2999999999999998</v>
      </c>
      <c r="DW173" s="57">
        <f t="shared" si="242"/>
        <v>7.0789534201664006E-2</v>
      </c>
      <c r="DX173" s="57" t="s">
        <v>780</v>
      </c>
      <c r="DY173" s="57" t="s">
        <v>191</v>
      </c>
      <c r="DZ173" s="57">
        <f t="shared" si="167"/>
        <v>1</v>
      </c>
      <c r="EA173" s="57">
        <v>1.7000000000000001E-2</v>
      </c>
      <c r="EB173" s="57">
        <f t="shared" si="214"/>
        <v>2.741935483870968E-4</v>
      </c>
      <c r="EC173" s="57">
        <f t="shared" si="215"/>
        <v>1.370967741935484E-3</v>
      </c>
      <c r="ED173" s="57">
        <f t="shared" si="233"/>
        <v>-33</v>
      </c>
      <c r="EE173" s="59">
        <f t="shared" si="234"/>
        <v>-132</v>
      </c>
      <c r="EF173" s="57">
        <f t="shared" si="243"/>
        <v>-2.7482823235477825</v>
      </c>
      <c r="EG173" s="57">
        <f>$EK171-EK173</f>
        <v>-26</v>
      </c>
      <c r="EH173" s="59">
        <f>(EG173/$EK171)*100</f>
        <v>-81.25</v>
      </c>
      <c r="EI173" s="57">
        <f t="shared" si="231"/>
        <v>-2.1653133458255258</v>
      </c>
      <c r="EK173" s="57">
        <v>58</v>
      </c>
      <c r="EL173" s="57">
        <f t="shared" si="216"/>
        <v>0.60378929835519468</v>
      </c>
      <c r="EM173" s="57">
        <f t="shared" si="217"/>
        <v>4.8303143868415575</v>
      </c>
      <c r="EN173" s="57">
        <f t="shared" si="244"/>
        <v>4.8316853545834926</v>
      </c>
      <c r="EO173" s="59">
        <f t="shared" si="248"/>
        <v>-2.6774927893461182</v>
      </c>
      <c r="EP173" s="57">
        <f t="shared" si="245"/>
        <v>-2.1757654162665944E-2</v>
      </c>
      <c r="EQ173" s="57">
        <f t="shared" si="246"/>
        <v>-4.6810852742203901E-3</v>
      </c>
      <c r="ER173" s="57">
        <f t="shared" si="247"/>
        <v>1.0264387394368863</v>
      </c>
      <c r="ES173" s="59">
        <f t="shared" si="219"/>
        <v>7.0789534201664006E-2</v>
      </c>
      <c r="ET173" s="57">
        <f t="shared" si="220"/>
        <v>17.705402655050626</v>
      </c>
      <c r="EU173" s="57">
        <f t="shared" si="221"/>
        <v>82.294597344949381</v>
      </c>
      <c r="EV173" s="57">
        <f t="shared" si="222"/>
        <v>0</v>
      </c>
      <c r="EW173" s="57" t="s">
        <v>710</v>
      </c>
      <c r="EX173" s="57">
        <v>12</v>
      </c>
      <c r="EY173" s="57">
        <v>-224</v>
      </c>
      <c r="EZ173" s="57" t="s">
        <v>200</v>
      </c>
      <c r="FA173" s="57">
        <v>703</v>
      </c>
      <c r="FB173" s="57" t="s">
        <v>113</v>
      </c>
      <c r="FC173" s="57" t="s">
        <v>88</v>
      </c>
      <c r="FD173" s="59">
        <f t="shared" si="223"/>
        <v>2.949995435232466</v>
      </c>
      <c r="FE173" s="59">
        <f t="shared" si="224"/>
        <v>2.9793472557960006</v>
      </c>
      <c r="FF173" s="59">
        <f t="shared" si="225"/>
        <v>0.2017131116846837</v>
      </c>
      <c r="FG173" s="59">
        <f t="shared" si="226"/>
        <v>0.23106493224821834</v>
      </c>
    </row>
    <row r="174" spans="1:163" s="57" customFormat="1" ht="15.75" x14ac:dyDescent="0.25">
      <c r="A174" s="60" t="s">
        <v>431</v>
      </c>
      <c r="B174" s="60" t="s">
        <v>431</v>
      </c>
      <c r="C174" s="60" t="s">
        <v>963</v>
      </c>
      <c r="D174" s="60" t="s">
        <v>963</v>
      </c>
      <c r="E174" s="60" t="s">
        <v>1409</v>
      </c>
      <c r="F174" s="60" t="s">
        <v>1013</v>
      </c>
      <c r="G174" s="60" t="s">
        <v>773</v>
      </c>
      <c r="H174" s="60" t="str">
        <f t="shared" si="171"/>
        <v>CW_2_Section_1</v>
      </c>
      <c r="I174" s="60" t="str">
        <f t="shared" si="172"/>
        <v>CW_2_MF01</v>
      </c>
      <c r="J174" s="60" t="s">
        <v>1488</v>
      </c>
      <c r="K174" s="60" t="s">
        <v>1484</v>
      </c>
      <c r="L174" s="65" t="s">
        <v>1074</v>
      </c>
      <c r="M174" s="60" t="s">
        <v>1015</v>
      </c>
      <c r="N174" s="60" t="s">
        <v>1015</v>
      </c>
      <c r="O174" s="61" t="s">
        <v>1016</v>
      </c>
      <c r="P174" s="60" t="s">
        <v>1410</v>
      </c>
      <c r="Q174" s="60" t="s">
        <v>1018</v>
      </c>
      <c r="R174" s="60" t="s">
        <v>1389</v>
      </c>
      <c r="S174" s="60" t="str">
        <f t="shared" si="173"/>
        <v>T7_0.15-0.30</v>
      </c>
      <c r="T174" s="62" t="s">
        <v>1390</v>
      </c>
      <c r="U174" s="60" t="s">
        <v>1113</v>
      </c>
      <c r="V174" s="60">
        <v>150</v>
      </c>
      <c r="W174" s="60">
        <v>65</v>
      </c>
      <c r="X174" s="60">
        <v>6.7</v>
      </c>
      <c r="Y174" s="60">
        <v>173</v>
      </c>
      <c r="Z174" s="57" t="s">
        <v>711</v>
      </c>
      <c r="AA174" s="57" t="s">
        <v>204</v>
      </c>
      <c r="AB174" s="63">
        <v>45958</v>
      </c>
      <c r="AC174" s="57">
        <v>5.4</v>
      </c>
      <c r="AD174" s="57">
        <v>5.7</v>
      </c>
      <c r="AE174" s="57">
        <v>110</v>
      </c>
      <c r="AF174" s="57">
        <f t="shared" si="187"/>
        <v>4.2248111637434388E-2</v>
      </c>
      <c r="AG174" s="57">
        <v>3</v>
      </c>
      <c r="AH174" s="57">
        <f t="shared" si="188"/>
        <v>1.172129368352507E-3</v>
      </c>
      <c r="AI174" s="57">
        <v>3.3</v>
      </c>
      <c r="AJ174" s="57">
        <f t="shared" si="189"/>
        <v>1.3054535179429217E-3</v>
      </c>
      <c r="AK174" s="57">
        <v>16</v>
      </c>
      <c r="AL174" s="57">
        <f t="shared" si="190"/>
        <v>6.3294716021474991E-3</v>
      </c>
      <c r="AM174" s="57">
        <v>5.5</v>
      </c>
      <c r="AN174" s="57">
        <f t="shared" si="191"/>
        <v>2.1757558632382028E-3</v>
      </c>
      <c r="AO174" s="57">
        <v>21.5</v>
      </c>
      <c r="AQ174" s="59">
        <v>137.80000000000001</v>
      </c>
      <c r="AR174" s="59">
        <f t="shared" si="192"/>
        <v>4.472569452372982E-2</v>
      </c>
      <c r="AS174" s="57">
        <v>8.3000000000000007</v>
      </c>
      <c r="AT174" s="57">
        <f t="shared" si="193"/>
        <v>3.1083716938441136E-3</v>
      </c>
      <c r="AU174" s="57" t="s">
        <v>780</v>
      </c>
      <c r="AV174" s="57" t="s">
        <v>780</v>
      </c>
      <c r="AW174" s="57" t="s">
        <v>780</v>
      </c>
      <c r="AX174" s="57" t="s">
        <v>780</v>
      </c>
      <c r="AY174" s="57" t="s">
        <v>780</v>
      </c>
      <c r="AZ174" s="57" t="s">
        <v>780</v>
      </c>
      <c r="BA174" s="57" t="s">
        <v>780</v>
      </c>
      <c r="BB174" s="57" t="s">
        <v>780</v>
      </c>
      <c r="BC174" s="57" t="s">
        <v>780</v>
      </c>
      <c r="BD174" s="57" t="s">
        <v>780</v>
      </c>
      <c r="BE174" s="57" t="s">
        <v>780</v>
      </c>
      <c r="BF174" s="57" t="s">
        <v>780</v>
      </c>
      <c r="BG174" s="57" t="s">
        <v>780</v>
      </c>
      <c r="BH174" s="57" t="s">
        <v>780</v>
      </c>
      <c r="BI174" s="57" t="s">
        <v>780</v>
      </c>
      <c r="BJ174" s="57" t="s">
        <v>780</v>
      </c>
      <c r="BK174" s="57" t="s">
        <v>780</v>
      </c>
      <c r="BL174" s="57" t="s">
        <v>780</v>
      </c>
      <c r="BM174" s="57" t="s">
        <v>780</v>
      </c>
      <c r="BN174" s="57" t="s">
        <v>780</v>
      </c>
      <c r="BO174" s="57">
        <v>7.4</v>
      </c>
      <c r="BP174" s="57">
        <v>2.2999999999999998</v>
      </c>
      <c r="BQ174" s="57">
        <v>6.1</v>
      </c>
      <c r="BR174" s="57">
        <v>6.2</v>
      </c>
      <c r="BS174" s="57">
        <v>0.67</v>
      </c>
      <c r="BT174" s="57">
        <v>0.04</v>
      </c>
      <c r="BU174" s="57">
        <v>1E-3</v>
      </c>
      <c r="BV174" s="57">
        <v>2E-3</v>
      </c>
      <c r="BW174" s="57">
        <f t="shared" si="194"/>
        <v>2.7713193414995708E-3</v>
      </c>
      <c r="BX174" s="57">
        <f t="shared" si="195"/>
        <v>8.4631053288652339E-4</v>
      </c>
      <c r="BY174" s="57">
        <f t="shared" si="196"/>
        <v>2.294274041890928E-3</v>
      </c>
      <c r="BZ174" s="57">
        <f t="shared" si="197"/>
        <v>2.3125977620021658E-3</v>
      </c>
      <c r="CA174" s="57">
        <f t="shared" si="198"/>
        <v>2.4810637939740786E-4</v>
      </c>
      <c r="CB174" s="57">
        <f t="shared" si="199"/>
        <v>1.4812321158054199E-5</v>
      </c>
      <c r="CC174" s="57">
        <f t="shared" si="200"/>
        <v>3.6588380716934485E-7</v>
      </c>
      <c r="CD174" s="57">
        <f t="shared" si="201"/>
        <v>7.3176761433868969E-7</v>
      </c>
      <c r="CE174" s="57">
        <v>1E-3</v>
      </c>
      <c r="CF174" s="57">
        <v>1E-3</v>
      </c>
      <c r="CG174" s="57">
        <v>2E-3</v>
      </c>
      <c r="CH174" s="57">
        <v>1E-3</v>
      </c>
      <c r="CI174" s="57">
        <v>1E-3</v>
      </c>
      <c r="CK174" s="57">
        <v>2E-3</v>
      </c>
      <c r="CL174" s="57">
        <v>1E-3</v>
      </c>
      <c r="CM174" s="57">
        <v>1E-3</v>
      </c>
      <c r="CN174" s="57">
        <f t="shared" si="227"/>
        <v>22.713000000000001</v>
      </c>
      <c r="CO174" s="57">
        <f t="shared" si="202"/>
        <v>15.312999999999997</v>
      </c>
      <c r="CP174" s="57">
        <f t="shared" si="203"/>
        <v>8.4885180302561574E-3</v>
      </c>
      <c r="CQ174" s="57">
        <f t="shared" si="204"/>
        <v>5.7171986887565879E-3</v>
      </c>
      <c r="CR174" s="57">
        <v>23</v>
      </c>
      <c r="CS174" s="57">
        <v>25</v>
      </c>
      <c r="CT174" s="57">
        <v>85</v>
      </c>
      <c r="CU174" s="57" t="s">
        <v>69</v>
      </c>
      <c r="CV174" s="57" t="s">
        <v>69</v>
      </c>
      <c r="CW174" s="57">
        <v>110</v>
      </c>
      <c r="CX174" s="64">
        <f t="shared" si="235"/>
        <v>160.80000000000001</v>
      </c>
      <c r="CZ174" s="57">
        <v>55</v>
      </c>
      <c r="DA174" s="57" t="s">
        <v>62</v>
      </c>
      <c r="DB174" s="57" t="s">
        <v>88</v>
      </c>
      <c r="DC174" s="57" t="s">
        <v>782</v>
      </c>
      <c r="DD174" s="57">
        <f t="shared" si="236"/>
        <v>-2.9065167603581092</v>
      </c>
      <c r="DE174" s="57">
        <v>0</v>
      </c>
      <c r="DF174" s="57">
        <v>0.7</v>
      </c>
      <c r="DG174" s="57">
        <f t="shared" si="237"/>
        <v>1.253357206803939E-2</v>
      </c>
      <c r="DH174" s="57">
        <f t="shared" si="205"/>
        <v>1.253357206803939E-2</v>
      </c>
      <c r="DI174" s="57">
        <f t="shared" si="238"/>
        <v>0.7</v>
      </c>
      <c r="DJ174" s="57">
        <f t="shared" si="206"/>
        <v>1.253357206803939E-2</v>
      </c>
      <c r="DK174" s="57">
        <f t="shared" si="207"/>
        <v>1.253357206803939E-2</v>
      </c>
      <c r="DL174" s="57">
        <f t="shared" si="208"/>
        <v>-2.9065167603581092</v>
      </c>
      <c r="DN174" s="57">
        <f t="shared" si="209"/>
        <v>0.7</v>
      </c>
      <c r="DO174" s="57">
        <f t="shared" si="210"/>
        <v>1.253357206803939E-2</v>
      </c>
      <c r="DP174" s="57">
        <f t="shared" si="211"/>
        <v>1.253357206803939E-2</v>
      </c>
      <c r="DQ174" s="57">
        <v>0.05</v>
      </c>
      <c r="DR174" s="57">
        <f t="shared" si="212"/>
        <v>9.1024940833788468E-4</v>
      </c>
      <c r="DS174" s="57">
        <f t="shared" si="213"/>
        <v>1.8204988166757694E-3</v>
      </c>
      <c r="DT174" s="57">
        <f t="shared" si="239"/>
        <v>13.769382273948072</v>
      </c>
      <c r="DU174" s="57">
        <f t="shared" si="240"/>
        <v>6.8846911369740358</v>
      </c>
      <c r="DV174" s="57">
        <f t="shared" si="241"/>
        <v>0.75</v>
      </c>
      <c r="DW174" s="57">
        <f t="shared" si="242"/>
        <v>1.4354070884715159E-2</v>
      </c>
      <c r="DX174" s="57" t="s">
        <v>780</v>
      </c>
      <c r="DY174" s="57" t="s">
        <v>615</v>
      </c>
      <c r="DZ174" s="57">
        <f t="shared" si="167"/>
        <v>1</v>
      </c>
      <c r="EA174" s="57">
        <v>1.7000000000000001E-2</v>
      </c>
      <c r="EB174" s="57">
        <f t="shared" si="214"/>
        <v>2.741935483870968E-4</v>
      </c>
      <c r="EC174" s="57">
        <f t="shared" si="215"/>
        <v>1.370967741935484E-3</v>
      </c>
      <c r="ED174" s="57">
        <f t="shared" si="233"/>
        <v>-5</v>
      </c>
      <c r="EE174" s="59">
        <f t="shared" si="234"/>
        <v>-20</v>
      </c>
      <c r="EF174" s="57">
        <f t="shared" si="243"/>
        <v>-0.41640641265875494</v>
      </c>
      <c r="EG174" s="57">
        <f>$EK164-EK174</f>
        <v>-5</v>
      </c>
      <c r="EH174" s="59">
        <f>(EG174/$EK$164)*100</f>
        <v>-20</v>
      </c>
      <c r="EI174" s="57">
        <f t="shared" si="231"/>
        <v>-0.41640641265875494</v>
      </c>
      <c r="EK174" s="57">
        <v>30</v>
      </c>
      <c r="EL174" s="57">
        <f t="shared" si="216"/>
        <v>0.31230480949406619</v>
      </c>
      <c r="EM174" s="57">
        <f t="shared" si="217"/>
        <v>2.4984384759525295</v>
      </c>
      <c r="EN174" s="57">
        <f t="shared" si="244"/>
        <v>2.4998094436944651</v>
      </c>
      <c r="EO174" s="59">
        <f t="shared" si="248"/>
        <v>-0.40205234177403981</v>
      </c>
      <c r="EP174" s="57">
        <f t="shared" si="245"/>
        <v>-4.5280144586222065E-3</v>
      </c>
      <c r="EQ174" s="57">
        <f t="shared" si="246"/>
        <v>-3.1173981011366595E-2</v>
      </c>
      <c r="ER174" s="57">
        <f t="shared" si="247"/>
        <v>1.0357019954699886</v>
      </c>
      <c r="ES174" s="59">
        <f t="shared" si="219"/>
        <v>1.4354070884715159E-2</v>
      </c>
      <c r="ET174" s="57">
        <f t="shared" si="220"/>
        <v>87.317195022254523</v>
      </c>
      <c r="EU174" s="57">
        <f t="shared" si="221"/>
        <v>12.682804977745485</v>
      </c>
      <c r="EV174" s="57">
        <f t="shared" si="222"/>
        <v>0</v>
      </c>
      <c r="EW174" s="57" t="s">
        <v>712</v>
      </c>
      <c r="EX174" s="57">
        <v>12</v>
      </c>
      <c r="EY174" s="57">
        <v>-218</v>
      </c>
      <c r="EZ174" s="57" t="s">
        <v>200</v>
      </c>
      <c r="FA174" s="57">
        <v>468</v>
      </c>
      <c r="FB174" s="57" t="s">
        <v>72</v>
      </c>
      <c r="FC174" s="57" t="s">
        <v>88</v>
      </c>
      <c r="FD174" s="59">
        <f t="shared" si="223"/>
        <v>0.44988640799161372</v>
      </c>
      <c r="FE174" s="59">
        <f t="shared" si="224"/>
        <v>0.45560360668037031</v>
      </c>
      <c r="FF174" s="59">
        <f t="shared" si="225"/>
        <v>3.3479995332858774E-2</v>
      </c>
      <c r="FG174" s="59">
        <f t="shared" si="226"/>
        <v>3.919719402161536E-2</v>
      </c>
    </row>
    <row r="175" spans="1:163" s="57" customFormat="1" ht="15.75" x14ac:dyDescent="0.25">
      <c r="A175" s="60" t="s">
        <v>432</v>
      </c>
      <c r="B175" s="60" t="s">
        <v>432</v>
      </c>
      <c r="C175" s="60" t="s">
        <v>964</v>
      </c>
      <c r="D175" s="60" t="s">
        <v>964</v>
      </c>
      <c r="E175" s="60" t="s">
        <v>1411</v>
      </c>
      <c r="F175" s="60" t="s">
        <v>1013</v>
      </c>
      <c r="G175" s="60" t="s">
        <v>773</v>
      </c>
      <c r="H175" s="60" t="str">
        <f t="shared" si="171"/>
        <v>CW_2_Section_1</v>
      </c>
      <c r="I175" s="60" t="str">
        <f t="shared" si="172"/>
        <v>CW_2_MF02</v>
      </c>
      <c r="J175" s="60" t="s">
        <v>1489</v>
      </c>
      <c r="K175" s="60" t="s">
        <v>1484</v>
      </c>
      <c r="L175" s="65" t="s">
        <v>1077</v>
      </c>
      <c r="M175" s="60" t="s">
        <v>1024</v>
      </c>
      <c r="N175" s="60" t="s">
        <v>1024</v>
      </c>
      <c r="O175" s="61" t="s">
        <v>1016</v>
      </c>
      <c r="P175" s="60" t="s">
        <v>1412</v>
      </c>
      <c r="Q175" s="60" t="s">
        <v>1018</v>
      </c>
      <c r="R175" s="60" t="s">
        <v>1389</v>
      </c>
      <c r="S175" s="60" t="str">
        <f t="shared" si="173"/>
        <v>T7_0.60-0.80</v>
      </c>
      <c r="T175" s="62" t="s">
        <v>1390</v>
      </c>
      <c r="U175" s="60" t="s">
        <v>1113</v>
      </c>
      <c r="V175" s="60">
        <v>150</v>
      </c>
      <c r="W175" s="60">
        <v>65</v>
      </c>
      <c r="X175" s="60">
        <v>6.75</v>
      </c>
      <c r="Y175" s="60">
        <v>174</v>
      </c>
      <c r="Z175" s="57" t="s">
        <v>713</v>
      </c>
      <c r="AA175" s="57" t="s">
        <v>211</v>
      </c>
      <c r="AB175" s="63">
        <v>45958</v>
      </c>
      <c r="AC175" s="57">
        <v>8.1</v>
      </c>
      <c r="AD175" s="57">
        <v>7.7</v>
      </c>
      <c r="AE175" s="57">
        <v>350</v>
      </c>
      <c r="AF175" s="57">
        <f t="shared" si="187"/>
        <v>0.13442580975547305</v>
      </c>
      <c r="AG175" s="57">
        <v>42</v>
      </c>
      <c r="AH175" s="57">
        <f t="shared" si="188"/>
        <v>1.64098111569351E-2</v>
      </c>
      <c r="AI175" s="57">
        <v>200</v>
      </c>
      <c r="AJ175" s="57">
        <f t="shared" si="189"/>
        <v>7.9118395026843744E-2</v>
      </c>
      <c r="AK175" s="57">
        <v>96</v>
      </c>
      <c r="AL175" s="57">
        <f t="shared" si="190"/>
        <v>3.7976829612884996E-2</v>
      </c>
      <c r="AM175" s="57">
        <v>130</v>
      </c>
      <c r="AN175" s="57">
        <f t="shared" si="191"/>
        <v>5.1426956767448434E-2</v>
      </c>
      <c r="AO175" s="57">
        <v>226</v>
      </c>
      <c r="AQ175" s="59">
        <v>818</v>
      </c>
      <c r="AR175" s="59">
        <f t="shared" si="192"/>
        <v>0.22995401593925191</v>
      </c>
      <c r="AS175" s="57">
        <v>800</v>
      </c>
      <c r="AT175" s="57">
        <f t="shared" si="193"/>
        <v>0.29960209097292656</v>
      </c>
      <c r="AU175" s="57" t="s">
        <v>780</v>
      </c>
      <c r="AV175" s="57" t="s">
        <v>780</v>
      </c>
      <c r="AW175" s="57" t="s">
        <v>780</v>
      </c>
      <c r="AX175" s="57" t="s">
        <v>780</v>
      </c>
      <c r="AY175" s="57" t="s">
        <v>780</v>
      </c>
      <c r="AZ175" s="57" t="s">
        <v>780</v>
      </c>
      <c r="BA175" s="57" t="s">
        <v>780</v>
      </c>
      <c r="BB175" s="57" t="s">
        <v>780</v>
      </c>
      <c r="BC175" s="57" t="s">
        <v>780</v>
      </c>
      <c r="BD175" s="57" t="s">
        <v>780</v>
      </c>
      <c r="BE175" s="57" t="s">
        <v>780</v>
      </c>
      <c r="BF175" s="57" t="s">
        <v>780</v>
      </c>
      <c r="BG175" s="57" t="s">
        <v>780</v>
      </c>
      <c r="BH175" s="57" t="s">
        <v>780</v>
      </c>
      <c r="BI175" s="57" t="s">
        <v>780</v>
      </c>
      <c r="BJ175" s="57" t="s">
        <v>780</v>
      </c>
      <c r="BK175" s="57" t="s">
        <v>780</v>
      </c>
      <c r="BL175" s="57" t="s">
        <v>780</v>
      </c>
      <c r="BM175" s="57" t="s">
        <v>780</v>
      </c>
      <c r="BN175" s="57" t="s">
        <v>780</v>
      </c>
      <c r="BO175" s="57">
        <v>660</v>
      </c>
      <c r="BP175" s="57">
        <v>2</v>
      </c>
      <c r="BQ175" s="57">
        <v>2</v>
      </c>
      <c r="BR175" s="57">
        <v>1</v>
      </c>
      <c r="BS175" s="57">
        <v>1.5</v>
      </c>
      <c r="BT175" s="57">
        <v>0.26</v>
      </c>
      <c r="BU175" s="57">
        <v>0.02</v>
      </c>
      <c r="BV175" s="57">
        <v>0.02</v>
      </c>
      <c r="BW175" s="57">
        <f t="shared" si="194"/>
        <v>0.24717172505266444</v>
      </c>
      <c r="BX175" s="57">
        <f t="shared" si="195"/>
        <v>7.3592220251002033E-4</v>
      </c>
      <c r="BY175" s="57">
        <f t="shared" si="196"/>
        <v>7.5222099734128785E-4</v>
      </c>
      <c r="BZ175" s="57">
        <f t="shared" si="197"/>
        <v>3.7299963903260737E-4</v>
      </c>
      <c r="CA175" s="57">
        <f t="shared" si="198"/>
        <v>5.5546204342703253E-4</v>
      </c>
      <c r="CB175" s="57">
        <f t="shared" si="199"/>
        <v>9.6280087527352302E-5</v>
      </c>
      <c r="CC175" s="57">
        <f t="shared" si="200"/>
        <v>7.3176761433868973E-6</v>
      </c>
      <c r="CD175" s="57">
        <f t="shared" si="201"/>
        <v>7.3176761433868973E-6</v>
      </c>
      <c r="CE175" s="57">
        <v>1E-3</v>
      </c>
      <c r="CF175" s="57">
        <v>1E-3</v>
      </c>
      <c r="CG175" s="57">
        <v>2E-3</v>
      </c>
      <c r="CH175" s="57">
        <v>1E-3</v>
      </c>
      <c r="CI175" s="57">
        <v>1E-3</v>
      </c>
      <c r="CK175" s="57">
        <v>2E-3</v>
      </c>
      <c r="CL175" s="57">
        <v>1E-3</v>
      </c>
      <c r="CM175" s="57">
        <v>1E-3</v>
      </c>
      <c r="CN175" s="57">
        <f t="shared" si="227"/>
        <v>666.8</v>
      </c>
      <c r="CO175" s="57">
        <f t="shared" si="202"/>
        <v>6.7999999999999989</v>
      </c>
      <c r="CP175" s="57">
        <f t="shared" si="203"/>
        <v>0.24969924537478955</v>
      </c>
      <c r="CQ175" s="57">
        <f t="shared" si="204"/>
        <v>2.5275203221250746E-3</v>
      </c>
      <c r="CR175" s="57">
        <v>660</v>
      </c>
      <c r="CS175" s="57">
        <v>1700</v>
      </c>
      <c r="CT175" s="57">
        <v>200</v>
      </c>
      <c r="CU175" s="57" t="s">
        <v>69</v>
      </c>
      <c r="CV175" s="57" t="s">
        <v>69</v>
      </c>
      <c r="CW175" s="57">
        <v>1900</v>
      </c>
      <c r="CX175" s="64">
        <f t="shared" si="235"/>
        <v>1478</v>
      </c>
      <c r="CZ175" s="57">
        <v>67</v>
      </c>
      <c r="DA175" s="57" t="s">
        <v>62</v>
      </c>
      <c r="DB175" s="57" t="s">
        <v>88</v>
      </c>
      <c r="DC175" s="57" t="s">
        <v>782</v>
      </c>
      <c r="DD175" s="57">
        <f t="shared" si="236"/>
        <v>1.1626067041432437</v>
      </c>
      <c r="DE175" s="57">
        <f t="shared" ref="DE175:DE181" si="249">$ED175*(55.84/96.06)</f>
        <v>1.1626067041432437</v>
      </c>
      <c r="DF175" s="57">
        <v>2</v>
      </c>
      <c r="DG175" s="57">
        <f t="shared" si="237"/>
        <v>3.5810205908683973E-2</v>
      </c>
      <c r="DH175" s="57">
        <f t="shared" si="205"/>
        <v>3.5810205908683973E-2</v>
      </c>
      <c r="DI175" s="57">
        <f t="shared" si="238"/>
        <v>3.1626067041432435</v>
      </c>
      <c r="DJ175" s="57">
        <f t="shared" si="206"/>
        <v>5.6626798641776964E-2</v>
      </c>
      <c r="DK175" s="57">
        <f t="shared" si="207"/>
        <v>5.6626798641776964E-2</v>
      </c>
      <c r="DL175" s="57">
        <f t="shared" si="208"/>
        <v>1.1626067041432437</v>
      </c>
      <c r="DM175" s="57">
        <f t="shared" si="208"/>
        <v>1.1626067041432437</v>
      </c>
      <c r="DN175" s="57">
        <f t="shared" si="209"/>
        <v>3.1626067041432435</v>
      </c>
      <c r="DO175" s="57">
        <f t="shared" si="210"/>
        <v>5.6626798641776964E-2</v>
      </c>
      <c r="DP175" s="57">
        <f t="shared" si="211"/>
        <v>5.6626798641776964E-2</v>
      </c>
      <c r="DQ175" s="57">
        <v>1.4</v>
      </c>
      <c r="DR175" s="57">
        <f t="shared" si="212"/>
        <v>2.5486983433460765E-2</v>
      </c>
      <c r="DS175" s="57">
        <f t="shared" si="213"/>
        <v>5.097396686692153E-2</v>
      </c>
      <c r="DT175" s="57">
        <f t="shared" si="239"/>
        <v>2.2217928924234349</v>
      </c>
      <c r="DU175" s="57">
        <f t="shared" si="240"/>
        <v>1.1108964462117175</v>
      </c>
      <c r="DV175" s="57">
        <f t="shared" si="241"/>
        <v>4.5626067041432439</v>
      </c>
      <c r="DW175" s="57">
        <f t="shared" si="242"/>
        <v>0.10760076550869849</v>
      </c>
      <c r="DX175" s="57" t="s">
        <v>780</v>
      </c>
      <c r="DY175" s="57" t="s">
        <v>470</v>
      </c>
      <c r="DZ175" s="57">
        <f t="shared" si="167"/>
        <v>1</v>
      </c>
      <c r="EA175" s="57">
        <v>1.7000000000000001E-2</v>
      </c>
      <c r="EB175" s="57">
        <f t="shared" si="214"/>
        <v>2.741935483870968E-4</v>
      </c>
      <c r="EC175" s="57">
        <f t="shared" si="215"/>
        <v>1.370967741935484E-3</v>
      </c>
      <c r="ED175" s="57">
        <f t="shared" si="233"/>
        <v>2</v>
      </c>
      <c r="EE175" s="59">
        <f t="shared" si="234"/>
        <v>8</v>
      </c>
      <c r="EF175" s="57">
        <f t="shared" si="243"/>
        <v>0.16656256506350198</v>
      </c>
      <c r="EG175" s="57">
        <f>$EK164-EK175</f>
        <v>2</v>
      </c>
      <c r="EH175" s="59">
        <f>(EG175/$EK$164)*100</f>
        <v>8</v>
      </c>
      <c r="EI175" s="57">
        <f t="shared" si="231"/>
        <v>0.16656256506350198</v>
      </c>
      <c r="EJ175" s="57">
        <f t="shared" ref="EJ175:EJ181" si="250">($EG175/96.06)*8</f>
        <v>0.16656256506350198</v>
      </c>
      <c r="EK175" s="57">
        <v>23</v>
      </c>
      <c r="EL175" s="57">
        <f t="shared" si="216"/>
        <v>0.23943368727878409</v>
      </c>
      <c r="EM175" s="57">
        <f t="shared" si="217"/>
        <v>1.9154694982302727</v>
      </c>
      <c r="EN175" s="57">
        <f t="shared" si="244"/>
        <v>1.9168404659722083</v>
      </c>
      <c r="EO175" s="59">
        <f t="shared" si="248"/>
        <v>0.27416333057220044</v>
      </c>
      <c r="EP175" s="57">
        <f t="shared" si="245"/>
        <v>0.18592554577059905</v>
      </c>
      <c r="EQ175" s="57">
        <f t="shared" si="246"/>
        <v>0.20654402805653252</v>
      </c>
      <c r="ER175" s="57">
        <f t="shared" si="247"/>
        <v>0.60753042617286857</v>
      </c>
      <c r="ES175" s="59">
        <f t="shared" si="219"/>
        <v>0.27416333057220044</v>
      </c>
      <c r="ET175" s="57">
        <f t="shared" si="220"/>
        <v>20.654402805653252</v>
      </c>
      <c r="EU175" s="57">
        <f t="shared" si="221"/>
        <v>18.592554577059907</v>
      </c>
      <c r="EV175" s="57">
        <f t="shared" si="222"/>
        <v>60.753042617286859</v>
      </c>
      <c r="EW175" s="57" t="s">
        <v>714</v>
      </c>
      <c r="EX175" s="57">
        <v>13</v>
      </c>
      <c r="EY175" s="57">
        <v>-129</v>
      </c>
      <c r="EZ175" s="57" t="s">
        <v>160</v>
      </c>
      <c r="FA175" s="57">
        <v>663</v>
      </c>
      <c r="FB175" s="57" t="s">
        <v>113</v>
      </c>
      <c r="FC175" s="57" t="s">
        <v>88</v>
      </c>
      <c r="FD175" s="59">
        <f t="shared" si="223"/>
        <v>0.25539277633997803</v>
      </c>
      <c r="FE175" s="59">
        <f t="shared" si="224"/>
        <v>0.25792029666210314</v>
      </c>
      <c r="FF175" s="59">
        <f t="shared" si="225"/>
        <v>0.25539277633997803</v>
      </c>
      <c r="FG175" s="59">
        <f t="shared" si="226"/>
        <v>0.25792029666210314</v>
      </c>
    </row>
    <row r="176" spans="1:163" s="57" customFormat="1" ht="15.75" x14ac:dyDescent="0.25">
      <c r="A176" s="60" t="s">
        <v>433</v>
      </c>
      <c r="B176" s="60" t="s">
        <v>433</v>
      </c>
      <c r="C176" s="60" t="s">
        <v>965</v>
      </c>
      <c r="D176" s="60" t="s">
        <v>965</v>
      </c>
      <c r="E176" s="60" t="s">
        <v>1413</v>
      </c>
      <c r="F176" s="60" t="s">
        <v>1027</v>
      </c>
      <c r="G176" s="60" t="s">
        <v>773</v>
      </c>
      <c r="H176" s="60" t="str">
        <f t="shared" si="171"/>
        <v>CW_2_Section_2</v>
      </c>
      <c r="I176" s="60" t="str">
        <f t="shared" si="172"/>
        <v>CW_2_MF05</v>
      </c>
      <c r="J176" s="60" t="s">
        <v>1496</v>
      </c>
      <c r="K176" s="60" t="s">
        <v>1484</v>
      </c>
      <c r="L176" s="65" t="s">
        <v>1080</v>
      </c>
      <c r="M176" s="60" t="s">
        <v>1015</v>
      </c>
      <c r="N176" s="60" t="s">
        <v>1015</v>
      </c>
      <c r="O176" s="61" t="s">
        <v>1016</v>
      </c>
      <c r="P176" s="60" t="s">
        <v>1414</v>
      </c>
      <c r="Q176" s="60" t="s">
        <v>1018</v>
      </c>
      <c r="R176" s="60" t="s">
        <v>1389</v>
      </c>
      <c r="S176" s="60" t="str">
        <f t="shared" si="173"/>
        <v>T7_0.15-0.30</v>
      </c>
      <c r="T176" s="62" t="s">
        <v>1390</v>
      </c>
      <c r="U176" s="60" t="s">
        <v>1113</v>
      </c>
      <c r="V176" s="60">
        <v>150</v>
      </c>
      <c r="W176" s="60">
        <v>65</v>
      </c>
      <c r="X176" s="60">
        <v>42.2</v>
      </c>
      <c r="Y176" s="60">
        <v>175</v>
      </c>
      <c r="Z176" s="57" t="s">
        <v>715</v>
      </c>
      <c r="AA176" s="57" t="s">
        <v>176</v>
      </c>
      <c r="AB176" s="63">
        <v>45958</v>
      </c>
      <c r="AC176" s="57">
        <v>10</v>
      </c>
      <c r="AD176" s="57">
        <v>11</v>
      </c>
      <c r="AE176" s="57">
        <v>2.8</v>
      </c>
      <c r="AF176" s="57">
        <f t="shared" si="187"/>
        <v>1.0754064780437844E-3</v>
      </c>
      <c r="AG176" s="57">
        <v>0.59</v>
      </c>
      <c r="AH176" s="57">
        <f t="shared" si="188"/>
        <v>2.3051877577599306E-4</v>
      </c>
      <c r="AI176" s="57">
        <v>4.7</v>
      </c>
      <c r="AJ176" s="57">
        <f t="shared" si="189"/>
        <v>1.8592822831308281E-3</v>
      </c>
      <c r="AK176" s="57">
        <v>1.2</v>
      </c>
      <c r="AL176" s="57">
        <f t="shared" si="190"/>
        <v>4.7471037016106243E-4</v>
      </c>
      <c r="AM176" s="57">
        <v>0.57999999999999996</v>
      </c>
      <c r="AN176" s="57">
        <f t="shared" si="191"/>
        <v>2.2944334557784682E-4</v>
      </c>
      <c r="AO176" s="57">
        <v>1.78</v>
      </c>
      <c r="AQ176" s="59">
        <v>9.8699999999999992</v>
      </c>
      <c r="AR176" s="59">
        <f t="shared" si="192"/>
        <v>3.1652075369506052E-3</v>
      </c>
      <c r="AS176" s="57">
        <v>20</v>
      </c>
      <c r="AT176" s="57">
        <f t="shared" si="193"/>
        <v>7.4900522743231637E-3</v>
      </c>
      <c r="AU176" s="57" t="s">
        <v>780</v>
      </c>
      <c r="AV176" s="57" t="s">
        <v>780</v>
      </c>
      <c r="AW176" s="57" t="s">
        <v>780</v>
      </c>
      <c r="AX176" s="57" t="s">
        <v>780</v>
      </c>
      <c r="AY176" s="57" t="s">
        <v>780</v>
      </c>
      <c r="AZ176" s="57" t="s">
        <v>780</v>
      </c>
      <c r="BA176" s="57" t="s">
        <v>780</v>
      </c>
      <c r="BB176" s="57" t="s">
        <v>780</v>
      </c>
      <c r="BC176" s="57" t="s">
        <v>780</v>
      </c>
      <c r="BD176" s="57" t="s">
        <v>780</v>
      </c>
      <c r="BE176" s="57" t="s">
        <v>780</v>
      </c>
      <c r="BF176" s="57" t="s">
        <v>780</v>
      </c>
      <c r="BG176" s="57" t="s">
        <v>780</v>
      </c>
      <c r="BH176" s="57" t="s">
        <v>780</v>
      </c>
      <c r="BI176" s="57" t="s">
        <v>780</v>
      </c>
      <c r="BJ176" s="57" t="s">
        <v>780</v>
      </c>
      <c r="BK176" s="57" t="s">
        <v>780</v>
      </c>
      <c r="BL176" s="57" t="s">
        <v>780</v>
      </c>
      <c r="BM176" s="57" t="s">
        <v>780</v>
      </c>
      <c r="BN176" s="57" t="s">
        <v>780</v>
      </c>
      <c r="BO176" s="57">
        <v>19</v>
      </c>
      <c r="BP176" s="57">
        <v>0.01</v>
      </c>
      <c r="BQ176" s="57">
        <v>0.14000000000000001</v>
      </c>
      <c r="BR176" s="57">
        <v>5.0000000000000001E-3</v>
      </c>
      <c r="BS176" s="57">
        <v>1E-3</v>
      </c>
      <c r="BT176" s="57">
        <v>1E-3</v>
      </c>
      <c r="BU176" s="57">
        <v>1E-3</v>
      </c>
      <c r="BV176" s="57">
        <v>2E-3</v>
      </c>
      <c r="BW176" s="57">
        <f t="shared" si="194"/>
        <v>7.1155496606070054E-3</v>
      </c>
      <c r="BX176" s="57">
        <f t="shared" si="195"/>
        <v>3.6796110125501018E-6</v>
      </c>
      <c r="BY176" s="57">
        <f t="shared" si="196"/>
        <v>5.2655469813890153E-5</v>
      </c>
      <c r="BZ176" s="57">
        <f t="shared" si="197"/>
        <v>1.8649981951630372E-6</v>
      </c>
      <c r="CA176" s="57">
        <f t="shared" si="198"/>
        <v>3.7030802895135499E-7</v>
      </c>
      <c r="CB176" s="57">
        <f t="shared" si="199"/>
        <v>3.7030802895135499E-7</v>
      </c>
      <c r="CC176" s="57">
        <f t="shared" si="200"/>
        <v>3.6588380716934485E-7</v>
      </c>
      <c r="CD176" s="57">
        <f t="shared" si="201"/>
        <v>7.3176761433868969E-7</v>
      </c>
      <c r="CE176" s="57">
        <v>1E-3</v>
      </c>
      <c r="CF176" s="57">
        <v>1E-3</v>
      </c>
      <c r="CG176" s="57">
        <v>2E-3</v>
      </c>
      <c r="CH176" s="57">
        <v>1E-3</v>
      </c>
      <c r="CI176" s="57">
        <v>1E-3</v>
      </c>
      <c r="CK176" s="57">
        <v>2E-3</v>
      </c>
      <c r="CL176" s="57">
        <v>1E-3</v>
      </c>
      <c r="CM176" s="57">
        <v>1E-3</v>
      </c>
      <c r="CN176" s="57">
        <f t="shared" si="227"/>
        <v>19.160000000000004</v>
      </c>
      <c r="CO176" s="57">
        <f t="shared" si="202"/>
        <v>0.16000000000000003</v>
      </c>
      <c r="CP176" s="57">
        <f t="shared" si="203"/>
        <v>7.17558800710802E-3</v>
      </c>
      <c r="CQ176" s="57">
        <f t="shared" si="204"/>
        <v>6.0038346501014035E-5</v>
      </c>
      <c r="CR176" s="57">
        <v>19</v>
      </c>
      <c r="CS176" s="57">
        <v>30</v>
      </c>
      <c r="CT176" s="57" t="s">
        <v>69</v>
      </c>
      <c r="CU176" s="57" t="s">
        <v>69</v>
      </c>
      <c r="CV176" s="57" t="s">
        <v>69</v>
      </c>
      <c r="CW176" s="57">
        <v>50</v>
      </c>
      <c r="CX176" s="64">
        <f t="shared" si="235"/>
        <v>28.869999999999997</v>
      </c>
      <c r="CZ176" s="57">
        <v>42</v>
      </c>
      <c r="DA176" s="57" t="s">
        <v>62</v>
      </c>
      <c r="DB176" s="57" t="s">
        <v>88</v>
      </c>
      <c r="DC176" s="57" t="s">
        <v>782</v>
      </c>
      <c r="DD176" s="57">
        <f t="shared" si="236"/>
        <v>10.463460337289193</v>
      </c>
      <c r="DE176" s="57">
        <f t="shared" si="249"/>
        <v>10.463460337289193</v>
      </c>
      <c r="DF176" s="57">
        <v>8.1999999999999993</v>
      </c>
      <c r="DG176" s="57">
        <f t="shared" si="237"/>
        <v>0.14682184422560429</v>
      </c>
      <c r="DH176" s="57">
        <f t="shared" si="205"/>
        <v>0.14682184422560429</v>
      </c>
      <c r="DI176" s="57">
        <f t="shared" si="238"/>
        <v>18.663460337289195</v>
      </c>
      <c r="DJ176" s="57">
        <f t="shared" si="206"/>
        <v>0.33417117882344127</v>
      </c>
      <c r="DK176" s="57">
        <f t="shared" si="207"/>
        <v>0.33417117882344127</v>
      </c>
      <c r="DL176" s="57">
        <f t="shared" si="208"/>
        <v>13.369977097647302</v>
      </c>
      <c r="DM176" s="57">
        <f t="shared" si="208"/>
        <v>13.369977097647302</v>
      </c>
      <c r="DN176" s="57">
        <f t="shared" si="209"/>
        <v>21.569977097647303</v>
      </c>
      <c r="DO176" s="57">
        <f t="shared" si="210"/>
        <v>0.38621266065617371</v>
      </c>
      <c r="DP176" s="57">
        <f t="shared" si="211"/>
        <v>0.38621266065617371</v>
      </c>
      <c r="DQ176" s="57">
        <v>2.2999999999999998</v>
      </c>
      <c r="DR176" s="57">
        <f t="shared" si="212"/>
        <v>4.1871472783542689E-2</v>
      </c>
      <c r="DS176" s="57">
        <f t="shared" si="213"/>
        <v>8.3742945567085378E-2</v>
      </c>
      <c r="DT176" s="57">
        <f t="shared" si="239"/>
        <v>7.9808795012050568</v>
      </c>
      <c r="DU176" s="57">
        <f t="shared" si="240"/>
        <v>3.9904397506025284</v>
      </c>
      <c r="DV176" s="57">
        <f t="shared" si="241"/>
        <v>20.963460337289195</v>
      </c>
      <c r="DW176" s="57">
        <f t="shared" si="242"/>
        <v>0.41791412439052666</v>
      </c>
      <c r="DX176" s="57" t="s">
        <v>780</v>
      </c>
      <c r="DY176" s="57" t="s">
        <v>100</v>
      </c>
      <c r="DZ176" s="57">
        <f t="shared" si="167"/>
        <v>1</v>
      </c>
      <c r="EA176" s="57">
        <v>1.7000000000000001E-2</v>
      </c>
      <c r="EB176" s="57">
        <f t="shared" si="214"/>
        <v>2.741935483870968E-4</v>
      </c>
      <c r="EC176" s="57">
        <f t="shared" si="215"/>
        <v>1.370967741935484E-3</v>
      </c>
      <c r="ED176" s="57">
        <f t="shared" si="233"/>
        <v>18</v>
      </c>
      <c r="EE176" s="59">
        <f t="shared" si="234"/>
        <v>72</v>
      </c>
      <c r="EF176" s="57">
        <f t="shared" si="243"/>
        <v>1.4990630855715177</v>
      </c>
      <c r="EG176" s="57">
        <f>$EK174-EK176</f>
        <v>23</v>
      </c>
      <c r="EH176" s="59">
        <f>(EG176/$EK174)*100</f>
        <v>76.666666666666671</v>
      </c>
      <c r="EI176" s="57">
        <f t="shared" si="231"/>
        <v>1.9154694982302727</v>
      </c>
      <c r="EJ176" s="57">
        <f t="shared" si="250"/>
        <v>1.9154694982302727</v>
      </c>
      <c r="EK176" s="57">
        <v>7</v>
      </c>
      <c r="EL176" s="57">
        <f t="shared" si="216"/>
        <v>7.2871122215282108E-2</v>
      </c>
      <c r="EM176" s="57">
        <f t="shared" si="217"/>
        <v>0.58296897772225686</v>
      </c>
      <c r="EN176" s="57">
        <f t="shared" si="244"/>
        <v>0.58433994546419232</v>
      </c>
      <c r="EO176" s="59">
        <f t="shared" si="248"/>
        <v>1.9169772099620443</v>
      </c>
      <c r="EP176" s="57">
        <f t="shared" si="245"/>
        <v>4.3684893660652056E-2</v>
      </c>
      <c r="EQ176" s="57">
        <f t="shared" si="246"/>
        <v>0.17432193616431035</v>
      </c>
      <c r="ER176" s="57">
        <f t="shared" si="247"/>
        <v>0.78199317017503756</v>
      </c>
      <c r="ES176" s="59">
        <f t="shared" si="219"/>
        <v>2.3854251044535317</v>
      </c>
      <c r="ET176" s="57">
        <f t="shared" si="220"/>
        <v>16.190517150805693</v>
      </c>
      <c r="EU176" s="57">
        <f t="shared" si="221"/>
        <v>3.5106088810224771</v>
      </c>
      <c r="EV176" s="57">
        <f t="shared" si="222"/>
        <v>80.298873968171833</v>
      </c>
      <c r="EW176" s="57" t="s">
        <v>716</v>
      </c>
      <c r="EX176" s="57">
        <v>12</v>
      </c>
      <c r="EY176" s="57">
        <v>-90</v>
      </c>
      <c r="EZ176" s="57" t="s">
        <v>551</v>
      </c>
      <c r="FA176" s="57">
        <v>563</v>
      </c>
      <c r="FB176" s="57" t="s">
        <v>72</v>
      </c>
      <c r="FC176" s="57" t="s">
        <v>88</v>
      </c>
      <c r="FD176" s="59">
        <f t="shared" si="223"/>
        <v>-1.9063219501507707</v>
      </c>
      <c r="FE176" s="59">
        <f t="shared" si="224"/>
        <v>-1.9062619118042696</v>
      </c>
      <c r="FF176" s="59">
        <f t="shared" si="225"/>
        <v>-2.374769844642258</v>
      </c>
      <c r="FG176" s="59">
        <f t="shared" si="226"/>
        <v>-2.374709806295757</v>
      </c>
    </row>
    <row r="177" spans="1:163" s="57" customFormat="1" ht="15.75" x14ac:dyDescent="0.25">
      <c r="A177" s="60" t="s">
        <v>434</v>
      </c>
      <c r="B177" s="60" t="s">
        <v>434</v>
      </c>
      <c r="C177" s="60" t="s">
        <v>966</v>
      </c>
      <c r="D177" s="60" t="s">
        <v>966</v>
      </c>
      <c r="E177" s="60" t="s">
        <v>1415</v>
      </c>
      <c r="F177" s="60" t="s">
        <v>1027</v>
      </c>
      <c r="G177" s="60" t="s">
        <v>773</v>
      </c>
      <c r="H177" s="60" t="str">
        <f t="shared" si="171"/>
        <v>CW_2_Section_2</v>
      </c>
      <c r="I177" s="60" t="str">
        <f t="shared" si="172"/>
        <v>CW_2_MF06</v>
      </c>
      <c r="J177" s="60" t="s">
        <v>1497</v>
      </c>
      <c r="K177" s="60" t="s">
        <v>1484</v>
      </c>
      <c r="L177" s="65" t="s">
        <v>1083</v>
      </c>
      <c r="M177" s="60" t="s">
        <v>1024</v>
      </c>
      <c r="N177" s="60" t="s">
        <v>1024</v>
      </c>
      <c r="O177" s="61" t="s">
        <v>1016</v>
      </c>
      <c r="P177" s="60" t="s">
        <v>1416</v>
      </c>
      <c r="Q177" s="60" t="s">
        <v>1018</v>
      </c>
      <c r="R177" s="60" t="s">
        <v>1389</v>
      </c>
      <c r="S177" s="60" t="str">
        <f t="shared" si="173"/>
        <v>T7_0.60-0.80</v>
      </c>
      <c r="T177" s="62" t="s">
        <v>1390</v>
      </c>
      <c r="U177" s="60" t="s">
        <v>1113</v>
      </c>
      <c r="V177" s="60">
        <v>150</v>
      </c>
      <c r="W177" s="60">
        <v>65</v>
      </c>
      <c r="X177" s="60">
        <v>6.05</v>
      </c>
      <c r="Y177" s="60">
        <v>176</v>
      </c>
      <c r="Z177" s="57" t="s">
        <v>717</v>
      </c>
      <c r="AA177" s="57" t="s">
        <v>186</v>
      </c>
      <c r="AB177" s="63">
        <v>45958</v>
      </c>
      <c r="AC177" s="57">
        <v>6</v>
      </c>
      <c r="AD177" s="57">
        <v>6.2</v>
      </c>
      <c r="AE177" s="57">
        <v>140</v>
      </c>
      <c r="AF177" s="57">
        <f t="shared" si="187"/>
        <v>5.3770323902189221E-2</v>
      </c>
      <c r="AG177" s="57">
        <v>14</v>
      </c>
      <c r="AH177" s="57">
        <f t="shared" si="188"/>
        <v>5.4699370523116995E-3</v>
      </c>
      <c r="AI177" s="57">
        <v>63</v>
      </c>
      <c r="AJ177" s="57">
        <f t="shared" si="189"/>
        <v>2.4922294433455779E-2</v>
      </c>
      <c r="AK177" s="57">
        <v>29</v>
      </c>
      <c r="AL177" s="57">
        <f t="shared" si="190"/>
        <v>1.1472167278892343E-2</v>
      </c>
      <c r="AM177" s="57">
        <v>22</v>
      </c>
      <c r="AN177" s="57">
        <f t="shared" si="191"/>
        <v>8.7030234529528114E-3</v>
      </c>
      <c r="AO177" s="57">
        <v>51</v>
      </c>
      <c r="AQ177" s="59">
        <v>268</v>
      </c>
      <c r="AR177" s="59">
        <f t="shared" si="192"/>
        <v>8.4162555387956695E-2</v>
      </c>
      <c r="AS177" s="57">
        <v>220</v>
      </c>
      <c r="AT177" s="57">
        <f t="shared" si="193"/>
        <v>8.2390575017554812E-2</v>
      </c>
      <c r="AU177" s="57" t="s">
        <v>780</v>
      </c>
      <c r="AV177" s="57" t="s">
        <v>780</v>
      </c>
      <c r="AW177" s="57" t="s">
        <v>780</v>
      </c>
      <c r="AX177" s="57" t="s">
        <v>780</v>
      </c>
      <c r="AY177" s="57" t="s">
        <v>780</v>
      </c>
      <c r="AZ177" s="57" t="s">
        <v>780</v>
      </c>
      <c r="BA177" s="57" t="s">
        <v>780</v>
      </c>
      <c r="BB177" s="57" t="s">
        <v>780</v>
      </c>
      <c r="BC177" s="57" t="s">
        <v>780</v>
      </c>
      <c r="BD177" s="57" t="s">
        <v>780</v>
      </c>
      <c r="BE177" s="57" t="s">
        <v>780</v>
      </c>
      <c r="BF177" s="57" t="s">
        <v>780</v>
      </c>
      <c r="BG177" s="57" t="s">
        <v>780</v>
      </c>
      <c r="BH177" s="57" t="s">
        <v>780</v>
      </c>
      <c r="BI177" s="57" t="s">
        <v>780</v>
      </c>
      <c r="BJ177" s="57" t="s">
        <v>780</v>
      </c>
      <c r="BK177" s="57" t="s">
        <v>780</v>
      </c>
      <c r="BL177" s="57" t="s">
        <v>780</v>
      </c>
      <c r="BM177" s="57" t="s">
        <v>780</v>
      </c>
      <c r="BN177" s="57" t="s">
        <v>780</v>
      </c>
      <c r="BO177" s="57">
        <v>59</v>
      </c>
      <c r="BP177" s="57">
        <v>7.3</v>
      </c>
      <c r="BQ177" s="57">
        <v>3.9</v>
      </c>
      <c r="BR177" s="57">
        <v>0.13</v>
      </c>
      <c r="BS177" s="57">
        <v>3.8</v>
      </c>
      <c r="BT177" s="57">
        <v>0.51</v>
      </c>
      <c r="BU177" s="57">
        <v>0.05</v>
      </c>
      <c r="BV177" s="57">
        <v>0.03</v>
      </c>
      <c r="BW177" s="57">
        <f t="shared" si="194"/>
        <v>2.2095654209253336E-2</v>
      </c>
      <c r="BX177" s="57">
        <f t="shared" si="195"/>
        <v>2.6861160391615743E-3</v>
      </c>
      <c r="BY177" s="57">
        <f t="shared" si="196"/>
        <v>1.4668309448155113E-3</v>
      </c>
      <c r="BZ177" s="57">
        <f t="shared" si="197"/>
        <v>4.8489953074238965E-5</v>
      </c>
      <c r="CA177" s="57">
        <f t="shared" si="198"/>
        <v>1.4071705100151489E-3</v>
      </c>
      <c r="CB177" s="57">
        <f t="shared" si="199"/>
        <v>1.8885709476519107E-4</v>
      </c>
      <c r="CC177" s="57">
        <f t="shared" si="200"/>
        <v>1.8294190358467248E-5</v>
      </c>
      <c r="CD177" s="57">
        <f t="shared" si="201"/>
        <v>1.0976514215080345E-5</v>
      </c>
      <c r="CE177" s="57">
        <v>1E-3</v>
      </c>
      <c r="CF177" s="57">
        <v>1E-3</v>
      </c>
      <c r="CG177" s="57">
        <v>2E-3</v>
      </c>
      <c r="CH177" s="57">
        <v>1E-3</v>
      </c>
      <c r="CI177" s="57">
        <v>1E-3</v>
      </c>
      <c r="CK177" s="57">
        <v>2E-3</v>
      </c>
      <c r="CL177" s="57">
        <v>1E-3</v>
      </c>
      <c r="CM177" s="57">
        <v>1E-3</v>
      </c>
      <c r="CN177" s="57">
        <f t="shared" si="227"/>
        <v>74.72</v>
      </c>
      <c r="CO177" s="57">
        <f t="shared" si="202"/>
        <v>15.719999999999999</v>
      </c>
      <c r="CP177" s="57">
        <f t="shared" si="203"/>
        <v>2.7922389455658548E-2</v>
      </c>
      <c r="CQ177" s="57">
        <f t="shared" si="204"/>
        <v>5.8267352464052126E-3</v>
      </c>
      <c r="CR177" s="57">
        <v>74</v>
      </c>
      <c r="CS177" s="57">
        <v>410</v>
      </c>
      <c r="CT177" s="57">
        <v>160</v>
      </c>
      <c r="CU177" s="57" t="s">
        <v>69</v>
      </c>
      <c r="CV177" s="57" t="s">
        <v>69</v>
      </c>
      <c r="CW177" s="57">
        <v>570</v>
      </c>
      <c r="CX177" s="64">
        <f t="shared" si="235"/>
        <v>342</v>
      </c>
      <c r="CZ177" s="57">
        <v>55</v>
      </c>
      <c r="DA177" s="57" t="s">
        <v>62</v>
      </c>
      <c r="DB177" s="57" t="s">
        <v>88</v>
      </c>
      <c r="DC177" s="57" t="s">
        <v>782</v>
      </c>
      <c r="DD177" s="57">
        <f t="shared" si="236"/>
        <v>3.4878201124297314</v>
      </c>
      <c r="DE177" s="57">
        <f t="shared" si="249"/>
        <v>3.4878201124297314</v>
      </c>
      <c r="DF177" s="57">
        <v>3.4</v>
      </c>
      <c r="DG177" s="57">
        <f t="shared" si="237"/>
        <v>6.0877350044762753E-2</v>
      </c>
      <c r="DH177" s="57">
        <f t="shared" si="205"/>
        <v>6.0877350044762753E-2</v>
      </c>
      <c r="DI177" s="57">
        <f t="shared" si="238"/>
        <v>6.8878201124297309</v>
      </c>
      <c r="DJ177" s="57">
        <f t="shared" si="206"/>
        <v>0.12332712824404173</v>
      </c>
      <c r="DK177" s="57">
        <f t="shared" si="207"/>
        <v>0.12332712824404173</v>
      </c>
      <c r="DL177" s="57">
        <f t="shared" si="208"/>
        <v>2.3252134082864875</v>
      </c>
      <c r="DM177" s="57">
        <f t="shared" si="208"/>
        <v>2.3252134082864875</v>
      </c>
      <c r="DN177" s="57">
        <f t="shared" si="209"/>
        <v>5.7252134082864874</v>
      </c>
      <c r="DO177" s="57">
        <f t="shared" si="210"/>
        <v>0.10251053551094874</v>
      </c>
      <c r="DP177" s="57">
        <f t="shared" si="211"/>
        <v>0.10251053551094874</v>
      </c>
      <c r="DQ177" s="57">
        <v>1.6</v>
      </c>
      <c r="DR177" s="57">
        <f t="shared" si="212"/>
        <v>2.912798106681231E-2</v>
      </c>
      <c r="DS177" s="57">
        <f t="shared" si="213"/>
        <v>5.825596213362462E-2</v>
      </c>
      <c r="DT177" s="57">
        <f t="shared" si="239"/>
        <v>4.2339744715282572</v>
      </c>
      <c r="DU177" s="57">
        <f t="shared" si="240"/>
        <v>2.1169872357641286</v>
      </c>
      <c r="DV177" s="57">
        <f t="shared" si="241"/>
        <v>8.4878201124297306</v>
      </c>
      <c r="DW177" s="57">
        <f t="shared" si="242"/>
        <v>0.18158309037766635</v>
      </c>
      <c r="DX177" s="57" t="s">
        <v>780</v>
      </c>
      <c r="DY177" s="57" t="s">
        <v>86</v>
      </c>
      <c r="DZ177" s="57">
        <f t="shared" si="167"/>
        <v>1</v>
      </c>
      <c r="EA177" s="57">
        <v>1.7000000000000001E-2</v>
      </c>
      <c r="EB177" s="57">
        <f t="shared" si="214"/>
        <v>2.741935483870968E-4</v>
      </c>
      <c r="EC177" s="57">
        <f t="shared" si="215"/>
        <v>1.370967741935484E-3</v>
      </c>
      <c r="ED177" s="57">
        <f t="shared" si="233"/>
        <v>6</v>
      </c>
      <c r="EE177" s="59">
        <f t="shared" si="234"/>
        <v>24</v>
      </c>
      <c r="EF177" s="57">
        <f t="shared" si="243"/>
        <v>0.49968769519050593</v>
      </c>
      <c r="EG177" s="57">
        <f>$EK175-EK177</f>
        <v>4</v>
      </c>
      <c r="EH177" s="59">
        <f>(EG177/$EK175)*100</f>
        <v>17.391304347826086</v>
      </c>
      <c r="EI177" s="57">
        <f t="shared" si="231"/>
        <v>0.33312513012700395</v>
      </c>
      <c r="EJ177" s="57">
        <f t="shared" si="250"/>
        <v>0.33312513012700395</v>
      </c>
      <c r="EK177" s="57">
        <v>19</v>
      </c>
      <c r="EL177" s="57">
        <f t="shared" si="216"/>
        <v>0.19779304601290859</v>
      </c>
      <c r="EM177" s="57">
        <f t="shared" si="217"/>
        <v>1.5823443681032687</v>
      </c>
      <c r="EN177" s="57">
        <f t="shared" si="244"/>
        <v>1.5837153358452043</v>
      </c>
      <c r="EO177" s="59">
        <f t="shared" si="248"/>
        <v>0.68127078556817233</v>
      </c>
      <c r="EP177" s="57">
        <f t="shared" si="245"/>
        <v>8.5510729900211108E-2</v>
      </c>
      <c r="EQ177" s="57">
        <f t="shared" si="246"/>
        <v>0.1810251237196209</v>
      </c>
      <c r="ER177" s="57">
        <f t="shared" si="247"/>
        <v>0.73346414638016788</v>
      </c>
      <c r="ES177" s="59">
        <f t="shared" si="219"/>
        <v>0.4938916277715773</v>
      </c>
      <c r="ET177" s="57">
        <f t="shared" si="220"/>
        <v>20.755673865838318</v>
      </c>
      <c r="EU177" s="57">
        <f t="shared" si="221"/>
        <v>11.795292501003427</v>
      </c>
      <c r="EV177" s="57">
        <f t="shared" si="222"/>
        <v>67.449033633158251</v>
      </c>
      <c r="EW177" s="57" t="s">
        <v>60</v>
      </c>
      <c r="EX177" s="57">
        <v>12</v>
      </c>
      <c r="EY177" s="57">
        <v>-230</v>
      </c>
      <c r="EZ177" s="57" t="s">
        <v>551</v>
      </c>
      <c r="FA177" s="57">
        <v>500</v>
      </c>
      <c r="FB177" s="57" t="s">
        <v>113</v>
      </c>
      <c r="FC177" s="57" t="s">
        <v>88</v>
      </c>
      <c r="FD177" s="59">
        <f t="shared" si="223"/>
        <v>-0.51471765516266088</v>
      </c>
      <c r="FE177" s="59">
        <f t="shared" si="224"/>
        <v>-0.50889091991625568</v>
      </c>
      <c r="FF177" s="59">
        <f t="shared" si="225"/>
        <v>-0.32733849736606579</v>
      </c>
      <c r="FG177" s="59">
        <f t="shared" si="226"/>
        <v>-0.32151176211966059</v>
      </c>
    </row>
    <row r="178" spans="1:163" s="57" customFormat="1" ht="15.75" x14ac:dyDescent="0.25">
      <c r="A178" s="60" t="s">
        <v>435</v>
      </c>
      <c r="B178" s="60" t="s">
        <v>435</v>
      </c>
      <c r="C178" s="60" t="s">
        <v>967</v>
      </c>
      <c r="D178" s="60" t="s">
        <v>967</v>
      </c>
      <c r="E178" s="60" t="s">
        <v>1417</v>
      </c>
      <c r="F178" s="60" t="s">
        <v>1034</v>
      </c>
      <c r="G178" s="60" t="s">
        <v>773</v>
      </c>
      <c r="H178" s="60" t="str">
        <f t="shared" si="171"/>
        <v>CW_2_Section_3</v>
      </c>
      <c r="I178" s="60" t="str">
        <f t="shared" si="172"/>
        <v>CW_2_MF09</v>
      </c>
      <c r="J178" s="60" t="s">
        <v>1492</v>
      </c>
      <c r="K178" s="60" t="s">
        <v>1484</v>
      </c>
      <c r="L178" s="65" t="s">
        <v>1086</v>
      </c>
      <c r="M178" s="60" t="s">
        <v>1015</v>
      </c>
      <c r="N178" s="60" t="s">
        <v>1015</v>
      </c>
      <c r="O178" s="61" t="s">
        <v>1016</v>
      </c>
      <c r="P178" s="60" t="s">
        <v>1418</v>
      </c>
      <c r="Q178" s="60" t="s">
        <v>1018</v>
      </c>
      <c r="R178" s="60" t="s">
        <v>1389</v>
      </c>
      <c r="S178" s="60" t="str">
        <f t="shared" si="173"/>
        <v>T7_0.15-0.30</v>
      </c>
      <c r="T178" s="62" t="s">
        <v>1390</v>
      </c>
      <c r="U178" s="60" t="s">
        <v>1113</v>
      </c>
      <c r="V178" s="60">
        <v>150</v>
      </c>
      <c r="W178" s="60">
        <v>65</v>
      </c>
      <c r="X178" s="60">
        <v>8.6999999999999993</v>
      </c>
      <c r="Y178" s="60">
        <v>177</v>
      </c>
      <c r="Z178" s="57" t="s">
        <v>728</v>
      </c>
      <c r="AA178" s="57" t="s">
        <v>219</v>
      </c>
      <c r="AB178" s="63">
        <v>45959</v>
      </c>
      <c r="AC178" s="57">
        <v>8.1999999999999993</v>
      </c>
      <c r="AD178" s="57">
        <v>8.3000000000000007</v>
      </c>
      <c r="AE178" s="57">
        <v>110</v>
      </c>
      <c r="AF178" s="57">
        <f t="shared" si="187"/>
        <v>4.2248111637434388E-2</v>
      </c>
      <c r="AG178" s="57">
        <v>1.4</v>
      </c>
      <c r="AH178" s="57">
        <f t="shared" si="188"/>
        <v>5.4699370523116997E-4</v>
      </c>
      <c r="AI178" s="57">
        <v>81</v>
      </c>
      <c r="AJ178" s="57">
        <f t="shared" si="189"/>
        <v>3.2042949985871712E-2</v>
      </c>
      <c r="AK178" s="57">
        <v>19</v>
      </c>
      <c r="AL178" s="57">
        <f t="shared" si="190"/>
        <v>7.5162475275501557E-3</v>
      </c>
      <c r="AM178" s="57">
        <v>15</v>
      </c>
      <c r="AN178" s="57">
        <f t="shared" si="191"/>
        <v>5.9338796270132811E-3</v>
      </c>
      <c r="AO178" s="57">
        <v>34</v>
      </c>
      <c r="AQ178" s="59">
        <v>226.4</v>
      </c>
      <c r="AR178" s="59">
        <f t="shared" si="192"/>
        <v>7.4838055328537267E-2</v>
      </c>
      <c r="AS178" s="57">
        <v>470</v>
      </c>
      <c r="AT178" s="57">
        <f t="shared" si="193"/>
        <v>0.17601622844659437</v>
      </c>
      <c r="AU178" s="57" t="s">
        <v>780</v>
      </c>
      <c r="AV178" s="57" t="s">
        <v>780</v>
      </c>
      <c r="AW178" s="57" t="s">
        <v>780</v>
      </c>
      <c r="AX178" s="57" t="s">
        <v>780</v>
      </c>
      <c r="AY178" s="57" t="s">
        <v>780</v>
      </c>
      <c r="AZ178" s="57" t="s">
        <v>780</v>
      </c>
      <c r="BA178" s="57" t="s">
        <v>780</v>
      </c>
      <c r="BB178" s="57" t="s">
        <v>780</v>
      </c>
      <c r="BC178" s="57" t="s">
        <v>780</v>
      </c>
      <c r="BD178" s="57" t="s">
        <v>780</v>
      </c>
      <c r="BE178" s="57" t="s">
        <v>780</v>
      </c>
      <c r="BF178" s="57" t="s">
        <v>780</v>
      </c>
      <c r="BG178" s="57" t="s">
        <v>780</v>
      </c>
      <c r="BH178" s="57" t="s">
        <v>780</v>
      </c>
      <c r="BI178" s="57" t="s">
        <v>780</v>
      </c>
      <c r="BJ178" s="57" t="s">
        <v>780</v>
      </c>
      <c r="BK178" s="57" t="s">
        <v>780</v>
      </c>
      <c r="BL178" s="57" t="s">
        <v>780</v>
      </c>
      <c r="BM178" s="57" t="s">
        <v>780</v>
      </c>
      <c r="BN178" s="57" t="s">
        <v>780</v>
      </c>
      <c r="BO178" s="57">
        <v>55</v>
      </c>
      <c r="BP178" s="57">
        <v>1</v>
      </c>
      <c r="BQ178" s="57">
        <v>44</v>
      </c>
      <c r="BR178" s="57">
        <v>9.8000000000000007</v>
      </c>
      <c r="BS178" s="57">
        <v>3.1</v>
      </c>
      <c r="BT178" s="57">
        <v>0.1</v>
      </c>
      <c r="BU178" s="57">
        <v>0.1</v>
      </c>
      <c r="BV178" s="57">
        <v>0.2</v>
      </c>
      <c r="BW178" s="57">
        <f t="shared" si="194"/>
        <v>2.0597643754388703E-2</v>
      </c>
      <c r="BX178" s="57">
        <f t="shared" si="195"/>
        <v>3.6796110125501016E-4</v>
      </c>
      <c r="BY178" s="57">
        <f t="shared" si="196"/>
        <v>1.6548861941508335E-2</v>
      </c>
      <c r="BZ178" s="57">
        <f t="shared" si="197"/>
        <v>3.655396462519553E-3</v>
      </c>
      <c r="CA178" s="57">
        <f t="shared" si="198"/>
        <v>1.1479548897492004E-3</v>
      </c>
      <c r="CB178" s="57">
        <f t="shared" si="199"/>
        <v>3.7030802895135498E-5</v>
      </c>
      <c r="CC178" s="57">
        <f t="shared" si="200"/>
        <v>3.6588380716934496E-5</v>
      </c>
      <c r="CD178" s="57">
        <f t="shared" si="201"/>
        <v>7.3176761433868992E-5</v>
      </c>
      <c r="CE178" s="57">
        <v>0.1</v>
      </c>
      <c r="CF178" s="57">
        <v>0.1</v>
      </c>
      <c r="CG178" s="57">
        <v>0.2</v>
      </c>
      <c r="CH178" s="57">
        <v>0.1</v>
      </c>
      <c r="CI178" s="57">
        <v>0.1</v>
      </c>
      <c r="CK178" s="57">
        <v>0.2</v>
      </c>
      <c r="CL178" s="57">
        <v>0.1</v>
      </c>
      <c r="CM178" s="57">
        <v>0.1</v>
      </c>
      <c r="CN178" s="57">
        <f t="shared" si="227"/>
        <v>113.29999999999998</v>
      </c>
      <c r="CO178" s="57">
        <f t="shared" si="202"/>
        <v>58.300000000000004</v>
      </c>
      <c r="CP178" s="57">
        <f t="shared" si="203"/>
        <v>4.2464614094466738E-2</v>
      </c>
      <c r="CQ178" s="57">
        <f t="shared" si="204"/>
        <v>2.1866970340078038E-2</v>
      </c>
      <c r="CR178" s="57">
        <v>110</v>
      </c>
      <c r="CS178" s="57">
        <v>870</v>
      </c>
      <c r="CT178" s="57">
        <v>370</v>
      </c>
      <c r="CU178" s="57" t="s">
        <v>69</v>
      </c>
      <c r="CV178" s="57" t="s">
        <v>69</v>
      </c>
      <c r="CW178" s="57">
        <v>1200</v>
      </c>
      <c r="CX178" s="64">
        <f t="shared" si="235"/>
        <v>336.4</v>
      </c>
      <c r="CZ178" s="57">
        <v>53</v>
      </c>
      <c r="DA178" s="57" t="s">
        <v>62</v>
      </c>
      <c r="DB178" s="57" t="s">
        <v>88</v>
      </c>
      <c r="DC178" s="57" t="s">
        <v>782</v>
      </c>
      <c r="DD178" s="57">
        <f t="shared" si="236"/>
        <v>14.241932125754737</v>
      </c>
      <c r="DE178" s="57">
        <f t="shared" si="249"/>
        <v>14.241932125754737</v>
      </c>
      <c r="DF178" s="57">
        <v>11</v>
      </c>
      <c r="DG178" s="57">
        <f t="shared" si="237"/>
        <v>0.19695613249776187</v>
      </c>
      <c r="DH178" s="57">
        <f t="shared" si="205"/>
        <v>0.19695613249776187</v>
      </c>
      <c r="DI178" s="57">
        <f t="shared" si="238"/>
        <v>25.241932125754737</v>
      </c>
      <c r="DJ178" s="57">
        <f t="shared" si="206"/>
        <v>0.45195939347815106</v>
      </c>
      <c r="DK178" s="57">
        <f t="shared" si="207"/>
        <v>0.45195939347815106</v>
      </c>
      <c r="DL178" s="57">
        <f t="shared" si="208"/>
        <v>3.7784717884655423</v>
      </c>
      <c r="DM178" s="57">
        <f t="shared" si="208"/>
        <v>3.7784717884655423</v>
      </c>
      <c r="DN178" s="57">
        <f t="shared" si="209"/>
        <v>14.778471788465541</v>
      </c>
      <c r="DO178" s="57">
        <f t="shared" si="210"/>
        <v>0.26461005888031408</v>
      </c>
      <c r="DP178" s="57">
        <f t="shared" si="211"/>
        <v>0.26461005888031408</v>
      </c>
      <c r="DQ178" s="57">
        <v>3.1</v>
      </c>
      <c r="DR178" s="57">
        <f t="shared" si="212"/>
        <v>5.6435463316948847E-2</v>
      </c>
      <c r="DS178" s="57">
        <f t="shared" si="213"/>
        <v>0.11287092663389769</v>
      </c>
      <c r="DT178" s="57">
        <f t="shared" si="239"/>
        <v>8.0084288657273657</v>
      </c>
      <c r="DU178" s="57">
        <f t="shared" si="240"/>
        <v>4.0042144328636828</v>
      </c>
      <c r="DV178" s="57">
        <f t="shared" si="241"/>
        <v>28.341932125754738</v>
      </c>
      <c r="DW178" s="57">
        <f t="shared" si="242"/>
        <v>0.56483032011204881</v>
      </c>
      <c r="DX178" s="57" t="s">
        <v>780</v>
      </c>
      <c r="DY178" s="57" t="s">
        <v>52</v>
      </c>
      <c r="DZ178" s="57">
        <f t="shared" si="167"/>
        <v>1</v>
      </c>
      <c r="EA178" s="57">
        <v>1.7000000000000001E-2</v>
      </c>
      <c r="EB178" s="57">
        <f t="shared" si="214"/>
        <v>2.741935483870968E-4</v>
      </c>
      <c r="EC178" s="57">
        <f t="shared" si="215"/>
        <v>1.370967741935484E-3</v>
      </c>
      <c r="ED178" s="57">
        <f t="shared" si="233"/>
        <v>24.5</v>
      </c>
      <c r="EE178" s="59">
        <f t="shared" si="234"/>
        <v>98</v>
      </c>
      <c r="EF178" s="57">
        <f t="shared" si="243"/>
        <v>2.0403914220278994</v>
      </c>
      <c r="EG178" s="57">
        <f>$EK176-EK178</f>
        <v>6.5</v>
      </c>
      <c r="EH178" s="59">
        <f>(EG178/$EK176)*100</f>
        <v>92.857142857142861</v>
      </c>
      <c r="EI178" s="57">
        <f t="shared" si="231"/>
        <v>0.54132833645638145</v>
      </c>
      <c r="EJ178" s="57">
        <f t="shared" si="250"/>
        <v>0.54132833645638145</v>
      </c>
      <c r="EK178" s="57">
        <v>0.5</v>
      </c>
      <c r="EL178" s="57">
        <f t="shared" si="216"/>
        <v>5.2050801582344368E-3</v>
      </c>
      <c r="EM178" s="57">
        <f t="shared" si="217"/>
        <v>4.1640641265875494E-2</v>
      </c>
      <c r="EN178" s="57">
        <f t="shared" si="244"/>
        <v>4.301160900781098E-2</v>
      </c>
      <c r="EO178" s="59">
        <f t="shared" si="248"/>
        <v>2.6052217421399479</v>
      </c>
      <c r="EP178" s="57">
        <f t="shared" si="245"/>
        <v>4.3324882795268208E-2</v>
      </c>
      <c r="EQ178" s="57">
        <f t="shared" si="246"/>
        <v>0.17348212099094043</v>
      </c>
      <c r="ER178" s="57">
        <f t="shared" si="247"/>
        <v>0.78319299621379146</v>
      </c>
      <c r="ES178" s="59">
        <f t="shared" si="219"/>
        <v>0.91880932197059328</v>
      </c>
      <c r="ET178" s="57">
        <f t="shared" si="220"/>
        <v>28.799235331308815</v>
      </c>
      <c r="EU178" s="57">
        <f t="shared" si="221"/>
        <v>12.284477740367349</v>
      </c>
      <c r="EV178" s="57">
        <f t="shared" si="222"/>
        <v>58.916286928323828</v>
      </c>
      <c r="EW178" s="57" t="s">
        <v>631</v>
      </c>
      <c r="EX178" s="57">
        <v>12</v>
      </c>
      <c r="EY178" s="57">
        <v>-110</v>
      </c>
      <c r="EZ178" s="57" t="s">
        <v>246</v>
      </c>
      <c r="FA178" s="57">
        <v>660</v>
      </c>
      <c r="FB178" s="57" t="s">
        <v>72</v>
      </c>
      <c r="FC178" s="57" t="s">
        <v>88</v>
      </c>
      <c r="FD178" s="59">
        <f t="shared" si="223"/>
        <v>-2.3543674583648162</v>
      </c>
      <c r="FE178" s="59">
        <f t="shared" si="224"/>
        <v>-2.3325004880247384</v>
      </c>
      <c r="FF178" s="59">
        <f t="shared" si="225"/>
        <v>-0.66795503819546165</v>
      </c>
      <c r="FG178" s="59">
        <f t="shared" si="226"/>
        <v>-0.64608806785538353</v>
      </c>
    </row>
    <row r="179" spans="1:163" s="57" customFormat="1" ht="15.75" x14ac:dyDescent="0.25">
      <c r="A179" s="60" t="s">
        <v>436</v>
      </c>
      <c r="B179" s="60" t="s">
        <v>436</v>
      </c>
      <c r="C179" s="60" t="s">
        <v>968</v>
      </c>
      <c r="D179" s="60" t="s">
        <v>968</v>
      </c>
      <c r="E179" s="60" t="s">
        <v>1419</v>
      </c>
      <c r="F179" s="60" t="s">
        <v>1034</v>
      </c>
      <c r="G179" s="60" t="s">
        <v>773</v>
      </c>
      <c r="H179" s="60" t="str">
        <f t="shared" si="171"/>
        <v>CW_2_Section_3</v>
      </c>
      <c r="I179" s="60" t="str">
        <f t="shared" si="172"/>
        <v>CW_2_MF10</v>
      </c>
      <c r="J179" s="60" t="s">
        <v>1493</v>
      </c>
      <c r="K179" s="60" t="s">
        <v>1484</v>
      </c>
      <c r="L179" s="65" t="s">
        <v>1089</v>
      </c>
      <c r="M179" s="60" t="s">
        <v>1024</v>
      </c>
      <c r="N179" s="60" t="s">
        <v>1024</v>
      </c>
      <c r="O179" s="61" t="s">
        <v>1016</v>
      </c>
      <c r="P179" s="60" t="s">
        <v>1420</v>
      </c>
      <c r="Q179" s="60" t="s">
        <v>1018</v>
      </c>
      <c r="R179" s="60" t="s">
        <v>1389</v>
      </c>
      <c r="S179" s="60" t="str">
        <f t="shared" si="173"/>
        <v>T7_0.60-0.80</v>
      </c>
      <c r="T179" s="62" t="s">
        <v>1390</v>
      </c>
      <c r="U179" s="60" t="s">
        <v>1113</v>
      </c>
      <c r="V179" s="60">
        <v>150</v>
      </c>
      <c r="W179" s="60">
        <v>65</v>
      </c>
      <c r="X179" s="60">
        <v>21.55</v>
      </c>
      <c r="Y179" s="60">
        <v>178</v>
      </c>
      <c r="Z179" s="57" t="s">
        <v>729</v>
      </c>
      <c r="AA179" s="57" t="s">
        <v>228</v>
      </c>
      <c r="AB179" s="63">
        <v>45959</v>
      </c>
      <c r="AC179" s="57">
        <v>7.5</v>
      </c>
      <c r="AD179" s="57">
        <v>9.6999999999999993</v>
      </c>
      <c r="AE179" s="57">
        <v>1.1000000000000001</v>
      </c>
      <c r="AF179" s="57">
        <f t="shared" si="187"/>
        <v>4.2248111637434386E-4</v>
      </c>
      <c r="AG179" s="57">
        <v>0.32</v>
      </c>
      <c r="AH179" s="57">
        <f t="shared" si="188"/>
        <v>1.2502713262426741E-4</v>
      </c>
      <c r="AI179" s="57">
        <v>2.4</v>
      </c>
      <c r="AJ179" s="57">
        <f t="shared" si="189"/>
        <v>9.4942074032212487E-4</v>
      </c>
      <c r="AK179" s="57">
        <v>1.3</v>
      </c>
      <c r="AL179" s="57">
        <f t="shared" si="190"/>
        <v>5.1426956767448438E-4</v>
      </c>
      <c r="AM179" s="57">
        <v>0.91</v>
      </c>
      <c r="AN179" s="57">
        <f t="shared" si="191"/>
        <v>3.5998869737213898E-4</v>
      </c>
      <c r="AO179" s="57">
        <v>2.21</v>
      </c>
      <c r="AQ179" s="59">
        <v>6.03</v>
      </c>
      <c r="AR179" s="59">
        <f t="shared" si="192"/>
        <v>1.4969289893207362E-3</v>
      </c>
      <c r="AS179" s="57">
        <v>4.2</v>
      </c>
      <c r="AT179" s="57">
        <f t="shared" si="193"/>
        <v>1.5729109776078647E-3</v>
      </c>
      <c r="AU179" s="57" t="s">
        <v>780</v>
      </c>
      <c r="AV179" s="57" t="s">
        <v>780</v>
      </c>
      <c r="AW179" s="57" t="s">
        <v>780</v>
      </c>
      <c r="AX179" s="57" t="s">
        <v>780</v>
      </c>
      <c r="AY179" s="57" t="s">
        <v>780</v>
      </c>
      <c r="AZ179" s="57" t="s">
        <v>780</v>
      </c>
      <c r="BA179" s="57" t="s">
        <v>780</v>
      </c>
      <c r="BB179" s="57" t="s">
        <v>780</v>
      </c>
      <c r="BC179" s="57" t="s">
        <v>780</v>
      </c>
      <c r="BD179" s="57" t="s">
        <v>780</v>
      </c>
      <c r="BE179" s="57" t="s">
        <v>780</v>
      </c>
      <c r="BF179" s="57" t="s">
        <v>780</v>
      </c>
      <c r="BG179" s="57" t="s">
        <v>780</v>
      </c>
      <c r="BH179" s="57" t="s">
        <v>780</v>
      </c>
      <c r="BI179" s="57" t="s">
        <v>780</v>
      </c>
      <c r="BJ179" s="57" t="s">
        <v>780</v>
      </c>
      <c r="BK179" s="57" t="s">
        <v>780</v>
      </c>
      <c r="BL179" s="57" t="s">
        <v>780</v>
      </c>
      <c r="BM179" s="57" t="s">
        <v>780</v>
      </c>
      <c r="BN179" s="57" t="s">
        <v>780</v>
      </c>
      <c r="BO179" s="57">
        <v>0.1</v>
      </c>
      <c r="BP179" s="57">
        <v>0.01</v>
      </c>
      <c r="BQ179" s="57">
        <v>0.01</v>
      </c>
      <c r="BR179" s="57">
        <v>5.0000000000000001E-3</v>
      </c>
      <c r="BS179" s="57">
        <v>1E-3</v>
      </c>
      <c r="BT179" s="57">
        <v>1E-3</v>
      </c>
      <c r="BU179" s="57">
        <v>1E-3</v>
      </c>
      <c r="BV179" s="57">
        <v>2E-3</v>
      </c>
      <c r="BW179" s="57">
        <f t="shared" si="194"/>
        <v>3.7450261371615827E-5</v>
      </c>
      <c r="BX179" s="57">
        <f t="shared" si="195"/>
        <v>3.6796110125501018E-6</v>
      </c>
      <c r="BY179" s="57">
        <f t="shared" si="196"/>
        <v>3.7611049867064394E-6</v>
      </c>
      <c r="BZ179" s="57">
        <f t="shared" si="197"/>
        <v>1.8649981951630372E-6</v>
      </c>
      <c r="CA179" s="57">
        <f t="shared" si="198"/>
        <v>3.7030802895135499E-7</v>
      </c>
      <c r="CB179" s="57">
        <f t="shared" si="199"/>
        <v>3.7030802895135499E-7</v>
      </c>
      <c r="CC179" s="57">
        <f t="shared" si="200"/>
        <v>3.6588380716934485E-7</v>
      </c>
      <c r="CD179" s="57">
        <f t="shared" si="201"/>
        <v>7.3176761433868969E-7</v>
      </c>
      <c r="CE179" s="57">
        <v>1E-3</v>
      </c>
      <c r="CF179" s="57">
        <v>1E-3</v>
      </c>
      <c r="CG179" s="57">
        <v>2E-3</v>
      </c>
      <c r="CH179" s="57">
        <v>1E-3</v>
      </c>
      <c r="CI179" s="57">
        <v>1E-3</v>
      </c>
      <c r="CK179" s="57">
        <v>2E-3</v>
      </c>
      <c r="CL179" s="57">
        <v>1E-3</v>
      </c>
      <c r="CM179" s="57">
        <v>1E-3</v>
      </c>
      <c r="CN179" s="57">
        <f t="shared" si="227"/>
        <v>0.13</v>
      </c>
      <c r="CO179" s="57">
        <f t="shared" si="202"/>
        <v>3.0000000000000006E-2</v>
      </c>
      <c r="CP179" s="57">
        <f t="shared" si="203"/>
        <v>4.8594243045446151E-5</v>
      </c>
      <c r="CQ179" s="57">
        <f t="shared" si="204"/>
        <v>1.1143981673830322E-5</v>
      </c>
      <c r="CR179" s="57">
        <v>4.2000000000000003E-2</v>
      </c>
      <c r="CS179" s="57" t="s">
        <v>69</v>
      </c>
      <c r="CT179" s="57" t="s">
        <v>69</v>
      </c>
      <c r="CU179" s="57" t="s">
        <v>69</v>
      </c>
      <c r="CV179" s="57" t="s">
        <v>69</v>
      </c>
      <c r="CW179" s="57">
        <v>5</v>
      </c>
      <c r="CX179" s="64">
        <f t="shared" si="235"/>
        <v>6.0720000000000001</v>
      </c>
      <c r="CZ179" s="57">
        <v>42</v>
      </c>
      <c r="DA179" s="57" t="s">
        <v>62</v>
      </c>
      <c r="DB179" s="57" t="s">
        <v>88</v>
      </c>
      <c r="DC179" s="57" t="s">
        <v>782</v>
      </c>
      <c r="DD179" s="57">
        <f t="shared" si="236"/>
        <v>10.812242348532168</v>
      </c>
      <c r="DE179" s="57">
        <f t="shared" si="249"/>
        <v>10.812242348532168</v>
      </c>
      <c r="DF179" s="57">
        <v>2.6</v>
      </c>
      <c r="DG179" s="57">
        <f t="shared" si="237"/>
        <v>4.6553267681289166E-2</v>
      </c>
      <c r="DH179" s="57">
        <f t="shared" si="205"/>
        <v>4.6553267681289166E-2</v>
      </c>
      <c r="DI179" s="57">
        <f t="shared" si="238"/>
        <v>13.412242348532168</v>
      </c>
      <c r="DJ179" s="57">
        <f t="shared" si="206"/>
        <v>0.24014758009905401</v>
      </c>
      <c r="DK179" s="57">
        <f t="shared" si="207"/>
        <v>0.24014758009905401</v>
      </c>
      <c r="DL179" s="57">
        <f t="shared" si="208"/>
        <v>7.3244222361024356</v>
      </c>
      <c r="DM179" s="57">
        <f t="shared" si="208"/>
        <v>7.3244222361024356</v>
      </c>
      <c r="DN179" s="57">
        <f t="shared" si="209"/>
        <v>9.9244222361024352</v>
      </c>
      <c r="DO179" s="57">
        <f t="shared" si="210"/>
        <v>0.17769780189977502</v>
      </c>
      <c r="DP179" s="57">
        <f t="shared" si="211"/>
        <v>0.17769780189977502</v>
      </c>
      <c r="DQ179" s="57">
        <v>1.2</v>
      </c>
      <c r="DR179" s="57">
        <f t="shared" si="212"/>
        <v>2.1845985800109231E-2</v>
      </c>
      <c r="DS179" s="57">
        <f t="shared" si="213"/>
        <v>4.3691971600218461E-2</v>
      </c>
      <c r="DT179" s="57">
        <f t="shared" si="239"/>
        <v>10.992755479034198</v>
      </c>
      <c r="DU179" s="57">
        <f t="shared" si="240"/>
        <v>5.496377739517099</v>
      </c>
      <c r="DV179" s="57">
        <f t="shared" si="241"/>
        <v>14.612242348532167</v>
      </c>
      <c r="DW179" s="57">
        <f t="shared" si="242"/>
        <v>0.2838395516992725</v>
      </c>
      <c r="DX179" s="57" t="s">
        <v>780</v>
      </c>
      <c r="DY179" s="57" t="s">
        <v>52</v>
      </c>
      <c r="DZ179" s="57">
        <f t="shared" si="167"/>
        <v>1</v>
      </c>
      <c r="EA179" s="57">
        <v>1.7000000000000001E-2</v>
      </c>
      <c r="EB179" s="57">
        <f t="shared" si="214"/>
        <v>2.741935483870968E-4</v>
      </c>
      <c r="EC179" s="57">
        <f t="shared" si="215"/>
        <v>1.370967741935484E-3</v>
      </c>
      <c r="ED179" s="57">
        <f t="shared" si="233"/>
        <v>18.600000000000001</v>
      </c>
      <c r="EE179" s="59">
        <f t="shared" si="234"/>
        <v>74.400000000000006</v>
      </c>
      <c r="EF179" s="57">
        <f t="shared" si="243"/>
        <v>1.5490318550905684</v>
      </c>
      <c r="EG179" s="57">
        <f>$EK177-EK179</f>
        <v>12.6</v>
      </c>
      <c r="EH179" s="59">
        <f>(EG179/$EK177)*100</f>
        <v>66.315789473684205</v>
      </c>
      <c r="EI179" s="57">
        <f t="shared" ref="EI179:EI207" si="251">($EG179/96.06)*8</f>
        <v>1.0493441599000624</v>
      </c>
      <c r="EJ179" s="57">
        <f t="shared" si="250"/>
        <v>1.0493441599000624</v>
      </c>
      <c r="EK179" s="57">
        <v>6.4</v>
      </c>
      <c r="EL179" s="57">
        <f t="shared" si="216"/>
        <v>6.6625026025400796E-2</v>
      </c>
      <c r="EM179" s="57">
        <f t="shared" si="217"/>
        <v>0.53300020820320637</v>
      </c>
      <c r="EN179" s="57">
        <f t="shared" si="244"/>
        <v>0.53437117594514183</v>
      </c>
      <c r="EO179" s="59">
        <f t="shared" si="248"/>
        <v>1.8328714067898408</v>
      </c>
      <c r="EP179" s="57">
        <f t="shared" si="245"/>
        <v>2.3837990727752258E-2</v>
      </c>
      <c r="EQ179" s="57">
        <f t="shared" si="246"/>
        <v>0.13102260159083251</v>
      </c>
      <c r="ER179" s="57">
        <f t="shared" si="247"/>
        <v>0.84513940768141527</v>
      </c>
      <c r="ES179" s="59">
        <f t="shared" si="219"/>
        <v>1.2707339334000558</v>
      </c>
      <c r="ET179" s="57">
        <f t="shared" si="220"/>
        <v>13.983871621678945</v>
      </c>
      <c r="EU179" s="57">
        <f t="shared" si="221"/>
        <v>3.4383257149129141</v>
      </c>
      <c r="EV179" s="57">
        <f t="shared" si="222"/>
        <v>82.577802663408136</v>
      </c>
      <c r="EW179" s="57" t="s">
        <v>730</v>
      </c>
      <c r="EX179" s="57">
        <v>12</v>
      </c>
      <c r="EY179" s="57">
        <v>-80</v>
      </c>
      <c r="EZ179" s="57" t="s">
        <v>558</v>
      </c>
      <c r="FA179" s="57">
        <v>355</v>
      </c>
      <c r="FB179" s="57" t="s">
        <v>113</v>
      </c>
      <c r="FC179" s="57" t="s">
        <v>88</v>
      </c>
      <c r="FD179" s="59">
        <f t="shared" si="223"/>
        <v>-1.8298015668229122</v>
      </c>
      <c r="FE179" s="59">
        <f t="shared" si="224"/>
        <v>-1.8297904228412385</v>
      </c>
      <c r="FF179" s="59">
        <f t="shared" si="225"/>
        <v>-1.2676640934331271</v>
      </c>
      <c r="FG179" s="59">
        <f t="shared" si="226"/>
        <v>-1.2676529494514535</v>
      </c>
    </row>
    <row r="180" spans="1:163" s="57" customFormat="1" ht="15.75" x14ac:dyDescent="0.25">
      <c r="A180" s="60" t="s">
        <v>437</v>
      </c>
      <c r="B180" s="60" t="s">
        <v>437</v>
      </c>
      <c r="C180" s="60" t="s">
        <v>969</v>
      </c>
      <c r="D180" s="60" t="s">
        <v>969</v>
      </c>
      <c r="E180" s="60" t="s">
        <v>1421</v>
      </c>
      <c r="F180" s="60" t="s">
        <v>1013</v>
      </c>
      <c r="G180" s="60" t="s">
        <v>774</v>
      </c>
      <c r="H180" s="60" t="str">
        <f t="shared" si="171"/>
        <v>CW_3_Section_1</v>
      </c>
      <c r="I180" s="60" t="str">
        <f t="shared" si="172"/>
        <v>CW_3_MF01</v>
      </c>
      <c r="J180" s="60" t="s">
        <v>1488</v>
      </c>
      <c r="K180" s="60" t="s">
        <v>1484</v>
      </c>
      <c r="L180" s="65" t="s">
        <v>1092</v>
      </c>
      <c r="M180" s="60" t="s">
        <v>1015</v>
      </c>
      <c r="N180" s="60" t="s">
        <v>1015</v>
      </c>
      <c r="O180" s="61" t="s">
        <v>1016</v>
      </c>
      <c r="P180" s="60" t="s">
        <v>1422</v>
      </c>
      <c r="Q180" s="60" t="s">
        <v>1018</v>
      </c>
      <c r="R180" s="60" t="s">
        <v>1389</v>
      </c>
      <c r="S180" s="60" t="str">
        <f t="shared" si="173"/>
        <v>T7_0.15-0.30</v>
      </c>
      <c r="T180" s="62" t="s">
        <v>1390</v>
      </c>
      <c r="U180" s="60" t="s">
        <v>1113</v>
      </c>
      <c r="V180" s="60">
        <v>150</v>
      </c>
      <c r="W180" s="60">
        <v>65</v>
      </c>
      <c r="X180" s="60">
        <v>12.5</v>
      </c>
      <c r="Y180" s="60">
        <v>179</v>
      </c>
      <c r="Z180" s="57" t="s">
        <v>718</v>
      </c>
      <c r="AA180" s="57" t="s">
        <v>241</v>
      </c>
      <c r="AB180" s="63">
        <v>45958</v>
      </c>
      <c r="AC180" s="57">
        <v>11</v>
      </c>
      <c r="AD180" s="57">
        <v>11</v>
      </c>
      <c r="AE180" s="57">
        <v>90</v>
      </c>
      <c r="AF180" s="57">
        <f t="shared" si="187"/>
        <v>3.4566636794264499E-2</v>
      </c>
      <c r="AG180" s="57">
        <v>0.5</v>
      </c>
      <c r="AH180" s="57">
        <f t="shared" si="188"/>
        <v>1.9535489472541785E-4</v>
      </c>
      <c r="AI180" s="57">
        <v>180</v>
      </c>
      <c r="AJ180" s="57">
        <f t="shared" si="189"/>
        <v>7.120655552415936E-2</v>
      </c>
      <c r="AK180" s="57">
        <v>51</v>
      </c>
      <c r="AL180" s="57">
        <f t="shared" si="190"/>
        <v>2.0175190731845153E-2</v>
      </c>
      <c r="AM180" s="57">
        <v>22</v>
      </c>
      <c r="AN180" s="57">
        <f t="shared" si="191"/>
        <v>8.7030234529528114E-3</v>
      </c>
      <c r="AO180" s="57">
        <v>73</v>
      </c>
      <c r="AQ180" s="59">
        <v>346.5</v>
      </c>
      <c r="AR180" s="59">
        <f t="shared" si="192"/>
        <v>0.10596854721314927</v>
      </c>
      <c r="AS180" s="57">
        <v>1100</v>
      </c>
      <c r="AT180" s="57">
        <f t="shared" si="193"/>
        <v>0.41195287508777401</v>
      </c>
      <c r="AU180" s="57" t="s">
        <v>780</v>
      </c>
      <c r="AV180" s="57" t="s">
        <v>780</v>
      </c>
      <c r="AW180" s="57" t="s">
        <v>780</v>
      </c>
      <c r="AX180" s="57" t="s">
        <v>780</v>
      </c>
      <c r="AY180" s="57" t="s">
        <v>780</v>
      </c>
      <c r="AZ180" s="57" t="s">
        <v>780</v>
      </c>
      <c r="BA180" s="57" t="s">
        <v>780</v>
      </c>
      <c r="BB180" s="57" t="s">
        <v>780</v>
      </c>
      <c r="BC180" s="57" t="s">
        <v>780</v>
      </c>
      <c r="BD180" s="57" t="s">
        <v>780</v>
      </c>
      <c r="BE180" s="57" t="s">
        <v>780</v>
      </c>
      <c r="BF180" s="57" t="s">
        <v>780</v>
      </c>
      <c r="BG180" s="57" t="s">
        <v>780</v>
      </c>
      <c r="BH180" s="57" t="s">
        <v>780</v>
      </c>
      <c r="BI180" s="57" t="s">
        <v>780</v>
      </c>
      <c r="BJ180" s="57" t="s">
        <v>780</v>
      </c>
      <c r="BK180" s="57" t="s">
        <v>780</v>
      </c>
      <c r="BL180" s="57" t="s">
        <v>780</v>
      </c>
      <c r="BM180" s="57" t="s">
        <v>780</v>
      </c>
      <c r="BN180" s="57" t="s">
        <v>780</v>
      </c>
      <c r="BO180" s="57">
        <v>1600</v>
      </c>
      <c r="BP180" s="57">
        <v>0.17</v>
      </c>
      <c r="BQ180" s="57">
        <v>0.16</v>
      </c>
      <c r="BR180" s="57">
        <v>5.0000000000000001E-3</v>
      </c>
      <c r="BS180" s="57">
        <v>0.03</v>
      </c>
      <c r="BT180" s="57">
        <v>1E-3</v>
      </c>
      <c r="BU180" s="57">
        <v>1E-3</v>
      </c>
      <c r="BV180" s="57">
        <v>2E-3</v>
      </c>
      <c r="BW180" s="57">
        <f t="shared" si="194"/>
        <v>0.59920418194585312</v>
      </c>
      <c r="BX180" s="57">
        <f t="shared" si="195"/>
        <v>6.2553387213351737E-5</v>
      </c>
      <c r="BY180" s="57">
        <f t="shared" si="196"/>
        <v>6.0177679787303031E-5</v>
      </c>
      <c r="BZ180" s="57">
        <f t="shared" si="197"/>
        <v>1.8649981951630372E-6</v>
      </c>
      <c r="CA180" s="57">
        <f t="shared" si="198"/>
        <v>1.110924086854065E-5</v>
      </c>
      <c r="CB180" s="57">
        <f t="shared" si="199"/>
        <v>3.7030802895135499E-7</v>
      </c>
      <c r="CC180" s="57">
        <f t="shared" si="200"/>
        <v>3.6588380716934485E-7</v>
      </c>
      <c r="CD180" s="57">
        <f t="shared" si="201"/>
        <v>7.3176761433868969E-7</v>
      </c>
      <c r="CE180" s="57">
        <v>1E-3</v>
      </c>
      <c r="CF180" s="57">
        <v>1E-3</v>
      </c>
      <c r="CG180" s="57">
        <v>2E-3</v>
      </c>
      <c r="CH180" s="57">
        <v>1E-3</v>
      </c>
      <c r="CI180" s="57">
        <v>1E-3</v>
      </c>
      <c r="CK180" s="57">
        <v>2E-3</v>
      </c>
      <c r="CL180" s="57">
        <v>1E-3</v>
      </c>
      <c r="CM180" s="57">
        <v>1E-3</v>
      </c>
      <c r="CN180" s="57">
        <f t="shared" si="227"/>
        <v>1600.3690000000001</v>
      </c>
      <c r="CO180" s="57">
        <f t="shared" si="202"/>
        <v>0.36899999999999999</v>
      </c>
      <c r="CP180" s="57">
        <f t="shared" si="203"/>
        <v>0.599341355211368</v>
      </c>
      <c r="CQ180" s="57">
        <f t="shared" si="204"/>
        <v>1.3717326551481785E-4</v>
      </c>
      <c r="CR180" s="57">
        <v>1600</v>
      </c>
      <c r="CS180" s="57">
        <v>2200</v>
      </c>
      <c r="CT180" s="57" t="s">
        <v>69</v>
      </c>
      <c r="CU180" s="57" t="s">
        <v>69</v>
      </c>
      <c r="CV180" s="57" t="s">
        <v>69</v>
      </c>
      <c r="CW180" s="57">
        <v>2200</v>
      </c>
      <c r="CX180" s="64">
        <f t="shared" si="235"/>
        <v>1946.5</v>
      </c>
      <c r="CZ180" s="57">
        <v>64</v>
      </c>
      <c r="DA180" s="57" t="s">
        <v>62</v>
      </c>
      <c r="DB180" s="57" t="s">
        <v>88</v>
      </c>
      <c r="DC180" s="57" t="s">
        <v>782</v>
      </c>
      <c r="DD180" s="57">
        <f t="shared" si="236"/>
        <v>14.241932125754737</v>
      </c>
      <c r="DE180" s="57">
        <f t="shared" si="249"/>
        <v>14.241932125754737</v>
      </c>
      <c r="DF180" s="57">
        <v>17</v>
      </c>
      <c r="DG180" s="57">
        <f t="shared" si="237"/>
        <v>0.30438675022381378</v>
      </c>
      <c r="DH180" s="57">
        <f t="shared" si="205"/>
        <v>0.30438675022381378</v>
      </c>
      <c r="DI180" s="57">
        <f t="shared" si="238"/>
        <v>31.241932125754737</v>
      </c>
      <c r="DJ180" s="57">
        <f t="shared" si="206"/>
        <v>0.55939001120420295</v>
      </c>
      <c r="DK180" s="57">
        <f t="shared" si="207"/>
        <v>0.55939001120420295</v>
      </c>
      <c r="DL180" s="57">
        <f t="shared" si="208"/>
        <v>14.241932125754737</v>
      </c>
      <c r="DM180" s="57">
        <f t="shared" si="208"/>
        <v>14.241932125754737</v>
      </c>
      <c r="DN180" s="57">
        <f t="shared" si="209"/>
        <v>31.241932125754737</v>
      </c>
      <c r="DO180" s="57">
        <f t="shared" si="210"/>
        <v>0.55939001120420295</v>
      </c>
      <c r="DP180" s="57">
        <f t="shared" si="211"/>
        <v>0.55939001120420295</v>
      </c>
      <c r="DQ180" s="57">
        <v>4.5</v>
      </c>
      <c r="DR180" s="57">
        <f t="shared" si="212"/>
        <v>8.1922446750409619E-2</v>
      </c>
      <c r="DS180" s="57">
        <f t="shared" si="213"/>
        <v>0.16384489350081924</v>
      </c>
      <c r="DT180" s="57">
        <f t="shared" si="239"/>
        <v>6.8282874034326371</v>
      </c>
      <c r="DU180" s="57">
        <f t="shared" si="240"/>
        <v>3.4141437017163185</v>
      </c>
      <c r="DV180" s="57">
        <f t="shared" si="241"/>
        <v>35.741932125754737</v>
      </c>
      <c r="DW180" s="57">
        <f t="shared" si="242"/>
        <v>0.72323490470502216</v>
      </c>
      <c r="DX180" s="57" t="s">
        <v>780</v>
      </c>
      <c r="DY180" s="57" t="s">
        <v>140</v>
      </c>
      <c r="DZ180" s="57">
        <f t="shared" si="167"/>
        <v>1</v>
      </c>
      <c r="EA180" s="57">
        <v>1.7000000000000001E-2</v>
      </c>
      <c r="EB180" s="57">
        <f t="shared" si="214"/>
        <v>2.741935483870968E-4</v>
      </c>
      <c r="EC180" s="57">
        <f t="shared" si="215"/>
        <v>1.370967741935484E-3</v>
      </c>
      <c r="ED180" s="57">
        <f t="shared" si="233"/>
        <v>24.5</v>
      </c>
      <c r="EE180" s="59">
        <f t="shared" si="234"/>
        <v>98</v>
      </c>
      <c r="EF180" s="57">
        <f t="shared" si="243"/>
        <v>2.0403914220278994</v>
      </c>
      <c r="EG180" s="57">
        <f>$EK164-EK180</f>
        <v>24.5</v>
      </c>
      <c r="EH180" s="59">
        <f>(EG180/$EK$164)*100</f>
        <v>98</v>
      </c>
      <c r="EI180" s="57">
        <f t="shared" si="251"/>
        <v>2.0403914220278994</v>
      </c>
      <c r="EJ180" s="57">
        <f t="shared" si="250"/>
        <v>2.0403914220278994</v>
      </c>
      <c r="EK180" s="57">
        <v>0.5</v>
      </c>
      <c r="EL180" s="57">
        <f t="shared" si="216"/>
        <v>5.2050801582344368E-3</v>
      </c>
      <c r="EM180" s="57">
        <f t="shared" si="217"/>
        <v>4.1640641265875494E-2</v>
      </c>
      <c r="EN180" s="57">
        <f t="shared" si="244"/>
        <v>4.301160900781098E-2</v>
      </c>
      <c r="EO180" s="59">
        <f t="shared" si="248"/>
        <v>2.7636263267329215</v>
      </c>
      <c r="EP180" s="57">
        <f t="shared" si="245"/>
        <v>5.9286196515037505E-2</v>
      </c>
      <c r="EQ180" s="57">
        <f t="shared" si="246"/>
        <v>0.20241159443053125</v>
      </c>
      <c r="ER180" s="57">
        <f t="shared" si="247"/>
        <v>0.73830220905443122</v>
      </c>
      <c r="ES180" s="59">
        <f t="shared" si="219"/>
        <v>2.7636263267329215</v>
      </c>
      <c r="ET180" s="57">
        <f t="shared" si="220"/>
        <v>20.241159443053125</v>
      </c>
      <c r="EU180" s="57">
        <f t="shared" si="221"/>
        <v>5.9286196515037508</v>
      </c>
      <c r="EV180" s="57">
        <f t="shared" si="222"/>
        <v>73.830220905443127</v>
      </c>
      <c r="EW180" s="57" t="s">
        <v>719</v>
      </c>
      <c r="EX180" s="57">
        <v>12</v>
      </c>
      <c r="EY180" s="57">
        <v>-135</v>
      </c>
      <c r="EZ180" s="57" t="s">
        <v>558</v>
      </c>
      <c r="FA180" s="57">
        <v>660</v>
      </c>
      <c r="FB180" s="57" t="s">
        <v>72</v>
      </c>
      <c r="FC180" s="57" t="s">
        <v>88</v>
      </c>
      <c r="FD180" s="59">
        <f t="shared" si="223"/>
        <v>-2.2457049044319981</v>
      </c>
      <c r="FE180" s="59">
        <f t="shared" si="224"/>
        <v>-2.2455677311664832</v>
      </c>
      <c r="FF180" s="59">
        <f t="shared" si="225"/>
        <v>-2.2457049044319981</v>
      </c>
      <c r="FG180" s="59">
        <f t="shared" si="226"/>
        <v>-2.2455677311664832</v>
      </c>
    </row>
    <row r="181" spans="1:163" s="57" customFormat="1" ht="15.75" x14ac:dyDescent="0.25">
      <c r="A181" s="60" t="s">
        <v>438</v>
      </c>
      <c r="B181" s="60" t="s">
        <v>438</v>
      </c>
      <c r="C181" s="60" t="s">
        <v>970</v>
      </c>
      <c r="D181" s="60" t="s">
        <v>970</v>
      </c>
      <c r="E181" s="60" t="s">
        <v>1423</v>
      </c>
      <c r="F181" s="60" t="s">
        <v>1013</v>
      </c>
      <c r="G181" s="60" t="s">
        <v>774</v>
      </c>
      <c r="H181" s="60" t="str">
        <f t="shared" si="171"/>
        <v>CW_3_Section_1</v>
      </c>
      <c r="I181" s="60" t="str">
        <f t="shared" si="172"/>
        <v>CW_3_MF02</v>
      </c>
      <c r="J181" s="60" t="s">
        <v>1489</v>
      </c>
      <c r="K181" s="60" t="s">
        <v>1484</v>
      </c>
      <c r="L181" s="65" t="s">
        <v>1095</v>
      </c>
      <c r="M181" s="60" t="s">
        <v>1024</v>
      </c>
      <c r="N181" s="60" t="s">
        <v>1024</v>
      </c>
      <c r="O181" s="61" t="s">
        <v>1016</v>
      </c>
      <c r="P181" s="60" t="s">
        <v>1424</v>
      </c>
      <c r="Q181" s="60" t="s">
        <v>1018</v>
      </c>
      <c r="R181" s="60" t="s">
        <v>1389</v>
      </c>
      <c r="S181" s="60" t="str">
        <f t="shared" si="173"/>
        <v>T7_0.60-0.80</v>
      </c>
      <c r="T181" s="62" t="s">
        <v>1390</v>
      </c>
      <c r="U181" s="60" t="s">
        <v>1113</v>
      </c>
      <c r="V181" s="60">
        <v>150</v>
      </c>
      <c r="W181" s="60">
        <v>65</v>
      </c>
      <c r="X181" s="60">
        <v>6.25</v>
      </c>
      <c r="Y181" s="60">
        <v>180</v>
      </c>
      <c r="Z181" s="57" t="s">
        <v>720</v>
      </c>
      <c r="AA181" s="57" t="s">
        <v>245</v>
      </c>
      <c r="AB181" s="63">
        <v>45958</v>
      </c>
      <c r="AC181" s="57">
        <v>9.4</v>
      </c>
      <c r="AD181" s="57">
        <v>9.8000000000000007</v>
      </c>
      <c r="AE181" s="57">
        <v>660</v>
      </c>
      <c r="AF181" s="57">
        <f t="shared" si="187"/>
        <v>0.25348866982460633</v>
      </c>
      <c r="AG181" s="57">
        <v>67</v>
      </c>
      <c r="AH181" s="57">
        <f t="shared" si="188"/>
        <v>2.6177555893205993E-2</v>
      </c>
      <c r="AI181" s="57">
        <v>410</v>
      </c>
      <c r="AJ181" s="57">
        <f t="shared" si="189"/>
        <v>0.16219270980502967</v>
      </c>
      <c r="AK181" s="57">
        <v>150</v>
      </c>
      <c r="AL181" s="57">
        <f t="shared" si="190"/>
        <v>5.9338796270132804E-2</v>
      </c>
      <c r="AM181" s="57">
        <v>200</v>
      </c>
      <c r="AN181" s="57">
        <f t="shared" si="191"/>
        <v>7.9118395026843744E-2</v>
      </c>
      <c r="AO181" s="57">
        <v>350</v>
      </c>
      <c r="AQ181" s="59">
        <v>1487</v>
      </c>
      <c r="AR181" s="59">
        <f t="shared" si="192"/>
        <v>0.44185893552284194</v>
      </c>
      <c r="AS181" s="57">
        <v>1300</v>
      </c>
      <c r="AT181" s="57">
        <f t="shared" si="193"/>
        <v>0.48685339783100573</v>
      </c>
      <c r="AU181" s="57" t="s">
        <v>780</v>
      </c>
      <c r="AV181" s="57" t="s">
        <v>780</v>
      </c>
      <c r="AW181" s="57" t="s">
        <v>780</v>
      </c>
      <c r="AX181" s="57" t="s">
        <v>780</v>
      </c>
      <c r="AY181" s="57" t="s">
        <v>780</v>
      </c>
      <c r="AZ181" s="57" t="s">
        <v>780</v>
      </c>
      <c r="BA181" s="57" t="s">
        <v>780</v>
      </c>
      <c r="BB181" s="57" t="s">
        <v>780</v>
      </c>
      <c r="BC181" s="57" t="s">
        <v>780</v>
      </c>
      <c r="BD181" s="57" t="s">
        <v>780</v>
      </c>
      <c r="BE181" s="57" t="s">
        <v>780</v>
      </c>
      <c r="BF181" s="57" t="s">
        <v>780</v>
      </c>
      <c r="BG181" s="57" t="s">
        <v>780</v>
      </c>
      <c r="BH181" s="57" t="s">
        <v>780</v>
      </c>
      <c r="BI181" s="57" t="s">
        <v>780</v>
      </c>
      <c r="BJ181" s="57" t="s">
        <v>780</v>
      </c>
      <c r="BK181" s="57" t="s">
        <v>780</v>
      </c>
      <c r="BL181" s="57" t="s">
        <v>780</v>
      </c>
      <c r="BM181" s="57" t="s">
        <v>780</v>
      </c>
      <c r="BN181" s="57" t="s">
        <v>780</v>
      </c>
      <c r="BO181" s="57">
        <v>2800</v>
      </c>
      <c r="BP181" s="57">
        <v>4</v>
      </c>
      <c r="BQ181" s="57">
        <v>270</v>
      </c>
      <c r="BR181" s="57">
        <v>62</v>
      </c>
      <c r="BS181" s="57">
        <v>50</v>
      </c>
      <c r="BT181" s="57">
        <v>8.6</v>
      </c>
      <c r="BU181" s="57">
        <v>1.3</v>
      </c>
      <c r="BV181" s="57">
        <v>1.2</v>
      </c>
      <c r="BW181" s="57">
        <f t="shared" si="194"/>
        <v>1.0486073184052431</v>
      </c>
      <c r="BX181" s="57">
        <f t="shared" si="195"/>
        <v>1.4718444050200407E-3</v>
      </c>
      <c r="BY181" s="57">
        <f t="shared" si="196"/>
        <v>0.10154983464107385</v>
      </c>
      <c r="BZ181" s="57">
        <f t="shared" si="197"/>
        <v>2.3125977620021658E-2</v>
      </c>
      <c r="CA181" s="57">
        <f t="shared" si="198"/>
        <v>1.8515401447567748E-2</v>
      </c>
      <c r="CB181" s="57">
        <f t="shared" si="199"/>
        <v>3.1846490489816528E-3</v>
      </c>
      <c r="CC181" s="57">
        <f t="shared" si="200"/>
        <v>4.7564894932014833E-4</v>
      </c>
      <c r="CD181" s="57">
        <f t="shared" si="201"/>
        <v>4.3906056860321384E-4</v>
      </c>
      <c r="CE181" s="57">
        <v>0.03</v>
      </c>
      <c r="CF181" s="57">
        <v>0.03</v>
      </c>
      <c r="CG181" s="57">
        <v>2E-3</v>
      </c>
      <c r="CH181" s="57">
        <v>1E-3</v>
      </c>
      <c r="CI181" s="57">
        <v>0.02</v>
      </c>
      <c r="CK181" s="57">
        <v>2E-3</v>
      </c>
      <c r="CL181" s="57">
        <v>1E-3</v>
      </c>
      <c r="CM181" s="57">
        <v>1E-3</v>
      </c>
      <c r="CN181" s="57">
        <f t="shared" si="227"/>
        <v>3197.1</v>
      </c>
      <c r="CO181" s="57">
        <f t="shared" si="202"/>
        <v>397.1</v>
      </c>
      <c r="CP181" s="57">
        <f t="shared" si="203"/>
        <v>1.1973697350858317</v>
      </c>
      <c r="CQ181" s="57">
        <f t="shared" si="204"/>
        <v>0.14876241668058832</v>
      </c>
      <c r="CR181" s="57">
        <v>3200</v>
      </c>
      <c r="CS181" s="57">
        <v>2300</v>
      </c>
      <c r="CT181" s="57">
        <v>920</v>
      </c>
      <c r="CU181" s="57" t="s">
        <v>69</v>
      </c>
      <c r="CV181" s="57" t="s">
        <v>69</v>
      </c>
      <c r="CW181" s="57">
        <v>3300</v>
      </c>
      <c r="CX181" s="64">
        <f t="shared" si="235"/>
        <v>4687</v>
      </c>
      <c r="CZ181" s="57">
        <v>73</v>
      </c>
      <c r="DA181" s="57" t="s">
        <v>62</v>
      </c>
      <c r="DB181" s="57" t="s">
        <v>88</v>
      </c>
      <c r="DC181" s="57" t="s">
        <v>782</v>
      </c>
      <c r="DD181" s="57">
        <f t="shared" si="236"/>
        <v>1.7439100562148657</v>
      </c>
      <c r="DE181" s="57">
        <f t="shared" si="249"/>
        <v>1.7439100562148657</v>
      </c>
      <c r="DF181" s="57">
        <v>0.4</v>
      </c>
      <c r="DG181" s="57">
        <f t="shared" si="237"/>
        <v>7.162041181736795E-3</v>
      </c>
      <c r="DH181" s="57">
        <f t="shared" si="205"/>
        <v>7.162041181736795E-3</v>
      </c>
      <c r="DI181" s="57">
        <f t="shared" si="238"/>
        <v>2.1439100562148656</v>
      </c>
      <c r="DJ181" s="57">
        <f t="shared" si="206"/>
        <v>3.8386930281376283E-2</v>
      </c>
      <c r="DK181" s="57">
        <f t="shared" si="207"/>
        <v>3.8386930281376283E-2</v>
      </c>
      <c r="DL181" s="57">
        <f t="shared" si="208"/>
        <v>1.7439100562148657</v>
      </c>
      <c r="DM181" s="57">
        <f t="shared" si="208"/>
        <v>1.7439100562148657</v>
      </c>
      <c r="DN181" s="57">
        <f t="shared" si="209"/>
        <v>2.1439100562148656</v>
      </c>
      <c r="DO181" s="57">
        <f t="shared" si="210"/>
        <v>3.8386930281376283E-2</v>
      </c>
      <c r="DP181" s="57">
        <f t="shared" si="211"/>
        <v>3.8386930281376283E-2</v>
      </c>
      <c r="DQ181" s="57">
        <v>1.1000000000000001</v>
      </c>
      <c r="DR181" s="57">
        <f t="shared" si="212"/>
        <v>2.0025486983433462E-2</v>
      </c>
      <c r="DS181" s="57">
        <f t="shared" si="213"/>
        <v>4.0050973966866923E-2</v>
      </c>
      <c r="DT181" s="57">
        <f t="shared" si="239"/>
        <v>1.9169037094145447</v>
      </c>
      <c r="DU181" s="57">
        <f t="shared" si="240"/>
        <v>0.95845185470727234</v>
      </c>
      <c r="DV181" s="57">
        <f t="shared" si="241"/>
        <v>3.2439100562148657</v>
      </c>
      <c r="DW181" s="57">
        <f t="shared" si="242"/>
        <v>7.8437904248243207E-2</v>
      </c>
      <c r="DX181" s="57" t="s">
        <v>780</v>
      </c>
      <c r="DY181" s="57" t="s">
        <v>135</v>
      </c>
      <c r="DZ181" s="57">
        <f t="shared" si="167"/>
        <v>1</v>
      </c>
      <c r="EA181" s="57">
        <v>1.7000000000000001E-2</v>
      </c>
      <c r="EB181" s="57">
        <f t="shared" si="214"/>
        <v>2.741935483870968E-4</v>
      </c>
      <c r="EC181" s="57">
        <f t="shared" si="215"/>
        <v>1.370967741935484E-3</v>
      </c>
      <c r="ED181" s="57">
        <f t="shared" si="233"/>
        <v>3</v>
      </c>
      <c r="EE181" s="59">
        <f t="shared" si="234"/>
        <v>12</v>
      </c>
      <c r="EF181" s="57">
        <f t="shared" si="243"/>
        <v>0.24984384759525297</v>
      </c>
      <c r="EG181" s="57">
        <f>$EK164-EK181</f>
        <v>3</v>
      </c>
      <c r="EH181" s="59">
        <f>(EG181/$EK$164)*100</f>
        <v>12</v>
      </c>
      <c r="EI181" s="57">
        <f t="shared" si="251"/>
        <v>0.24984384759525297</v>
      </c>
      <c r="EJ181" s="57">
        <f t="shared" si="250"/>
        <v>0.24984384759525297</v>
      </c>
      <c r="EK181" s="57">
        <v>22</v>
      </c>
      <c r="EL181" s="57">
        <f t="shared" si="216"/>
        <v>0.2290235269623152</v>
      </c>
      <c r="EM181" s="57">
        <f t="shared" si="217"/>
        <v>1.8321882156985216</v>
      </c>
      <c r="EN181" s="57">
        <f t="shared" si="244"/>
        <v>1.8335591834404572</v>
      </c>
      <c r="EO181" s="59">
        <f t="shared" si="248"/>
        <v>0.32828175184349617</v>
      </c>
      <c r="EP181" s="57">
        <f t="shared" si="245"/>
        <v>0.12200182843535171</v>
      </c>
      <c r="EQ181" s="57">
        <f t="shared" si="246"/>
        <v>0.11693287874154128</v>
      </c>
      <c r="ER181" s="57">
        <f t="shared" si="247"/>
        <v>0.76106529282310698</v>
      </c>
      <c r="ES181" s="59">
        <f t="shared" si="219"/>
        <v>0.32828175184349617</v>
      </c>
      <c r="ET181" s="57">
        <f t="shared" si="220"/>
        <v>11.693287874154128</v>
      </c>
      <c r="EU181" s="57">
        <f t="shared" si="221"/>
        <v>12.20018284353517</v>
      </c>
      <c r="EV181" s="57">
        <f t="shared" si="222"/>
        <v>76.106529282310703</v>
      </c>
      <c r="EW181" s="57" t="s">
        <v>141</v>
      </c>
      <c r="EX181" s="57">
        <v>13</v>
      </c>
      <c r="EY181" s="57">
        <v>-224</v>
      </c>
      <c r="EZ181" s="57" t="s">
        <v>160</v>
      </c>
      <c r="FA181" s="57">
        <v>700</v>
      </c>
      <c r="FB181" s="57" t="s">
        <v>113</v>
      </c>
      <c r="FC181" s="57" t="s">
        <v>88</v>
      </c>
      <c r="FD181" s="59">
        <f t="shared" si="223"/>
        <v>0.60043058151035145</v>
      </c>
      <c r="FE181" s="59">
        <f t="shared" si="224"/>
        <v>0.74919299819093976</v>
      </c>
      <c r="FF181" s="59">
        <f t="shared" si="225"/>
        <v>0.60043058151035145</v>
      </c>
      <c r="FG181" s="59">
        <f t="shared" si="226"/>
        <v>0.74919299819093976</v>
      </c>
    </row>
    <row r="182" spans="1:163" s="57" customFormat="1" ht="15.75" x14ac:dyDescent="0.25">
      <c r="A182" s="60" t="s">
        <v>439</v>
      </c>
      <c r="B182" s="60" t="s">
        <v>439</v>
      </c>
      <c r="C182" s="60" t="s">
        <v>971</v>
      </c>
      <c r="D182" s="60" t="s">
        <v>971</v>
      </c>
      <c r="E182" s="60" t="s">
        <v>1425</v>
      </c>
      <c r="F182" s="60" t="s">
        <v>1027</v>
      </c>
      <c r="G182" s="60" t="s">
        <v>774</v>
      </c>
      <c r="H182" s="60" t="str">
        <f t="shared" si="171"/>
        <v>CW_3_Section_2</v>
      </c>
      <c r="I182" s="60" t="str">
        <f t="shared" si="172"/>
        <v>CW_3_MF05</v>
      </c>
      <c r="J182" s="60" t="s">
        <v>1496</v>
      </c>
      <c r="K182" s="60" t="s">
        <v>1484</v>
      </c>
      <c r="L182" s="65" t="s">
        <v>1098</v>
      </c>
      <c r="M182" s="60" t="s">
        <v>1015</v>
      </c>
      <c r="N182" s="60" t="s">
        <v>1015</v>
      </c>
      <c r="O182" s="61" t="s">
        <v>1016</v>
      </c>
      <c r="P182" s="60" t="s">
        <v>1426</v>
      </c>
      <c r="Q182" s="60" t="s">
        <v>1018</v>
      </c>
      <c r="R182" s="60" t="s">
        <v>1389</v>
      </c>
      <c r="S182" s="60" t="str">
        <f t="shared" si="173"/>
        <v>T7_0.15-0.30</v>
      </c>
      <c r="T182" s="62" t="s">
        <v>1390</v>
      </c>
      <c r="U182" s="60" t="s">
        <v>1113</v>
      </c>
      <c r="V182" s="60">
        <v>150</v>
      </c>
      <c r="W182" s="60">
        <v>65</v>
      </c>
      <c r="X182" s="60">
        <v>8.85</v>
      </c>
      <c r="Y182" s="60">
        <v>181</v>
      </c>
      <c r="Z182" s="57" t="s">
        <v>721</v>
      </c>
      <c r="AA182" s="57" t="s">
        <v>250</v>
      </c>
      <c r="AB182" s="63">
        <v>45958</v>
      </c>
      <c r="AC182" s="57">
        <v>0.05</v>
      </c>
      <c r="AD182" s="57">
        <v>0.5</v>
      </c>
      <c r="AE182" s="57">
        <v>1.1000000000000001</v>
      </c>
      <c r="AF182" s="57">
        <f t="shared" si="187"/>
        <v>4.2248111637434386E-4</v>
      </c>
      <c r="AG182" s="57">
        <v>0.02</v>
      </c>
      <c r="AH182" s="57">
        <f t="shared" si="188"/>
        <v>7.8141957890167132E-6</v>
      </c>
      <c r="AI182" s="57">
        <v>3.5</v>
      </c>
      <c r="AJ182" s="57">
        <f t="shared" si="189"/>
        <v>1.3845719129697656E-3</v>
      </c>
      <c r="AK182" s="57">
        <v>0.65</v>
      </c>
      <c r="AL182" s="57">
        <f t="shared" si="190"/>
        <v>2.5713478383724219E-4</v>
      </c>
      <c r="AM182" s="57">
        <v>0.33</v>
      </c>
      <c r="AN182" s="57">
        <f t="shared" si="191"/>
        <v>1.3054535179429216E-4</v>
      </c>
      <c r="AO182" s="57">
        <v>0.98</v>
      </c>
      <c r="AQ182" s="59">
        <v>5.72</v>
      </c>
      <c r="AR182" s="59">
        <f t="shared" si="192"/>
        <v>1.8148672251331261E-3</v>
      </c>
      <c r="AS182" s="57">
        <v>23</v>
      </c>
      <c r="AT182" s="57">
        <f t="shared" si="193"/>
        <v>8.6135601154716385E-3</v>
      </c>
      <c r="AU182" s="57" t="s">
        <v>780</v>
      </c>
      <c r="AV182" s="57" t="s">
        <v>780</v>
      </c>
      <c r="AW182" s="57" t="s">
        <v>780</v>
      </c>
      <c r="AX182" s="57" t="s">
        <v>780</v>
      </c>
      <c r="AY182" s="57" t="s">
        <v>780</v>
      </c>
      <c r="AZ182" s="57" t="s">
        <v>780</v>
      </c>
      <c r="BA182" s="57" t="s">
        <v>780</v>
      </c>
      <c r="BB182" s="57" t="s">
        <v>780</v>
      </c>
      <c r="BC182" s="57" t="s">
        <v>780</v>
      </c>
      <c r="BD182" s="57" t="s">
        <v>780</v>
      </c>
      <c r="BE182" s="57" t="s">
        <v>780</v>
      </c>
      <c r="BF182" s="57" t="s">
        <v>780</v>
      </c>
      <c r="BG182" s="57" t="s">
        <v>780</v>
      </c>
      <c r="BH182" s="57" t="s">
        <v>780</v>
      </c>
      <c r="BI182" s="57" t="s">
        <v>780</v>
      </c>
      <c r="BJ182" s="57" t="s">
        <v>780</v>
      </c>
      <c r="BK182" s="57" t="s">
        <v>780</v>
      </c>
      <c r="BL182" s="57" t="s">
        <v>780</v>
      </c>
      <c r="BM182" s="57" t="s">
        <v>780</v>
      </c>
      <c r="BN182" s="57" t="s">
        <v>780</v>
      </c>
      <c r="BO182" s="57">
        <v>20</v>
      </c>
      <c r="BP182" s="57">
        <v>0.01</v>
      </c>
      <c r="BQ182" s="57">
        <v>0.01</v>
      </c>
      <c r="BR182" s="57">
        <v>5.0000000000000001E-3</v>
      </c>
      <c r="BS182" s="57">
        <v>1E-3</v>
      </c>
      <c r="BT182" s="57">
        <v>1E-3</v>
      </c>
      <c r="BU182" s="57">
        <v>1E-3</v>
      </c>
      <c r="BV182" s="57">
        <v>2E-3</v>
      </c>
      <c r="BW182" s="57">
        <f t="shared" si="194"/>
        <v>7.4900522743231637E-3</v>
      </c>
      <c r="BX182" s="57">
        <f t="shared" si="195"/>
        <v>3.6796110125501018E-6</v>
      </c>
      <c r="BY182" s="57">
        <f t="shared" si="196"/>
        <v>3.7611049867064394E-6</v>
      </c>
      <c r="BZ182" s="57">
        <f t="shared" si="197"/>
        <v>1.8649981951630372E-6</v>
      </c>
      <c r="CA182" s="57">
        <f t="shared" si="198"/>
        <v>3.7030802895135499E-7</v>
      </c>
      <c r="CB182" s="57">
        <f t="shared" si="199"/>
        <v>3.7030802895135499E-7</v>
      </c>
      <c r="CC182" s="57">
        <f t="shared" si="200"/>
        <v>3.6588380716934485E-7</v>
      </c>
      <c r="CD182" s="57">
        <f t="shared" si="201"/>
        <v>7.3176761433868969E-7</v>
      </c>
      <c r="CE182" s="57">
        <v>1E-3</v>
      </c>
      <c r="CF182" s="57">
        <v>1E-3</v>
      </c>
      <c r="CG182" s="57">
        <v>2E-3</v>
      </c>
      <c r="CH182" s="57">
        <v>1E-3</v>
      </c>
      <c r="CI182" s="57">
        <v>1E-3</v>
      </c>
      <c r="CK182" s="57">
        <v>2E-3</v>
      </c>
      <c r="CL182" s="57">
        <v>1E-3</v>
      </c>
      <c r="CM182" s="57">
        <v>1E-3</v>
      </c>
      <c r="CN182" s="57">
        <f t="shared" si="227"/>
        <v>20.030000000000005</v>
      </c>
      <c r="CO182" s="57">
        <f t="shared" si="202"/>
        <v>3.0000000000000006E-2</v>
      </c>
      <c r="CP182" s="57">
        <f t="shared" si="203"/>
        <v>7.5011962559969943E-3</v>
      </c>
      <c r="CQ182" s="57">
        <f t="shared" si="204"/>
        <v>1.1143981673830322E-5</v>
      </c>
      <c r="CR182" s="57">
        <v>20</v>
      </c>
      <c r="CS182" s="57" t="s">
        <v>69</v>
      </c>
      <c r="CT182" s="57" t="s">
        <v>69</v>
      </c>
      <c r="CU182" s="57" t="s">
        <v>69</v>
      </c>
      <c r="CV182" s="57" t="s">
        <v>69</v>
      </c>
      <c r="CW182" s="57">
        <v>5</v>
      </c>
      <c r="CX182" s="64">
        <f t="shared" si="235"/>
        <v>25.72</v>
      </c>
      <c r="CZ182" s="57">
        <v>70</v>
      </c>
      <c r="DA182" s="57" t="s">
        <v>62</v>
      </c>
      <c r="DB182" s="57" t="s">
        <v>88</v>
      </c>
      <c r="DC182" s="57" t="s">
        <v>782</v>
      </c>
      <c r="DD182" s="57">
        <f t="shared" si="236"/>
        <v>-26.158650843222983</v>
      </c>
      <c r="DE182" s="57">
        <v>0</v>
      </c>
      <c r="DF182" s="57">
        <v>3.6</v>
      </c>
      <c r="DG182" s="57">
        <f t="shared" si="237"/>
        <v>6.445837063563116E-2</v>
      </c>
      <c r="DH182" s="57">
        <f t="shared" si="205"/>
        <v>6.445837063563116E-2</v>
      </c>
      <c r="DI182" s="57">
        <f t="shared" si="238"/>
        <v>3.6</v>
      </c>
      <c r="DJ182" s="57">
        <f t="shared" si="206"/>
        <v>6.445837063563116E-2</v>
      </c>
      <c r="DK182" s="57">
        <f t="shared" si="207"/>
        <v>6.445837063563116E-2</v>
      </c>
      <c r="DL182" s="57">
        <f t="shared" si="208"/>
        <v>-40.400582968977723</v>
      </c>
      <c r="DN182" s="57">
        <f t="shared" si="209"/>
        <v>3.6</v>
      </c>
      <c r="DO182" s="57">
        <f t="shared" si="210"/>
        <v>6.445837063563116E-2</v>
      </c>
      <c r="DP182" s="57">
        <f t="shared" si="211"/>
        <v>6.445837063563116E-2</v>
      </c>
      <c r="DQ182" s="57">
        <v>8.6999999999999993</v>
      </c>
      <c r="DR182" s="57">
        <f t="shared" si="212"/>
        <v>0.15838339705079191</v>
      </c>
      <c r="DS182" s="57">
        <f t="shared" si="213"/>
        <v>0.31676679410158382</v>
      </c>
      <c r="DT182" s="57">
        <f t="shared" si="239"/>
        <v>0.4069768159787609</v>
      </c>
      <c r="DU182" s="57">
        <f t="shared" si="240"/>
        <v>0.20348840798938045</v>
      </c>
      <c r="DV182" s="57">
        <f t="shared" si="241"/>
        <v>12.299999999999999</v>
      </c>
      <c r="DW182" s="57">
        <f t="shared" si="242"/>
        <v>0.38122516473721496</v>
      </c>
      <c r="DX182" s="57" t="s">
        <v>780</v>
      </c>
      <c r="DY182" s="57" t="s">
        <v>615</v>
      </c>
      <c r="DZ182" s="57">
        <f t="shared" si="167"/>
        <v>1</v>
      </c>
      <c r="EA182" s="57">
        <v>1.7000000000000001E-2</v>
      </c>
      <c r="EB182" s="57">
        <f t="shared" si="214"/>
        <v>2.741935483870968E-4</v>
      </c>
      <c r="EC182" s="57">
        <f t="shared" si="215"/>
        <v>1.370967741935484E-3</v>
      </c>
      <c r="ED182" s="57">
        <f t="shared" si="233"/>
        <v>-45</v>
      </c>
      <c r="EE182" s="59">
        <f t="shared" si="234"/>
        <v>-180</v>
      </c>
      <c r="EF182" s="57">
        <f t="shared" si="243"/>
        <v>-3.7476577139287945</v>
      </c>
      <c r="EG182" s="57">
        <f>$EK180-EK182</f>
        <v>-69.5</v>
      </c>
      <c r="EH182" s="59">
        <f>(EG182/$EK180)*100</f>
        <v>-13900</v>
      </c>
      <c r="EI182" s="57">
        <f t="shared" si="251"/>
        <v>-5.7880491359566939</v>
      </c>
      <c r="EK182" s="57">
        <v>70</v>
      </c>
      <c r="EL182" s="57">
        <f t="shared" si="216"/>
        <v>0.72871122215282114</v>
      </c>
      <c r="EM182" s="57">
        <f t="shared" si="217"/>
        <v>5.8296897772225691</v>
      </c>
      <c r="EN182" s="57">
        <f t="shared" si="244"/>
        <v>5.8310607449645042</v>
      </c>
      <c r="EO182" s="59">
        <f t="shared" si="248"/>
        <v>-3.3664325491915794</v>
      </c>
      <c r="EP182" s="57">
        <f t="shared" si="245"/>
        <v>-9.4095690162469672E-2</v>
      </c>
      <c r="EQ182" s="57">
        <f t="shared" si="246"/>
        <v>-1.914738218982296E-2</v>
      </c>
      <c r="ER182" s="57">
        <f t="shared" si="247"/>
        <v>1.1132430723522926</v>
      </c>
      <c r="ES182" s="59">
        <f t="shared" si="219"/>
        <v>0.38122516473721496</v>
      </c>
      <c r="ET182" s="57">
        <f t="shared" si="220"/>
        <v>16.908215038758897</v>
      </c>
      <c r="EU182" s="57">
        <f t="shared" si="221"/>
        <v>83.091784961241117</v>
      </c>
      <c r="EV182" s="57">
        <f t="shared" si="222"/>
        <v>0</v>
      </c>
      <c r="EW182" s="57" t="s">
        <v>722</v>
      </c>
      <c r="EX182" s="57">
        <v>12</v>
      </c>
      <c r="EY182" s="57">
        <v>-169</v>
      </c>
      <c r="EZ182" s="57" t="s">
        <v>246</v>
      </c>
      <c r="FA182" s="57">
        <v>673</v>
      </c>
      <c r="FB182" s="57" t="s">
        <v>72</v>
      </c>
      <c r="FC182" s="57" t="s">
        <v>88</v>
      </c>
      <c r="FD182" s="59">
        <f t="shared" si="223"/>
        <v>3.3768609765321842</v>
      </c>
      <c r="FE182" s="59">
        <f t="shared" si="224"/>
        <v>3.3768721205138581</v>
      </c>
      <c r="FF182" s="59">
        <f t="shared" si="225"/>
        <v>-0.37079673739661018</v>
      </c>
      <c r="FG182" s="59">
        <f t="shared" si="226"/>
        <v>-0.37078559341493639</v>
      </c>
    </row>
    <row r="183" spans="1:163" s="57" customFormat="1" ht="15.75" x14ac:dyDescent="0.25">
      <c r="A183" s="60" t="s">
        <v>440</v>
      </c>
      <c r="B183" s="60" t="s">
        <v>440</v>
      </c>
      <c r="C183" s="60" t="s">
        <v>972</v>
      </c>
      <c r="D183" s="60" t="s">
        <v>972</v>
      </c>
      <c r="E183" s="60" t="s">
        <v>1427</v>
      </c>
      <c r="F183" s="60" t="s">
        <v>1027</v>
      </c>
      <c r="G183" s="60" t="s">
        <v>774</v>
      </c>
      <c r="H183" s="60" t="str">
        <f t="shared" si="171"/>
        <v>CW_3_Section_2</v>
      </c>
      <c r="I183" s="60" t="str">
        <f t="shared" si="172"/>
        <v>CW_3_MF06</v>
      </c>
      <c r="J183" s="60" t="s">
        <v>1497</v>
      </c>
      <c r="K183" s="60" t="s">
        <v>1484</v>
      </c>
      <c r="L183" s="65" t="s">
        <v>1101</v>
      </c>
      <c r="M183" s="60" t="s">
        <v>1024</v>
      </c>
      <c r="N183" s="60" t="s">
        <v>1024</v>
      </c>
      <c r="O183" s="61" t="s">
        <v>1016</v>
      </c>
      <c r="P183" s="60" t="s">
        <v>1428</v>
      </c>
      <c r="Q183" s="60" t="s">
        <v>1018</v>
      </c>
      <c r="R183" s="60" t="s">
        <v>1389</v>
      </c>
      <c r="S183" s="60" t="str">
        <f t="shared" si="173"/>
        <v>T7_0.60-0.80</v>
      </c>
      <c r="T183" s="62" t="s">
        <v>1390</v>
      </c>
      <c r="U183" s="60" t="s">
        <v>1113</v>
      </c>
      <c r="V183" s="60">
        <v>150</v>
      </c>
      <c r="W183" s="60">
        <v>65</v>
      </c>
      <c r="X183" s="60">
        <v>8</v>
      </c>
      <c r="Y183" s="60">
        <v>182</v>
      </c>
      <c r="Z183" s="57" t="s">
        <v>723</v>
      </c>
      <c r="AA183" s="57" t="s">
        <v>255</v>
      </c>
      <c r="AB183" s="63">
        <v>45958</v>
      </c>
      <c r="AC183" s="57">
        <v>7.9</v>
      </c>
      <c r="AD183" s="57">
        <v>8.8000000000000007</v>
      </c>
      <c r="AE183" s="57">
        <v>620</v>
      </c>
      <c r="AF183" s="57">
        <f t="shared" si="187"/>
        <v>0.23812572013826652</v>
      </c>
      <c r="AG183" s="57">
        <v>82</v>
      </c>
      <c r="AH183" s="57">
        <f t="shared" si="188"/>
        <v>3.2038202734968525E-2</v>
      </c>
      <c r="AI183" s="57">
        <v>540</v>
      </c>
      <c r="AJ183" s="57">
        <f t="shared" si="189"/>
        <v>0.21361966657247808</v>
      </c>
      <c r="AK183" s="57">
        <v>230</v>
      </c>
      <c r="AL183" s="57">
        <f t="shared" si="190"/>
        <v>9.0986154280870299E-2</v>
      </c>
      <c r="AM183" s="57">
        <v>310</v>
      </c>
      <c r="AN183" s="57">
        <f t="shared" si="191"/>
        <v>0.12263351229160781</v>
      </c>
      <c r="AO183" s="57">
        <v>540</v>
      </c>
      <c r="AQ183" s="59">
        <v>1782</v>
      </c>
      <c r="AR183" s="59">
        <f t="shared" si="192"/>
        <v>0.48378358944571309</v>
      </c>
      <c r="AS183" s="57">
        <v>1800</v>
      </c>
      <c r="AT183" s="57">
        <f t="shared" si="193"/>
        <v>0.6741047046890849</v>
      </c>
      <c r="AU183" s="57" t="s">
        <v>780</v>
      </c>
      <c r="AV183" s="57" t="s">
        <v>780</v>
      </c>
      <c r="AW183" s="57" t="s">
        <v>780</v>
      </c>
      <c r="AX183" s="57" t="s">
        <v>780</v>
      </c>
      <c r="AY183" s="57" t="s">
        <v>780</v>
      </c>
      <c r="AZ183" s="57" t="s">
        <v>780</v>
      </c>
      <c r="BA183" s="57" t="s">
        <v>780</v>
      </c>
      <c r="BB183" s="57" t="s">
        <v>780</v>
      </c>
      <c r="BC183" s="57" t="s">
        <v>780</v>
      </c>
      <c r="BD183" s="57" t="s">
        <v>780</v>
      </c>
      <c r="BE183" s="57" t="s">
        <v>780</v>
      </c>
      <c r="BF183" s="57" t="s">
        <v>780</v>
      </c>
      <c r="BG183" s="57" t="s">
        <v>780</v>
      </c>
      <c r="BH183" s="57" t="s">
        <v>780</v>
      </c>
      <c r="BI183" s="57" t="s">
        <v>780</v>
      </c>
      <c r="BJ183" s="57" t="s">
        <v>780</v>
      </c>
      <c r="BK183" s="57" t="s">
        <v>780</v>
      </c>
      <c r="BL183" s="57" t="s">
        <v>780</v>
      </c>
      <c r="BM183" s="57" t="s">
        <v>780</v>
      </c>
      <c r="BN183" s="57" t="s">
        <v>780</v>
      </c>
      <c r="BO183" s="57">
        <v>2200</v>
      </c>
      <c r="BP183" s="57">
        <v>4</v>
      </c>
      <c r="BQ183" s="57">
        <v>110</v>
      </c>
      <c r="BR183" s="57">
        <v>28</v>
      </c>
      <c r="BS183" s="57">
        <v>26</v>
      </c>
      <c r="BT183" s="57">
        <v>3.6</v>
      </c>
      <c r="BU183" s="57">
        <v>1.3</v>
      </c>
      <c r="BV183" s="57">
        <v>1.4</v>
      </c>
      <c r="BW183" s="57">
        <f t="shared" si="194"/>
        <v>0.82390575017554801</v>
      </c>
      <c r="BX183" s="57">
        <f t="shared" si="195"/>
        <v>1.4718444050200407E-3</v>
      </c>
      <c r="BY183" s="57">
        <f t="shared" si="196"/>
        <v>4.1372154853770833E-2</v>
      </c>
      <c r="BZ183" s="57">
        <f t="shared" si="197"/>
        <v>1.0443989892913006E-2</v>
      </c>
      <c r="CA183" s="57">
        <f t="shared" si="198"/>
        <v>9.6280087527352287E-3</v>
      </c>
      <c r="CB183" s="57">
        <f t="shared" si="199"/>
        <v>1.3331089042248781E-3</v>
      </c>
      <c r="CC183" s="57">
        <f t="shared" si="200"/>
        <v>4.7564894932014833E-4</v>
      </c>
      <c r="CD183" s="57">
        <f t="shared" si="201"/>
        <v>5.1223733003708275E-4</v>
      </c>
      <c r="CE183" s="57">
        <v>0.05</v>
      </c>
      <c r="CF183" s="57">
        <v>0.05</v>
      </c>
      <c r="CG183" s="57">
        <v>2E-3</v>
      </c>
      <c r="CH183" s="57">
        <v>1E-3</v>
      </c>
      <c r="CI183" s="57">
        <v>0.02</v>
      </c>
      <c r="CK183" s="57">
        <v>2E-3</v>
      </c>
      <c r="CL183" s="57">
        <v>1E-3</v>
      </c>
      <c r="CM183" s="57">
        <v>1E-3</v>
      </c>
      <c r="CN183" s="57">
        <f t="shared" si="227"/>
        <v>2374.3000000000002</v>
      </c>
      <c r="CO183" s="57">
        <f t="shared" si="202"/>
        <v>174.3</v>
      </c>
      <c r="CP183" s="57">
        <f t="shared" si="203"/>
        <v>0.88914274326356935</v>
      </c>
      <c r="CQ183" s="57">
        <f t="shared" si="204"/>
        <v>6.5236993088021208E-2</v>
      </c>
      <c r="CR183" s="57">
        <v>2400</v>
      </c>
      <c r="CS183" s="57">
        <v>2100</v>
      </c>
      <c r="CT183" s="57">
        <v>540</v>
      </c>
      <c r="CU183" s="57">
        <v>25</v>
      </c>
      <c r="CV183" s="57" t="s">
        <v>69</v>
      </c>
      <c r="CW183" s="57">
        <v>2700</v>
      </c>
      <c r="CX183" s="64">
        <f t="shared" si="235"/>
        <v>4182</v>
      </c>
      <c r="CZ183" s="57">
        <v>73</v>
      </c>
      <c r="DA183" s="57" t="s">
        <v>62</v>
      </c>
      <c r="DB183" s="57" t="s">
        <v>88</v>
      </c>
      <c r="DC183" s="57" t="s">
        <v>782</v>
      </c>
      <c r="DD183" s="57">
        <f t="shared" si="236"/>
        <v>2.3252134082864875</v>
      </c>
      <c r="DE183" s="57">
        <f>$ED183*(55.84/96.06)</f>
        <v>2.3252134082864875</v>
      </c>
      <c r="DF183" s="57">
        <v>0.2</v>
      </c>
      <c r="DG183" s="57">
        <f t="shared" si="237"/>
        <v>3.5810205908683975E-3</v>
      </c>
      <c r="DH183" s="57">
        <f t="shared" si="205"/>
        <v>3.5810205908683975E-3</v>
      </c>
      <c r="DI183" s="57">
        <f t="shared" si="238"/>
        <v>2.5252134082864877</v>
      </c>
      <c r="DJ183" s="57">
        <f t="shared" si="206"/>
        <v>4.5214206057054389E-2</v>
      </c>
      <c r="DK183" s="57">
        <f t="shared" si="207"/>
        <v>4.5214206057054389E-2</v>
      </c>
      <c r="DL183" s="57">
        <f t="shared" si="208"/>
        <v>0.58130335207162187</v>
      </c>
      <c r="DM183" s="57">
        <f t="shared" si="208"/>
        <v>0.58130335207162187</v>
      </c>
      <c r="DN183" s="57">
        <f t="shared" si="209"/>
        <v>0.78130335207162194</v>
      </c>
      <c r="DO183" s="57">
        <f t="shared" si="210"/>
        <v>1.3989316957414896E-2</v>
      </c>
      <c r="DP183" s="57">
        <f t="shared" si="211"/>
        <v>1.3989316957414896E-2</v>
      </c>
      <c r="DQ183" s="57">
        <v>0.9</v>
      </c>
      <c r="DR183" s="57">
        <f t="shared" si="212"/>
        <v>1.6384489350081924E-2</v>
      </c>
      <c r="DS183" s="57">
        <f t="shared" si="213"/>
        <v>3.2768978700163848E-2</v>
      </c>
      <c r="DT183" s="57">
        <f t="shared" si="239"/>
        <v>2.7595737096822193</v>
      </c>
      <c r="DU183" s="57">
        <f t="shared" si="240"/>
        <v>1.3797868548411096</v>
      </c>
      <c r="DV183" s="57">
        <f t="shared" si="241"/>
        <v>3.4252134082864876</v>
      </c>
      <c r="DW183" s="57">
        <f t="shared" si="242"/>
        <v>7.7983184757218243E-2</v>
      </c>
      <c r="DX183" s="57" t="s">
        <v>780</v>
      </c>
      <c r="DY183" s="57" t="s">
        <v>81</v>
      </c>
      <c r="DZ183" s="57">
        <f t="shared" ref="DZ183:DZ207" si="252">EA183/$EA$54</f>
        <v>1</v>
      </c>
      <c r="EA183" s="57">
        <v>1.7000000000000001E-2</v>
      </c>
      <c r="EB183" s="57">
        <f t="shared" si="214"/>
        <v>2.741935483870968E-4</v>
      </c>
      <c r="EC183" s="57">
        <f t="shared" si="215"/>
        <v>1.370967741935484E-3</v>
      </c>
      <c r="ED183" s="57">
        <f t="shared" si="233"/>
        <v>4</v>
      </c>
      <c r="EE183" s="59">
        <f t="shared" si="234"/>
        <v>16</v>
      </c>
      <c r="EF183" s="57">
        <f t="shared" si="243"/>
        <v>0.33312513012700395</v>
      </c>
      <c r="EG183" s="57">
        <f>$EK181-EK183</f>
        <v>1</v>
      </c>
      <c r="EH183" s="59">
        <f>(EG183/$EK181)*100</f>
        <v>4.5454545454545459</v>
      </c>
      <c r="EI183" s="57">
        <f t="shared" si="251"/>
        <v>8.3281282531750989E-2</v>
      </c>
      <c r="EJ183" s="57">
        <f>($EG183/96.06)*8</f>
        <v>8.3281282531750989E-2</v>
      </c>
      <c r="EK183" s="57">
        <v>21</v>
      </c>
      <c r="EL183" s="57">
        <f t="shared" si="216"/>
        <v>0.21861336664584635</v>
      </c>
      <c r="EM183" s="57">
        <f t="shared" si="217"/>
        <v>1.7489069331667708</v>
      </c>
      <c r="EN183" s="57">
        <f t="shared" si="244"/>
        <v>1.7502779009087064</v>
      </c>
      <c r="EO183" s="59">
        <f t="shared" si="248"/>
        <v>0.41110831488422217</v>
      </c>
      <c r="EP183" s="57">
        <f t="shared" si="245"/>
        <v>7.9708868718435841E-2</v>
      </c>
      <c r="EQ183" s="57">
        <f t="shared" si="246"/>
        <v>0.1099812492719535</v>
      </c>
      <c r="ER183" s="57">
        <f t="shared" si="247"/>
        <v>0.81030988200961074</v>
      </c>
      <c r="ES183" s="59">
        <f t="shared" si="219"/>
        <v>0.13003957818932974</v>
      </c>
      <c r="ET183" s="57">
        <f t="shared" si="220"/>
        <v>10.757737876577313</v>
      </c>
      <c r="EU183" s="57">
        <f t="shared" si="221"/>
        <v>25.199234845605389</v>
      </c>
      <c r="EV183" s="57">
        <f t="shared" si="222"/>
        <v>64.043027277817288</v>
      </c>
      <c r="EW183" s="57" t="s">
        <v>162</v>
      </c>
      <c r="EX183" s="57">
        <v>13</v>
      </c>
      <c r="EY183" s="57">
        <v>-250</v>
      </c>
      <c r="EZ183" s="57" t="s">
        <v>200</v>
      </c>
      <c r="FA183" s="57">
        <v>733</v>
      </c>
      <c r="FB183" s="57" t="s">
        <v>113</v>
      </c>
      <c r="FC183" s="57" t="s">
        <v>88</v>
      </c>
      <c r="FD183" s="59">
        <f t="shared" si="223"/>
        <v>0.74677997925057593</v>
      </c>
      <c r="FE183" s="59">
        <f t="shared" si="224"/>
        <v>0.81201697233859715</v>
      </c>
      <c r="FF183" s="59">
        <f t="shared" si="225"/>
        <v>1.0278487159454683</v>
      </c>
      <c r="FG183" s="59">
        <f t="shared" si="226"/>
        <v>1.0930857090334896</v>
      </c>
    </row>
    <row r="184" spans="1:163" s="57" customFormat="1" ht="15.75" x14ac:dyDescent="0.25">
      <c r="A184" s="60" t="s">
        <v>441</v>
      </c>
      <c r="B184" s="60" t="s">
        <v>441</v>
      </c>
      <c r="C184" s="60" t="s">
        <v>973</v>
      </c>
      <c r="D184" s="60" t="s">
        <v>973</v>
      </c>
      <c r="E184" s="60" t="s">
        <v>1429</v>
      </c>
      <c r="F184" s="60" t="s">
        <v>1034</v>
      </c>
      <c r="G184" s="60" t="s">
        <v>774</v>
      </c>
      <c r="H184" s="60" t="str">
        <f t="shared" si="171"/>
        <v>CW_3_Section_3</v>
      </c>
      <c r="I184" s="60" t="str">
        <f t="shared" si="172"/>
        <v>CW_3_MF09</v>
      </c>
      <c r="J184" s="60" t="s">
        <v>1492</v>
      </c>
      <c r="K184" s="60" t="s">
        <v>1484</v>
      </c>
      <c r="L184" s="65" t="s">
        <v>1104</v>
      </c>
      <c r="M184" s="60" t="s">
        <v>1015</v>
      </c>
      <c r="N184" s="60" t="s">
        <v>1015</v>
      </c>
      <c r="O184" s="61" t="s">
        <v>1016</v>
      </c>
      <c r="P184" s="60" t="s">
        <v>1430</v>
      </c>
      <c r="Q184" s="60" t="s">
        <v>1018</v>
      </c>
      <c r="R184" s="60" t="s">
        <v>1389</v>
      </c>
      <c r="S184" s="60" t="str">
        <f t="shared" si="173"/>
        <v>T7_0.15-0.30</v>
      </c>
      <c r="T184" s="62" t="s">
        <v>1390</v>
      </c>
      <c r="U184" s="60" t="s">
        <v>1113</v>
      </c>
      <c r="V184" s="60">
        <v>150</v>
      </c>
      <c r="W184" s="60">
        <v>65</v>
      </c>
      <c r="X184" s="60">
        <v>16</v>
      </c>
      <c r="Y184" s="60">
        <v>183</v>
      </c>
      <c r="Z184" s="57" t="s">
        <v>732</v>
      </c>
      <c r="AA184" s="57" t="s">
        <v>261</v>
      </c>
      <c r="AB184" s="63">
        <v>45959</v>
      </c>
      <c r="AC184" s="57">
        <v>21</v>
      </c>
      <c r="AD184" s="57">
        <v>21</v>
      </c>
      <c r="AE184" s="57">
        <v>110</v>
      </c>
      <c r="AF184" s="57">
        <f t="shared" si="187"/>
        <v>4.2248111637434388E-2</v>
      </c>
      <c r="AG184" s="57">
        <v>1.6</v>
      </c>
      <c r="AH184" s="57">
        <f t="shared" si="188"/>
        <v>6.2513566312133722E-4</v>
      </c>
      <c r="AI184" s="57">
        <v>35</v>
      </c>
      <c r="AJ184" s="57">
        <f t="shared" si="189"/>
        <v>1.3845719129697655E-2</v>
      </c>
      <c r="AK184" s="57">
        <v>25</v>
      </c>
      <c r="AL184" s="57">
        <f t="shared" si="190"/>
        <v>9.8897993783554679E-3</v>
      </c>
      <c r="AM184" s="57">
        <v>9.1</v>
      </c>
      <c r="AN184" s="57">
        <f t="shared" si="191"/>
        <v>3.5998869737213905E-3</v>
      </c>
      <c r="AO184" s="57">
        <v>34.1</v>
      </c>
      <c r="AQ184" s="59">
        <v>180.7</v>
      </c>
      <c r="AR184" s="59">
        <f t="shared" si="192"/>
        <v>5.6718966430253377E-2</v>
      </c>
      <c r="AS184" s="57">
        <v>100</v>
      </c>
      <c r="AT184" s="57">
        <f t="shared" si="193"/>
        <v>3.745026137161582E-2</v>
      </c>
      <c r="AU184" s="57" t="s">
        <v>780</v>
      </c>
      <c r="AV184" s="57" t="s">
        <v>780</v>
      </c>
      <c r="AW184" s="57" t="s">
        <v>780</v>
      </c>
      <c r="AX184" s="57" t="s">
        <v>780</v>
      </c>
      <c r="AY184" s="57" t="s">
        <v>780</v>
      </c>
      <c r="AZ184" s="57" t="s">
        <v>780</v>
      </c>
      <c r="BA184" s="57" t="s">
        <v>780</v>
      </c>
      <c r="BB184" s="57" t="s">
        <v>780</v>
      </c>
      <c r="BC184" s="57" t="s">
        <v>780</v>
      </c>
      <c r="BD184" s="57" t="s">
        <v>780</v>
      </c>
      <c r="BE184" s="57" t="s">
        <v>780</v>
      </c>
      <c r="BF184" s="57" t="s">
        <v>780</v>
      </c>
      <c r="BG184" s="57" t="s">
        <v>780</v>
      </c>
      <c r="BH184" s="57" t="s">
        <v>780</v>
      </c>
      <c r="BI184" s="57" t="s">
        <v>780</v>
      </c>
      <c r="BJ184" s="57" t="s">
        <v>780</v>
      </c>
      <c r="BK184" s="57" t="s">
        <v>780</v>
      </c>
      <c r="BL184" s="57" t="s">
        <v>780</v>
      </c>
      <c r="BM184" s="57" t="s">
        <v>780</v>
      </c>
      <c r="BN184" s="57" t="s">
        <v>780</v>
      </c>
      <c r="BO184" s="57">
        <v>120</v>
      </c>
      <c r="BP184" s="57">
        <v>0.01</v>
      </c>
      <c r="BQ184" s="57">
        <v>0.48</v>
      </c>
      <c r="BR184" s="57">
        <v>0.1</v>
      </c>
      <c r="BS184" s="57">
        <v>0.02</v>
      </c>
      <c r="BT184" s="57">
        <v>1E-3</v>
      </c>
      <c r="BU184" s="57">
        <v>1E-3</v>
      </c>
      <c r="BV184" s="57">
        <v>2E-3</v>
      </c>
      <c r="BW184" s="57">
        <f t="shared" si="194"/>
        <v>4.4940313645938985E-2</v>
      </c>
      <c r="BX184" s="57">
        <f t="shared" si="195"/>
        <v>3.6796110125501018E-6</v>
      </c>
      <c r="BY184" s="57">
        <f t="shared" si="196"/>
        <v>1.8053303936190908E-4</v>
      </c>
      <c r="BZ184" s="57">
        <f t="shared" si="197"/>
        <v>3.729996390326074E-5</v>
      </c>
      <c r="CA184" s="57">
        <f t="shared" si="198"/>
        <v>7.4061605790270997E-6</v>
      </c>
      <c r="CB184" s="57">
        <f t="shared" si="199"/>
        <v>3.7030802895135499E-7</v>
      </c>
      <c r="CC184" s="57">
        <f t="shared" si="200"/>
        <v>3.6588380716934485E-7</v>
      </c>
      <c r="CD184" s="57">
        <f t="shared" si="201"/>
        <v>7.3176761433868969E-7</v>
      </c>
      <c r="CE184" s="57">
        <v>1E-3</v>
      </c>
      <c r="CF184" s="57">
        <v>1E-3</v>
      </c>
      <c r="CG184" s="57">
        <v>2E-3</v>
      </c>
      <c r="CH184" s="57">
        <v>1E-3</v>
      </c>
      <c r="CI184" s="57">
        <v>1E-3</v>
      </c>
      <c r="CK184" s="57">
        <v>2E-3</v>
      </c>
      <c r="CL184" s="57">
        <v>1E-3</v>
      </c>
      <c r="CM184" s="57">
        <v>1E-3</v>
      </c>
      <c r="CN184" s="57">
        <f t="shared" si="227"/>
        <v>120.614</v>
      </c>
      <c r="CO184" s="57">
        <f t="shared" si="202"/>
        <v>0.61399999999999999</v>
      </c>
      <c r="CP184" s="57">
        <f t="shared" si="203"/>
        <v>4.5170700380246183E-2</v>
      </c>
      <c r="CQ184" s="57">
        <f t="shared" si="204"/>
        <v>2.3038673430720644E-4</v>
      </c>
      <c r="CR184" s="57">
        <v>120</v>
      </c>
      <c r="CS184" s="57">
        <v>230</v>
      </c>
      <c r="CT184" s="57" t="s">
        <v>69</v>
      </c>
      <c r="CU184" s="57" t="s">
        <v>69</v>
      </c>
      <c r="CV184" s="57" t="s">
        <v>69</v>
      </c>
      <c r="CW184" s="57">
        <v>230</v>
      </c>
      <c r="CX184" s="64">
        <f t="shared" si="235"/>
        <v>300.7</v>
      </c>
      <c r="CZ184" s="57">
        <v>71</v>
      </c>
      <c r="DA184" s="57" t="s">
        <v>62</v>
      </c>
      <c r="DB184" s="57" t="s">
        <v>88</v>
      </c>
      <c r="DC184" s="57" t="s">
        <v>782</v>
      </c>
      <c r="DD184" s="57">
        <f t="shared" si="236"/>
        <v>14.241932125754737</v>
      </c>
      <c r="DE184" s="57">
        <f>$ED184*(55.84/96.06)</f>
        <v>14.241932125754737</v>
      </c>
      <c r="DF184" s="57">
        <v>37</v>
      </c>
      <c r="DG184" s="57">
        <f t="shared" si="237"/>
        <v>0.66248880931065357</v>
      </c>
      <c r="DH184" s="57">
        <f t="shared" si="205"/>
        <v>0.66248880931065357</v>
      </c>
      <c r="DI184" s="57">
        <f t="shared" si="238"/>
        <v>51.241932125754737</v>
      </c>
      <c r="DJ184" s="57">
        <f t="shared" si="206"/>
        <v>0.91749207029104274</v>
      </c>
      <c r="DK184" s="57">
        <f t="shared" si="207"/>
        <v>0.91749207029104274</v>
      </c>
      <c r="DL184" s="57">
        <f t="shared" si="208"/>
        <v>40.400582968977723</v>
      </c>
      <c r="DM184" s="57">
        <f t="shared" si="208"/>
        <v>40.400582968977723</v>
      </c>
      <c r="DN184" s="57">
        <f t="shared" si="209"/>
        <v>77.400582968977716</v>
      </c>
      <c r="DO184" s="57">
        <f t="shared" si="210"/>
        <v>1.3858654067856351</v>
      </c>
      <c r="DP184" s="57">
        <f t="shared" si="211"/>
        <v>1.3858654067856351</v>
      </c>
      <c r="DQ184" s="57">
        <v>5.4</v>
      </c>
      <c r="DR184" s="57">
        <f t="shared" si="212"/>
        <v>9.8306936100491543E-2</v>
      </c>
      <c r="DS184" s="57">
        <f t="shared" si="213"/>
        <v>0.19661387220098309</v>
      </c>
      <c r="DT184" s="57">
        <f t="shared" si="239"/>
        <v>9.3329332261272171</v>
      </c>
      <c r="DU184" s="57">
        <f t="shared" si="240"/>
        <v>4.6664666130636085</v>
      </c>
      <c r="DV184" s="57">
        <f t="shared" si="241"/>
        <v>56.641932125754735</v>
      </c>
      <c r="DW184" s="57">
        <f t="shared" si="242"/>
        <v>1.1141059424920259</v>
      </c>
      <c r="DX184" s="57" t="s">
        <v>780</v>
      </c>
      <c r="DY184" s="57" t="s">
        <v>55</v>
      </c>
      <c r="DZ184" s="57">
        <f t="shared" si="252"/>
        <v>1</v>
      </c>
      <c r="EA184" s="57">
        <v>1.7000000000000001E-2</v>
      </c>
      <c r="EB184" s="57">
        <f t="shared" si="214"/>
        <v>2.741935483870968E-4</v>
      </c>
      <c r="EC184" s="57">
        <f t="shared" si="215"/>
        <v>1.370967741935484E-3</v>
      </c>
      <c r="ED184" s="57">
        <f t="shared" si="233"/>
        <v>24.5</v>
      </c>
      <c r="EE184" s="59">
        <f t="shared" si="234"/>
        <v>98</v>
      </c>
      <c r="EF184" s="57">
        <f t="shared" si="243"/>
        <v>2.0403914220278994</v>
      </c>
      <c r="EG184" s="57">
        <f>$EK182-EK184</f>
        <v>69.5</v>
      </c>
      <c r="EH184" s="59">
        <f>(EG184/$EK182)*100</f>
        <v>99.285714285714292</v>
      </c>
      <c r="EI184" s="57">
        <f t="shared" si="251"/>
        <v>5.7880491359566939</v>
      </c>
      <c r="EJ184" s="57">
        <f>($EG184/96.06)*8</f>
        <v>5.7880491359566939</v>
      </c>
      <c r="EK184" s="57">
        <v>0.5</v>
      </c>
      <c r="EL184" s="57">
        <f t="shared" si="216"/>
        <v>5.2050801582344368E-3</v>
      </c>
      <c r="EM184" s="57">
        <f t="shared" si="217"/>
        <v>4.1640641265875494E-2</v>
      </c>
      <c r="EN184" s="57">
        <f t="shared" si="244"/>
        <v>4.301160900781098E-2</v>
      </c>
      <c r="EO184" s="59">
        <f t="shared" si="248"/>
        <v>3.1544973645199255</v>
      </c>
      <c r="EP184" s="57">
        <f t="shared" si="245"/>
        <v>6.2328114270244518E-2</v>
      </c>
      <c r="EQ184" s="57">
        <f t="shared" si="246"/>
        <v>0.29085206429730953</v>
      </c>
      <c r="ER184" s="57">
        <f t="shared" si="247"/>
        <v>0.64681982143244587</v>
      </c>
      <c r="ES184" s="59">
        <f t="shared" si="219"/>
        <v>7.3705284149433119</v>
      </c>
      <c r="ET184" s="57">
        <f t="shared" si="220"/>
        <v>18.802795793797834</v>
      </c>
      <c r="EU184" s="57">
        <f t="shared" si="221"/>
        <v>2.6675682004340429</v>
      </c>
      <c r="EV184" s="57">
        <f t="shared" si="222"/>
        <v>78.529636005768126</v>
      </c>
      <c r="EW184" s="57" t="s">
        <v>733</v>
      </c>
      <c r="EX184" s="57">
        <v>12</v>
      </c>
      <c r="EY184" s="57">
        <v>-113</v>
      </c>
      <c r="EZ184" s="57" t="s">
        <v>246</v>
      </c>
      <c r="FA184" s="57">
        <v>831</v>
      </c>
      <c r="FB184" s="57" t="s">
        <v>72</v>
      </c>
      <c r="FC184" s="57" t="s">
        <v>88</v>
      </c>
      <c r="FD184" s="59">
        <f t="shared" si="223"/>
        <v>-3.0603281367180561</v>
      </c>
      <c r="FE184" s="59">
        <f t="shared" si="224"/>
        <v>-3.0600977499837492</v>
      </c>
      <c r="FF184" s="59">
        <f t="shared" si="225"/>
        <v>-7.276359187141443</v>
      </c>
      <c r="FG184" s="59">
        <f t="shared" si="226"/>
        <v>-7.2761288004071352</v>
      </c>
    </row>
    <row r="185" spans="1:163" s="57" customFormat="1" ht="15.75" x14ac:dyDescent="0.25">
      <c r="A185" s="60" t="s">
        <v>442</v>
      </c>
      <c r="B185" s="60" t="s">
        <v>442</v>
      </c>
      <c r="C185" s="60" t="s">
        <v>974</v>
      </c>
      <c r="D185" s="60" t="s">
        <v>974</v>
      </c>
      <c r="E185" s="60" t="s">
        <v>1431</v>
      </c>
      <c r="F185" s="60" t="s">
        <v>1034</v>
      </c>
      <c r="G185" s="60" t="s">
        <v>774</v>
      </c>
      <c r="H185" s="60" t="str">
        <f t="shared" si="171"/>
        <v>CW_3_Section_3</v>
      </c>
      <c r="I185" s="60" t="str">
        <f t="shared" si="172"/>
        <v>CW_3_MF10</v>
      </c>
      <c r="J185" s="60" t="s">
        <v>1493</v>
      </c>
      <c r="K185" s="60" t="s">
        <v>1484</v>
      </c>
      <c r="L185" s="65" t="s">
        <v>1107</v>
      </c>
      <c r="M185" s="60" t="s">
        <v>1024</v>
      </c>
      <c r="N185" s="60" t="s">
        <v>1024</v>
      </c>
      <c r="O185" s="61" t="s">
        <v>1016</v>
      </c>
      <c r="P185" s="60" t="s">
        <v>1432</v>
      </c>
      <c r="Q185" s="60" t="s">
        <v>1018</v>
      </c>
      <c r="R185" s="60" t="s">
        <v>1389</v>
      </c>
      <c r="S185" s="60" t="str">
        <f t="shared" si="173"/>
        <v>T7_0.60-0.80</v>
      </c>
      <c r="T185" s="62" t="s">
        <v>1390</v>
      </c>
      <c r="U185" s="60" t="s">
        <v>1113</v>
      </c>
      <c r="V185" s="60">
        <v>150</v>
      </c>
      <c r="W185" s="60">
        <v>65</v>
      </c>
      <c r="X185" s="60">
        <v>5.5</v>
      </c>
      <c r="Y185" s="60">
        <v>184</v>
      </c>
      <c r="Z185" s="57" t="s">
        <v>734</v>
      </c>
      <c r="AA185" s="57" t="s">
        <v>264</v>
      </c>
      <c r="AB185" s="63">
        <v>45959</v>
      </c>
      <c r="AC185" s="57">
        <v>8.6</v>
      </c>
      <c r="AD185" s="57">
        <v>8.9</v>
      </c>
      <c r="AE185" s="57">
        <v>330</v>
      </c>
      <c r="AF185" s="57">
        <f t="shared" si="187"/>
        <v>0.12674433491230316</v>
      </c>
      <c r="AG185" s="57">
        <v>3.1</v>
      </c>
      <c r="AH185" s="57">
        <f t="shared" si="188"/>
        <v>1.2112003472975908E-3</v>
      </c>
      <c r="AI185" s="57">
        <v>36</v>
      </c>
      <c r="AJ185" s="57">
        <f t="shared" si="189"/>
        <v>1.4241311104831874E-2</v>
      </c>
      <c r="AK185" s="57">
        <v>10</v>
      </c>
      <c r="AL185" s="57">
        <f t="shared" si="190"/>
        <v>3.9559197513421868E-3</v>
      </c>
      <c r="AM185" s="57">
        <v>2.6</v>
      </c>
      <c r="AN185" s="57">
        <f t="shared" si="191"/>
        <v>1.0285391353489688E-3</v>
      </c>
      <c r="AO185" s="57">
        <v>12.6</v>
      </c>
      <c r="AQ185" s="59">
        <v>381.7</v>
      </c>
      <c r="AR185" s="59">
        <f t="shared" si="192"/>
        <v>0.14219684636443264</v>
      </c>
      <c r="AS185" s="57">
        <v>52</v>
      </c>
      <c r="AT185" s="57">
        <f t="shared" si="193"/>
        <v>1.9474135913240227E-2</v>
      </c>
      <c r="AU185" s="57" t="s">
        <v>780</v>
      </c>
      <c r="AV185" s="57" t="s">
        <v>780</v>
      </c>
      <c r="AW185" s="57" t="s">
        <v>780</v>
      </c>
      <c r="AX185" s="57" t="s">
        <v>780</v>
      </c>
      <c r="AY185" s="57" t="s">
        <v>780</v>
      </c>
      <c r="AZ185" s="57" t="s">
        <v>780</v>
      </c>
      <c r="BA185" s="57" t="s">
        <v>780</v>
      </c>
      <c r="BB185" s="57" t="s">
        <v>780</v>
      </c>
      <c r="BC185" s="57" t="s">
        <v>780</v>
      </c>
      <c r="BD185" s="57" t="s">
        <v>780</v>
      </c>
      <c r="BE185" s="57" t="s">
        <v>780</v>
      </c>
      <c r="BF185" s="57" t="s">
        <v>780</v>
      </c>
      <c r="BG185" s="57" t="s">
        <v>780</v>
      </c>
      <c r="BH185" s="57" t="s">
        <v>780</v>
      </c>
      <c r="BI185" s="57" t="s">
        <v>780</v>
      </c>
      <c r="BJ185" s="57" t="s">
        <v>780</v>
      </c>
      <c r="BK185" s="57" t="s">
        <v>780</v>
      </c>
      <c r="BL185" s="57" t="s">
        <v>780</v>
      </c>
      <c r="BM185" s="57" t="s">
        <v>780</v>
      </c>
      <c r="BN185" s="57" t="s">
        <v>780</v>
      </c>
      <c r="BO185" s="57">
        <v>70</v>
      </c>
      <c r="BP185" s="57">
        <v>1.6</v>
      </c>
      <c r="BQ185" s="57">
        <v>110</v>
      </c>
      <c r="BR185" s="57">
        <v>25</v>
      </c>
      <c r="BS185" s="57">
        <v>19</v>
      </c>
      <c r="BT185" s="57">
        <v>3.3</v>
      </c>
      <c r="BU185" s="57">
        <v>0.41</v>
      </c>
      <c r="BV185" s="57">
        <v>0.27</v>
      </c>
      <c r="BW185" s="57">
        <f t="shared" si="194"/>
        <v>2.6215182960131075E-2</v>
      </c>
      <c r="BX185" s="57">
        <f t="shared" si="195"/>
        <v>5.8873776200801635E-4</v>
      </c>
      <c r="BY185" s="57">
        <f t="shared" si="196"/>
        <v>4.1372154853770833E-2</v>
      </c>
      <c r="BZ185" s="57">
        <f t="shared" si="197"/>
        <v>9.3249909758151856E-3</v>
      </c>
      <c r="CA185" s="57">
        <f t="shared" si="198"/>
        <v>7.0358525500757449E-3</v>
      </c>
      <c r="CB185" s="57">
        <f t="shared" si="199"/>
        <v>1.2220164955394715E-3</v>
      </c>
      <c r="CC185" s="57">
        <f t="shared" si="200"/>
        <v>1.5001236093943138E-4</v>
      </c>
      <c r="CD185" s="57">
        <f t="shared" si="201"/>
        <v>9.8788627935723116E-5</v>
      </c>
      <c r="CE185" s="57">
        <v>1E-3</v>
      </c>
      <c r="CF185" s="57">
        <v>1E-3</v>
      </c>
      <c r="CG185" s="57">
        <v>2E-3</v>
      </c>
      <c r="CH185" s="57">
        <v>1E-3</v>
      </c>
      <c r="CI185" s="57">
        <v>1E-3</v>
      </c>
      <c r="CK185" s="57">
        <v>2E-3</v>
      </c>
      <c r="CL185" s="57">
        <v>1E-3</v>
      </c>
      <c r="CM185" s="57">
        <v>1E-3</v>
      </c>
      <c r="CN185" s="57">
        <f t="shared" si="227"/>
        <v>229.58</v>
      </c>
      <c r="CO185" s="57">
        <f t="shared" si="202"/>
        <v>159.58000000000001</v>
      </c>
      <c r="CP185" s="57">
        <f t="shared" si="203"/>
        <v>8.6007736586215494E-2</v>
      </c>
      <c r="CQ185" s="57">
        <f t="shared" si="204"/>
        <v>5.9792553626084398E-2</v>
      </c>
      <c r="CR185" s="57">
        <v>230</v>
      </c>
      <c r="CS185" s="57">
        <v>320</v>
      </c>
      <c r="CT185" s="57">
        <v>560</v>
      </c>
      <c r="CU185" s="57" t="s">
        <v>69</v>
      </c>
      <c r="CV185" s="57" t="s">
        <v>69</v>
      </c>
      <c r="CW185" s="57">
        <v>880</v>
      </c>
      <c r="CX185" s="64">
        <f t="shared" si="235"/>
        <v>611.70000000000005</v>
      </c>
      <c r="CZ185" s="57">
        <v>65</v>
      </c>
      <c r="DA185" s="57" t="s">
        <v>62</v>
      </c>
      <c r="DB185" s="57" t="s">
        <v>88</v>
      </c>
      <c r="DC185" s="57" t="s">
        <v>782</v>
      </c>
      <c r="DD185" s="57">
        <f t="shared" si="236"/>
        <v>-18.020403914220278</v>
      </c>
      <c r="DE185" s="57">
        <v>0</v>
      </c>
      <c r="DF185" s="57">
        <v>1.4</v>
      </c>
      <c r="DG185" s="57">
        <f t="shared" si="237"/>
        <v>2.506714413607878E-2</v>
      </c>
      <c r="DH185" s="57">
        <f t="shared" si="205"/>
        <v>2.506714413607878E-2</v>
      </c>
      <c r="DI185" s="57">
        <f t="shared" si="238"/>
        <v>1.4</v>
      </c>
      <c r="DJ185" s="57">
        <f t="shared" si="206"/>
        <v>2.506714413607878E-2</v>
      </c>
      <c r="DK185" s="57">
        <f t="shared" si="207"/>
        <v>2.506714413607878E-2</v>
      </c>
      <c r="DL185" s="57">
        <f t="shared" si="208"/>
        <v>-20.345617322506765</v>
      </c>
      <c r="DN185" s="57">
        <f t="shared" si="209"/>
        <v>1.4</v>
      </c>
      <c r="DO185" s="57">
        <f t="shared" si="210"/>
        <v>2.506714413607878E-2</v>
      </c>
      <c r="DP185" s="57">
        <f t="shared" si="211"/>
        <v>2.506714413607878E-2</v>
      </c>
      <c r="DQ185" s="57">
        <v>2</v>
      </c>
      <c r="DR185" s="57">
        <f t="shared" si="212"/>
        <v>3.6409976333515386E-2</v>
      </c>
      <c r="DS185" s="57">
        <f t="shared" si="213"/>
        <v>7.2819952667030771E-2</v>
      </c>
      <c r="DT185" s="57">
        <f t="shared" si="239"/>
        <v>0.6884691136974036</v>
      </c>
      <c r="DU185" s="57">
        <f t="shared" si="240"/>
        <v>0.3442345568487018</v>
      </c>
      <c r="DV185" s="57">
        <f t="shared" si="241"/>
        <v>3.4</v>
      </c>
      <c r="DW185" s="57">
        <f t="shared" si="242"/>
        <v>9.7887096803109558E-2</v>
      </c>
      <c r="DX185" s="57" t="s">
        <v>780</v>
      </c>
      <c r="DY185" s="57" t="s">
        <v>142</v>
      </c>
      <c r="DZ185" s="57">
        <f t="shared" si="252"/>
        <v>1</v>
      </c>
      <c r="EA185" s="57">
        <v>1.7000000000000001E-2</v>
      </c>
      <c r="EB185" s="57">
        <f t="shared" si="214"/>
        <v>2.741935483870968E-4</v>
      </c>
      <c r="EC185" s="57">
        <f t="shared" si="215"/>
        <v>1.370967741935484E-3</v>
      </c>
      <c r="ED185" s="57">
        <f t="shared" si="233"/>
        <v>-31</v>
      </c>
      <c r="EE185" s="59">
        <f t="shared" si="234"/>
        <v>-124</v>
      </c>
      <c r="EF185" s="57">
        <f t="shared" si="243"/>
        <v>-2.5817197584842808</v>
      </c>
      <c r="EG185" s="57">
        <f>$EK183-EK185</f>
        <v>-35</v>
      </c>
      <c r="EH185" s="59">
        <f>(EG185/$EK183)*100</f>
        <v>-166.66666666666669</v>
      </c>
      <c r="EI185" s="57">
        <f t="shared" si="251"/>
        <v>-2.9148448886112845</v>
      </c>
      <c r="EJ185" s="57">
        <v>0</v>
      </c>
      <c r="EK185" s="57">
        <v>56</v>
      </c>
      <c r="EL185" s="57">
        <f t="shared" si="216"/>
        <v>0.58296897772225686</v>
      </c>
      <c r="EM185" s="57">
        <f t="shared" si="217"/>
        <v>4.6637518217780549</v>
      </c>
      <c r="EN185" s="57">
        <f t="shared" si="244"/>
        <v>4.66512278951999</v>
      </c>
      <c r="EO185" s="59">
        <f t="shared" si="248"/>
        <v>-2.4838326616811712</v>
      </c>
      <c r="EP185" s="57">
        <f t="shared" si="245"/>
        <v>-2.9317575934339677E-2</v>
      </c>
      <c r="EQ185" s="57">
        <f t="shared" si="246"/>
        <v>-1.0092122759635584E-2</v>
      </c>
      <c r="ER185" s="57">
        <f t="shared" si="247"/>
        <v>1.0394096986939754</v>
      </c>
      <c r="ES185" s="59">
        <f t="shared" si="219"/>
        <v>9.7887096803109558E-2</v>
      </c>
      <c r="ET185" s="57">
        <f t="shared" si="220"/>
        <v>25.60822105746881</v>
      </c>
      <c r="EU185" s="57">
        <f t="shared" si="221"/>
        <v>74.39177894253119</v>
      </c>
      <c r="EV185" s="57">
        <f t="shared" si="222"/>
        <v>0</v>
      </c>
      <c r="EW185" s="57" t="s">
        <v>146</v>
      </c>
      <c r="EX185" s="57">
        <v>12</v>
      </c>
      <c r="EY185" s="57">
        <v>-188</v>
      </c>
      <c r="EZ185" s="57" t="s">
        <v>246</v>
      </c>
      <c r="FA185" s="57">
        <v>676</v>
      </c>
      <c r="FB185" s="57" t="s">
        <v>113</v>
      </c>
      <c r="FC185" s="57" t="s">
        <v>88</v>
      </c>
      <c r="FD185" s="59">
        <f t="shared" si="223"/>
        <v>2.6455036439588442</v>
      </c>
      <c r="FE185" s="59">
        <f t="shared" si="224"/>
        <v>2.7052961975849286</v>
      </c>
      <c r="FF185" s="59">
        <f t="shared" si="225"/>
        <v>6.3783885474563318E-2</v>
      </c>
      <c r="FG185" s="59">
        <f t="shared" si="226"/>
        <v>0.12357643910064772</v>
      </c>
    </row>
    <row r="186" spans="1:163" s="37" customFormat="1" ht="15.75" x14ac:dyDescent="0.25">
      <c r="A186" s="34" t="s">
        <v>443</v>
      </c>
      <c r="B186" s="34" t="s">
        <v>443</v>
      </c>
      <c r="C186" s="34" t="s">
        <v>975</v>
      </c>
      <c r="D186" s="34" t="s">
        <v>975</v>
      </c>
      <c r="E186" s="44" t="s">
        <v>1433</v>
      </c>
      <c r="F186" s="34" t="s">
        <v>1048</v>
      </c>
      <c r="G186" s="34" t="s">
        <v>1049</v>
      </c>
      <c r="H186" s="34" t="str">
        <f t="shared" si="171"/>
        <v>CW_0_Section_0</v>
      </c>
      <c r="I186" s="34" t="str">
        <f t="shared" si="172"/>
        <v>CW_0_INF</v>
      </c>
      <c r="J186" s="34" t="s">
        <v>1481</v>
      </c>
      <c r="K186" s="34" t="s">
        <v>1481</v>
      </c>
      <c r="L186" s="34" t="s">
        <v>780</v>
      </c>
      <c r="M186" s="34" t="s">
        <v>780</v>
      </c>
      <c r="N186" s="34" t="s">
        <v>1481</v>
      </c>
      <c r="O186" s="35" t="s">
        <v>1016</v>
      </c>
      <c r="P186" s="34" t="s">
        <v>1434</v>
      </c>
      <c r="Q186" s="34" t="s">
        <v>1018</v>
      </c>
      <c r="R186" s="34" t="s">
        <v>1435</v>
      </c>
      <c r="S186" s="34" t="str">
        <f t="shared" si="173"/>
        <v>T8_INF</v>
      </c>
      <c r="T186" s="36" t="s">
        <v>1436</v>
      </c>
      <c r="U186" s="34" t="s">
        <v>1160</v>
      </c>
      <c r="V186" s="34">
        <v>150</v>
      </c>
      <c r="W186" s="34">
        <v>65</v>
      </c>
      <c r="X186" s="41">
        <v>10.85</v>
      </c>
      <c r="Y186" s="34">
        <v>185</v>
      </c>
      <c r="Z186" s="37" t="s">
        <v>735</v>
      </c>
      <c r="AA186" s="37" t="s">
        <v>130</v>
      </c>
      <c r="AB186" s="38">
        <v>46007</v>
      </c>
      <c r="AC186" s="37">
        <v>15</v>
      </c>
      <c r="AD186" s="37">
        <v>23</v>
      </c>
      <c r="AE186" s="37">
        <v>500</v>
      </c>
      <c r="AF186" s="37">
        <f t="shared" si="187"/>
        <v>0.19203687107924722</v>
      </c>
      <c r="AG186" s="37">
        <v>210</v>
      </c>
      <c r="AH186" s="37">
        <f t="shared" si="188"/>
        <v>8.2049055784675501E-2</v>
      </c>
      <c r="AI186" s="37">
        <v>490</v>
      </c>
      <c r="AJ186" s="37">
        <f t="shared" si="189"/>
        <v>0.19384006781576718</v>
      </c>
      <c r="AK186" s="37">
        <v>230</v>
      </c>
      <c r="AL186" s="37">
        <f t="shared" si="190"/>
        <v>9.0986154280870299E-2</v>
      </c>
      <c r="AM186" s="37">
        <v>320</v>
      </c>
      <c r="AN186" s="37">
        <f t="shared" si="191"/>
        <v>0.12658943204294998</v>
      </c>
      <c r="AO186" s="37">
        <v>550</v>
      </c>
      <c r="AQ186" s="59">
        <v>1750</v>
      </c>
      <c r="AR186" s="59">
        <f t="shared" si="192"/>
        <v>0.46792599467968993</v>
      </c>
      <c r="AS186" s="37">
        <v>4700</v>
      </c>
      <c r="AT186" s="37">
        <f t="shared" si="193"/>
        <v>1.7601622844659439</v>
      </c>
      <c r="AU186" s="37" t="s">
        <v>780</v>
      </c>
      <c r="AV186" s="37" t="s">
        <v>780</v>
      </c>
      <c r="AW186" s="37" t="s">
        <v>780</v>
      </c>
      <c r="AX186" s="37" t="s">
        <v>780</v>
      </c>
      <c r="AY186" s="37" t="s">
        <v>780</v>
      </c>
      <c r="AZ186" s="37" t="s">
        <v>780</v>
      </c>
      <c r="BA186" s="37" t="s">
        <v>780</v>
      </c>
      <c r="BB186" s="37" t="s">
        <v>780</v>
      </c>
      <c r="BC186" s="37" t="s">
        <v>780</v>
      </c>
      <c r="BD186" s="37" t="s">
        <v>780</v>
      </c>
      <c r="BE186" s="37" t="s">
        <v>780</v>
      </c>
      <c r="BF186" s="37" t="s">
        <v>780</v>
      </c>
      <c r="BG186" s="37" t="s">
        <v>780</v>
      </c>
      <c r="BH186" s="37" t="s">
        <v>780</v>
      </c>
      <c r="BI186" s="37" t="s">
        <v>780</v>
      </c>
      <c r="BJ186" s="37" t="s">
        <v>780</v>
      </c>
      <c r="BK186" s="37" t="s">
        <v>780</v>
      </c>
      <c r="BL186" s="37" t="s">
        <v>780</v>
      </c>
      <c r="BM186" s="37" t="s">
        <v>780</v>
      </c>
      <c r="BN186" s="37" t="s">
        <v>780</v>
      </c>
      <c r="BO186" s="58">
        <v>4100</v>
      </c>
      <c r="BP186" s="58">
        <v>160</v>
      </c>
      <c r="BQ186" s="58">
        <v>180</v>
      </c>
      <c r="BR186" s="58">
        <v>100</v>
      </c>
      <c r="BS186" s="58">
        <v>94</v>
      </c>
      <c r="BT186" s="58">
        <v>18</v>
      </c>
      <c r="BU186" s="58">
        <v>7.4</v>
      </c>
      <c r="BV186" s="58">
        <v>8.4</v>
      </c>
      <c r="BW186" s="31">
        <f t="shared" si="194"/>
        <v>1.5354607162362488</v>
      </c>
      <c r="BX186" s="31">
        <f t="shared" si="195"/>
        <v>5.8873776200801628E-2</v>
      </c>
      <c r="BY186" s="31">
        <f t="shared" si="196"/>
        <v>6.769988976071592E-2</v>
      </c>
      <c r="BZ186" s="31">
        <f t="shared" si="197"/>
        <v>3.7299963903260742E-2</v>
      </c>
      <c r="CA186" s="31">
        <f t="shared" si="198"/>
        <v>3.4808954721427372E-2</v>
      </c>
      <c r="CB186" s="31">
        <f t="shared" si="199"/>
        <v>6.66554452112439E-3</v>
      </c>
      <c r="CC186" s="31">
        <f t="shared" si="200"/>
        <v>2.7075401730531521E-3</v>
      </c>
      <c r="CD186" s="31">
        <f t="shared" si="201"/>
        <v>3.073423980222497E-3</v>
      </c>
      <c r="CE186" s="37">
        <v>1.3</v>
      </c>
      <c r="CF186" s="37">
        <v>1.2</v>
      </c>
      <c r="CG186" s="37">
        <v>0.53</v>
      </c>
      <c r="CH186" s="37">
        <v>0.19</v>
      </c>
      <c r="CI186" s="37">
        <v>0.6</v>
      </c>
      <c r="CK186" s="37">
        <v>0.04</v>
      </c>
      <c r="CL186" s="37">
        <v>0.14000000000000001</v>
      </c>
      <c r="CM186" s="37">
        <v>0.16</v>
      </c>
      <c r="CN186" s="58">
        <f t="shared" si="227"/>
        <v>4667.7999999999993</v>
      </c>
      <c r="CO186" s="58">
        <f t="shared" si="202"/>
        <v>567.79999999999995</v>
      </c>
      <c r="CP186" s="31">
        <f t="shared" si="203"/>
        <v>1.7465898094968546</v>
      </c>
      <c r="CQ186" s="31">
        <f t="shared" si="204"/>
        <v>0.21112909326060569</v>
      </c>
      <c r="CR186" s="37">
        <v>4600</v>
      </c>
      <c r="CS186" s="37">
        <v>9300</v>
      </c>
      <c r="CT186" s="37">
        <v>5700</v>
      </c>
      <c r="CU186" s="37">
        <v>450</v>
      </c>
      <c r="CV186" s="37">
        <v>95</v>
      </c>
      <c r="CW186" s="37">
        <v>16000</v>
      </c>
      <c r="CX186" s="40">
        <f t="shared" si="235"/>
        <v>6350</v>
      </c>
      <c r="CZ186" s="37">
        <v>72</v>
      </c>
      <c r="DA186" s="37" t="s">
        <v>62</v>
      </c>
      <c r="DB186" s="37" t="s">
        <v>88</v>
      </c>
      <c r="DC186" s="37" t="s">
        <v>782</v>
      </c>
      <c r="DD186" s="37">
        <f t="shared" si="236"/>
        <v>0</v>
      </c>
      <c r="DE186" s="37">
        <f t="shared" ref="DE186:DE203" si="253">$ED186*(55.84/96.06)</f>
        <v>0</v>
      </c>
      <c r="DF186" s="37">
        <v>1.5</v>
      </c>
      <c r="DG186" s="37">
        <f t="shared" si="237"/>
        <v>2.685765443151298E-2</v>
      </c>
      <c r="DH186" s="37">
        <f t="shared" si="205"/>
        <v>2.685765443151298E-2</v>
      </c>
      <c r="DI186" s="37">
        <f t="shared" si="238"/>
        <v>1.5</v>
      </c>
      <c r="DJ186" s="37">
        <f t="shared" si="206"/>
        <v>2.685765443151298E-2</v>
      </c>
      <c r="DK186" s="37">
        <f t="shared" si="207"/>
        <v>2.685765443151298E-2</v>
      </c>
      <c r="DL186" s="55">
        <f t="shared" si="208"/>
        <v>0</v>
      </c>
      <c r="DM186" s="55">
        <f t="shared" si="208"/>
        <v>0</v>
      </c>
      <c r="DN186" s="37">
        <f t="shared" si="209"/>
        <v>1.5</v>
      </c>
      <c r="DO186" s="55">
        <f t="shared" si="210"/>
        <v>2.685765443151298E-2</v>
      </c>
      <c r="DP186" s="55">
        <f t="shared" si="211"/>
        <v>2.685765443151298E-2</v>
      </c>
      <c r="DQ186" s="37">
        <v>0.8</v>
      </c>
      <c r="DR186" s="37">
        <f t="shared" si="212"/>
        <v>1.4563990533406155E-2</v>
      </c>
      <c r="DS186" s="37">
        <f t="shared" si="213"/>
        <v>2.912798106681231E-2</v>
      </c>
      <c r="DT186" s="37">
        <f t="shared" si="239"/>
        <v>1.8441136974037597</v>
      </c>
      <c r="DU186" s="37">
        <f t="shared" si="240"/>
        <v>0.92205684870187987</v>
      </c>
      <c r="DV186" s="37">
        <f t="shared" si="241"/>
        <v>2.2999999999999998</v>
      </c>
      <c r="DW186" s="37">
        <f t="shared" si="242"/>
        <v>5.598563549832529E-2</v>
      </c>
      <c r="DX186" s="37" t="s">
        <v>780</v>
      </c>
      <c r="DY186" s="37" t="s">
        <v>122</v>
      </c>
      <c r="DZ186" s="37">
        <f>EA186/$EA$186</f>
        <v>1</v>
      </c>
      <c r="EA186" s="37">
        <v>1.7000000000000001E-2</v>
      </c>
      <c r="EB186" s="37">
        <f t="shared" si="214"/>
        <v>2.741935483870968E-4</v>
      </c>
      <c r="EC186" s="37">
        <f t="shared" si="215"/>
        <v>1.370967741935484E-3</v>
      </c>
      <c r="ED186" s="37">
        <f>$EK$186-EK186</f>
        <v>0</v>
      </c>
      <c r="EE186" s="39">
        <f t="shared" ref="EE186:EE207" si="254">(ED186/$EK$186)*100</f>
        <v>0</v>
      </c>
      <c r="EF186" s="37">
        <f t="shared" si="243"/>
        <v>0</v>
      </c>
      <c r="EG186" s="37">
        <f>$EK186-EK186</f>
        <v>0</v>
      </c>
      <c r="EH186" s="33">
        <f>(EG186/$EK186)*100</f>
        <v>0</v>
      </c>
      <c r="EI186" s="37">
        <f t="shared" si="251"/>
        <v>0</v>
      </c>
      <c r="EJ186" s="37">
        <f>($EG186/96.06)*8</f>
        <v>0</v>
      </c>
      <c r="EK186" s="37">
        <v>72</v>
      </c>
      <c r="EL186" s="37">
        <f t="shared" si="216"/>
        <v>0.74953154278575884</v>
      </c>
      <c r="EM186" s="37">
        <f t="shared" si="217"/>
        <v>5.9962523422860707</v>
      </c>
      <c r="EN186" s="37">
        <f t="shared" si="244"/>
        <v>5.9976233100280059</v>
      </c>
      <c r="EO186" s="39">
        <f t="shared" si="248"/>
        <v>5.598563549832529E-2</v>
      </c>
      <c r="EP186" s="37">
        <f t="shared" si="245"/>
        <v>0.520275974498559</v>
      </c>
      <c r="EQ186" s="37">
        <f t="shared" si="246"/>
        <v>0.47972402550144094</v>
      </c>
      <c r="ER186" s="37">
        <f t="shared" si="247"/>
        <v>0</v>
      </c>
      <c r="ES186" s="39">
        <f t="shared" si="219"/>
        <v>5.598563549832529E-2</v>
      </c>
      <c r="ET186" s="55">
        <f t="shared" si="220"/>
        <v>47.972402550144096</v>
      </c>
      <c r="EU186" s="55">
        <f t="shared" si="221"/>
        <v>52.027597449855904</v>
      </c>
      <c r="EV186" s="55">
        <f t="shared" si="222"/>
        <v>0</v>
      </c>
      <c r="EW186" s="37" t="s">
        <v>780</v>
      </c>
      <c r="EX186" s="37" t="s">
        <v>780</v>
      </c>
      <c r="EY186" s="37" t="s">
        <v>780</v>
      </c>
      <c r="EZ186" s="37" t="s">
        <v>780</v>
      </c>
      <c r="FA186" s="37" t="s">
        <v>780</v>
      </c>
      <c r="FB186" s="37" t="s">
        <v>780</v>
      </c>
      <c r="FC186" s="37" t="s">
        <v>88</v>
      </c>
      <c r="FD186" s="39">
        <f t="shared" si="223"/>
        <v>2.1721026436473085</v>
      </c>
      <c r="FE186" s="39">
        <f t="shared" si="224"/>
        <v>2.3832317369079141</v>
      </c>
      <c r="FF186" s="39">
        <f t="shared" si="225"/>
        <v>2.1721026436473085</v>
      </c>
      <c r="FG186" s="39">
        <f t="shared" si="226"/>
        <v>2.3832317369079141</v>
      </c>
    </row>
    <row r="187" spans="1:163" ht="15.75" x14ac:dyDescent="0.25">
      <c r="A187" s="3" t="s">
        <v>444</v>
      </c>
      <c r="B187" s="3" t="s">
        <v>444</v>
      </c>
      <c r="C187" s="3" t="s">
        <v>976</v>
      </c>
      <c r="D187" s="3" t="s">
        <v>976</v>
      </c>
      <c r="E187" s="21" t="s">
        <v>1437</v>
      </c>
      <c r="F187" s="3" t="s">
        <v>1055</v>
      </c>
      <c r="G187" s="3" t="s">
        <v>772</v>
      </c>
      <c r="H187" s="3" t="str">
        <f t="shared" si="171"/>
        <v>CW_1_Section_5</v>
      </c>
      <c r="I187" s="3" t="str">
        <f t="shared" si="172"/>
        <v>CW_1_EFF</v>
      </c>
      <c r="J187" s="3" t="s">
        <v>1482</v>
      </c>
      <c r="K187" s="3" t="s">
        <v>1482</v>
      </c>
      <c r="L187" s="3" t="s">
        <v>780</v>
      </c>
      <c r="M187" s="3" t="s">
        <v>780</v>
      </c>
      <c r="N187" s="3" t="s">
        <v>1482</v>
      </c>
      <c r="O187" s="12" t="s">
        <v>1016</v>
      </c>
      <c r="P187" s="3" t="s">
        <v>1438</v>
      </c>
      <c r="Q187" s="3" t="s">
        <v>1018</v>
      </c>
      <c r="R187" s="3" t="s">
        <v>1435</v>
      </c>
      <c r="S187" s="3" t="str">
        <f t="shared" si="173"/>
        <v>T8_EFF</v>
      </c>
      <c r="T187" s="13" t="s">
        <v>1436</v>
      </c>
      <c r="U187" s="3" t="s">
        <v>1160</v>
      </c>
      <c r="V187" s="3">
        <v>150</v>
      </c>
      <c r="W187" s="3">
        <v>65</v>
      </c>
      <c r="X187" s="14">
        <v>4.45</v>
      </c>
      <c r="Y187" s="3">
        <v>186</v>
      </c>
      <c r="Z187" t="s">
        <v>736</v>
      </c>
      <c r="AA187" t="s">
        <v>47</v>
      </c>
      <c r="AB187" s="1">
        <v>46007</v>
      </c>
      <c r="AC187">
        <v>9.6999999999999993</v>
      </c>
      <c r="AD187">
        <v>10</v>
      </c>
      <c r="AE187">
        <v>76</v>
      </c>
      <c r="AF187" s="37">
        <f t="shared" si="187"/>
        <v>2.9189604404045579E-2</v>
      </c>
      <c r="AG187">
        <v>2.1</v>
      </c>
      <c r="AH187" s="37">
        <f t="shared" si="188"/>
        <v>8.2049055784675501E-4</v>
      </c>
      <c r="AI187">
        <v>42</v>
      </c>
      <c r="AJ187" s="37">
        <f t="shared" si="189"/>
        <v>1.6614862955637185E-2</v>
      </c>
      <c r="AK187">
        <v>13</v>
      </c>
      <c r="AL187" s="37">
        <f t="shared" si="190"/>
        <v>5.1426956767448434E-3</v>
      </c>
      <c r="AM187">
        <v>6.5</v>
      </c>
      <c r="AN187" s="37">
        <f t="shared" si="191"/>
        <v>2.5713478383724217E-3</v>
      </c>
      <c r="AO187">
        <v>19.5</v>
      </c>
      <c r="AQ187" s="59">
        <v>139.6</v>
      </c>
      <c r="AR187" s="59">
        <f t="shared" si="192"/>
        <v>4.6624957917529519E-2</v>
      </c>
      <c r="AS187">
        <v>65</v>
      </c>
      <c r="AT187" s="37">
        <f t="shared" si="193"/>
        <v>2.4342669891550282E-2</v>
      </c>
      <c r="AU187" t="s">
        <v>780</v>
      </c>
      <c r="AV187" t="s">
        <v>780</v>
      </c>
      <c r="AW187" t="s">
        <v>780</v>
      </c>
      <c r="AX187" t="s">
        <v>780</v>
      </c>
      <c r="AY187" t="s">
        <v>780</v>
      </c>
      <c r="AZ187" t="s">
        <v>780</v>
      </c>
      <c r="BA187" t="s">
        <v>780</v>
      </c>
      <c r="BB187" t="s">
        <v>780</v>
      </c>
      <c r="BC187" t="s">
        <v>780</v>
      </c>
      <c r="BD187" t="s">
        <v>780</v>
      </c>
      <c r="BE187" t="s">
        <v>780</v>
      </c>
      <c r="BF187" t="s">
        <v>780</v>
      </c>
      <c r="BG187" t="s">
        <v>780</v>
      </c>
      <c r="BH187" t="s">
        <v>780</v>
      </c>
      <c r="BI187" t="s">
        <v>780</v>
      </c>
      <c r="BJ187" t="s">
        <v>780</v>
      </c>
      <c r="BK187" t="s">
        <v>780</v>
      </c>
      <c r="BL187" t="s">
        <v>780</v>
      </c>
      <c r="BM187" t="s">
        <v>780</v>
      </c>
      <c r="BN187" t="s">
        <v>780</v>
      </c>
      <c r="BO187" s="58">
        <v>40</v>
      </c>
      <c r="BP187" s="58">
        <v>0.45</v>
      </c>
      <c r="BQ187" s="58">
        <v>11</v>
      </c>
      <c r="BR187" s="58">
        <v>2.8</v>
      </c>
      <c r="BS187" s="58">
        <v>0.84</v>
      </c>
      <c r="BT187" s="58">
        <v>0.1</v>
      </c>
      <c r="BU187" s="58">
        <v>0.02</v>
      </c>
      <c r="BV187" s="58">
        <v>2E-3</v>
      </c>
      <c r="BW187" s="31">
        <f t="shared" si="194"/>
        <v>1.4980104548646327E-2</v>
      </c>
      <c r="BX187" s="31">
        <f t="shared" si="195"/>
        <v>1.655824955647546E-4</v>
      </c>
      <c r="BY187" s="31">
        <f t="shared" si="196"/>
        <v>4.1372154853770837E-3</v>
      </c>
      <c r="BZ187" s="31">
        <f t="shared" si="197"/>
        <v>1.0443989892913006E-3</v>
      </c>
      <c r="CA187" s="31">
        <f t="shared" si="198"/>
        <v>3.1105874431913819E-4</v>
      </c>
      <c r="CB187" s="31">
        <f t="shared" si="199"/>
        <v>3.7030802895135498E-5</v>
      </c>
      <c r="CC187" s="31">
        <f t="shared" si="200"/>
        <v>7.3176761433868973E-6</v>
      </c>
      <c r="CD187" s="31">
        <f t="shared" si="201"/>
        <v>7.3176761433868969E-7</v>
      </c>
      <c r="CE187">
        <v>1E-3</v>
      </c>
      <c r="CF187">
        <v>1E-3</v>
      </c>
      <c r="CG187">
        <v>2E-3</v>
      </c>
      <c r="CH187">
        <v>1E-3</v>
      </c>
      <c r="CI187">
        <v>1E-3</v>
      </c>
      <c r="CK187">
        <v>2E-3</v>
      </c>
      <c r="CL187">
        <v>1E-3</v>
      </c>
      <c r="CM187">
        <v>1E-3</v>
      </c>
      <c r="CN187" s="58">
        <f t="shared" si="227"/>
        <v>55.21200000000001</v>
      </c>
      <c r="CO187" s="58">
        <f t="shared" si="202"/>
        <v>15.212</v>
      </c>
      <c r="CP187" s="31">
        <f t="shared" si="203"/>
        <v>2.0683440509851464E-2</v>
      </c>
      <c r="CQ187" s="31">
        <f t="shared" si="204"/>
        <v>5.7033359612051375E-3</v>
      </c>
      <c r="CR187">
        <v>55</v>
      </c>
      <c r="CS187">
        <v>110</v>
      </c>
      <c r="CT187">
        <v>60</v>
      </c>
      <c r="CU187" t="s">
        <v>69</v>
      </c>
      <c r="CV187" t="s">
        <v>69</v>
      </c>
      <c r="CW187">
        <v>170</v>
      </c>
      <c r="CX187" s="2">
        <f t="shared" si="235"/>
        <v>194.6</v>
      </c>
      <c r="CZ187">
        <v>65</v>
      </c>
      <c r="DA187" t="s">
        <v>62</v>
      </c>
      <c r="DB187" t="s">
        <v>88</v>
      </c>
      <c r="DC187" t="s">
        <v>782</v>
      </c>
      <c r="DD187" s="37">
        <f t="shared" si="236"/>
        <v>41.563189673120966</v>
      </c>
      <c r="DE187" s="37">
        <f t="shared" si="253"/>
        <v>41.563189673120966</v>
      </c>
      <c r="DF187" s="37">
        <v>9.6</v>
      </c>
      <c r="DG187" s="37">
        <f t="shared" si="237"/>
        <v>0.17188898836168306</v>
      </c>
      <c r="DH187" s="37">
        <f t="shared" si="205"/>
        <v>0.17188898836168306</v>
      </c>
      <c r="DI187" s="37">
        <f t="shared" si="238"/>
        <v>51.163189673120968</v>
      </c>
      <c r="DJ187" s="37">
        <f t="shared" si="206"/>
        <v>0.91608217856975771</v>
      </c>
      <c r="DK187" s="37">
        <f t="shared" si="207"/>
        <v>0.91608217856975771</v>
      </c>
      <c r="DL187" s="55">
        <f t="shared" si="208"/>
        <v>27.611909223402037</v>
      </c>
      <c r="DM187" s="55">
        <f t="shared" si="208"/>
        <v>27.611909223402037</v>
      </c>
      <c r="DN187" s="37">
        <f t="shared" si="209"/>
        <v>37.211909223402039</v>
      </c>
      <c r="DO187" s="55">
        <f t="shared" si="210"/>
        <v>0.66628306577264163</v>
      </c>
      <c r="DP187" s="55">
        <f t="shared" si="211"/>
        <v>0.66628306577264163</v>
      </c>
      <c r="DQ187" s="37">
        <v>2.4</v>
      </c>
      <c r="DR187" s="37">
        <f t="shared" si="212"/>
        <v>4.3691971600218461E-2</v>
      </c>
      <c r="DS187" s="37">
        <f t="shared" si="213"/>
        <v>8.7383943200436923E-2</v>
      </c>
      <c r="DT187" s="37">
        <f t="shared" si="239"/>
        <v>20.966830862015328</v>
      </c>
      <c r="DU187" s="37">
        <f t="shared" si="240"/>
        <v>10.483415431007664</v>
      </c>
      <c r="DV187" s="37">
        <f t="shared" si="241"/>
        <v>53.563189673120966</v>
      </c>
      <c r="DW187" s="37">
        <f t="shared" si="242"/>
        <v>1.0034661217701946</v>
      </c>
      <c r="DX187" t="s">
        <v>780</v>
      </c>
      <c r="DY187" t="s">
        <v>86</v>
      </c>
      <c r="DZ187" s="29">
        <f t="shared" si="252"/>
        <v>1</v>
      </c>
      <c r="EA187" s="30">
        <v>1.7000000000000001E-2</v>
      </c>
      <c r="EB187" s="30">
        <f t="shared" si="214"/>
        <v>2.741935483870968E-4</v>
      </c>
      <c r="EC187" s="30">
        <f t="shared" si="215"/>
        <v>1.370967741935484E-3</v>
      </c>
      <c r="ED187" s="31">
        <f t="shared" ref="ED187:ED207" si="255">$EK$186-EK187</f>
        <v>71.5</v>
      </c>
      <c r="EE187" s="33">
        <f t="shared" si="254"/>
        <v>99.305555555555557</v>
      </c>
      <c r="EF187" s="37">
        <f t="shared" si="243"/>
        <v>5.9546117010201955</v>
      </c>
      <c r="EG187" s="37">
        <f>$EK195-EK187</f>
        <v>47.5</v>
      </c>
      <c r="EH187" s="33">
        <f>(EG187/EK195)*100</f>
        <v>98.958333333333343</v>
      </c>
      <c r="EI187" s="37">
        <f t="shared" si="251"/>
        <v>3.9558609202581718</v>
      </c>
      <c r="EJ187" s="37">
        <f>($EG187/96.06)*8</f>
        <v>3.9558609202581718</v>
      </c>
      <c r="EK187" s="31">
        <v>0.5</v>
      </c>
      <c r="EL187" s="31">
        <f t="shared" si="216"/>
        <v>5.2050801582344368E-3</v>
      </c>
      <c r="EM187" s="31">
        <f t="shared" si="217"/>
        <v>4.1640641265875494E-2</v>
      </c>
      <c r="EN187" s="32">
        <f t="shared" si="244"/>
        <v>4.301160900781098E-2</v>
      </c>
      <c r="EO187" s="39">
        <f t="shared" si="248"/>
        <v>6.9580778227903899</v>
      </c>
      <c r="EP187" s="37">
        <f t="shared" si="245"/>
        <v>1.2558632631877268E-2</v>
      </c>
      <c r="EQ187" s="37">
        <f t="shared" si="246"/>
        <v>0.13165736312537854</v>
      </c>
      <c r="ER187" s="37">
        <f t="shared" si="247"/>
        <v>0.85578400424274426</v>
      </c>
      <c r="ES187" s="39">
        <f t="shared" si="219"/>
        <v>4.7095279292312506</v>
      </c>
      <c r="ET187" s="55">
        <f t="shared" si="220"/>
        <v>14.147555249372964</v>
      </c>
      <c r="EU187" s="55">
        <f t="shared" si="221"/>
        <v>1.8554713872288437</v>
      </c>
      <c r="EV187" s="55">
        <f t="shared" si="222"/>
        <v>83.996973363398183</v>
      </c>
      <c r="EW187" t="s">
        <v>737</v>
      </c>
      <c r="EX187">
        <v>9</v>
      </c>
      <c r="EY187">
        <v>28</v>
      </c>
      <c r="EZ187" t="s">
        <v>160</v>
      </c>
      <c r="FA187">
        <v>965</v>
      </c>
      <c r="FB187" t="s">
        <v>72</v>
      </c>
      <c r="FC187" t="s">
        <v>88</v>
      </c>
      <c r="FD187" s="39">
        <f t="shared" si="223"/>
        <v>-6.8871101949813101</v>
      </c>
      <c r="FE187" s="39">
        <f t="shared" si="224"/>
        <v>-6.881406859020105</v>
      </c>
      <c r="FF187" s="39">
        <f t="shared" si="225"/>
        <v>-4.6385603014221708</v>
      </c>
      <c r="FG187" s="39">
        <f t="shared" si="226"/>
        <v>-4.6328569654609657</v>
      </c>
    </row>
    <row r="188" spans="1:163" ht="15.75" x14ac:dyDescent="0.25">
      <c r="A188" s="3" t="s">
        <v>445</v>
      </c>
      <c r="B188" s="3" t="s">
        <v>445</v>
      </c>
      <c r="C188" s="3" t="s">
        <v>977</v>
      </c>
      <c r="D188" s="3" t="s">
        <v>977</v>
      </c>
      <c r="E188" s="21" t="s">
        <v>1439</v>
      </c>
      <c r="F188" s="3" t="s">
        <v>1055</v>
      </c>
      <c r="G188" s="3" t="s">
        <v>773</v>
      </c>
      <c r="H188" s="3" t="str">
        <f t="shared" si="171"/>
        <v>CW_2_Section_5</v>
      </c>
      <c r="I188" s="3" t="str">
        <f t="shared" si="172"/>
        <v>CW_2_EFF</v>
      </c>
      <c r="J188" s="3" t="s">
        <v>1482</v>
      </c>
      <c r="K188" s="3" t="s">
        <v>1482</v>
      </c>
      <c r="L188" s="3" t="s">
        <v>780</v>
      </c>
      <c r="M188" s="3" t="s">
        <v>780</v>
      </c>
      <c r="N188" s="3" t="s">
        <v>1482</v>
      </c>
      <c r="O188" s="12" t="s">
        <v>1016</v>
      </c>
      <c r="P188" s="3" t="s">
        <v>1440</v>
      </c>
      <c r="Q188" s="3" t="s">
        <v>1018</v>
      </c>
      <c r="R188" s="3" t="s">
        <v>1435</v>
      </c>
      <c r="S188" s="3" t="str">
        <f t="shared" si="173"/>
        <v>T8_EFF</v>
      </c>
      <c r="T188" s="13" t="s">
        <v>1436</v>
      </c>
      <c r="U188" s="3" t="s">
        <v>1160</v>
      </c>
      <c r="V188" s="3">
        <v>150</v>
      </c>
      <c r="W188" s="3">
        <v>65</v>
      </c>
      <c r="X188" s="14">
        <v>4.3</v>
      </c>
      <c r="Y188" s="3">
        <v>187</v>
      </c>
      <c r="Z188" t="s">
        <v>747</v>
      </c>
      <c r="AA188" t="s">
        <v>196</v>
      </c>
      <c r="AB188" s="1">
        <v>46007</v>
      </c>
      <c r="AC188">
        <v>5</v>
      </c>
      <c r="AD188">
        <v>5.2</v>
      </c>
      <c r="AE188">
        <v>3.1</v>
      </c>
      <c r="AF188" s="37">
        <f t="shared" si="187"/>
        <v>1.1906286006913326E-3</v>
      </c>
      <c r="AG188">
        <v>0.25</v>
      </c>
      <c r="AH188" s="37">
        <f t="shared" si="188"/>
        <v>9.7677447362708923E-5</v>
      </c>
      <c r="AI188">
        <v>4</v>
      </c>
      <c r="AJ188" s="37">
        <f t="shared" si="189"/>
        <v>1.5823679005368748E-3</v>
      </c>
      <c r="AK188">
        <v>0.93</v>
      </c>
      <c r="AL188" s="37">
        <f t="shared" si="190"/>
        <v>3.679005368748234E-4</v>
      </c>
      <c r="AM188">
        <v>0.68</v>
      </c>
      <c r="AN188" s="37">
        <f t="shared" si="191"/>
        <v>2.6900254309126874E-4</v>
      </c>
      <c r="AO188">
        <v>1.61</v>
      </c>
      <c r="AQ188" s="59">
        <v>8.9600000000000009</v>
      </c>
      <c r="AR188" s="59">
        <f t="shared" si="192"/>
        <v>2.8706739485909166E-3</v>
      </c>
      <c r="AS188">
        <v>19</v>
      </c>
      <c r="AT188" s="37">
        <f t="shared" si="193"/>
        <v>7.1155496606070054E-3</v>
      </c>
      <c r="AU188" t="s">
        <v>780</v>
      </c>
      <c r="AV188" t="s">
        <v>780</v>
      </c>
      <c r="AW188" t="s">
        <v>780</v>
      </c>
      <c r="AX188" t="s">
        <v>780</v>
      </c>
      <c r="AY188" t="s">
        <v>780</v>
      </c>
      <c r="AZ188" t="s">
        <v>780</v>
      </c>
      <c r="BA188" t="s">
        <v>780</v>
      </c>
      <c r="BB188" t="s">
        <v>780</v>
      </c>
      <c r="BC188" t="s">
        <v>780</v>
      </c>
      <c r="BD188" t="s">
        <v>780</v>
      </c>
      <c r="BE188" t="s">
        <v>780</v>
      </c>
      <c r="BF188" t="s">
        <v>780</v>
      </c>
      <c r="BG188" t="s">
        <v>780</v>
      </c>
      <c r="BH188" t="s">
        <v>780</v>
      </c>
      <c r="BI188" t="s">
        <v>780</v>
      </c>
      <c r="BJ188" t="s">
        <v>780</v>
      </c>
      <c r="BK188" t="s">
        <v>780</v>
      </c>
      <c r="BL188" t="s">
        <v>780</v>
      </c>
      <c r="BM188" t="s">
        <v>780</v>
      </c>
      <c r="BN188" t="s">
        <v>780</v>
      </c>
      <c r="BO188" s="58">
        <v>0.04</v>
      </c>
      <c r="BP188" s="58">
        <v>0.1</v>
      </c>
      <c r="BQ188" s="58">
        <v>1.9</v>
      </c>
      <c r="BR188" s="58">
        <v>0.52</v>
      </c>
      <c r="BS188" s="58">
        <v>0.03</v>
      </c>
      <c r="BT188" s="58">
        <v>0.02</v>
      </c>
      <c r="BU188" s="58">
        <v>1E-3</v>
      </c>
      <c r="BV188" s="58">
        <v>2E-3</v>
      </c>
      <c r="BW188" s="31">
        <f t="shared" si="194"/>
        <v>1.498010454864633E-5</v>
      </c>
      <c r="BX188" s="31">
        <f t="shared" si="195"/>
        <v>3.6796110125501022E-5</v>
      </c>
      <c r="BY188" s="31">
        <f t="shared" si="196"/>
        <v>7.1460994747422348E-4</v>
      </c>
      <c r="BZ188" s="31">
        <f t="shared" si="197"/>
        <v>1.9395981229695586E-4</v>
      </c>
      <c r="CA188" s="31">
        <f t="shared" si="198"/>
        <v>1.110924086854065E-5</v>
      </c>
      <c r="CB188" s="31">
        <f t="shared" si="199"/>
        <v>7.4061605790270997E-6</v>
      </c>
      <c r="CC188" s="31">
        <f t="shared" si="200"/>
        <v>3.6588380716934485E-7</v>
      </c>
      <c r="CD188" s="31">
        <f t="shared" si="201"/>
        <v>7.3176761433868969E-7</v>
      </c>
      <c r="CE188">
        <v>1E-3</v>
      </c>
      <c r="CF188">
        <v>1E-3</v>
      </c>
      <c r="CG188">
        <v>2E-3</v>
      </c>
      <c r="CH188">
        <v>1E-3</v>
      </c>
      <c r="CI188">
        <v>1E-3</v>
      </c>
      <c r="CK188">
        <v>2E-3</v>
      </c>
      <c r="CL188">
        <v>1E-3</v>
      </c>
      <c r="CM188">
        <v>1E-3</v>
      </c>
      <c r="CN188" s="58">
        <f t="shared" si="227"/>
        <v>2.6129999999999995</v>
      </c>
      <c r="CO188" s="58">
        <f t="shared" si="202"/>
        <v>2.5729999999999995</v>
      </c>
      <c r="CP188" s="31">
        <f t="shared" si="203"/>
        <v>9.7995902731440256E-4</v>
      </c>
      <c r="CQ188" s="31">
        <f t="shared" si="204"/>
        <v>9.6497892276575618E-4</v>
      </c>
      <c r="CR188">
        <v>2.6</v>
      </c>
      <c r="CS188" t="s">
        <v>69</v>
      </c>
      <c r="CT188" t="s">
        <v>69</v>
      </c>
      <c r="CU188" t="s">
        <v>69</v>
      </c>
      <c r="CV188" t="s">
        <v>69</v>
      </c>
      <c r="CW188">
        <v>5</v>
      </c>
      <c r="CX188" s="2">
        <f t="shared" si="235"/>
        <v>11.56</v>
      </c>
      <c r="CZ188">
        <v>49</v>
      </c>
      <c r="DA188" t="s">
        <v>62</v>
      </c>
      <c r="DB188" t="s">
        <v>88</v>
      </c>
      <c r="DC188" t="s">
        <v>100</v>
      </c>
      <c r="DD188" s="37">
        <f t="shared" si="236"/>
        <v>20.926920674578387</v>
      </c>
      <c r="DE188" s="37">
        <f t="shared" si="253"/>
        <v>20.926920674578387</v>
      </c>
      <c r="DF188" s="37">
        <v>0.6</v>
      </c>
      <c r="DG188" s="37">
        <f t="shared" si="237"/>
        <v>1.0743061772605192E-2</v>
      </c>
      <c r="DH188" s="37">
        <f t="shared" si="205"/>
        <v>1.0743061772605192E-2</v>
      </c>
      <c r="DI188" s="37">
        <f t="shared" si="238"/>
        <v>21.526920674578388</v>
      </c>
      <c r="DJ188" s="37">
        <f t="shared" si="206"/>
        <v>0.38544173096827911</v>
      </c>
      <c r="DK188" s="37">
        <f t="shared" si="207"/>
        <v>0.38544173096827911</v>
      </c>
      <c r="DL188" s="55">
        <f t="shared" si="208"/>
        <v>-0.58130335207162187</v>
      </c>
      <c r="DN188" s="37">
        <f t="shared" si="209"/>
        <v>0.6</v>
      </c>
      <c r="DO188" s="55">
        <f t="shared" si="210"/>
        <v>1.0743061772605192E-2</v>
      </c>
      <c r="DP188" s="55">
        <f t="shared" si="211"/>
        <v>1.0743061772605192E-2</v>
      </c>
      <c r="DQ188" s="37">
        <v>0.05</v>
      </c>
      <c r="DR188" s="37">
        <f t="shared" si="212"/>
        <v>9.1024940833788468E-4</v>
      </c>
      <c r="DS188" s="37">
        <f t="shared" si="213"/>
        <v>1.8204988166757694E-3</v>
      </c>
      <c r="DT188" s="37">
        <f t="shared" si="239"/>
        <v>423.44628564175139</v>
      </c>
      <c r="DU188" s="37">
        <f t="shared" si="240"/>
        <v>211.72314282087569</v>
      </c>
      <c r="DV188" s="37">
        <f t="shared" si="241"/>
        <v>21.576920674578389</v>
      </c>
      <c r="DW188" s="37">
        <f t="shared" si="242"/>
        <v>0.38726222978495489</v>
      </c>
      <c r="DX188" t="s">
        <v>780</v>
      </c>
      <c r="DY188" t="s">
        <v>615</v>
      </c>
      <c r="DZ188" s="29">
        <f t="shared" si="252"/>
        <v>20.588235294117645</v>
      </c>
      <c r="EA188" s="30">
        <v>0.35</v>
      </c>
      <c r="EB188" s="30">
        <f t="shared" si="214"/>
        <v>5.6451612903225803E-3</v>
      </c>
      <c r="EC188" s="30">
        <f t="shared" si="215"/>
        <v>2.8225806451612902E-2</v>
      </c>
      <c r="ED188" s="31">
        <f t="shared" si="255"/>
        <v>36</v>
      </c>
      <c r="EE188" s="33">
        <f t="shared" si="254"/>
        <v>50</v>
      </c>
      <c r="EF188" s="37">
        <f t="shared" si="243"/>
        <v>2.9981261711430354</v>
      </c>
      <c r="EG188" s="37">
        <f>$EK201-EK188</f>
        <v>-1</v>
      </c>
      <c r="EH188" s="33">
        <f>(EG188/EK201)*100</f>
        <v>-2.8571428571428572</v>
      </c>
      <c r="EI188" s="37">
        <f t="shared" si="251"/>
        <v>-8.3281282531750989E-2</v>
      </c>
      <c r="EJ188" s="37"/>
      <c r="EK188" s="31">
        <v>36</v>
      </c>
      <c r="EL188" s="31">
        <f t="shared" si="216"/>
        <v>0.37476577139287942</v>
      </c>
      <c r="EM188" s="31">
        <f t="shared" si="217"/>
        <v>2.9981261711430354</v>
      </c>
      <c r="EN188" s="32">
        <f t="shared" si="244"/>
        <v>3.0263519775946484</v>
      </c>
      <c r="EO188" s="39">
        <f t="shared" si="248"/>
        <v>3.3853884009279902</v>
      </c>
      <c r="EP188" s="37">
        <f t="shared" si="245"/>
        <v>5.3775183260412328E-4</v>
      </c>
      <c r="EQ188" s="37">
        <f t="shared" si="246"/>
        <v>0.11385450805663044</v>
      </c>
      <c r="ER188" s="37">
        <f t="shared" si="247"/>
        <v>0.88560774011076548</v>
      </c>
      <c r="ES188" s="39">
        <f t="shared" si="219"/>
        <v>1.256356058928096E-2</v>
      </c>
      <c r="ET188" s="55">
        <f t="shared" si="220"/>
        <v>85.509690475572739</v>
      </c>
      <c r="EU188" s="55">
        <f t="shared" si="221"/>
        <v>14.490309524427266</v>
      </c>
      <c r="EV188" s="55">
        <f t="shared" si="222"/>
        <v>0</v>
      </c>
      <c r="EW188" t="s">
        <v>748</v>
      </c>
      <c r="EX188">
        <v>9</v>
      </c>
      <c r="EY188">
        <v>99</v>
      </c>
      <c r="EZ188" t="s">
        <v>160</v>
      </c>
      <c r="FA188">
        <v>601</v>
      </c>
      <c r="FB188" t="s">
        <v>72</v>
      </c>
      <c r="FC188" t="s">
        <v>88</v>
      </c>
      <c r="FD188" s="39">
        <f t="shared" si="223"/>
        <v>-3.3754021773187923</v>
      </c>
      <c r="FE188" s="39">
        <f t="shared" si="224"/>
        <v>-3.3744371983960266</v>
      </c>
      <c r="FF188" s="39">
        <f t="shared" si="225"/>
        <v>-2.5773369800830385E-3</v>
      </c>
      <c r="FG188" s="39">
        <f t="shared" si="226"/>
        <v>-1.6123580573172824E-3</v>
      </c>
    </row>
    <row r="189" spans="1:163" ht="15.75" x14ac:dyDescent="0.25">
      <c r="A189" s="3" t="s">
        <v>446</v>
      </c>
      <c r="B189" s="3" t="s">
        <v>446</v>
      </c>
      <c r="C189" s="3" t="s">
        <v>978</v>
      </c>
      <c r="D189" s="3" t="s">
        <v>978</v>
      </c>
      <c r="E189" s="21" t="s">
        <v>1441</v>
      </c>
      <c r="F189" s="3" t="s">
        <v>1055</v>
      </c>
      <c r="G189" s="3" t="s">
        <v>774</v>
      </c>
      <c r="H189" s="3" t="str">
        <f t="shared" si="171"/>
        <v>CW_3_Section_5</v>
      </c>
      <c r="I189" s="3" t="str">
        <f t="shared" si="172"/>
        <v>CW_3_EFF</v>
      </c>
      <c r="J189" s="3" t="s">
        <v>1482</v>
      </c>
      <c r="K189" s="3" t="s">
        <v>1482</v>
      </c>
      <c r="L189" s="3" t="s">
        <v>780</v>
      </c>
      <c r="M189" s="3" t="s">
        <v>780</v>
      </c>
      <c r="N189" s="3" t="s">
        <v>1482</v>
      </c>
      <c r="O189" s="12" t="s">
        <v>1016</v>
      </c>
      <c r="P189" s="3" t="s">
        <v>1442</v>
      </c>
      <c r="Q189" s="3" t="s">
        <v>1018</v>
      </c>
      <c r="R189" s="3" t="s">
        <v>1435</v>
      </c>
      <c r="S189" s="3" t="str">
        <f t="shared" si="173"/>
        <v>T8_EFF</v>
      </c>
      <c r="T189" s="13" t="s">
        <v>1436</v>
      </c>
      <c r="U189" s="3" t="s">
        <v>1160</v>
      </c>
      <c r="V189" s="3">
        <v>150</v>
      </c>
      <c r="W189" s="3">
        <v>65</v>
      </c>
      <c r="X189" s="14">
        <v>3.65</v>
      </c>
      <c r="Y189" s="3">
        <v>188</v>
      </c>
      <c r="Z189" t="s">
        <v>766</v>
      </c>
      <c r="AA189" t="s">
        <v>236</v>
      </c>
      <c r="AB189" s="1">
        <v>46009</v>
      </c>
      <c r="AC189">
        <v>13</v>
      </c>
      <c r="AD189">
        <v>14</v>
      </c>
      <c r="AE189">
        <v>5.5</v>
      </c>
      <c r="AF189" s="37">
        <f t="shared" si="187"/>
        <v>2.1124055818717196E-3</v>
      </c>
      <c r="AG189">
        <v>0.71</v>
      </c>
      <c r="AH189" s="37">
        <f t="shared" si="188"/>
        <v>2.7740395051009334E-4</v>
      </c>
      <c r="AI189">
        <v>3</v>
      </c>
      <c r="AJ189" s="37">
        <f t="shared" si="189"/>
        <v>1.1867759254026561E-3</v>
      </c>
      <c r="AK189">
        <v>1.3</v>
      </c>
      <c r="AL189" s="37">
        <f t="shared" si="190"/>
        <v>5.1426956767448438E-4</v>
      </c>
      <c r="AM189">
        <v>1.3</v>
      </c>
      <c r="AN189" s="37">
        <f t="shared" si="191"/>
        <v>5.1426956767448438E-4</v>
      </c>
      <c r="AO189">
        <v>2.6</v>
      </c>
      <c r="AQ189" s="59">
        <v>11.81</v>
      </c>
      <c r="AR189" s="59">
        <f t="shared" si="192"/>
        <v>3.5765854577844689E-3</v>
      </c>
      <c r="AS189">
        <v>21</v>
      </c>
      <c r="AT189" s="37">
        <f t="shared" si="193"/>
        <v>7.8645548880393219E-3</v>
      </c>
      <c r="AU189" t="s">
        <v>780</v>
      </c>
      <c r="AV189" t="s">
        <v>780</v>
      </c>
      <c r="AW189" t="s">
        <v>780</v>
      </c>
      <c r="AX189" t="s">
        <v>780</v>
      </c>
      <c r="AY189" t="s">
        <v>780</v>
      </c>
      <c r="AZ189" t="s">
        <v>780</v>
      </c>
      <c r="BA189" t="s">
        <v>780</v>
      </c>
      <c r="BB189" t="s">
        <v>780</v>
      </c>
      <c r="BC189" t="s">
        <v>780</v>
      </c>
      <c r="BD189" t="s">
        <v>780</v>
      </c>
      <c r="BE189" t="s">
        <v>780</v>
      </c>
      <c r="BF189" t="s">
        <v>780</v>
      </c>
      <c r="BG189" t="s">
        <v>780</v>
      </c>
      <c r="BH189" t="s">
        <v>780</v>
      </c>
      <c r="BI189" t="s">
        <v>780</v>
      </c>
      <c r="BJ189" t="s">
        <v>780</v>
      </c>
      <c r="BK189" t="s">
        <v>780</v>
      </c>
      <c r="BL189" t="s">
        <v>780</v>
      </c>
      <c r="BM189" t="s">
        <v>780</v>
      </c>
      <c r="BN189" t="s">
        <v>780</v>
      </c>
      <c r="BO189" s="58">
        <v>2400</v>
      </c>
      <c r="BP189" s="58">
        <v>2</v>
      </c>
      <c r="BQ189" s="58">
        <v>94</v>
      </c>
      <c r="BR189" s="58">
        <v>22</v>
      </c>
      <c r="BS189" s="58">
        <v>13</v>
      </c>
      <c r="BT189" s="58">
        <v>1.9</v>
      </c>
      <c r="BU189" s="58">
        <v>0.11</v>
      </c>
      <c r="BV189" s="58">
        <v>0.44</v>
      </c>
      <c r="BW189" s="31">
        <f t="shared" si="194"/>
        <v>0.89880627291877968</v>
      </c>
      <c r="BX189" s="31">
        <f t="shared" si="195"/>
        <v>7.3592220251002033E-4</v>
      </c>
      <c r="BY189" s="31">
        <f t="shared" si="196"/>
        <v>3.5354386875040528E-2</v>
      </c>
      <c r="BZ189" s="31">
        <f t="shared" si="197"/>
        <v>8.2059920587173631E-3</v>
      </c>
      <c r="CA189" s="31">
        <f t="shared" si="198"/>
        <v>4.8140043763676144E-3</v>
      </c>
      <c r="CB189" s="31">
        <f t="shared" si="199"/>
        <v>7.0358525500757447E-4</v>
      </c>
      <c r="CC189" s="31">
        <f t="shared" si="200"/>
        <v>4.0247218788627937E-5</v>
      </c>
      <c r="CD189" s="31">
        <f t="shared" si="201"/>
        <v>1.6098887515451175E-4</v>
      </c>
      <c r="CE189">
        <v>1E-3</v>
      </c>
      <c r="CF189">
        <v>1E-3</v>
      </c>
      <c r="CG189">
        <v>2E-3</v>
      </c>
      <c r="CH189">
        <v>1E-3</v>
      </c>
      <c r="CI189">
        <v>1E-3</v>
      </c>
      <c r="CK189">
        <v>2E-3</v>
      </c>
      <c r="CL189">
        <v>1E-3</v>
      </c>
      <c r="CM189">
        <v>1E-3</v>
      </c>
      <c r="CN189" s="58">
        <f t="shared" si="227"/>
        <v>2533.4500000000003</v>
      </c>
      <c r="CO189" s="58">
        <f t="shared" si="202"/>
        <v>133.45000000000002</v>
      </c>
      <c r="CP189" s="31">
        <f t="shared" si="203"/>
        <v>0.94882139978036595</v>
      </c>
      <c r="CQ189" s="31">
        <f t="shared" si="204"/>
        <v>5.001512686158624E-2</v>
      </c>
      <c r="CR189">
        <v>2500</v>
      </c>
      <c r="CS189">
        <v>3500</v>
      </c>
      <c r="CT189">
        <v>980</v>
      </c>
      <c r="CU189" t="s">
        <v>69</v>
      </c>
      <c r="CV189" t="s">
        <v>69</v>
      </c>
      <c r="CW189">
        <v>4500</v>
      </c>
      <c r="CX189" s="2">
        <f t="shared" si="235"/>
        <v>2511.81</v>
      </c>
      <c r="CZ189">
        <v>67</v>
      </c>
      <c r="DA189" t="s">
        <v>62</v>
      </c>
      <c r="DB189" t="s">
        <v>88</v>
      </c>
      <c r="DC189" t="s">
        <v>782</v>
      </c>
      <c r="DD189" s="37">
        <f t="shared" si="236"/>
        <v>16.276493858005413</v>
      </c>
      <c r="DE189" s="37">
        <f t="shared" si="253"/>
        <v>16.276493858005413</v>
      </c>
      <c r="DF189" s="37">
        <v>1</v>
      </c>
      <c r="DG189" s="37">
        <f t="shared" si="237"/>
        <v>1.7905102954341987E-2</v>
      </c>
      <c r="DH189" s="37">
        <f t="shared" si="205"/>
        <v>1.7905102954341987E-2</v>
      </c>
      <c r="DI189" s="37">
        <f t="shared" si="238"/>
        <v>17.276493858005413</v>
      </c>
      <c r="DJ189" s="37">
        <f t="shared" si="206"/>
        <v>0.30933740121764391</v>
      </c>
      <c r="DK189" s="37">
        <f t="shared" si="207"/>
        <v>0.30933740121764391</v>
      </c>
      <c r="DL189" s="55">
        <f t="shared" si="208"/>
        <v>2.9065167603581092</v>
      </c>
      <c r="DM189" s="55">
        <f t="shared" si="208"/>
        <v>2.9065167603581092</v>
      </c>
      <c r="DN189" s="37">
        <f t="shared" si="209"/>
        <v>3.9065167603581092</v>
      </c>
      <c r="DO189" s="55">
        <f t="shared" si="210"/>
        <v>6.9946584787074467E-2</v>
      </c>
      <c r="DP189" s="55">
        <f t="shared" si="211"/>
        <v>6.9946584787074467E-2</v>
      </c>
      <c r="DQ189" s="37">
        <v>1.1000000000000001</v>
      </c>
      <c r="DR189" s="37">
        <f t="shared" si="212"/>
        <v>2.0025486983433462E-2</v>
      </c>
      <c r="DS189" s="37">
        <f t="shared" si="213"/>
        <v>4.0050973966866923E-2</v>
      </c>
      <c r="DT189" s="37">
        <f t="shared" si="239"/>
        <v>15.447184953531981</v>
      </c>
      <c r="DU189" s="37">
        <f t="shared" si="240"/>
        <v>7.7235924767659903</v>
      </c>
      <c r="DV189" s="37">
        <f t="shared" si="241"/>
        <v>18.376493858005414</v>
      </c>
      <c r="DW189" s="37">
        <f t="shared" si="242"/>
        <v>0.34938837518451082</v>
      </c>
      <c r="DX189" t="s">
        <v>780</v>
      </c>
      <c r="DY189" t="s">
        <v>54</v>
      </c>
      <c r="DZ189" s="29">
        <f t="shared" si="252"/>
        <v>1</v>
      </c>
      <c r="EA189" s="30">
        <v>1.7000000000000001E-2</v>
      </c>
      <c r="EB189" s="30">
        <f t="shared" si="214"/>
        <v>2.741935483870968E-4</v>
      </c>
      <c r="EC189" s="30">
        <f t="shared" si="215"/>
        <v>1.370967741935484E-3</v>
      </c>
      <c r="ED189" s="31">
        <f t="shared" si="255"/>
        <v>28</v>
      </c>
      <c r="EE189" s="33">
        <f t="shared" si="254"/>
        <v>38.888888888888893</v>
      </c>
      <c r="EF189" s="37">
        <f t="shared" si="243"/>
        <v>2.3318759108890275</v>
      </c>
      <c r="EG189" s="37">
        <f>$EK207-EK189</f>
        <v>5</v>
      </c>
      <c r="EH189" s="33">
        <f>(EG189/EK207)*100</f>
        <v>10.204081632653061</v>
      </c>
      <c r="EI189" s="37">
        <f t="shared" si="251"/>
        <v>0.41640641265875494</v>
      </c>
      <c r="EJ189" s="37">
        <f t="shared" ref="EJ189:EJ198" si="256">($EG189/96.06)*8</f>
        <v>0.41640641265875494</v>
      </c>
      <c r="EK189" s="31">
        <v>44</v>
      </c>
      <c r="EL189" s="31">
        <f t="shared" si="216"/>
        <v>0.45804705392463041</v>
      </c>
      <c r="EM189" s="31">
        <f t="shared" si="217"/>
        <v>3.6643764313970433</v>
      </c>
      <c r="EN189" s="32">
        <f t="shared" si="244"/>
        <v>3.6657473991389788</v>
      </c>
      <c r="EO189" s="39">
        <f t="shared" si="248"/>
        <v>2.6812642860735383</v>
      </c>
      <c r="EP189" s="37">
        <f t="shared" si="245"/>
        <v>1.4937346599845195E-2</v>
      </c>
      <c r="EQ189" s="37">
        <f t="shared" si="246"/>
        <v>0.11536997782141041</v>
      </c>
      <c r="ER189" s="37">
        <f t="shared" si="247"/>
        <v>0.86969267557874441</v>
      </c>
      <c r="ES189" s="39">
        <f t="shared" si="219"/>
        <v>0.52640397141269635</v>
      </c>
      <c r="ET189" s="55">
        <f t="shared" si="220"/>
        <v>13.287624825352415</v>
      </c>
      <c r="EU189" s="55">
        <f t="shared" si="221"/>
        <v>7.6084102973963494</v>
      </c>
      <c r="EV189" s="55">
        <f t="shared" si="222"/>
        <v>79.103964877251229</v>
      </c>
      <c r="EW189" t="s">
        <v>767</v>
      </c>
      <c r="EX189">
        <v>10</v>
      </c>
      <c r="EY189">
        <v>1120</v>
      </c>
      <c r="EZ189" t="s">
        <v>525</v>
      </c>
      <c r="FA189">
        <v>1120</v>
      </c>
      <c r="FB189" t="s">
        <v>72</v>
      </c>
      <c r="FC189" t="s">
        <v>88</v>
      </c>
      <c r="FD189" s="39">
        <f t="shared" si="223"/>
        <v>-2.6698231457277144</v>
      </c>
      <c r="FE189" s="39">
        <f t="shared" si="224"/>
        <v>-2.6198080188661281</v>
      </c>
      <c r="FF189" s="39">
        <f t="shared" si="225"/>
        <v>-0.51496283106687257</v>
      </c>
      <c r="FG189" s="39">
        <f t="shared" si="226"/>
        <v>-0.46494770420528631</v>
      </c>
    </row>
    <row r="190" spans="1:163" ht="15.75" x14ac:dyDescent="0.25">
      <c r="A190" s="3" t="s">
        <v>447</v>
      </c>
      <c r="B190" s="3" t="s">
        <v>447</v>
      </c>
      <c r="C190" s="3" t="s">
        <v>979</v>
      </c>
      <c r="D190" s="3" t="s">
        <v>979</v>
      </c>
      <c r="E190" s="21" t="s">
        <v>1443</v>
      </c>
      <c r="F190" s="3" t="s">
        <v>1013</v>
      </c>
      <c r="G190" s="3" t="s">
        <v>772</v>
      </c>
      <c r="H190" s="3" t="str">
        <f t="shared" si="171"/>
        <v>CW_1_Section_1</v>
      </c>
      <c r="I190" s="3" t="str">
        <f t="shared" si="172"/>
        <v>CW_1_MF01</v>
      </c>
      <c r="J190" s="3" t="s">
        <v>1488</v>
      </c>
      <c r="K190" s="3" t="s">
        <v>1484</v>
      </c>
      <c r="L190" s="11" t="s">
        <v>1014</v>
      </c>
      <c r="M190" s="3" t="s">
        <v>1015</v>
      </c>
      <c r="N190" s="3" t="s">
        <v>1015</v>
      </c>
      <c r="O190" s="12" t="s">
        <v>1016</v>
      </c>
      <c r="P190" s="3" t="s">
        <v>1444</v>
      </c>
      <c r="Q190" s="3" t="s">
        <v>1018</v>
      </c>
      <c r="R190" s="3" t="s">
        <v>1435</v>
      </c>
      <c r="S190" s="3" t="str">
        <f t="shared" si="173"/>
        <v>T8_0.15-0.30</v>
      </c>
      <c r="T190" s="13" t="s">
        <v>1436</v>
      </c>
      <c r="U190" s="3" t="s">
        <v>1160</v>
      </c>
      <c r="V190" s="3">
        <v>150</v>
      </c>
      <c r="W190" s="3">
        <v>65</v>
      </c>
      <c r="X190" s="14">
        <v>3.9</v>
      </c>
      <c r="Y190" s="3">
        <v>189</v>
      </c>
      <c r="Z190" t="s">
        <v>738</v>
      </c>
      <c r="AA190" t="s">
        <v>137</v>
      </c>
      <c r="AB190" s="1">
        <v>46007</v>
      </c>
      <c r="AC190">
        <v>9.6999999999999993</v>
      </c>
      <c r="AD190">
        <v>10</v>
      </c>
      <c r="AE190">
        <v>630</v>
      </c>
      <c r="AF190" s="37">
        <f t="shared" si="187"/>
        <v>0.24196645755985149</v>
      </c>
      <c r="AG190">
        <v>47</v>
      </c>
      <c r="AH190" s="37">
        <f t="shared" si="188"/>
        <v>1.8363360104189274E-2</v>
      </c>
      <c r="AI190">
        <v>350</v>
      </c>
      <c r="AJ190" s="37">
        <f t="shared" si="189"/>
        <v>0.13845719129697656</v>
      </c>
      <c r="AK190">
        <v>130</v>
      </c>
      <c r="AL190" s="37">
        <f t="shared" si="190"/>
        <v>5.1426956767448434E-2</v>
      </c>
      <c r="AM190">
        <v>110</v>
      </c>
      <c r="AN190" s="37">
        <f t="shared" si="191"/>
        <v>4.3515117264764057E-2</v>
      </c>
      <c r="AO190">
        <v>240</v>
      </c>
      <c r="AQ190" s="59">
        <v>1267</v>
      </c>
      <c r="AR190" s="59">
        <f t="shared" si="192"/>
        <v>0.39878700896101738</v>
      </c>
      <c r="AS190">
        <v>120</v>
      </c>
      <c r="AT190" s="37">
        <f t="shared" si="193"/>
        <v>4.4940313645938985E-2</v>
      </c>
      <c r="AU190" t="s">
        <v>780</v>
      </c>
      <c r="AV190" t="s">
        <v>780</v>
      </c>
      <c r="AW190" t="s">
        <v>780</v>
      </c>
      <c r="AX190" t="s">
        <v>780</v>
      </c>
      <c r="AY190" t="s">
        <v>780</v>
      </c>
      <c r="AZ190" t="s">
        <v>780</v>
      </c>
      <c r="BA190" t="s">
        <v>780</v>
      </c>
      <c r="BB190" t="s">
        <v>780</v>
      </c>
      <c r="BC190" t="s">
        <v>780</v>
      </c>
      <c r="BD190" t="s">
        <v>780</v>
      </c>
      <c r="BE190" t="s">
        <v>780</v>
      </c>
      <c r="BF190" t="s">
        <v>780</v>
      </c>
      <c r="BG190" t="s">
        <v>780</v>
      </c>
      <c r="BH190" t="s">
        <v>780</v>
      </c>
      <c r="BI190" t="s">
        <v>780</v>
      </c>
      <c r="BJ190" t="s">
        <v>780</v>
      </c>
      <c r="BK190" t="s">
        <v>780</v>
      </c>
      <c r="BL190" t="s">
        <v>780</v>
      </c>
      <c r="BM190" t="s">
        <v>780</v>
      </c>
      <c r="BN190" t="s">
        <v>780</v>
      </c>
      <c r="BO190" s="58">
        <v>85</v>
      </c>
      <c r="BP190" s="58">
        <v>2.5</v>
      </c>
      <c r="BQ190" s="58">
        <v>70</v>
      </c>
      <c r="BR190" s="58">
        <v>1.5</v>
      </c>
      <c r="BS190" s="58">
        <v>0.17</v>
      </c>
      <c r="BT190" s="58">
        <v>0.03</v>
      </c>
      <c r="BU190" s="58">
        <v>0.03</v>
      </c>
      <c r="BV190" s="58">
        <v>2E-3</v>
      </c>
      <c r="BW190" s="31">
        <f t="shared" si="194"/>
        <v>3.1832722165873448E-2</v>
      </c>
      <c r="BX190" s="31">
        <f t="shared" si="195"/>
        <v>9.1990275313752544E-4</v>
      </c>
      <c r="BY190" s="31">
        <f t="shared" si="196"/>
        <v>2.6327734906945077E-2</v>
      </c>
      <c r="BZ190" s="31">
        <f t="shared" si="197"/>
        <v>5.5949945854891106E-4</v>
      </c>
      <c r="CA190" s="31">
        <f t="shared" si="198"/>
        <v>6.2952364921730342E-5</v>
      </c>
      <c r="CB190" s="31">
        <f t="shared" si="199"/>
        <v>1.110924086854065E-5</v>
      </c>
      <c r="CC190" s="31">
        <f t="shared" si="200"/>
        <v>1.0976514215080345E-5</v>
      </c>
      <c r="CD190" s="31">
        <f t="shared" si="201"/>
        <v>7.3176761433868969E-7</v>
      </c>
      <c r="CE190">
        <v>1E-3</v>
      </c>
      <c r="CF190">
        <v>1E-3</v>
      </c>
      <c r="CG190">
        <v>2E-3</v>
      </c>
      <c r="CH190">
        <v>1E-3</v>
      </c>
      <c r="CI190">
        <v>1E-3</v>
      </c>
      <c r="CK190">
        <v>2E-3</v>
      </c>
      <c r="CL190">
        <v>1E-3</v>
      </c>
      <c r="CM190">
        <v>1E-3</v>
      </c>
      <c r="CN190" s="58">
        <f t="shared" si="227"/>
        <v>159.232</v>
      </c>
      <c r="CO190" s="58">
        <f t="shared" si="202"/>
        <v>74.231999999999999</v>
      </c>
      <c r="CP190" s="31">
        <f t="shared" si="203"/>
        <v>5.9725629172124657E-2</v>
      </c>
      <c r="CQ190" s="31">
        <f t="shared" si="204"/>
        <v>2.7892907006251199E-2</v>
      </c>
      <c r="CR190">
        <v>160</v>
      </c>
      <c r="CS190">
        <v>620</v>
      </c>
      <c r="CT190">
        <v>610</v>
      </c>
      <c r="CU190" t="s">
        <v>69</v>
      </c>
      <c r="CV190" t="s">
        <v>69</v>
      </c>
      <c r="CW190">
        <v>1200</v>
      </c>
      <c r="CX190" s="2">
        <f t="shared" si="235"/>
        <v>1427</v>
      </c>
      <c r="CZ190">
        <v>70</v>
      </c>
      <c r="DA190" t="s">
        <v>62</v>
      </c>
      <c r="DB190" t="s">
        <v>88</v>
      </c>
      <c r="DC190" t="s">
        <v>782</v>
      </c>
      <c r="DD190" s="37">
        <f t="shared" si="236"/>
        <v>20.926920674578387</v>
      </c>
      <c r="DE190" s="37">
        <f t="shared" si="253"/>
        <v>20.926920674578387</v>
      </c>
      <c r="DF190" s="37">
        <v>1</v>
      </c>
      <c r="DG190" s="37">
        <f t="shared" si="237"/>
        <v>1.7905102954341987E-2</v>
      </c>
      <c r="DH190" s="37">
        <f t="shared" si="205"/>
        <v>1.7905102954341987E-2</v>
      </c>
      <c r="DI190" s="37">
        <f t="shared" si="238"/>
        <v>21.926920674578387</v>
      </c>
      <c r="DJ190" s="37">
        <f t="shared" si="206"/>
        <v>0.39260377215001585</v>
      </c>
      <c r="DK190" s="37">
        <f t="shared" si="207"/>
        <v>0.39260377215001585</v>
      </c>
      <c r="DL190" s="55">
        <f t="shared" si="208"/>
        <v>20.926920674578387</v>
      </c>
      <c r="DM190" s="55">
        <f t="shared" si="208"/>
        <v>20.926920674578387</v>
      </c>
      <c r="DN190" s="37">
        <f t="shared" si="209"/>
        <v>21.926920674578387</v>
      </c>
      <c r="DO190" s="55">
        <f t="shared" si="210"/>
        <v>0.39260377215001585</v>
      </c>
      <c r="DP190" s="55">
        <f t="shared" si="211"/>
        <v>0.39260377215001585</v>
      </c>
      <c r="DQ190" s="37">
        <v>0.8</v>
      </c>
      <c r="DR190" s="37">
        <f t="shared" si="212"/>
        <v>1.4563990533406155E-2</v>
      </c>
      <c r="DS190" s="37">
        <f t="shared" si="213"/>
        <v>2.912798106681231E-2</v>
      </c>
      <c r="DT190" s="37">
        <f t="shared" si="239"/>
        <v>26.95715650525046</v>
      </c>
      <c r="DU190" s="37">
        <f t="shared" si="240"/>
        <v>13.47857825262523</v>
      </c>
      <c r="DV190" s="37">
        <f t="shared" si="241"/>
        <v>22.726920674578388</v>
      </c>
      <c r="DW190" s="37">
        <f t="shared" si="242"/>
        <v>0.42173175321682815</v>
      </c>
      <c r="DX190" t="s">
        <v>780</v>
      </c>
      <c r="DY190" t="s">
        <v>470</v>
      </c>
      <c r="DZ190" s="29">
        <f t="shared" si="252"/>
        <v>1</v>
      </c>
      <c r="EA190" s="30">
        <v>1.7000000000000001E-2</v>
      </c>
      <c r="EB190" s="30">
        <f t="shared" si="214"/>
        <v>2.741935483870968E-4</v>
      </c>
      <c r="EC190" s="30">
        <f t="shared" si="215"/>
        <v>1.370967741935484E-3</v>
      </c>
      <c r="ED190" s="31">
        <f t="shared" si="255"/>
        <v>36</v>
      </c>
      <c r="EE190" s="33">
        <f t="shared" si="254"/>
        <v>50</v>
      </c>
      <c r="EF190" s="37">
        <f t="shared" si="243"/>
        <v>2.9981261711430354</v>
      </c>
      <c r="EG190" s="37">
        <f>$EK186-EK190</f>
        <v>36</v>
      </c>
      <c r="EH190" s="33">
        <f>(EG190/$EK$186)*100</f>
        <v>50</v>
      </c>
      <c r="EI190" s="37">
        <f t="shared" si="251"/>
        <v>2.9981261711430354</v>
      </c>
      <c r="EJ190" s="37">
        <f t="shared" si="256"/>
        <v>2.9981261711430354</v>
      </c>
      <c r="EK190" s="31">
        <v>36</v>
      </c>
      <c r="EL190" s="31">
        <f t="shared" si="216"/>
        <v>0.37476577139287942</v>
      </c>
      <c r="EM190" s="31">
        <f t="shared" si="217"/>
        <v>2.9981261711430354</v>
      </c>
      <c r="EN190" s="32">
        <f t="shared" si="244"/>
        <v>2.9994971388849709</v>
      </c>
      <c r="EO190" s="39">
        <f t="shared" si="248"/>
        <v>3.4198579243598637</v>
      </c>
      <c r="EP190" s="37">
        <f t="shared" si="245"/>
        <v>8.5173073592712326E-3</v>
      </c>
      <c r="EQ190" s="37">
        <f t="shared" si="246"/>
        <v>0.11480119374359807</v>
      </c>
      <c r="ER190" s="37">
        <f t="shared" si="247"/>
        <v>0.87668149889713065</v>
      </c>
      <c r="ES190" s="39">
        <f t="shared" si="219"/>
        <v>3.4198579243598637</v>
      </c>
      <c r="ET190" s="55">
        <f t="shared" si="220"/>
        <v>11.480119374359807</v>
      </c>
      <c r="EU190" s="55">
        <f t="shared" si="221"/>
        <v>0.85173073592712323</v>
      </c>
      <c r="EV190" s="55">
        <f t="shared" si="222"/>
        <v>87.668149889713064</v>
      </c>
      <c r="EW190" t="s">
        <v>710</v>
      </c>
      <c r="EX190">
        <v>9</v>
      </c>
      <c r="EY190">
        <v>-83</v>
      </c>
      <c r="EZ190" t="s">
        <v>160</v>
      </c>
      <c r="FA190">
        <v>1131</v>
      </c>
      <c r="FB190" t="s">
        <v>72</v>
      </c>
      <c r="FC190" t="s">
        <v>88</v>
      </c>
      <c r="FD190" s="39">
        <f t="shared" si="223"/>
        <v>-2.9761306017529074</v>
      </c>
      <c r="FE190" s="39">
        <f t="shared" si="224"/>
        <v>-2.948237694746656</v>
      </c>
      <c r="FF190" s="39">
        <f t="shared" si="225"/>
        <v>-2.9761306017529074</v>
      </c>
      <c r="FG190" s="39">
        <f t="shared" si="226"/>
        <v>-2.948237694746656</v>
      </c>
    </row>
    <row r="191" spans="1:163" ht="15.75" x14ac:dyDescent="0.25">
      <c r="A191" s="3" t="s">
        <v>448</v>
      </c>
      <c r="B191" s="3" t="s">
        <v>448</v>
      </c>
      <c r="C191" s="3" t="s">
        <v>980</v>
      </c>
      <c r="D191" s="3" t="s">
        <v>980</v>
      </c>
      <c r="E191" s="21" t="s">
        <v>1445</v>
      </c>
      <c r="F191" s="3" t="s">
        <v>1013</v>
      </c>
      <c r="G191" s="3" t="s">
        <v>772</v>
      </c>
      <c r="H191" s="3" t="str">
        <f t="shared" si="171"/>
        <v>CW_1_Section_1</v>
      </c>
      <c r="I191" s="3" t="str">
        <f t="shared" si="172"/>
        <v>CW_1_MF02</v>
      </c>
      <c r="J191" s="3" t="s">
        <v>1489</v>
      </c>
      <c r="K191" s="3" t="s">
        <v>1484</v>
      </c>
      <c r="L191" s="11" t="s">
        <v>1023</v>
      </c>
      <c r="M191" s="3" t="s">
        <v>1024</v>
      </c>
      <c r="N191" s="3" t="s">
        <v>1024</v>
      </c>
      <c r="O191" s="12" t="s">
        <v>1016</v>
      </c>
      <c r="P191" s="3" t="s">
        <v>1446</v>
      </c>
      <c r="Q191" s="3" t="s">
        <v>1018</v>
      </c>
      <c r="R191" s="3" t="s">
        <v>1435</v>
      </c>
      <c r="S191" s="3" t="str">
        <f t="shared" si="173"/>
        <v>T8_0.60-0.80</v>
      </c>
      <c r="T191" s="13" t="s">
        <v>1436</v>
      </c>
      <c r="U191" s="3" t="s">
        <v>1160</v>
      </c>
      <c r="V191" s="3">
        <v>150</v>
      </c>
      <c r="W191" s="3">
        <v>65</v>
      </c>
      <c r="X191" s="14">
        <v>2.9</v>
      </c>
      <c r="Y191" s="3">
        <v>190</v>
      </c>
      <c r="Z191" t="s">
        <v>739</v>
      </c>
      <c r="AA191" t="s">
        <v>153</v>
      </c>
      <c r="AB191" s="1">
        <v>46007</v>
      </c>
      <c r="AC191">
        <v>10</v>
      </c>
      <c r="AD191">
        <v>11</v>
      </c>
      <c r="AE191">
        <v>690</v>
      </c>
      <c r="AF191" s="37">
        <f t="shared" si="187"/>
        <v>0.26501088208936113</v>
      </c>
      <c r="AG191">
        <v>130</v>
      </c>
      <c r="AH191" s="37">
        <f t="shared" si="188"/>
        <v>5.0792272628608637E-2</v>
      </c>
      <c r="AI191">
        <v>580</v>
      </c>
      <c r="AJ191" s="37">
        <f t="shared" si="189"/>
        <v>0.22944334557784687</v>
      </c>
      <c r="AK191">
        <v>210</v>
      </c>
      <c r="AL191" s="37">
        <f t="shared" si="190"/>
        <v>8.3074314778185929E-2</v>
      </c>
      <c r="AM191">
        <v>290</v>
      </c>
      <c r="AN191" s="37">
        <f t="shared" si="191"/>
        <v>0.11472167278892344</v>
      </c>
      <c r="AO191">
        <v>500</v>
      </c>
      <c r="AQ191" s="59">
        <v>1900</v>
      </c>
      <c r="AR191" s="59">
        <f t="shared" si="192"/>
        <v>0.54524650029581667</v>
      </c>
      <c r="AS191">
        <v>3100</v>
      </c>
      <c r="AT191" s="37">
        <f t="shared" si="193"/>
        <v>1.1609581025200906</v>
      </c>
      <c r="AU191" t="s">
        <v>780</v>
      </c>
      <c r="AV191" t="s">
        <v>780</v>
      </c>
      <c r="AW191" t="s">
        <v>780</v>
      </c>
      <c r="AX191" t="s">
        <v>780</v>
      </c>
      <c r="AY191" t="s">
        <v>780</v>
      </c>
      <c r="AZ191" t="s">
        <v>780</v>
      </c>
      <c r="BA191" t="s">
        <v>780</v>
      </c>
      <c r="BB191" t="s">
        <v>780</v>
      </c>
      <c r="BC191" t="s">
        <v>780</v>
      </c>
      <c r="BD191" t="s">
        <v>780</v>
      </c>
      <c r="BE191" t="s">
        <v>780</v>
      </c>
      <c r="BF191" t="s">
        <v>780</v>
      </c>
      <c r="BG191" t="s">
        <v>780</v>
      </c>
      <c r="BH191" t="s">
        <v>780</v>
      </c>
      <c r="BI191" t="s">
        <v>780</v>
      </c>
      <c r="BJ191" t="s">
        <v>780</v>
      </c>
      <c r="BK191" t="s">
        <v>780</v>
      </c>
      <c r="BL191" t="s">
        <v>780</v>
      </c>
      <c r="BM191" t="s">
        <v>780</v>
      </c>
      <c r="BN191" t="s">
        <v>780</v>
      </c>
      <c r="BO191" s="58">
        <v>2900</v>
      </c>
      <c r="BP191" s="58">
        <v>4</v>
      </c>
      <c r="BQ191" s="58">
        <v>140</v>
      </c>
      <c r="BR191" s="58">
        <v>38</v>
      </c>
      <c r="BS191" s="58">
        <v>26</v>
      </c>
      <c r="BT191" s="58">
        <v>0.4</v>
      </c>
      <c r="BU191" s="58">
        <v>1.1000000000000001</v>
      </c>
      <c r="BV191" s="58">
        <v>1</v>
      </c>
      <c r="BW191" s="31">
        <f t="shared" si="194"/>
        <v>1.0860575797768588</v>
      </c>
      <c r="BX191" s="31">
        <f t="shared" si="195"/>
        <v>1.4718444050200407E-3</v>
      </c>
      <c r="BY191" s="31">
        <f t="shared" si="196"/>
        <v>5.2655469813890153E-2</v>
      </c>
      <c r="BZ191" s="31">
        <f t="shared" si="197"/>
        <v>1.4173986283239081E-2</v>
      </c>
      <c r="CA191" s="31">
        <f t="shared" si="198"/>
        <v>9.6280087527352287E-3</v>
      </c>
      <c r="CB191" s="31">
        <f t="shared" si="199"/>
        <v>1.4812321158054199E-4</v>
      </c>
      <c r="CC191" s="31">
        <f t="shared" si="200"/>
        <v>4.0247218788627936E-4</v>
      </c>
      <c r="CD191" s="31">
        <f t="shared" si="201"/>
        <v>3.6588380716934482E-4</v>
      </c>
      <c r="CE191">
        <v>0.02</v>
      </c>
      <c r="CF191">
        <v>0.01</v>
      </c>
      <c r="CG191">
        <v>2E-3</v>
      </c>
      <c r="CH191">
        <v>1E-3</v>
      </c>
      <c r="CI191">
        <v>1E-3</v>
      </c>
      <c r="CK191">
        <v>2E-3</v>
      </c>
      <c r="CL191">
        <v>1E-3</v>
      </c>
      <c r="CM191">
        <v>1E-3</v>
      </c>
      <c r="CN191" s="58">
        <f t="shared" si="227"/>
        <v>3110.5</v>
      </c>
      <c r="CO191" s="58">
        <f t="shared" si="202"/>
        <v>210.5</v>
      </c>
      <c r="CP191" s="31">
        <f t="shared" si="203"/>
        <v>1.1649033682383796</v>
      </c>
      <c r="CQ191" s="31">
        <f t="shared" si="204"/>
        <v>7.8845788461520669E-2</v>
      </c>
      <c r="CR191">
        <v>3100</v>
      </c>
      <c r="CS191">
        <v>6700</v>
      </c>
      <c r="CT191">
        <v>1700</v>
      </c>
      <c r="CU191" t="s">
        <v>69</v>
      </c>
      <c r="CV191" t="s">
        <v>69</v>
      </c>
      <c r="CW191">
        <v>8300</v>
      </c>
      <c r="CX191" s="2">
        <f t="shared" si="235"/>
        <v>5000</v>
      </c>
      <c r="CZ191">
        <v>72</v>
      </c>
      <c r="DA191" t="s">
        <v>62</v>
      </c>
      <c r="DB191" t="s">
        <v>88</v>
      </c>
      <c r="DC191" t="s">
        <v>782</v>
      </c>
      <c r="DD191" s="37">
        <f t="shared" si="236"/>
        <v>4.0691234645013532</v>
      </c>
      <c r="DE191" s="37">
        <f t="shared" si="253"/>
        <v>4.0691234645013532</v>
      </c>
      <c r="DF191" s="37">
        <v>0.02</v>
      </c>
      <c r="DG191" s="37">
        <f t="shared" si="237"/>
        <v>3.5810205908683976E-4</v>
      </c>
      <c r="DH191" s="37">
        <f t="shared" si="205"/>
        <v>3.5810205908683976E-4</v>
      </c>
      <c r="DI191" s="37">
        <f t="shared" si="238"/>
        <v>4.0891234645013528</v>
      </c>
      <c r="DJ191" s="37">
        <f t="shared" si="206"/>
        <v>7.321617662491231E-2</v>
      </c>
      <c r="DK191" s="37">
        <f t="shared" si="207"/>
        <v>7.321617662491231E-2</v>
      </c>
      <c r="DL191" s="55">
        <f t="shared" si="208"/>
        <v>4.0691234645013532</v>
      </c>
      <c r="DM191" s="55">
        <f t="shared" si="208"/>
        <v>4.0691234645013532</v>
      </c>
      <c r="DN191" s="37">
        <f t="shared" si="209"/>
        <v>4.0891234645013528</v>
      </c>
      <c r="DO191" s="55">
        <f t="shared" si="210"/>
        <v>7.321617662491231E-2</v>
      </c>
      <c r="DP191" s="55">
        <f t="shared" si="211"/>
        <v>7.321617662491231E-2</v>
      </c>
      <c r="DQ191" s="37">
        <v>0.7</v>
      </c>
      <c r="DR191" s="37">
        <f t="shared" si="212"/>
        <v>1.2743491716730383E-2</v>
      </c>
      <c r="DS191" s="37">
        <f t="shared" si="213"/>
        <v>2.5486983433460765E-2</v>
      </c>
      <c r="DT191" s="37">
        <f t="shared" si="239"/>
        <v>5.7453779742949056</v>
      </c>
      <c r="DU191" s="37">
        <f t="shared" si="240"/>
        <v>2.8726889871474528</v>
      </c>
      <c r="DV191" s="37">
        <f t="shared" si="241"/>
        <v>4.789123464501353</v>
      </c>
      <c r="DW191" s="37">
        <f t="shared" si="242"/>
        <v>9.8703160058373068E-2</v>
      </c>
      <c r="DX191" t="s">
        <v>780</v>
      </c>
      <c r="DY191" t="s">
        <v>574</v>
      </c>
      <c r="DZ191" s="29">
        <f t="shared" si="252"/>
        <v>1</v>
      </c>
      <c r="EA191" s="30">
        <v>1.7000000000000001E-2</v>
      </c>
      <c r="EB191" s="30">
        <f t="shared" si="214"/>
        <v>2.741935483870968E-4</v>
      </c>
      <c r="EC191" s="30">
        <f t="shared" si="215"/>
        <v>1.370967741935484E-3</v>
      </c>
      <c r="ED191" s="31">
        <f t="shared" si="255"/>
        <v>7</v>
      </c>
      <c r="EE191" s="33">
        <f t="shared" si="254"/>
        <v>9.7222222222222232</v>
      </c>
      <c r="EF191" s="37">
        <f t="shared" si="243"/>
        <v>0.58296897772225686</v>
      </c>
      <c r="EG191" s="37">
        <f>$EK186-EK191</f>
        <v>7</v>
      </c>
      <c r="EH191" s="33">
        <f>(EG191/$EK$186)*100</f>
        <v>9.7222222222222232</v>
      </c>
      <c r="EI191" s="37">
        <f t="shared" si="251"/>
        <v>0.58296897772225686</v>
      </c>
      <c r="EJ191" s="37">
        <f t="shared" si="256"/>
        <v>0.58296897772225686</v>
      </c>
      <c r="EK191" s="31">
        <v>65</v>
      </c>
      <c r="EL191" s="31">
        <f t="shared" si="216"/>
        <v>0.67666042057047682</v>
      </c>
      <c r="EM191" s="31">
        <f t="shared" si="217"/>
        <v>5.4132833645638145</v>
      </c>
      <c r="EN191" s="32">
        <f t="shared" si="244"/>
        <v>5.4146543323057497</v>
      </c>
      <c r="EO191" s="39">
        <f t="shared" si="248"/>
        <v>0.68167213778062996</v>
      </c>
      <c r="EP191" s="37">
        <f t="shared" si="245"/>
        <v>3.738891766420234E-2</v>
      </c>
      <c r="EQ191" s="37">
        <f t="shared" si="246"/>
        <v>0.10740673201531692</v>
      </c>
      <c r="ER191" s="37">
        <f t="shared" si="247"/>
        <v>0.8552043503204807</v>
      </c>
      <c r="ES191" s="39">
        <f t="shared" si="219"/>
        <v>0.68167213778062996</v>
      </c>
      <c r="ET191" s="55">
        <f t="shared" si="220"/>
        <v>10.740673201531692</v>
      </c>
      <c r="EU191" s="55">
        <f t="shared" si="221"/>
        <v>3.7388917664202341</v>
      </c>
      <c r="EV191" s="55">
        <f t="shared" si="222"/>
        <v>85.52043503204807</v>
      </c>
      <c r="EW191" t="s">
        <v>740</v>
      </c>
      <c r="EX191">
        <v>9</v>
      </c>
      <c r="EY191">
        <v>-133</v>
      </c>
      <c r="EZ191" t="s">
        <v>200</v>
      </c>
      <c r="FA191">
        <v>1148</v>
      </c>
      <c r="FB191" t="s">
        <v>72</v>
      </c>
      <c r="FC191" t="s">
        <v>84</v>
      </c>
      <c r="FD191" s="39">
        <f t="shared" si="223"/>
        <v>1.0245324650352772</v>
      </c>
      <c r="FE191" s="39">
        <f t="shared" si="224"/>
        <v>1.103378253496798</v>
      </c>
      <c r="FF191" s="39">
        <f t="shared" si="225"/>
        <v>1.0245324650352772</v>
      </c>
      <c r="FG191" s="39">
        <f t="shared" si="226"/>
        <v>1.103378253496798</v>
      </c>
    </row>
    <row r="192" spans="1:163" ht="15.75" x14ac:dyDescent="0.25">
      <c r="A192" s="3" t="s">
        <v>449</v>
      </c>
      <c r="B192" s="3" t="s">
        <v>449</v>
      </c>
      <c r="C192" s="3" t="s">
        <v>981</v>
      </c>
      <c r="D192" s="3" t="s">
        <v>981</v>
      </c>
      <c r="E192" s="21" t="s">
        <v>1447</v>
      </c>
      <c r="F192" s="3" t="s">
        <v>1027</v>
      </c>
      <c r="G192" s="3" t="s">
        <v>772</v>
      </c>
      <c r="H192" s="3" t="str">
        <f t="shared" si="171"/>
        <v>CW_1_Section_2</v>
      </c>
      <c r="I192" s="3" t="str">
        <f t="shared" si="172"/>
        <v>CW_1_MF05</v>
      </c>
      <c r="J192" s="3" t="s">
        <v>1496</v>
      </c>
      <c r="K192" s="3" t="s">
        <v>1484</v>
      </c>
      <c r="L192" s="11" t="s">
        <v>1028</v>
      </c>
      <c r="M192" s="3" t="s">
        <v>1015</v>
      </c>
      <c r="N192" s="3" t="s">
        <v>1015</v>
      </c>
      <c r="O192" s="12" t="s">
        <v>1016</v>
      </c>
      <c r="P192" s="3" t="s">
        <v>1448</v>
      </c>
      <c r="Q192" s="3" t="s">
        <v>1018</v>
      </c>
      <c r="R192" s="3" t="s">
        <v>1435</v>
      </c>
      <c r="S192" s="3" t="str">
        <f t="shared" si="173"/>
        <v>T8_0.15-0.30</v>
      </c>
      <c r="T192" s="13" t="s">
        <v>1436</v>
      </c>
      <c r="U192" s="3" t="s">
        <v>1160</v>
      </c>
      <c r="V192" s="3">
        <v>150</v>
      </c>
      <c r="W192" s="3">
        <v>65</v>
      </c>
      <c r="X192" s="14">
        <v>5.25</v>
      </c>
      <c r="Y192" s="3">
        <v>191</v>
      </c>
      <c r="Z192" t="s">
        <v>741</v>
      </c>
      <c r="AA192" t="s">
        <v>167</v>
      </c>
      <c r="AB192" s="1">
        <v>46007</v>
      </c>
      <c r="AC192">
        <v>10</v>
      </c>
      <c r="AD192">
        <v>10</v>
      </c>
      <c r="AE192">
        <v>540</v>
      </c>
      <c r="AF192" s="37">
        <f t="shared" si="187"/>
        <v>0.207399820765587</v>
      </c>
      <c r="AG192">
        <v>23</v>
      </c>
      <c r="AH192" s="37">
        <f t="shared" si="188"/>
        <v>8.98632515736922E-3</v>
      </c>
      <c r="AI192">
        <v>67</v>
      </c>
      <c r="AJ192" s="37">
        <f t="shared" si="189"/>
        <v>2.6504662333992655E-2</v>
      </c>
      <c r="AK192">
        <v>14</v>
      </c>
      <c r="AL192" s="37">
        <f t="shared" si="190"/>
        <v>5.5382876518790623E-3</v>
      </c>
      <c r="AM192">
        <v>1</v>
      </c>
      <c r="AN192" s="37">
        <f t="shared" si="191"/>
        <v>3.9559197513421869E-4</v>
      </c>
      <c r="AO192">
        <v>21</v>
      </c>
      <c r="AQ192" s="59">
        <v>651</v>
      </c>
      <c r="AR192" s="59">
        <f t="shared" si="192"/>
        <v>0.24289080825694886</v>
      </c>
      <c r="AS192">
        <v>810</v>
      </c>
      <c r="AT192" s="37">
        <f t="shared" si="193"/>
        <v>0.30334711711008816</v>
      </c>
      <c r="AU192" t="s">
        <v>780</v>
      </c>
      <c r="AV192" t="s">
        <v>780</v>
      </c>
      <c r="AW192" t="s">
        <v>780</v>
      </c>
      <c r="AX192" t="s">
        <v>780</v>
      </c>
      <c r="AY192" t="s">
        <v>780</v>
      </c>
      <c r="AZ192" t="s">
        <v>780</v>
      </c>
      <c r="BA192" t="s">
        <v>780</v>
      </c>
      <c r="BB192" t="s">
        <v>780</v>
      </c>
      <c r="BC192" t="s">
        <v>780</v>
      </c>
      <c r="BD192" t="s">
        <v>780</v>
      </c>
      <c r="BE192" t="s">
        <v>780</v>
      </c>
      <c r="BF192" t="s">
        <v>780</v>
      </c>
      <c r="BG192" t="s">
        <v>780</v>
      </c>
      <c r="BH192" t="s">
        <v>780</v>
      </c>
      <c r="BI192" t="s">
        <v>780</v>
      </c>
      <c r="BJ192" t="s">
        <v>780</v>
      </c>
      <c r="BK192" t="s">
        <v>780</v>
      </c>
      <c r="BL192" t="s">
        <v>780</v>
      </c>
      <c r="BM192" t="s">
        <v>780</v>
      </c>
      <c r="BN192" t="s">
        <v>780</v>
      </c>
      <c r="BO192" s="58">
        <v>1.3</v>
      </c>
      <c r="BP192" s="58">
        <v>1.1000000000000001</v>
      </c>
      <c r="BQ192" s="58">
        <v>2.6</v>
      </c>
      <c r="BR192" s="58">
        <v>0.06</v>
      </c>
      <c r="BS192" s="58">
        <v>0.03</v>
      </c>
      <c r="BT192" s="58">
        <v>1E-3</v>
      </c>
      <c r="BU192" s="58">
        <v>1E-3</v>
      </c>
      <c r="BV192" s="58">
        <v>2E-3</v>
      </c>
      <c r="BW192" s="31">
        <f t="shared" si="194"/>
        <v>4.8685339783100575E-4</v>
      </c>
      <c r="BX192" s="31">
        <f t="shared" si="195"/>
        <v>4.0475721138051124E-4</v>
      </c>
      <c r="BY192" s="31">
        <f t="shared" si="196"/>
        <v>9.7788729654367437E-4</v>
      </c>
      <c r="BZ192" s="31">
        <f t="shared" si="197"/>
        <v>2.2379978341956443E-5</v>
      </c>
      <c r="CA192" s="31">
        <f t="shared" si="198"/>
        <v>1.110924086854065E-5</v>
      </c>
      <c r="CB192" s="31">
        <f t="shared" si="199"/>
        <v>3.7030802895135499E-7</v>
      </c>
      <c r="CC192" s="31">
        <f t="shared" si="200"/>
        <v>3.6588380716934485E-7</v>
      </c>
      <c r="CD192" s="31">
        <f t="shared" si="201"/>
        <v>7.3176761433868969E-7</v>
      </c>
      <c r="CE192">
        <v>1E-3</v>
      </c>
      <c r="CF192">
        <v>1E-3</v>
      </c>
      <c r="CG192">
        <v>2E-3</v>
      </c>
      <c r="CH192">
        <v>1E-3</v>
      </c>
      <c r="CI192">
        <v>1E-3</v>
      </c>
      <c r="CK192">
        <v>2E-3</v>
      </c>
      <c r="CL192">
        <v>1E-3</v>
      </c>
      <c r="CM192">
        <v>1E-3</v>
      </c>
      <c r="CN192" s="58">
        <f t="shared" si="227"/>
        <v>5.0940000000000003</v>
      </c>
      <c r="CO192" s="58">
        <f t="shared" si="202"/>
        <v>3.7939999999999996</v>
      </c>
      <c r="CP192" s="31">
        <f t="shared" si="203"/>
        <v>1.9044550844161477E-3</v>
      </c>
      <c r="CQ192" s="31">
        <f t="shared" si="204"/>
        <v>1.4176016865851419E-3</v>
      </c>
      <c r="CR192">
        <v>5.0999999999999996</v>
      </c>
      <c r="CS192">
        <v>1500</v>
      </c>
      <c r="CT192">
        <v>150</v>
      </c>
      <c r="CU192" t="s">
        <v>69</v>
      </c>
      <c r="CV192" t="s">
        <v>69</v>
      </c>
      <c r="CW192">
        <v>1600</v>
      </c>
      <c r="CX192" s="2">
        <f t="shared" si="235"/>
        <v>656.1</v>
      </c>
      <c r="CZ192">
        <v>70</v>
      </c>
      <c r="DA192" t="s">
        <v>62</v>
      </c>
      <c r="DB192" t="s">
        <v>88</v>
      </c>
      <c r="DC192" t="s">
        <v>782</v>
      </c>
      <c r="DD192" s="37">
        <f t="shared" si="236"/>
        <v>30.80907765979596</v>
      </c>
      <c r="DE192" s="37">
        <f t="shared" si="253"/>
        <v>30.80907765979596</v>
      </c>
      <c r="DF192" s="37">
        <v>3.8</v>
      </c>
      <c r="DG192" s="37">
        <f t="shared" si="237"/>
        <v>6.8039391226499546E-2</v>
      </c>
      <c r="DH192" s="37">
        <f t="shared" si="205"/>
        <v>6.8039391226499546E-2</v>
      </c>
      <c r="DI192" s="37">
        <f t="shared" si="238"/>
        <v>34.609077659795958</v>
      </c>
      <c r="DJ192" s="37">
        <f t="shared" si="206"/>
        <v>0.61967909865346382</v>
      </c>
      <c r="DK192" s="37">
        <f t="shared" si="207"/>
        <v>0.61967909865346382</v>
      </c>
      <c r="DL192" s="55">
        <f t="shared" si="208"/>
        <v>9.8821569852175717</v>
      </c>
      <c r="DM192" s="55">
        <f t="shared" si="208"/>
        <v>9.8821569852175717</v>
      </c>
      <c r="DN192" s="37">
        <f t="shared" si="209"/>
        <v>13.682156985217571</v>
      </c>
      <c r="DO192" s="55">
        <f t="shared" si="210"/>
        <v>0.24498042945778997</v>
      </c>
      <c r="DP192" s="55">
        <f t="shared" si="211"/>
        <v>0.24498042945778997</v>
      </c>
      <c r="DQ192" s="37">
        <v>1.1000000000000001</v>
      </c>
      <c r="DR192" s="37">
        <f t="shared" si="212"/>
        <v>2.0025486983433462E-2</v>
      </c>
      <c r="DS192" s="37">
        <f t="shared" si="213"/>
        <v>4.0050973966866923E-2</v>
      </c>
      <c r="DT192" s="37">
        <f t="shared" si="239"/>
        <v>30.944520808213422</v>
      </c>
      <c r="DU192" s="37">
        <f t="shared" si="240"/>
        <v>15.472260404106711</v>
      </c>
      <c r="DV192" s="37">
        <f t="shared" si="241"/>
        <v>35.709077659795959</v>
      </c>
      <c r="DW192" s="37">
        <f t="shared" si="242"/>
        <v>0.65973007262033079</v>
      </c>
      <c r="DX192" t="s">
        <v>780</v>
      </c>
      <c r="DY192" t="s">
        <v>205</v>
      </c>
      <c r="DZ192" s="29">
        <f t="shared" si="252"/>
        <v>1</v>
      </c>
      <c r="EA192" s="30">
        <v>1.7000000000000001E-2</v>
      </c>
      <c r="EB192" s="30">
        <f t="shared" si="214"/>
        <v>2.741935483870968E-4</v>
      </c>
      <c r="EC192" s="30">
        <f t="shared" si="215"/>
        <v>1.370967741935484E-3</v>
      </c>
      <c r="ED192" s="31">
        <f t="shared" si="255"/>
        <v>53</v>
      </c>
      <c r="EE192" s="33">
        <f t="shared" si="254"/>
        <v>73.611111111111114</v>
      </c>
      <c r="EF192" s="37">
        <f t="shared" si="243"/>
        <v>4.413907974182802</v>
      </c>
      <c r="EG192" s="37">
        <f>$EK190-EK192</f>
        <v>17</v>
      </c>
      <c r="EH192" s="33">
        <f>(EG192/$EK190)*100</f>
        <v>47.222222222222221</v>
      </c>
      <c r="EI192" s="37">
        <f t="shared" si="251"/>
        <v>1.4157818030397669</v>
      </c>
      <c r="EJ192" s="37">
        <f t="shared" si="256"/>
        <v>1.4157818030397669</v>
      </c>
      <c r="EK192" s="31">
        <v>19</v>
      </c>
      <c r="EL192" s="31">
        <f t="shared" si="216"/>
        <v>0.19779304601290859</v>
      </c>
      <c r="EM192" s="31">
        <f t="shared" si="217"/>
        <v>1.5823443681032687</v>
      </c>
      <c r="EN192" s="32">
        <f t="shared" si="244"/>
        <v>1.5837153358452043</v>
      </c>
      <c r="EO192" s="39">
        <f t="shared" si="248"/>
        <v>5.0736380468031328</v>
      </c>
      <c r="EP192" s="37">
        <f t="shared" si="245"/>
        <v>7.8939359878268788E-3</v>
      </c>
      <c r="EQ192" s="37">
        <f t="shared" si="246"/>
        <v>0.12213703321700682</v>
      </c>
      <c r="ER192" s="37">
        <f t="shared" si="247"/>
        <v>0.8699690307951663</v>
      </c>
      <c r="ES192" s="39">
        <f t="shared" si="219"/>
        <v>1.7008132064644237</v>
      </c>
      <c r="ET192" s="55">
        <f t="shared" si="220"/>
        <v>14.403723379303045</v>
      </c>
      <c r="EU192" s="55">
        <f t="shared" si="221"/>
        <v>2.3548132043331873</v>
      </c>
      <c r="EV192" s="55">
        <f t="shared" si="222"/>
        <v>83.241463416363771</v>
      </c>
      <c r="EW192" t="s">
        <v>243</v>
      </c>
      <c r="EX192">
        <v>8</v>
      </c>
      <c r="EY192">
        <v>6</v>
      </c>
      <c r="EZ192" t="s">
        <v>200</v>
      </c>
      <c r="FA192">
        <v>1100</v>
      </c>
      <c r="FB192" t="s">
        <v>72</v>
      </c>
      <c r="FC192" t="s">
        <v>88</v>
      </c>
      <c r="FD192" s="39">
        <f t="shared" si="223"/>
        <v>-4.5274001214360959</v>
      </c>
      <c r="FE192" s="39">
        <f t="shared" si="224"/>
        <v>-4.5259825197495109</v>
      </c>
      <c r="FF192" s="39">
        <f t="shared" si="225"/>
        <v>-1.1545752810973866</v>
      </c>
      <c r="FG192" s="39">
        <f t="shared" si="226"/>
        <v>-1.1531576794108016</v>
      </c>
    </row>
    <row r="193" spans="1:163" ht="15.75" x14ac:dyDescent="0.25">
      <c r="A193" s="3" t="s">
        <v>450</v>
      </c>
      <c r="B193" s="3" t="s">
        <v>450</v>
      </c>
      <c r="C193" s="3" t="s">
        <v>982</v>
      </c>
      <c r="D193" s="3" t="s">
        <v>982</v>
      </c>
      <c r="E193" s="21" t="s">
        <v>1449</v>
      </c>
      <c r="F193" s="3" t="s">
        <v>1027</v>
      </c>
      <c r="G193" s="3" t="s">
        <v>772</v>
      </c>
      <c r="H193" s="3" t="str">
        <f t="shared" si="171"/>
        <v>CW_1_Section_2</v>
      </c>
      <c r="I193" s="3" t="str">
        <f t="shared" si="172"/>
        <v>CW_1_MF06</v>
      </c>
      <c r="J193" s="3" t="s">
        <v>1497</v>
      </c>
      <c r="K193" s="3" t="s">
        <v>1484</v>
      </c>
      <c r="L193" s="11" t="s">
        <v>1031</v>
      </c>
      <c r="M193" s="3" t="s">
        <v>1024</v>
      </c>
      <c r="N193" s="3" t="s">
        <v>1024</v>
      </c>
      <c r="O193" s="12" t="s">
        <v>1016</v>
      </c>
      <c r="P193" s="3" t="s">
        <v>1450</v>
      </c>
      <c r="Q193" s="3" t="s">
        <v>1018</v>
      </c>
      <c r="R193" s="3" t="s">
        <v>1435</v>
      </c>
      <c r="S193" s="3" t="str">
        <f t="shared" si="173"/>
        <v>T8_0.60-0.80</v>
      </c>
      <c r="T193" s="13" t="s">
        <v>1436</v>
      </c>
      <c r="U193" s="3" t="s">
        <v>1160</v>
      </c>
      <c r="V193" s="3">
        <v>150</v>
      </c>
      <c r="W193" s="3">
        <v>65</v>
      </c>
      <c r="X193" s="14">
        <v>3.75</v>
      </c>
      <c r="Y193" s="3">
        <v>192</v>
      </c>
      <c r="Z193" t="s">
        <v>742</v>
      </c>
      <c r="AA193" t="s">
        <v>115</v>
      </c>
      <c r="AB193" s="1">
        <v>46007</v>
      </c>
      <c r="AC193">
        <v>9.6999999999999993</v>
      </c>
      <c r="AD193">
        <v>10</v>
      </c>
      <c r="AE193">
        <v>650</v>
      </c>
      <c r="AF193" s="37">
        <f t="shared" si="187"/>
        <v>0.24964793240302136</v>
      </c>
      <c r="AG193">
        <v>100</v>
      </c>
      <c r="AH193" s="37">
        <f t="shared" si="188"/>
        <v>3.9070978945083573E-2</v>
      </c>
      <c r="AI193">
        <v>410</v>
      </c>
      <c r="AJ193" s="37">
        <f t="shared" si="189"/>
        <v>0.16219270980502967</v>
      </c>
      <c r="AK193">
        <v>150</v>
      </c>
      <c r="AL193" s="37">
        <f t="shared" si="190"/>
        <v>5.9338796270132804E-2</v>
      </c>
      <c r="AM193">
        <v>180</v>
      </c>
      <c r="AN193" s="37">
        <f t="shared" si="191"/>
        <v>7.120655552415936E-2</v>
      </c>
      <c r="AO193">
        <v>330</v>
      </c>
      <c r="AQ193" s="59">
        <v>1490</v>
      </c>
      <c r="AR193" s="59">
        <f t="shared" si="192"/>
        <v>0.45091162115313455</v>
      </c>
      <c r="AS193">
        <v>1600</v>
      </c>
      <c r="AT193" s="37">
        <f t="shared" si="193"/>
        <v>0.59920418194585312</v>
      </c>
      <c r="AU193" t="s">
        <v>780</v>
      </c>
      <c r="AV193" t="s">
        <v>780</v>
      </c>
      <c r="AW193" t="s">
        <v>780</v>
      </c>
      <c r="AX193" t="s">
        <v>780</v>
      </c>
      <c r="AY193" t="s">
        <v>780</v>
      </c>
      <c r="AZ193" t="s">
        <v>780</v>
      </c>
      <c r="BA193" t="s">
        <v>780</v>
      </c>
      <c r="BB193" t="s">
        <v>780</v>
      </c>
      <c r="BC193" t="s">
        <v>780</v>
      </c>
      <c r="BD193" t="s">
        <v>780</v>
      </c>
      <c r="BE193" t="s">
        <v>780</v>
      </c>
      <c r="BF193" t="s">
        <v>780</v>
      </c>
      <c r="BG193" t="s">
        <v>780</v>
      </c>
      <c r="BH193" t="s">
        <v>780</v>
      </c>
      <c r="BI193" t="s">
        <v>780</v>
      </c>
      <c r="BJ193" t="s">
        <v>780</v>
      </c>
      <c r="BK193" t="s">
        <v>780</v>
      </c>
      <c r="BL193" t="s">
        <v>780</v>
      </c>
      <c r="BM193" t="s">
        <v>780</v>
      </c>
      <c r="BN193" t="s">
        <v>780</v>
      </c>
      <c r="BO193" s="58">
        <v>1500</v>
      </c>
      <c r="BP193" s="58">
        <v>4</v>
      </c>
      <c r="BQ193" s="58">
        <v>100</v>
      </c>
      <c r="BR193" s="58">
        <v>23</v>
      </c>
      <c r="BS193" s="58">
        <v>13</v>
      </c>
      <c r="BT193" s="58">
        <v>2.2000000000000002</v>
      </c>
      <c r="BU193" s="58">
        <v>0.12</v>
      </c>
      <c r="BV193" s="58">
        <v>0.06</v>
      </c>
      <c r="BW193" s="31">
        <f t="shared" si="194"/>
        <v>0.56175392057423734</v>
      </c>
      <c r="BX193" s="31">
        <f t="shared" si="195"/>
        <v>1.4718444050200407E-3</v>
      </c>
      <c r="BY193" s="31">
        <f t="shared" si="196"/>
        <v>3.7611049867064393E-2</v>
      </c>
      <c r="BZ193" s="31">
        <f t="shared" si="197"/>
        <v>8.57899169774997E-3</v>
      </c>
      <c r="CA193" s="31">
        <f t="shared" si="198"/>
        <v>4.8140043763676144E-3</v>
      </c>
      <c r="CB193" s="31">
        <f t="shared" si="199"/>
        <v>8.1467766369298098E-4</v>
      </c>
      <c r="CC193" s="31">
        <f t="shared" si="200"/>
        <v>4.3906056860321379E-5</v>
      </c>
      <c r="CD193" s="31">
        <f t="shared" si="201"/>
        <v>2.1953028430160689E-5</v>
      </c>
      <c r="CE193">
        <v>1E-3</v>
      </c>
      <c r="CF193">
        <v>1E-3</v>
      </c>
      <c r="CG193">
        <v>2E-3</v>
      </c>
      <c r="CH193">
        <v>1E-3</v>
      </c>
      <c r="CI193">
        <v>1E-3</v>
      </c>
      <c r="CK193">
        <v>2E-3</v>
      </c>
      <c r="CL193">
        <v>1E-3</v>
      </c>
      <c r="CM193">
        <v>1E-3</v>
      </c>
      <c r="CN193" s="58">
        <f t="shared" si="227"/>
        <v>1642.3799999999999</v>
      </c>
      <c r="CO193" s="58">
        <f t="shared" si="202"/>
        <v>142.38</v>
      </c>
      <c r="CP193" s="31">
        <f t="shared" si="203"/>
        <v>0.61511034766942285</v>
      </c>
      <c r="CQ193" s="31">
        <f t="shared" si="204"/>
        <v>5.3356427095185475E-2</v>
      </c>
      <c r="CR193">
        <v>1600</v>
      </c>
      <c r="CS193">
        <v>3400</v>
      </c>
      <c r="CT193">
        <v>980</v>
      </c>
      <c r="CU193" t="s">
        <v>69</v>
      </c>
      <c r="CV193" t="s">
        <v>69</v>
      </c>
      <c r="CW193">
        <v>4400</v>
      </c>
      <c r="CX193" s="2">
        <f t="shared" si="235"/>
        <v>3090</v>
      </c>
      <c r="CZ193">
        <v>71</v>
      </c>
      <c r="DA193" t="s">
        <v>62</v>
      </c>
      <c r="DB193" t="s">
        <v>88</v>
      </c>
      <c r="DC193" t="s">
        <v>782</v>
      </c>
      <c r="DD193" s="37">
        <f t="shared" si="236"/>
        <v>11.044763689360815</v>
      </c>
      <c r="DE193" s="37">
        <f t="shared" si="253"/>
        <v>11.044763689360815</v>
      </c>
      <c r="DF193" s="37">
        <v>0.8</v>
      </c>
      <c r="DG193" s="37">
        <f t="shared" si="237"/>
        <v>1.432408236347359E-2</v>
      </c>
      <c r="DH193" s="37">
        <f t="shared" si="205"/>
        <v>1.432408236347359E-2</v>
      </c>
      <c r="DI193" s="37">
        <f t="shared" si="238"/>
        <v>11.844763689360816</v>
      </c>
      <c r="DJ193" s="37">
        <f t="shared" si="206"/>
        <v>0.21208171332785705</v>
      </c>
      <c r="DK193" s="37">
        <f t="shared" si="207"/>
        <v>0.21208171332785705</v>
      </c>
      <c r="DL193" s="55">
        <f t="shared" si="208"/>
        <v>6.9756402248594629</v>
      </c>
      <c r="DM193" s="55">
        <f t="shared" si="208"/>
        <v>6.9756402248594629</v>
      </c>
      <c r="DN193" s="37">
        <f t="shared" si="209"/>
        <v>7.7756402248594627</v>
      </c>
      <c r="DO193" s="55">
        <f t="shared" si="210"/>
        <v>0.13922363876203156</v>
      </c>
      <c r="DP193" s="55">
        <f t="shared" si="211"/>
        <v>0.13922363876203156</v>
      </c>
      <c r="DQ193" s="37">
        <v>1.1000000000000001</v>
      </c>
      <c r="DR193" s="37">
        <f t="shared" si="212"/>
        <v>2.0025486983433462E-2</v>
      </c>
      <c r="DS193" s="37">
        <f t="shared" si="213"/>
        <v>4.0050973966866923E-2</v>
      </c>
      <c r="DT193" s="37">
        <f t="shared" si="239"/>
        <v>10.590589557362897</v>
      </c>
      <c r="DU193" s="37">
        <f t="shared" si="240"/>
        <v>5.2952947786814484</v>
      </c>
      <c r="DV193" s="37">
        <f t="shared" si="241"/>
        <v>12.944763689360816</v>
      </c>
      <c r="DW193" s="37">
        <f t="shared" si="242"/>
        <v>0.25213268729472399</v>
      </c>
      <c r="DX193" t="s">
        <v>780</v>
      </c>
      <c r="DY193" t="s">
        <v>146</v>
      </c>
      <c r="DZ193" s="29">
        <f t="shared" si="252"/>
        <v>1</v>
      </c>
      <c r="EA193" s="30">
        <v>1.7000000000000001E-2</v>
      </c>
      <c r="EB193" s="30">
        <f t="shared" si="214"/>
        <v>2.741935483870968E-4</v>
      </c>
      <c r="EC193" s="30">
        <f t="shared" si="215"/>
        <v>1.370967741935484E-3</v>
      </c>
      <c r="ED193" s="31">
        <f t="shared" si="255"/>
        <v>19</v>
      </c>
      <c r="EE193" s="33">
        <f t="shared" si="254"/>
        <v>26.388888888888889</v>
      </c>
      <c r="EF193" s="37">
        <f t="shared" si="243"/>
        <v>1.5823443681032687</v>
      </c>
      <c r="EG193" s="37">
        <f>$EK191-EK193</f>
        <v>12</v>
      </c>
      <c r="EH193" s="33">
        <f>(EG193/$EK191)*100</f>
        <v>18.461538461538463</v>
      </c>
      <c r="EI193" s="37">
        <f t="shared" si="251"/>
        <v>0.99937539038101186</v>
      </c>
      <c r="EJ193" s="37">
        <f t="shared" si="256"/>
        <v>0.99937539038101186</v>
      </c>
      <c r="EK193" s="31">
        <v>53</v>
      </c>
      <c r="EL193" s="31">
        <f t="shared" si="216"/>
        <v>0.55173849677285025</v>
      </c>
      <c r="EM193" s="31">
        <f t="shared" si="217"/>
        <v>4.413907974182802</v>
      </c>
      <c r="EN193" s="32">
        <f t="shared" si="244"/>
        <v>4.4152789419247371</v>
      </c>
      <c r="EO193" s="39">
        <f t="shared" si="248"/>
        <v>1.8344770553979928</v>
      </c>
      <c r="EP193" s="37">
        <f t="shared" si="245"/>
        <v>2.1832365713714417E-2</v>
      </c>
      <c r="EQ193" s="37">
        <f t="shared" si="246"/>
        <v>0.11560881217009585</v>
      </c>
      <c r="ER193" s="37">
        <f t="shared" si="247"/>
        <v>0.86255882211618973</v>
      </c>
      <c r="ES193" s="39">
        <f t="shared" si="219"/>
        <v>1.1786500031099103</v>
      </c>
      <c r="ET193" s="55">
        <f t="shared" si="220"/>
        <v>11.812127297729182</v>
      </c>
      <c r="EU193" s="55">
        <f t="shared" si="221"/>
        <v>3.3980379129674625</v>
      </c>
      <c r="EV193" s="55">
        <f t="shared" si="222"/>
        <v>84.78983478930337</v>
      </c>
      <c r="EW193" t="s">
        <v>243</v>
      </c>
      <c r="EX193">
        <v>9</v>
      </c>
      <c r="EY193">
        <v>-109</v>
      </c>
      <c r="EZ193" t="s">
        <v>200</v>
      </c>
      <c r="FA193">
        <v>1150</v>
      </c>
      <c r="FB193" t="s">
        <v>72</v>
      </c>
      <c r="FC193" t="s">
        <v>88</v>
      </c>
      <c r="FD193" s="39">
        <f t="shared" si="223"/>
        <v>-0.78436125229900511</v>
      </c>
      <c r="FE193" s="39">
        <f t="shared" si="224"/>
        <v>-0.73100482520381971</v>
      </c>
      <c r="FF193" s="39">
        <f t="shared" si="225"/>
        <v>-0.12853420001092264</v>
      </c>
      <c r="FG193" s="39">
        <f t="shared" si="226"/>
        <v>-7.517777291573724E-2</v>
      </c>
    </row>
    <row r="194" spans="1:163" ht="15.75" x14ac:dyDescent="0.25">
      <c r="A194" s="3" t="s">
        <v>451</v>
      </c>
      <c r="B194" s="3" t="s">
        <v>451</v>
      </c>
      <c r="C194" s="3" t="s">
        <v>983</v>
      </c>
      <c r="D194" s="3" t="s">
        <v>983</v>
      </c>
      <c r="E194" s="21" t="s">
        <v>1451</v>
      </c>
      <c r="F194" s="3" t="s">
        <v>1034</v>
      </c>
      <c r="G194" s="3" t="s">
        <v>772</v>
      </c>
      <c r="H194" s="3" t="str">
        <f t="shared" si="171"/>
        <v>CW_1_Section_3</v>
      </c>
      <c r="I194" s="3" t="str">
        <f t="shared" si="172"/>
        <v>CW_1_MF09</v>
      </c>
      <c r="J194" s="3" t="s">
        <v>1492</v>
      </c>
      <c r="K194" s="3" t="s">
        <v>1484</v>
      </c>
      <c r="L194" s="11" t="s">
        <v>1035</v>
      </c>
      <c r="M194" s="3" t="s">
        <v>1015</v>
      </c>
      <c r="N194" s="3" t="s">
        <v>1015</v>
      </c>
      <c r="O194" s="12" t="s">
        <v>1016</v>
      </c>
      <c r="P194" s="3" t="s">
        <v>1452</v>
      </c>
      <c r="Q194" s="3" t="s">
        <v>1018</v>
      </c>
      <c r="R194" s="3" t="s">
        <v>1435</v>
      </c>
      <c r="S194" s="3" t="str">
        <f t="shared" si="173"/>
        <v>T8_0.15-0.30</v>
      </c>
      <c r="T194" s="13" t="s">
        <v>1436</v>
      </c>
      <c r="U194" s="3" t="s">
        <v>1160</v>
      </c>
      <c r="V194" s="3">
        <v>150</v>
      </c>
      <c r="W194" s="3">
        <v>65</v>
      </c>
      <c r="X194" s="14">
        <v>6.15</v>
      </c>
      <c r="Y194" s="3">
        <v>193</v>
      </c>
      <c r="Z194" t="s">
        <v>743</v>
      </c>
      <c r="AA194" t="s">
        <v>74</v>
      </c>
      <c r="AB194" s="1">
        <v>46007</v>
      </c>
      <c r="AC194">
        <v>9.8000000000000007</v>
      </c>
      <c r="AD194">
        <v>10</v>
      </c>
      <c r="AE194">
        <v>430</v>
      </c>
      <c r="AF194" s="37">
        <f t="shared" si="187"/>
        <v>0.16515170912815261</v>
      </c>
      <c r="AG194">
        <v>10</v>
      </c>
      <c r="AH194" s="37">
        <f t="shared" si="188"/>
        <v>3.9070978945083571E-3</v>
      </c>
      <c r="AI194">
        <v>90</v>
      </c>
      <c r="AJ194" s="37">
        <f t="shared" si="189"/>
        <v>3.560327776207968E-2</v>
      </c>
      <c r="AK194">
        <v>14</v>
      </c>
      <c r="AL194" s="37">
        <f t="shared" si="190"/>
        <v>5.5382876518790623E-3</v>
      </c>
      <c r="AM194">
        <v>1</v>
      </c>
      <c r="AN194" s="37">
        <f t="shared" si="191"/>
        <v>3.9559197513421869E-4</v>
      </c>
      <c r="AO194">
        <v>21</v>
      </c>
      <c r="AQ194" s="59">
        <v>551</v>
      </c>
      <c r="AR194" s="59">
        <f t="shared" si="192"/>
        <v>0.20466208478474063</v>
      </c>
      <c r="AS194">
        <v>1300</v>
      </c>
      <c r="AT194" s="37">
        <f t="shared" si="193"/>
        <v>0.48685339783100573</v>
      </c>
      <c r="AU194" t="s">
        <v>780</v>
      </c>
      <c r="AV194" t="s">
        <v>780</v>
      </c>
      <c r="AW194" t="s">
        <v>780</v>
      </c>
      <c r="AX194" t="s">
        <v>780</v>
      </c>
      <c r="AY194" t="s">
        <v>780</v>
      </c>
      <c r="AZ194" t="s">
        <v>780</v>
      </c>
      <c r="BA194" t="s">
        <v>780</v>
      </c>
      <c r="BB194" t="s">
        <v>780</v>
      </c>
      <c r="BC194" t="s">
        <v>780</v>
      </c>
      <c r="BD194" t="s">
        <v>780</v>
      </c>
      <c r="BE194" t="s">
        <v>780</v>
      </c>
      <c r="BF194" t="s">
        <v>780</v>
      </c>
      <c r="BG194" t="s">
        <v>780</v>
      </c>
      <c r="BH194" t="s">
        <v>780</v>
      </c>
      <c r="BI194" t="s">
        <v>780</v>
      </c>
      <c r="BJ194" t="s">
        <v>780</v>
      </c>
      <c r="BK194" t="s">
        <v>780</v>
      </c>
      <c r="BL194" t="s">
        <v>780</v>
      </c>
      <c r="BM194" t="s">
        <v>780</v>
      </c>
      <c r="BN194" t="s">
        <v>780</v>
      </c>
      <c r="BO194" s="58">
        <v>500</v>
      </c>
      <c r="BP194" s="58">
        <v>2</v>
      </c>
      <c r="BQ194" s="58">
        <v>2</v>
      </c>
      <c r="BR194" s="58">
        <v>1</v>
      </c>
      <c r="BS194" s="58">
        <v>0.2</v>
      </c>
      <c r="BT194" s="58">
        <v>0.2</v>
      </c>
      <c r="BU194" s="58">
        <v>0.2</v>
      </c>
      <c r="BV194" s="58">
        <v>0.4</v>
      </c>
      <c r="BW194" s="31">
        <f t="shared" si="194"/>
        <v>0.18725130685807911</v>
      </c>
      <c r="BX194" s="31">
        <f t="shared" si="195"/>
        <v>7.3592220251002033E-4</v>
      </c>
      <c r="BY194" s="31">
        <f t="shared" si="196"/>
        <v>7.5222099734128785E-4</v>
      </c>
      <c r="BZ194" s="31">
        <f t="shared" si="197"/>
        <v>3.7299963903260737E-4</v>
      </c>
      <c r="CA194" s="31">
        <f t="shared" si="198"/>
        <v>7.4061605790270996E-5</v>
      </c>
      <c r="CB194" s="31">
        <f t="shared" si="199"/>
        <v>7.4061605790270996E-5</v>
      </c>
      <c r="CC194" s="31">
        <f t="shared" si="200"/>
        <v>7.3176761433868992E-5</v>
      </c>
      <c r="CD194" s="31">
        <f t="shared" si="201"/>
        <v>1.4635352286773798E-4</v>
      </c>
      <c r="CE194">
        <v>0.2</v>
      </c>
      <c r="CF194">
        <v>0.2</v>
      </c>
      <c r="CG194">
        <v>0.4</v>
      </c>
      <c r="CH194">
        <v>0.2</v>
      </c>
      <c r="CI194">
        <v>0.2</v>
      </c>
      <c r="CK194">
        <v>0.4</v>
      </c>
      <c r="CL194">
        <v>0.2</v>
      </c>
      <c r="CM194">
        <v>0.2</v>
      </c>
      <c r="CN194" s="58">
        <f t="shared" si="227"/>
        <v>505.99999999999994</v>
      </c>
      <c r="CO194" s="58">
        <f t="shared" si="202"/>
        <v>6.0000000000000009</v>
      </c>
      <c r="CP194" s="31">
        <f t="shared" si="203"/>
        <v>0.18948010319284517</v>
      </c>
      <c r="CQ194" s="31">
        <f t="shared" si="204"/>
        <v>2.2287963347660646E-3</v>
      </c>
      <c r="CR194">
        <v>500</v>
      </c>
      <c r="CS194">
        <v>2200</v>
      </c>
      <c r="CT194">
        <v>170</v>
      </c>
      <c r="CU194" t="s">
        <v>69</v>
      </c>
      <c r="CV194" t="s">
        <v>69</v>
      </c>
      <c r="CW194">
        <v>2400</v>
      </c>
      <c r="CX194" s="2">
        <f t="shared" si="235"/>
        <v>1051</v>
      </c>
      <c r="CZ194">
        <v>68</v>
      </c>
      <c r="DA194" t="s">
        <v>62</v>
      </c>
      <c r="DB194" t="s">
        <v>88</v>
      </c>
      <c r="DC194" t="s">
        <v>782</v>
      </c>
      <c r="DD194" s="37">
        <f t="shared" si="236"/>
        <v>41.563189673120966</v>
      </c>
      <c r="DE194" s="37">
        <f t="shared" si="253"/>
        <v>41.563189673120966</v>
      </c>
      <c r="DF194" s="37">
        <v>7.8</v>
      </c>
      <c r="DG194" s="37">
        <f t="shared" si="237"/>
        <v>0.13965980304386749</v>
      </c>
      <c r="DH194" s="37">
        <f t="shared" si="205"/>
        <v>0.13965980304386749</v>
      </c>
      <c r="DI194" s="37">
        <f t="shared" si="238"/>
        <v>49.363189673120964</v>
      </c>
      <c r="DJ194" s="37">
        <f t="shared" si="206"/>
        <v>0.883852993251942</v>
      </c>
      <c r="DK194" s="37">
        <f t="shared" si="207"/>
        <v>0.883852993251942</v>
      </c>
      <c r="DL194" s="55">
        <f t="shared" si="208"/>
        <v>10.754112013325004</v>
      </c>
      <c r="DM194" s="55">
        <f t="shared" si="208"/>
        <v>10.754112013325004</v>
      </c>
      <c r="DN194" s="37">
        <f t="shared" si="209"/>
        <v>18.554112013325003</v>
      </c>
      <c r="DO194" s="55">
        <f t="shared" si="210"/>
        <v>0.33221328582497767</v>
      </c>
      <c r="DP194" s="55">
        <f t="shared" si="211"/>
        <v>0.33221328582497767</v>
      </c>
      <c r="DQ194" s="37">
        <v>1.9</v>
      </c>
      <c r="DR194" s="37">
        <f t="shared" si="212"/>
        <v>3.4589477516839613E-2</v>
      </c>
      <c r="DS194" s="37">
        <f t="shared" si="213"/>
        <v>6.9178955033679226E-2</v>
      </c>
      <c r="DT194" s="37">
        <f t="shared" si="239"/>
        <v>25.552655220699567</v>
      </c>
      <c r="DU194" s="37">
        <f t="shared" si="240"/>
        <v>12.776327610349783</v>
      </c>
      <c r="DV194" s="37">
        <f t="shared" si="241"/>
        <v>51.263189673120962</v>
      </c>
      <c r="DW194" s="37">
        <f t="shared" si="242"/>
        <v>0.95303194828562121</v>
      </c>
      <c r="DX194" t="s">
        <v>780</v>
      </c>
      <c r="DY194" t="s">
        <v>81</v>
      </c>
      <c r="DZ194" s="29">
        <f t="shared" si="252"/>
        <v>1</v>
      </c>
      <c r="EA194" s="30">
        <v>1.7000000000000001E-2</v>
      </c>
      <c r="EB194" s="30">
        <f t="shared" si="214"/>
        <v>2.741935483870968E-4</v>
      </c>
      <c r="EC194" s="30">
        <f t="shared" si="215"/>
        <v>1.370967741935484E-3</v>
      </c>
      <c r="ED194" s="31">
        <f t="shared" si="255"/>
        <v>71.5</v>
      </c>
      <c r="EE194" s="33">
        <f t="shared" si="254"/>
        <v>99.305555555555557</v>
      </c>
      <c r="EF194" s="37">
        <f t="shared" si="243"/>
        <v>5.9546117010201955</v>
      </c>
      <c r="EG194" s="37">
        <f>$EK192-EK194</f>
        <v>18.5</v>
      </c>
      <c r="EH194" s="33">
        <f>(EG194/$EK192)*100</f>
        <v>97.368421052631575</v>
      </c>
      <c r="EI194" s="37">
        <f t="shared" si="251"/>
        <v>1.5407037268373933</v>
      </c>
      <c r="EJ194" s="37">
        <f t="shared" si="256"/>
        <v>1.5407037268373933</v>
      </c>
      <c r="EK194" s="31">
        <v>0.5</v>
      </c>
      <c r="EL194" s="31">
        <f t="shared" si="216"/>
        <v>5.2050801582344368E-3</v>
      </c>
      <c r="EM194" s="31">
        <f t="shared" si="217"/>
        <v>4.1640641265875494E-2</v>
      </c>
      <c r="EN194" s="32">
        <f t="shared" si="244"/>
        <v>4.301160900781098E-2</v>
      </c>
      <c r="EO194" s="39">
        <f t="shared" si="248"/>
        <v>6.9076436493058164</v>
      </c>
      <c r="EP194" s="37">
        <f t="shared" si="245"/>
        <v>1.0014841318664631E-2</v>
      </c>
      <c r="EQ194" s="37">
        <f t="shared" si="246"/>
        <v>0.12795289365292675</v>
      </c>
      <c r="ER194" s="37">
        <f t="shared" si="247"/>
        <v>0.86203226502840868</v>
      </c>
      <c r="ES194" s="39">
        <f t="shared" si="219"/>
        <v>1.9420959676960501</v>
      </c>
      <c r="ET194" s="55">
        <f t="shared" si="220"/>
        <v>17.10591501917845</v>
      </c>
      <c r="EU194" s="55">
        <f t="shared" si="221"/>
        <v>3.5620770643866635</v>
      </c>
      <c r="EV194" s="55">
        <f t="shared" si="222"/>
        <v>79.332007916434904</v>
      </c>
      <c r="EW194" t="s">
        <v>744</v>
      </c>
      <c r="EX194">
        <v>9</v>
      </c>
      <c r="EY194" t="s">
        <v>745</v>
      </c>
      <c r="EZ194" t="s">
        <v>165</v>
      </c>
      <c r="FA194">
        <v>1087</v>
      </c>
      <c r="FB194" t="s">
        <v>72</v>
      </c>
      <c r="FC194" t="s">
        <v>88</v>
      </c>
      <c r="FD194" s="39">
        <f t="shared" si="223"/>
        <v>-6.2161281666900701</v>
      </c>
      <c r="FE194" s="39">
        <f t="shared" si="224"/>
        <v>-6.2138993703553043</v>
      </c>
      <c r="FF194" s="39">
        <f t="shared" si="225"/>
        <v>-1.2505804850803037</v>
      </c>
      <c r="FG194" s="39">
        <f t="shared" si="226"/>
        <v>-1.2483516887455377</v>
      </c>
    </row>
    <row r="195" spans="1:163" ht="15.75" x14ac:dyDescent="0.25">
      <c r="A195" s="3" t="s">
        <v>452</v>
      </c>
      <c r="B195" s="3" t="s">
        <v>452</v>
      </c>
      <c r="C195" s="3" t="s">
        <v>984</v>
      </c>
      <c r="D195" s="3" t="s">
        <v>984</v>
      </c>
      <c r="E195" s="21" t="s">
        <v>1453</v>
      </c>
      <c r="F195" s="3" t="s">
        <v>1034</v>
      </c>
      <c r="G195" s="3" t="s">
        <v>772</v>
      </c>
      <c r="H195" s="3" t="str">
        <f t="shared" ref="H195:H207" si="257">G195&amp;"_"&amp;F195</f>
        <v>CW_1_Section_3</v>
      </c>
      <c r="I195" s="3" t="str">
        <f t="shared" ref="I195:I207" si="258">G195&amp;"_"&amp;J195</f>
        <v>CW_1_MF10</v>
      </c>
      <c r="J195" s="3" t="s">
        <v>1493</v>
      </c>
      <c r="K195" s="3" t="s">
        <v>1484</v>
      </c>
      <c r="L195" s="11" t="s">
        <v>1038</v>
      </c>
      <c r="M195" s="3" t="s">
        <v>1024</v>
      </c>
      <c r="N195" s="3" t="s">
        <v>1024</v>
      </c>
      <c r="O195" s="12" t="s">
        <v>1016</v>
      </c>
      <c r="P195" s="3" t="s">
        <v>1454</v>
      </c>
      <c r="Q195" s="3" t="s">
        <v>1018</v>
      </c>
      <c r="R195" s="3" t="s">
        <v>1435</v>
      </c>
      <c r="S195" s="3" t="str">
        <f t="shared" ref="S195:S207" si="259">R195&amp;"_"&amp;N195</f>
        <v>T8_0.60-0.80</v>
      </c>
      <c r="T195" s="13" t="s">
        <v>1436</v>
      </c>
      <c r="U195" s="3" t="s">
        <v>1160</v>
      </c>
      <c r="V195" s="3">
        <v>150</v>
      </c>
      <c r="W195" s="3">
        <v>65</v>
      </c>
      <c r="X195" s="14">
        <v>4.05</v>
      </c>
      <c r="Y195" s="3">
        <v>194</v>
      </c>
      <c r="Z195" t="s">
        <v>746</v>
      </c>
      <c r="AA195" t="s">
        <v>95</v>
      </c>
      <c r="AB195" s="1">
        <v>46007</v>
      </c>
      <c r="AC195">
        <v>11</v>
      </c>
      <c r="AD195">
        <v>12</v>
      </c>
      <c r="AE195">
        <v>710</v>
      </c>
      <c r="AF195" s="37">
        <f t="shared" si="187"/>
        <v>0.27269235693253108</v>
      </c>
      <c r="AG195">
        <v>31</v>
      </c>
      <c r="AH195" s="37">
        <f t="shared" si="188"/>
        <v>1.2112003472975906E-2</v>
      </c>
      <c r="AI195">
        <v>410</v>
      </c>
      <c r="AJ195" s="37">
        <f t="shared" si="189"/>
        <v>0.16219270980502967</v>
      </c>
      <c r="AK195">
        <v>140</v>
      </c>
      <c r="AL195" s="37">
        <f t="shared" si="190"/>
        <v>5.5382876518790619E-2</v>
      </c>
      <c r="AM195">
        <v>140</v>
      </c>
      <c r="AN195" s="37">
        <f t="shared" si="191"/>
        <v>5.5382876518790619E-2</v>
      </c>
      <c r="AO195">
        <v>280</v>
      </c>
      <c r="AQ195" s="59">
        <v>1431</v>
      </c>
      <c r="AR195" s="59">
        <f t="shared" si="192"/>
        <v>0.4469970702105367</v>
      </c>
      <c r="AS195">
        <v>1600</v>
      </c>
      <c r="AT195" s="37">
        <f t="shared" si="193"/>
        <v>0.59920418194585312</v>
      </c>
      <c r="AU195" t="s">
        <v>780</v>
      </c>
      <c r="AV195" t="s">
        <v>780</v>
      </c>
      <c r="AW195" t="s">
        <v>780</v>
      </c>
      <c r="AX195" t="s">
        <v>780</v>
      </c>
      <c r="AY195" t="s">
        <v>780</v>
      </c>
      <c r="AZ195" t="s">
        <v>780</v>
      </c>
      <c r="BA195" t="s">
        <v>780</v>
      </c>
      <c r="BB195" t="s">
        <v>780</v>
      </c>
      <c r="BC195" t="s">
        <v>780</v>
      </c>
      <c r="BD195" t="s">
        <v>780</v>
      </c>
      <c r="BE195" t="s">
        <v>780</v>
      </c>
      <c r="BF195" t="s">
        <v>780</v>
      </c>
      <c r="BG195" t="s">
        <v>780</v>
      </c>
      <c r="BH195" t="s">
        <v>780</v>
      </c>
      <c r="BI195" t="s">
        <v>780</v>
      </c>
      <c r="BJ195" t="s">
        <v>780</v>
      </c>
      <c r="BK195" t="s">
        <v>780</v>
      </c>
      <c r="BL195" t="s">
        <v>780</v>
      </c>
      <c r="BM195" t="s">
        <v>780</v>
      </c>
      <c r="BN195" t="s">
        <v>780</v>
      </c>
      <c r="BO195" s="58">
        <v>1300</v>
      </c>
      <c r="BP195" s="58">
        <v>3.6</v>
      </c>
      <c r="BQ195" s="58">
        <v>120</v>
      </c>
      <c r="BR195" s="58">
        <v>27</v>
      </c>
      <c r="BS195" s="58">
        <v>11</v>
      </c>
      <c r="BT195" s="58">
        <v>1.7</v>
      </c>
      <c r="BU195" s="58">
        <v>7.0000000000000007E-2</v>
      </c>
      <c r="BV195" s="58">
        <v>0.03</v>
      </c>
      <c r="BW195" s="31">
        <f t="shared" si="194"/>
        <v>0.48685339783100573</v>
      </c>
      <c r="BX195" s="31">
        <f t="shared" si="195"/>
        <v>1.3246599645180368E-3</v>
      </c>
      <c r="BY195" s="31">
        <f t="shared" si="196"/>
        <v>4.5133259840477273E-2</v>
      </c>
      <c r="BZ195" s="31">
        <f t="shared" si="197"/>
        <v>1.0070990253880399E-2</v>
      </c>
      <c r="CA195" s="31">
        <f t="shared" si="198"/>
        <v>4.0733883184649045E-3</v>
      </c>
      <c r="CB195" s="31">
        <f t="shared" si="199"/>
        <v>6.295236492173035E-4</v>
      </c>
      <c r="CC195" s="31">
        <f t="shared" si="200"/>
        <v>2.5611866501854141E-5</v>
      </c>
      <c r="CD195" s="31">
        <f t="shared" si="201"/>
        <v>1.0976514215080345E-5</v>
      </c>
      <c r="CE195">
        <v>1E-3</v>
      </c>
      <c r="CF195">
        <v>1E-3</v>
      </c>
      <c r="CG195">
        <v>2E-3</v>
      </c>
      <c r="CH195">
        <v>1E-3</v>
      </c>
      <c r="CI195">
        <v>1E-3</v>
      </c>
      <c r="CK195">
        <v>2E-3</v>
      </c>
      <c r="CL195">
        <v>1E-3</v>
      </c>
      <c r="CM195">
        <v>1E-3</v>
      </c>
      <c r="CN195" s="58">
        <f t="shared" si="227"/>
        <v>1463.3999999999999</v>
      </c>
      <c r="CO195" s="58">
        <f t="shared" si="202"/>
        <v>163.39999999999998</v>
      </c>
      <c r="CP195" s="31">
        <f t="shared" si="203"/>
        <v>0.54812180823828061</v>
      </c>
      <c r="CQ195" s="31">
        <f t="shared" si="204"/>
        <v>6.1268410407274848E-2</v>
      </c>
      <c r="CR195">
        <v>1400</v>
      </c>
      <c r="CS195">
        <v>3000</v>
      </c>
      <c r="CT195">
        <v>950</v>
      </c>
      <c r="CU195" t="s">
        <v>69</v>
      </c>
      <c r="CV195" t="s">
        <v>69</v>
      </c>
      <c r="CW195">
        <v>4000</v>
      </c>
      <c r="CX195" s="2">
        <f t="shared" si="235"/>
        <v>2831</v>
      </c>
      <c r="CZ195">
        <v>71</v>
      </c>
      <c r="DA195" t="s">
        <v>62</v>
      </c>
      <c r="DB195" t="s">
        <v>88</v>
      </c>
      <c r="DC195" t="s">
        <v>782</v>
      </c>
      <c r="DD195" s="37">
        <f t="shared" si="236"/>
        <v>13.951280449718926</v>
      </c>
      <c r="DE195" s="37">
        <f t="shared" si="253"/>
        <v>13.951280449718926</v>
      </c>
      <c r="DF195" s="37">
        <v>0.4</v>
      </c>
      <c r="DG195" s="37">
        <f t="shared" si="237"/>
        <v>7.162041181736795E-3</v>
      </c>
      <c r="DH195" s="37">
        <f t="shared" si="205"/>
        <v>7.162041181736795E-3</v>
      </c>
      <c r="DI195" s="37">
        <f t="shared" si="238"/>
        <v>14.351280449718926</v>
      </c>
      <c r="DJ195" s="37">
        <f t="shared" si="206"/>
        <v>0.25696115397885272</v>
      </c>
      <c r="DK195" s="37">
        <f t="shared" si="207"/>
        <v>0.25696115397885272</v>
      </c>
      <c r="DL195" s="55">
        <f t="shared" si="208"/>
        <v>2.9065167603581092</v>
      </c>
      <c r="DM195" s="55">
        <f t="shared" si="208"/>
        <v>2.9065167603581092</v>
      </c>
      <c r="DN195" s="37">
        <f t="shared" si="209"/>
        <v>3.3065167603581092</v>
      </c>
      <c r="DO195" s="55">
        <f t="shared" si="210"/>
        <v>5.9203523014469274E-2</v>
      </c>
      <c r="DP195" s="55">
        <f t="shared" si="211"/>
        <v>5.9203523014469274E-2</v>
      </c>
      <c r="DQ195" s="37">
        <v>1.2</v>
      </c>
      <c r="DR195" s="37">
        <f t="shared" si="212"/>
        <v>2.1845985800109231E-2</v>
      </c>
      <c r="DS195" s="37">
        <f t="shared" si="213"/>
        <v>4.3691971600218461E-2</v>
      </c>
      <c r="DT195" s="37">
        <f t="shared" si="239"/>
        <v>11.762396823381982</v>
      </c>
      <c r="DU195" s="37">
        <f t="shared" si="240"/>
        <v>5.881198411690991</v>
      </c>
      <c r="DV195" s="37">
        <f t="shared" si="241"/>
        <v>15.551280449718925</v>
      </c>
      <c r="DW195" s="37">
        <f t="shared" si="242"/>
        <v>0.3006531255790712</v>
      </c>
      <c r="DX195" t="s">
        <v>780</v>
      </c>
      <c r="DY195" t="s">
        <v>145</v>
      </c>
      <c r="DZ195" s="29">
        <f t="shared" si="252"/>
        <v>1</v>
      </c>
      <c r="EA195" s="30">
        <v>1.7000000000000001E-2</v>
      </c>
      <c r="EB195" s="30">
        <f t="shared" si="214"/>
        <v>2.741935483870968E-4</v>
      </c>
      <c r="EC195" s="30">
        <f t="shared" si="215"/>
        <v>1.370967741935484E-3</v>
      </c>
      <c r="ED195" s="31">
        <f t="shared" si="255"/>
        <v>24</v>
      </c>
      <c r="EE195" s="33">
        <f t="shared" si="254"/>
        <v>33.333333333333329</v>
      </c>
      <c r="EF195" s="37">
        <f t="shared" si="243"/>
        <v>1.9987507807620237</v>
      </c>
      <c r="EG195" s="29">
        <f>$EK193-EK195</f>
        <v>5</v>
      </c>
      <c r="EH195" s="33">
        <f>(EG195/$EK193)*100</f>
        <v>9.433962264150944</v>
      </c>
      <c r="EI195" s="37">
        <f t="shared" si="251"/>
        <v>0.41640641265875494</v>
      </c>
      <c r="EJ195" s="37">
        <f t="shared" si="256"/>
        <v>0.41640641265875494</v>
      </c>
      <c r="EK195" s="31">
        <v>48</v>
      </c>
      <c r="EL195" s="31">
        <f t="shared" si="216"/>
        <v>0.49968769519050593</v>
      </c>
      <c r="EM195" s="31">
        <f t="shared" si="217"/>
        <v>3.9975015615240475</v>
      </c>
      <c r="EN195" s="32">
        <f t="shared" si="244"/>
        <v>3.998872529265983</v>
      </c>
      <c r="EO195" s="39">
        <f t="shared" si="248"/>
        <v>2.2994039063410949</v>
      </c>
      <c r="EP195" s="37">
        <f t="shared" si="245"/>
        <v>1.9001434015019528E-2</v>
      </c>
      <c r="EQ195" s="37">
        <f t="shared" si="246"/>
        <v>0.11175120354898403</v>
      </c>
      <c r="ER195" s="37">
        <f t="shared" si="247"/>
        <v>0.86924736243599643</v>
      </c>
      <c r="ES195" s="39">
        <f t="shared" si="219"/>
        <v>0.51930190727344272</v>
      </c>
      <c r="ET195" s="55">
        <f t="shared" si="220"/>
        <v>11.400598030789663</v>
      </c>
      <c r="EU195" s="55">
        <f t="shared" si="221"/>
        <v>8.4135973675929705</v>
      </c>
      <c r="EV195" s="55">
        <f t="shared" si="222"/>
        <v>80.185804601617363</v>
      </c>
      <c r="EW195" t="s">
        <v>134</v>
      </c>
      <c r="EX195">
        <v>9</v>
      </c>
      <c r="EY195">
        <v>-104</v>
      </c>
      <c r="EZ195" t="s">
        <v>160</v>
      </c>
      <c r="FA195">
        <v>1114</v>
      </c>
      <c r="FB195" t="s">
        <v>72</v>
      </c>
      <c r="FC195" t="s">
        <v>88</v>
      </c>
      <c r="FD195" s="39">
        <f t="shared" si="223"/>
        <v>-1.253202654184705</v>
      </c>
      <c r="FE195" s="39">
        <f t="shared" si="224"/>
        <v>-1.1919342437774301</v>
      </c>
      <c r="FF195" s="39">
        <f t="shared" si="225"/>
        <v>0.52689934488294721</v>
      </c>
      <c r="FG195" s="39">
        <f t="shared" si="226"/>
        <v>0.58816775529022214</v>
      </c>
    </row>
    <row r="196" spans="1:163" ht="15.75" x14ac:dyDescent="0.25">
      <c r="A196" s="3" t="s">
        <v>453</v>
      </c>
      <c r="B196" s="3" t="s">
        <v>453</v>
      </c>
      <c r="C196" s="3" t="s">
        <v>985</v>
      </c>
      <c r="D196" s="3" t="s">
        <v>985</v>
      </c>
      <c r="E196" s="21" t="s">
        <v>1455</v>
      </c>
      <c r="F196" s="3" t="s">
        <v>1013</v>
      </c>
      <c r="G196" s="3" t="s">
        <v>773</v>
      </c>
      <c r="H196" s="3" t="str">
        <f t="shared" si="257"/>
        <v>CW_2_Section_1</v>
      </c>
      <c r="I196" s="3" t="str">
        <f t="shared" si="258"/>
        <v>CW_2_MF01</v>
      </c>
      <c r="J196" s="3" t="s">
        <v>1488</v>
      </c>
      <c r="K196" s="3" t="s">
        <v>1484</v>
      </c>
      <c r="L196" s="11" t="s">
        <v>1074</v>
      </c>
      <c r="M196" s="3" t="s">
        <v>1015</v>
      </c>
      <c r="N196" s="3" t="s">
        <v>1015</v>
      </c>
      <c r="O196" s="12" t="s">
        <v>1016</v>
      </c>
      <c r="P196" s="3" t="s">
        <v>1456</v>
      </c>
      <c r="Q196" s="3" t="s">
        <v>1018</v>
      </c>
      <c r="R196" s="3" t="s">
        <v>1435</v>
      </c>
      <c r="S196" s="3" t="str">
        <f t="shared" si="259"/>
        <v>T8_0.15-0.30</v>
      </c>
      <c r="T196" s="13" t="s">
        <v>1436</v>
      </c>
      <c r="U196" s="3" t="s">
        <v>1160</v>
      </c>
      <c r="V196" s="3">
        <v>150</v>
      </c>
      <c r="W196" s="3">
        <v>65</v>
      </c>
      <c r="X196" s="14">
        <v>12.8</v>
      </c>
      <c r="Y196" s="3">
        <v>195</v>
      </c>
      <c r="Z196" t="s">
        <v>749</v>
      </c>
      <c r="AA196" t="s">
        <v>204</v>
      </c>
      <c r="AB196" s="1">
        <v>46007</v>
      </c>
      <c r="AC196">
        <v>4</v>
      </c>
      <c r="AD196">
        <v>4.3</v>
      </c>
      <c r="AE196">
        <v>2</v>
      </c>
      <c r="AF196" s="37">
        <f t="shared" si="187"/>
        <v>7.6814748431698891E-4</v>
      </c>
      <c r="AG196">
        <v>0.3</v>
      </c>
      <c r="AH196" s="37">
        <f t="shared" si="188"/>
        <v>1.1721293683525071E-4</v>
      </c>
      <c r="AI196">
        <v>2.7</v>
      </c>
      <c r="AJ196" s="37">
        <f t="shared" si="189"/>
        <v>1.0680983328623906E-3</v>
      </c>
      <c r="AK196">
        <v>0.97</v>
      </c>
      <c r="AL196" s="37">
        <f t="shared" si="190"/>
        <v>3.8372421588019214E-4</v>
      </c>
      <c r="AM196">
        <v>0.9</v>
      </c>
      <c r="AN196" s="37">
        <f t="shared" si="191"/>
        <v>3.5603277762079685E-4</v>
      </c>
      <c r="AO196">
        <v>1.87</v>
      </c>
      <c r="AQ196" s="59">
        <v>6.87</v>
      </c>
      <c r="AR196" s="59">
        <f t="shared" si="192"/>
        <v>1.9534587540146302E-3</v>
      </c>
      <c r="AS196">
        <v>1.4</v>
      </c>
      <c r="AT196" s="37">
        <f t="shared" si="193"/>
        <v>5.2430365920262147E-4</v>
      </c>
      <c r="AU196" t="s">
        <v>780</v>
      </c>
      <c r="AV196" t="s">
        <v>780</v>
      </c>
      <c r="AW196" t="s">
        <v>780</v>
      </c>
      <c r="AX196" t="s">
        <v>780</v>
      </c>
      <c r="AY196" t="s">
        <v>780</v>
      </c>
      <c r="AZ196" t="s">
        <v>780</v>
      </c>
      <c r="BA196" t="s">
        <v>780</v>
      </c>
      <c r="BB196" t="s">
        <v>780</v>
      </c>
      <c r="BC196" t="s">
        <v>780</v>
      </c>
      <c r="BD196" t="s">
        <v>780</v>
      </c>
      <c r="BE196" t="s">
        <v>780</v>
      </c>
      <c r="BF196" t="s">
        <v>780</v>
      </c>
      <c r="BG196" t="s">
        <v>780</v>
      </c>
      <c r="BH196" t="s">
        <v>780</v>
      </c>
      <c r="BI196" t="s">
        <v>780</v>
      </c>
      <c r="BJ196" t="s">
        <v>780</v>
      </c>
      <c r="BK196" t="s">
        <v>780</v>
      </c>
      <c r="BL196" t="s">
        <v>780</v>
      </c>
      <c r="BM196" t="s">
        <v>780</v>
      </c>
      <c r="BN196" t="s">
        <v>780</v>
      </c>
      <c r="BO196" s="58">
        <v>0.02</v>
      </c>
      <c r="BP196" s="58">
        <v>0.01</v>
      </c>
      <c r="BQ196" s="58">
        <v>0.25</v>
      </c>
      <c r="BR196" s="58">
        <v>5.0000000000000001E-3</v>
      </c>
      <c r="BS196" s="58">
        <v>1E-3</v>
      </c>
      <c r="BT196" s="58">
        <v>1E-3</v>
      </c>
      <c r="BU196" s="58">
        <v>1E-3</v>
      </c>
      <c r="BV196" s="58">
        <v>2E-3</v>
      </c>
      <c r="BW196" s="31">
        <f t="shared" si="194"/>
        <v>7.4900522743231651E-6</v>
      </c>
      <c r="BX196" s="31">
        <f t="shared" si="195"/>
        <v>3.6796110125501018E-6</v>
      </c>
      <c r="BY196" s="31">
        <f t="shared" si="196"/>
        <v>9.4027624667660981E-5</v>
      </c>
      <c r="BZ196" s="31">
        <f t="shared" si="197"/>
        <v>1.8649981951630372E-6</v>
      </c>
      <c r="CA196" s="31">
        <f t="shared" si="198"/>
        <v>3.7030802895135499E-7</v>
      </c>
      <c r="CB196" s="31">
        <f t="shared" si="199"/>
        <v>3.7030802895135499E-7</v>
      </c>
      <c r="CC196" s="31">
        <f t="shared" si="200"/>
        <v>3.6588380716934485E-7</v>
      </c>
      <c r="CD196" s="31">
        <f t="shared" si="201"/>
        <v>7.3176761433868969E-7</v>
      </c>
      <c r="CE196">
        <v>1E-3</v>
      </c>
      <c r="CF196">
        <v>1E-3</v>
      </c>
      <c r="CG196">
        <v>2E-3</v>
      </c>
      <c r="CH196">
        <v>1E-3</v>
      </c>
      <c r="CI196">
        <v>1E-3</v>
      </c>
      <c r="CK196">
        <v>2E-3</v>
      </c>
      <c r="CL196">
        <v>1E-3</v>
      </c>
      <c r="CM196">
        <v>1E-3</v>
      </c>
      <c r="CN196" s="58">
        <f t="shared" si="227"/>
        <v>0.29000000000000004</v>
      </c>
      <c r="CO196" s="58">
        <f t="shared" si="202"/>
        <v>0.27</v>
      </c>
      <c r="CP196" s="31">
        <f t="shared" si="203"/>
        <v>1.0890055362910803E-4</v>
      </c>
      <c r="CQ196" s="31">
        <f t="shared" si="204"/>
        <v>1.0141050135478487E-4</v>
      </c>
      <c r="CR196">
        <v>4.2000000000000003E-2</v>
      </c>
      <c r="CS196" t="s">
        <v>69</v>
      </c>
      <c r="CT196" t="s">
        <v>69</v>
      </c>
      <c r="CU196" t="s">
        <v>69</v>
      </c>
      <c r="CV196" t="s">
        <v>69</v>
      </c>
      <c r="CW196">
        <v>5</v>
      </c>
      <c r="CX196" s="2">
        <f t="shared" si="235"/>
        <v>6.9119999999999999</v>
      </c>
      <c r="CZ196">
        <v>48</v>
      </c>
      <c r="DA196" t="s">
        <v>62</v>
      </c>
      <c r="DB196" t="s">
        <v>88</v>
      </c>
      <c r="DC196" t="s">
        <v>508</v>
      </c>
      <c r="DD196" s="37">
        <f t="shared" si="236"/>
        <v>17.439100562148656</v>
      </c>
      <c r="DE196" s="37">
        <f t="shared" si="253"/>
        <v>17.439100562148656</v>
      </c>
      <c r="DF196" s="37">
        <v>0.02</v>
      </c>
      <c r="DG196" s="37">
        <f t="shared" si="237"/>
        <v>3.5810205908683976E-4</v>
      </c>
      <c r="DH196" s="37">
        <f t="shared" si="205"/>
        <v>3.5810205908683976E-4</v>
      </c>
      <c r="DI196" s="37">
        <f t="shared" si="238"/>
        <v>17.459100562148656</v>
      </c>
      <c r="DJ196" s="37">
        <f t="shared" si="206"/>
        <v>0.31260699305548173</v>
      </c>
      <c r="DK196" s="37">
        <f t="shared" si="207"/>
        <v>0.31260699305548173</v>
      </c>
      <c r="DL196" s="55">
        <f t="shared" si="208"/>
        <v>17.439100562148656</v>
      </c>
      <c r="DM196" s="55">
        <f t="shared" si="208"/>
        <v>17.439100562148656</v>
      </c>
      <c r="DN196" s="37">
        <f t="shared" si="209"/>
        <v>17.459100562148656</v>
      </c>
      <c r="DO196" s="55">
        <f t="shared" si="210"/>
        <v>0.31260699305548173</v>
      </c>
      <c r="DP196" s="55">
        <f t="shared" si="211"/>
        <v>0.31260699305548173</v>
      </c>
      <c r="DQ196" s="37">
        <v>0.05</v>
      </c>
      <c r="DR196" s="37">
        <f t="shared" si="212"/>
        <v>9.1024940833788468E-4</v>
      </c>
      <c r="DS196" s="37">
        <f t="shared" si="213"/>
        <v>1.8204988166757694E-3</v>
      </c>
      <c r="DT196" s="37">
        <f t="shared" si="239"/>
        <v>343.43004257075216</v>
      </c>
      <c r="DU196" s="37">
        <f t="shared" si="240"/>
        <v>171.71502128537608</v>
      </c>
      <c r="DV196" s="37">
        <f t="shared" si="241"/>
        <v>17.509100562148657</v>
      </c>
      <c r="DW196" s="37">
        <f t="shared" si="242"/>
        <v>0.31442749187215752</v>
      </c>
      <c r="DX196" t="s">
        <v>780</v>
      </c>
      <c r="DY196" t="s">
        <v>556</v>
      </c>
      <c r="DZ196" s="29">
        <f t="shared" si="252"/>
        <v>123.52941176470588</v>
      </c>
      <c r="EA196" s="30">
        <v>2.1</v>
      </c>
      <c r="EB196" s="30">
        <f t="shared" si="214"/>
        <v>3.3870967741935487E-2</v>
      </c>
      <c r="EC196" s="30">
        <f t="shared" si="215"/>
        <v>0.16935483870967744</v>
      </c>
      <c r="ED196" s="31">
        <f t="shared" si="255"/>
        <v>30</v>
      </c>
      <c r="EE196" s="33">
        <f t="shared" si="254"/>
        <v>41.666666666666671</v>
      </c>
      <c r="EF196" s="37">
        <f t="shared" si="243"/>
        <v>2.4984384759525295</v>
      </c>
      <c r="EG196" s="37">
        <f>$EK186-EK196</f>
        <v>30</v>
      </c>
      <c r="EH196" s="33">
        <f>(EG196/$EK$186)*100</f>
        <v>41.666666666666671</v>
      </c>
      <c r="EI196" s="37">
        <f t="shared" si="251"/>
        <v>2.4984384759525295</v>
      </c>
      <c r="EJ196" s="37">
        <f t="shared" si="256"/>
        <v>2.4984384759525295</v>
      </c>
      <c r="EK196" s="31">
        <v>42</v>
      </c>
      <c r="EL196" s="31">
        <f t="shared" si="216"/>
        <v>0.4372267332916927</v>
      </c>
      <c r="EM196" s="31">
        <f t="shared" si="217"/>
        <v>3.4978138663335416</v>
      </c>
      <c r="EN196" s="32">
        <f t="shared" si="244"/>
        <v>3.6671687050432191</v>
      </c>
      <c r="EO196" s="39">
        <f t="shared" si="248"/>
        <v>2.812865967824687</v>
      </c>
      <c r="EP196" s="37">
        <f t="shared" si="245"/>
        <v>6.4720425270872088E-4</v>
      </c>
      <c r="EQ196" s="37">
        <f t="shared" si="246"/>
        <v>0.11113469202986392</v>
      </c>
      <c r="ER196" s="37">
        <f t="shared" si="247"/>
        <v>0.88821810371742738</v>
      </c>
      <c r="ES196" s="39">
        <f t="shared" si="219"/>
        <v>2.812865967824687</v>
      </c>
      <c r="ET196" s="55">
        <f t="shared" si="220"/>
        <v>11.113469202986392</v>
      </c>
      <c r="EU196" s="55">
        <f t="shared" si="221"/>
        <v>6.4720425270872087E-2</v>
      </c>
      <c r="EV196" s="55">
        <f t="shared" si="222"/>
        <v>88.821810371742743</v>
      </c>
      <c r="EW196" t="s">
        <v>740</v>
      </c>
      <c r="EX196">
        <v>12</v>
      </c>
      <c r="EY196" t="s">
        <v>104</v>
      </c>
      <c r="EZ196" t="s">
        <v>200</v>
      </c>
      <c r="FA196">
        <v>574</v>
      </c>
      <c r="FB196" t="s">
        <v>72</v>
      </c>
      <c r="FC196" t="s">
        <v>88</v>
      </c>
      <c r="FD196" s="39">
        <f t="shared" si="223"/>
        <v>-2.8103882054114697</v>
      </c>
      <c r="FE196" s="39">
        <f t="shared" si="224"/>
        <v>-2.8102867949101151</v>
      </c>
      <c r="FF196" s="39">
        <f t="shared" si="225"/>
        <v>-2.8103882054114697</v>
      </c>
      <c r="FG196" s="39">
        <f t="shared" si="226"/>
        <v>-2.8102867949101151</v>
      </c>
    </row>
    <row r="197" spans="1:163" ht="15.75" x14ac:dyDescent="0.25">
      <c r="A197" s="3" t="s">
        <v>454</v>
      </c>
      <c r="B197" s="3" t="s">
        <v>454</v>
      </c>
      <c r="C197" s="3" t="s">
        <v>986</v>
      </c>
      <c r="D197" s="3" t="s">
        <v>986</v>
      </c>
      <c r="E197" s="21" t="s">
        <v>1457</v>
      </c>
      <c r="F197" s="3" t="s">
        <v>1013</v>
      </c>
      <c r="G197" s="3" t="s">
        <v>773</v>
      </c>
      <c r="H197" s="3" t="str">
        <f t="shared" si="257"/>
        <v>CW_2_Section_1</v>
      </c>
      <c r="I197" s="3" t="str">
        <f t="shared" si="258"/>
        <v>CW_2_MF02</v>
      </c>
      <c r="J197" s="3" t="s">
        <v>1489</v>
      </c>
      <c r="K197" s="3" t="s">
        <v>1484</v>
      </c>
      <c r="L197" s="11" t="s">
        <v>1077</v>
      </c>
      <c r="M197" s="3" t="s">
        <v>1024</v>
      </c>
      <c r="N197" s="3" t="s">
        <v>1024</v>
      </c>
      <c r="O197" s="12" t="s">
        <v>1016</v>
      </c>
      <c r="P197" s="3" t="s">
        <v>1458</v>
      </c>
      <c r="Q197" s="3" t="s">
        <v>1018</v>
      </c>
      <c r="R197" s="3" t="s">
        <v>1435</v>
      </c>
      <c r="S197" s="3" t="str">
        <f t="shared" si="259"/>
        <v>T8_0.60-0.80</v>
      </c>
      <c r="T197" s="13" t="s">
        <v>1436</v>
      </c>
      <c r="U197" s="3" t="s">
        <v>1160</v>
      </c>
      <c r="V197" s="3">
        <v>150</v>
      </c>
      <c r="W197" s="3">
        <v>65</v>
      </c>
      <c r="X197" s="14">
        <v>7.65</v>
      </c>
      <c r="Y197" s="3">
        <v>196</v>
      </c>
      <c r="Z197" t="s">
        <v>750</v>
      </c>
      <c r="AA197" t="s">
        <v>211</v>
      </c>
      <c r="AB197" s="1">
        <v>46007</v>
      </c>
      <c r="AC197">
        <v>4.4000000000000004</v>
      </c>
      <c r="AD197">
        <v>4.5</v>
      </c>
      <c r="AE197">
        <v>3</v>
      </c>
      <c r="AF197" s="37">
        <f t="shared" si="187"/>
        <v>1.1522212264754833E-3</v>
      </c>
      <c r="AG197">
        <v>1</v>
      </c>
      <c r="AH197" s="37">
        <f t="shared" si="188"/>
        <v>3.9070978945083569E-4</v>
      </c>
      <c r="AI197">
        <v>4.3</v>
      </c>
      <c r="AJ197" s="37">
        <f t="shared" si="189"/>
        <v>1.7010454930771405E-3</v>
      </c>
      <c r="AK197">
        <v>1.5</v>
      </c>
      <c r="AL197" s="37">
        <f t="shared" si="190"/>
        <v>5.9338796270132807E-4</v>
      </c>
      <c r="AM197">
        <v>2.1</v>
      </c>
      <c r="AN197" s="37">
        <f t="shared" si="191"/>
        <v>8.3074314778185923E-4</v>
      </c>
      <c r="AO197">
        <v>3.6</v>
      </c>
      <c r="AQ197" s="59">
        <v>11.9</v>
      </c>
      <c r="AR197" s="59">
        <f t="shared" si="192"/>
        <v>3.2439765090034592E-3</v>
      </c>
      <c r="AS197">
        <v>19</v>
      </c>
      <c r="AT197" s="37">
        <f t="shared" si="193"/>
        <v>7.1155496606070054E-3</v>
      </c>
      <c r="AU197" t="s">
        <v>780</v>
      </c>
      <c r="AV197" t="s">
        <v>780</v>
      </c>
      <c r="AW197" t="s">
        <v>780</v>
      </c>
      <c r="AX197" t="s">
        <v>780</v>
      </c>
      <c r="AY197" t="s">
        <v>780</v>
      </c>
      <c r="AZ197" t="s">
        <v>780</v>
      </c>
      <c r="BA197" t="s">
        <v>780</v>
      </c>
      <c r="BB197" t="s">
        <v>780</v>
      </c>
      <c r="BC197" t="s">
        <v>780</v>
      </c>
      <c r="BD197" t="s">
        <v>780</v>
      </c>
      <c r="BE197" t="s">
        <v>780</v>
      </c>
      <c r="BF197" t="s">
        <v>780</v>
      </c>
      <c r="BG197" t="s">
        <v>780</v>
      </c>
      <c r="BH197" t="s">
        <v>780</v>
      </c>
      <c r="BI197" t="s">
        <v>780</v>
      </c>
      <c r="BJ197" t="s">
        <v>780</v>
      </c>
      <c r="BK197" t="s">
        <v>780</v>
      </c>
      <c r="BL197" t="s">
        <v>780</v>
      </c>
      <c r="BM197" t="s">
        <v>780</v>
      </c>
      <c r="BN197" t="s">
        <v>780</v>
      </c>
      <c r="BO197" s="58">
        <v>2E-3</v>
      </c>
      <c r="BP197" s="58">
        <v>0.01</v>
      </c>
      <c r="BQ197" s="58">
        <v>0.13</v>
      </c>
      <c r="BR197" s="58">
        <v>5.0000000000000001E-3</v>
      </c>
      <c r="BS197" s="58">
        <v>1E-3</v>
      </c>
      <c r="BT197" s="58">
        <v>1E-3</v>
      </c>
      <c r="BU197" s="58">
        <v>1E-3</v>
      </c>
      <c r="BV197" s="58">
        <v>2E-3</v>
      </c>
      <c r="BW197" s="31">
        <f t="shared" si="194"/>
        <v>7.4900522743231646E-7</v>
      </c>
      <c r="BX197" s="31">
        <f t="shared" si="195"/>
        <v>3.6796110125501018E-6</v>
      </c>
      <c r="BY197" s="31">
        <f t="shared" si="196"/>
        <v>4.8894364827183712E-5</v>
      </c>
      <c r="BZ197" s="31">
        <f t="shared" si="197"/>
        <v>1.8649981951630372E-6</v>
      </c>
      <c r="CA197" s="31">
        <f t="shared" si="198"/>
        <v>3.7030802895135499E-7</v>
      </c>
      <c r="CB197" s="31">
        <f t="shared" si="199"/>
        <v>3.7030802895135499E-7</v>
      </c>
      <c r="CC197" s="31">
        <f t="shared" si="200"/>
        <v>3.6588380716934485E-7</v>
      </c>
      <c r="CD197" s="31">
        <f t="shared" si="201"/>
        <v>7.3176761433868969E-7</v>
      </c>
      <c r="CE197">
        <v>1E-3</v>
      </c>
      <c r="CF197">
        <v>1E-3</v>
      </c>
      <c r="CG197">
        <v>2E-3</v>
      </c>
      <c r="CH197">
        <v>1E-3</v>
      </c>
      <c r="CI197">
        <v>1E-3</v>
      </c>
      <c r="CK197">
        <v>2E-3</v>
      </c>
      <c r="CL197">
        <v>1E-3</v>
      </c>
      <c r="CM197">
        <v>1E-3</v>
      </c>
      <c r="CN197" s="58">
        <f t="shared" si="227"/>
        <v>0.15200000000000002</v>
      </c>
      <c r="CO197" s="58">
        <f t="shared" si="202"/>
        <v>0.15000000000000002</v>
      </c>
      <c r="CP197" s="31">
        <f t="shared" si="203"/>
        <v>5.7026246741739907E-5</v>
      </c>
      <c r="CQ197" s="31">
        <f t="shared" si="204"/>
        <v>5.6277241514307593E-5</v>
      </c>
      <c r="CR197">
        <v>4.2000000000000003E-2</v>
      </c>
      <c r="CS197" t="s">
        <v>69</v>
      </c>
      <c r="CT197" t="s">
        <v>69</v>
      </c>
      <c r="CU197" t="s">
        <v>69</v>
      </c>
      <c r="CV197" t="s">
        <v>69</v>
      </c>
      <c r="CW197">
        <v>5</v>
      </c>
      <c r="CX197" s="2">
        <f t="shared" si="235"/>
        <v>11.942</v>
      </c>
      <c r="CZ197">
        <v>49</v>
      </c>
      <c r="DA197" t="s">
        <v>62</v>
      </c>
      <c r="DB197" t="s">
        <v>88</v>
      </c>
      <c r="DC197">
        <v>13</v>
      </c>
      <c r="DD197" s="37">
        <f t="shared" si="236"/>
        <v>22.08952737872163</v>
      </c>
      <c r="DE197" s="37">
        <f t="shared" si="253"/>
        <v>22.08952737872163</v>
      </c>
      <c r="DF197" s="37">
        <v>0.02</v>
      </c>
      <c r="DG197" s="37">
        <f t="shared" si="237"/>
        <v>3.5810205908683976E-4</v>
      </c>
      <c r="DH197" s="37">
        <f t="shared" si="205"/>
        <v>3.5810205908683976E-4</v>
      </c>
      <c r="DI197" s="37">
        <f t="shared" si="238"/>
        <v>22.10952737872163</v>
      </c>
      <c r="DJ197" s="37">
        <f t="shared" si="206"/>
        <v>0.39587336398785372</v>
      </c>
      <c r="DK197" s="37">
        <f t="shared" si="207"/>
        <v>0.39587336398785372</v>
      </c>
      <c r="DL197" s="55">
        <f t="shared" si="208"/>
        <v>22.08952737872163</v>
      </c>
      <c r="DM197" s="55">
        <f t="shared" si="208"/>
        <v>22.08952737872163</v>
      </c>
      <c r="DN197" s="37">
        <f t="shared" si="209"/>
        <v>22.10952737872163</v>
      </c>
      <c r="DO197" s="55">
        <f t="shared" si="210"/>
        <v>0.39587336398785372</v>
      </c>
      <c r="DP197" s="55">
        <f t="shared" si="211"/>
        <v>0.39587336398785372</v>
      </c>
      <c r="DQ197" s="37">
        <v>0.05</v>
      </c>
      <c r="DR197" s="37">
        <f t="shared" si="212"/>
        <v>9.1024940833788468E-4</v>
      </c>
      <c r="DS197" s="37">
        <f t="shared" si="213"/>
        <v>1.8204988166757694E-3</v>
      </c>
      <c r="DT197" s="37">
        <f t="shared" si="239"/>
        <v>434.90647767705605</v>
      </c>
      <c r="DU197" s="37">
        <f t="shared" si="240"/>
        <v>217.45323883852802</v>
      </c>
      <c r="DV197" s="37">
        <f t="shared" si="241"/>
        <v>22.159527378721631</v>
      </c>
      <c r="DW197" s="37">
        <f t="shared" si="242"/>
        <v>0.39769386280452951</v>
      </c>
      <c r="DX197" t="s">
        <v>780</v>
      </c>
      <c r="DY197" t="s">
        <v>516</v>
      </c>
      <c r="DZ197" s="29">
        <f t="shared" si="252"/>
        <v>170.58823529411762</v>
      </c>
      <c r="EA197" s="30">
        <v>2.9</v>
      </c>
      <c r="EB197" s="30">
        <f t="shared" si="214"/>
        <v>4.6774193548387098E-2</v>
      </c>
      <c r="EC197" s="30">
        <f t="shared" si="215"/>
        <v>0.2338709677419355</v>
      </c>
      <c r="ED197" s="31">
        <f t="shared" si="255"/>
        <v>38</v>
      </c>
      <c r="EE197" s="33">
        <f t="shared" si="254"/>
        <v>52.777777777777779</v>
      </c>
      <c r="EF197" s="37">
        <f t="shared" si="243"/>
        <v>3.1646887362065375</v>
      </c>
      <c r="EG197" s="37">
        <f>$EK186-EK197</f>
        <v>38</v>
      </c>
      <c r="EH197" s="33">
        <f>(EG197/$EK$186)*100</f>
        <v>52.777777777777779</v>
      </c>
      <c r="EI197" s="37">
        <f t="shared" si="251"/>
        <v>3.1646887362065375</v>
      </c>
      <c r="EJ197" s="37">
        <f t="shared" si="256"/>
        <v>3.1646887362065375</v>
      </c>
      <c r="EK197" s="31">
        <v>34</v>
      </c>
      <c r="EL197" s="31">
        <f t="shared" si="216"/>
        <v>0.35394545075994172</v>
      </c>
      <c r="EM197" s="31">
        <f t="shared" si="217"/>
        <v>2.8315636060795337</v>
      </c>
      <c r="EN197" s="32">
        <f t="shared" si="244"/>
        <v>3.0654345738214692</v>
      </c>
      <c r="EO197" s="39">
        <f t="shared" si="248"/>
        <v>3.5623825990110669</v>
      </c>
      <c r="EP197" s="37">
        <f t="shared" si="245"/>
        <v>5.1103405265373462E-4</v>
      </c>
      <c r="EQ197" s="37">
        <f t="shared" si="246"/>
        <v>0.11112600990633345</v>
      </c>
      <c r="ER197" s="37">
        <f t="shared" si="247"/>
        <v>0.88836295604101279</v>
      </c>
      <c r="ES197" s="39">
        <f t="shared" si="219"/>
        <v>3.5623825990110669</v>
      </c>
      <c r="ET197" s="55">
        <f t="shared" si="220"/>
        <v>11.112600990633345</v>
      </c>
      <c r="EU197" s="55">
        <f t="shared" si="221"/>
        <v>5.1103405265373464E-2</v>
      </c>
      <c r="EV197" s="55">
        <f t="shared" si="222"/>
        <v>88.836295604101281</v>
      </c>
      <c r="EW197" t="s">
        <v>262</v>
      </c>
      <c r="EX197">
        <v>12</v>
      </c>
      <c r="EY197">
        <v>58</v>
      </c>
      <c r="EZ197" t="s">
        <v>200</v>
      </c>
      <c r="FA197">
        <v>547</v>
      </c>
      <c r="FB197" t="s">
        <v>72</v>
      </c>
      <c r="FC197" t="s">
        <v>88</v>
      </c>
      <c r="FD197" s="39">
        <f t="shared" si="223"/>
        <v>-3.5520230728414566</v>
      </c>
      <c r="FE197" s="39">
        <f t="shared" si="224"/>
        <v>-3.5519667955999421</v>
      </c>
      <c r="FF197" s="39">
        <f t="shared" si="225"/>
        <v>-3.5520230728414566</v>
      </c>
      <c r="FG197" s="39">
        <f t="shared" si="226"/>
        <v>-3.5519667955999421</v>
      </c>
    </row>
    <row r="198" spans="1:163" ht="15.75" x14ac:dyDescent="0.25">
      <c r="A198" s="3" t="s">
        <v>455</v>
      </c>
      <c r="B198" s="3" t="s">
        <v>455</v>
      </c>
      <c r="C198" s="3" t="s">
        <v>987</v>
      </c>
      <c r="D198" s="3" t="s">
        <v>987</v>
      </c>
      <c r="E198" s="21" t="s">
        <v>1459</v>
      </c>
      <c r="F198" s="3" t="s">
        <v>1027</v>
      </c>
      <c r="G198" s="3" t="s">
        <v>773</v>
      </c>
      <c r="H198" s="3" t="str">
        <f t="shared" si="257"/>
        <v>CW_2_Section_2</v>
      </c>
      <c r="I198" s="3" t="str">
        <f t="shared" si="258"/>
        <v>CW_2_MF05</v>
      </c>
      <c r="J198" s="3" t="s">
        <v>1496</v>
      </c>
      <c r="K198" s="3" t="s">
        <v>1484</v>
      </c>
      <c r="L198" s="11" t="s">
        <v>1080</v>
      </c>
      <c r="M198" s="3" t="s">
        <v>1015</v>
      </c>
      <c r="N198" s="3" t="s">
        <v>1015</v>
      </c>
      <c r="O198" s="12" t="s">
        <v>1016</v>
      </c>
      <c r="P198" s="3" t="s">
        <v>1460</v>
      </c>
      <c r="Q198" s="3" t="s">
        <v>1018</v>
      </c>
      <c r="R198" s="3" t="s">
        <v>1435</v>
      </c>
      <c r="S198" s="3" t="str">
        <f t="shared" si="259"/>
        <v>T8_0.15-0.30</v>
      </c>
      <c r="T198" s="13" t="s">
        <v>1436</v>
      </c>
      <c r="U198" s="3" t="s">
        <v>1160</v>
      </c>
      <c r="V198" s="3">
        <v>150</v>
      </c>
      <c r="W198" s="3">
        <v>65</v>
      </c>
      <c r="X198" s="14">
        <v>6.7</v>
      </c>
      <c r="Y198" s="3">
        <v>197</v>
      </c>
      <c r="Z198" t="s">
        <v>751</v>
      </c>
      <c r="AA198" t="s">
        <v>176</v>
      </c>
      <c r="AB198" s="1">
        <v>46008</v>
      </c>
      <c r="AC198">
        <v>7.3</v>
      </c>
      <c r="AD198">
        <v>7.5</v>
      </c>
      <c r="AE198">
        <v>21</v>
      </c>
      <c r="AF198" s="37">
        <f t="shared" si="187"/>
        <v>8.0655485853283818E-3</v>
      </c>
      <c r="AG198">
        <v>2.8</v>
      </c>
      <c r="AH198" s="37">
        <f t="shared" si="188"/>
        <v>1.0939874104623399E-3</v>
      </c>
      <c r="AI198">
        <v>48</v>
      </c>
      <c r="AJ198" s="37">
        <f t="shared" si="189"/>
        <v>1.8988414806442498E-2</v>
      </c>
      <c r="AK198">
        <v>22</v>
      </c>
      <c r="AL198" s="37">
        <f t="shared" si="190"/>
        <v>8.7030234529528114E-3</v>
      </c>
      <c r="AM198">
        <v>9.1999999999999993</v>
      </c>
      <c r="AN198" s="37">
        <f t="shared" si="191"/>
        <v>3.6394461712348117E-3</v>
      </c>
      <c r="AO198">
        <v>31.2</v>
      </c>
      <c r="AQ198" s="59">
        <v>103</v>
      </c>
      <c r="AR198" s="59">
        <f t="shared" si="192"/>
        <v>2.8147950802233222E-2</v>
      </c>
      <c r="AS198">
        <v>93</v>
      </c>
      <c r="AT198" s="37">
        <f t="shared" si="193"/>
        <v>3.4828743075602714E-2</v>
      </c>
      <c r="AU198" t="s">
        <v>780</v>
      </c>
      <c r="AV198" t="s">
        <v>780</v>
      </c>
      <c r="AW198" t="s">
        <v>780</v>
      </c>
      <c r="AX198" t="s">
        <v>780</v>
      </c>
      <c r="AY198" t="s">
        <v>780</v>
      </c>
      <c r="AZ198" t="s">
        <v>780</v>
      </c>
      <c r="BA198" t="s">
        <v>780</v>
      </c>
      <c r="BB198" t="s">
        <v>780</v>
      </c>
      <c r="BC198" t="s">
        <v>780</v>
      </c>
      <c r="BD198" t="s">
        <v>780</v>
      </c>
      <c r="BE198" t="s">
        <v>780</v>
      </c>
      <c r="BF198" t="s">
        <v>780</v>
      </c>
      <c r="BG198" t="s">
        <v>780</v>
      </c>
      <c r="BH198" t="s">
        <v>780</v>
      </c>
      <c r="BI198" t="s">
        <v>780</v>
      </c>
      <c r="BJ198" t="s">
        <v>780</v>
      </c>
      <c r="BK198" t="s">
        <v>780</v>
      </c>
      <c r="BL198" t="s">
        <v>780</v>
      </c>
      <c r="BM198" t="s">
        <v>780</v>
      </c>
      <c r="BN198" t="s">
        <v>780</v>
      </c>
      <c r="BO198" s="58">
        <v>92</v>
      </c>
      <c r="BP198" s="58">
        <v>0.11</v>
      </c>
      <c r="BQ198" s="58">
        <v>0.34</v>
      </c>
      <c r="BR198" s="58">
        <v>0.08</v>
      </c>
      <c r="BS198" s="58">
        <v>0.04</v>
      </c>
      <c r="BT198" s="58">
        <v>1E-3</v>
      </c>
      <c r="BU198" s="58">
        <v>1E-3</v>
      </c>
      <c r="BV198" s="58">
        <v>2E-3</v>
      </c>
      <c r="BW198" s="31">
        <f t="shared" si="194"/>
        <v>3.4454240461886554E-2</v>
      </c>
      <c r="BX198" s="31">
        <f t="shared" si="195"/>
        <v>4.0475721138051117E-5</v>
      </c>
      <c r="BY198" s="31">
        <f t="shared" si="196"/>
        <v>1.2787756954801895E-4</v>
      </c>
      <c r="BZ198" s="31">
        <f t="shared" si="197"/>
        <v>2.9839971122608595E-5</v>
      </c>
      <c r="CA198" s="31">
        <f t="shared" si="198"/>
        <v>1.4812321158054199E-5</v>
      </c>
      <c r="CB198" s="31">
        <f t="shared" si="199"/>
        <v>3.7030802895135499E-7</v>
      </c>
      <c r="CC198" s="31">
        <f t="shared" si="200"/>
        <v>3.6588380716934485E-7</v>
      </c>
      <c r="CD198" s="31">
        <f t="shared" si="201"/>
        <v>7.3176761433868969E-7</v>
      </c>
      <c r="CE198">
        <v>1E-3</v>
      </c>
      <c r="CF198">
        <v>1E-3</v>
      </c>
      <c r="CG198">
        <v>2E-3</v>
      </c>
      <c r="CH198">
        <v>1E-3</v>
      </c>
      <c r="CI198">
        <v>1E-3</v>
      </c>
      <c r="CK198">
        <v>2E-3</v>
      </c>
      <c r="CL198">
        <v>1E-3</v>
      </c>
      <c r="CM198">
        <v>1E-3</v>
      </c>
      <c r="CN198" s="58">
        <f t="shared" si="227"/>
        <v>92.574000000000012</v>
      </c>
      <c r="CO198" s="58">
        <f t="shared" si="202"/>
        <v>0.57400000000000007</v>
      </c>
      <c r="CP198" s="31">
        <f t="shared" si="203"/>
        <v>3.4668714004303741E-2</v>
      </c>
      <c r="CQ198" s="31">
        <f t="shared" si="204"/>
        <v>2.1447354241719229E-4</v>
      </c>
      <c r="CR198">
        <v>93</v>
      </c>
      <c r="CS198">
        <v>180</v>
      </c>
      <c r="CT198" t="s">
        <v>69</v>
      </c>
      <c r="CU198" t="s">
        <v>69</v>
      </c>
      <c r="CV198" t="s">
        <v>69</v>
      </c>
      <c r="CW198">
        <v>200</v>
      </c>
      <c r="CX198" s="2">
        <f t="shared" si="235"/>
        <v>196</v>
      </c>
      <c r="CZ198">
        <v>48</v>
      </c>
      <c r="DA198" t="s">
        <v>62</v>
      </c>
      <c r="DB198" t="s">
        <v>88</v>
      </c>
      <c r="DC198" t="s">
        <v>782</v>
      </c>
      <c r="DD198" s="37">
        <f t="shared" si="236"/>
        <v>35.459504476368934</v>
      </c>
      <c r="DE198" s="37">
        <f t="shared" si="253"/>
        <v>35.459504476368934</v>
      </c>
      <c r="DF198" s="37">
        <v>17</v>
      </c>
      <c r="DG198" s="37">
        <f t="shared" si="237"/>
        <v>0.30438675022381378</v>
      </c>
      <c r="DH198" s="37">
        <f t="shared" si="205"/>
        <v>0.30438675022381378</v>
      </c>
      <c r="DI198" s="37">
        <f t="shared" si="238"/>
        <v>52.459504476368934</v>
      </c>
      <c r="DJ198" s="37">
        <f t="shared" si="206"/>
        <v>0.93929282858315011</v>
      </c>
      <c r="DK198" s="37">
        <f t="shared" si="207"/>
        <v>0.93929282858315011</v>
      </c>
      <c r="DL198" s="55">
        <f t="shared" si="208"/>
        <v>18.020403914220278</v>
      </c>
      <c r="DM198" s="55">
        <f t="shared" si="208"/>
        <v>18.020403914220278</v>
      </c>
      <c r="DN198" s="37">
        <f t="shared" si="209"/>
        <v>35.020403914220282</v>
      </c>
      <c r="DO198" s="55">
        <f t="shared" si="210"/>
        <v>0.62704393758675525</v>
      </c>
      <c r="DP198" s="55">
        <f t="shared" si="211"/>
        <v>0.62704393758675525</v>
      </c>
      <c r="DQ198" s="37">
        <v>1.1000000000000001</v>
      </c>
      <c r="DR198" s="37">
        <f t="shared" si="212"/>
        <v>2.0025486983433462E-2</v>
      </c>
      <c r="DS198" s="37">
        <f t="shared" si="213"/>
        <v>4.0050973966866923E-2</v>
      </c>
      <c r="DT198" s="37">
        <f t="shared" si="239"/>
        <v>46.904868249156756</v>
      </c>
      <c r="DU198" s="37">
        <f t="shared" si="240"/>
        <v>23.452434124578378</v>
      </c>
      <c r="DV198" s="37">
        <f t="shared" si="241"/>
        <v>53.559504476368936</v>
      </c>
      <c r="DW198" s="37">
        <f t="shared" si="242"/>
        <v>0.97934380255001707</v>
      </c>
      <c r="DX198" t="s">
        <v>780</v>
      </c>
      <c r="DY198" t="s">
        <v>121</v>
      </c>
      <c r="DZ198" s="29">
        <f t="shared" si="252"/>
        <v>1</v>
      </c>
      <c r="EA198" s="30">
        <v>1.7000000000000001E-2</v>
      </c>
      <c r="EB198" s="30">
        <f t="shared" si="214"/>
        <v>2.741935483870968E-4</v>
      </c>
      <c r="EC198" s="30">
        <f t="shared" si="215"/>
        <v>1.370967741935484E-3</v>
      </c>
      <c r="ED198" s="31">
        <f t="shared" si="255"/>
        <v>61</v>
      </c>
      <c r="EE198" s="33">
        <f t="shared" si="254"/>
        <v>84.722222222222214</v>
      </c>
      <c r="EF198" s="37">
        <f t="shared" si="243"/>
        <v>5.0801582344368104</v>
      </c>
      <c r="EG198" s="37">
        <f>$EK196-EK198</f>
        <v>31</v>
      </c>
      <c r="EH198" s="33">
        <f>(EG198/$EK196)*100</f>
        <v>73.80952380952381</v>
      </c>
      <c r="EI198" s="37">
        <f t="shared" si="251"/>
        <v>2.5817197584842808</v>
      </c>
      <c r="EJ198" s="37">
        <f t="shared" si="256"/>
        <v>2.5817197584842808</v>
      </c>
      <c r="EK198" s="31">
        <v>11</v>
      </c>
      <c r="EL198" s="31">
        <f t="shared" si="216"/>
        <v>0.1145117634811576</v>
      </c>
      <c r="EM198" s="31">
        <f t="shared" si="217"/>
        <v>0.91609410784926082</v>
      </c>
      <c r="EN198" s="32">
        <f t="shared" si="244"/>
        <v>0.91746507559119628</v>
      </c>
      <c r="EO198" s="39">
        <f t="shared" si="248"/>
        <v>6.0595020369868271</v>
      </c>
      <c r="EP198" s="37">
        <f t="shared" si="245"/>
        <v>6.6096147377124794E-3</v>
      </c>
      <c r="EQ198" s="37">
        <f t="shared" si="246"/>
        <v>0.15501155422504434</v>
      </c>
      <c r="ER198" s="37">
        <f t="shared" si="247"/>
        <v>0.8383788310372432</v>
      </c>
      <c r="ES198" s="39">
        <f t="shared" si="219"/>
        <v>3.2488146700379028</v>
      </c>
      <c r="ET198" s="55">
        <f t="shared" si="220"/>
        <v>19.300698909348366</v>
      </c>
      <c r="EU198" s="55">
        <f t="shared" si="221"/>
        <v>1.2327872788877692</v>
      </c>
      <c r="EV198" s="55">
        <f t="shared" si="222"/>
        <v>79.466513811763875</v>
      </c>
      <c r="EW198" t="s">
        <v>752</v>
      </c>
      <c r="EX198">
        <v>9</v>
      </c>
      <c r="EY198">
        <v>52</v>
      </c>
      <c r="EZ198" t="s">
        <v>200</v>
      </c>
      <c r="FA198">
        <v>669</v>
      </c>
      <c r="FB198" t="s">
        <v>72</v>
      </c>
      <c r="FC198" t="s">
        <v>88</v>
      </c>
      <c r="FD198" s="39">
        <f t="shared" si="223"/>
        <v>-5.9965253431089911</v>
      </c>
      <c r="FE198" s="39">
        <f t="shared" si="224"/>
        <v>-5.9963108695665737</v>
      </c>
      <c r="FF198" s="39">
        <f t="shared" si="225"/>
        <v>-3.1858379761600668</v>
      </c>
      <c r="FG198" s="39">
        <f t="shared" si="226"/>
        <v>-3.1856235026176498</v>
      </c>
    </row>
    <row r="199" spans="1:163" ht="15.75" x14ac:dyDescent="0.25">
      <c r="A199" s="3" t="s">
        <v>456</v>
      </c>
      <c r="B199" s="3" t="s">
        <v>456</v>
      </c>
      <c r="C199" s="3" t="s">
        <v>988</v>
      </c>
      <c r="D199" s="3" t="s">
        <v>988</v>
      </c>
      <c r="E199" s="21" t="s">
        <v>1461</v>
      </c>
      <c r="F199" s="3" t="s">
        <v>1027</v>
      </c>
      <c r="G199" s="3" t="s">
        <v>773</v>
      </c>
      <c r="H199" s="3" t="str">
        <f t="shared" si="257"/>
        <v>CW_2_Section_2</v>
      </c>
      <c r="I199" s="3" t="str">
        <f t="shared" si="258"/>
        <v>CW_2_MF06</v>
      </c>
      <c r="J199" s="3" t="s">
        <v>1497</v>
      </c>
      <c r="K199" s="3" t="s">
        <v>1484</v>
      </c>
      <c r="L199" s="11" t="s">
        <v>1083</v>
      </c>
      <c r="M199" s="3" t="s">
        <v>1024</v>
      </c>
      <c r="N199" s="3" t="s">
        <v>1024</v>
      </c>
      <c r="O199" s="12" t="s">
        <v>1016</v>
      </c>
      <c r="P199" s="3" t="s">
        <v>1462</v>
      </c>
      <c r="Q199" s="3" t="s">
        <v>1018</v>
      </c>
      <c r="R199" s="3" t="s">
        <v>1435</v>
      </c>
      <c r="S199" s="3" t="str">
        <f t="shared" si="259"/>
        <v>T8_0.60-0.80</v>
      </c>
      <c r="T199" s="13" t="s">
        <v>1436</v>
      </c>
      <c r="U199" s="3" t="s">
        <v>1160</v>
      </c>
      <c r="V199" s="3">
        <v>150</v>
      </c>
      <c r="W199" s="3">
        <v>65</v>
      </c>
      <c r="X199" s="14">
        <v>4</v>
      </c>
      <c r="Y199" s="3">
        <v>198</v>
      </c>
      <c r="Z199" t="s">
        <v>753</v>
      </c>
      <c r="AA199" t="s">
        <v>186</v>
      </c>
      <c r="AB199" s="1">
        <v>46008</v>
      </c>
      <c r="AC199">
        <v>4.7</v>
      </c>
      <c r="AD199">
        <v>4.8</v>
      </c>
      <c r="AE199">
        <v>2.2999999999999998</v>
      </c>
      <c r="AF199" s="37">
        <f t="shared" si="187"/>
        <v>8.8336960696453718E-4</v>
      </c>
      <c r="AG199">
        <v>1.3</v>
      </c>
      <c r="AH199" s="37">
        <f t="shared" si="188"/>
        <v>5.0792272628608645E-4</v>
      </c>
      <c r="AI199">
        <v>5.5</v>
      </c>
      <c r="AJ199" s="37">
        <f t="shared" si="189"/>
        <v>2.1757558632382028E-3</v>
      </c>
      <c r="AK199">
        <v>2.2000000000000002</v>
      </c>
      <c r="AL199" s="37">
        <f t="shared" si="190"/>
        <v>8.7030234529528118E-4</v>
      </c>
      <c r="AM199">
        <v>0.2</v>
      </c>
      <c r="AN199" s="37">
        <f t="shared" si="191"/>
        <v>7.9118395026843739E-5</v>
      </c>
      <c r="AO199">
        <v>3.6</v>
      </c>
      <c r="AQ199" s="59">
        <v>12.7</v>
      </c>
      <c r="AR199" s="59">
        <f t="shared" si="192"/>
        <v>3.5670481964888267E-3</v>
      </c>
      <c r="AS199">
        <v>70</v>
      </c>
      <c r="AT199" s="37">
        <f t="shared" si="193"/>
        <v>2.6215182960131075E-2</v>
      </c>
      <c r="AU199" t="s">
        <v>780</v>
      </c>
      <c r="AV199" t="s">
        <v>780</v>
      </c>
      <c r="AW199" t="s">
        <v>780</v>
      </c>
      <c r="AX199" t="s">
        <v>780</v>
      </c>
      <c r="AY199" t="s">
        <v>780</v>
      </c>
      <c r="AZ199" t="s">
        <v>780</v>
      </c>
      <c r="BA199" t="s">
        <v>780</v>
      </c>
      <c r="BB199" t="s">
        <v>780</v>
      </c>
      <c r="BC199" t="s">
        <v>780</v>
      </c>
      <c r="BD199" t="s">
        <v>780</v>
      </c>
      <c r="BE199" t="s">
        <v>780</v>
      </c>
      <c r="BF199" t="s">
        <v>780</v>
      </c>
      <c r="BG199" t="s">
        <v>780</v>
      </c>
      <c r="BH199" t="s">
        <v>780</v>
      </c>
      <c r="BI199" t="s">
        <v>780</v>
      </c>
      <c r="BJ199" t="s">
        <v>780</v>
      </c>
      <c r="BK199" t="s">
        <v>780</v>
      </c>
      <c r="BL199" t="s">
        <v>780</v>
      </c>
      <c r="BM199" t="s">
        <v>780</v>
      </c>
      <c r="BN199" t="s">
        <v>780</v>
      </c>
      <c r="BO199" s="58">
        <v>93</v>
      </c>
      <c r="BP199" s="58">
        <v>3.7</v>
      </c>
      <c r="BQ199" s="58">
        <v>1</v>
      </c>
      <c r="BR199" s="58">
        <v>2.5</v>
      </c>
      <c r="BS199" s="58">
        <v>1.7</v>
      </c>
      <c r="BT199" s="58">
        <v>0.25</v>
      </c>
      <c r="BU199" s="58">
        <v>0.03</v>
      </c>
      <c r="BV199" s="58">
        <v>0.02</v>
      </c>
      <c r="BW199" s="31">
        <f t="shared" si="194"/>
        <v>3.4828743075602714E-2</v>
      </c>
      <c r="BX199" s="31">
        <f t="shared" si="195"/>
        <v>1.3614560746435377E-3</v>
      </c>
      <c r="BY199" s="31">
        <f t="shared" si="196"/>
        <v>3.7611049867064392E-4</v>
      </c>
      <c r="BZ199" s="31">
        <f t="shared" si="197"/>
        <v>9.3249909758151843E-4</v>
      </c>
      <c r="CA199" s="31">
        <f t="shared" si="198"/>
        <v>6.295236492173035E-4</v>
      </c>
      <c r="CB199" s="31">
        <f t="shared" si="199"/>
        <v>9.2577007237838751E-5</v>
      </c>
      <c r="CC199" s="31">
        <f t="shared" si="200"/>
        <v>1.0976514215080345E-5</v>
      </c>
      <c r="CD199" s="31">
        <f t="shared" si="201"/>
        <v>7.3176761433868973E-6</v>
      </c>
      <c r="CE199">
        <v>1E-3</v>
      </c>
      <c r="CF199">
        <v>1E-3</v>
      </c>
      <c r="CG199">
        <v>2E-3</v>
      </c>
      <c r="CH199">
        <v>1E-3</v>
      </c>
      <c r="CI199">
        <v>1E-3</v>
      </c>
      <c r="CK199">
        <v>2E-3</v>
      </c>
      <c r="CL199">
        <v>1E-3</v>
      </c>
      <c r="CM199">
        <v>1E-3</v>
      </c>
      <c r="CN199" s="58">
        <f t="shared" si="227"/>
        <v>102.2</v>
      </c>
      <c r="CO199" s="58">
        <f t="shared" si="202"/>
        <v>9.1999999999999993</v>
      </c>
      <c r="CP199" s="31">
        <f t="shared" si="203"/>
        <v>3.8239203593312024E-2</v>
      </c>
      <c r="CQ199" s="31">
        <f t="shared" si="204"/>
        <v>3.41046051770931E-3</v>
      </c>
      <c r="CR199">
        <v>100</v>
      </c>
      <c r="CS199">
        <v>140</v>
      </c>
      <c r="CT199">
        <v>60</v>
      </c>
      <c r="CU199" t="s">
        <v>69</v>
      </c>
      <c r="CV199" t="s">
        <v>69</v>
      </c>
      <c r="CW199">
        <v>190</v>
      </c>
      <c r="CX199" s="2">
        <f t="shared" si="235"/>
        <v>112.7</v>
      </c>
      <c r="CZ199">
        <v>49</v>
      </c>
      <c r="DA199" t="s">
        <v>62</v>
      </c>
      <c r="DB199" t="s">
        <v>88</v>
      </c>
      <c r="DC199">
        <v>7</v>
      </c>
      <c r="DD199" s="37">
        <f t="shared" si="236"/>
        <v>21.508224026650009</v>
      </c>
      <c r="DE199" s="37">
        <f t="shared" si="253"/>
        <v>21.508224026650009</v>
      </c>
      <c r="DF199" s="37">
        <v>1</v>
      </c>
      <c r="DG199" s="37">
        <f t="shared" si="237"/>
        <v>1.7905102954341987E-2</v>
      </c>
      <c r="DH199" s="37">
        <f t="shared" si="205"/>
        <v>1.7905102954341987E-2</v>
      </c>
      <c r="DI199" s="37">
        <f t="shared" si="238"/>
        <v>22.508224026650009</v>
      </c>
      <c r="DJ199" s="37">
        <f t="shared" si="206"/>
        <v>0.40301206851656235</v>
      </c>
      <c r="DK199" s="37">
        <f t="shared" si="207"/>
        <v>0.40301206851656235</v>
      </c>
      <c r="DL199" s="55">
        <f t="shared" si="208"/>
        <v>-0.58130335207162187</v>
      </c>
      <c r="DN199" s="37">
        <f t="shared" si="209"/>
        <v>1</v>
      </c>
      <c r="DO199" s="55">
        <f t="shared" si="210"/>
        <v>1.7905102954341987E-2</v>
      </c>
      <c r="DP199" s="55">
        <f t="shared" si="211"/>
        <v>1.7905102954341987E-2</v>
      </c>
      <c r="DQ199" s="37">
        <v>0.05</v>
      </c>
      <c r="DR199" s="37">
        <f t="shared" si="212"/>
        <v>9.1024940833788468E-4</v>
      </c>
      <c r="DS199" s="37">
        <f t="shared" si="213"/>
        <v>1.8204988166757694E-3</v>
      </c>
      <c r="DT199" s="37">
        <f t="shared" si="239"/>
        <v>442.74905847229536</v>
      </c>
      <c r="DU199" s="37">
        <f t="shared" si="240"/>
        <v>221.37452923614768</v>
      </c>
      <c r="DV199" s="37">
        <f t="shared" si="241"/>
        <v>22.558224026650009</v>
      </c>
      <c r="DW199" s="37">
        <f t="shared" si="242"/>
        <v>0.40483256733323814</v>
      </c>
      <c r="DX199" t="s">
        <v>780</v>
      </c>
      <c r="DY199" t="s">
        <v>222</v>
      </c>
      <c r="DZ199" s="29">
        <f t="shared" si="252"/>
        <v>94.117647058823522</v>
      </c>
      <c r="EA199" s="30">
        <v>1.6</v>
      </c>
      <c r="EB199" s="30">
        <f t="shared" si="214"/>
        <v>2.5806451612903226E-2</v>
      </c>
      <c r="EC199" s="30">
        <f t="shared" si="215"/>
        <v>0.12903225806451613</v>
      </c>
      <c r="ED199" s="31">
        <f t="shared" si="255"/>
        <v>37</v>
      </c>
      <c r="EE199" s="33">
        <f t="shared" si="254"/>
        <v>51.388888888888886</v>
      </c>
      <c r="EF199" s="37">
        <f t="shared" si="243"/>
        <v>3.0814074536747866</v>
      </c>
      <c r="EG199" s="37">
        <f>$EK197-EK199</f>
        <v>-1</v>
      </c>
      <c r="EH199" s="33">
        <f>(EG199/$EK197)*100</f>
        <v>-2.9411764705882351</v>
      </c>
      <c r="EI199" s="37">
        <f t="shared" si="251"/>
        <v>-8.3281282531750989E-2</v>
      </c>
      <c r="EJ199" s="37"/>
      <c r="EK199" s="31">
        <v>35</v>
      </c>
      <c r="EL199" s="31">
        <f t="shared" si="216"/>
        <v>0.36435561107641057</v>
      </c>
      <c r="EM199" s="31">
        <f t="shared" si="217"/>
        <v>2.9148448886112845</v>
      </c>
      <c r="EN199" s="32">
        <f t="shared" si="244"/>
        <v>3.0438771466758006</v>
      </c>
      <c r="EO199" s="39">
        <f t="shared" si="248"/>
        <v>3.4862400210080247</v>
      </c>
      <c r="EP199" s="37">
        <f t="shared" si="245"/>
        <v>5.2219549018583738E-4</v>
      </c>
      <c r="EQ199" s="37">
        <f t="shared" si="246"/>
        <v>0.11560078080912911</v>
      </c>
      <c r="ER199" s="37">
        <f t="shared" si="247"/>
        <v>0.8838770237006851</v>
      </c>
      <c r="ES199" s="39">
        <f t="shared" si="219"/>
        <v>1.9725601771017755E-2</v>
      </c>
      <c r="ET199" s="55">
        <f t="shared" si="220"/>
        <v>90.770883252086264</v>
      </c>
      <c r="EU199" s="55">
        <f t="shared" si="221"/>
        <v>9.229116747913741</v>
      </c>
      <c r="EV199" s="55">
        <f t="shared" si="222"/>
        <v>0</v>
      </c>
      <c r="EW199" t="s">
        <v>754</v>
      </c>
      <c r="EX199">
        <v>10</v>
      </c>
      <c r="EY199">
        <v>-20</v>
      </c>
      <c r="EZ199" t="s">
        <v>147</v>
      </c>
      <c r="FA199">
        <v>594</v>
      </c>
      <c r="FB199" t="s">
        <v>72</v>
      </c>
      <c r="FC199" t="s">
        <v>88</v>
      </c>
      <c r="FD199" s="39">
        <f t="shared" si="223"/>
        <v>-3.4564577898514046</v>
      </c>
      <c r="FE199" s="39">
        <f t="shared" si="224"/>
        <v>-3.4530473293336956</v>
      </c>
      <c r="FF199" s="39">
        <f t="shared" si="225"/>
        <v>1.0056629385602148E-2</v>
      </c>
      <c r="FG199" s="39">
        <f t="shared" si="226"/>
        <v>1.3467089903311458E-2</v>
      </c>
    </row>
    <row r="200" spans="1:163" ht="15.75" x14ac:dyDescent="0.25">
      <c r="A200" s="3" t="s">
        <v>457</v>
      </c>
      <c r="B200" s="3" t="s">
        <v>457</v>
      </c>
      <c r="C200" s="3" t="s">
        <v>989</v>
      </c>
      <c r="D200" s="3" t="s">
        <v>989</v>
      </c>
      <c r="E200" s="21" t="s">
        <v>1463</v>
      </c>
      <c r="F200" s="3" t="s">
        <v>1034</v>
      </c>
      <c r="G200" s="3" t="s">
        <v>773</v>
      </c>
      <c r="H200" s="3" t="str">
        <f t="shared" si="257"/>
        <v>CW_2_Section_3</v>
      </c>
      <c r="I200" s="3" t="str">
        <f t="shared" si="258"/>
        <v>CW_2_MF09</v>
      </c>
      <c r="J200" s="3" t="s">
        <v>1492</v>
      </c>
      <c r="K200" s="3" t="s">
        <v>1484</v>
      </c>
      <c r="L200" s="11" t="s">
        <v>1086</v>
      </c>
      <c r="M200" s="3" t="s">
        <v>1015</v>
      </c>
      <c r="N200" s="3" t="s">
        <v>1015</v>
      </c>
      <c r="O200" s="12" t="s">
        <v>1016</v>
      </c>
      <c r="P200" s="3" t="s">
        <v>1464</v>
      </c>
      <c r="Q200" s="3" t="s">
        <v>1018</v>
      </c>
      <c r="R200" s="3" t="s">
        <v>1435</v>
      </c>
      <c r="S200" s="3" t="str">
        <f t="shared" si="259"/>
        <v>T8_0.15-0.30</v>
      </c>
      <c r="T200" s="13" t="s">
        <v>1436</v>
      </c>
      <c r="U200" s="3" t="s">
        <v>1160</v>
      </c>
      <c r="V200" s="3">
        <v>150</v>
      </c>
      <c r="W200" s="3">
        <v>65</v>
      </c>
      <c r="X200" s="14">
        <v>7.4</v>
      </c>
      <c r="Y200" s="3">
        <v>199</v>
      </c>
      <c r="Z200" t="s">
        <v>755</v>
      </c>
      <c r="AA200" t="s">
        <v>219</v>
      </c>
      <c r="AB200" s="1">
        <v>46008</v>
      </c>
      <c r="AC200">
        <v>18</v>
      </c>
      <c r="AD200">
        <v>18</v>
      </c>
      <c r="AE200">
        <v>59</v>
      </c>
      <c r="AF200" s="37">
        <f t="shared" si="187"/>
        <v>2.2660350787351173E-2</v>
      </c>
      <c r="AG200">
        <v>5.7</v>
      </c>
      <c r="AH200" s="37">
        <f t="shared" si="188"/>
        <v>2.2270457998697633E-3</v>
      </c>
      <c r="AI200">
        <v>59</v>
      </c>
      <c r="AJ200" s="37">
        <f t="shared" si="189"/>
        <v>2.3339926532918904E-2</v>
      </c>
      <c r="AK200">
        <v>32</v>
      </c>
      <c r="AL200" s="37">
        <f t="shared" si="190"/>
        <v>1.2658943204294998E-2</v>
      </c>
      <c r="AM200">
        <v>24</v>
      </c>
      <c r="AN200" s="37">
        <f t="shared" si="191"/>
        <v>9.4942074032212491E-3</v>
      </c>
      <c r="AO200">
        <v>56</v>
      </c>
      <c r="AQ200" s="59">
        <v>179.7</v>
      </c>
      <c r="AR200" s="59">
        <f t="shared" si="192"/>
        <v>4.8227323120139845E-2</v>
      </c>
      <c r="AS200">
        <v>620</v>
      </c>
      <c r="AT200" s="37">
        <f t="shared" si="193"/>
        <v>0.23219162050401809</v>
      </c>
      <c r="AU200" t="s">
        <v>780</v>
      </c>
      <c r="AV200" t="s">
        <v>780</v>
      </c>
      <c r="AW200" t="s">
        <v>780</v>
      </c>
      <c r="AX200" t="s">
        <v>780</v>
      </c>
      <c r="AY200" t="s">
        <v>780</v>
      </c>
      <c r="AZ200" t="s">
        <v>780</v>
      </c>
      <c r="BA200" t="s">
        <v>780</v>
      </c>
      <c r="BB200" t="s">
        <v>780</v>
      </c>
      <c r="BC200" t="s">
        <v>780</v>
      </c>
      <c r="BD200" t="s">
        <v>780</v>
      </c>
      <c r="BE200" t="s">
        <v>780</v>
      </c>
      <c r="BF200" t="s">
        <v>780</v>
      </c>
      <c r="BG200" t="s">
        <v>780</v>
      </c>
      <c r="BH200" t="s">
        <v>780</v>
      </c>
      <c r="BI200" t="s">
        <v>780</v>
      </c>
      <c r="BJ200" t="s">
        <v>780</v>
      </c>
      <c r="BK200" t="s">
        <v>780</v>
      </c>
      <c r="BL200" t="s">
        <v>780</v>
      </c>
      <c r="BM200" t="s">
        <v>780</v>
      </c>
      <c r="BN200" t="s">
        <v>780</v>
      </c>
      <c r="BO200" s="58">
        <v>470</v>
      </c>
      <c r="BP200" s="58">
        <v>0.16</v>
      </c>
      <c r="BQ200" s="58">
        <v>0.39</v>
      </c>
      <c r="BR200" s="58">
        <v>7.0000000000000007E-2</v>
      </c>
      <c r="BS200" s="58">
        <v>0.03</v>
      </c>
      <c r="BT200" s="58">
        <v>1E-3</v>
      </c>
      <c r="BU200" s="58">
        <v>1E-3</v>
      </c>
      <c r="BV200" s="58">
        <v>2E-3</v>
      </c>
      <c r="BW200" s="31">
        <f t="shared" si="194"/>
        <v>0.17601622844659437</v>
      </c>
      <c r="BX200" s="31">
        <f t="shared" si="195"/>
        <v>5.8873776200801628E-5</v>
      </c>
      <c r="BY200" s="31">
        <f t="shared" si="196"/>
        <v>1.4668309448155113E-4</v>
      </c>
      <c r="BZ200" s="31">
        <f t="shared" si="197"/>
        <v>2.6109974732282519E-5</v>
      </c>
      <c r="CA200" s="31">
        <f t="shared" si="198"/>
        <v>1.110924086854065E-5</v>
      </c>
      <c r="CB200" s="31">
        <f t="shared" si="199"/>
        <v>3.7030802895135499E-7</v>
      </c>
      <c r="CC200" s="31">
        <f t="shared" si="200"/>
        <v>3.6588380716934485E-7</v>
      </c>
      <c r="CD200" s="31">
        <f t="shared" si="201"/>
        <v>7.3176761433868969E-7</v>
      </c>
      <c r="CE200">
        <v>1E-3</v>
      </c>
      <c r="CF200">
        <v>1E-3</v>
      </c>
      <c r="CG200">
        <v>2E-3</v>
      </c>
      <c r="CH200">
        <v>1E-3</v>
      </c>
      <c r="CI200">
        <v>1E-3</v>
      </c>
      <c r="CK200">
        <v>2E-3</v>
      </c>
      <c r="CL200">
        <v>1E-3</v>
      </c>
      <c r="CM200">
        <v>1E-3</v>
      </c>
      <c r="CN200" s="58">
        <f t="shared" si="227"/>
        <v>470.65399999999994</v>
      </c>
      <c r="CO200" s="58">
        <f t="shared" si="202"/>
        <v>0.65400000000000014</v>
      </c>
      <c r="CP200" s="31">
        <f t="shared" si="203"/>
        <v>0.17626047249232801</v>
      </c>
      <c r="CQ200" s="31">
        <f t="shared" si="204"/>
        <v>2.4424404573363532E-4</v>
      </c>
      <c r="CR200">
        <v>480</v>
      </c>
      <c r="CS200">
        <v>1200</v>
      </c>
      <c r="CT200" t="s">
        <v>69</v>
      </c>
      <c r="CU200" t="s">
        <v>69</v>
      </c>
      <c r="CV200" t="s">
        <v>69</v>
      </c>
      <c r="CW200">
        <v>1200</v>
      </c>
      <c r="CX200" s="2">
        <f t="shared" si="235"/>
        <v>659.7</v>
      </c>
      <c r="CZ200">
        <v>65</v>
      </c>
      <c r="DA200" t="s">
        <v>62</v>
      </c>
      <c r="DB200" t="s">
        <v>88</v>
      </c>
      <c r="DC200" t="s">
        <v>782</v>
      </c>
      <c r="DD200" s="37">
        <f t="shared" si="236"/>
        <v>41.563189673120966</v>
      </c>
      <c r="DE200" s="37">
        <f t="shared" si="253"/>
        <v>41.563189673120966</v>
      </c>
      <c r="DF200" s="37">
        <v>32</v>
      </c>
      <c r="DG200" s="37">
        <f t="shared" si="237"/>
        <v>0.57296329453894357</v>
      </c>
      <c r="DH200" s="37">
        <f t="shared" si="205"/>
        <v>0.57296329453894357</v>
      </c>
      <c r="DI200" s="37">
        <f t="shared" si="238"/>
        <v>73.563189673120974</v>
      </c>
      <c r="DJ200" s="37">
        <f t="shared" si="206"/>
        <v>1.3171564847470183</v>
      </c>
      <c r="DK200" s="37">
        <f t="shared" si="207"/>
        <v>1.3171564847470183</v>
      </c>
      <c r="DL200" s="55">
        <f t="shared" si="208"/>
        <v>6.1036851967520294</v>
      </c>
      <c r="DM200" s="55">
        <f t="shared" si="208"/>
        <v>6.1036851967520294</v>
      </c>
      <c r="DN200" s="37">
        <f t="shared" si="209"/>
        <v>38.103685196752032</v>
      </c>
      <c r="DO200" s="55">
        <f t="shared" si="210"/>
        <v>0.68225040638768186</v>
      </c>
      <c r="DP200" s="55">
        <f t="shared" si="211"/>
        <v>0.68225040638768186</v>
      </c>
      <c r="DQ200" s="37">
        <v>5.8</v>
      </c>
      <c r="DR200" s="37">
        <f t="shared" si="212"/>
        <v>0.10558893136719461</v>
      </c>
      <c r="DS200" s="37">
        <f t="shared" si="213"/>
        <v>0.21117786273438921</v>
      </c>
      <c r="DT200" s="37">
        <f t="shared" si="239"/>
        <v>12.474380294336848</v>
      </c>
      <c r="DU200" s="37">
        <f t="shared" si="240"/>
        <v>6.2371901471684241</v>
      </c>
      <c r="DV200" s="37">
        <f t="shared" si="241"/>
        <v>79.363189673120971</v>
      </c>
      <c r="DW200" s="37">
        <f t="shared" si="242"/>
        <v>1.5283343474814075</v>
      </c>
      <c r="DX200" t="s">
        <v>780</v>
      </c>
      <c r="DY200">
        <v>1</v>
      </c>
      <c r="DZ200" s="29">
        <f t="shared" si="252"/>
        <v>1</v>
      </c>
      <c r="EA200" s="30">
        <v>1.7000000000000001E-2</v>
      </c>
      <c r="EB200" s="30">
        <f t="shared" si="214"/>
        <v>2.741935483870968E-4</v>
      </c>
      <c r="EC200" s="30">
        <f t="shared" si="215"/>
        <v>1.370967741935484E-3</v>
      </c>
      <c r="ED200" s="31">
        <f t="shared" si="255"/>
        <v>71.5</v>
      </c>
      <c r="EE200" s="33">
        <f t="shared" si="254"/>
        <v>99.305555555555557</v>
      </c>
      <c r="EF200" s="37">
        <f t="shared" si="243"/>
        <v>5.9546117010201955</v>
      </c>
      <c r="EG200" s="37">
        <f>$EK198-EK200</f>
        <v>10.5</v>
      </c>
      <c r="EH200" s="33">
        <f>(EG200/$EK198)*100</f>
        <v>95.454545454545453</v>
      </c>
      <c r="EI200" s="37">
        <f t="shared" si="251"/>
        <v>0.87445346658338541</v>
      </c>
      <c r="EJ200" s="37">
        <f>($EG200/96.06)*8</f>
        <v>0.87445346658338541</v>
      </c>
      <c r="EK200" s="31">
        <v>0.5</v>
      </c>
      <c r="EL200" s="31">
        <f t="shared" si="216"/>
        <v>5.2050801582344368E-3</v>
      </c>
      <c r="EM200" s="31">
        <f t="shared" si="217"/>
        <v>4.1640641265875494E-2</v>
      </c>
      <c r="EN200" s="32">
        <f t="shared" si="244"/>
        <v>4.301160900781098E-2</v>
      </c>
      <c r="EO200" s="39">
        <f t="shared" si="248"/>
        <v>7.4829460485016028</v>
      </c>
      <c r="EP200" s="37">
        <f t="shared" si="245"/>
        <v>2.82212194723328E-2</v>
      </c>
      <c r="EQ200" s="37">
        <f t="shared" si="246"/>
        <v>0.1760211120339118</v>
      </c>
      <c r="ER200" s="37">
        <f t="shared" si="247"/>
        <v>0.7957576684937554</v>
      </c>
      <c r="ES200" s="39">
        <f t="shared" si="219"/>
        <v>1.7678817357054566</v>
      </c>
      <c r="ET200" s="55">
        <f t="shared" si="220"/>
        <v>38.591405330370485</v>
      </c>
      <c r="EU200" s="55">
        <f t="shared" si="221"/>
        <v>11.945248286086324</v>
      </c>
      <c r="EV200" s="55">
        <f t="shared" si="222"/>
        <v>49.463346383543183</v>
      </c>
      <c r="EW200" t="s">
        <v>756</v>
      </c>
      <c r="EX200">
        <v>10</v>
      </c>
      <c r="EY200">
        <v>88</v>
      </c>
      <c r="EZ200" t="s">
        <v>160</v>
      </c>
      <c r="FA200">
        <v>1325</v>
      </c>
      <c r="FB200" t="s">
        <v>72</v>
      </c>
      <c r="FC200" t="s">
        <v>88</v>
      </c>
      <c r="FD200" s="39">
        <f t="shared" si="223"/>
        <v>-7.2025271048774453</v>
      </c>
      <c r="FE200" s="39">
        <f t="shared" si="224"/>
        <v>-7.2022828608317111</v>
      </c>
      <c r="FF200" s="39">
        <f t="shared" si="225"/>
        <v>-1.4874627920812986</v>
      </c>
      <c r="FG200" s="39">
        <f t="shared" si="226"/>
        <v>-1.4872185480355651</v>
      </c>
    </row>
    <row r="201" spans="1:163" ht="15.75" x14ac:dyDescent="0.25">
      <c r="A201" s="3" t="s">
        <v>458</v>
      </c>
      <c r="B201" s="3" t="s">
        <v>458</v>
      </c>
      <c r="C201" s="3" t="s">
        <v>990</v>
      </c>
      <c r="D201" s="3" t="s">
        <v>990</v>
      </c>
      <c r="E201" s="21" t="s">
        <v>1465</v>
      </c>
      <c r="F201" s="3" t="s">
        <v>1034</v>
      </c>
      <c r="G201" s="3" t="s">
        <v>773</v>
      </c>
      <c r="H201" s="3" t="str">
        <f t="shared" si="257"/>
        <v>CW_2_Section_3</v>
      </c>
      <c r="I201" s="3" t="str">
        <f t="shared" si="258"/>
        <v>CW_2_MF10</v>
      </c>
      <c r="J201" s="3" t="s">
        <v>1493</v>
      </c>
      <c r="K201" s="3" t="s">
        <v>1484</v>
      </c>
      <c r="L201" s="11" t="s">
        <v>1089</v>
      </c>
      <c r="M201" s="3" t="s">
        <v>1024</v>
      </c>
      <c r="N201" s="3" t="s">
        <v>1024</v>
      </c>
      <c r="O201" s="12" t="s">
        <v>1016</v>
      </c>
      <c r="P201" s="3" t="s">
        <v>1466</v>
      </c>
      <c r="Q201" s="3" t="s">
        <v>1018</v>
      </c>
      <c r="R201" s="3" t="s">
        <v>1435</v>
      </c>
      <c r="S201" s="3" t="str">
        <f t="shared" si="259"/>
        <v>T8_0.60-0.80</v>
      </c>
      <c r="T201" s="13" t="s">
        <v>1436</v>
      </c>
      <c r="U201" s="3" t="s">
        <v>1160</v>
      </c>
      <c r="V201" s="3">
        <v>150</v>
      </c>
      <c r="W201" s="3">
        <v>65</v>
      </c>
      <c r="X201" s="14">
        <v>4.5</v>
      </c>
      <c r="Y201" s="3">
        <v>200</v>
      </c>
      <c r="Z201" t="s">
        <v>757</v>
      </c>
      <c r="AA201" t="s">
        <v>228</v>
      </c>
      <c r="AB201" s="1">
        <v>46008</v>
      </c>
      <c r="AC201">
        <v>5.4</v>
      </c>
      <c r="AD201">
        <v>5.6</v>
      </c>
      <c r="AE201">
        <v>21</v>
      </c>
      <c r="AF201" s="37">
        <f t="shared" si="187"/>
        <v>8.0655485853283818E-3</v>
      </c>
      <c r="AG201">
        <v>3.6</v>
      </c>
      <c r="AH201" s="37">
        <f t="shared" si="188"/>
        <v>1.4065552420230085E-3</v>
      </c>
      <c r="AI201">
        <v>33</v>
      </c>
      <c r="AJ201" s="37">
        <f t="shared" si="189"/>
        <v>1.3054535179429217E-2</v>
      </c>
      <c r="AK201">
        <v>11</v>
      </c>
      <c r="AL201" s="37">
        <f t="shared" si="190"/>
        <v>4.3515117264764057E-3</v>
      </c>
      <c r="AM201">
        <v>9</v>
      </c>
      <c r="AN201" s="37">
        <f t="shared" si="191"/>
        <v>3.5603277762079684E-3</v>
      </c>
      <c r="AO201">
        <v>20</v>
      </c>
      <c r="AQ201" s="59">
        <v>77.599999999999994</v>
      </c>
      <c r="AR201" s="59">
        <f t="shared" si="192"/>
        <v>2.2526639006780605E-2</v>
      </c>
      <c r="AS201">
        <v>250</v>
      </c>
      <c r="AT201" s="37">
        <f t="shared" si="193"/>
        <v>9.3625653429039557E-2</v>
      </c>
      <c r="AU201" t="s">
        <v>780</v>
      </c>
      <c r="AV201" t="s">
        <v>780</v>
      </c>
      <c r="AW201" t="s">
        <v>780</v>
      </c>
      <c r="AX201" t="s">
        <v>780</v>
      </c>
      <c r="AY201" t="s">
        <v>780</v>
      </c>
      <c r="AZ201" t="s">
        <v>780</v>
      </c>
      <c r="BA201" t="s">
        <v>780</v>
      </c>
      <c r="BB201" t="s">
        <v>780</v>
      </c>
      <c r="BC201" t="s">
        <v>780</v>
      </c>
      <c r="BD201" t="s">
        <v>780</v>
      </c>
      <c r="BE201" t="s">
        <v>780</v>
      </c>
      <c r="BF201" t="s">
        <v>780</v>
      </c>
      <c r="BG201" t="s">
        <v>780</v>
      </c>
      <c r="BH201" t="s">
        <v>780</v>
      </c>
      <c r="BI201" t="s">
        <v>780</v>
      </c>
      <c r="BJ201" t="s">
        <v>780</v>
      </c>
      <c r="BK201" t="s">
        <v>780</v>
      </c>
      <c r="BL201" t="s">
        <v>780</v>
      </c>
      <c r="BM201" t="s">
        <v>780</v>
      </c>
      <c r="BN201" t="s">
        <v>780</v>
      </c>
      <c r="BO201" s="58">
        <v>200</v>
      </c>
      <c r="BP201" s="58">
        <v>2.6</v>
      </c>
      <c r="BQ201" s="58">
        <v>39</v>
      </c>
      <c r="BR201" s="58">
        <v>1</v>
      </c>
      <c r="BS201" s="58">
        <v>4.0999999999999996</v>
      </c>
      <c r="BT201" s="58">
        <v>0.5</v>
      </c>
      <c r="BU201" s="58">
        <v>0.04</v>
      </c>
      <c r="BV201" s="58">
        <v>0.02</v>
      </c>
      <c r="BW201" s="31">
        <f t="shared" si="194"/>
        <v>7.490052274323164E-2</v>
      </c>
      <c r="BX201" s="31">
        <f t="shared" si="195"/>
        <v>9.5669886326302657E-4</v>
      </c>
      <c r="BY201" s="31">
        <f t="shared" si="196"/>
        <v>1.4668309448155115E-2</v>
      </c>
      <c r="BZ201" s="31">
        <f t="shared" si="197"/>
        <v>3.7299963903260737E-4</v>
      </c>
      <c r="CA201" s="31">
        <f t="shared" si="198"/>
        <v>1.5182629187005553E-3</v>
      </c>
      <c r="CB201" s="31">
        <f t="shared" si="199"/>
        <v>1.851540144756775E-4</v>
      </c>
      <c r="CC201" s="31">
        <f t="shared" si="200"/>
        <v>1.4635352286773795E-5</v>
      </c>
      <c r="CD201" s="31">
        <f t="shared" si="201"/>
        <v>7.3176761433868973E-6</v>
      </c>
      <c r="CE201">
        <v>1E-3</v>
      </c>
      <c r="CF201">
        <v>1E-3</v>
      </c>
      <c r="CG201">
        <v>2E-3</v>
      </c>
      <c r="CH201">
        <v>1E-3</v>
      </c>
      <c r="CI201">
        <v>1E-3</v>
      </c>
      <c r="CK201">
        <v>2E-3</v>
      </c>
      <c r="CL201">
        <v>1E-3</v>
      </c>
      <c r="CM201">
        <v>1E-3</v>
      </c>
      <c r="CN201" s="58">
        <f t="shared" si="227"/>
        <v>247.26</v>
      </c>
      <c r="CO201" s="58">
        <f t="shared" si="202"/>
        <v>47.260000000000005</v>
      </c>
      <c r="CP201" s="31">
        <f t="shared" si="203"/>
        <v>9.2623900655288763E-2</v>
      </c>
      <c r="CQ201" s="31">
        <f t="shared" si="204"/>
        <v>1.7723377912057144E-2</v>
      </c>
      <c r="CR201">
        <v>250</v>
      </c>
      <c r="CS201">
        <v>490</v>
      </c>
      <c r="CT201">
        <v>300</v>
      </c>
      <c r="CU201" t="s">
        <v>69</v>
      </c>
      <c r="CV201" t="s">
        <v>69</v>
      </c>
      <c r="CW201">
        <v>800</v>
      </c>
      <c r="CX201" s="2">
        <f t="shared" si="235"/>
        <v>327.60000000000002</v>
      </c>
      <c r="CZ201">
        <v>46</v>
      </c>
      <c r="DA201" t="s">
        <v>62</v>
      </c>
      <c r="DB201" t="s">
        <v>88</v>
      </c>
      <c r="DC201" t="s">
        <v>782</v>
      </c>
      <c r="DD201" s="37">
        <f t="shared" si="236"/>
        <v>21.508224026650009</v>
      </c>
      <c r="DE201" s="37">
        <f t="shared" si="253"/>
        <v>21.508224026650009</v>
      </c>
      <c r="DF201" s="37">
        <v>3.4</v>
      </c>
      <c r="DG201" s="37">
        <f t="shared" si="237"/>
        <v>6.0877350044762753E-2</v>
      </c>
      <c r="DH201" s="37">
        <f t="shared" si="205"/>
        <v>6.0877350044762753E-2</v>
      </c>
      <c r="DI201" s="37">
        <f t="shared" si="238"/>
        <v>24.908224026650007</v>
      </c>
      <c r="DJ201" s="37">
        <f t="shared" si="206"/>
        <v>0.44598431560698309</v>
      </c>
      <c r="DK201" s="37">
        <f t="shared" si="207"/>
        <v>0.44598431560698309</v>
      </c>
      <c r="DL201" s="55">
        <f t="shared" si="208"/>
        <v>0</v>
      </c>
      <c r="DM201" s="55">
        <f t="shared" si="208"/>
        <v>0</v>
      </c>
      <c r="DN201" s="37">
        <f t="shared" si="209"/>
        <v>3.4</v>
      </c>
      <c r="DO201" s="55">
        <f t="shared" si="210"/>
        <v>6.0877350044762753E-2</v>
      </c>
      <c r="DP201" s="55">
        <f t="shared" si="211"/>
        <v>6.0877350044762753E-2</v>
      </c>
      <c r="DQ201" s="37">
        <v>1.8</v>
      </c>
      <c r="DR201" s="37">
        <f t="shared" si="212"/>
        <v>3.2768978700163848E-2</v>
      </c>
      <c r="DS201" s="37">
        <f t="shared" si="213"/>
        <v>6.5537957400327695E-2</v>
      </c>
      <c r="DT201" s="37">
        <f t="shared" si="239"/>
        <v>13.609954697939767</v>
      </c>
      <c r="DU201" s="37">
        <f t="shared" si="240"/>
        <v>6.8049773489698833</v>
      </c>
      <c r="DV201" s="37">
        <f t="shared" si="241"/>
        <v>26.708224026650008</v>
      </c>
      <c r="DW201" s="37">
        <f t="shared" si="242"/>
        <v>0.51152227300731079</v>
      </c>
      <c r="DX201" t="s">
        <v>780</v>
      </c>
      <c r="DY201" t="s">
        <v>61</v>
      </c>
      <c r="DZ201" s="29">
        <f t="shared" si="252"/>
        <v>1</v>
      </c>
      <c r="EA201" s="30">
        <v>1.7000000000000001E-2</v>
      </c>
      <c r="EB201" s="30">
        <f t="shared" si="214"/>
        <v>2.741935483870968E-4</v>
      </c>
      <c r="EC201" s="30">
        <f t="shared" si="215"/>
        <v>1.370967741935484E-3</v>
      </c>
      <c r="ED201" s="31">
        <f t="shared" si="255"/>
        <v>37</v>
      </c>
      <c r="EE201" s="33">
        <f t="shared" si="254"/>
        <v>51.388888888888886</v>
      </c>
      <c r="EF201" s="37">
        <f t="shared" si="243"/>
        <v>3.0814074536747866</v>
      </c>
      <c r="EG201" s="29">
        <f>$EK199-EK201</f>
        <v>0</v>
      </c>
      <c r="EH201" s="33">
        <f>(EG201/$EK199)*100</f>
        <v>0</v>
      </c>
      <c r="EI201" s="37">
        <f t="shared" si="251"/>
        <v>0</v>
      </c>
      <c r="EJ201" s="37">
        <f>($EG201/96.06)*8</f>
        <v>0</v>
      </c>
      <c r="EK201" s="31">
        <v>35</v>
      </c>
      <c r="EL201" s="31">
        <f t="shared" si="216"/>
        <v>0.36435561107641057</v>
      </c>
      <c r="EM201" s="31">
        <f t="shared" si="217"/>
        <v>2.9148448886112845</v>
      </c>
      <c r="EN201" s="32">
        <f t="shared" si="244"/>
        <v>2.9162158563532201</v>
      </c>
      <c r="EO201" s="39">
        <f t="shared" si="248"/>
        <v>3.5929297266820974</v>
      </c>
      <c r="EP201" s="37">
        <f t="shared" si="245"/>
        <v>1.8240812480585011E-2</v>
      </c>
      <c r="EQ201" s="37">
        <f t="shared" si="246"/>
        <v>0.12412831575718815</v>
      </c>
      <c r="ER201" s="37">
        <f t="shared" si="247"/>
        <v>0.85763087176222685</v>
      </c>
      <c r="ES201" s="39">
        <f t="shared" si="219"/>
        <v>0.12641530744509044</v>
      </c>
      <c r="ET201" s="55">
        <f t="shared" si="220"/>
        <v>48.156628556399582</v>
      </c>
      <c r="EU201" s="55">
        <f t="shared" si="221"/>
        <v>51.843371443600418</v>
      </c>
      <c r="EV201" s="55">
        <f t="shared" si="222"/>
        <v>0</v>
      </c>
      <c r="EW201" t="s">
        <v>178</v>
      </c>
      <c r="EX201">
        <v>10</v>
      </c>
      <c r="EY201">
        <v>-24</v>
      </c>
      <c r="EZ201" t="s">
        <v>160</v>
      </c>
      <c r="FA201">
        <v>703</v>
      </c>
      <c r="FB201" t="s">
        <v>72</v>
      </c>
      <c r="FC201" t="s">
        <v>88</v>
      </c>
      <c r="FD201" s="39">
        <f t="shared" si="223"/>
        <v>-3.4767774342462774</v>
      </c>
      <c r="FE201" s="39">
        <f t="shared" si="224"/>
        <v>-3.45905405633422</v>
      </c>
      <c r="FF201" s="39">
        <f t="shared" si="225"/>
        <v>-1.0263015009270279E-2</v>
      </c>
      <c r="FG201" s="39">
        <f t="shared" si="226"/>
        <v>7.4603629027868712E-3</v>
      </c>
    </row>
    <row r="202" spans="1:163" ht="15.75" x14ac:dyDescent="0.25">
      <c r="A202" s="3" t="s">
        <v>459</v>
      </c>
      <c r="B202" s="3" t="s">
        <v>459</v>
      </c>
      <c r="C202" s="3" t="s">
        <v>991</v>
      </c>
      <c r="D202" s="3" t="s">
        <v>991</v>
      </c>
      <c r="E202" s="21" t="s">
        <v>1467</v>
      </c>
      <c r="F202" s="3" t="s">
        <v>1013</v>
      </c>
      <c r="G202" s="3" t="s">
        <v>774</v>
      </c>
      <c r="H202" s="3" t="str">
        <f t="shared" si="257"/>
        <v>CW_3_Section_1</v>
      </c>
      <c r="I202" s="3" t="str">
        <f t="shared" si="258"/>
        <v>CW_3_MF01</v>
      </c>
      <c r="J202" s="3" t="s">
        <v>1488</v>
      </c>
      <c r="K202" s="3" t="s">
        <v>1484</v>
      </c>
      <c r="L202" s="11" t="s">
        <v>1092</v>
      </c>
      <c r="M202" s="3" t="s">
        <v>1015</v>
      </c>
      <c r="N202" s="3" t="s">
        <v>1015</v>
      </c>
      <c r="O202" s="12" t="s">
        <v>1016</v>
      </c>
      <c r="P202" s="3" t="s">
        <v>1468</v>
      </c>
      <c r="Q202" s="3" t="s">
        <v>1018</v>
      </c>
      <c r="R202" s="3" t="s">
        <v>1435</v>
      </c>
      <c r="S202" s="3" t="str">
        <f t="shared" si="259"/>
        <v>T8_0.15-0.30</v>
      </c>
      <c r="T202" s="13" t="s">
        <v>1436</v>
      </c>
      <c r="U202" s="3" t="s">
        <v>1160</v>
      </c>
      <c r="V202" s="3">
        <v>150</v>
      </c>
      <c r="W202" s="3">
        <v>65</v>
      </c>
      <c r="X202" s="14">
        <v>6.45</v>
      </c>
      <c r="Y202" s="3">
        <v>201</v>
      </c>
      <c r="Z202" t="s">
        <v>758</v>
      </c>
      <c r="AA202" t="s">
        <v>241</v>
      </c>
      <c r="AB202" s="1">
        <v>46008</v>
      </c>
      <c r="AC202">
        <v>12</v>
      </c>
      <c r="AD202">
        <v>13</v>
      </c>
      <c r="AE202">
        <v>380</v>
      </c>
      <c r="AF202" s="37">
        <f t="shared" si="187"/>
        <v>0.14594802202022789</v>
      </c>
      <c r="AG202">
        <v>15</v>
      </c>
      <c r="AH202" s="37">
        <f t="shared" si="188"/>
        <v>5.8606468417625353E-3</v>
      </c>
      <c r="AI202">
        <v>150</v>
      </c>
      <c r="AJ202" s="37">
        <f t="shared" si="189"/>
        <v>5.9338796270132804E-2</v>
      </c>
      <c r="AK202">
        <v>40</v>
      </c>
      <c r="AL202" s="37">
        <f t="shared" si="190"/>
        <v>1.5823679005368747E-2</v>
      </c>
      <c r="AM202">
        <v>2</v>
      </c>
      <c r="AN202" s="37">
        <f t="shared" si="191"/>
        <v>7.9118395026843739E-4</v>
      </c>
      <c r="AO202">
        <v>54</v>
      </c>
      <c r="AQ202" s="59">
        <v>599</v>
      </c>
      <c r="AR202" s="59">
        <f t="shared" si="192"/>
        <v>0.21114746513212324</v>
      </c>
      <c r="AS202">
        <v>1400</v>
      </c>
      <c r="AT202" s="37">
        <f t="shared" si="193"/>
        <v>0.52430365920262156</v>
      </c>
      <c r="AU202" t="s">
        <v>780</v>
      </c>
      <c r="AV202" t="s">
        <v>780</v>
      </c>
      <c r="AW202" t="s">
        <v>780</v>
      </c>
      <c r="AX202" t="s">
        <v>780</v>
      </c>
      <c r="AY202" t="s">
        <v>780</v>
      </c>
      <c r="AZ202" t="s">
        <v>780</v>
      </c>
      <c r="BA202" t="s">
        <v>780</v>
      </c>
      <c r="BB202" t="s">
        <v>780</v>
      </c>
      <c r="BC202" t="s">
        <v>780</v>
      </c>
      <c r="BD202" t="s">
        <v>780</v>
      </c>
      <c r="BE202" t="s">
        <v>780</v>
      </c>
      <c r="BF202" t="s">
        <v>780</v>
      </c>
      <c r="BG202" t="s">
        <v>780</v>
      </c>
      <c r="BH202" t="s">
        <v>780</v>
      </c>
      <c r="BI202" t="s">
        <v>780</v>
      </c>
      <c r="BJ202" t="s">
        <v>780</v>
      </c>
      <c r="BK202" t="s">
        <v>780</v>
      </c>
      <c r="BL202" t="s">
        <v>780</v>
      </c>
      <c r="BM202" t="s">
        <v>780</v>
      </c>
      <c r="BN202" t="s">
        <v>780</v>
      </c>
      <c r="BO202" s="58">
        <v>1000</v>
      </c>
      <c r="BP202" s="58">
        <v>0.2</v>
      </c>
      <c r="BQ202" s="58">
        <v>0.16</v>
      </c>
      <c r="BR202" s="58">
        <v>5.0000000000000001E-3</v>
      </c>
      <c r="BS202" s="58">
        <v>0.02</v>
      </c>
      <c r="BT202" s="58">
        <v>1E-3</v>
      </c>
      <c r="BU202" s="58">
        <v>1E-3</v>
      </c>
      <c r="BV202" s="58">
        <v>2E-3</v>
      </c>
      <c r="BW202" s="31">
        <f t="shared" si="194"/>
        <v>0.37450261371615823</v>
      </c>
      <c r="BX202" s="31">
        <f t="shared" si="195"/>
        <v>7.3592220251002044E-5</v>
      </c>
      <c r="BY202" s="31">
        <f t="shared" si="196"/>
        <v>6.0177679787303031E-5</v>
      </c>
      <c r="BZ202" s="31">
        <f t="shared" si="197"/>
        <v>1.8649981951630372E-6</v>
      </c>
      <c r="CA202" s="31">
        <f t="shared" si="198"/>
        <v>7.4061605790270997E-6</v>
      </c>
      <c r="CB202" s="31">
        <f t="shared" si="199"/>
        <v>3.7030802895135499E-7</v>
      </c>
      <c r="CC202" s="31">
        <f t="shared" si="200"/>
        <v>3.6588380716934485E-7</v>
      </c>
      <c r="CD202" s="31">
        <f t="shared" si="201"/>
        <v>7.3176761433868969E-7</v>
      </c>
      <c r="CE202">
        <v>1E-3</v>
      </c>
      <c r="CF202">
        <v>1E-3</v>
      </c>
      <c r="CG202">
        <v>2E-3</v>
      </c>
      <c r="CH202">
        <v>1E-3</v>
      </c>
      <c r="CI202">
        <v>1E-3</v>
      </c>
      <c r="CK202">
        <v>2E-3</v>
      </c>
      <c r="CL202">
        <v>1E-3</v>
      </c>
      <c r="CM202">
        <v>1E-3</v>
      </c>
      <c r="CN202" s="58">
        <f t="shared" si="227"/>
        <v>1000.3889999999999</v>
      </c>
      <c r="CO202" s="58">
        <f t="shared" si="202"/>
        <v>0.38900000000000001</v>
      </c>
      <c r="CP202" s="31">
        <f t="shared" si="203"/>
        <v>0.37464712273442119</v>
      </c>
      <c r="CQ202" s="31">
        <f t="shared" si="204"/>
        <v>1.4450901826295462E-4</v>
      </c>
      <c r="CR202">
        <v>1000</v>
      </c>
      <c r="CS202">
        <v>2200</v>
      </c>
      <c r="CT202">
        <v>25</v>
      </c>
      <c r="CU202" t="s">
        <v>69</v>
      </c>
      <c r="CV202" t="s">
        <v>69</v>
      </c>
      <c r="CW202">
        <v>2200</v>
      </c>
      <c r="CX202" s="2">
        <f t="shared" ref="CX202:CX207" si="260">SUM(AQ202+CR202)</f>
        <v>1599</v>
      </c>
      <c r="CZ202">
        <v>68</v>
      </c>
      <c r="DA202" t="s">
        <v>62</v>
      </c>
      <c r="DB202" t="s">
        <v>88</v>
      </c>
      <c r="DC202" t="s">
        <v>782</v>
      </c>
      <c r="DD202" s="37">
        <f t="shared" ref="DD202:DD207" si="261">$ED202*(55.84/96.06)</f>
        <v>41.563189673120966</v>
      </c>
      <c r="DE202" s="37">
        <f t="shared" si="253"/>
        <v>41.563189673120966</v>
      </c>
      <c r="DF202" s="37">
        <v>15</v>
      </c>
      <c r="DG202" s="37">
        <f t="shared" ref="DG202:DG207" si="262">DF202/55.85</f>
        <v>0.26857654431512978</v>
      </c>
      <c r="DH202" s="37">
        <f t="shared" si="205"/>
        <v>0.26857654431512978</v>
      </c>
      <c r="DI202" s="37">
        <f t="shared" ref="DI202:DI207" si="263">DE202+DF202</f>
        <v>56.563189673120966</v>
      </c>
      <c r="DJ202" s="37">
        <f t="shared" si="206"/>
        <v>1.0127697345232043</v>
      </c>
      <c r="DK202" s="37">
        <f t="shared" si="207"/>
        <v>1.0127697345232043</v>
      </c>
      <c r="DL202" s="55">
        <f t="shared" si="208"/>
        <v>41.563189673120966</v>
      </c>
      <c r="DM202" s="55">
        <f t="shared" si="208"/>
        <v>41.563189673120966</v>
      </c>
      <c r="DN202" s="37">
        <f t="shared" si="209"/>
        <v>56.563189673120966</v>
      </c>
      <c r="DO202" s="55">
        <f t="shared" si="210"/>
        <v>1.0127697345232043</v>
      </c>
      <c r="DP202" s="55">
        <f t="shared" si="211"/>
        <v>1.0127697345232043</v>
      </c>
      <c r="DQ202" s="37">
        <v>2.2000000000000002</v>
      </c>
      <c r="DR202" s="37">
        <f t="shared" si="212"/>
        <v>4.0050973966866923E-2</v>
      </c>
      <c r="DS202" s="37">
        <f t="shared" si="213"/>
        <v>8.0101947933733847E-2</v>
      </c>
      <c r="DT202" s="37">
        <f t="shared" ref="DT202:DT207" si="264">DJ202/DR202</f>
        <v>25.287018871527096</v>
      </c>
      <c r="DU202" s="37">
        <f t="shared" ref="DU202:DU207" si="265">DK202/DS202</f>
        <v>12.643509435763548</v>
      </c>
      <c r="DV202" s="37">
        <f t="shared" ref="DV202:DV207" si="266">DI202+DQ202</f>
        <v>58.763189673120969</v>
      </c>
      <c r="DW202" s="37">
        <f t="shared" ref="DW202:DW207" si="267">SUM(DK202+DS202)</f>
        <v>1.0928716824569382</v>
      </c>
      <c r="DX202" t="s">
        <v>780</v>
      </c>
      <c r="DY202" t="s">
        <v>148</v>
      </c>
      <c r="DZ202" s="29">
        <f t="shared" si="252"/>
        <v>1</v>
      </c>
      <c r="EA202" s="30">
        <v>1.7000000000000001E-2</v>
      </c>
      <c r="EB202" s="30">
        <f t="shared" si="214"/>
        <v>2.741935483870968E-4</v>
      </c>
      <c r="EC202" s="30">
        <f t="shared" si="215"/>
        <v>1.370967741935484E-3</v>
      </c>
      <c r="ED202" s="31">
        <f t="shared" si="255"/>
        <v>71.5</v>
      </c>
      <c r="EE202" s="33">
        <f t="shared" si="254"/>
        <v>99.305555555555557</v>
      </c>
      <c r="EF202" s="37">
        <f t="shared" ref="EF202:EF207" si="268">(ED202/96.06)*8</f>
        <v>5.9546117010201955</v>
      </c>
      <c r="EG202" s="37">
        <f>$EK186-EK202</f>
        <v>71.5</v>
      </c>
      <c r="EH202" s="33">
        <f>(EG202/$EK$186)*100</f>
        <v>99.305555555555557</v>
      </c>
      <c r="EI202" s="37">
        <f t="shared" si="251"/>
        <v>5.9546117010201955</v>
      </c>
      <c r="EJ202" s="37">
        <f>($EG202/96.06)*8</f>
        <v>5.9546117010201955</v>
      </c>
      <c r="EK202" s="31">
        <v>0.5</v>
      </c>
      <c r="EL202" s="31">
        <f t="shared" si="216"/>
        <v>5.2050801582344368E-3</v>
      </c>
      <c r="EM202" s="31">
        <f t="shared" si="217"/>
        <v>4.1640641265875494E-2</v>
      </c>
      <c r="EN202" s="32">
        <f t="shared" ref="EN202:EN207" si="269">SUM(EC202+EM202)</f>
        <v>4.301160900781098E-2</v>
      </c>
      <c r="EO202" s="39">
        <f t="shared" si="248"/>
        <v>7.0474833834771342</v>
      </c>
      <c r="EP202" s="37">
        <f t="shared" ref="EP202:EP207" si="270">DS202/EO202</f>
        <v>1.1366035728659301E-2</v>
      </c>
      <c r="EQ202" s="37">
        <f t="shared" ref="EQ202:EQ207" si="271">DK202/EO202</f>
        <v>0.14370657998252948</v>
      </c>
      <c r="ER202" s="37">
        <f t="shared" ref="ER202:ER207" si="272">EF202/EO202</f>
        <v>0.84492738428881109</v>
      </c>
      <c r="ES202" s="39">
        <f t="shared" si="219"/>
        <v>7.0474833834771342</v>
      </c>
      <c r="ET202" s="55">
        <f t="shared" si="220"/>
        <v>14.370657998252948</v>
      </c>
      <c r="EU202" s="55">
        <f t="shared" si="221"/>
        <v>1.1366035728659301</v>
      </c>
      <c r="EV202" s="55">
        <f t="shared" si="222"/>
        <v>84.492738428881111</v>
      </c>
      <c r="EW202" t="s">
        <v>759</v>
      </c>
      <c r="EX202">
        <v>9</v>
      </c>
      <c r="EY202">
        <v>33</v>
      </c>
      <c r="EZ202" t="s">
        <v>246</v>
      </c>
      <c r="FA202">
        <v>1081</v>
      </c>
      <c r="FB202" t="s">
        <v>72</v>
      </c>
      <c r="FC202" t="s">
        <v>88</v>
      </c>
      <c r="FD202" s="39">
        <f t="shared" si="223"/>
        <v>-6.3120322591423896</v>
      </c>
      <c r="FE202" s="39">
        <f t="shared" si="224"/>
        <v>-6.3118877501241268</v>
      </c>
      <c r="FF202" s="39">
        <f t="shared" si="225"/>
        <v>-6.3120322591423896</v>
      </c>
      <c r="FG202" s="39">
        <f t="shared" si="226"/>
        <v>-6.3118877501241268</v>
      </c>
    </row>
    <row r="203" spans="1:163" ht="15.75" x14ac:dyDescent="0.25">
      <c r="A203" s="3" t="s">
        <v>460</v>
      </c>
      <c r="B203" s="3" t="s">
        <v>460</v>
      </c>
      <c r="C203" s="3" t="s">
        <v>992</v>
      </c>
      <c r="D203" s="3" t="s">
        <v>992</v>
      </c>
      <c r="E203" s="21" t="s">
        <v>1469</v>
      </c>
      <c r="F203" s="3" t="s">
        <v>1013</v>
      </c>
      <c r="G203" s="3" t="s">
        <v>774</v>
      </c>
      <c r="H203" s="3" t="str">
        <f t="shared" si="257"/>
        <v>CW_3_Section_1</v>
      </c>
      <c r="I203" s="3" t="str">
        <f t="shared" si="258"/>
        <v>CW_3_MF02</v>
      </c>
      <c r="J203" s="3" t="s">
        <v>1489</v>
      </c>
      <c r="K203" s="3" t="s">
        <v>1484</v>
      </c>
      <c r="L203" s="11" t="s">
        <v>1095</v>
      </c>
      <c r="M203" s="3" t="s">
        <v>1024</v>
      </c>
      <c r="N203" s="3" t="s">
        <v>1024</v>
      </c>
      <c r="O203" s="12" t="s">
        <v>1016</v>
      </c>
      <c r="P203" s="3" t="s">
        <v>1470</v>
      </c>
      <c r="Q203" s="3" t="s">
        <v>1018</v>
      </c>
      <c r="R203" s="3" t="s">
        <v>1435</v>
      </c>
      <c r="S203" s="3" t="str">
        <f t="shared" si="259"/>
        <v>T8_0.60-0.80</v>
      </c>
      <c r="T203" s="13" t="s">
        <v>1436</v>
      </c>
      <c r="U203" s="3" t="s">
        <v>1160</v>
      </c>
      <c r="V203" s="3">
        <v>150</v>
      </c>
      <c r="W203" s="3">
        <v>65</v>
      </c>
      <c r="X203" s="14">
        <v>4</v>
      </c>
      <c r="Y203" s="3">
        <v>202</v>
      </c>
      <c r="Z203" t="s">
        <v>760</v>
      </c>
      <c r="AA203" t="s">
        <v>245</v>
      </c>
      <c r="AB203" s="1">
        <v>46008</v>
      </c>
      <c r="AC203">
        <v>15</v>
      </c>
      <c r="AD203">
        <v>17</v>
      </c>
      <c r="AE203">
        <v>820</v>
      </c>
      <c r="AF203" s="37">
        <f t="shared" ref="AF203:AF207" si="273">($AE203/78110)*30</f>
        <v>0.31494046856996544</v>
      </c>
      <c r="AG203">
        <v>180</v>
      </c>
      <c r="AH203" s="37">
        <f t="shared" ref="AH203:AH207" si="274">($AG203/92140)*36</f>
        <v>7.0327762101150423E-2</v>
      </c>
      <c r="AI203">
        <v>580</v>
      </c>
      <c r="AJ203" s="37">
        <f t="shared" ref="AJ203:AJ207" si="275">($AI203/106170)*42</f>
        <v>0.22944334557784687</v>
      </c>
      <c r="AK203">
        <v>230</v>
      </c>
      <c r="AL203" s="37">
        <f t="shared" ref="AL203:AL207" si="276">($AK203/106170)*42</f>
        <v>9.0986154280870299E-2</v>
      </c>
      <c r="AM203">
        <v>260</v>
      </c>
      <c r="AN203" s="37">
        <f t="shared" ref="AN203:AN207" si="277">($AM203/106170)*42</f>
        <v>0.10285391353489687</v>
      </c>
      <c r="AO203">
        <v>490</v>
      </c>
      <c r="AQ203" s="59">
        <v>2070</v>
      </c>
      <c r="AR203" s="59">
        <f t="shared" ref="AR203:AR207" si="278">$AF203+$AH203+$AJ203+$AP203</f>
        <v>0.61471157624896278</v>
      </c>
      <c r="AS203">
        <v>2200</v>
      </c>
      <c r="AT203" s="37">
        <f t="shared" ref="AT203:AT207" si="279">($AS203/128170)*48</f>
        <v>0.82390575017554801</v>
      </c>
      <c r="AU203" t="s">
        <v>780</v>
      </c>
      <c r="AV203" t="s">
        <v>780</v>
      </c>
      <c r="AW203" t="s">
        <v>780</v>
      </c>
      <c r="AX203" t="s">
        <v>780</v>
      </c>
      <c r="AY203" t="s">
        <v>780</v>
      </c>
      <c r="AZ203" t="s">
        <v>780</v>
      </c>
      <c r="BA203" t="s">
        <v>780</v>
      </c>
      <c r="BB203" t="s">
        <v>780</v>
      </c>
      <c r="BC203" t="s">
        <v>780</v>
      </c>
      <c r="BD203" t="s">
        <v>780</v>
      </c>
      <c r="BE203" t="s">
        <v>780</v>
      </c>
      <c r="BF203" t="s">
        <v>780</v>
      </c>
      <c r="BG203" t="s">
        <v>780</v>
      </c>
      <c r="BH203" t="s">
        <v>780</v>
      </c>
      <c r="BI203" t="s">
        <v>780</v>
      </c>
      <c r="BJ203" t="s">
        <v>780</v>
      </c>
      <c r="BK203" t="s">
        <v>780</v>
      </c>
      <c r="BL203" t="s">
        <v>780</v>
      </c>
      <c r="BM203" t="s">
        <v>780</v>
      </c>
      <c r="BN203" t="s">
        <v>780</v>
      </c>
      <c r="BO203" s="58">
        <v>2300</v>
      </c>
      <c r="BP203" s="58">
        <v>4</v>
      </c>
      <c r="BQ203" s="58">
        <v>130</v>
      </c>
      <c r="BR203" s="58">
        <v>35</v>
      </c>
      <c r="BS203" s="58">
        <v>21</v>
      </c>
      <c r="BT203" s="58">
        <v>0.4</v>
      </c>
      <c r="BU203" s="58">
        <v>0.83</v>
      </c>
      <c r="BV203" s="58">
        <v>0.86</v>
      </c>
      <c r="BW203" s="31">
        <f t="shared" ref="BW203:BW207" si="280">($BO203/128170)*48</f>
        <v>0.8613560115471639</v>
      </c>
      <c r="BX203" s="31">
        <f t="shared" ref="BX203:BX207" si="281">($BP203/152190)*56</f>
        <v>1.4718444050200407E-3</v>
      </c>
      <c r="BY203" s="31">
        <f t="shared" ref="BY203:BY207" si="282">($BQ203/154210)*58</f>
        <v>4.8894364827183713E-2</v>
      </c>
      <c r="BZ203" s="31">
        <f t="shared" ref="BZ203:BZ207" si="283">($BR203/166220)*62</f>
        <v>1.3054987366141258E-2</v>
      </c>
      <c r="CA203" s="31">
        <f t="shared" ref="CA203:CA207" si="284">($BS203/178230)*66</f>
        <v>7.7764686079784548E-3</v>
      </c>
      <c r="CB203" s="31">
        <f t="shared" ref="CB203:CB207" si="285">($BT203/178230)*66</f>
        <v>1.4812321158054199E-4</v>
      </c>
      <c r="CC203" s="31">
        <f t="shared" ref="CC203:CC207" si="286">($BU203/202250)*74</f>
        <v>3.0368355995055626E-4</v>
      </c>
      <c r="CD203" s="31">
        <f t="shared" ref="CD203:CD207" si="287">($BV203/202250)*74</f>
        <v>3.146600741656366E-4</v>
      </c>
      <c r="CE203">
        <v>0.01</v>
      </c>
      <c r="CF203">
        <v>0.01</v>
      </c>
      <c r="CG203">
        <v>2E-3</v>
      </c>
      <c r="CH203">
        <v>1E-3</v>
      </c>
      <c r="CI203">
        <v>1E-3</v>
      </c>
      <c r="CK203">
        <v>2E-3</v>
      </c>
      <c r="CL203">
        <v>1E-3</v>
      </c>
      <c r="CM203">
        <v>1E-3</v>
      </c>
      <c r="CN203" s="58">
        <f t="shared" si="227"/>
        <v>2492.09</v>
      </c>
      <c r="CO203" s="58">
        <f t="shared" ref="CO203:CO207" si="288">$BP203+$BQ203+$BR203+$BS203+$BT203+$BU203+$BV203</f>
        <v>192.09000000000003</v>
      </c>
      <c r="CP203" s="31">
        <f t="shared" ref="CP203:CP207" si="289">$BW203+$BX203+$BY203+$BZ203+$CA203+$CB203+$CC203+$CD203</f>
        <v>0.93332014359918403</v>
      </c>
      <c r="CQ203" s="31">
        <f t="shared" ref="CQ203:CQ207" si="290">$BX203+$BY203+$BZ203+$CA203+$CB203+$CC203+$CD203</f>
        <v>7.1964132052020208E-2</v>
      </c>
      <c r="CR203">
        <v>2500</v>
      </c>
      <c r="CS203">
        <v>4900</v>
      </c>
      <c r="CT203">
        <v>1400</v>
      </c>
      <c r="CU203" t="s">
        <v>69</v>
      </c>
      <c r="CV203" t="s">
        <v>69</v>
      </c>
      <c r="CW203">
        <v>6300</v>
      </c>
      <c r="CX203" s="2">
        <f t="shared" si="260"/>
        <v>4570</v>
      </c>
      <c r="CZ203">
        <v>71</v>
      </c>
      <c r="DA203" t="s">
        <v>62</v>
      </c>
      <c r="DB203" t="s">
        <v>88</v>
      </c>
      <c r="DC203" t="s">
        <v>782</v>
      </c>
      <c r="DD203" s="37">
        <f t="shared" si="261"/>
        <v>10.463460337289193</v>
      </c>
      <c r="DE203" s="37">
        <f t="shared" si="253"/>
        <v>10.463460337289193</v>
      </c>
      <c r="DF203" s="37">
        <v>0.2</v>
      </c>
      <c r="DG203" s="37">
        <f t="shared" si="262"/>
        <v>3.5810205908683975E-3</v>
      </c>
      <c r="DH203" s="37">
        <f t="shared" ref="DH203:DH207" si="291">DG203*1</f>
        <v>3.5810205908683975E-3</v>
      </c>
      <c r="DI203" s="37">
        <f t="shared" si="263"/>
        <v>10.663460337289193</v>
      </c>
      <c r="DJ203" s="37">
        <f t="shared" ref="DJ203:DJ207" si="292">DI203/55.85</f>
        <v>0.19093035518870533</v>
      </c>
      <c r="DK203" s="37">
        <f t="shared" ref="DK203:DK207" si="293">DJ203*1</f>
        <v>0.19093035518870533</v>
      </c>
      <c r="DL203" s="55">
        <f t="shared" ref="DL203:DM207" si="294">$EG203*(55.84/96.06)</f>
        <v>10.463460337289193</v>
      </c>
      <c r="DM203" s="55">
        <f t="shared" si="294"/>
        <v>10.463460337289193</v>
      </c>
      <c r="DN203" s="37">
        <f t="shared" ref="DN203:DN207" si="295">DM203+DF203</f>
        <v>10.663460337289193</v>
      </c>
      <c r="DO203" s="55">
        <f t="shared" ref="DO203:DO207" si="296">DN203/55.85</f>
        <v>0.19093035518870533</v>
      </c>
      <c r="DP203" s="55">
        <f t="shared" ref="DP203:DP207" si="297">DO203*1</f>
        <v>0.19093035518870533</v>
      </c>
      <c r="DQ203" s="37">
        <v>0.8</v>
      </c>
      <c r="DR203" s="37">
        <f t="shared" ref="DR203:DR207" si="298">DQ203/54.93</f>
        <v>1.4563990533406155E-2</v>
      </c>
      <c r="DS203" s="37">
        <f t="shared" ref="DS203:DS207" si="299">DR203*2</f>
        <v>2.912798106681231E-2</v>
      </c>
      <c r="DT203" s="37">
        <f t="shared" si="264"/>
        <v>13.109755513144478</v>
      </c>
      <c r="DU203" s="37">
        <f t="shared" si="265"/>
        <v>6.5548777565722389</v>
      </c>
      <c r="DV203" s="37">
        <f t="shared" si="266"/>
        <v>11.463460337289193</v>
      </c>
      <c r="DW203" s="37">
        <f t="shared" si="267"/>
        <v>0.22005833625551763</v>
      </c>
      <c r="DX203" t="s">
        <v>780</v>
      </c>
      <c r="DY203" t="s">
        <v>124</v>
      </c>
      <c r="DZ203" s="29">
        <f t="shared" si="252"/>
        <v>1</v>
      </c>
      <c r="EA203" s="30">
        <v>1.7000000000000001E-2</v>
      </c>
      <c r="EB203" s="30">
        <f t="shared" ref="EB203:EB207" si="300">EA203/62</f>
        <v>2.741935483870968E-4</v>
      </c>
      <c r="EC203" s="30">
        <f t="shared" ref="EC203:EC207" si="301">EB203*5</f>
        <v>1.370967741935484E-3</v>
      </c>
      <c r="ED203" s="31">
        <f t="shared" si="255"/>
        <v>18</v>
      </c>
      <c r="EE203" s="33">
        <f t="shared" si="254"/>
        <v>25</v>
      </c>
      <c r="EF203" s="37">
        <f t="shared" si="268"/>
        <v>1.4990630855715177</v>
      </c>
      <c r="EG203" s="37">
        <f>$EK186-EK203</f>
        <v>18</v>
      </c>
      <c r="EH203" s="33">
        <f>(EG203/$EK$186)*100</f>
        <v>25</v>
      </c>
      <c r="EI203" s="37">
        <f t="shared" si="251"/>
        <v>1.4990630855715177</v>
      </c>
      <c r="EJ203" s="37">
        <f>($EG203/96.06)*8</f>
        <v>1.4990630855715177</v>
      </c>
      <c r="EK203" s="31">
        <v>54</v>
      </c>
      <c r="EL203" s="31">
        <f t="shared" ref="EL203:EL207" si="302">EK203/96.06</f>
        <v>0.56214865708931916</v>
      </c>
      <c r="EM203" s="31">
        <f t="shared" ref="EM203:EM207" si="303">EL203*8</f>
        <v>4.4971892567145533</v>
      </c>
      <c r="EN203" s="32">
        <f t="shared" si="269"/>
        <v>4.4985602244564884</v>
      </c>
      <c r="EO203" s="39">
        <f t="shared" si="248"/>
        <v>1.7191214218270354</v>
      </c>
      <c r="EP203" s="37">
        <f t="shared" si="270"/>
        <v>1.6943527488509733E-2</v>
      </c>
      <c r="EQ203" s="37">
        <f t="shared" si="271"/>
        <v>0.11106275145230274</v>
      </c>
      <c r="ER203" s="37">
        <f t="shared" si="272"/>
        <v>0.87199372105918749</v>
      </c>
      <c r="ES203" s="39">
        <f t="shared" ref="ES203:ES207" si="304">$DP203+$DS203+$EJ203</f>
        <v>1.7191214218270354</v>
      </c>
      <c r="ET203" s="55">
        <f t="shared" ref="ET203:ET207" si="305">($DP203/$ES203)*100</f>
        <v>11.106275145230274</v>
      </c>
      <c r="EU203" s="55">
        <f t="shared" ref="EU203:EU207" si="306">($DS203/$ES203)*100</f>
        <v>1.6943527488509733</v>
      </c>
      <c r="EV203" s="55">
        <f t="shared" ref="EV203:EV207" si="307">($EJ203/$ES203)*100</f>
        <v>87.199372105918755</v>
      </c>
      <c r="EW203" t="s">
        <v>761</v>
      </c>
      <c r="EX203">
        <v>10</v>
      </c>
      <c r="EY203">
        <v>-92</v>
      </c>
      <c r="EZ203" t="s">
        <v>212</v>
      </c>
      <c r="FA203">
        <v>1138</v>
      </c>
      <c r="FB203" t="s">
        <v>72</v>
      </c>
      <c r="FC203" t="s">
        <v>88</v>
      </c>
      <c r="FD203" s="39">
        <f t="shared" ref="FD203:FD207" si="308">$AR203+$AT203-$EO203</f>
        <v>-0.28050409540252463</v>
      </c>
      <c r="FE203" s="39">
        <f t="shared" ref="FE203:FE207" si="309">$AR203+$AT203+$CQ203-$EO203</f>
        <v>-0.20853996335050451</v>
      </c>
      <c r="FF203" s="39">
        <f t="shared" ref="FF203:FF207" si="310">$AR203+$AT203-$ES203</f>
        <v>-0.28050409540252463</v>
      </c>
      <c r="FG203" s="39">
        <f t="shared" ref="FG203:FG207" si="311">$AR203+$AT203+$CQ203-$ES203</f>
        <v>-0.20853996335050451</v>
      </c>
    </row>
    <row r="204" spans="1:163" ht="15.75" x14ac:dyDescent="0.25">
      <c r="A204" s="3" t="s">
        <v>461</v>
      </c>
      <c r="B204" s="3" t="s">
        <v>461</v>
      </c>
      <c r="C204" s="3" t="s">
        <v>993</v>
      </c>
      <c r="D204" s="3" t="s">
        <v>993</v>
      </c>
      <c r="E204" s="21" t="s">
        <v>1471</v>
      </c>
      <c r="F204" s="3" t="s">
        <v>1027</v>
      </c>
      <c r="G204" s="3" t="s">
        <v>774</v>
      </c>
      <c r="H204" s="3" t="str">
        <f t="shared" si="257"/>
        <v>CW_3_Section_2</v>
      </c>
      <c r="I204" s="3" t="str">
        <f t="shared" si="258"/>
        <v>CW_3_MF05</v>
      </c>
      <c r="J204" s="3" t="s">
        <v>1496</v>
      </c>
      <c r="K204" s="3" t="s">
        <v>1484</v>
      </c>
      <c r="L204" s="11" t="s">
        <v>1098</v>
      </c>
      <c r="M204" s="3" t="s">
        <v>1015</v>
      </c>
      <c r="N204" s="3" t="s">
        <v>1015</v>
      </c>
      <c r="O204" s="12" t="s">
        <v>1016</v>
      </c>
      <c r="P204" s="3" t="s">
        <v>1472</v>
      </c>
      <c r="Q204" s="3" t="s">
        <v>1018</v>
      </c>
      <c r="R204" s="3" t="s">
        <v>1435</v>
      </c>
      <c r="S204" s="3" t="str">
        <f t="shared" si="259"/>
        <v>T8_0.15-0.30</v>
      </c>
      <c r="T204" s="13" t="s">
        <v>1436</v>
      </c>
      <c r="U204" s="3" t="s">
        <v>1160</v>
      </c>
      <c r="V204" s="3">
        <v>150</v>
      </c>
      <c r="W204" s="3">
        <v>65</v>
      </c>
      <c r="X204" s="14">
        <v>10.5</v>
      </c>
      <c r="Y204" s="3">
        <v>203</v>
      </c>
      <c r="Z204" t="s">
        <v>762</v>
      </c>
      <c r="AA204" t="s">
        <v>250</v>
      </c>
      <c r="AB204" s="1">
        <v>46008</v>
      </c>
      <c r="AC204">
        <v>1.9</v>
      </c>
      <c r="AD204">
        <v>2.2999999999999998</v>
      </c>
      <c r="AE204">
        <v>1.4</v>
      </c>
      <c r="AF204" s="37">
        <f t="shared" si="273"/>
        <v>5.3770323902189218E-4</v>
      </c>
      <c r="AG204">
        <v>0.02</v>
      </c>
      <c r="AH204" s="37">
        <f t="shared" si="274"/>
        <v>7.8141957890167132E-6</v>
      </c>
      <c r="AI204">
        <v>1.7</v>
      </c>
      <c r="AJ204" s="37">
        <f t="shared" si="275"/>
        <v>6.7250635772817175E-4</v>
      </c>
      <c r="AK204">
        <v>0.47</v>
      </c>
      <c r="AL204" s="37">
        <f t="shared" si="276"/>
        <v>1.8592822831308279E-4</v>
      </c>
      <c r="AM204">
        <v>0.31</v>
      </c>
      <c r="AN204" s="37">
        <f t="shared" si="277"/>
        <v>1.2263351229160779E-4</v>
      </c>
      <c r="AO204">
        <v>0.78</v>
      </c>
      <c r="AQ204" s="59">
        <v>4.0199999999999996</v>
      </c>
      <c r="AR204" s="59">
        <f t="shared" si="278"/>
        <v>1.2180237925390807E-3</v>
      </c>
      <c r="AS204">
        <v>9.9</v>
      </c>
      <c r="AT204" s="37">
        <f t="shared" si="279"/>
        <v>3.7075758757899669E-3</v>
      </c>
      <c r="AU204" t="s">
        <v>780</v>
      </c>
      <c r="AV204" t="s">
        <v>780</v>
      </c>
      <c r="AW204" t="s">
        <v>780</v>
      </c>
      <c r="AX204" t="s">
        <v>780</v>
      </c>
      <c r="AY204" t="s">
        <v>780</v>
      </c>
      <c r="AZ204" t="s">
        <v>780</v>
      </c>
      <c r="BA204" t="s">
        <v>780</v>
      </c>
      <c r="BB204" t="s">
        <v>780</v>
      </c>
      <c r="BC204" t="s">
        <v>780</v>
      </c>
      <c r="BD204" t="s">
        <v>780</v>
      </c>
      <c r="BE204" t="s">
        <v>780</v>
      </c>
      <c r="BF204" t="s">
        <v>780</v>
      </c>
      <c r="BG204" t="s">
        <v>780</v>
      </c>
      <c r="BH204" t="s">
        <v>780</v>
      </c>
      <c r="BI204" t="s">
        <v>780</v>
      </c>
      <c r="BJ204" t="s">
        <v>780</v>
      </c>
      <c r="BK204" t="s">
        <v>780</v>
      </c>
      <c r="BL204" t="s">
        <v>780</v>
      </c>
      <c r="BM204" t="s">
        <v>780</v>
      </c>
      <c r="BN204" t="s">
        <v>780</v>
      </c>
      <c r="BO204" s="58">
        <v>8.1</v>
      </c>
      <c r="BP204" s="58">
        <v>0.01</v>
      </c>
      <c r="BQ204" s="58">
        <v>0.01</v>
      </c>
      <c r="BR204" s="58">
        <v>5.0000000000000001E-3</v>
      </c>
      <c r="BS204" s="58">
        <v>1E-3</v>
      </c>
      <c r="BT204" s="58">
        <v>1E-3</v>
      </c>
      <c r="BU204" s="58">
        <v>1E-3</v>
      </c>
      <c r="BV204" s="58">
        <v>2E-3</v>
      </c>
      <c r="BW204" s="31">
        <f t="shared" si="280"/>
        <v>3.0334711711008811E-3</v>
      </c>
      <c r="BX204" s="31">
        <f t="shared" si="281"/>
        <v>3.6796110125501018E-6</v>
      </c>
      <c r="BY204" s="31">
        <f t="shared" si="282"/>
        <v>3.7611049867064394E-6</v>
      </c>
      <c r="BZ204" s="31">
        <f t="shared" si="283"/>
        <v>1.8649981951630372E-6</v>
      </c>
      <c r="CA204" s="31">
        <f t="shared" si="284"/>
        <v>3.7030802895135499E-7</v>
      </c>
      <c r="CB204" s="31">
        <f t="shared" si="285"/>
        <v>3.7030802895135499E-7</v>
      </c>
      <c r="CC204" s="31">
        <f t="shared" si="286"/>
        <v>3.6588380716934485E-7</v>
      </c>
      <c r="CD204" s="31">
        <f t="shared" si="287"/>
        <v>7.3176761433868969E-7</v>
      </c>
      <c r="CE204">
        <v>1E-3</v>
      </c>
      <c r="CF204">
        <v>1E-3</v>
      </c>
      <c r="CG204">
        <v>2E-3</v>
      </c>
      <c r="CH204">
        <v>1E-3</v>
      </c>
      <c r="CI204">
        <v>1E-3</v>
      </c>
      <c r="CK204">
        <v>2E-3</v>
      </c>
      <c r="CL204">
        <v>1E-3</v>
      </c>
      <c r="CM204">
        <v>1E-3</v>
      </c>
      <c r="CN204" s="58">
        <f t="shared" ref="CN204:CN207" si="312">$BO204+$BP204+$BQ204+$BR204+$BS204+$BT204+$BU204+$BV204</f>
        <v>8.129999999999999</v>
      </c>
      <c r="CO204" s="58">
        <f t="shared" si="288"/>
        <v>3.0000000000000006E-2</v>
      </c>
      <c r="CP204" s="31">
        <f t="shared" si="289"/>
        <v>3.0446151527747114E-3</v>
      </c>
      <c r="CQ204" s="31">
        <f t="shared" si="290"/>
        <v>1.1143981673830322E-5</v>
      </c>
      <c r="CR204">
        <v>8.1</v>
      </c>
      <c r="CS204" t="s">
        <v>69</v>
      </c>
      <c r="CT204" t="s">
        <v>69</v>
      </c>
      <c r="CU204" t="s">
        <v>69</v>
      </c>
      <c r="CV204" t="s">
        <v>69</v>
      </c>
      <c r="CW204">
        <v>5</v>
      </c>
      <c r="CX204" s="2">
        <f t="shared" si="260"/>
        <v>12.12</v>
      </c>
      <c r="CZ204">
        <v>70</v>
      </c>
      <c r="DA204" t="s">
        <v>62</v>
      </c>
      <c r="DB204" t="s">
        <v>88</v>
      </c>
      <c r="DC204" t="s">
        <v>782</v>
      </c>
      <c r="DD204" s="37">
        <f t="shared" si="261"/>
        <v>21.508224026650009</v>
      </c>
      <c r="DE204" s="37">
        <f t="shared" ref="DE204:DE207" si="313">$ED204*(55.84/96.06)</f>
        <v>21.508224026650009</v>
      </c>
      <c r="DF204" s="37">
        <v>3.4</v>
      </c>
      <c r="DG204" s="37">
        <f t="shared" si="262"/>
        <v>6.0877350044762753E-2</v>
      </c>
      <c r="DH204" s="37">
        <f t="shared" si="291"/>
        <v>6.0877350044762753E-2</v>
      </c>
      <c r="DI204" s="37">
        <f t="shared" si="263"/>
        <v>24.908224026650007</v>
      </c>
      <c r="DJ204" s="37">
        <f t="shared" si="292"/>
        <v>0.44598431560698309</v>
      </c>
      <c r="DK204" s="37">
        <f t="shared" si="293"/>
        <v>0.44598431560698309</v>
      </c>
      <c r="DL204" s="55">
        <f t="shared" si="294"/>
        <v>-20.054965646470954</v>
      </c>
      <c r="DN204" s="37">
        <f t="shared" si="295"/>
        <v>3.4</v>
      </c>
      <c r="DO204" s="55">
        <f t="shared" si="296"/>
        <v>6.0877350044762753E-2</v>
      </c>
      <c r="DP204" s="55">
        <f t="shared" si="297"/>
        <v>6.0877350044762753E-2</v>
      </c>
      <c r="DQ204" s="37">
        <v>8.3000000000000007</v>
      </c>
      <c r="DR204" s="37">
        <f t="shared" si="298"/>
        <v>0.15110140178408885</v>
      </c>
      <c r="DS204" s="37">
        <f t="shared" si="299"/>
        <v>0.30220280356817769</v>
      </c>
      <c r="DT204" s="37">
        <f t="shared" si="264"/>
        <v>2.951556440517058</v>
      </c>
      <c r="DU204" s="37">
        <f t="shared" si="265"/>
        <v>1.475778220258529</v>
      </c>
      <c r="DV204" s="37">
        <f t="shared" si="266"/>
        <v>33.208224026650008</v>
      </c>
      <c r="DW204" s="37">
        <f t="shared" si="267"/>
        <v>0.74818711917516079</v>
      </c>
      <c r="DX204" t="s">
        <v>780</v>
      </c>
      <c r="DY204" t="s">
        <v>615</v>
      </c>
      <c r="DZ204" s="29">
        <f t="shared" si="252"/>
        <v>1</v>
      </c>
      <c r="EA204" s="30">
        <v>1.7000000000000001E-2</v>
      </c>
      <c r="EB204" s="30">
        <f t="shared" si="300"/>
        <v>2.741935483870968E-4</v>
      </c>
      <c r="EC204" s="30">
        <f t="shared" si="301"/>
        <v>1.370967741935484E-3</v>
      </c>
      <c r="ED204" s="31">
        <f t="shared" si="255"/>
        <v>37</v>
      </c>
      <c r="EE204" s="33">
        <f t="shared" si="254"/>
        <v>51.388888888888886</v>
      </c>
      <c r="EF204" s="37">
        <f t="shared" si="268"/>
        <v>3.0814074536747866</v>
      </c>
      <c r="EG204" s="37">
        <f>$EK202-EK204</f>
        <v>-34.5</v>
      </c>
      <c r="EH204" s="33">
        <f>(EG204/$EK202)*100</f>
        <v>-6900</v>
      </c>
      <c r="EI204" s="37">
        <f t="shared" si="251"/>
        <v>-2.8732042473454089</v>
      </c>
      <c r="EJ204" s="37"/>
      <c r="EK204" s="31">
        <v>35</v>
      </c>
      <c r="EL204" s="31">
        <f t="shared" si="302"/>
        <v>0.36435561107641057</v>
      </c>
      <c r="EM204" s="31">
        <f t="shared" si="303"/>
        <v>2.9148448886112845</v>
      </c>
      <c r="EN204" s="32">
        <f t="shared" si="269"/>
        <v>2.9162158563532201</v>
      </c>
      <c r="EO204" s="39">
        <f t="shared" si="248"/>
        <v>3.8295945728499472</v>
      </c>
      <c r="EP204" s="37">
        <f t="shared" si="270"/>
        <v>7.891247959004738E-2</v>
      </c>
      <c r="EQ204" s="37">
        <f t="shared" si="271"/>
        <v>0.11645731868558762</v>
      </c>
      <c r="ER204" s="37">
        <f t="shared" si="272"/>
        <v>0.80463020172436506</v>
      </c>
      <c r="ES204" s="39">
        <f t="shared" si="304"/>
        <v>0.36308015361294044</v>
      </c>
      <c r="ET204" s="55">
        <f t="shared" si="305"/>
        <v>16.766917563238863</v>
      </c>
      <c r="EU204" s="55">
        <f t="shared" si="306"/>
        <v>83.233082436761137</v>
      </c>
      <c r="EV204" s="55">
        <f t="shared" si="307"/>
        <v>0</v>
      </c>
      <c r="EW204" t="s">
        <v>763</v>
      </c>
      <c r="EX204">
        <v>9</v>
      </c>
      <c r="EY204">
        <v>26</v>
      </c>
      <c r="EZ204" t="s">
        <v>246</v>
      </c>
      <c r="FA204">
        <v>1031</v>
      </c>
      <c r="FB204" t="s">
        <v>72</v>
      </c>
      <c r="FC204" t="s">
        <v>88</v>
      </c>
      <c r="FD204" s="39">
        <f t="shared" si="308"/>
        <v>-3.8246689731816184</v>
      </c>
      <c r="FE204" s="39">
        <f t="shared" si="309"/>
        <v>-3.8246578291999445</v>
      </c>
      <c r="FF204" s="39">
        <f t="shared" si="310"/>
        <v>-0.35815455394461138</v>
      </c>
      <c r="FG204" s="39">
        <f t="shared" si="311"/>
        <v>-0.35814340996293759</v>
      </c>
    </row>
    <row r="205" spans="1:163" ht="15.75" x14ac:dyDescent="0.25">
      <c r="A205" s="3" t="s">
        <v>462</v>
      </c>
      <c r="B205" s="3" t="s">
        <v>462</v>
      </c>
      <c r="C205" s="3" t="s">
        <v>994</v>
      </c>
      <c r="D205" s="3" t="s">
        <v>994</v>
      </c>
      <c r="E205" s="21" t="s">
        <v>1473</v>
      </c>
      <c r="F205" s="3" t="s">
        <v>1027</v>
      </c>
      <c r="G205" s="3" t="s">
        <v>774</v>
      </c>
      <c r="H205" s="3" t="str">
        <f t="shared" si="257"/>
        <v>CW_3_Section_2</v>
      </c>
      <c r="I205" s="3" t="str">
        <f t="shared" si="258"/>
        <v>CW_3_MF06</v>
      </c>
      <c r="J205" s="3" t="s">
        <v>1497</v>
      </c>
      <c r="K205" s="3" t="s">
        <v>1484</v>
      </c>
      <c r="L205" s="11" t="s">
        <v>1101</v>
      </c>
      <c r="M205" s="3" t="s">
        <v>1024</v>
      </c>
      <c r="N205" s="3" t="s">
        <v>1024</v>
      </c>
      <c r="O205" s="12" t="s">
        <v>1016</v>
      </c>
      <c r="P205" s="3" t="s">
        <v>1474</v>
      </c>
      <c r="Q205" s="3" t="s">
        <v>1018</v>
      </c>
      <c r="R205" s="3" t="s">
        <v>1435</v>
      </c>
      <c r="S205" s="3" t="str">
        <f t="shared" si="259"/>
        <v>T8_0.60-0.80</v>
      </c>
      <c r="T205" s="13" t="s">
        <v>1436</v>
      </c>
      <c r="U205" s="3" t="s">
        <v>1160</v>
      </c>
      <c r="V205" s="3">
        <v>150</v>
      </c>
      <c r="W205" s="3">
        <v>65</v>
      </c>
      <c r="X205" s="14">
        <v>5.2</v>
      </c>
      <c r="Y205" s="3">
        <v>204</v>
      </c>
      <c r="Z205" t="s">
        <v>764</v>
      </c>
      <c r="AA205" t="s">
        <v>255</v>
      </c>
      <c r="AB205" s="1">
        <v>46008</v>
      </c>
      <c r="AC205">
        <v>7.4</v>
      </c>
      <c r="AD205">
        <v>11</v>
      </c>
      <c r="AE205">
        <v>520</v>
      </c>
      <c r="AF205" s="37">
        <f t="shared" si="273"/>
        <v>0.19971834592241711</v>
      </c>
      <c r="AG205">
        <v>95</v>
      </c>
      <c r="AH205" s="37">
        <f t="shared" si="274"/>
        <v>3.7117429997829396E-2</v>
      </c>
      <c r="AI205">
        <v>240</v>
      </c>
      <c r="AJ205" s="37">
        <f t="shared" si="275"/>
        <v>9.4942074032212498E-2</v>
      </c>
      <c r="AK205">
        <v>110</v>
      </c>
      <c r="AL205" s="37">
        <f t="shared" si="276"/>
        <v>4.3515117264764057E-2</v>
      </c>
      <c r="AM205">
        <v>110</v>
      </c>
      <c r="AN205" s="37">
        <f t="shared" si="277"/>
        <v>4.3515117264764057E-2</v>
      </c>
      <c r="AO205">
        <v>220</v>
      </c>
      <c r="AQ205" s="59">
        <v>1075</v>
      </c>
      <c r="AR205" s="59">
        <f t="shared" si="278"/>
        <v>0.33177784995245901</v>
      </c>
      <c r="AS205">
        <v>1300</v>
      </c>
      <c r="AT205" s="37">
        <f t="shared" si="279"/>
        <v>0.48685339783100573</v>
      </c>
      <c r="AU205" t="s">
        <v>780</v>
      </c>
      <c r="AV205" t="s">
        <v>780</v>
      </c>
      <c r="AW205" t="s">
        <v>780</v>
      </c>
      <c r="AX205" t="s">
        <v>780</v>
      </c>
      <c r="AY205" t="s">
        <v>780</v>
      </c>
      <c r="AZ205" t="s">
        <v>780</v>
      </c>
      <c r="BA205" t="s">
        <v>780</v>
      </c>
      <c r="BB205" t="s">
        <v>780</v>
      </c>
      <c r="BC205" t="s">
        <v>780</v>
      </c>
      <c r="BD205" t="s">
        <v>780</v>
      </c>
      <c r="BE205" t="s">
        <v>780</v>
      </c>
      <c r="BF205" t="s">
        <v>780</v>
      </c>
      <c r="BG205" t="s">
        <v>780</v>
      </c>
      <c r="BH205" t="s">
        <v>780</v>
      </c>
      <c r="BI205" t="s">
        <v>780</v>
      </c>
      <c r="BJ205" t="s">
        <v>780</v>
      </c>
      <c r="BK205" t="s">
        <v>780</v>
      </c>
      <c r="BL205" t="s">
        <v>780</v>
      </c>
      <c r="BM205" t="s">
        <v>780</v>
      </c>
      <c r="BN205" t="s">
        <v>780</v>
      </c>
      <c r="BO205" s="58">
        <v>1200</v>
      </c>
      <c r="BP205" s="58">
        <v>2</v>
      </c>
      <c r="BQ205" s="58">
        <v>50</v>
      </c>
      <c r="BR205" s="58">
        <v>14</v>
      </c>
      <c r="BS205" s="58">
        <v>7.7</v>
      </c>
      <c r="BT205" s="58">
        <v>1.6</v>
      </c>
      <c r="BU205" s="58">
        <v>0.38</v>
      </c>
      <c r="BV205" s="58">
        <v>0.43</v>
      </c>
      <c r="BW205" s="31">
        <f t="shared" si="280"/>
        <v>0.44940313645938984</v>
      </c>
      <c r="BX205" s="31">
        <f t="shared" si="281"/>
        <v>7.3592220251002033E-4</v>
      </c>
      <c r="BY205" s="31">
        <f t="shared" si="282"/>
        <v>1.8805524933532197E-2</v>
      </c>
      <c r="BZ205" s="31">
        <f t="shared" si="283"/>
        <v>5.2219949464565032E-3</v>
      </c>
      <c r="CA205" s="31">
        <f t="shared" si="284"/>
        <v>2.8513718229254336E-3</v>
      </c>
      <c r="CB205" s="31">
        <f t="shared" si="285"/>
        <v>5.9249284632216796E-4</v>
      </c>
      <c r="CC205" s="31">
        <f t="shared" si="286"/>
        <v>1.3903584672435106E-4</v>
      </c>
      <c r="CD205" s="31">
        <f t="shared" si="287"/>
        <v>1.573300370828183E-4</v>
      </c>
      <c r="CE205">
        <v>0.01</v>
      </c>
      <c r="CF205">
        <v>0.01</v>
      </c>
      <c r="CG205">
        <v>2E-3</v>
      </c>
      <c r="CH205">
        <v>1E-3</v>
      </c>
      <c r="CI205">
        <v>1E-3</v>
      </c>
      <c r="CK205">
        <v>2E-3</v>
      </c>
      <c r="CL205">
        <v>1E-3</v>
      </c>
      <c r="CM205">
        <v>1E-3</v>
      </c>
      <c r="CN205" s="58">
        <f t="shared" si="312"/>
        <v>1276.1100000000001</v>
      </c>
      <c r="CO205" s="58">
        <f t="shared" si="288"/>
        <v>76.11</v>
      </c>
      <c r="CP205" s="31">
        <f t="shared" si="289"/>
        <v>0.47790680909494332</v>
      </c>
      <c r="CQ205" s="31">
        <f t="shared" si="290"/>
        <v>2.8503672635553489E-2</v>
      </c>
      <c r="CR205">
        <v>1300</v>
      </c>
      <c r="CS205">
        <v>2100</v>
      </c>
      <c r="CT205">
        <v>510</v>
      </c>
      <c r="CU205" t="s">
        <v>69</v>
      </c>
      <c r="CV205" t="s">
        <v>69</v>
      </c>
      <c r="CW205">
        <v>2700</v>
      </c>
      <c r="CX205" s="2">
        <f t="shared" si="260"/>
        <v>2375</v>
      </c>
      <c r="CZ205">
        <v>73</v>
      </c>
      <c r="DA205" t="s">
        <v>62</v>
      </c>
      <c r="DB205" t="s">
        <v>88</v>
      </c>
      <c r="DC205" t="s">
        <v>782</v>
      </c>
      <c r="DD205" s="37">
        <f t="shared" si="261"/>
        <v>4.650426816572975</v>
      </c>
      <c r="DE205" s="37">
        <f t="shared" si="313"/>
        <v>4.650426816572975</v>
      </c>
      <c r="DF205" s="37">
        <v>0.02</v>
      </c>
      <c r="DG205" s="37">
        <f t="shared" si="262"/>
        <v>3.5810205908683976E-4</v>
      </c>
      <c r="DH205" s="37">
        <f t="shared" si="291"/>
        <v>3.5810205908683976E-4</v>
      </c>
      <c r="DI205" s="37">
        <f t="shared" si="263"/>
        <v>4.6704268165729745</v>
      </c>
      <c r="DJ205" s="37">
        <f t="shared" si="292"/>
        <v>8.3624472991458809E-2</v>
      </c>
      <c r="DK205" s="37">
        <f t="shared" si="293"/>
        <v>8.3624472991458809E-2</v>
      </c>
      <c r="DL205" s="55">
        <f t="shared" si="294"/>
        <v>-5.8130335207162185</v>
      </c>
      <c r="DN205" s="37">
        <f t="shared" si="295"/>
        <v>0.02</v>
      </c>
      <c r="DO205" s="55">
        <f t="shared" si="296"/>
        <v>3.5810205908683976E-4</v>
      </c>
      <c r="DP205" s="55">
        <f t="shared" si="297"/>
        <v>3.5810205908683976E-4</v>
      </c>
      <c r="DQ205" s="37">
        <v>0.8</v>
      </c>
      <c r="DR205" s="37">
        <f t="shared" si="298"/>
        <v>1.4563990533406155E-2</v>
      </c>
      <c r="DS205" s="37">
        <f t="shared" si="299"/>
        <v>2.912798106681231E-2</v>
      </c>
      <c r="DT205" s="37">
        <f t="shared" si="264"/>
        <v>5.7418653767760395</v>
      </c>
      <c r="DU205" s="37">
        <f t="shared" si="265"/>
        <v>2.8709326883880197</v>
      </c>
      <c r="DV205" s="37">
        <f t="shared" si="266"/>
        <v>5.4704268165729744</v>
      </c>
      <c r="DW205" s="37">
        <f t="shared" si="267"/>
        <v>0.11275245405827111</v>
      </c>
      <c r="DX205" t="s">
        <v>780</v>
      </c>
      <c r="DY205" t="s">
        <v>519</v>
      </c>
      <c r="DZ205" s="29">
        <f t="shared" si="252"/>
        <v>1</v>
      </c>
      <c r="EA205" s="30">
        <v>1.7000000000000001E-2</v>
      </c>
      <c r="EB205" s="30">
        <f t="shared" si="300"/>
        <v>2.741935483870968E-4</v>
      </c>
      <c r="EC205" s="30">
        <f t="shared" si="301"/>
        <v>1.370967741935484E-3</v>
      </c>
      <c r="ED205" s="31">
        <f t="shared" si="255"/>
        <v>8</v>
      </c>
      <c r="EE205" s="33">
        <f t="shared" si="254"/>
        <v>11.111111111111111</v>
      </c>
      <c r="EF205" s="37">
        <f t="shared" si="268"/>
        <v>0.66625026025400791</v>
      </c>
      <c r="EG205" s="37">
        <f>$EK203-EK205</f>
        <v>-10</v>
      </c>
      <c r="EH205" s="33">
        <f>(EG205/$EK203)*100</f>
        <v>-18.518518518518519</v>
      </c>
      <c r="EI205" s="37">
        <f t="shared" si="251"/>
        <v>-0.83281282531750989</v>
      </c>
      <c r="EJ205" s="37"/>
      <c r="EK205" s="31">
        <v>64</v>
      </c>
      <c r="EL205" s="31">
        <f t="shared" si="302"/>
        <v>0.66625026025400791</v>
      </c>
      <c r="EM205" s="31">
        <f t="shared" si="303"/>
        <v>5.3300020820320633</v>
      </c>
      <c r="EN205" s="32">
        <f t="shared" si="269"/>
        <v>5.3313730497739984</v>
      </c>
      <c r="EO205" s="39">
        <f t="shared" si="248"/>
        <v>0.77900271431227908</v>
      </c>
      <c r="EP205" s="37">
        <f t="shared" si="270"/>
        <v>3.7391373010204641E-2</v>
      </c>
      <c r="EQ205" s="37">
        <f t="shared" si="271"/>
        <v>0.10734811503870606</v>
      </c>
      <c r="ER205" s="37">
        <f t="shared" si="272"/>
        <v>0.85526051195108921</v>
      </c>
      <c r="ES205" s="39">
        <f t="shared" si="304"/>
        <v>2.9486083125899148E-2</v>
      </c>
      <c r="ET205" s="55">
        <f t="shared" si="305"/>
        <v>1.2144782253981379</v>
      </c>
      <c r="EU205" s="55">
        <f t="shared" si="306"/>
        <v>98.785521774601875</v>
      </c>
      <c r="EV205" s="55">
        <f t="shared" si="307"/>
        <v>0</v>
      </c>
      <c r="EW205" t="s">
        <v>765</v>
      </c>
      <c r="EX205">
        <v>9</v>
      </c>
      <c r="EY205">
        <v>-82</v>
      </c>
      <c r="EZ205" t="s">
        <v>200</v>
      </c>
      <c r="FA205">
        <v>1107</v>
      </c>
      <c r="FB205" t="s">
        <v>72</v>
      </c>
      <c r="FC205" t="s">
        <v>88</v>
      </c>
      <c r="FD205" s="39">
        <f t="shared" si="308"/>
        <v>3.9628533471185667E-2</v>
      </c>
      <c r="FE205" s="39">
        <f t="shared" si="309"/>
        <v>6.8132206106739202E-2</v>
      </c>
      <c r="FF205" s="39">
        <f t="shared" si="310"/>
        <v>0.78914516465756557</v>
      </c>
      <c r="FG205" s="39">
        <f t="shared" si="311"/>
        <v>0.8176488372931191</v>
      </c>
    </row>
    <row r="206" spans="1:163" ht="15.75" x14ac:dyDescent="0.25">
      <c r="A206" s="3" t="s">
        <v>463</v>
      </c>
      <c r="B206" s="3" t="s">
        <v>463</v>
      </c>
      <c r="C206" s="3" t="s">
        <v>995</v>
      </c>
      <c r="D206" s="3" t="s">
        <v>995</v>
      </c>
      <c r="E206" s="21" t="s">
        <v>1475</v>
      </c>
      <c r="F206" s="3" t="s">
        <v>1034</v>
      </c>
      <c r="G206" s="3" t="s">
        <v>774</v>
      </c>
      <c r="H206" s="3" t="str">
        <f t="shared" si="257"/>
        <v>CW_3_Section_3</v>
      </c>
      <c r="I206" s="3" t="str">
        <f t="shared" si="258"/>
        <v>CW_3_MF09</v>
      </c>
      <c r="J206" s="3" t="s">
        <v>1492</v>
      </c>
      <c r="K206" s="3" t="s">
        <v>1484</v>
      </c>
      <c r="L206" s="11" t="s">
        <v>1104</v>
      </c>
      <c r="M206" s="3" t="s">
        <v>1015</v>
      </c>
      <c r="N206" s="3" t="s">
        <v>1015</v>
      </c>
      <c r="O206" s="12" t="s">
        <v>1016</v>
      </c>
      <c r="P206" s="3" t="s">
        <v>1476</v>
      </c>
      <c r="Q206" s="3" t="s">
        <v>1018</v>
      </c>
      <c r="R206" s="3" t="s">
        <v>1435</v>
      </c>
      <c r="S206" s="3" t="str">
        <f t="shared" si="259"/>
        <v>T8_0.15-0.30</v>
      </c>
      <c r="T206" s="13" t="s">
        <v>1436</v>
      </c>
      <c r="U206" s="3" t="s">
        <v>1160</v>
      </c>
      <c r="V206" s="3">
        <v>150</v>
      </c>
      <c r="W206" s="3">
        <v>65</v>
      </c>
      <c r="X206" s="14">
        <v>8.25</v>
      </c>
      <c r="Y206" s="3">
        <v>205</v>
      </c>
      <c r="Z206" t="s">
        <v>768</v>
      </c>
      <c r="AA206" t="s">
        <v>261</v>
      </c>
      <c r="AB206" s="1">
        <v>46009</v>
      </c>
      <c r="AC206">
        <v>13</v>
      </c>
      <c r="AD206">
        <v>14</v>
      </c>
      <c r="AE206">
        <v>120</v>
      </c>
      <c r="AF206" s="37">
        <f t="shared" si="273"/>
        <v>4.6088849059019332E-2</v>
      </c>
      <c r="AG206">
        <v>3.4</v>
      </c>
      <c r="AH206" s="37">
        <f t="shared" si="274"/>
        <v>1.3284132841328412E-3</v>
      </c>
      <c r="AI206">
        <v>37</v>
      </c>
      <c r="AJ206" s="37">
        <f t="shared" si="275"/>
        <v>1.4636903079966092E-2</v>
      </c>
      <c r="AK206">
        <v>27</v>
      </c>
      <c r="AL206" s="37">
        <f t="shared" si="276"/>
        <v>1.0680983328623906E-2</v>
      </c>
      <c r="AM206">
        <v>8.3000000000000007</v>
      </c>
      <c r="AN206" s="37">
        <f t="shared" si="277"/>
        <v>3.2834133936140157E-3</v>
      </c>
      <c r="AO206">
        <v>35.299999999999997</v>
      </c>
      <c r="AQ206" s="59">
        <v>195.7</v>
      </c>
      <c r="AR206" s="59">
        <f t="shared" si="278"/>
        <v>6.2054165423118271E-2</v>
      </c>
      <c r="AS206">
        <v>160</v>
      </c>
      <c r="AT206" s="37">
        <f t="shared" si="279"/>
        <v>5.9920418194585309E-2</v>
      </c>
      <c r="AU206" t="s">
        <v>780</v>
      </c>
      <c r="AV206" t="s">
        <v>780</v>
      </c>
      <c r="AW206" t="s">
        <v>780</v>
      </c>
      <c r="AX206" t="s">
        <v>780</v>
      </c>
      <c r="AY206" t="s">
        <v>780</v>
      </c>
      <c r="AZ206" t="s">
        <v>780</v>
      </c>
      <c r="BA206" t="s">
        <v>780</v>
      </c>
      <c r="BB206" t="s">
        <v>780</v>
      </c>
      <c r="BC206" t="s">
        <v>780</v>
      </c>
      <c r="BD206" t="s">
        <v>780</v>
      </c>
      <c r="BE206" t="s">
        <v>780</v>
      </c>
      <c r="BF206" t="s">
        <v>780</v>
      </c>
      <c r="BG206" t="s">
        <v>780</v>
      </c>
      <c r="BH206" t="s">
        <v>780</v>
      </c>
      <c r="BI206" t="s">
        <v>780</v>
      </c>
      <c r="BJ206" t="s">
        <v>780</v>
      </c>
      <c r="BK206" t="s">
        <v>780</v>
      </c>
      <c r="BL206" t="s">
        <v>780</v>
      </c>
      <c r="BM206" t="s">
        <v>780</v>
      </c>
      <c r="BN206" t="s">
        <v>780</v>
      </c>
      <c r="BO206" s="58">
        <v>28</v>
      </c>
      <c r="BP206" s="58">
        <v>0.01</v>
      </c>
      <c r="BQ206" s="58">
        <v>0.01</v>
      </c>
      <c r="BR206" s="58">
        <v>5.0000000000000001E-3</v>
      </c>
      <c r="BS206" s="58">
        <v>0.01</v>
      </c>
      <c r="BT206" s="58">
        <v>1E-3</v>
      </c>
      <c r="BU206" s="58">
        <v>1E-3</v>
      </c>
      <c r="BV206" s="58">
        <v>2E-3</v>
      </c>
      <c r="BW206" s="31">
        <f t="shared" si="280"/>
        <v>1.048607318405243E-2</v>
      </c>
      <c r="BX206" s="31">
        <f t="shared" si="281"/>
        <v>3.6796110125501018E-6</v>
      </c>
      <c r="BY206" s="31">
        <f t="shared" si="282"/>
        <v>3.7611049867064394E-6</v>
      </c>
      <c r="BZ206" s="31">
        <f t="shared" si="283"/>
        <v>1.8649981951630372E-6</v>
      </c>
      <c r="CA206" s="31">
        <f t="shared" si="284"/>
        <v>3.7030802895135499E-6</v>
      </c>
      <c r="CB206" s="31">
        <f t="shared" si="285"/>
        <v>3.7030802895135499E-7</v>
      </c>
      <c r="CC206" s="31">
        <f t="shared" si="286"/>
        <v>3.6588380716934485E-7</v>
      </c>
      <c r="CD206" s="31">
        <f t="shared" si="287"/>
        <v>7.3176761433868969E-7</v>
      </c>
      <c r="CE206">
        <v>1E-3</v>
      </c>
      <c r="CF206">
        <v>1E-3</v>
      </c>
      <c r="CG206">
        <v>2E-3</v>
      </c>
      <c r="CH206">
        <v>1E-3</v>
      </c>
      <c r="CI206">
        <v>1E-3</v>
      </c>
      <c r="CK206">
        <v>2E-3</v>
      </c>
      <c r="CL206">
        <v>1E-3</v>
      </c>
      <c r="CM206">
        <v>1E-3</v>
      </c>
      <c r="CN206" s="58">
        <f t="shared" si="312"/>
        <v>28.039000000000005</v>
      </c>
      <c r="CO206" s="58">
        <f t="shared" si="288"/>
        <v>3.9000000000000007E-2</v>
      </c>
      <c r="CP206" s="31">
        <f t="shared" si="289"/>
        <v>1.0500549937986822E-2</v>
      </c>
      <c r="CQ206" s="31">
        <f t="shared" si="290"/>
        <v>1.4476753934392517E-5</v>
      </c>
      <c r="CR206">
        <v>28</v>
      </c>
      <c r="CS206">
        <v>360</v>
      </c>
      <c r="CT206" t="s">
        <v>69</v>
      </c>
      <c r="CU206" t="s">
        <v>69</v>
      </c>
      <c r="CV206" t="s">
        <v>69</v>
      </c>
      <c r="CW206">
        <v>370</v>
      </c>
      <c r="CX206" s="2">
        <f t="shared" si="260"/>
        <v>223.7</v>
      </c>
      <c r="CZ206">
        <v>43</v>
      </c>
      <c r="DA206" t="s">
        <v>62</v>
      </c>
      <c r="DB206" t="s">
        <v>88</v>
      </c>
      <c r="DC206" t="s">
        <v>782</v>
      </c>
      <c r="DD206" s="37">
        <f t="shared" si="261"/>
        <v>41.563189673120966</v>
      </c>
      <c r="DE206" s="37">
        <f t="shared" si="313"/>
        <v>41.563189673120966</v>
      </c>
      <c r="DF206" s="37">
        <v>31</v>
      </c>
      <c r="DG206" s="37">
        <f t="shared" si="262"/>
        <v>0.55505819158460157</v>
      </c>
      <c r="DH206" s="37">
        <f t="shared" si="291"/>
        <v>0.55505819158460157</v>
      </c>
      <c r="DI206" s="37">
        <f t="shared" si="263"/>
        <v>72.563189673120974</v>
      </c>
      <c r="DJ206" s="37">
        <f t="shared" si="292"/>
        <v>1.2992513817926763</v>
      </c>
      <c r="DK206" s="37">
        <f t="shared" si="293"/>
        <v>1.2992513817926763</v>
      </c>
      <c r="DL206" s="55">
        <f t="shared" si="294"/>
        <v>20.054965646470954</v>
      </c>
      <c r="DM206" s="55">
        <f t="shared" si="294"/>
        <v>20.054965646470954</v>
      </c>
      <c r="DN206" s="37">
        <f t="shared" si="295"/>
        <v>51.054965646470954</v>
      </c>
      <c r="DO206" s="55">
        <f t="shared" si="296"/>
        <v>0.91414441623045573</v>
      </c>
      <c r="DP206" s="55">
        <f t="shared" si="297"/>
        <v>0.91414441623045573</v>
      </c>
      <c r="DQ206" s="37">
        <v>4.9000000000000004</v>
      </c>
      <c r="DR206" s="37">
        <f t="shared" si="298"/>
        <v>8.9204442017112695E-2</v>
      </c>
      <c r="DS206" s="37">
        <f t="shared" si="299"/>
        <v>0.17840888403422539</v>
      </c>
      <c r="DT206" s="37">
        <f t="shared" si="264"/>
        <v>14.564873143239124</v>
      </c>
      <c r="DU206" s="37">
        <f t="shared" si="265"/>
        <v>7.282436571619562</v>
      </c>
      <c r="DV206" s="37">
        <f t="shared" si="266"/>
        <v>77.463189673120979</v>
      </c>
      <c r="DW206" s="37">
        <f t="shared" si="267"/>
        <v>1.4776602658269016</v>
      </c>
      <c r="DX206" t="s">
        <v>780</v>
      </c>
      <c r="DY206" t="s">
        <v>55</v>
      </c>
      <c r="DZ206" s="29">
        <f t="shared" si="252"/>
        <v>1</v>
      </c>
      <c r="EA206" s="30">
        <v>1.7000000000000001E-2</v>
      </c>
      <c r="EB206" s="30">
        <f t="shared" si="300"/>
        <v>2.741935483870968E-4</v>
      </c>
      <c r="EC206" s="30">
        <f t="shared" si="301"/>
        <v>1.370967741935484E-3</v>
      </c>
      <c r="ED206" s="31">
        <f t="shared" si="255"/>
        <v>71.5</v>
      </c>
      <c r="EE206" s="33">
        <f t="shared" si="254"/>
        <v>99.305555555555557</v>
      </c>
      <c r="EF206" s="37">
        <f t="shared" si="268"/>
        <v>5.9546117010201955</v>
      </c>
      <c r="EG206" s="37">
        <f>$EK204-EK206</f>
        <v>34.5</v>
      </c>
      <c r="EH206" s="33">
        <f>(EG206/$EK204)*100</f>
        <v>98.571428571428584</v>
      </c>
      <c r="EI206" s="37">
        <f t="shared" si="251"/>
        <v>2.8732042473454089</v>
      </c>
      <c r="EJ206" s="37">
        <f>($EG206/96.06)*8</f>
        <v>2.8732042473454089</v>
      </c>
      <c r="EK206" s="31">
        <v>0.5</v>
      </c>
      <c r="EL206" s="31">
        <f t="shared" si="302"/>
        <v>5.2050801582344368E-3</v>
      </c>
      <c r="EM206" s="31">
        <f t="shared" si="303"/>
        <v>4.1640641265875494E-2</v>
      </c>
      <c r="EN206" s="32">
        <f t="shared" si="269"/>
        <v>4.301160900781098E-2</v>
      </c>
      <c r="EO206" s="39">
        <f t="shared" si="248"/>
        <v>7.4322719668470967</v>
      </c>
      <c r="EP206" s="37">
        <f t="shared" si="270"/>
        <v>2.4004622655097705E-2</v>
      </c>
      <c r="EQ206" s="37">
        <f t="shared" si="271"/>
        <v>0.17481214191141098</v>
      </c>
      <c r="ER206" s="37">
        <f t="shared" si="272"/>
        <v>0.80118323543349135</v>
      </c>
      <c r="ES206" s="39">
        <f t="shared" si="304"/>
        <v>3.9657575476100901</v>
      </c>
      <c r="ET206" s="55">
        <f t="shared" si="305"/>
        <v>23.050940589682607</v>
      </c>
      <c r="EU206" s="55">
        <f t="shared" si="306"/>
        <v>4.4987340222485637</v>
      </c>
      <c r="EV206" s="55">
        <f t="shared" si="307"/>
        <v>72.450325388068819</v>
      </c>
      <c r="EW206" t="s">
        <v>769</v>
      </c>
      <c r="EX206">
        <v>9</v>
      </c>
      <c r="EY206">
        <v>105</v>
      </c>
      <c r="EZ206" t="s">
        <v>558</v>
      </c>
      <c r="FA206">
        <v>1110</v>
      </c>
      <c r="FB206" t="s">
        <v>72</v>
      </c>
      <c r="FC206" t="s">
        <v>88</v>
      </c>
      <c r="FD206" s="39">
        <f t="shared" si="308"/>
        <v>-7.3102973832293934</v>
      </c>
      <c r="FE206" s="39">
        <f t="shared" si="309"/>
        <v>-7.3102829064754591</v>
      </c>
      <c r="FF206" s="39">
        <f t="shared" si="310"/>
        <v>-3.8437829639923864</v>
      </c>
      <c r="FG206" s="39">
        <f t="shared" si="311"/>
        <v>-3.8437684872384521</v>
      </c>
    </row>
    <row r="207" spans="1:163" ht="15.75" x14ac:dyDescent="0.25">
      <c r="A207" s="3" t="s">
        <v>464</v>
      </c>
      <c r="B207" s="3" t="s">
        <v>464</v>
      </c>
      <c r="C207" s="3" t="s">
        <v>996</v>
      </c>
      <c r="D207" s="3" t="s">
        <v>996</v>
      </c>
      <c r="E207" s="21" t="s">
        <v>1477</v>
      </c>
      <c r="F207" s="3" t="s">
        <v>1034</v>
      </c>
      <c r="G207" s="3" t="s">
        <v>774</v>
      </c>
      <c r="H207" s="3" t="str">
        <f t="shared" si="257"/>
        <v>CW_3_Section_3</v>
      </c>
      <c r="I207" s="3" t="str">
        <f t="shared" si="258"/>
        <v>CW_3_MF10</v>
      </c>
      <c r="J207" s="3" t="s">
        <v>1493</v>
      </c>
      <c r="K207" s="3" t="s">
        <v>1484</v>
      </c>
      <c r="L207" s="11" t="s">
        <v>1107</v>
      </c>
      <c r="M207" s="3" t="s">
        <v>1024</v>
      </c>
      <c r="N207" s="3" t="s">
        <v>1024</v>
      </c>
      <c r="O207" s="12" t="s">
        <v>1016</v>
      </c>
      <c r="P207" s="3" t="s">
        <v>1478</v>
      </c>
      <c r="Q207" s="3" t="s">
        <v>1018</v>
      </c>
      <c r="R207" s="3" t="s">
        <v>1435</v>
      </c>
      <c r="S207" s="3" t="str">
        <f t="shared" si="259"/>
        <v>T8_0.60-0.80</v>
      </c>
      <c r="T207" s="13" t="s">
        <v>1436</v>
      </c>
      <c r="U207" s="3" t="s">
        <v>1160</v>
      </c>
      <c r="V207" s="3">
        <v>150</v>
      </c>
      <c r="W207" s="3">
        <v>65</v>
      </c>
      <c r="X207" s="14">
        <v>5.4</v>
      </c>
      <c r="Y207" s="3">
        <v>206</v>
      </c>
      <c r="Z207" t="s">
        <v>770</v>
      </c>
      <c r="AA207" t="s">
        <v>264</v>
      </c>
      <c r="AB207" s="1">
        <v>46009</v>
      </c>
      <c r="AC207">
        <v>12</v>
      </c>
      <c r="AD207">
        <v>12</v>
      </c>
      <c r="AE207">
        <v>570</v>
      </c>
      <c r="AF207" s="37">
        <f t="shared" si="273"/>
        <v>0.21892203303034183</v>
      </c>
      <c r="AG207">
        <v>77</v>
      </c>
      <c r="AH207" s="37">
        <f t="shared" si="274"/>
        <v>3.0084653787714348E-2</v>
      </c>
      <c r="AI207">
        <v>300</v>
      </c>
      <c r="AJ207" s="37">
        <f t="shared" si="275"/>
        <v>0.11867759254026561</v>
      </c>
      <c r="AK207">
        <v>140</v>
      </c>
      <c r="AL207" s="37">
        <f t="shared" si="276"/>
        <v>5.5382876518790619E-2</v>
      </c>
      <c r="AM207">
        <v>110</v>
      </c>
      <c r="AN207" s="37">
        <f t="shared" si="277"/>
        <v>4.3515117264764057E-2</v>
      </c>
      <c r="AO207">
        <v>250</v>
      </c>
      <c r="AQ207" s="59">
        <v>1197</v>
      </c>
      <c r="AR207" s="59">
        <f t="shared" si="278"/>
        <v>0.36768427935832182</v>
      </c>
      <c r="AS207">
        <v>1800</v>
      </c>
      <c r="AT207" s="37">
        <f t="shared" si="279"/>
        <v>0.6741047046890849</v>
      </c>
      <c r="AU207" t="s">
        <v>780</v>
      </c>
      <c r="AV207" t="s">
        <v>780</v>
      </c>
      <c r="AW207" t="s">
        <v>780</v>
      </c>
      <c r="AX207" t="s">
        <v>780</v>
      </c>
      <c r="AY207" t="s">
        <v>780</v>
      </c>
      <c r="AZ207" t="s">
        <v>780</v>
      </c>
      <c r="BA207" t="s">
        <v>780</v>
      </c>
      <c r="BB207" t="s">
        <v>780</v>
      </c>
      <c r="BC207" t="s">
        <v>780</v>
      </c>
      <c r="BD207" t="s">
        <v>780</v>
      </c>
      <c r="BE207" t="s">
        <v>780</v>
      </c>
      <c r="BF207" t="s">
        <v>780</v>
      </c>
      <c r="BG207" t="s">
        <v>780</v>
      </c>
      <c r="BH207" t="s">
        <v>780</v>
      </c>
      <c r="BI207" t="s">
        <v>780</v>
      </c>
      <c r="BJ207" t="s">
        <v>780</v>
      </c>
      <c r="BK207" t="s">
        <v>780</v>
      </c>
      <c r="BL207" t="s">
        <v>780</v>
      </c>
      <c r="BM207" t="s">
        <v>780</v>
      </c>
      <c r="BN207" t="s">
        <v>780</v>
      </c>
      <c r="BO207" s="58">
        <v>3100</v>
      </c>
      <c r="BP207" s="58">
        <v>2</v>
      </c>
      <c r="BQ207" s="58">
        <v>85</v>
      </c>
      <c r="BR207" s="58">
        <v>18</v>
      </c>
      <c r="BS207" s="58">
        <v>11</v>
      </c>
      <c r="BT207" s="58">
        <v>1.5</v>
      </c>
      <c r="BU207" s="58">
        <v>0.48</v>
      </c>
      <c r="BV207" s="58">
        <v>0.33</v>
      </c>
      <c r="BW207" s="31">
        <f t="shared" si="280"/>
        <v>1.1609581025200906</v>
      </c>
      <c r="BX207" s="31">
        <f t="shared" si="281"/>
        <v>7.3592220251002033E-4</v>
      </c>
      <c r="BY207" s="31">
        <f t="shared" si="282"/>
        <v>3.1969392387004733E-2</v>
      </c>
      <c r="BZ207" s="31">
        <f t="shared" si="283"/>
        <v>6.7139935025869336E-3</v>
      </c>
      <c r="CA207" s="31">
        <f t="shared" si="284"/>
        <v>4.0733883184649045E-3</v>
      </c>
      <c r="CB207" s="31">
        <f t="shared" si="285"/>
        <v>5.5546204342703253E-4</v>
      </c>
      <c r="CC207" s="31">
        <f t="shared" si="286"/>
        <v>1.7562422744128552E-4</v>
      </c>
      <c r="CD207" s="31">
        <f t="shared" si="287"/>
        <v>1.2074165636588381E-4</v>
      </c>
      <c r="CE207">
        <v>1E-3</v>
      </c>
      <c r="CF207">
        <v>1E-3</v>
      </c>
      <c r="CG207">
        <v>2E-3</v>
      </c>
      <c r="CH207">
        <v>1E-3</v>
      </c>
      <c r="CI207">
        <v>1E-3</v>
      </c>
      <c r="CK207">
        <v>2E-3</v>
      </c>
      <c r="CL207">
        <v>1E-3</v>
      </c>
      <c r="CM207">
        <v>1E-3</v>
      </c>
      <c r="CN207" s="58">
        <f t="shared" si="312"/>
        <v>3218.31</v>
      </c>
      <c r="CO207" s="58">
        <f t="shared" si="288"/>
        <v>118.31</v>
      </c>
      <c r="CP207" s="31">
        <f t="shared" si="289"/>
        <v>1.2053026268578912</v>
      </c>
      <c r="CQ207" s="31">
        <f t="shared" si="290"/>
        <v>4.4344524337800797E-2</v>
      </c>
      <c r="CR207">
        <v>3300</v>
      </c>
      <c r="CS207">
        <v>3400</v>
      </c>
      <c r="CT207">
        <v>900</v>
      </c>
      <c r="CU207" t="s">
        <v>69</v>
      </c>
      <c r="CV207" t="s">
        <v>69</v>
      </c>
      <c r="CW207">
        <v>4300</v>
      </c>
      <c r="CX207" s="2">
        <f t="shared" si="260"/>
        <v>4497</v>
      </c>
      <c r="CZ207">
        <v>68</v>
      </c>
      <c r="DA207" t="s">
        <v>62</v>
      </c>
      <c r="DB207" t="s">
        <v>88</v>
      </c>
      <c r="DC207" t="s">
        <v>782</v>
      </c>
      <c r="DD207" s="37">
        <f t="shared" si="261"/>
        <v>13.369977097647302</v>
      </c>
      <c r="DE207" s="37">
        <f t="shared" si="313"/>
        <v>13.369977097647302</v>
      </c>
      <c r="DF207" s="37">
        <v>0.6</v>
      </c>
      <c r="DG207" s="37">
        <f t="shared" si="262"/>
        <v>1.0743061772605192E-2</v>
      </c>
      <c r="DH207" s="37">
        <f t="shared" si="291"/>
        <v>1.0743061772605192E-2</v>
      </c>
      <c r="DI207" s="37">
        <f t="shared" si="263"/>
        <v>13.969977097647302</v>
      </c>
      <c r="DJ207" s="37">
        <f t="shared" si="292"/>
        <v>0.25013387820317462</v>
      </c>
      <c r="DK207" s="37">
        <f t="shared" si="293"/>
        <v>0.25013387820317462</v>
      </c>
      <c r="DL207" s="55">
        <f t="shared" si="294"/>
        <v>8.7195502810743282</v>
      </c>
      <c r="DM207" s="55">
        <f t="shared" si="294"/>
        <v>8.7195502810743282</v>
      </c>
      <c r="DN207" s="37">
        <f t="shared" si="295"/>
        <v>9.3195502810743278</v>
      </c>
      <c r="DO207" s="55">
        <f t="shared" si="296"/>
        <v>0.16686750727080263</v>
      </c>
      <c r="DP207" s="55">
        <f t="shared" si="297"/>
        <v>0.16686750727080263</v>
      </c>
      <c r="DQ207" s="37">
        <v>1.2</v>
      </c>
      <c r="DR207" s="37">
        <f t="shared" si="298"/>
        <v>2.1845985800109231E-2</v>
      </c>
      <c r="DS207" s="37">
        <f t="shared" si="299"/>
        <v>4.3691971600218461E-2</v>
      </c>
      <c r="DT207" s="37">
        <f t="shared" si="264"/>
        <v>11.449878274750318</v>
      </c>
      <c r="DU207" s="37">
        <f t="shared" si="265"/>
        <v>5.7249391373751592</v>
      </c>
      <c r="DV207" s="37">
        <f t="shared" si="266"/>
        <v>15.169977097647301</v>
      </c>
      <c r="DW207" s="37">
        <f t="shared" si="267"/>
        <v>0.2938258498033931</v>
      </c>
      <c r="DX207" t="s">
        <v>780</v>
      </c>
      <c r="DY207" t="s">
        <v>56</v>
      </c>
      <c r="DZ207" s="29">
        <f t="shared" si="252"/>
        <v>1</v>
      </c>
      <c r="EA207" s="30">
        <v>1.7000000000000001E-2</v>
      </c>
      <c r="EB207" s="30">
        <f t="shared" si="300"/>
        <v>2.741935483870968E-4</v>
      </c>
      <c r="EC207" s="30">
        <f t="shared" si="301"/>
        <v>1.370967741935484E-3</v>
      </c>
      <c r="ED207" s="31">
        <f t="shared" si="255"/>
        <v>23</v>
      </c>
      <c r="EE207" s="33">
        <f t="shared" si="254"/>
        <v>31.944444444444443</v>
      </c>
      <c r="EF207" s="37">
        <f t="shared" si="268"/>
        <v>1.9154694982302727</v>
      </c>
      <c r="EG207" s="29">
        <f>$EK205-EK207</f>
        <v>15</v>
      </c>
      <c r="EH207" s="33">
        <f>(EG207/$EK205)*100</f>
        <v>23.4375</v>
      </c>
      <c r="EI207" s="37">
        <f t="shared" si="251"/>
        <v>1.2492192379762648</v>
      </c>
      <c r="EJ207" s="37">
        <f>($EG207/96.06)*8</f>
        <v>1.2492192379762648</v>
      </c>
      <c r="EK207" s="31">
        <v>49</v>
      </c>
      <c r="EL207" s="31">
        <f t="shared" si="302"/>
        <v>0.51009785550697484</v>
      </c>
      <c r="EM207" s="31">
        <f t="shared" si="303"/>
        <v>4.0807828440557987</v>
      </c>
      <c r="EN207" s="32">
        <f t="shared" si="269"/>
        <v>4.0821538117977338</v>
      </c>
      <c r="EO207" s="39">
        <f t="shared" si="248"/>
        <v>2.2092953480336659</v>
      </c>
      <c r="EP207" s="37">
        <f t="shared" si="270"/>
        <v>1.9776428551802967E-2</v>
      </c>
      <c r="EQ207" s="37">
        <f t="shared" si="271"/>
        <v>0.11321884981372034</v>
      </c>
      <c r="ER207" s="37">
        <f t="shared" si="272"/>
        <v>0.86700472163447662</v>
      </c>
      <c r="ES207" s="39">
        <f t="shared" si="304"/>
        <v>1.4597787168472858</v>
      </c>
      <c r="ET207" s="55">
        <f t="shared" si="305"/>
        <v>11.431013847851531</v>
      </c>
      <c r="EU207" s="55">
        <f t="shared" si="306"/>
        <v>2.9930544332486853</v>
      </c>
      <c r="EV207" s="55">
        <f t="shared" si="307"/>
        <v>85.575931718899795</v>
      </c>
      <c r="EW207" t="s">
        <v>771</v>
      </c>
      <c r="EX207">
        <v>9</v>
      </c>
      <c r="EY207">
        <v>-71</v>
      </c>
      <c r="EZ207" t="s">
        <v>200</v>
      </c>
      <c r="FA207">
        <v>1107</v>
      </c>
      <c r="FB207" t="s">
        <v>72</v>
      </c>
      <c r="FC207" t="s">
        <v>88</v>
      </c>
      <c r="FD207" s="39">
        <f t="shared" si="308"/>
        <v>-1.1675063639862593</v>
      </c>
      <c r="FE207" s="39">
        <f t="shared" si="309"/>
        <v>-1.1231618396484584</v>
      </c>
      <c r="FF207" s="39">
        <f t="shared" si="310"/>
        <v>-0.41798973279987917</v>
      </c>
      <c r="FG207" s="39">
        <f t="shared" si="311"/>
        <v>-0.37364520846207827</v>
      </c>
    </row>
    <row r="208" spans="1:163" ht="15.75" x14ac:dyDescent="0.25">
      <c r="A208" s="3"/>
      <c r="B2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Wetland_Utrecht_Data_Final_Orde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2026-04-03T08:25:53Z</dcterms:created>
  <dcterms:modified xsi:type="dcterms:W3CDTF">2026-09-29T17:12:35Z</dcterms:modified>
</cp:coreProperties>
</file>